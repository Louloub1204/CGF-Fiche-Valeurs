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BQC" sheetId="2" state="visible" r:id="rId2"/>
    <sheet xmlns:r="http://schemas.openxmlformats.org/officeDocument/2006/relationships" name="DBQS" sheetId="3" state="visible" r:id="rId3"/>
    <sheet xmlns:r="http://schemas.openxmlformats.org/officeDocument/2006/relationships" name="DAGC" sheetId="4" state="visible" r:id="rId4"/>
    <sheet xmlns:r="http://schemas.openxmlformats.org/officeDocument/2006/relationships" name="DDIC" sheetId="5" state="visible" r:id="rId5"/>
    <sheet xmlns:r="http://schemas.openxmlformats.org/officeDocument/2006/relationships" name="DTLS" sheetId="6" state="visible" r:id="rId6"/>
    <sheet xmlns:r="http://schemas.openxmlformats.org/officeDocument/2006/relationships" name="DEN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Synthèse des sociétés (démonstration)</t>
        </is>
      </c>
    </row>
    <row r="3">
      <c r="A3" t="inlineStr">
        <is>
          <t>Société</t>
        </is>
      </c>
      <c r="B3" t="inlineStr">
        <is>
          <t>Secteur</t>
        </is>
      </c>
      <c r="C3" t="inlineStr">
        <is>
          <t>Unité</t>
        </is>
      </c>
    </row>
    <row r="4">
      <c r="A4" t="inlineStr">
        <is>
          <t>DBQC</t>
        </is>
      </c>
      <c r="B4" t="inlineStr">
        <is>
          <t>Banque</t>
        </is>
      </c>
      <c r="C4" t="inlineStr">
        <is>
          <t>M FCFA</t>
        </is>
      </c>
    </row>
    <row r="5">
      <c r="A5" t="inlineStr">
        <is>
          <t>DBQS</t>
        </is>
      </c>
      <c r="B5" t="inlineStr">
        <is>
          <t>Banque</t>
        </is>
      </c>
      <c r="C5" t="inlineStr">
        <is>
          <t>FCFA</t>
        </is>
      </c>
    </row>
    <row r="6">
      <c r="A6" t="inlineStr">
        <is>
          <t>DAGC</t>
        </is>
      </c>
      <c r="B6" t="inlineStr">
        <is>
          <t>Agro-industrie</t>
        </is>
      </c>
      <c r="C6" t="inlineStr">
        <is>
          <t>M FCFA</t>
        </is>
      </c>
    </row>
    <row r="7">
      <c r="A7" t="inlineStr">
        <is>
          <t>DDIC</t>
        </is>
      </c>
      <c r="B7" t="inlineStr">
        <is>
          <t>Distribution</t>
        </is>
      </c>
      <c r="C7" t="inlineStr">
        <is>
          <t>K FCFA</t>
        </is>
      </c>
    </row>
    <row r="8">
      <c r="A8" t="inlineStr">
        <is>
          <t>DTLS</t>
        </is>
      </c>
      <c r="B8" t="inlineStr">
        <is>
          <t>Télécom</t>
        </is>
      </c>
      <c r="C8" t="inlineStr">
        <is>
          <t>M FCFA</t>
        </is>
      </c>
    </row>
    <row r="9">
      <c r="A9" t="inlineStr">
        <is>
          <t>DENC</t>
        </is>
      </c>
      <c r="B9" t="inlineStr">
        <is>
          <t>Énergie</t>
        </is>
      </c>
      <c r="C9" t="inlineStr">
        <is>
          <t>M FCFA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BANQUE DEMO COTE D'IVOIRE (DBQC) - Etats financiers (en millions FCFA)</t>
        </is>
      </c>
    </row>
    <row r="2">
      <c r="A2" t="inlineStr">
        <is>
          <t>Données fictives de démonstration</t>
        </is>
      </c>
    </row>
    <row r="4">
      <c r="A4" s="2" t="inlineStr">
        <is>
          <t>Poste</t>
        </is>
      </c>
      <c r="B4" s="2" t="n">
        <v>2021</v>
      </c>
      <c r="C4" s="2" t="n">
        <v>2022</v>
      </c>
      <c r="D4" s="2" t="n">
        <v>2023</v>
      </c>
      <c r="E4" s="2" t="n">
        <v>2024</v>
      </c>
      <c r="F4" s="2" t="n">
        <v>2025</v>
      </c>
      <c r="G4" s="2" t="inlineStr">
        <is>
          <t>Var 21/22</t>
        </is>
      </c>
      <c r="H4" s="2" t="inlineStr">
        <is>
          <t>Var 22/23</t>
        </is>
      </c>
      <c r="I4" s="2" t="inlineStr">
        <is>
          <t>Var 23/24</t>
        </is>
      </c>
      <c r="J4" s="2" t="inlineStr">
        <is>
          <t>Var 24/25</t>
        </is>
      </c>
    </row>
    <row r="5">
      <c r="A5" s="3" t="inlineStr">
        <is>
          <t>COMPTE DE RÉSULTAT</t>
        </is>
      </c>
    </row>
    <row r="6">
      <c r="A6" t="inlineStr">
        <is>
          <t>Intérêts et produits assimilés</t>
        </is>
      </c>
      <c r="B6" t="n">
        <v>102900</v>
      </c>
      <c r="C6" t="n">
        <v>112161</v>
      </c>
      <c r="D6" t="n">
        <v>124499</v>
      </c>
      <c r="E6" t="n">
        <v>134459</v>
      </c>
      <c r="F6" t="n">
        <v>147904</v>
      </c>
      <c r="G6">
        <f>IF(B6=0,"",(C6-B6)/ABS(B6))</f>
        <v/>
      </c>
      <c r="H6">
        <f>IF(C6=0,"",(D6-C6)/ABS(C6))</f>
        <v/>
      </c>
      <c r="I6">
        <f>IF(D6=0,"",(E6-D6)/ABS(D6))</f>
        <v/>
      </c>
      <c r="J6">
        <f>IF(E6=0,"",(F6-E6)/ABS(E6))</f>
        <v/>
      </c>
    </row>
    <row r="7">
      <c r="A7" t="inlineStr">
        <is>
          <t>Intérêts et charges assimilées</t>
        </is>
      </c>
      <c r="B7" t="n">
        <v>-37240</v>
      </c>
      <c r="C7" t="n">
        <v>-40592</v>
      </c>
      <c r="D7" t="n">
        <v>-45057</v>
      </c>
      <c r="E7" t="n">
        <v>-48661</v>
      </c>
      <c r="F7" t="n">
        <v>-53527</v>
      </c>
      <c r="G7">
        <f>IF(B7=0,"",(C7-B7)/ABS(B7))</f>
        <v/>
      </c>
      <c r="H7">
        <f>IF(C7=0,"",(D7-C7)/ABS(C7))</f>
        <v/>
      </c>
      <c r="I7">
        <f>IF(D7=0,"",(E7-D7)/ABS(D7))</f>
        <v/>
      </c>
      <c r="J7">
        <f>IF(E7=0,"",(F7-E7)/ABS(E7))</f>
        <v/>
      </c>
    </row>
    <row r="8">
      <c r="A8" t="inlineStr">
        <is>
          <t>Commissions (produits)</t>
        </is>
      </c>
      <c r="B8" t="n">
        <v>29400</v>
      </c>
      <c r="C8" t="n">
        <v>32046</v>
      </c>
      <c r="D8" t="n">
        <v>35571</v>
      </c>
      <c r="E8" t="n">
        <v>38417</v>
      </c>
      <c r="F8" t="n">
        <v>42258</v>
      </c>
      <c r="G8">
        <f>IF(B8=0,"",(C8-B8)/ABS(B8))</f>
        <v/>
      </c>
      <c r="H8">
        <f>IF(C8=0,"",(D8-C8)/ABS(C8))</f>
        <v/>
      </c>
      <c r="I8">
        <f>IF(D8=0,"",(E8-D8)/ABS(D8))</f>
        <v/>
      </c>
      <c r="J8">
        <f>IF(E8=0,"",(F8-E8)/ABS(E8))</f>
        <v/>
      </c>
    </row>
    <row r="9">
      <c r="A9" t="inlineStr">
        <is>
          <t>Commissions (charges)</t>
        </is>
      </c>
      <c r="B9" t="n">
        <v>-2940</v>
      </c>
      <c r="C9" t="n">
        <v>-3205</v>
      </c>
      <c r="D9" t="n">
        <v>-3557</v>
      </c>
      <c r="E9" t="n">
        <v>-3842</v>
      </c>
      <c r="F9" t="n">
        <v>-4226</v>
      </c>
      <c r="G9">
        <f>IF(B9=0,"",(C9-B9)/ABS(B9))</f>
        <v/>
      </c>
      <c r="H9">
        <f>IF(C9=0,"",(D9-C9)/ABS(C9))</f>
        <v/>
      </c>
      <c r="I9">
        <f>IF(D9=0,"",(E9-D9)/ABS(D9))</f>
        <v/>
      </c>
      <c r="J9">
        <f>IF(E9=0,"",(F9-E9)/ABS(E9))</f>
        <v/>
      </c>
    </row>
    <row r="10">
      <c r="A10" t="inlineStr">
        <is>
          <t>PRODUIT NET BANCAIRE</t>
        </is>
      </c>
      <c r="B10" t="n">
        <v>98000</v>
      </c>
      <c r="C10" t="n">
        <v>106820</v>
      </c>
      <c r="D10" t="n">
        <v>118570.2</v>
      </c>
      <c r="E10" t="n">
        <v>128055.8</v>
      </c>
      <c r="F10" t="n">
        <v>140861.4</v>
      </c>
      <c r="G10">
        <f>IF(B10=0,"",(C10-B10)/ABS(B10))</f>
        <v/>
      </c>
      <c r="H10">
        <f>IF(C10=0,"",(D10-C10)/ABS(C10))</f>
        <v/>
      </c>
      <c r="I10">
        <f>IF(D10=0,"",(E10-D10)/ABS(D10))</f>
        <v/>
      </c>
      <c r="J10">
        <f>IF(E10=0,"",(F10-E10)/ABS(E10))</f>
        <v/>
      </c>
    </row>
    <row r="11">
      <c r="A11" t="inlineStr">
        <is>
          <t>Charges générales d'exploitation</t>
        </is>
      </c>
      <c r="B11" t="n">
        <v>-45080</v>
      </c>
      <c r="C11" t="n">
        <v>-48069</v>
      </c>
      <c r="D11" t="n">
        <v>-52171</v>
      </c>
      <c r="E11" t="n">
        <v>-55064</v>
      </c>
      <c r="F11" t="n">
        <v>-59162</v>
      </c>
      <c r="G11">
        <f>IF(B11=0,"",(C11-B11)/ABS(B11))</f>
        <v/>
      </c>
      <c r="H11">
        <f>IF(C11=0,"",(D11-C11)/ABS(C11))</f>
        <v/>
      </c>
      <c r="I11">
        <f>IF(D11=0,"",(E11-D11)/ABS(D11))</f>
        <v/>
      </c>
      <c r="J11">
        <f>IF(E11=0,"",(F11-E11)/ABS(E11))</f>
        <v/>
      </c>
    </row>
    <row r="12">
      <c r="A12" t="inlineStr">
        <is>
          <t>Dotations aux amortissements &amp; dépréciations</t>
        </is>
      </c>
      <c r="B12" t="n">
        <v>-4900</v>
      </c>
      <c r="C12" t="n">
        <v>-5341</v>
      </c>
      <c r="D12" t="n">
        <v>-5929</v>
      </c>
      <c r="E12" t="n">
        <v>-6403</v>
      </c>
      <c r="F12" t="n">
        <v>-7043</v>
      </c>
      <c r="G12">
        <f>IF(B12=0,"",(C12-B12)/ABS(B12))</f>
        <v/>
      </c>
      <c r="H12">
        <f>IF(C12=0,"",(D12-C12)/ABS(C12))</f>
        <v/>
      </c>
      <c r="I12">
        <f>IF(D12=0,"",(E12-D12)/ABS(D12))</f>
        <v/>
      </c>
      <c r="J12">
        <f>IF(E12=0,"",(F12-E12)/ABS(E12))</f>
        <v/>
      </c>
    </row>
    <row r="13">
      <c r="A13" t="inlineStr">
        <is>
          <t>RÉSULTAT BRUT D'EXPLOITATION</t>
        </is>
      </c>
      <c r="B13" t="n">
        <v>48020</v>
      </c>
      <c r="C13" t="n">
        <v>53410</v>
      </c>
      <c r="D13" t="n">
        <v>60470.2</v>
      </c>
      <c r="E13" t="n">
        <v>66588.8</v>
      </c>
      <c r="F13" t="n">
        <v>74656.39999999999</v>
      </c>
      <c r="G13">
        <f>IF(B13=0,"",(C13-B13)/ABS(B13))</f>
        <v/>
      </c>
      <c r="H13">
        <f>IF(C13=0,"",(D13-C13)/ABS(C13))</f>
        <v/>
      </c>
      <c r="I13">
        <f>IF(D13=0,"",(E13-D13)/ABS(D13))</f>
        <v/>
      </c>
      <c r="J13">
        <f>IF(E13=0,"",(F13-E13)/ABS(E13))</f>
        <v/>
      </c>
    </row>
    <row r="14">
      <c r="A14" t="inlineStr">
        <is>
          <t>Coût net du risque</t>
        </is>
      </c>
      <c r="B14" t="n">
        <v>-11760</v>
      </c>
      <c r="C14" t="n">
        <v>-10682</v>
      </c>
      <c r="D14" t="n">
        <v>-13043</v>
      </c>
      <c r="E14" t="n">
        <v>-11525</v>
      </c>
      <c r="F14" t="n">
        <v>-11269</v>
      </c>
      <c r="G14">
        <f>IF(B14=0,"",(C14-B14)/ABS(B14))</f>
        <v/>
      </c>
      <c r="H14">
        <f>IF(C14=0,"",(D14-C14)/ABS(C14))</f>
        <v/>
      </c>
      <c r="I14">
        <f>IF(D14=0,"",(E14-D14)/ABS(D14))</f>
        <v/>
      </c>
      <c r="J14">
        <f>IF(E14=0,"",(F14-E14)/ABS(E14))</f>
        <v/>
      </c>
    </row>
    <row r="15">
      <c r="A15" t="inlineStr">
        <is>
          <t>RÉSULTAT D'EXPLOITATION</t>
        </is>
      </c>
      <c r="B15" t="n">
        <v>36260</v>
      </c>
      <c r="C15" t="n">
        <v>42728</v>
      </c>
      <c r="D15" t="n">
        <v>47427.2</v>
      </c>
      <c r="E15" t="n">
        <v>55063.8</v>
      </c>
      <c r="F15" t="n">
        <v>63387.39999999999</v>
      </c>
      <c r="G15">
        <f>IF(B15=0,"",(C15-B15)/ABS(B15))</f>
        <v/>
      </c>
      <c r="H15">
        <f>IF(C15=0,"",(D15-C15)/ABS(C15))</f>
        <v/>
      </c>
      <c r="I15">
        <f>IF(D15=0,"",(E15-D15)/ABS(D15))</f>
        <v/>
      </c>
      <c r="J15">
        <f>IF(E15=0,"",(F15-E15)/ABS(E15))</f>
        <v/>
      </c>
    </row>
    <row r="16">
      <c r="A16" t="inlineStr">
        <is>
          <t>Impôts sur les bénéfices</t>
        </is>
      </c>
      <c r="B16" t="n">
        <v>-7977</v>
      </c>
      <c r="C16" t="n">
        <v>-9400</v>
      </c>
      <c r="D16" t="n">
        <v>-10434</v>
      </c>
      <c r="E16" t="n">
        <v>-12114</v>
      </c>
      <c r="F16" t="n">
        <v>-13945</v>
      </c>
      <c r="G16">
        <f>IF(B16=0,"",(C16-B16)/ABS(B16))</f>
        <v/>
      </c>
      <c r="H16">
        <f>IF(C16=0,"",(D16-C16)/ABS(C16))</f>
        <v/>
      </c>
      <c r="I16">
        <f>IF(D16=0,"",(E16-D16)/ABS(D16))</f>
        <v/>
      </c>
      <c r="J16">
        <f>IF(E16=0,"",(F16-E16)/ABS(E16))</f>
        <v/>
      </c>
    </row>
    <row r="17">
      <c r="A17" t="inlineStr">
        <is>
          <t>RÉSULTAT NET</t>
        </is>
      </c>
      <c r="B17" t="n">
        <v>28283</v>
      </c>
      <c r="C17" t="n">
        <v>33328</v>
      </c>
      <c r="D17" t="n">
        <v>36993.2</v>
      </c>
      <c r="E17" t="n">
        <v>42949.8</v>
      </c>
      <c r="F17" t="n">
        <v>49442.39999999999</v>
      </c>
      <c r="G17">
        <f>IF(B17=0,"",(C17-B17)/ABS(B17))</f>
        <v/>
      </c>
      <c r="H17">
        <f>IF(C17=0,"",(D17-C17)/ABS(C17))</f>
        <v/>
      </c>
      <c r="I17">
        <f>IF(D17=0,"",(E17-D17)/ABS(D17))</f>
        <v/>
      </c>
      <c r="J17">
        <f>IF(E17=0,"",(F17-E17)/ABS(E17))</f>
        <v/>
      </c>
    </row>
    <row r="18">
      <c r="A18" s="3" t="inlineStr">
        <is>
          <t>BILAN</t>
        </is>
      </c>
    </row>
    <row r="19">
      <c r="A19" s="3" t="inlineStr">
        <is>
          <t>ACTIF</t>
        </is>
      </c>
    </row>
    <row r="20">
      <c r="A20" t="inlineStr">
        <is>
          <t>Créances interbancaires</t>
        </is>
      </c>
      <c r="B20" t="n">
        <v>234000</v>
      </c>
      <c r="C20" t="n">
        <v>257400</v>
      </c>
      <c r="D20" t="n">
        <v>280566</v>
      </c>
      <c r="E20" t="n">
        <v>303011</v>
      </c>
      <c r="F20" t="n">
        <v>324222</v>
      </c>
      <c r="G20">
        <f>IF(B20=0,"",(C20-B20)/ABS(B20))</f>
        <v/>
      </c>
      <c r="H20">
        <f>IF(C20=0,"",(D20-C20)/ABS(C20))</f>
        <v/>
      </c>
      <c r="I20">
        <f>IF(D20=0,"",(E20-D20)/ABS(D20))</f>
        <v/>
      </c>
      <c r="J20">
        <f>IF(E20=0,"",(F20-E20)/ABS(E20))</f>
        <v/>
      </c>
    </row>
    <row r="21">
      <c r="A21" t="inlineStr">
        <is>
          <t>Créances sur la clientèle</t>
        </is>
      </c>
      <c r="B21" t="n">
        <v>1131000</v>
      </c>
      <c r="C21" t="n">
        <v>1244100</v>
      </c>
      <c r="D21" t="n">
        <v>1356069</v>
      </c>
      <c r="E21" t="n">
        <v>1464555</v>
      </c>
      <c r="F21" t="n">
        <v>1567073</v>
      </c>
      <c r="G21">
        <f>IF(B21=0,"",(C21-B21)/ABS(B21))</f>
        <v/>
      </c>
      <c r="H21">
        <f>IF(C21=0,"",(D21-C21)/ABS(C21))</f>
        <v/>
      </c>
      <c r="I21">
        <f>IF(D21=0,"",(E21-D21)/ABS(D21))</f>
        <v/>
      </c>
      <c r="J21">
        <f>IF(E21=0,"",(F21-E21)/ABS(E21))</f>
        <v/>
      </c>
    </row>
    <row r="22">
      <c r="A22" t="inlineStr">
        <is>
          <t>Obligations et autres titres</t>
        </is>
      </c>
      <c r="B22" t="n">
        <v>429000</v>
      </c>
      <c r="C22" t="n">
        <v>471900</v>
      </c>
      <c r="D22" t="n">
        <v>514371</v>
      </c>
      <c r="E22" t="n">
        <v>555521</v>
      </c>
      <c r="F22" t="n">
        <v>594407</v>
      </c>
      <c r="G22">
        <f>IF(B22=0,"",(C22-B22)/ABS(B22))</f>
        <v/>
      </c>
      <c r="H22">
        <f>IF(C22=0,"",(D22-C22)/ABS(C22))</f>
        <v/>
      </c>
      <c r="I22">
        <f>IF(D22=0,"",(E22-D22)/ABS(D22))</f>
        <v/>
      </c>
      <c r="J22">
        <f>IF(E22=0,"",(F22-E22)/ABS(E22))</f>
        <v/>
      </c>
    </row>
    <row r="23">
      <c r="A23" t="inlineStr">
        <is>
          <t>TOTAL ACTIF</t>
        </is>
      </c>
      <c r="B23" t="n">
        <v>1950000</v>
      </c>
      <c r="C23" t="n">
        <v>2145000</v>
      </c>
      <c r="D23" t="n">
        <v>2338050</v>
      </c>
      <c r="E23" t="n">
        <v>2525094</v>
      </c>
      <c r="F23" t="n">
        <v>2701850.6</v>
      </c>
      <c r="G23">
        <f>IF(B23=0,"",(C23-B23)/ABS(B23))</f>
        <v/>
      </c>
      <c r="H23">
        <f>IF(C23=0,"",(D23-C23)/ABS(C23))</f>
        <v/>
      </c>
      <c r="I23">
        <f>IF(D23=0,"",(E23-D23)/ABS(D23))</f>
        <v/>
      </c>
      <c r="J23">
        <f>IF(E23=0,"",(F23-E23)/ABS(E23))</f>
        <v/>
      </c>
    </row>
    <row r="24">
      <c r="A24" s="3" t="inlineStr">
        <is>
          <t>PASSIF</t>
        </is>
      </c>
    </row>
    <row r="25">
      <c r="A25" t="inlineStr">
        <is>
          <t>Dettes interbancaires</t>
        </is>
      </c>
      <c r="B25" t="n">
        <v>156000</v>
      </c>
      <c r="C25" t="n">
        <v>171600</v>
      </c>
      <c r="D25" t="n">
        <v>187044</v>
      </c>
      <c r="E25" t="n">
        <v>202008</v>
      </c>
      <c r="F25" t="n">
        <v>216148</v>
      </c>
      <c r="G25">
        <f>IF(B25=0,"",(C25-B25)/ABS(B25))</f>
        <v/>
      </c>
      <c r="H25">
        <f>IF(C25=0,"",(D25-C25)/ABS(C25))</f>
        <v/>
      </c>
      <c r="I25">
        <f>IF(D25=0,"",(E25-D25)/ABS(D25))</f>
        <v/>
      </c>
      <c r="J25">
        <f>IF(E25=0,"",(F25-E25)/ABS(E25))</f>
        <v/>
      </c>
    </row>
    <row r="26">
      <c r="A26" t="inlineStr">
        <is>
          <t>Dettes à l'égard de la clientèle</t>
        </is>
      </c>
      <c r="B26" t="n">
        <v>1443000</v>
      </c>
      <c r="C26" t="n">
        <v>1587300</v>
      </c>
      <c r="D26" t="n">
        <v>1730157</v>
      </c>
      <c r="E26" t="n">
        <v>1868570</v>
      </c>
      <c r="F26" t="n">
        <v>1999369</v>
      </c>
      <c r="G26">
        <f>IF(B26=0,"",(C26-B26)/ABS(B26))</f>
        <v/>
      </c>
      <c r="H26">
        <f>IF(C26=0,"",(D26-C26)/ABS(C26))</f>
        <v/>
      </c>
      <c r="I26">
        <f>IF(D26=0,"",(E26-D26)/ABS(D26))</f>
        <v/>
      </c>
      <c r="J26">
        <f>IF(E26=0,"",(F26-E26)/ABS(E26))</f>
        <v/>
      </c>
    </row>
    <row r="27">
      <c r="A27" t="inlineStr">
        <is>
          <t>Capital</t>
        </is>
      </c>
      <c r="B27" t="n">
        <v>55000</v>
      </c>
      <c r="C27" t="n">
        <v>55000</v>
      </c>
      <c r="D27" t="n">
        <v>55000</v>
      </c>
      <c r="E27" t="n">
        <v>55000</v>
      </c>
      <c r="F27" t="n">
        <v>55000</v>
      </c>
      <c r="G27">
        <f>IF(B27=0,"",(C27-B27)/ABS(B27))</f>
        <v/>
      </c>
      <c r="H27">
        <f>IF(C27=0,"",(D27-C27)/ABS(C27))</f>
        <v/>
      </c>
      <c r="I27">
        <f>IF(D27=0,"",(E27-D27)/ABS(D27))</f>
        <v/>
      </c>
      <c r="J27">
        <f>IF(E27=0,"",(F27-E27)/ABS(E27))</f>
        <v/>
      </c>
    </row>
    <row r="28">
      <c r="A28" t="inlineStr">
        <is>
          <t>Capitaux propres et ressources assimilées</t>
        </is>
      </c>
      <c r="B28" t="n">
        <v>195000</v>
      </c>
      <c r="C28" t="n">
        <v>216450</v>
      </c>
      <c r="D28" t="n">
        <v>242424</v>
      </c>
      <c r="E28" t="n">
        <v>266666.4</v>
      </c>
      <c r="F28" t="n">
        <v>295999.7</v>
      </c>
      <c r="G28">
        <f>IF(B28=0,"",(C28-B28)/ABS(B28))</f>
        <v/>
      </c>
      <c r="H28">
        <f>IF(C28=0,"",(D28-C28)/ABS(C28))</f>
        <v/>
      </c>
      <c r="I28">
        <f>IF(D28=0,"",(E28-D28)/ABS(D28))</f>
        <v/>
      </c>
      <c r="J28">
        <f>IF(E28=0,"",(F28-E28)/ABS(E28))</f>
        <v/>
      </c>
    </row>
    <row r="29">
      <c r="A29" t="inlineStr">
        <is>
          <t>TOTAL PASSIF</t>
        </is>
      </c>
      <c r="B29" t="n">
        <v>1950000</v>
      </c>
      <c r="C29" t="n">
        <v>2145000</v>
      </c>
      <c r="D29" t="n">
        <v>2338050</v>
      </c>
      <c r="E29" t="n">
        <v>2525094</v>
      </c>
      <c r="F29" t="n">
        <v>2701850.6</v>
      </c>
      <c r="G29">
        <f>IF(B29=0,"",(C29-B29)/ABS(B29))</f>
        <v/>
      </c>
      <c r="H29">
        <f>IF(C29=0,"",(D29-C29)/ABS(C29))</f>
        <v/>
      </c>
      <c r="I29">
        <f>IF(D29=0,"",(E29-D29)/ABS(D29))</f>
        <v/>
      </c>
      <c r="J29">
        <f>IF(E29=0,"",(F29-E29)/ABS(E29))</f>
        <v/>
      </c>
    </row>
    <row r="30">
      <c r="A30" s="3" t="inlineStr">
        <is>
          <t>RATIOS</t>
        </is>
      </c>
    </row>
    <row r="31">
      <c r="A31" t="inlineStr">
        <is>
          <t>Coefficient d'exploitation</t>
        </is>
      </c>
      <c r="B31" t="n">
        <v>51</v>
      </c>
      <c r="C31" t="n">
        <v>50</v>
      </c>
      <c r="D31" t="n">
        <v>49</v>
      </c>
      <c r="E31" t="n">
        <v>48</v>
      </c>
      <c r="F31" t="n">
        <v>47</v>
      </c>
      <c r="G31">
        <f>IF(B31=0,"",(C31-B31)/ABS(B31))</f>
        <v/>
      </c>
      <c r="H31">
        <f>IF(C31=0,"",(D31-C31)/ABS(C31))</f>
        <v/>
      </c>
      <c r="I31">
        <f>IF(D31=0,"",(E31-D31)/ABS(D31))</f>
        <v/>
      </c>
      <c r="J31">
        <f>IF(E31=0,"",(F31-E31)/ABS(E31))</f>
        <v/>
      </c>
    </row>
    <row r="32">
      <c r="A32" t="inlineStr">
        <is>
          <t>Taux de créances en souffrance (net)</t>
        </is>
      </c>
      <c r="B32" t="n">
        <v>6.1</v>
      </c>
      <c r="C32" t="n">
        <v>5.8</v>
      </c>
      <c r="D32" t="n">
        <v>5.2</v>
      </c>
      <c r="E32" t="n">
        <v>4.9</v>
      </c>
      <c r="F32" t="n">
        <v>4.4</v>
      </c>
      <c r="G32">
        <f>IF(B32=0,"",(C32-B32)/ABS(B32))</f>
        <v/>
      </c>
      <c r="H32">
        <f>IF(C32=0,"",(D32-C32)/ABS(C32))</f>
        <v/>
      </c>
      <c r="I32">
        <f>IF(D32=0,"",(E32-D32)/ABS(D32))</f>
        <v/>
      </c>
      <c r="J32">
        <f>IF(E32=0,"",(F32-E32)/ABS(E32))</f>
        <v/>
      </c>
    </row>
    <row r="33">
      <c r="A33" t="inlineStr">
        <is>
          <t>Dividende net par action</t>
        </is>
      </c>
      <c r="B33" t="n">
        <v>330</v>
      </c>
      <c r="C33" t="n">
        <v>380</v>
      </c>
      <c r="D33" t="n">
        <v>420</v>
      </c>
      <c r="E33" t="n">
        <v>460</v>
      </c>
      <c r="F33" t="n">
        <v>500</v>
      </c>
      <c r="G33">
        <f>IF(B33=0,"",(C33-B33)/ABS(B33))</f>
        <v/>
      </c>
      <c r="H33">
        <f>IF(C33=0,"",(D33-C33)/ABS(C33))</f>
        <v/>
      </c>
      <c r="I33">
        <f>IF(D33=0,"",(E33-D33)/ABS(D33))</f>
        <v/>
      </c>
      <c r="J33">
        <f>IF(E33=0,"",(F33-E33)/ABS(E33))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BANQUE DEMO SENEGAL (DBQS) - Etats financiers (en FCFA)</t>
        </is>
      </c>
    </row>
    <row r="2">
      <c r="A2" t="inlineStr">
        <is>
          <t>Données fictives de démonstration</t>
        </is>
      </c>
    </row>
    <row r="4">
      <c r="A4" s="2" t="inlineStr">
        <is>
          <t>Poste</t>
        </is>
      </c>
      <c r="B4" s="2" t="n">
        <v>2021</v>
      </c>
      <c r="C4" s="2" t="n">
        <v>2022</v>
      </c>
      <c r="D4" s="2" t="n">
        <v>2023</v>
      </c>
      <c r="E4" s="2" t="n">
        <v>2024</v>
      </c>
      <c r="F4" s="2" t="n">
        <v>2025</v>
      </c>
      <c r="G4" s="2" t="inlineStr">
        <is>
          <t>Var 21/22</t>
        </is>
      </c>
      <c r="H4" s="2" t="inlineStr">
        <is>
          <t>Var 22/23</t>
        </is>
      </c>
      <c r="I4" s="2" t="inlineStr">
        <is>
          <t>Var 23/24</t>
        </is>
      </c>
      <c r="J4" s="2" t="inlineStr">
        <is>
          <t>Var 24/25</t>
        </is>
      </c>
    </row>
    <row r="5">
      <c r="A5" s="3" t="inlineStr">
        <is>
          <t>COMPTE DE RÉSULTAT</t>
        </is>
      </c>
    </row>
    <row r="6">
      <c r="A6" t="inlineStr">
        <is>
          <t>PRODUIT NET BANCAIRE</t>
        </is>
      </c>
      <c r="B6" t="n">
        <v>41500000000</v>
      </c>
      <c r="C6" t="n">
        <v>43990000000</v>
      </c>
      <c r="D6" t="n">
        <v>46189500000</v>
      </c>
      <c r="E6" t="n">
        <v>49422765000</v>
      </c>
      <c r="F6" t="n">
        <v>51399675600</v>
      </c>
      <c r="G6">
        <f>IF(B6=0,"",(C6-B6)/ABS(B6))</f>
        <v/>
      </c>
      <c r="H6">
        <f>IF(C6=0,"",(D6-C6)/ABS(C6))</f>
        <v/>
      </c>
      <c r="I6">
        <f>IF(D6=0,"",(E6-D6)/ABS(D6))</f>
        <v/>
      </c>
      <c r="J6">
        <f>IF(E6=0,"",(F6-E6)/ABS(E6))</f>
        <v/>
      </c>
    </row>
    <row r="7">
      <c r="A7" t="inlineStr">
        <is>
          <t>Charges générales d'exploitation</t>
        </is>
      </c>
      <c r="B7" t="n">
        <v>-22825000000</v>
      </c>
      <c r="C7" t="n">
        <v>-24194500000</v>
      </c>
      <c r="D7" t="n">
        <v>-25404225000</v>
      </c>
      <c r="E7" t="n">
        <v>-27182520750</v>
      </c>
      <c r="F7" t="n">
        <v>-28269821580</v>
      </c>
      <c r="G7">
        <f>IF(B7=0,"",(C7-B7)/ABS(B7))</f>
        <v/>
      </c>
      <c r="H7">
        <f>IF(C7=0,"",(D7-C7)/ABS(C7))</f>
        <v/>
      </c>
      <c r="I7">
        <f>IF(D7=0,"",(E7-D7)/ABS(D7))</f>
        <v/>
      </c>
      <c r="J7">
        <f>IF(E7=0,"",(F7-E7)/ABS(E7))</f>
        <v/>
      </c>
    </row>
    <row r="8">
      <c r="A8" t="inlineStr">
        <is>
          <t>Dotations aux amortissements &amp; dépréciations</t>
        </is>
      </c>
      <c r="B8" t="n">
        <v>-2490000000</v>
      </c>
      <c r="C8" t="n">
        <v>-2639400000</v>
      </c>
      <c r="D8" t="n">
        <v>-2771370000</v>
      </c>
      <c r="E8" t="n">
        <v>-2965365900</v>
      </c>
      <c r="F8" t="n">
        <v>-3083980536</v>
      </c>
      <c r="G8">
        <f>IF(B8=0,"",(C8-B8)/ABS(B8))</f>
        <v/>
      </c>
      <c r="H8">
        <f>IF(C8=0,"",(D8-C8)/ABS(C8))</f>
        <v/>
      </c>
      <c r="I8">
        <f>IF(D8=0,"",(E8-D8)/ABS(D8))</f>
        <v/>
      </c>
      <c r="J8">
        <f>IF(E8=0,"",(F8-E8)/ABS(E8))</f>
        <v/>
      </c>
    </row>
    <row r="9">
      <c r="A9" t="inlineStr">
        <is>
          <t>RÉSULTAT BRUT D'EXPLOITATION</t>
        </is>
      </c>
      <c r="B9" t="n">
        <v>16185000000</v>
      </c>
      <c r="C9" t="n">
        <v>17156100000</v>
      </c>
      <c r="D9" t="n">
        <v>18013905000</v>
      </c>
      <c r="E9" t="n">
        <v>19274878350</v>
      </c>
      <c r="F9" t="n">
        <v>20045873484</v>
      </c>
      <c r="G9">
        <f>IF(B9=0,"",(C9-B9)/ABS(B9))</f>
        <v/>
      </c>
      <c r="H9">
        <f>IF(C9=0,"",(D9-C9)/ABS(C9))</f>
        <v/>
      </c>
      <c r="I9">
        <f>IF(D9=0,"",(E9-D9)/ABS(D9))</f>
        <v/>
      </c>
      <c r="J9">
        <f>IF(E9=0,"",(F9-E9)/ABS(E9))</f>
        <v/>
      </c>
    </row>
    <row r="10">
      <c r="A10" t="inlineStr">
        <is>
          <t>Coût net du risque</t>
        </is>
      </c>
      <c r="B10" t="n">
        <v>-7470000000</v>
      </c>
      <c r="C10" t="n">
        <v>-9677800000</v>
      </c>
      <c r="D10" t="n">
        <v>-9237900000</v>
      </c>
      <c r="E10" t="n">
        <v>-12355691250</v>
      </c>
      <c r="F10" t="n">
        <v>-10793931876</v>
      </c>
      <c r="G10">
        <f>IF(B10=0,"",(C10-B10)/ABS(B10))</f>
        <v/>
      </c>
      <c r="H10">
        <f>IF(C10=0,"",(D10-C10)/ABS(C10))</f>
        <v/>
      </c>
      <c r="I10">
        <f>IF(D10=0,"",(E10-D10)/ABS(D10))</f>
        <v/>
      </c>
      <c r="J10">
        <f>IF(E10=0,"",(F10-E10)/ABS(E10))</f>
        <v/>
      </c>
    </row>
    <row r="11">
      <c r="A11" t="inlineStr">
        <is>
          <t>RÉSULTAT NET</t>
        </is>
      </c>
      <c r="B11" t="n">
        <v>6972000000</v>
      </c>
      <c r="C11" t="n">
        <v>5982639999.999997</v>
      </c>
      <c r="D11" t="n">
        <v>7020803999.999997</v>
      </c>
      <c r="E11" t="n">
        <v>5535349679.999997</v>
      </c>
      <c r="F11" t="n">
        <v>7401553286.399998</v>
      </c>
      <c r="G11">
        <f>IF(B11=0,"",(C11-B11)/ABS(B11))</f>
        <v/>
      </c>
      <c r="H11">
        <f>IF(C11=0,"",(D11-C11)/ABS(C11))</f>
        <v/>
      </c>
      <c r="I11">
        <f>IF(D11=0,"",(E11-D11)/ABS(D11))</f>
        <v/>
      </c>
      <c r="J11">
        <f>IF(E11=0,"",(F11-E11)/ABS(E11))</f>
        <v/>
      </c>
    </row>
    <row r="12">
      <c r="A12" s="3" t="inlineStr">
        <is>
          <t>BILAN</t>
        </is>
      </c>
    </row>
    <row r="13">
      <c r="A13" t="inlineStr">
        <is>
          <t>Créances sur la clientèle</t>
        </is>
      </c>
      <c r="B13" t="n">
        <v>508400000000</v>
      </c>
      <c r="C13" t="n">
        <v>533820000000</v>
      </c>
      <c r="D13" t="n">
        <v>555172800000</v>
      </c>
      <c r="E13" t="n">
        <v>588483168000</v>
      </c>
      <c r="F13" t="n">
        <v>606137663040</v>
      </c>
      <c r="G13">
        <f>IF(B13=0,"",(C13-B13)/ABS(B13))</f>
        <v/>
      </c>
      <c r="H13">
        <f>IF(C13=0,"",(D13-C13)/ABS(C13))</f>
        <v/>
      </c>
      <c r="I13">
        <f>IF(D13=0,"",(E13-D13)/ABS(D13))</f>
        <v/>
      </c>
      <c r="J13">
        <f>IF(E13=0,"",(F13-E13)/ABS(E13))</f>
        <v/>
      </c>
    </row>
    <row r="14">
      <c r="A14" t="inlineStr">
        <is>
          <t>Dettes à l'égard de la clientèle</t>
        </is>
      </c>
      <c r="B14" t="n">
        <v>647800000000</v>
      </c>
      <c r="C14" t="n">
        <v>680190000000</v>
      </c>
      <c r="D14" t="n">
        <v>707397600000</v>
      </c>
      <c r="E14" t="n">
        <v>749841456000</v>
      </c>
      <c r="F14" t="n">
        <v>772336699680</v>
      </c>
      <c r="G14">
        <f>IF(B14=0,"",(C14-B14)/ABS(B14))</f>
        <v/>
      </c>
      <c r="H14">
        <f>IF(C14=0,"",(D14-C14)/ABS(C14))</f>
        <v/>
      </c>
      <c r="I14">
        <f>IF(D14=0,"",(E14-D14)/ABS(D14))</f>
        <v/>
      </c>
      <c r="J14">
        <f>IF(E14=0,"",(F14-E14)/ABS(E14))</f>
        <v/>
      </c>
    </row>
    <row r="15">
      <c r="A15" t="inlineStr">
        <is>
          <t>Capitaux propres et ressources assimilées</t>
        </is>
      </c>
      <c r="B15" t="n">
        <v>78000000000</v>
      </c>
      <c r="C15" t="n">
        <v>81900000000</v>
      </c>
      <c r="D15" t="n">
        <v>85995000000</v>
      </c>
      <c r="E15" t="n">
        <v>91154700000</v>
      </c>
      <c r="F15" t="n">
        <v>95712435000</v>
      </c>
      <c r="G15">
        <f>IF(B15=0,"",(C15-B15)/ABS(B15))</f>
        <v/>
      </c>
      <c r="H15">
        <f>IF(C15=0,"",(D15-C15)/ABS(C15))</f>
        <v/>
      </c>
      <c r="I15">
        <f>IF(D15=0,"",(E15-D15)/ABS(D15))</f>
        <v/>
      </c>
      <c r="J15">
        <f>IF(E15=0,"",(F15-E15)/ABS(E15))</f>
        <v/>
      </c>
    </row>
    <row r="16">
      <c r="A16" t="inlineStr">
        <is>
          <t>TOTAL ACTIF</t>
        </is>
      </c>
      <c r="B16" t="n">
        <v>820000000000</v>
      </c>
      <c r="C16" t="n">
        <v>861000000000</v>
      </c>
      <c r="D16" t="n">
        <v>895440000000</v>
      </c>
      <c r="E16" t="n">
        <v>949166400000</v>
      </c>
      <c r="F16" t="n">
        <v>977641392000</v>
      </c>
      <c r="G16">
        <f>IF(B16=0,"",(C16-B16)/ABS(B16))</f>
        <v/>
      </c>
      <c r="H16">
        <f>IF(C16=0,"",(D16-C16)/ABS(C16))</f>
        <v/>
      </c>
      <c r="I16">
        <f>IF(D16=0,"",(E16-D16)/ABS(D16))</f>
        <v/>
      </c>
      <c r="J16">
        <f>IF(E16=0,"",(F16-E16)/ABS(E16))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AGRO DEMO COTE D'IVOIRE (DAGC) - Etats financiers (en millions FCFA)</t>
        </is>
      </c>
    </row>
    <row r="2">
      <c r="A2" t="inlineStr">
        <is>
          <t>Données fictives de démonstration</t>
        </is>
      </c>
    </row>
    <row r="4">
      <c r="A4" s="2" t="inlineStr">
        <is>
          <t>Poste</t>
        </is>
      </c>
      <c r="B4" s="2" t="n">
        <v>2021</v>
      </c>
      <c r="C4" s="2" t="n">
        <v>2022</v>
      </c>
      <c r="D4" s="2" t="n">
        <v>2023</v>
      </c>
      <c r="E4" s="2" t="n">
        <v>2024</v>
      </c>
      <c r="F4" s="2" t="n">
        <v>2025</v>
      </c>
      <c r="G4" s="2" t="inlineStr">
        <is>
          <t>Var 21/22</t>
        </is>
      </c>
      <c r="H4" s="2" t="inlineStr">
        <is>
          <t>Var 22/23</t>
        </is>
      </c>
      <c r="I4" s="2" t="inlineStr">
        <is>
          <t>Var 23/24</t>
        </is>
      </c>
      <c r="J4" s="2" t="inlineStr">
        <is>
          <t>Var 24/25</t>
        </is>
      </c>
    </row>
    <row r="5">
      <c r="A5" s="3" t="inlineStr">
        <is>
          <t>COMPTE DE RÉSULTAT</t>
        </is>
      </c>
    </row>
    <row r="6">
      <c r="A6" t="inlineStr">
        <is>
          <t>TA - Ventes de marchandises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>
        <f>IF(B6=0,"",(C6-B6)/ABS(B6))</f>
        <v/>
      </c>
      <c r="H6">
        <f>IF(C6=0,"",(D6-C6)/ABS(C6))</f>
        <v/>
      </c>
      <c r="I6">
        <f>IF(D6=0,"",(E6-D6)/ABS(D6))</f>
        <v/>
      </c>
      <c r="J6">
        <f>IF(E6=0,"",(F6-E6)/ABS(E6))</f>
        <v/>
      </c>
    </row>
    <row r="7">
      <c r="A7" t="inlineStr">
        <is>
          <t>XB - Chiffre d'affaires (A + B + C)</t>
        </is>
      </c>
      <c r="B7" t="n">
        <v>182000</v>
      </c>
      <c r="C7" t="n">
        <v>194740</v>
      </c>
      <c r="D7" t="n">
        <v>186950.4</v>
      </c>
      <c r="E7" t="n">
        <v>209384.4</v>
      </c>
      <c r="F7" t="n">
        <v>221947.5</v>
      </c>
      <c r="G7">
        <f>IF(B7=0,"",(C7-B7)/ABS(B7))</f>
        <v/>
      </c>
      <c r="H7">
        <f>IF(C7=0,"",(D7-C7)/ABS(C7))</f>
        <v/>
      </c>
      <c r="I7">
        <f>IF(D7=0,"",(E7-D7)/ABS(D7))</f>
        <v/>
      </c>
      <c r="J7">
        <f>IF(E7=0,"",(F7-E7)/ABS(E7))</f>
        <v/>
      </c>
    </row>
    <row r="8">
      <c r="A8" t="inlineStr">
        <is>
          <t>XC - VALEUR AJOUTÉE</t>
        </is>
      </c>
      <c r="B8" t="n">
        <v>56420</v>
      </c>
      <c r="C8" t="n">
        <v>56475</v>
      </c>
      <c r="D8" t="n">
        <v>61694</v>
      </c>
      <c r="E8" t="n">
        <v>71191</v>
      </c>
      <c r="F8" t="n">
        <v>77682</v>
      </c>
      <c r="G8">
        <f>IF(B8=0,"",(C8-B8)/ABS(B8))</f>
        <v/>
      </c>
      <c r="H8">
        <f>IF(C8=0,"",(D8-C8)/ABS(C8))</f>
        <v/>
      </c>
      <c r="I8">
        <f>IF(D8=0,"",(E8-D8)/ABS(D8))</f>
        <v/>
      </c>
      <c r="J8">
        <f>IF(E8=0,"",(F8-E8)/ABS(E8))</f>
        <v/>
      </c>
    </row>
    <row r="9">
      <c r="A9" t="inlineStr">
        <is>
          <t>RK - Charges de personnel</t>
        </is>
      </c>
      <c r="B9" t="n">
        <v>-20020</v>
      </c>
      <c r="C9" t="n">
        <v>-21421</v>
      </c>
      <c r="D9" t="n">
        <v>-20565</v>
      </c>
      <c r="E9" t="n">
        <v>-23032</v>
      </c>
      <c r="F9" t="n">
        <v>-24414</v>
      </c>
      <c r="G9">
        <f>IF(B9=0,"",(C9-B9)/ABS(B9))</f>
        <v/>
      </c>
      <c r="H9">
        <f>IF(C9=0,"",(D9-C9)/ABS(C9))</f>
        <v/>
      </c>
      <c r="I9">
        <f>IF(D9=0,"",(E9-D9)/ABS(D9))</f>
        <v/>
      </c>
      <c r="J9">
        <f>IF(E9=0,"",(F9-E9)/ABS(E9))</f>
        <v/>
      </c>
    </row>
    <row r="10">
      <c r="A10" t="inlineStr">
        <is>
          <t>XD - EXCÉDENT BRUT D'EXPLOITATION</t>
        </is>
      </c>
      <c r="B10" t="n">
        <v>36400</v>
      </c>
      <c r="C10" t="n">
        <v>35054</v>
      </c>
      <c r="D10" t="n">
        <v>41129</v>
      </c>
      <c r="E10" t="n">
        <v>48159</v>
      </c>
      <c r="F10" t="n">
        <v>53268</v>
      </c>
      <c r="G10">
        <f>IF(B10=0,"",(C10-B10)/ABS(B10))</f>
        <v/>
      </c>
      <c r="H10">
        <f>IF(C10=0,"",(D10-C10)/ABS(C10))</f>
        <v/>
      </c>
      <c r="I10">
        <f>IF(D10=0,"",(E10-D10)/ABS(D10))</f>
        <v/>
      </c>
      <c r="J10">
        <f>IF(E10=0,"",(F10-E10)/ABS(E10))</f>
        <v/>
      </c>
    </row>
    <row r="11">
      <c r="A11" t="inlineStr">
        <is>
          <t>RL - Dotations aux amortissements, aux provisions et dépréciations</t>
        </is>
      </c>
      <c r="B11" t="n">
        <v>-9100</v>
      </c>
      <c r="C11" t="n">
        <v>-9737</v>
      </c>
      <c r="D11" t="n">
        <v>-9348</v>
      </c>
      <c r="E11" t="n">
        <v>-10469</v>
      </c>
      <c r="F11" t="n">
        <v>-11097</v>
      </c>
      <c r="G11">
        <f>IF(B11=0,"",(C11-B11)/ABS(B11))</f>
        <v/>
      </c>
      <c r="H11">
        <f>IF(C11=0,"",(D11-C11)/ABS(C11))</f>
        <v/>
      </c>
      <c r="I11">
        <f>IF(D11=0,"",(E11-D11)/ABS(D11))</f>
        <v/>
      </c>
      <c r="J11">
        <f>IF(E11=0,"",(F11-E11)/ABS(E11))</f>
        <v/>
      </c>
    </row>
    <row r="12">
      <c r="A12" t="inlineStr">
        <is>
          <t>XE - RÉSULTAT D'EXPLOITATION</t>
        </is>
      </c>
      <c r="B12" t="n">
        <v>27300</v>
      </c>
      <c r="C12" t="n">
        <v>25317</v>
      </c>
      <c r="D12" t="n">
        <v>31781</v>
      </c>
      <c r="E12" t="n">
        <v>37690</v>
      </c>
      <c r="F12" t="n">
        <v>42171</v>
      </c>
      <c r="G12">
        <f>IF(B12=0,"",(C12-B12)/ABS(B12))</f>
        <v/>
      </c>
      <c r="H12">
        <f>IF(C12=0,"",(D12-C12)/ABS(C12))</f>
        <v/>
      </c>
      <c r="I12">
        <f>IF(D12=0,"",(E12-D12)/ABS(D12))</f>
        <v/>
      </c>
      <c r="J12">
        <f>IF(E12=0,"",(F12-E12)/ABS(E12))</f>
        <v/>
      </c>
    </row>
    <row r="13">
      <c r="A13" t="inlineStr">
        <is>
          <t>RM - Frais financiers et charges assimilées</t>
        </is>
      </c>
      <c r="B13" t="n">
        <v>-2500</v>
      </c>
      <c r="C13" t="n">
        <v>-2600</v>
      </c>
      <c r="D13" t="n">
        <v>-2100</v>
      </c>
      <c r="E13" t="n">
        <v>-1800</v>
      </c>
      <c r="F13" t="n">
        <v>-1500</v>
      </c>
      <c r="G13">
        <f>IF(B13=0,"",(C13-B13)/ABS(B13))</f>
        <v/>
      </c>
      <c r="H13">
        <f>IF(C13=0,"",(D13-C13)/ABS(C13))</f>
        <v/>
      </c>
      <c r="I13">
        <f>IF(D13=0,"",(E13-D13)/ABS(D13))</f>
        <v/>
      </c>
      <c r="J13">
        <f>IF(E13=0,"",(F13-E13)/ABS(E13))</f>
        <v/>
      </c>
    </row>
    <row r="14">
      <c r="A14" t="inlineStr">
        <is>
          <t>XF - RÉSULTAT FINANCIER</t>
        </is>
      </c>
      <c r="B14" t="n">
        <v>-1900</v>
      </c>
      <c r="C14" t="n">
        <v>-2100</v>
      </c>
      <c r="D14" t="n">
        <v>-1600</v>
      </c>
      <c r="E14" t="n">
        <v>-1200</v>
      </c>
      <c r="F14" t="n">
        <v>-900</v>
      </c>
      <c r="G14">
        <f>IF(B14=0,"",(C14-B14)/ABS(B14))</f>
        <v/>
      </c>
      <c r="H14">
        <f>IF(C14=0,"",(D14-C14)/ABS(C14))</f>
        <v/>
      </c>
      <c r="I14">
        <f>IF(D14=0,"",(E14-D14)/ABS(D14))</f>
        <v/>
      </c>
      <c r="J14">
        <f>IF(E14=0,"",(F14-E14)/ABS(E14))</f>
        <v/>
      </c>
    </row>
    <row r="15">
      <c r="A15" t="inlineStr">
        <is>
          <t>XG - RÉSULTAT DES ACTIVITÉS ORDINAIRES</t>
        </is>
      </c>
      <c r="B15" t="n">
        <v>25400</v>
      </c>
      <c r="C15" t="n">
        <v>23217</v>
      </c>
      <c r="D15" t="n">
        <v>30181</v>
      </c>
      <c r="E15" t="n">
        <v>36490</v>
      </c>
      <c r="F15" t="n">
        <v>41271</v>
      </c>
      <c r="G15">
        <f>IF(B15=0,"",(C15-B15)/ABS(B15))</f>
        <v/>
      </c>
      <c r="H15">
        <f>IF(C15=0,"",(D15-C15)/ABS(C15))</f>
        <v/>
      </c>
      <c r="I15">
        <f>IF(D15=0,"",(E15-D15)/ABS(D15))</f>
        <v/>
      </c>
      <c r="J15">
        <f>IF(E15=0,"",(F15-E15)/ABS(E15))</f>
        <v/>
      </c>
    </row>
    <row r="16">
      <c r="A16" t="inlineStr">
        <is>
          <t>XH - RÉSULTAT HORS ACTIVITÉS ORDINAIRES</t>
        </is>
      </c>
      <c r="B16" t="n">
        <v>300</v>
      </c>
      <c r="C16" t="n">
        <v>-150</v>
      </c>
      <c r="D16" t="n">
        <v>220</v>
      </c>
      <c r="E16" t="n">
        <v>90</v>
      </c>
      <c r="F16" t="n">
        <v>400</v>
      </c>
      <c r="G16">
        <f>IF(B16=0,"",(C16-B16)/ABS(B16))</f>
        <v/>
      </c>
      <c r="H16">
        <f>IF(C16=0,"",(D16-C16)/ABS(C16))</f>
        <v/>
      </c>
      <c r="I16">
        <f>IF(D16=0,"",(E16-D16)/ABS(D16))</f>
        <v/>
      </c>
      <c r="J16">
        <f>IF(E16=0,"",(F16-E16)/ABS(E16))</f>
        <v/>
      </c>
    </row>
    <row r="17">
      <c r="A17" t="inlineStr">
        <is>
          <t>RS - Impôts sur le résultat</t>
        </is>
      </c>
      <c r="B17" t="n">
        <v>-6425</v>
      </c>
      <c r="C17" t="n">
        <v>-5767</v>
      </c>
      <c r="D17" t="n">
        <v>-7600</v>
      </c>
      <c r="E17" t="n">
        <v>-9145</v>
      </c>
      <c r="F17" t="n">
        <v>-10418</v>
      </c>
      <c r="G17">
        <f>IF(B17=0,"",(C17-B17)/ABS(B17))</f>
        <v/>
      </c>
      <c r="H17">
        <f>IF(C17=0,"",(D17-C17)/ABS(C17))</f>
        <v/>
      </c>
      <c r="I17">
        <f>IF(D17=0,"",(E17-D17)/ABS(D17))</f>
        <v/>
      </c>
      <c r="J17">
        <f>IF(E17=0,"",(F17-E17)/ABS(E17))</f>
        <v/>
      </c>
    </row>
    <row r="18">
      <c r="A18" t="inlineStr">
        <is>
          <t>XI - RÉSULTAT NET</t>
        </is>
      </c>
      <c r="B18" t="n">
        <v>19275</v>
      </c>
      <c r="C18" t="n">
        <v>17300</v>
      </c>
      <c r="D18" t="n">
        <v>22801</v>
      </c>
      <c r="E18" t="n">
        <v>27435</v>
      </c>
      <c r="F18" t="n">
        <v>31253</v>
      </c>
      <c r="G18">
        <f>IF(B18=0,"",(C18-B18)/ABS(B18))</f>
        <v/>
      </c>
      <c r="H18">
        <f>IF(C18=0,"",(D18-C18)/ABS(C18))</f>
        <v/>
      </c>
      <c r="I18">
        <f>IF(D18=0,"",(E18-D18)/ABS(D18))</f>
        <v/>
      </c>
      <c r="J18">
        <f>IF(E18=0,"",(F18-E18)/ABS(E18))</f>
        <v/>
      </c>
    </row>
    <row r="19">
      <c r="A19" s="3" t="inlineStr">
        <is>
          <t>BILAN</t>
        </is>
      </c>
    </row>
    <row r="20">
      <c r="A20" s="3" t="inlineStr">
        <is>
          <t>ACTIF</t>
        </is>
      </c>
    </row>
    <row r="21">
      <c r="A21" t="inlineStr">
        <is>
          <t>ACTIF IMMOBILISÉ</t>
        </is>
      </c>
      <c r="B21" t="n">
        <v>115500</v>
      </c>
      <c r="C21" t="n">
        <v>120120</v>
      </c>
      <c r="D21" t="n">
        <v>122522</v>
      </c>
      <c r="E21" t="n">
        <v>129874</v>
      </c>
      <c r="F21" t="n">
        <v>136367</v>
      </c>
      <c r="G21">
        <f>IF(B21=0,"",(C21-B21)/ABS(B21))</f>
        <v/>
      </c>
      <c r="H21">
        <f>IF(C21=0,"",(D21-C21)/ABS(C21))</f>
        <v/>
      </c>
      <c r="I21">
        <f>IF(D21=0,"",(E21-D21)/ABS(D21))</f>
        <v/>
      </c>
      <c r="J21">
        <f>IF(E21=0,"",(F21-E21)/ABS(E21))</f>
        <v/>
      </c>
    </row>
    <row r="22">
      <c r="A22" t="inlineStr">
        <is>
          <t>Stocks</t>
        </is>
      </c>
      <c r="B22" t="n">
        <v>21840</v>
      </c>
      <c r="C22" t="n">
        <v>23369</v>
      </c>
      <c r="D22" t="n">
        <v>22434</v>
      </c>
      <c r="E22" t="n">
        <v>25126</v>
      </c>
      <c r="F22" t="n">
        <v>26634</v>
      </c>
      <c r="G22">
        <f>IF(B22=0,"",(C22-B22)/ABS(B22))</f>
        <v/>
      </c>
      <c r="H22">
        <f>IF(C22=0,"",(D22-C22)/ABS(C22))</f>
        <v/>
      </c>
      <c r="I22">
        <f>IF(D22=0,"",(E22-D22)/ABS(D22))</f>
        <v/>
      </c>
      <c r="J22">
        <f>IF(E22=0,"",(F22-E22)/ABS(E22))</f>
        <v/>
      </c>
    </row>
    <row r="23">
      <c r="A23" t="inlineStr">
        <is>
          <t>Clients</t>
        </is>
      </c>
      <c r="B23" t="n">
        <v>18200</v>
      </c>
      <c r="C23" t="n">
        <v>19474</v>
      </c>
      <c r="D23" t="n">
        <v>18695</v>
      </c>
      <c r="E23" t="n">
        <v>20938</v>
      </c>
      <c r="F23" t="n">
        <v>22195</v>
      </c>
      <c r="G23">
        <f>IF(B23=0,"",(C23-B23)/ABS(B23))</f>
        <v/>
      </c>
      <c r="H23">
        <f>IF(C23=0,"",(D23-C23)/ABS(C23))</f>
        <v/>
      </c>
      <c r="I23">
        <f>IF(D23=0,"",(E23-D23)/ABS(D23))</f>
        <v/>
      </c>
      <c r="J23">
        <f>IF(E23=0,"",(F23-E23)/ABS(E23))</f>
        <v/>
      </c>
    </row>
    <row r="24">
      <c r="A24" t="inlineStr">
        <is>
          <t>ACTIF CIRCULANT</t>
        </is>
      </c>
      <c r="B24" t="n">
        <v>79800</v>
      </c>
      <c r="C24" t="n">
        <v>82992</v>
      </c>
      <c r="D24" t="n">
        <v>84652</v>
      </c>
      <c r="E24" t="n">
        <v>89731</v>
      </c>
      <c r="F24" t="n">
        <v>94218</v>
      </c>
      <c r="G24">
        <f>IF(B24=0,"",(C24-B24)/ABS(B24))</f>
        <v/>
      </c>
      <c r="H24">
        <f>IF(C24=0,"",(D24-C24)/ABS(C24))</f>
        <v/>
      </c>
      <c r="I24">
        <f>IF(D24=0,"",(E24-D24)/ABS(D24))</f>
        <v/>
      </c>
      <c r="J24">
        <f>IF(E24=0,"",(F24-E24)/ABS(E24))</f>
        <v/>
      </c>
    </row>
    <row r="25">
      <c r="A25" t="inlineStr">
        <is>
          <t>TRÉSORERIE-ACTIF</t>
        </is>
      </c>
      <c r="B25" t="n">
        <v>14700</v>
      </c>
      <c r="C25" t="n">
        <v>15288</v>
      </c>
      <c r="D25" t="n">
        <v>15594</v>
      </c>
      <c r="E25" t="n">
        <v>16529</v>
      </c>
      <c r="F25" t="n">
        <v>17356</v>
      </c>
      <c r="G25">
        <f>IF(B25=0,"",(C25-B25)/ABS(B25))</f>
        <v/>
      </c>
      <c r="H25">
        <f>IF(C25=0,"",(D25-C25)/ABS(C25))</f>
        <v/>
      </c>
      <c r="I25">
        <f>IF(D25=0,"",(E25-D25)/ABS(D25))</f>
        <v/>
      </c>
      <c r="J25">
        <f>IF(E25=0,"",(F25-E25)/ABS(E25))</f>
        <v/>
      </c>
    </row>
    <row r="26">
      <c r="A26" t="inlineStr">
        <is>
          <t>TOTAL ACTIF</t>
        </is>
      </c>
      <c r="B26" t="n">
        <v>210000</v>
      </c>
      <c r="C26" t="n">
        <v>218400</v>
      </c>
      <c r="D26" t="n">
        <v>222768</v>
      </c>
      <c r="E26" t="n">
        <v>236134.1</v>
      </c>
      <c r="F26" t="n">
        <v>247940.8</v>
      </c>
      <c r="G26">
        <f>IF(B26=0,"",(C26-B26)/ABS(B26))</f>
        <v/>
      </c>
      <c r="H26">
        <f>IF(C26=0,"",(D26-C26)/ABS(C26))</f>
        <v/>
      </c>
      <c r="I26">
        <f>IF(D26=0,"",(E26-D26)/ABS(D26))</f>
        <v/>
      </c>
      <c r="J26">
        <f>IF(E26=0,"",(F26-E26)/ABS(E26))</f>
        <v/>
      </c>
    </row>
    <row r="27">
      <c r="A27" s="3" t="inlineStr">
        <is>
          <t>PASSIF</t>
        </is>
      </c>
    </row>
    <row r="28">
      <c r="A28" t="inlineStr">
        <is>
          <t>Capital</t>
        </is>
      </c>
      <c r="B28" t="n">
        <v>40000</v>
      </c>
      <c r="C28" t="n">
        <v>40000</v>
      </c>
      <c r="D28" t="n">
        <v>40000</v>
      </c>
      <c r="E28" t="n">
        <v>40000</v>
      </c>
      <c r="F28" t="n">
        <v>40000</v>
      </c>
      <c r="G28">
        <f>IF(B28=0,"",(C28-B28)/ABS(B28))</f>
        <v/>
      </c>
      <c r="H28">
        <f>IF(C28=0,"",(D28-C28)/ABS(C28))</f>
        <v/>
      </c>
      <c r="I28">
        <f>IF(D28=0,"",(E28-D28)/ABS(D28))</f>
        <v/>
      </c>
      <c r="J28">
        <f>IF(E28=0,"",(F28-E28)/ABS(E28))</f>
        <v/>
      </c>
    </row>
    <row r="29">
      <c r="A29" t="inlineStr">
        <is>
          <t>Réserves</t>
        </is>
      </c>
      <c r="B29" t="n">
        <v>47200</v>
      </c>
      <c r="C29" t="n">
        <v>50032</v>
      </c>
      <c r="D29" t="n">
        <v>51533</v>
      </c>
      <c r="E29" t="n">
        <v>55656</v>
      </c>
      <c r="F29" t="n">
        <v>59551</v>
      </c>
      <c r="G29">
        <f>IF(B29=0,"",(C29-B29)/ABS(B29))</f>
        <v/>
      </c>
      <c r="H29">
        <f>IF(C29=0,"",(D29-C29)/ABS(C29))</f>
        <v/>
      </c>
      <c r="I29">
        <f>IF(D29=0,"",(E29-D29)/ABS(D29))</f>
        <v/>
      </c>
      <c r="J29">
        <f>IF(E29=0,"",(F29-E29)/ABS(E29))</f>
        <v/>
      </c>
    </row>
    <row r="30">
      <c r="A30" t="inlineStr">
        <is>
          <t>CAPITAUX PROPRES</t>
        </is>
      </c>
      <c r="B30" t="n">
        <v>118000</v>
      </c>
      <c r="C30" t="n">
        <v>125080</v>
      </c>
      <c r="D30" t="n">
        <v>128832.4</v>
      </c>
      <c r="E30" t="n">
        <v>139139</v>
      </c>
      <c r="F30" t="n">
        <v>148878.7</v>
      </c>
      <c r="G30">
        <f>IF(B30=0,"",(C30-B30)/ABS(B30))</f>
        <v/>
      </c>
      <c r="H30">
        <f>IF(C30=0,"",(D30-C30)/ABS(C30))</f>
        <v/>
      </c>
      <c r="I30">
        <f>IF(D30=0,"",(E30-D30)/ABS(D30))</f>
        <v/>
      </c>
      <c r="J30">
        <f>IF(E30=0,"",(F30-E30)/ABS(E30))</f>
        <v/>
      </c>
    </row>
    <row r="31">
      <c r="A31" t="inlineStr">
        <is>
          <t>DETTES FINANCIÈRES</t>
        </is>
      </c>
      <c r="B31" t="n">
        <v>32000</v>
      </c>
      <c r="C31" t="n">
        <v>30000</v>
      </c>
      <c r="D31" t="n">
        <v>27000</v>
      </c>
      <c r="E31" t="n">
        <v>22000</v>
      </c>
      <c r="F31" t="n">
        <v>18000</v>
      </c>
      <c r="G31">
        <f>IF(B31=0,"",(C31-B31)/ABS(B31))</f>
        <v/>
      </c>
      <c r="H31">
        <f>IF(C31=0,"",(D31-C31)/ABS(C31))</f>
        <v/>
      </c>
      <c r="I31">
        <f>IF(D31=0,"",(E31-D31)/ABS(D31))</f>
        <v/>
      </c>
      <c r="J31">
        <f>IF(E31=0,"",(F31-E31)/ABS(E31))</f>
        <v/>
      </c>
    </row>
    <row r="32">
      <c r="A32" t="inlineStr">
        <is>
          <t>Fournisseurs</t>
        </is>
      </c>
      <c r="B32" t="n">
        <v>16380</v>
      </c>
      <c r="C32" t="n">
        <v>17527</v>
      </c>
      <c r="D32" t="n">
        <v>16826</v>
      </c>
      <c r="E32" t="n">
        <v>18845</v>
      </c>
      <c r="F32" t="n">
        <v>19975</v>
      </c>
      <c r="G32">
        <f>IF(B32=0,"",(C32-B32)/ABS(B32))</f>
        <v/>
      </c>
      <c r="H32">
        <f>IF(C32=0,"",(D32-C32)/ABS(C32))</f>
        <v/>
      </c>
      <c r="I32">
        <f>IF(D32=0,"",(E32-D32)/ABS(D32))</f>
        <v/>
      </c>
      <c r="J32">
        <f>IF(E32=0,"",(F32-E32)/ABS(E32))</f>
        <v/>
      </c>
    </row>
    <row r="33">
      <c r="A33" t="inlineStr">
        <is>
          <t>PASSIF CIRCULANT</t>
        </is>
      </c>
      <c r="B33" t="n">
        <v>63000</v>
      </c>
      <c r="C33" t="n">
        <v>65520</v>
      </c>
      <c r="D33" t="n">
        <v>66830</v>
      </c>
      <c r="E33" t="n">
        <v>70840</v>
      </c>
      <c r="F33" t="n">
        <v>74382</v>
      </c>
      <c r="G33">
        <f>IF(B33=0,"",(C33-B33)/ABS(B33))</f>
        <v/>
      </c>
      <c r="H33">
        <f>IF(C33=0,"",(D33-C33)/ABS(C33))</f>
        <v/>
      </c>
      <c r="I33">
        <f>IF(D33=0,"",(E33-D33)/ABS(D33))</f>
        <v/>
      </c>
      <c r="J33">
        <f>IF(E33=0,"",(F33-E33)/ABS(E33))</f>
        <v/>
      </c>
    </row>
    <row r="34">
      <c r="A34" t="inlineStr">
        <is>
          <t>TRÉSORERIE-PASSIF</t>
        </is>
      </c>
      <c r="B34" t="n">
        <v>6000</v>
      </c>
      <c r="C34" t="n">
        <v>7500</v>
      </c>
      <c r="D34" t="n">
        <v>5000</v>
      </c>
      <c r="E34" t="n">
        <v>4000</v>
      </c>
      <c r="F34" t="n">
        <v>3000</v>
      </c>
      <c r="G34">
        <f>IF(B34=0,"",(C34-B34)/ABS(B34))</f>
        <v/>
      </c>
      <c r="H34">
        <f>IF(C34=0,"",(D34-C34)/ABS(C34))</f>
        <v/>
      </c>
      <c r="I34">
        <f>IF(D34=0,"",(E34-D34)/ABS(D34))</f>
        <v/>
      </c>
      <c r="J34">
        <f>IF(E34=0,"",(F34-E34)/ABS(E34))</f>
        <v/>
      </c>
    </row>
    <row r="35">
      <c r="A35" t="inlineStr">
        <is>
          <t>TOTAL PASSIF</t>
        </is>
      </c>
      <c r="B35" t="n">
        <v>210000</v>
      </c>
      <c r="C35" t="n">
        <v>218400</v>
      </c>
      <c r="D35" t="n">
        <v>222768</v>
      </c>
      <c r="E35" t="n">
        <v>236134.1</v>
      </c>
      <c r="F35" t="n">
        <v>247940.8</v>
      </c>
      <c r="G35">
        <f>IF(B35=0,"",(C35-B35)/ABS(B35))</f>
        <v/>
      </c>
      <c r="H35">
        <f>IF(C35=0,"",(D35-C35)/ABS(C35))</f>
        <v/>
      </c>
      <c r="I35">
        <f>IF(D35=0,"",(E35-D35)/ABS(D35))</f>
        <v/>
      </c>
      <c r="J35">
        <f>IF(E35=0,"",(F35-E35)/ABS(E35))</f>
        <v/>
      </c>
    </row>
    <row r="36">
      <c r="A36" s="3" t="inlineStr">
        <is>
          <t>RATIOS</t>
        </is>
      </c>
    </row>
    <row r="37">
      <c r="A37" t="inlineStr">
        <is>
          <t>Dividende net par action</t>
        </is>
      </c>
      <c r="B37" t="n">
        <v>420</v>
      </c>
      <c r="C37" t="n">
        <v>480</v>
      </c>
      <c r="D37" t="n">
        <v>560</v>
      </c>
      <c r="E37" t="n">
        <v>620</v>
      </c>
      <c r="F37" t="n">
        <v>700</v>
      </c>
      <c r="G37">
        <f>IF(B37=0,"",(C37-B37)/ABS(B37))</f>
        <v/>
      </c>
      <c r="H37">
        <f>IF(C37=0,"",(D37-C37)/ABS(C37))</f>
        <v/>
      </c>
      <c r="I37">
        <f>IF(D37=0,"",(E37-D37)/ABS(D37))</f>
        <v/>
      </c>
      <c r="J37">
        <f>IF(E37=0,"",(F37-E37)/ABS(E37))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DISTRIBUTION DEMO COTE D'IVOIRE (DDIC) - Etats financiers (en milliers FCFA)</t>
        </is>
      </c>
    </row>
    <row r="2">
      <c r="A2" t="inlineStr">
        <is>
          <t>Données fictives de démonstration</t>
        </is>
      </c>
    </row>
    <row r="4">
      <c r="A4" s="2" t="inlineStr">
        <is>
          <t>Poste</t>
        </is>
      </c>
      <c r="B4" s="2" t="n">
        <v>2021</v>
      </c>
      <c r="C4" s="2" t="n">
        <v>2022</v>
      </c>
      <c r="D4" s="2" t="n">
        <v>2023</v>
      </c>
      <c r="E4" s="2" t="n">
        <v>2024</v>
      </c>
      <c r="F4" s="2" t="n">
        <v>2025</v>
      </c>
      <c r="G4" s="2" t="inlineStr">
        <is>
          <t>Var 21/22</t>
        </is>
      </c>
      <c r="H4" s="2" t="inlineStr">
        <is>
          <t>Var 22/23</t>
        </is>
      </c>
      <c r="I4" s="2" t="inlineStr">
        <is>
          <t>Var 23/24</t>
        </is>
      </c>
      <c r="J4" s="2" t="inlineStr">
        <is>
          <t>Var 24/25</t>
        </is>
      </c>
    </row>
    <row r="5">
      <c r="A5" s="3" t="inlineStr">
        <is>
          <t>COMPTE DE RÉSULTAT</t>
        </is>
      </c>
    </row>
    <row r="6">
      <c r="A6" t="inlineStr">
        <is>
          <t>Chiffre d'affaires</t>
        </is>
      </c>
      <c r="B6" t="n">
        <v>95000000000</v>
      </c>
      <c r="C6" t="n">
        <v>99750000000</v>
      </c>
      <c r="D6" t="n">
        <v>107730000</v>
      </c>
      <c r="E6" t="n">
        <v>112039200</v>
      </c>
      <c r="F6" t="n">
        <v>115400376</v>
      </c>
      <c r="G6">
        <f>IF(B6=0,"",(C6-B6)/ABS(B6))</f>
        <v/>
      </c>
      <c r="H6">
        <f>IF(C6=0,"",(D6-C6)/ABS(C6))</f>
        <v/>
      </c>
      <c r="I6">
        <f>IF(D6=0,"",(E6-D6)/ABS(D6))</f>
        <v/>
      </c>
      <c r="J6">
        <f>IF(E6=0,"",(F6-E6)/ABS(E6))</f>
        <v/>
      </c>
    </row>
    <row r="7">
      <c r="A7" t="inlineStr">
        <is>
          <t>Marge commerciale</t>
        </is>
      </c>
      <c r="B7" t="n">
        <v>19950000000</v>
      </c>
      <c r="C7" t="n">
        <v>20947500000</v>
      </c>
      <c r="D7" t="n">
        <v>22623300</v>
      </c>
      <c r="E7" t="n">
        <v>23528232</v>
      </c>
      <c r="F7" t="n">
        <v>24234079</v>
      </c>
      <c r="G7">
        <f>IF(B7=0,"",(C7-B7)/ABS(B7))</f>
        <v/>
      </c>
      <c r="H7">
        <f>IF(C7=0,"",(D7-C7)/ABS(C7))</f>
        <v/>
      </c>
      <c r="I7">
        <f>IF(D7=0,"",(E7-D7)/ABS(D7))</f>
        <v/>
      </c>
      <c r="J7">
        <f>IF(E7=0,"",(F7-E7)/ABS(E7))</f>
        <v/>
      </c>
    </row>
    <row r="8">
      <c r="A8" t="inlineStr">
        <is>
          <t>Valeur ajoutée</t>
        </is>
      </c>
      <c r="B8" t="n">
        <v>13300000000</v>
      </c>
      <c r="C8" t="n">
        <v>13965000000</v>
      </c>
      <c r="D8" t="n">
        <v>15082200</v>
      </c>
      <c r="E8" t="n">
        <v>15685488</v>
      </c>
      <c r="F8" t="n">
        <v>16156053</v>
      </c>
      <c r="G8">
        <f>IF(B8=0,"",(C8-B8)/ABS(B8))</f>
        <v/>
      </c>
      <c r="H8">
        <f>IF(C8=0,"",(D8-C8)/ABS(C8))</f>
        <v/>
      </c>
      <c r="I8">
        <f>IF(D8=0,"",(E8-D8)/ABS(D8))</f>
        <v/>
      </c>
      <c r="J8">
        <f>IF(E8=0,"",(F8-E8)/ABS(E8))</f>
        <v/>
      </c>
    </row>
    <row r="9">
      <c r="A9" t="inlineStr">
        <is>
          <t>Excédent brut d'exploitation</t>
        </is>
      </c>
      <c r="B9" t="n">
        <v>5985000000</v>
      </c>
      <c r="C9" t="n">
        <v>6284250000</v>
      </c>
      <c r="D9" t="n">
        <v>6786990</v>
      </c>
      <c r="E9" t="n">
        <v>7058470</v>
      </c>
      <c r="F9" t="n">
        <v>7270224</v>
      </c>
      <c r="G9">
        <f>IF(B9=0,"",(C9-B9)/ABS(B9))</f>
        <v/>
      </c>
      <c r="H9">
        <f>IF(C9=0,"",(D9-C9)/ABS(C9))</f>
        <v/>
      </c>
      <c r="I9">
        <f>IF(D9=0,"",(E9-D9)/ABS(D9))</f>
        <v/>
      </c>
      <c r="J9">
        <f>IF(E9=0,"",(F9-E9)/ABS(E9))</f>
        <v/>
      </c>
    </row>
    <row r="10">
      <c r="A10" t="inlineStr">
        <is>
          <t>Résultat d'exploitation</t>
        </is>
      </c>
      <c r="B10" t="n">
        <v>4189500000</v>
      </c>
      <c r="C10" t="n">
        <v>4398975000</v>
      </c>
      <c r="D10" t="n">
        <v>4750893</v>
      </c>
      <c r="E10" t="n">
        <v>4940929</v>
      </c>
      <c r="F10" t="n">
        <v>5089157</v>
      </c>
      <c r="G10">
        <f>IF(B10=0,"",(C10-B10)/ABS(B10))</f>
        <v/>
      </c>
      <c r="H10">
        <f>IF(C10=0,"",(D10-C10)/ABS(C10))</f>
        <v/>
      </c>
      <c r="I10">
        <f>IF(D10=0,"",(E10-D10)/ABS(D10))</f>
        <v/>
      </c>
      <c r="J10">
        <f>IF(E10=0,"",(F10-E10)/ABS(E10))</f>
        <v/>
      </c>
    </row>
    <row r="11">
      <c r="A11" t="inlineStr">
        <is>
          <t>Résultat net</t>
        </is>
      </c>
      <c r="B11" t="n">
        <v>2765070000</v>
      </c>
      <c r="C11" t="n">
        <v>2903324000</v>
      </c>
      <c r="D11" t="n">
        <v>3135589</v>
      </c>
      <c r="E11" t="n">
        <v>3261013</v>
      </c>
      <c r="F11" t="n">
        <v>3358844</v>
      </c>
      <c r="G11">
        <f>IF(B11=0,"",(C11-B11)/ABS(B11))</f>
        <v/>
      </c>
      <c r="H11">
        <f>IF(C11=0,"",(D11-C11)/ABS(C11))</f>
        <v/>
      </c>
      <c r="I11">
        <f>IF(D11=0,"",(E11-D11)/ABS(D11))</f>
        <v/>
      </c>
      <c r="J11">
        <f>IF(E11=0,"",(F11-E11)/ABS(E11))</f>
        <v/>
      </c>
    </row>
    <row r="12">
      <c r="A12" s="3" t="inlineStr">
        <is>
          <t>BILAN</t>
        </is>
      </c>
    </row>
    <row r="13">
      <c r="A13" t="inlineStr">
        <is>
          <t>Total actif</t>
        </is>
      </c>
      <c r="B13" t="n">
        <v>61000000000</v>
      </c>
      <c r="C13" t="n">
        <v>62830000000</v>
      </c>
      <c r="D13" t="n">
        <v>65971500</v>
      </c>
      <c r="E13" t="n">
        <v>67290930</v>
      </c>
      <c r="F13" t="n">
        <v>69982567.2</v>
      </c>
      <c r="G13">
        <f>IF(B13=0,"",(C13-B13)/ABS(B13))</f>
        <v/>
      </c>
      <c r="H13">
        <f>IF(C13=0,"",(D13-C13)/ABS(C13))</f>
        <v/>
      </c>
      <c r="I13">
        <f>IF(D13=0,"",(E13-D13)/ABS(D13))</f>
        <v/>
      </c>
      <c r="J13">
        <f>IF(E13=0,"",(F13-E13)/ABS(E13))</f>
        <v/>
      </c>
    </row>
    <row r="14">
      <c r="A14" t="inlineStr">
        <is>
          <t>Capitaux propres</t>
        </is>
      </c>
      <c r="B14" t="n">
        <v>22000000000</v>
      </c>
      <c r="C14" t="n">
        <v>22880000000</v>
      </c>
      <c r="D14" t="n">
        <v>24252800</v>
      </c>
      <c r="E14" t="n">
        <v>25465440</v>
      </c>
      <c r="F14" t="n">
        <v>26229403.2</v>
      </c>
      <c r="G14">
        <f>IF(B14=0,"",(C14-B14)/ABS(B14))</f>
        <v/>
      </c>
      <c r="H14">
        <f>IF(C14=0,"",(D14-C14)/ABS(C14))</f>
        <v/>
      </c>
      <c r="I14">
        <f>IF(D14=0,"",(E14-D14)/ABS(D14))</f>
        <v/>
      </c>
      <c r="J14">
        <f>IF(E14=0,"",(F14-E14)/ABS(E14))</f>
        <v/>
      </c>
    </row>
    <row r="15">
      <c r="A15" t="inlineStr">
        <is>
          <t>Dettes financières</t>
        </is>
      </c>
      <c r="B15" t="n">
        <v>9000000000</v>
      </c>
      <c r="C15" t="n">
        <v>9900000000</v>
      </c>
      <c r="D15" t="n">
        <v>10890000</v>
      </c>
      <c r="E15" t="n">
        <v>8712000</v>
      </c>
      <c r="F15" t="n">
        <v>7840800</v>
      </c>
      <c r="G15">
        <f>IF(B15=0,"",(C15-B15)/ABS(B15))</f>
        <v/>
      </c>
      <c r="H15">
        <f>IF(C15=0,"",(D15-C15)/ABS(C15))</f>
        <v/>
      </c>
      <c r="I15">
        <f>IF(D15=0,"",(E15-D15)/ABS(D15))</f>
        <v/>
      </c>
      <c r="J15">
        <f>IF(E15=0,"",(F15-E15)/ABS(E15))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TELECOM DEMO (DTLS) - Etats financiers (en millions FCFA)</t>
        </is>
      </c>
    </row>
    <row r="2">
      <c r="A2" t="inlineStr">
        <is>
          <t>Données fictives de démonstration</t>
        </is>
      </c>
    </row>
    <row r="4">
      <c r="A4" s="2" t="inlineStr">
        <is>
          <t>Poste</t>
        </is>
      </c>
      <c r="B4" s="2" t="n">
        <v>2021</v>
      </c>
      <c r="C4" s="2" t="n">
        <v>2022</v>
      </c>
      <c r="D4" s="2" t="n">
        <v>2023</v>
      </c>
      <c r="E4" s="2" t="n">
        <v>2024</v>
      </c>
      <c r="F4" s="2" t="n">
        <v>2025</v>
      </c>
      <c r="G4" s="2" t="inlineStr">
        <is>
          <t>Var 21/22</t>
        </is>
      </c>
      <c r="H4" s="2" t="inlineStr">
        <is>
          <t>Var 22/23</t>
        </is>
      </c>
      <c r="I4" s="2" t="inlineStr">
        <is>
          <t>Var 23/24</t>
        </is>
      </c>
      <c r="J4" s="2" t="inlineStr">
        <is>
          <t>Var 24/25</t>
        </is>
      </c>
    </row>
    <row r="5">
      <c r="A5" s="3" t="inlineStr">
        <is>
          <t>COMPTE DE RÉSULTAT CONSOLIDÉ</t>
        </is>
      </c>
    </row>
    <row r="6">
      <c r="A6" t="inlineStr">
        <is>
          <t>Chiffre d'affaires</t>
        </is>
      </c>
      <c r="B6" t="n">
        <v>1480000</v>
      </c>
      <c r="C6" t="n">
        <v>1583600</v>
      </c>
      <c r="D6" t="n">
        <v>1710288</v>
      </c>
      <c r="E6" t="n">
        <v>1812905.3</v>
      </c>
      <c r="F6" t="n">
        <v>1921679.6</v>
      </c>
      <c r="G6">
        <f>IF(B6=0,"",(C6-B6)/ABS(B6))</f>
        <v/>
      </c>
      <c r="H6">
        <f>IF(C6=0,"",(D6-C6)/ABS(C6))</f>
        <v/>
      </c>
      <c r="I6">
        <f>IF(D6=0,"",(E6-D6)/ABS(D6))</f>
        <v/>
      </c>
      <c r="J6">
        <f>IF(E6=0,"",(F6-E6)/ABS(E6))</f>
        <v/>
      </c>
    </row>
    <row r="7">
      <c r="A7" t="inlineStr">
        <is>
          <t>EBITDA</t>
        </is>
      </c>
      <c r="B7" t="n">
        <v>695600</v>
      </c>
      <c r="C7" t="n">
        <v>728456</v>
      </c>
      <c r="D7" t="n">
        <v>786732</v>
      </c>
      <c r="E7" t="n">
        <v>815807</v>
      </c>
      <c r="F7" t="n">
        <v>864756</v>
      </c>
      <c r="G7">
        <f>IF(B7=0,"",(C7-B7)/ABS(B7))</f>
        <v/>
      </c>
      <c r="H7">
        <f>IF(C7=0,"",(D7-C7)/ABS(C7))</f>
        <v/>
      </c>
      <c r="I7">
        <f>IF(D7=0,"",(E7-D7)/ABS(D7))</f>
        <v/>
      </c>
      <c r="J7">
        <f>IF(E7=0,"",(F7-E7)/ABS(E7))</f>
        <v/>
      </c>
    </row>
    <row r="8">
      <c r="A8" t="inlineStr">
        <is>
          <t>Dotations aux amortissements</t>
        </is>
      </c>
      <c r="B8" t="n">
        <v>-222000</v>
      </c>
      <c r="C8" t="n">
        <v>-237540</v>
      </c>
      <c r="D8" t="n">
        <v>-256543</v>
      </c>
      <c r="E8" t="n">
        <v>-271936</v>
      </c>
      <c r="F8" t="n">
        <v>-288252</v>
      </c>
      <c r="G8">
        <f>IF(B8=0,"",(C8-B8)/ABS(B8))</f>
        <v/>
      </c>
      <c r="H8">
        <f>IF(C8=0,"",(D8-C8)/ABS(C8))</f>
        <v/>
      </c>
      <c r="I8">
        <f>IF(D8=0,"",(E8-D8)/ABS(D8))</f>
        <v/>
      </c>
      <c r="J8">
        <f>IF(E8=0,"",(F8-E8)/ABS(E8))</f>
        <v/>
      </c>
    </row>
    <row r="9">
      <c r="A9" t="inlineStr">
        <is>
          <t>Résultat opérationnel</t>
        </is>
      </c>
      <c r="B9" t="n">
        <v>473600</v>
      </c>
      <c r="C9" t="n">
        <v>490916</v>
      </c>
      <c r="D9" t="n">
        <v>530189</v>
      </c>
      <c r="E9" t="n">
        <v>543871</v>
      </c>
      <c r="F9" t="n">
        <v>576504</v>
      </c>
      <c r="G9">
        <f>IF(B9=0,"",(C9-B9)/ABS(B9))</f>
        <v/>
      </c>
      <c r="H9">
        <f>IF(C9=0,"",(D9-C9)/ABS(C9))</f>
        <v/>
      </c>
      <c r="I9">
        <f>IF(D9=0,"",(E9-D9)/ABS(D9))</f>
        <v/>
      </c>
      <c r="J9">
        <f>IF(E9=0,"",(F9-E9)/ABS(E9))</f>
        <v/>
      </c>
    </row>
    <row r="10">
      <c r="A10" t="inlineStr">
        <is>
          <t>Résultat net consolidé</t>
        </is>
      </c>
      <c r="B10" t="n">
        <v>331520</v>
      </c>
      <c r="C10" t="n">
        <v>343641</v>
      </c>
      <c r="D10" t="n">
        <v>371132</v>
      </c>
      <c r="E10" t="n">
        <v>380710</v>
      </c>
      <c r="F10" t="n">
        <v>403553</v>
      </c>
      <c r="G10">
        <f>IF(B10=0,"",(C10-B10)/ABS(B10))</f>
        <v/>
      </c>
      <c r="H10">
        <f>IF(C10=0,"",(D10-C10)/ABS(C10))</f>
        <v/>
      </c>
      <c r="I10">
        <f>IF(D10=0,"",(E10-D10)/ABS(D10))</f>
        <v/>
      </c>
      <c r="J10">
        <f>IF(E10=0,"",(F10-E10)/ABS(E10))</f>
        <v/>
      </c>
    </row>
    <row r="11">
      <c r="A11" t="inlineStr">
        <is>
          <t>Résultat net part du groupe</t>
        </is>
      </c>
      <c r="B11" t="n">
        <v>278477</v>
      </c>
      <c r="C11" t="n">
        <v>288658</v>
      </c>
      <c r="D11" t="n">
        <v>311751</v>
      </c>
      <c r="E11" t="n">
        <v>319796</v>
      </c>
      <c r="F11" t="n">
        <v>338985</v>
      </c>
      <c r="G11">
        <f>IF(B11=0,"",(C11-B11)/ABS(B11))</f>
        <v/>
      </c>
      <c r="H11">
        <f>IF(C11=0,"",(D11-C11)/ABS(C11))</f>
        <v/>
      </c>
      <c r="I11">
        <f>IF(D11=0,"",(E11-D11)/ABS(D11))</f>
        <v/>
      </c>
      <c r="J11">
        <f>IF(E11=0,"",(F11-E11)/ABS(E11))</f>
        <v/>
      </c>
    </row>
    <row r="12">
      <c r="A12" s="3" t="inlineStr">
        <is>
          <t>BILAN</t>
        </is>
      </c>
    </row>
    <row r="13">
      <c r="A13" t="inlineStr">
        <is>
          <t>Total actif</t>
        </is>
      </c>
      <c r="B13" t="n">
        <v>2400000</v>
      </c>
      <c r="C13" t="n">
        <v>2544000</v>
      </c>
      <c r="D13" t="n">
        <v>2722080</v>
      </c>
      <c r="E13" t="n">
        <v>2858184</v>
      </c>
      <c r="F13" t="n">
        <v>3001093.2</v>
      </c>
      <c r="G13">
        <f>IF(B13=0,"",(C13-B13)/ABS(B13))</f>
        <v/>
      </c>
      <c r="H13">
        <f>IF(C13=0,"",(D13-C13)/ABS(C13))</f>
        <v/>
      </c>
      <c r="I13">
        <f>IF(D13=0,"",(E13-D13)/ABS(D13))</f>
        <v/>
      </c>
      <c r="J13">
        <f>IF(E13=0,"",(F13-E13)/ABS(E13))</f>
        <v/>
      </c>
    </row>
    <row r="14">
      <c r="A14" t="inlineStr">
        <is>
          <t>Capitaux propres part du groupe</t>
        </is>
      </c>
      <c r="B14" t="n">
        <v>846600</v>
      </c>
      <c r="C14" t="n">
        <v>880464</v>
      </c>
      <c r="D14" t="n">
        <v>924487</v>
      </c>
      <c r="E14" t="n">
        <v>970712</v>
      </c>
      <c r="F14" t="n">
        <v>1009540</v>
      </c>
      <c r="G14">
        <f>IF(B14=0,"",(C14-B14)/ABS(B14))</f>
        <v/>
      </c>
      <c r="H14">
        <f>IF(C14=0,"",(D14-C14)/ABS(C14))</f>
        <v/>
      </c>
      <c r="I14">
        <f>IF(D14=0,"",(E14-D14)/ABS(D14))</f>
        <v/>
      </c>
      <c r="J14">
        <f>IF(E14=0,"",(F14-E14)/ABS(E14))</f>
        <v/>
      </c>
    </row>
    <row r="15">
      <c r="A15" t="inlineStr">
        <is>
          <t>Total capitaux propres</t>
        </is>
      </c>
      <c r="B15" t="n">
        <v>1020000</v>
      </c>
      <c r="C15" t="n">
        <v>1060800</v>
      </c>
      <c r="D15" t="n">
        <v>1113840</v>
      </c>
      <c r="E15" t="n">
        <v>1169532</v>
      </c>
      <c r="F15" t="n">
        <v>1216313.3</v>
      </c>
      <c r="G15">
        <f>IF(B15=0,"",(C15-B15)/ABS(B15))</f>
        <v/>
      </c>
      <c r="H15">
        <f>IF(C15=0,"",(D15-C15)/ABS(C15))</f>
        <v/>
      </c>
      <c r="I15">
        <f>IF(D15=0,"",(E15-D15)/ABS(D15))</f>
        <v/>
      </c>
      <c r="J15">
        <f>IF(E15=0,"",(F15-E15)/ABS(E15))</f>
        <v/>
      </c>
    </row>
    <row r="16">
      <c r="A16" t="inlineStr">
        <is>
          <t>Dettes financières</t>
        </is>
      </c>
      <c r="B16" t="n">
        <v>420000</v>
      </c>
      <c r="C16" t="n">
        <v>432600</v>
      </c>
      <c r="D16" t="n">
        <v>423948</v>
      </c>
      <c r="E16" t="n">
        <v>440905.9</v>
      </c>
      <c r="F16" t="n">
        <v>445315</v>
      </c>
      <c r="G16">
        <f>IF(B16=0,"",(C16-B16)/ABS(B16))</f>
        <v/>
      </c>
      <c r="H16">
        <f>IF(C16=0,"",(D16-C16)/ABS(C16))</f>
        <v/>
      </c>
      <c r="I16">
        <f>IF(D16=0,"",(E16-D16)/ABS(D16))</f>
        <v/>
      </c>
      <c r="J16">
        <f>IF(E16=0,"",(F16-E16)/ABS(E16))</f>
        <v/>
      </c>
    </row>
    <row r="17">
      <c r="A17" t="inlineStr">
        <is>
          <t>Trésorerie et équivalents de trésorerie</t>
        </is>
      </c>
      <c r="B17" t="n">
        <v>260000</v>
      </c>
      <c r="C17" t="n">
        <v>273000</v>
      </c>
      <c r="D17" t="n">
        <v>286650</v>
      </c>
      <c r="E17" t="n">
        <v>300982.5</v>
      </c>
      <c r="F17" t="n">
        <v>316031.6</v>
      </c>
      <c r="G17">
        <f>IF(B17=0,"",(C17-B17)/ABS(B17))</f>
        <v/>
      </c>
      <c r="H17">
        <f>IF(C17=0,"",(D17-C17)/ABS(C17))</f>
        <v/>
      </c>
      <c r="I17">
        <f>IF(D17=0,"",(E17-D17)/ABS(D17))</f>
        <v/>
      </c>
      <c r="J17">
        <f>IF(E17=0,"",(F17-E17)/ABS(E17))</f>
        <v/>
      </c>
    </row>
    <row r="18">
      <c r="A18" s="3" t="inlineStr">
        <is>
          <t>RATIOS</t>
        </is>
      </c>
    </row>
    <row r="19">
      <c r="A19" t="inlineStr">
        <is>
          <t>Dividende net par action</t>
        </is>
      </c>
      <c r="B19" t="n">
        <v>1700</v>
      </c>
      <c r="C19" t="n">
        <v>1900</v>
      </c>
      <c r="D19" t="n">
        <v>2050</v>
      </c>
      <c r="E19" t="n">
        <v>2200</v>
      </c>
      <c r="F19" t="n">
        <v>2400</v>
      </c>
      <c r="G19">
        <f>IF(B19=0,"",(C19-B19)/ABS(B19))</f>
        <v/>
      </c>
      <c r="H19">
        <f>IF(C19=0,"",(D19-C19)/ABS(C19))</f>
        <v/>
      </c>
      <c r="I19">
        <f>IF(D19=0,"",(E19-D19)/ABS(D19))</f>
        <v/>
      </c>
      <c r="J19">
        <f>IF(E19=0,"",(F19-E19)/ABS(E19))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ENERGIE DEMO (DENC) - Etats financiers (en millions FCFA)</t>
        </is>
      </c>
    </row>
    <row r="2">
      <c r="A2" t="inlineStr">
        <is>
          <t>Données fictives de démonstration</t>
        </is>
      </c>
    </row>
    <row r="4">
      <c r="A4" s="2" t="inlineStr">
        <is>
          <t>Poste</t>
        </is>
      </c>
      <c r="B4" s="2" t="n">
        <v>2021</v>
      </c>
      <c r="C4" s="2" t="n">
        <v>2022</v>
      </c>
      <c r="D4" s="2" t="n">
        <v>2023</v>
      </c>
      <c r="E4" s="2" t="n">
        <v>2024</v>
      </c>
      <c r="F4" s="2" t="n">
        <v>2025</v>
      </c>
      <c r="G4" s="2" t="inlineStr">
        <is>
          <t>Var 21/22</t>
        </is>
      </c>
      <c r="H4" s="2" t="inlineStr">
        <is>
          <t>Var 22/23</t>
        </is>
      </c>
      <c r="I4" s="2" t="inlineStr">
        <is>
          <t>Var 23/24</t>
        </is>
      </c>
      <c r="J4" s="2" t="inlineStr">
        <is>
          <t>Var 24/25</t>
        </is>
      </c>
    </row>
    <row r="5">
      <c r="A5" s="3" t="inlineStr">
        <is>
          <t>COMPTE DE RÉSULTAT</t>
        </is>
      </c>
    </row>
    <row r="6">
      <c r="A6" t="inlineStr">
        <is>
          <t>Chiffre d'affaires</t>
        </is>
      </c>
      <c r="B6" t="n">
        <v>410000</v>
      </c>
      <c r="C6" t="n">
        <v>459200</v>
      </c>
      <c r="D6" t="n">
        <v>468384</v>
      </c>
      <c r="E6" t="n">
        <v>444964.8</v>
      </c>
      <c r="F6" t="n">
        <v>431615.9</v>
      </c>
      <c r="G6">
        <f>IF(B6=0,"",(C6-B6)/ABS(B6))</f>
        <v/>
      </c>
      <c r="H6">
        <f>IF(C6=0,"",(D6-C6)/ABS(C6))</f>
        <v/>
      </c>
      <c r="I6">
        <f>IF(D6=0,"",(E6-D6)/ABS(D6))</f>
        <v/>
      </c>
      <c r="J6">
        <f>IF(E6=0,"",(F6-E6)/ABS(E6))</f>
        <v/>
      </c>
    </row>
    <row r="7">
      <c r="A7" t="inlineStr">
        <is>
          <t>Valeur ajoutée</t>
        </is>
      </c>
      <c r="B7" t="n">
        <v>26650</v>
      </c>
      <c r="C7" t="n">
        <v>27552</v>
      </c>
      <c r="D7" t="n">
        <v>24356</v>
      </c>
      <c r="E7" t="n">
        <v>20468</v>
      </c>
      <c r="F7" t="n">
        <v>17265</v>
      </c>
      <c r="G7">
        <f>IF(B7=0,"",(C7-B7)/ABS(B7))</f>
        <v/>
      </c>
      <c r="H7">
        <f>IF(C7=0,"",(D7-C7)/ABS(C7))</f>
        <v/>
      </c>
      <c r="I7">
        <f>IF(D7=0,"",(E7-D7)/ABS(D7))</f>
        <v/>
      </c>
      <c r="J7">
        <f>IF(E7=0,"",(F7-E7)/ABS(E7))</f>
        <v/>
      </c>
    </row>
    <row r="8">
      <c r="A8" t="inlineStr">
        <is>
          <t>Excédent brut d'exploitation</t>
        </is>
      </c>
      <c r="B8" t="n">
        <v>13325</v>
      </c>
      <c r="C8" t="n">
        <v>13776</v>
      </c>
      <c r="D8" t="n">
        <v>12178</v>
      </c>
      <c r="E8" t="n">
        <v>10234</v>
      </c>
      <c r="F8" t="n">
        <v>8632</v>
      </c>
      <c r="G8">
        <f>IF(B8=0,"",(C8-B8)/ABS(B8))</f>
        <v/>
      </c>
      <c r="H8">
        <f>IF(C8=0,"",(D8-C8)/ABS(C8))</f>
        <v/>
      </c>
      <c r="I8">
        <f>IF(D8=0,"",(E8-D8)/ABS(D8))</f>
        <v/>
      </c>
      <c r="J8">
        <f>IF(E8=0,"",(F8-E8)/ABS(E8))</f>
        <v/>
      </c>
    </row>
    <row r="9">
      <c r="A9" t="inlineStr">
        <is>
          <t>Résultat d'exploitation</t>
        </is>
      </c>
      <c r="B9" t="n">
        <v>9328</v>
      </c>
      <c r="C9" t="n">
        <v>9643</v>
      </c>
      <c r="D9" t="n">
        <v>8525</v>
      </c>
      <c r="E9" t="n">
        <v>7164</v>
      </c>
      <c r="F9" t="n">
        <v>6042</v>
      </c>
      <c r="G9">
        <f>IF(B9=0,"",(C9-B9)/ABS(B9))</f>
        <v/>
      </c>
      <c r="H9">
        <f>IF(C9=0,"",(D9-C9)/ABS(C9))</f>
        <v/>
      </c>
      <c r="I9">
        <f>IF(D9=0,"",(E9-D9)/ABS(D9))</f>
        <v/>
      </c>
      <c r="J9">
        <f>IF(E9=0,"",(F9-E9)/ABS(E9))</f>
        <v/>
      </c>
    </row>
    <row r="10">
      <c r="A10" t="inlineStr">
        <is>
          <t>Résultat net</t>
        </is>
      </c>
      <c r="B10" t="n">
        <v>5597</v>
      </c>
      <c r="C10" t="n">
        <v>5786</v>
      </c>
      <c r="D10" t="n">
        <v>5115</v>
      </c>
      <c r="E10" t="n">
        <v>4298</v>
      </c>
      <c r="F10" t="n">
        <v>3625</v>
      </c>
      <c r="G10">
        <f>IF(B10=0,"",(C10-B10)/ABS(B10))</f>
        <v/>
      </c>
      <c r="H10">
        <f>IF(C10=0,"",(D10-C10)/ABS(C10))</f>
        <v/>
      </c>
      <c r="I10">
        <f>IF(D10=0,"",(E10-D10)/ABS(D10))</f>
        <v/>
      </c>
      <c r="J10">
        <f>IF(E10=0,"",(F10-E10)/ABS(E10))</f>
        <v/>
      </c>
    </row>
    <row r="11">
      <c r="A11" s="3" t="inlineStr">
        <is>
          <t>BILAN</t>
        </is>
      </c>
    </row>
    <row r="12">
      <c r="A12" t="inlineStr">
        <is>
          <t>Total actif</t>
        </is>
      </c>
      <c r="B12" t="n">
        <v>160000</v>
      </c>
      <c r="C12" t="n">
        <v>168000</v>
      </c>
      <c r="D12" t="n">
        <v>174720</v>
      </c>
      <c r="E12" t="n">
        <v>179961.6</v>
      </c>
      <c r="F12" t="n">
        <v>185360.4</v>
      </c>
      <c r="G12">
        <f>IF(B12=0,"",(C12-B12)/ABS(B12))</f>
        <v/>
      </c>
      <c r="H12">
        <f>IF(C12=0,"",(D12-C12)/ABS(C12))</f>
        <v/>
      </c>
      <c r="I12">
        <f>IF(D12=0,"",(E12-D12)/ABS(D12))</f>
        <v/>
      </c>
      <c r="J12">
        <f>IF(E12=0,"",(F12-E12)/ABS(E12))</f>
        <v/>
      </c>
    </row>
    <row r="13">
      <c r="A13" t="inlineStr">
        <is>
          <t>Capitaux propres</t>
        </is>
      </c>
      <c r="B13" t="n">
        <v>52000</v>
      </c>
      <c r="C13" t="n">
        <v>53560</v>
      </c>
      <c r="D13" t="n">
        <v>54631.2</v>
      </c>
      <c r="E13" t="n">
        <v>54631.2</v>
      </c>
      <c r="F13" t="n">
        <v>54084.9</v>
      </c>
      <c r="G13">
        <f>IF(B13=0,"",(C13-B13)/ABS(B13))</f>
        <v/>
      </c>
      <c r="H13">
        <f>IF(C13=0,"",(D13-C13)/ABS(C13))</f>
        <v/>
      </c>
      <c r="I13">
        <f>IF(D13=0,"",(E13-D13)/ABS(D13))</f>
        <v/>
      </c>
      <c r="J13">
        <f>IF(E13=0,"",(F13-E13)/ABS(E13))</f>
        <v/>
      </c>
    </row>
    <row r="14">
      <c r="A14" t="inlineStr">
        <is>
          <t>Dettes financières</t>
        </is>
      </c>
      <c r="B14" t="n">
        <v>30000</v>
      </c>
      <c r="C14" t="n">
        <v>33000</v>
      </c>
      <c r="D14" t="n">
        <v>36960</v>
      </c>
      <c r="E14" t="n">
        <v>42504</v>
      </c>
      <c r="F14" t="n">
        <v>46754.4</v>
      </c>
      <c r="G14">
        <f>IF(B14=0,"",(C14-B14)/ABS(B14))</f>
        <v/>
      </c>
      <c r="H14">
        <f>IF(C14=0,"",(D14-C14)/ABS(C14))</f>
        <v/>
      </c>
      <c r="I14">
        <f>IF(D14=0,"",(E14-D14)/ABS(D14))</f>
        <v/>
      </c>
      <c r="J14">
        <f>IF(E14=0,"",(F14-E14)/ABS(E14))</f>
        <v/>
      </c>
    </row>
    <row r="15">
      <c r="A15" t="inlineStr">
        <is>
          <t>Actif circulant</t>
        </is>
      </c>
      <c r="B15" t="n">
        <v>96000</v>
      </c>
      <c r="C15" t="n">
        <v>100800</v>
      </c>
      <c r="D15" t="n">
        <v>104832</v>
      </c>
      <c r="E15" t="n">
        <v>107977</v>
      </c>
      <c r="F15" t="n">
        <v>111216</v>
      </c>
      <c r="G15">
        <f>IF(B15=0,"",(C15-B15)/ABS(B15))</f>
        <v/>
      </c>
      <c r="H15">
        <f>IF(C15=0,"",(D15-C15)/ABS(C15))</f>
        <v/>
      </c>
      <c r="I15">
        <f>IF(D15=0,"",(E15-D15)/ABS(D15))</f>
        <v/>
      </c>
      <c r="J15">
        <f>IF(E15=0,"",(F15-E15)/ABS(E15))</f>
        <v/>
      </c>
    </row>
    <row r="16">
      <c r="A16" t="inlineStr">
        <is>
          <t>Passif circulant</t>
        </is>
      </c>
      <c r="B16" t="n">
        <v>88000</v>
      </c>
      <c r="C16" t="n">
        <v>92400</v>
      </c>
      <c r="D16" t="n">
        <v>96096</v>
      </c>
      <c r="E16" t="n">
        <v>98979</v>
      </c>
      <c r="F16" t="n">
        <v>101948</v>
      </c>
      <c r="G16">
        <f>IF(B16=0,"",(C16-B16)/ABS(B16))</f>
        <v/>
      </c>
      <c r="H16">
        <f>IF(C16=0,"",(D16-C16)/ABS(C16))</f>
        <v/>
      </c>
      <c r="I16">
        <f>IF(D16=0,"",(E16-D16)/ABS(D16))</f>
        <v/>
      </c>
      <c r="J16">
        <f>IF(E16=0,"",(F16-E16)/ABS(E16))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2026-10-18T22:38:12Z</dcterms:created>
  <dcterms:modified xmlns:dcterms="http://purl.org/dc/terms/" xmlns:xsi="http://www.w3.org/2001/XMLSchema-instance" xsi:type="dcterms:W3CDTF">2026-10-18T22:38:12Z</dcterms:modified>
</cp:coreProperties>
</file>