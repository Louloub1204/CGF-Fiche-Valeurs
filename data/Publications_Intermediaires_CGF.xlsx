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Entreprises" sheetId="2" state="visible" r:id="rId2"/>
    <sheet xmlns:r="http://schemas.openxmlformats.org/officeDocument/2006/relationships" name="Banques" sheetId="3" state="visible" r:id="rId3"/>
    <sheet xmlns:r="http://schemas.openxmlformats.org/officeDocument/2006/relationships" name="Suivi" sheetId="4" state="visible" r:id="rId4"/>
    <sheet xmlns:r="http://schemas.openxmlformats.org/officeDocument/2006/relationships" name="Titres" sheetId="5" state="visible" r:id="rId5"/>
  </sheets>
  <definedNames>
    <definedName name="_xlnm._FilterDatabase" localSheetId="1" hidden="1">'Entreprises'!$A$4:$U$639</definedName>
    <definedName name="_xlnm._FilterDatabase" localSheetId="2" hidden="1">'Banques'!$A$4:$Y$315</definedName>
  </definedNames>
  <calcPr calcId="124519" fullCalcOnLoad="1"/>
</workbook>
</file>

<file path=xl/styles.xml><?xml version="1.0" encoding="utf-8"?>
<styleSheet xmlns="http://schemas.openxmlformats.org/spreadsheetml/2006/main">
  <numFmts count="5">
    <numFmt numFmtId="164" formatCode="yyyy-mm-dd"/>
    <numFmt numFmtId="165" formatCode="dd/mm/yyyy"/>
    <numFmt numFmtId="166" formatCode="#,##0.0;-#,##0.0"/>
    <numFmt numFmtId="167" formatCode="+0.0%;-0.0%;0.0%"/>
    <numFmt numFmtId="168" formatCode="0%;-0%;&quot;-&quot;"/>
  </numFmts>
  <fonts count="12">
    <font>
      <name val="Calibri"/>
      <family val="2"/>
      <color theme="1"/>
      <sz val="11"/>
      <scheme val="minor"/>
    </font>
    <font>
      <name val="Calibri"/>
      <b val="1"/>
      <color rgb="00FFFFFF"/>
      <sz val="10"/>
    </font>
    <font>
      <name val="Calibri"/>
      <sz val="10"/>
    </font>
    <font>
      <name val="Calibri"/>
      <b val="1"/>
      <color rgb="00004B77"/>
      <sz val="14"/>
    </font>
    <font>
      <name val="Calibri"/>
      <i val="1"/>
      <color rgb="00555555"/>
      <sz val="9"/>
    </font>
    <font>
      <name val="Calibri"/>
      <color rgb="00000000"/>
      <sz val="10"/>
    </font>
    <font>
      <name val="Calibri"/>
      <color rgb="000000FF"/>
      <sz val="10"/>
    </font>
    <font>
      <color rgb="00FFFFFF"/>
      <sz val="6"/>
    </font>
    <font>
      <name val="Calibri"/>
      <b val="1"/>
      <color rgb="00004B77"/>
      <sz val="18"/>
    </font>
    <font>
      <name val="Calibri"/>
      <i val="1"/>
      <color rgb="00555555"/>
      <sz val="10"/>
    </font>
    <font>
      <name val="Calibri"/>
      <b val="1"/>
      <color rgb="00004B77"/>
      <sz val="11"/>
    </font>
    <font>
      <name val="Calibri"/>
      <color rgb="00777777"/>
      <sz val="8"/>
    </font>
  </fonts>
  <fills count="4">
    <fill>
      <patternFill/>
    </fill>
    <fill>
      <patternFill patternType="gray125"/>
    </fill>
    <fill>
      <patternFill patternType="solid">
        <fgColor rgb="00004B77"/>
      </patternFill>
    </fill>
    <fill>
      <patternFill patternType="solid">
        <fgColor rgb="00F3F6F8"/>
      </patternFill>
    </fill>
  </fills>
  <borders count="3">
    <border>
      <left/>
      <right/>
      <top/>
      <bottom/>
      <diagonal/>
    </border>
    <border>
      <left style="thin">
        <color rgb="00DCE4EA"/>
      </left>
      <right style="thin">
        <color rgb="00DCE4EA"/>
      </right>
      <top style="thin">
        <color rgb="00DCE4EA"/>
      </top>
      <bottom style="thin">
        <color rgb="00DCE4EA"/>
      </bottom>
    </border>
    <border>
      <bottom style="thin">
        <color rgb="00DCE4EA"/>
      </bottom>
    </border>
  </borders>
  <cellStyleXfs count="1">
    <xf numFmtId="0" fontId="0" fillId="0" borderId="0"/>
  </cellStyleXfs>
  <cellXfs count="21">
    <xf numFmtId="0" fontId="0" fillId="0" borderId="0" pivotButton="0" quotePrefix="0" xfId="0"/>
    <xf numFmtId="0" fontId="8" fillId="0" borderId="0" pivotButton="0" quotePrefix="0" xfId="0"/>
    <xf numFmtId="0" fontId="9" fillId="0" borderId="0" pivotButton="0" quotePrefix="0" xfId="0"/>
    <xf numFmtId="0" fontId="10" fillId="0" borderId="2" applyAlignment="1" pivotButton="0" quotePrefix="0" xfId="0">
      <alignment vertical="top"/>
    </xf>
    <xf numFmtId="0" fontId="2" fillId="0" borderId="2" applyAlignment="1" pivotButton="0" quotePrefix="0" xfId="0">
      <alignment vertical="top" wrapText="1"/>
    </xf>
    <xf numFmtId="0" fontId="11" fillId="0" borderId="0" pivotButton="0" quotePrefix="0" xfId="0"/>
    <xf numFmtId="0" fontId="3"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center" vertical="center" wrapText="1"/>
    </xf>
    <xf numFmtId="0" fontId="6" fillId="0" borderId="1" pivotButton="0" quotePrefix="0" xfId="0"/>
    <xf numFmtId="0" fontId="5" fillId="3" borderId="1" pivotButton="0" quotePrefix="0" xfId="0"/>
    <xf numFmtId="0" fontId="6" fillId="0" borderId="1" applyAlignment="1" pivotButton="0" quotePrefix="0" xfId="0">
      <alignment horizontal="center"/>
    </xf>
    <xf numFmtId="165" fontId="6" fillId="0" borderId="1" pivotButton="0" quotePrefix="0" xfId="0"/>
    <xf numFmtId="166" fontId="6" fillId="0" borderId="1" applyAlignment="1" pivotButton="0" quotePrefix="0" xfId="0">
      <alignment horizontal="right"/>
    </xf>
    <xf numFmtId="9" fontId="5" fillId="0" borderId="1" pivotButton="0" quotePrefix="0" xfId="0"/>
    <xf numFmtId="0" fontId="5" fillId="0" borderId="1" pivotButton="0" quotePrefix="0" xfId="0"/>
    <xf numFmtId="167" fontId="5" fillId="0" borderId="1" applyAlignment="1" pivotButton="0" quotePrefix="0" xfId="0">
      <alignment horizontal="right"/>
    </xf>
    <xf numFmtId="0" fontId="7" fillId="0" borderId="0" pivotButton="0" quotePrefix="0" xfId="0"/>
    <xf numFmtId="0" fontId="2" fillId="0" borderId="1" pivotButton="0" quotePrefix="0" xfId="0"/>
    <xf numFmtId="168" fontId="5" fillId="0" borderId="1" applyAlignment="1" pivotButton="0" quotePrefix="0" xfId="0">
      <alignment horizontal="center"/>
    </xf>
    <xf numFmtId="0" fontId="1" fillId="2" borderId="0" applyAlignment="1" pivotButton="0" quotePrefix="0" xfId="0">
      <alignment horizontal="center" vertical="center" wrapText="1"/>
    </xf>
  </cellXfs>
  <cellStyles count="1">
    <cellStyle name="Normal" xfId="0" builtinId="0" hidden="0"/>
  </cellStyles>
  <dxfs count="4">
    <dxf>
      <font>
        <color rgb="009B1C1C"/>
      </font>
    </dxf>
    <dxf>
      <font>
        <color rgb="001E7B34"/>
      </font>
    </dxf>
    <dxf>
      <font>
        <b val="1"/>
        <color rgb="009B1C1C"/>
      </font>
      <fill>
        <patternFill patternType="solid">
          <bgColor rgb="00F8D7DA"/>
        </patternFill>
      </fill>
    </dxf>
    <dxf>
      <font>
        <b val="1"/>
        <color rgb="001E7B34"/>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6"/>
  <sheetViews>
    <sheetView showGridLines="0" workbookViewId="0">
      <selection activeCell="A1" sqref="A1"/>
    </sheetView>
  </sheetViews>
  <sheetFormatPr baseColWidth="8" defaultRowHeight="15"/>
  <cols>
    <col width="3" customWidth="1" min="1" max="1"/>
    <col width="28" customWidth="1" min="2" max="2"/>
    <col width="105" customWidth="1" min="3" max="3"/>
  </cols>
  <sheetData>
    <row r="2">
      <c r="B2" s="1" t="inlineStr">
        <is>
          <t>Publications intermédiaires - CGF Gestion</t>
        </is>
      </c>
    </row>
    <row r="3">
      <c r="B3" s="2" t="inlineStr">
        <is>
          <t>Fichier de suivi à charger dans l'application « Fiche de valeur BRVM », au même titre que le classeur des états financiers et la base de données SMF.</t>
        </is>
      </c>
    </row>
    <row r="5" ht="56" customHeight="1">
      <c r="B5" s="3" t="inlineStr">
        <is>
          <t>Objet</t>
        </is>
      </c>
      <c r="C5" s="4" t="inlineStr">
        <is>
          <t>Suivre, titre par titre, les indicateurs publiés en cours d'exercice : T1 (1er trimestre), S1 (1er semestre) et T3 (3e trimestre). L'application en tire la dynamique de l'exercice en cours : croissance cumulée face à la même période de l'an dernier, tendance d'une publication à l'autre, 12 mois glissants. Cette dynamique s'ajoute aux états financiers complets du dernier exercice clos.</t>
        </is>
      </c>
    </row>
    <row r="6" ht="182" customHeight="1">
      <c r="B6" s="3" t="inlineStr">
        <is>
          <t>Comment renseigner</t>
        </is>
      </c>
      <c r="C6" s="4" t="inlineStr">
        <is>
          <t>1. Choisissez la feuille « Entreprises » ou « Banques » selon le type du titre (feuille « Titres »).
2. Trouvez la ligne du titre, de l'exercice et de la période, ou ajoutez une ligne sous les dernières.
3. Saisissez les montants de la publication en millions de FCFA, cumulés depuis le 1er janvier.
4. Une publication donne N et N-1 : renseignez aussi la ligne de l'exercice précédent (même période).
   Les colonnes « Var. ... vs même période N-1 » (à droite, calculées) comparent chaque ligne à la même période de l'exercice précédent.
5. Indiquez le statut, la date de publication et la source (lien richbourse ou brvm.org).
6. Contrôlez la colonne « Contrôle de cohérence » et suivez l'avancement dans « Suivi ».</t>
        </is>
      </c>
    </row>
    <row r="7" ht="42" customHeight="1">
      <c r="B7" s="3" t="inlineStr">
        <is>
          <t>Cumul et périodes</t>
        </is>
      </c>
      <c r="C7" s="4" t="inlineStr">
        <is>
          <t>Toutes les valeurs sont cumulées depuis le 1er janvier : T1 = 3 mois, S1 = 6 mois, T3 = 9 mois. Si une société publie un trimestre isolé, additionnez les trimestres. Les encours bancaires (crédits, dépôts) sont ceux de la fin de période.</t>
        </is>
      </c>
    </row>
    <row r="8" ht="30" customHeight="1">
      <c r="B8" s="3" t="inlineStr">
        <is>
          <t>Unité et signes</t>
        </is>
      </c>
      <c r="C8" s="4" t="inlineStr">
        <is>
          <t>Millions de FCFA. Les charges se saisissent en négatif (frais de gestion, coût du risque). Les autres soldes sont repris tels que publiés. Si le document est en milliers ou en milliards, convertissez en millions.</t>
        </is>
      </c>
    </row>
    <row r="9" ht="30" customHeight="1">
      <c r="B9" s="3" t="inlineStr">
        <is>
          <t>Retraitements</t>
        </is>
      </c>
      <c r="C9" s="4" t="inlineStr">
        <is>
          <t>Si le comparatif N-1 d'une publication diffère du chiffre publié l'an dernier (retraitement), retenez le chiffre de la publication la plus récente et indiquez-le dans la source.</t>
        </is>
      </c>
    </row>
    <row r="10" ht="30" customHeight="1">
      <c r="B10" s="3" t="inlineStr">
        <is>
          <t>Statuts</t>
        </is>
      </c>
      <c r="C10" s="4" t="inlineStr">
        <is>
          <t>Publié : chiffres figurant dans le document publié. Provisoire : communiqué ou chiffres non encore certifiés. À vérifier : valeur à contrôler.</t>
        </is>
      </c>
    </row>
    <row r="11" ht="30" customHeight="1">
      <c r="B11" s="3" t="inlineStr">
        <is>
          <t>Règles de priorité</t>
        </is>
      </c>
      <c r="C11" s="4" t="inlineStr">
        <is>
          <t>Le fichier prime sur la lecture automatique de richbourse.com, qui comble seulement les périodes ou indicateurs absents. Un document PDF chargé dans l'application prime sur la lecture automatique.</t>
        </is>
      </c>
    </row>
    <row r="12" ht="42" customHeight="1">
      <c r="B12" s="3" t="inlineStr">
        <is>
          <t>12 mois glissants</t>
        </is>
      </c>
      <c r="C12" s="4" t="inlineStr">
        <is>
          <t>12 mois glissants = exercice N-1 + cumul N - cumul N-1 de la même période. Ils neutralisent la saisonnalité et alimentent le PER glissant, la croissance et la tendance. Ils exigent le dernier exercice clos dans les états financiers ou la base SMF.</t>
        </is>
      </c>
    </row>
    <row r="13" ht="30" customHeight="1">
      <c r="B13" s="3" t="inlineStr">
        <is>
          <t>Où trouver les chiffres</t>
        </is>
      </c>
      <c r="C13" s="4" t="inlineStr">
        <is>
          <t>brvm.org (avis et communiqués), richbourse.com (rubrique Etats financiers : rapports d'activités T1, S1, T3), sites des sociétés.</t>
        </is>
      </c>
    </row>
    <row r="14" ht="30" customHeight="1">
      <c r="B14" s="3" t="inlineStr">
        <is>
          <t>Code couleur</t>
        </is>
      </c>
      <c r="C14" s="4" t="inlineStr">
        <is>
          <t>Texte bleu : saisie. Texte noir : formule, ne pas modifier. Fond gris : colonne calculée.</t>
        </is>
      </c>
    </row>
    <row r="16">
      <c r="B16" s="5" t="inlineStr">
        <is>
          <t>Société de gestion collective au capital de 500 000 000 FCFA - N° agrément CREPMF SG-003/2001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39"/>
  <sheetViews>
    <sheetView zoomScale="90"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9" customWidth="1" min="3" max="3"/>
    <col width="9" customWidth="1" min="4" max="4"/>
    <col width="12" customWidth="1" min="5" max="5"/>
    <col width="14" customWidth="1" min="6" max="6"/>
    <col width="40" customWidth="1" min="7" max="7"/>
    <col width="15" customWidth="1" min="8" max="8"/>
    <col width="15" customWidth="1" min="9" max="9"/>
    <col width="15" customWidth="1" min="10" max="10"/>
    <col width="15" customWidth="1" min="11" max="11"/>
    <col width="15" customWidth="1" min="12" max="12"/>
    <col width="15" customWidth="1" min="13" max="13"/>
    <col width="11" customWidth="1" min="14" max="14"/>
    <col width="30" customWidth="1" min="15" max="15"/>
    <col width="15" customWidth="1" min="16" max="16"/>
    <col width="15" customWidth="1" min="17" max="17"/>
    <col width="15" customWidth="1" min="18" max="18"/>
    <col width="15" customWidth="1" min="19" max="19"/>
    <col width="15" customWidth="1" min="20" max="20"/>
    <col width="15" customWidth="1" min="21" max="21"/>
  </cols>
  <sheetData>
    <row r="1">
      <c r="A1" s="6" t="inlineStr">
        <is>
          <t>Publications intermédiaires (T1, S1, T3) - entreprises</t>
        </is>
      </c>
    </row>
    <row r="2" ht="40" customHeight="1">
      <c r="A2" s="7" t="inlineStr">
        <is>
          <t>Une ligne par titre, exercice et période. Montants cumulés depuis le 1er janvier (T1 = 3 mois, S1 = 6 mois, T3 = 9 mois), en millions de FCFA, tels que publiés. Charges en négatif. Une publication donne l'exercice N et le comparatif N-1 : renseignez les deux lignes. Texte bleu : saisie. Voir « Lisez-moi ».</t>
        </is>
      </c>
    </row>
    <row r="4" ht="54" customHeight="1">
      <c r="A4" s="8" t="inlineStr">
        <is>
          <t>Ticker</t>
        </is>
      </c>
      <c r="B4" s="8" t="inlineStr">
        <is>
          <t>Société</t>
        </is>
      </c>
      <c r="C4" s="8" t="inlineStr">
        <is>
          <t>Exercice</t>
        </is>
      </c>
      <c r="D4" s="8" t="inlineStr">
        <is>
          <t>Période</t>
        </is>
      </c>
      <c r="E4" s="8" t="inlineStr">
        <is>
          <t>Statut</t>
        </is>
      </c>
      <c r="F4" s="8" t="inlineStr">
        <is>
          <t>Date de publication</t>
        </is>
      </c>
      <c r="G4" s="8" t="inlineStr">
        <is>
          <t>Source (lien ou référence)</t>
        </is>
      </c>
      <c r="H4" s="8" t="inlineStr">
        <is>
          <t>Chiffre d'affaires</t>
        </is>
      </c>
      <c r="I4" s="8" t="inlineStr">
        <is>
          <t>Valeur ajoutée</t>
        </is>
      </c>
      <c r="J4" s="8" t="inlineStr">
        <is>
          <t>EBE (excédent brut d'exploitation)</t>
        </is>
      </c>
      <c r="K4" s="8" t="inlineStr">
        <is>
          <t>Résultat d'exploitation</t>
        </is>
      </c>
      <c r="L4" s="8" t="inlineStr">
        <is>
          <t>Résultat des activités ordinaires (RAO)</t>
        </is>
      </c>
      <c r="M4" s="8" t="inlineStr">
        <is>
          <t>Résultat net</t>
        </is>
      </c>
      <c r="N4" s="8" t="inlineStr">
        <is>
          <t>Complétude</t>
        </is>
      </c>
      <c r="O4" s="8" t="inlineStr">
        <is>
          <t>Contrôle de cohérence</t>
        </is>
      </c>
      <c r="P4" s="8" t="inlineStr">
        <is>
          <t>Var. chiffre d'affaires vs même période N-1</t>
        </is>
      </c>
      <c r="Q4" s="8" t="inlineStr">
        <is>
          <t>Var. valeur ajoutée vs même période N-1</t>
        </is>
      </c>
      <c r="R4" s="8" t="inlineStr">
        <is>
          <t>Var. ebe vs même période N-1</t>
        </is>
      </c>
      <c r="S4" s="8" t="inlineStr">
        <is>
          <t>Var. résultat d'exploitation vs même période N-1</t>
        </is>
      </c>
      <c r="T4" s="8" t="inlineStr">
        <is>
          <t>Var. résultat des activités ordinaires vs même période N-1</t>
        </is>
      </c>
      <c r="U4" s="8" t="inlineStr">
        <is>
          <t>Var. résultat net vs même période N-1</t>
        </is>
      </c>
    </row>
    <row r="5">
      <c r="A5" s="9" t="inlineStr">
        <is>
          <t>NTLC</t>
        </is>
      </c>
      <c r="B5" s="10">
        <f>IF(A5="","",IFERROR(VLOOKUP(A5,Titres!$A$2:$B$400,2,FALSE),"Ticker inconnu"))</f>
        <v/>
      </c>
      <c r="C5" s="11" t="n">
        <v>2021</v>
      </c>
      <c r="D5" s="11" t="inlineStr">
        <is>
          <t>T1</t>
        </is>
      </c>
      <c r="E5" s="9" t="n"/>
      <c r="F5" s="12" t="n"/>
      <c r="G5" s="9" t="n"/>
      <c r="H5" s="13" t="n"/>
      <c r="I5" s="13" t="n"/>
      <c r="J5" s="13" t="n"/>
      <c r="K5" s="13" t="n"/>
      <c r="L5" s="13" t="n"/>
      <c r="M5" s="13" t="n"/>
      <c r="N5" s="14">
        <f>IF(A5="","",COUNT(H5:M5)/6)</f>
        <v/>
      </c>
      <c r="O5" s="15">
        <f>IF(COUNT(H5:M5)=0,"",IF(LEN(IF(COUNT(I5,J5)=2,IF(J5&gt;I5+1,"EBE &gt; VA ",""),"")&amp;IF(COUNT(H5,M5)=2,IF(ABS(M5)&gt;ABS(H5),"RN &gt; CA ",""),"")&amp;IF(COUNT(H5,K5)=2,IF(ABS(K5)&gt;ABS(H5),"RE &gt; CA ",""),""))=0,"OK",IF(COUNT(I5,J5)=2,IF(J5&gt;I5+1,"EBE &gt; VA ",""),"")&amp;IF(COUNT(H5,M5)=2,IF(ABS(M5)&gt;ABS(H5),"RN &gt; CA ",""),"")&amp;IF(COUNT(H5,K5)=2,IF(ABS(K5)&gt;ABS(H5),"RE &gt; CA ",""),"")))</f>
        <v/>
      </c>
      <c r="P5" s="16">
        <f>IF(OR($A5="",H5="",$C5=""),"",IF(COUNTIFS($A$5:$A$639,$A5,$C$5:$C$639,$C5-1,$D$5:$D$639,$D5,H$5:H$639,"&lt;&gt;")=0,"",IF(OR(SUMIFS(H$5:H$639,$A$5:$A$639,$A5,$C$5:$C$639,$C5-1,$D$5:$D$639,$D5)=0,H5*SUMIFS(H$5:H$639,$A$5:$A$639,$A5,$C$5:$C$639,$C5-1,$D$5:$D$639,$D5)&lt;0),"n.s.",ABS(H5)/ABS(SUMIFS(H$5:H$639,$A$5:$A$639,$A5,$C$5:$C$639,$C5-1,$D$5:$D$639,$D5))-1)))</f>
        <v/>
      </c>
      <c r="Q5" s="16">
        <f>IF(OR($A5="",I5="",$C5=""),"",IF(COUNTIFS($A$5:$A$639,$A5,$C$5:$C$639,$C5-1,$D$5:$D$639,$D5,I$5:I$639,"&lt;&gt;")=0,"",IF(OR(SUMIFS(I$5:I$639,$A$5:$A$639,$A5,$C$5:$C$639,$C5-1,$D$5:$D$639,$D5)=0,I5*SUMIFS(I$5:I$639,$A$5:$A$639,$A5,$C$5:$C$639,$C5-1,$D$5:$D$639,$D5)&lt;0),"n.s.",ABS(I5)/ABS(SUMIFS(I$5:I$639,$A$5:$A$639,$A5,$C$5:$C$639,$C5-1,$D$5:$D$639,$D5))-1)))</f>
        <v/>
      </c>
      <c r="R5" s="16">
        <f>IF(OR($A5="",J5="",$C5=""),"",IF(COUNTIFS($A$5:$A$639,$A5,$C$5:$C$639,$C5-1,$D$5:$D$639,$D5,J$5:J$639,"&lt;&gt;")=0,"",IF(OR(SUMIFS(J$5:J$639,$A$5:$A$639,$A5,$C$5:$C$639,$C5-1,$D$5:$D$639,$D5)=0,J5*SUMIFS(J$5:J$639,$A$5:$A$639,$A5,$C$5:$C$639,$C5-1,$D$5:$D$639,$D5)&lt;0),"n.s.",ABS(J5)/ABS(SUMIFS(J$5:J$639,$A$5:$A$639,$A5,$C$5:$C$639,$C5-1,$D$5:$D$639,$D5))-1)))</f>
        <v/>
      </c>
      <c r="S5" s="16">
        <f>IF(OR($A5="",K5="",$C5=""),"",IF(COUNTIFS($A$5:$A$639,$A5,$C$5:$C$639,$C5-1,$D$5:$D$639,$D5,K$5:K$639,"&lt;&gt;")=0,"",IF(OR(SUMIFS(K$5:K$639,$A$5:$A$639,$A5,$C$5:$C$639,$C5-1,$D$5:$D$639,$D5)=0,K5*SUMIFS(K$5:K$639,$A$5:$A$639,$A5,$C$5:$C$639,$C5-1,$D$5:$D$639,$D5)&lt;0),"n.s.",ABS(K5)/ABS(SUMIFS(K$5:K$639,$A$5:$A$639,$A5,$C$5:$C$639,$C5-1,$D$5:$D$639,$D5))-1)))</f>
        <v/>
      </c>
      <c r="T5" s="16">
        <f>IF(OR($A5="",L5="",$C5=""),"",IF(COUNTIFS($A$5:$A$639,$A5,$C$5:$C$639,$C5-1,$D$5:$D$639,$D5,L$5:L$639,"&lt;&gt;")=0,"",IF(OR(SUMIFS(L$5:L$639,$A$5:$A$639,$A5,$C$5:$C$639,$C5-1,$D$5:$D$639,$D5)=0,L5*SUMIFS(L$5:L$639,$A$5:$A$639,$A5,$C$5:$C$639,$C5-1,$D$5:$D$639,$D5)&lt;0),"n.s.",ABS(L5)/ABS(SUMIFS(L$5:L$639,$A$5:$A$639,$A5,$C$5:$C$639,$C5-1,$D$5:$D$639,$D5))-1)))</f>
        <v/>
      </c>
      <c r="U5" s="16">
        <f>IF(OR($A5="",M5="",$C5=""),"",IF(COUNTIFS($A$5:$A$639,$A5,$C$5:$C$639,$C5-1,$D$5:$D$639,$D5,M$5:M$639,"&lt;&gt;")=0,"",IF(OR(SUMIFS(M$5:M$639,$A$5:$A$639,$A5,$C$5:$C$639,$C5-1,$D$5:$D$639,$D5)=0,M5*SUMIFS(M$5:M$639,$A$5:$A$639,$A5,$C$5:$C$639,$C5-1,$D$5:$D$639,$D5)&lt;0),"n.s.",ABS(M5)/ABS(SUMIFS(M$5:M$639,$A$5:$A$639,$A5,$C$5:$C$639,$C5-1,$D$5:$D$639,$D5))-1)))</f>
        <v/>
      </c>
    </row>
    <row r="6">
      <c r="A6" s="9" t="inlineStr">
        <is>
          <t>NTLC</t>
        </is>
      </c>
      <c r="B6" s="10">
        <f>IF(A6="","",IFERROR(VLOOKUP(A6,Titres!$A$2:$B$400,2,FALSE),"Ticker inconnu"))</f>
        <v/>
      </c>
      <c r="C6" s="11" t="n">
        <v>2021</v>
      </c>
      <c r="D6" s="11" t="inlineStr">
        <is>
          <t>S1</t>
        </is>
      </c>
      <c r="E6" s="9" t="n"/>
      <c r="F6" s="12" t="n"/>
      <c r="G6" s="9" t="n"/>
      <c r="H6" s="13" t="n"/>
      <c r="I6" s="13" t="n"/>
      <c r="J6" s="13" t="n"/>
      <c r="K6" s="13" t="n"/>
      <c r="L6" s="13" t="n"/>
      <c r="M6" s="13" t="n"/>
      <c r="N6" s="14">
        <f>IF(A6="","",COUNT(H6:M6)/6)</f>
        <v/>
      </c>
      <c r="O6" s="15">
        <f>IF(COUNT(H6:M6)=0,"",IF(LEN(IF(COUNT(I6,J6)=2,IF(J6&gt;I6+1,"EBE &gt; VA ",""),"")&amp;IF(COUNT(H6,M6)=2,IF(ABS(M6)&gt;ABS(H6),"RN &gt; CA ",""),"")&amp;IF(COUNT(H6,K6)=2,IF(ABS(K6)&gt;ABS(H6),"RE &gt; CA ",""),""))=0,"OK",IF(COUNT(I6,J6)=2,IF(J6&gt;I6+1,"EBE &gt; VA ",""),"")&amp;IF(COUNT(H6,M6)=2,IF(ABS(M6)&gt;ABS(H6),"RN &gt; CA ",""),"")&amp;IF(COUNT(H6,K6)=2,IF(ABS(K6)&gt;ABS(H6),"RE &gt; CA ",""),"")))</f>
        <v/>
      </c>
      <c r="P6" s="16">
        <f>IF(OR($A6="",H6="",$C6=""),"",IF(COUNTIFS($A$5:$A$639,$A6,$C$5:$C$639,$C6-1,$D$5:$D$639,$D6,H$5:H$639,"&lt;&gt;")=0,"",IF(OR(SUMIFS(H$5:H$639,$A$5:$A$639,$A6,$C$5:$C$639,$C6-1,$D$5:$D$639,$D6)=0,H6*SUMIFS(H$5:H$639,$A$5:$A$639,$A6,$C$5:$C$639,$C6-1,$D$5:$D$639,$D6)&lt;0),"n.s.",ABS(H6)/ABS(SUMIFS(H$5:H$639,$A$5:$A$639,$A6,$C$5:$C$639,$C6-1,$D$5:$D$639,$D6))-1)))</f>
        <v/>
      </c>
      <c r="Q6" s="16">
        <f>IF(OR($A6="",I6="",$C6=""),"",IF(COUNTIFS($A$5:$A$639,$A6,$C$5:$C$639,$C6-1,$D$5:$D$639,$D6,I$5:I$639,"&lt;&gt;")=0,"",IF(OR(SUMIFS(I$5:I$639,$A$5:$A$639,$A6,$C$5:$C$639,$C6-1,$D$5:$D$639,$D6)=0,I6*SUMIFS(I$5:I$639,$A$5:$A$639,$A6,$C$5:$C$639,$C6-1,$D$5:$D$639,$D6)&lt;0),"n.s.",ABS(I6)/ABS(SUMIFS(I$5:I$639,$A$5:$A$639,$A6,$C$5:$C$639,$C6-1,$D$5:$D$639,$D6))-1)))</f>
        <v/>
      </c>
      <c r="R6" s="16">
        <f>IF(OR($A6="",J6="",$C6=""),"",IF(COUNTIFS($A$5:$A$639,$A6,$C$5:$C$639,$C6-1,$D$5:$D$639,$D6,J$5:J$639,"&lt;&gt;")=0,"",IF(OR(SUMIFS(J$5:J$639,$A$5:$A$639,$A6,$C$5:$C$639,$C6-1,$D$5:$D$639,$D6)=0,J6*SUMIFS(J$5:J$639,$A$5:$A$639,$A6,$C$5:$C$639,$C6-1,$D$5:$D$639,$D6)&lt;0),"n.s.",ABS(J6)/ABS(SUMIFS(J$5:J$639,$A$5:$A$639,$A6,$C$5:$C$639,$C6-1,$D$5:$D$639,$D6))-1)))</f>
        <v/>
      </c>
      <c r="S6" s="16">
        <f>IF(OR($A6="",K6="",$C6=""),"",IF(COUNTIFS($A$5:$A$639,$A6,$C$5:$C$639,$C6-1,$D$5:$D$639,$D6,K$5:K$639,"&lt;&gt;")=0,"",IF(OR(SUMIFS(K$5:K$639,$A$5:$A$639,$A6,$C$5:$C$639,$C6-1,$D$5:$D$639,$D6)=0,K6*SUMIFS(K$5:K$639,$A$5:$A$639,$A6,$C$5:$C$639,$C6-1,$D$5:$D$639,$D6)&lt;0),"n.s.",ABS(K6)/ABS(SUMIFS(K$5:K$639,$A$5:$A$639,$A6,$C$5:$C$639,$C6-1,$D$5:$D$639,$D6))-1)))</f>
        <v/>
      </c>
      <c r="T6" s="16">
        <f>IF(OR($A6="",L6="",$C6=""),"",IF(COUNTIFS($A$5:$A$639,$A6,$C$5:$C$639,$C6-1,$D$5:$D$639,$D6,L$5:L$639,"&lt;&gt;")=0,"",IF(OR(SUMIFS(L$5:L$639,$A$5:$A$639,$A6,$C$5:$C$639,$C6-1,$D$5:$D$639,$D6)=0,L6*SUMIFS(L$5:L$639,$A$5:$A$639,$A6,$C$5:$C$639,$C6-1,$D$5:$D$639,$D6)&lt;0),"n.s.",ABS(L6)/ABS(SUMIFS(L$5:L$639,$A$5:$A$639,$A6,$C$5:$C$639,$C6-1,$D$5:$D$639,$D6))-1)))</f>
        <v/>
      </c>
      <c r="U6" s="16">
        <f>IF(OR($A6="",M6="",$C6=""),"",IF(COUNTIFS($A$5:$A$639,$A6,$C$5:$C$639,$C6-1,$D$5:$D$639,$D6,M$5:M$639,"&lt;&gt;")=0,"",IF(OR(SUMIFS(M$5:M$639,$A$5:$A$639,$A6,$C$5:$C$639,$C6-1,$D$5:$D$639,$D6)=0,M6*SUMIFS(M$5:M$639,$A$5:$A$639,$A6,$C$5:$C$639,$C6-1,$D$5:$D$639,$D6)&lt;0),"n.s.",ABS(M6)/ABS(SUMIFS(M$5:M$639,$A$5:$A$639,$A6,$C$5:$C$639,$C6-1,$D$5:$D$639,$D6))-1)))</f>
        <v/>
      </c>
    </row>
    <row r="7">
      <c r="A7" s="9" t="inlineStr">
        <is>
          <t>NTLC</t>
        </is>
      </c>
      <c r="B7" s="10">
        <f>IF(A7="","",IFERROR(VLOOKUP(A7,Titres!$A$2:$B$400,2,FALSE),"Ticker inconnu"))</f>
        <v/>
      </c>
      <c r="C7" s="11" t="n">
        <v>2021</v>
      </c>
      <c r="D7" s="11" t="inlineStr">
        <is>
          <t>T3</t>
        </is>
      </c>
      <c r="E7" s="9" t="n"/>
      <c r="F7" s="12" t="n"/>
      <c r="G7" s="9" t="n"/>
      <c r="H7" s="13" t="n"/>
      <c r="I7" s="13" t="n"/>
      <c r="J7" s="13" t="n"/>
      <c r="K7" s="13" t="n"/>
      <c r="L7" s="13" t="n"/>
      <c r="M7" s="13" t="n"/>
      <c r="N7" s="14">
        <f>IF(A7="","",COUNT(H7:M7)/6)</f>
        <v/>
      </c>
      <c r="O7" s="15">
        <f>IF(COUNT(H7:M7)=0,"",IF(LEN(IF(COUNT(I7,J7)=2,IF(J7&gt;I7+1,"EBE &gt; VA ",""),"")&amp;IF(COUNT(H7,M7)=2,IF(ABS(M7)&gt;ABS(H7),"RN &gt; CA ",""),"")&amp;IF(COUNT(H7,K7)=2,IF(ABS(K7)&gt;ABS(H7),"RE &gt; CA ",""),""))=0,"OK",IF(COUNT(I7,J7)=2,IF(J7&gt;I7+1,"EBE &gt; VA ",""),"")&amp;IF(COUNT(H7,M7)=2,IF(ABS(M7)&gt;ABS(H7),"RN &gt; CA ",""),"")&amp;IF(COUNT(H7,K7)=2,IF(ABS(K7)&gt;ABS(H7),"RE &gt; CA ",""),"")))</f>
        <v/>
      </c>
      <c r="P7" s="16">
        <f>IF(OR($A7="",H7="",$C7=""),"",IF(COUNTIFS($A$5:$A$639,$A7,$C$5:$C$639,$C7-1,$D$5:$D$639,$D7,H$5:H$639,"&lt;&gt;")=0,"",IF(OR(SUMIFS(H$5:H$639,$A$5:$A$639,$A7,$C$5:$C$639,$C7-1,$D$5:$D$639,$D7)=0,H7*SUMIFS(H$5:H$639,$A$5:$A$639,$A7,$C$5:$C$639,$C7-1,$D$5:$D$639,$D7)&lt;0),"n.s.",ABS(H7)/ABS(SUMIFS(H$5:H$639,$A$5:$A$639,$A7,$C$5:$C$639,$C7-1,$D$5:$D$639,$D7))-1)))</f>
        <v/>
      </c>
      <c r="Q7" s="16">
        <f>IF(OR($A7="",I7="",$C7=""),"",IF(COUNTIFS($A$5:$A$639,$A7,$C$5:$C$639,$C7-1,$D$5:$D$639,$D7,I$5:I$639,"&lt;&gt;")=0,"",IF(OR(SUMIFS(I$5:I$639,$A$5:$A$639,$A7,$C$5:$C$639,$C7-1,$D$5:$D$639,$D7)=0,I7*SUMIFS(I$5:I$639,$A$5:$A$639,$A7,$C$5:$C$639,$C7-1,$D$5:$D$639,$D7)&lt;0),"n.s.",ABS(I7)/ABS(SUMIFS(I$5:I$639,$A$5:$A$639,$A7,$C$5:$C$639,$C7-1,$D$5:$D$639,$D7))-1)))</f>
        <v/>
      </c>
      <c r="R7" s="16">
        <f>IF(OR($A7="",J7="",$C7=""),"",IF(COUNTIFS($A$5:$A$639,$A7,$C$5:$C$639,$C7-1,$D$5:$D$639,$D7,J$5:J$639,"&lt;&gt;")=0,"",IF(OR(SUMIFS(J$5:J$639,$A$5:$A$639,$A7,$C$5:$C$639,$C7-1,$D$5:$D$639,$D7)=0,J7*SUMIFS(J$5:J$639,$A$5:$A$639,$A7,$C$5:$C$639,$C7-1,$D$5:$D$639,$D7)&lt;0),"n.s.",ABS(J7)/ABS(SUMIFS(J$5:J$639,$A$5:$A$639,$A7,$C$5:$C$639,$C7-1,$D$5:$D$639,$D7))-1)))</f>
        <v/>
      </c>
      <c r="S7" s="16">
        <f>IF(OR($A7="",K7="",$C7=""),"",IF(COUNTIFS($A$5:$A$639,$A7,$C$5:$C$639,$C7-1,$D$5:$D$639,$D7,K$5:K$639,"&lt;&gt;")=0,"",IF(OR(SUMIFS(K$5:K$639,$A$5:$A$639,$A7,$C$5:$C$639,$C7-1,$D$5:$D$639,$D7)=0,K7*SUMIFS(K$5:K$639,$A$5:$A$639,$A7,$C$5:$C$639,$C7-1,$D$5:$D$639,$D7)&lt;0),"n.s.",ABS(K7)/ABS(SUMIFS(K$5:K$639,$A$5:$A$639,$A7,$C$5:$C$639,$C7-1,$D$5:$D$639,$D7))-1)))</f>
        <v/>
      </c>
      <c r="T7" s="16">
        <f>IF(OR($A7="",L7="",$C7=""),"",IF(COUNTIFS($A$5:$A$639,$A7,$C$5:$C$639,$C7-1,$D$5:$D$639,$D7,L$5:L$639,"&lt;&gt;")=0,"",IF(OR(SUMIFS(L$5:L$639,$A$5:$A$639,$A7,$C$5:$C$639,$C7-1,$D$5:$D$639,$D7)=0,L7*SUMIFS(L$5:L$639,$A$5:$A$639,$A7,$C$5:$C$639,$C7-1,$D$5:$D$639,$D7)&lt;0),"n.s.",ABS(L7)/ABS(SUMIFS(L$5:L$639,$A$5:$A$639,$A7,$C$5:$C$639,$C7-1,$D$5:$D$639,$D7))-1)))</f>
        <v/>
      </c>
      <c r="U7" s="16">
        <f>IF(OR($A7="",M7="",$C7=""),"",IF(COUNTIFS($A$5:$A$639,$A7,$C$5:$C$639,$C7-1,$D$5:$D$639,$D7,M$5:M$639,"&lt;&gt;")=0,"",IF(OR(SUMIFS(M$5:M$639,$A$5:$A$639,$A7,$C$5:$C$639,$C7-1,$D$5:$D$639,$D7)=0,M7*SUMIFS(M$5:M$639,$A$5:$A$639,$A7,$C$5:$C$639,$C7-1,$D$5:$D$639,$D7)&lt;0),"n.s.",ABS(M7)/ABS(SUMIFS(M$5:M$639,$A$5:$A$639,$A7,$C$5:$C$639,$C7-1,$D$5:$D$639,$D7))-1)))</f>
        <v/>
      </c>
    </row>
    <row r="8">
      <c r="A8" s="9" t="inlineStr">
        <is>
          <t>NTLC</t>
        </is>
      </c>
      <c r="B8" s="10">
        <f>IF(A8="","",IFERROR(VLOOKUP(A8,Titres!$A$2:$B$400,2,FALSE),"Ticker inconnu"))</f>
        <v/>
      </c>
      <c r="C8" s="11" t="n">
        <v>2022</v>
      </c>
      <c r="D8" s="11" t="inlineStr">
        <is>
          <t>T1</t>
        </is>
      </c>
      <c r="E8" s="9" t="n"/>
      <c r="F8" s="12" t="n"/>
      <c r="G8" s="9" t="n"/>
      <c r="H8" s="13" t="n"/>
      <c r="I8" s="13" t="n"/>
      <c r="J8" s="13" t="n"/>
      <c r="K8" s="13" t="n"/>
      <c r="L8" s="13" t="n"/>
      <c r="M8" s="13" t="n"/>
      <c r="N8" s="14">
        <f>IF(A8="","",COUNT(H8:M8)/6)</f>
        <v/>
      </c>
      <c r="O8" s="15">
        <f>IF(COUNT(H8:M8)=0,"",IF(LEN(IF(COUNT(I8,J8)=2,IF(J8&gt;I8+1,"EBE &gt; VA ",""),"")&amp;IF(COUNT(H8,M8)=2,IF(ABS(M8)&gt;ABS(H8),"RN &gt; CA ",""),"")&amp;IF(COUNT(H8,K8)=2,IF(ABS(K8)&gt;ABS(H8),"RE &gt; CA ",""),""))=0,"OK",IF(COUNT(I8,J8)=2,IF(J8&gt;I8+1,"EBE &gt; VA ",""),"")&amp;IF(COUNT(H8,M8)=2,IF(ABS(M8)&gt;ABS(H8),"RN &gt; CA ",""),"")&amp;IF(COUNT(H8,K8)=2,IF(ABS(K8)&gt;ABS(H8),"RE &gt; CA ",""),"")))</f>
        <v/>
      </c>
      <c r="P8" s="16">
        <f>IF(OR($A8="",H8="",$C8=""),"",IF(COUNTIFS($A$5:$A$639,$A8,$C$5:$C$639,$C8-1,$D$5:$D$639,$D8,H$5:H$639,"&lt;&gt;")=0,"",IF(OR(SUMIFS(H$5:H$639,$A$5:$A$639,$A8,$C$5:$C$639,$C8-1,$D$5:$D$639,$D8)=0,H8*SUMIFS(H$5:H$639,$A$5:$A$639,$A8,$C$5:$C$639,$C8-1,$D$5:$D$639,$D8)&lt;0),"n.s.",ABS(H8)/ABS(SUMIFS(H$5:H$639,$A$5:$A$639,$A8,$C$5:$C$639,$C8-1,$D$5:$D$639,$D8))-1)))</f>
        <v/>
      </c>
      <c r="Q8" s="16">
        <f>IF(OR($A8="",I8="",$C8=""),"",IF(COUNTIFS($A$5:$A$639,$A8,$C$5:$C$639,$C8-1,$D$5:$D$639,$D8,I$5:I$639,"&lt;&gt;")=0,"",IF(OR(SUMIFS(I$5:I$639,$A$5:$A$639,$A8,$C$5:$C$639,$C8-1,$D$5:$D$639,$D8)=0,I8*SUMIFS(I$5:I$639,$A$5:$A$639,$A8,$C$5:$C$639,$C8-1,$D$5:$D$639,$D8)&lt;0),"n.s.",ABS(I8)/ABS(SUMIFS(I$5:I$639,$A$5:$A$639,$A8,$C$5:$C$639,$C8-1,$D$5:$D$639,$D8))-1)))</f>
        <v/>
      </c>
      <c r="R8" s="16">
        <f>IF(OR($A8="",J8="",$C8=""),"",IF(COUNTIFS($A$5:$A$639,$A8,$C$5:$C$639,$C8-1,$D$5:$D$639,$D8,J$5:J$639,"&lt;&gt;")=0,"",IF(OR(SUMIFS(J$5:J$639,$A$5:$A$639,$A8,$C$5:$C$639,$C8-1,$D$5:$D$639,$D8)=0,J8*SUMIFS(J$5:J$639,$A$5:$A$639,$A8,$C$5:$C$639,$C8-1,$D$5:$D$639,$D8)&lt;0),"n.s.",ABS(J8)/ABS(SUMIFS(J$5:J$639,$A$5:$A$639,$A8,$C$5:$C$639,$C8-1,$D$5:$D$639,$D8))-1)))</f>
        <v/>
      </c>
      <c r="S8" s="16">
        <f>IF(OR($A8="",K8="",$C8=""),"",IF(COUNTIFS($A$5:$A$639,$A8,$C$5:$C$639,$C8-1,$D$5:$D$639,$D8,K$5:K$639,"&lt;&gt;")=0,"",IF(OR(SUMIFS(K$5:K$639,$A$5:$A$639,$A8,$C$5:$C$639,$C8-1,$D$5:$D$639,$D8)=0,K8*SUMIFS(K$5:K$639,$A$5:$A$639,$A8,$C$5:$C$639,$C8-1,$D$5:$D$639,$D8)&lt;0),"n.s.",ABS(K8)/ABS(SUMIFS(K$5:K$639,$A$5:$A$639,$A8,$C$5:$C$639,$C8-1,$D$5:$D$639,$D8))-1)))</f>
        <v/>
      </c>
      <c r="T8" s="16">
        <f>IF(OR($A8="",L8="",$C8=""),"",IF(COUNTIFS($A$5:$A$639,$A8,$C$5:$C$639,$C8-1,$D$5:$D$639,$D8,L$5:L$639,"&lt;&gt;")=0,"",IF(OR(SUMIFS(L$5:L$639,$A$5:$A$639,$A8,$C$5:$C$639,$C8-1,$D$5:$D$639,$D8)=0,L8*SUMIFS(L$5:L$639,$A$5:$A$639,$A8,$C$5:$C$639,$C8-1,$D$5:$D$639,$D8)&lt;0),"n.s.",ABS(L8)/ABS(SUMIFS(L$5:L$639,$A$5:$A$639,$A8,$C$5:$C$639,$C8-1,$D$5:$D$639,$D8))-1)))</f>
        <v/>
      </c>
      <c r="U8" s="16">
        <f>IF(OR($A8="",M8="",$C8=""),"",IF(COUNTIFS($A$5:$A$639,$A8,$C$5:$C$639,$C8-1,$D$5:$D$639,$D8,M$5:M$639,"&lt;&gt;")=0,"",IF(OR(SUMIFS(M$5:M$639,$A$5:$A$639,$A8,$C$5:$C$639,$C8-1,$D$5:$D$639,$D8)=0,M8*SUMIFS(M$5:M$639,$A$5:$A$639,$A8,$C$5:$C$639,$C8-1,$D$5:$D$639,$D8)&lt;0),"n.s.",ABS(M8)/ABS(SUMIFS(M$5:M$639,$A$5:$A$639,$A8,$C$5:$C$639,$C8-1,$D$5:$D$639,$D8))-1)))</f>
        <v/>
      </c>
    </row>
    <row r="9">
      <c r="A9" s="9" t="inlineStr">
        <is>
          <t>NTLC</t>
        </is>
      </c>
      <c r="B9" s="10">
        <f>IF(A9="","",IFERROR(VLOOKUP(A9,Titres!$A$2:$B$400,2,FALSE),"Ticker inconnu"))</f>
        <v/>
      </c>
      <c r="C9" s="11" t="n">
        <v>2022</v>
      </c>
      <c r="D9" s="11" t="inlineStr">
        <is>
          <t>S1</t>
        </is>
      </c>
      <c r="E9" s="9" t="n"/>
      <c r="F9" s="12" t="n"/>
      <c r="G9" s="9" t="n"/>
      <c r="H9" s="13" t="n"/>
      <c r="I9" s="13" t="n"/>
      <c r="J9" s="13" t="n"/>
      <c r="K9" s="13" t="n"/>
      <c r="L9" s="13" t="n"/>
      <c r="M9" s="13" t="n"/>
      <c r="N9" s="14">
        <f>IF(A9="","",COUNT(H9:M9)/6)</f>
        <v/>
      </c>
      <c r="O9" s="15">
        <f>IF(COUNT(H9:M9)=0,"",IF(LEN(IF(COUNT(I9,J9)=2,IF(J9&gt;I9+1,"EBE &gt; VA ",""),"")&amp;IF(COUNT(H9,M9)=2,IF(ABS(M9)&gt;ABS(H9),"RN &gt; CA ",""),"")&amp;IF(COUNT(H9,K9)=2,IF(ABS(K9)&gt;ABS(H9),"RE &gt; CA ",""),""))=0,"OK",IF(COUNT(I9,J9)=2,IF(J9&gt;I9+1,"EBE &gt; VA ",""),"")&amp;IF(COUNT(H9,M9)=2,IF(ABS(M9)&gt;ABS(H9),"RN &gt; CA ",""),"")&amp;IF(COUNT(H9,K9)=2,IF(ABS(K9)&gt;ABS(H9),"RE &gt; CA ",""),"")))</f>
        <v/>
      </c>
      <c r="P9" s="16">
        <f>IF(OR($A9="",H9="",$C9=""),"",IF(COUNTIFS($A$5:$A$639,$A9,$C$5:$C$639,$C9-1,$D$5:$D$639,$D9,H$5:H$639,"&lt;&gt;")=0,"",IF(OR(SUMIFS(H$5:H$639,$A$5:$A$639,$A9,$C$5:$C$639,$C9-1,$D$5:$D$639,$D9)=0,H9*SUMIFS(H$5:H$639,$A$5:$A$639,$A9,$C$5:$C$639,$C9-1,$D$5:$D$639,$D9)&lt;0),"n.s.",ABS(H9)/ABS(SUMIFS(H$5:H$639,$A$5:$A$639,$A9,$C$5:$C$639,$C9-1,$D$5:$D$639,$D9))-1)))</f>
        <v/>
      </c>
      <c r="Q9" s="16">
        <f>IF(OR($A9="",I9="",$C9=""),"",IF(COUNTIFS($A$5:$A$639,$A9,$C$5:$C$639,$C9-1,$D$5:$D$639,$D9,I$5:I$639,"&lt;&gt;")=0,"",IF(OR(SUMIFS(I$5:I$639,$A$5:$A$639,$A9,$C$5:$C$639,$C9-1,$D$5:$D$639,$D9)=0,I9*SUMIFS(I$5:I$639,$A$5:$A$639,$A9,$C$5:$C$639,$C9-1,$D$5:$D$639,$D9)&lt;0),"n.s.",ABS(I9)/ABS(SUMIFS(I$5:I$639,$A$5:$A$639,$A9,$C$5:$C$639,$C9-1,$D$5:$D$639,$D9))-1)))</f>
        <v/>
      </c>
      <c r="R9" s="16">
        <f>IF(OR($A9="",J9="",$C9=""),"",IF(COUNTIFS($A$5:$A$639,$A9,$C$5:$C$639,$C9-1,$D$5:$D$639,$D9,J$5:J$639,"&lt;&gt;")=0,"",IF(OR(SUMIFS(J$5:J$639,$A$5:$A$639,$A9,$C$5:$C$639,$C9-1,$D$5:$D$639,$D9)=0,J9*SUMIFS(J$5:J$639,$A$5:$A$639,$A9,$C$5:$C$639,$C9-1,$D$5:$D$639,$D9)&lt;0),"n.s.",ABS(J9)/ABS(SUMIFS(J$5:J$639,$A$5:$A$639,$A9,$C$5:$C$639,$C9-1,$D$5:$D$639,$D9))-1)))</f>
        <v/>
      </c>
      <c r="S9" s="16">
        <f>IF(OR($A9="",K9="",$C9=""),"",IF(COUNTIFS($A$5:$A$639,$A9,$C$5:$C$639,$C9-1,$D$5:$D$639,$D9,K$5:K$639,"&lt;&gt;")=0,"",IF(OR(SUMIFS(K$5:K$639,$A$5:$A$639,$A9,$C$5:$C$639,$C9-1,$D$5:$D$639,$D9)=0,K9*SUMIFS(K$5:K$639,$A$5:$A$639,$A9,$C$5:$C$639,$C9-1,$D$5:$D$639,$D9)&lt;0),"n.s.",ABS(K9)/ABS(SUMIFS(K$5:K$639,$A$5:$A$639,$A9,$C$5:$C$639,$C9-1,$D$5:$D$639,$D9))-1)))</f>
        <v/>
      </c>
      <c r="T9" s="16">
        <f>IF(OR($A9="",L9="",$C9=""),"",IF(COUNTIFS($A$5:$A$639,$A9,$C$5:$C$639,$C9-1,$D$5:$D$639,$D9,L$5:L$639,"&lt;&gt;")=0,"",IF(OR(SUMIFS(L$5:L$639,$A$5:$A$639,$A9,$C$5:$C$639,$C9-1,$D$5:$D$639,$D9)=0,L9*SUMIFS(L$5:L$639,$A$5:$A$639,$A9,$C$5:$C$639,$C9-1,$D$5:$D$639,$D9)&lt;0),"n.s.",ABS(L9)/ABS(SUMIFS(L$5:L$639,$A$5:$A$639,$A9,$C$5:$C$639,$C9-1,$D$5:$D$639,$D9))-1)))</f>
        <v/>
      </c>
      <c r="U9" s="16">
        <f>IF(OR($A9="",M9="",$C9=""),"",IF(COUNTIFS($A$5:$A$639,$A9,$C$5:$C$639,$C9-1,$D$5:$D$639,$D9,M$5:M$639,"&lt;&gt;")=0,"",IF(OR(SUMIFS(M$5:M$639,$A$5:$A$639,$A9,$C$5:$C$639,$C9-1,$D$5:$D$639,$D9)=0,M9*SUMIFS(M$5:M$639,$A$5:$A$639,$A9,$C$5:$C$639,$C9-1,$D$5:$D$639,$D9)&lt;0),"n.s.",ABS(M9)/ABS(SUMIFS(M$5:M$639,$A$5:$A$639,$A9,$C$5:$C$639,$C9-1,$D$5:$D$639,$D9))-1)))</f>
        <v/>
      </c>
    </row>
    <row r="10">
      <c r="A10" s="9" t="inlineStr">
        <is>
          <t>NTLC</t>
        </is>
      </c>
      <c r="B10" s="10">
        <f>IF(A10="","",IFERROR(VLOOKUP(A10,Titres!$A$2:$B$400,2,FALSE),"Ticker inconnu"))</f>
        <v/>
      </c>
      <c r="C10" s="11" t="n">
        <v>2022</v>
      </c>
      <c r="D10" s="11" t="inlineStr">
        <is>
          <t>T3</t>
        </is>
      </c>
      <c r="E10" s="9" t="n"/>
      <c r="F10" s="12" t="n"/>
      <c r="G10" s="9" t="n"/>
      <c r="H10" s="13" t="n"/>
      <c r="I10" s="13" t="n"/>
      <c r="J10" s="13" t="n"/>
      <c r="K10" s="13" t="n"/>
      <c r="L10" s="13" t="n"/>
      <c r="M10" s="13" t="n"/>
      <c r="N10" s="14">
        <f>IF(A10="","",COUNT(H10:M10)/6)</f>
        <v/>
      </c>
      <c r="O10" s="15">
        <f>IF(COUNT(H10:M10)=0,"",IF(LEN(IF(COUNT(I10,J10)=2,IF(J10&gt;I10+1,"EBE &gt; VA ",""),"")&amp;IF(COUNT(H10,M10)=2,IF(ABS(M10)&gt;ABS(H10),"RN &gt; CA ",""),"")&amp;IF(COUNT(H10,K10)=2,IF(ABS(K10)&gt;ABS(H10),"RE &gt; CA ",""),""))=0,"OK",IF(COUNT(I10,J10)=2,IF(J10&gt;I10+1,"EBE &gt; VA ",""),"")&amp;IF(COUNT(H10,M10)=2,IF(ABS(M10)&gt;ABS(H10),"RN &gt; CA ",""),"")&amp;IF(COUNT(H10,K10)=2,IF(ABS(K10)&gt;ABS(H10),"RE &gt; CA ",""),"")))</f>
        <v/>
      </c>
      <c r="P10" s="16">
        <f>IF(OR($A10="",H10="",$C10=""),"",IF(COUNTIFS($A$5:$A$639,$A10,$C$5:$C$639,$C10-1,$D$5:$D$639,$D10,H$5:H$639,"&lt;&gt;")=0,"",IF(OR(SUMIFS(H$5:H$639,$A$5:$A$639,$A10,$C$5:$C$639,$C10-1,$D$5:$D$639,$D10)=0,H10*SUMIFS(H$5:H$639,$A$5:$A$639,$A10,$C$5:$C$639,$C10-1,$D$5:$D$639,$D10)&lt;0),"n.s.",ABS(H10)/ABS(SUMIFS(H$5:H$639,$A$5:$A$639,$A10,$C$5:$C$639,$C10-1,$D$5:$D$639,$D10))-1)))</f>
        <v/>
      </c>
      <c r="Q10" s="16">
        <f>IF(OR($A10="",I10="",$C10=""),"",IF(COUNTIFS($A$5:$A$639,$A10,$C$5:$C$639,$C10-1,$D$5:$D$639,$D10,I$5:I$639,"&lt;&gt;")=0,"",IF(OR(SUMIFS(I$5:I$639,$A$5:$A$639,$A10,$C$5:$C$639,$C10-1,$D$5:$D$639,$D10)=0,I10*SUMIFS(I$5:I$639,$A$5:$A$639,$A10,$C$5:$C$639,$C10-1,$D$5:$D$639,$D10)&lt;0),"n.s.",ABS(I10)/ABS(SUMIFS(I$5:I$639,$A$5:$A$639,$A10,$C$5:$C$639,$C10-1,$D$5:$D$639,$D10))-1)))</f>
        <v/>
      </c>
      <c r="R10" s="16">
        <f>IF(OR($A10="",J10="",$C10=""),"",IF(COUNTIFS($A$5:$A$639,$A10,$C$5:$C$639,$C10-1,$D$5:$D$639,$D10,J$5:J$639,"&lt;&gt;")=0,"",IF(OR(SUMIFS(J$5:J$639,$A$5:$A$639,$A10,$C$5:$C$639,$C10-1,$D$5:$D$639,$D10)=0,J10*SUMIFS(J$5:J$639,$A$5:$A$639,$A10,$C$5:$C$639,$C10-1,$D$5:$D$639,$D10)&lt;0),"n.s.",ABS(J10)/ABS(SUMIFS(J$5:J$639,$A$5:$A$639,$A10,$C$5:$C$639,$C10-1,$D$5:$D$639,$D10))-1)))</f>
        <v/>
      </c>
      <c r="S10" s="16">
        <f>IF(OR($A10="",K10="",$C10=""),"",IF(COUNTIFS($A$5:$A$639,$A10,$C$5:$C$639,$C10-1,$D$5:$D$639,$D10,K$5:K$639,"&lt;&gt;")=0,"",IF(OR(SUMIFS(K$5:K$639,$A$5:$A$639,$A10,$C$5:$C$639,$C10-1,$D$5:$D$639,$D10)=0,K10*SUMIFS(K$5:K$639,$A$5:$A$639,$A10,$C$5:$C$639,$C10-1,$D$5:$D$639,$D10)&lt;0),"n.s.",ABS(K10)/ABS(SUMIFS(K$5:K$639,$A$5:$A$639,$A10,$C$5:$C$639,$C10-1,$D$5:$D$639,$D10))-1)))</f>
        <v/>
      </c>
      <c r="T10" s="16">
        <f>IF(OR($A10="",L10="",$C10=""),"",IF(COUNTIFS($A$5:$A$639,$A10,$C$5:$C$639,$C10-1,$D$5:$D$639,$D10,L$5:L$639,"&lt;&gt;")=0,"",IF(OR(SUMIFS(L$5:L$639,$A$5:$A$639,$A10,$C$5:$C$639,$C10-1,$D$5:$D$639,$D10)=0,L10*SUMIFS(L$5:L$639,$A$5:$A$639,$A10,$C$5:$C$639,$C10-1,$D$5:$D$639,$D10)&lt;0),"n.s.",ABS(L10)/ABS(SUMIFS(L$5:L$639,$A$5:$A$639,$A10,$C$5:$C$639,$C10-1,$D$5:$D$639,$D10))-1)))</f>
        <v/>
      </c>
      <c r="U10" s="16">
        <f>IF(OR($A10="",M10="",$C10=""),"",IF(COUNTIFS($A$5:$A$639,$A10,$C$5:$C$639,$C10-1,$D$5:$D$639,$D10,M$5:M$639,"&lt;&gt;")=0,"",IF(OR(SUMIFS(M$5:M$639,$A$5:$A$639,$A10,$C$5:$C$639,$C10-1,$D$5:$D$639,$D10)=0,M10*SUMIFS(M$5:M$639,$A$5:$A$639,$A10,$C$5:$C$639,$C10-1,$D$5:$D$639,$D10)&lt;0),"n.s.",ABS(M10)/ABS(SUMIFS(M$5:M$639,$A$5:$A$639,$A10,$C$5:$C$639,$C10-1,$D$5:$D$639,$D10))-1)))</f>
        <v/>
      </c>
    </row>
    <row r="11">
      <c r="A11" s="9" t="inlineStr">
        <is>
          <t>NTLC</t>
        </is>
      </c>
      <c r="B11" s="10">
        <f>IF(A11="","",IFERROR(VLOOKUP(A11,Titres!$A$2:$B$400,2,FALSE),"Ticker inconnu"))</f>
        <v/>
      </c>
      <c r="C11" s="11" t="n">
        <v>2023</v>
      </c>
      <c r="D11" s="11" t="inlineStr">
        <is>
          <t>T1</t>
        </is>
      </c>
      <c r="E11" s="9" t="n"/>
      <c r="F11" s="12" t="n"/>
      <c r="G11" s="9" t="n"/>
      <c r="H11" s="13" t="n"/>
      <c r="I11" s="13" t="n"/>
      <c r="J11" s="13" t="n"/>
      <c r="K11" s="13" t="n"/>
      <c r="L11" s="13" t="n"/>
      <c r="M11" s="13" t="n"/>
      <c r="N11" s="14">
        <f>IF(A11="","",COUNT(H11:M11)/6)</f>
        <v/>
      </c>
      <c r="O11" s="15">
        <f>IF(COUNT(H11:M11)=0,"",IF(LEN(IF(COUNT(I11,J11)=2,IF(J11&gt;I11+1,"EBE &gt; VA ",""),"")&amp;IF(COUNT(H11,M11)=2,IF(ABS(M11)&gt;ABS(H11),"RN &gt; CA ",""),"")&amp;IF(COUNT(H11,K11)=2,IF(ABS(K11)&gt;ABS(H11),"RE &gt; CA ",""),""))=0,"OK",IF(COUNT(I11,J11)=2,IF(J11&gt;I11+1,"EBE &gt; VA ",""),"")&amp;IF(COUNT(H11,M11)=2,IF(ABS(M11)&gt;ABS(H11),"RN &gt; CA ",""),"")&amp;IF(COUNT(H11,K11)=2,IF(ABS(K11)&gt;ABS(H11),"RE &gt; CA ",""),"")))</f>
        <v/>
      </c>
      <c r="P11" s="16">
        <f>IF(OR($A11="",H11="",$C11=""),"",IF(COUNTIFS($A$5:$A$639,$A11,$C$5:$C$639,$C11-1,$D$5:$D$639,$D11,H$5:H$639,"&lt;&gt;")=0,"",IF(OR(SUMIFS(H$5:H$639,$A$5:$A$639,$A11,$C$5:$C$639,$C11-1,$D$5:$D$639,$D11)=0,H11*SUMIFS(H$5:H$639,$A$5:$A$639,$A11,$C$5:$C$639,$C11-1,$D$5:$D$639,$D11)&lt;0),"n.s.",ABS(H11)/ABS(SUMIFS(H$5:H$639,$A$5:$A$639,$A11,$C$5:$C$639,$C11-1,$D$5:$D$639,$D11))-1)))</f>
        <v/>
      </c>
      <c r="Q11" s="16">
        <f>IF(OR($A11="",I11="",$C11=""),"",IF(COUNTIFS($A$5:$A$639,$A11,$C$5:$C$639,$C11-1,$D$5:$D$639,$D11,I$5:I$639,"&lt;&gt;")=0,"",IF(OR(SUMIFS(I$5:I$639,$A$5:$A$639,$A11,$C$5:$C$639,$C11-1,$D$5:$D$639,$D11)=0,I11*SUMIFS(I$5:I$639,$A$5:$A$639,$A11,$C$5:$C$639,$C11-1,$D$5:$D$639,$D11)&lt;0),"n.s.",ABS(I11)/ABS(SUMIFS(I$5:I$639,$A$5:$A$639,$A11,$C$5:$C$639,$C11-1,$D$5:$D$639,$D11))-1)))</f>
        <v/>
      </c>
      <c r="R11" s="16">
        <f>IF(OR($A11="",J11="",$C11=""),"",IF(COUNTIFS($A$5:$A$639,$A11,$C$5:$C$639,$C11-1,$D$5:$D$639,$D11,J$5:J$639,"&lt;&gt;")=0,"",IF(OR(SUMIFS(J$5:J$639,$A$5:$A$639,$A11,$C$5:$C$639,$C11-1,$D$5:$D$639,$D11)=0,J11*SUMIFS(J$5:J$639,$A$5:$A$639,$A11,$C$5:$C$639,$C11-1,$D$5:$D$639,$D11)&lt;0),"n.s.",ABS(J11)/ABS(SUMIFS(J$5:J$639,$A$5:$A$639,$A11,$C$5:$C$639,$C11-1,$D$5:$D$639,$D11))-1)))</f>
        <v/>
      </c>
      <c r="S11" s="16">
        <f>IF(OR($A11="",K11="",$C11=""),"",IF(COUNTIFS($A$5:$A$639,$A11,$C$5:$C$639,$C11-1,$D$5:$D$639,$D11,K$5:K$639,"&lt;&gt;")=0,"",IF(OR(SUMIFS(K$5:K$639,$A$5:$A$639,$A11,$C$5:$C$639,$C11-1,$D$5:$D$639,$D11)=0,K11*SUMIFS(K$5:K$639,$A$5:$A$639,$A11,$C$5:$C$639,$C11-1,$D$5:$D$639,$D11)&lt;0),"n.s.",ABS(K11)/ABS(SUMIFS(K$5:K$639,$A$5:$A$639,$A11,$C$5:$C$639,$C11-1,$D$5:$D$639,$D11))-1)))</f>
        <v/>
      </c>
      <c r="T11" s="16">
        <f>IF(OR($A11="",L11="",$C11=""),"",IF(COUNTIFS($A$5:$A$639,$A11,$C$5:$C$639,$C11-1,$D$5:$D$639,$D11,L$5:L$639,"&lt;&gt;")=0,"",IF(OR(SUMIFS(L$5:L$639,$A$5:$A$639,$A11,$C$5:$C$639,$C11-1,$D$5:$D$639,$D11)=0,L11*SUMIFS(L$5:L$639,$A$5:$A$639,$A11,$C$5:$C$639,$C11-1,$D$5:$D$639,$D11)&lt;0),"n.s.",ABS(L11)/ABS(SUMIFS(L$5:L$639,$A$5:$A$639,$A11,$C$5:$C$639,$C11-1,$D$5:$D$639,$D11))-1)))</f>
        <v/>
      </c>
      <c r="U11" s="16">
        <f>IF(OR($A11="",M11="",$C11=""),"",IF(COUNTIFS($A$5:$A$639,$A11,$C$5:$C$639,$C11-1,$D$5:$D$639,$D11,M$5:M$639,"&lt;&gt;")=0,"",IF(OR(SUMIFS(M$5:M$639,$A$5:$A$639,$A11,$C$5:$C$639,$C11-1,$D$5:$D$639,$D11)=0,M11*SUMIFS(M$5:M$639,$A$5:$A$639,$A11,$C$5:$C$639,$C11-1,$D$5:$D$639,$D11)&lt;0),"n.s.",ABS(M11)/ABS(SUMIFS(M$5:M$639,$A$5:$A$639,$A11,$C$5:$C$639,$C11-1,$D$5:$D$639,$D11))-1)))</f>
        <v/>
      </c>
    </row>
    <row r="12">
      <c r="A12" s="9" t="inlineStr">
        <is>
          <t>NTLC</t>
        </is>
      </c>
      <c r="B12" s="10">
        <f>IF(A12="","",IFERROR(VLOOKUP(A12,Titres!$A$2:$B$400,2,FALSE),"Ticker inconnu"))</f>
        <v/>
      </c>
      <c r="C12" s="11" t="n">
        <v>2023</v>
      </c>
      <c r="D12" s="11" t="inlineStr">
        <is>
          <t>S1</t>
        </is>
      </c>
      <c r="E12" s="9" t="n"/>
      <c r="F12" s="12" t="n"/>
      <c r="G12" s="9" t="n"/>
      <c r="H12" s="13" t="n"/>
      <c r="I12" s="13" t="n"/>
      <c r="J12" s="13" t="n"/>
      <c r="K12" s="13" t="n"/>
      <c r="L12" s="13" t="n"/>
      <c r="M12" s="13" t="n"/>
      <c r="N12" s="14">
        <f>IF(A12="","",COUNT(H12:M12)/6)</f>
        <v/>
      </c>
      <c r="O12" s="15">
        <f>IF(COUNT(H12:M12)=0,"",IF(LEN(IF(COUNT(I12,J12)=2,IF(J12&gt;I12+1,"EBE &gt; VA ",""),"")&amp;IF(COUNT(H12,M12)=2,IF(ABS(M12)&gt;ABS(H12),"RN &gt; CA ",""),"")&amp;IF(COUNT(H12,K12)=2,IF(ABS(K12)&gt;ABS(H12),"RE &gt; CA ",""),""))=0,"OK",IF(COUNT(I12,J12)=2,IF(J12&gt;I12+1,"EBE &gt; VA ",""),"")&amp;IF(COUNT(H12,M12)=2,IF(ABS(M12)&gt;ABS(H12),"RN &gt; CA ",""),"")&amp;IF(COUNT(H12,K12)=2,IF(ABS(K12)&gt;ABS(H12),"RE &gt; CA ",""),"")))</f>
        <v/>
      </c>
      <c r="P12" s="16">
        <f>IF(OR($A12="",H12="",$C12=""),"",IF(COUNTIFS($A$5:$A$639,$A12,$C$5:$C$639,$C12-1,$D$5:$D$639,$D12,H$5:H$639,"&lt;&gt;")=0,"",IF(OR(SUMIFS(H$5:H$639,$A$5:$A$639,$A12,$C$5:$C$639,$C12-1,$D$5:$D$639,$D12)=0,H12*SUMIFS(H$5:H$639,$A$5:$A$639,$A12,$C$5:$C$639,$C12-1,$D$5:$D$639,$D12)&lt;0),"n.s.",ABS(H12)/ABS(SUMIFS(H$5:H$639,$A$5:$A$639,$A12,$C$5:$C$639,$C12-1,$D$5:$D$639,$D12))-1)))</f>
        <v/>
      </c>
      <c r="Q12" s="16">
        <f>IF(OR($A12="",I12="",$C12=""),"",IF(COUNTIFS($A$5:$A$639,$A12,$C$5:$C$639,$C12-1,$D$5:$D$639,$D12,I$5:I$639,"&lt;&gt;")=0,"",IF(OR(SUMIFS(I$5:I$639,$A$5:$A$639,$A12,$C$5:$C$639,$C12-1,$D$5:$D$639,$D12)=0,I12*SUMIFS(I$5:I$639,$A$5:$A$639,$A12,$C$5:$C$639,$C12-1,$D$5:$D$639,$D12)&lt;0),"n.s.",ABS(I12)/ABS(SUMIFS(I$5:I$639,$A$5:$A$639,$A12,$C$5:$C$639,$C12-1,$D$5:$D$639,$D12))-1)))</f>
        <v/>
      </c>
      <c r="R12" s="16">
        <f>IF(OR($A12="",J12="",$C12=""),"",IF(COUNTIFS($A$5:$A$639,$A12,$C$5:$C$639,$C12-1,$D$5:$D$639,$D12,J$5:J$639,"&lt;&gt;")=0,"",IF(OR(SUMIFS(J$5:J$639,$A$5:$A$639,$A12,$C$5:$C$639,$C12-1,$D$5:$D$639,$D12)=0,J12*SUMIFS(J$5:J$639,$A$5:$A$639,$A12,$C$5:$C$639,$C12-1,$D$5:$D$639,$D12)&lt;0),"n.s.",ABS(J12)/ABS(SUMIFS(J$5:J$639,$A$5:$A$639,$A12,$C$5:$C$639,$C12-1,$D$5:$D$639,$D12))-1)))</f>
        <v/>
      </c>
      <c r="S12" s="16">
        <f>IF(OR($A12="",K12="",$C12=""),"",IF(COUNTIFS($A$5:$A$639,$A12,$C$5:$C$639,$C12-1,$D$5:$D$639,$D12,K$5:K$639,"&lt;&gt;")=0,"",IF(OR(SUMIFS(K$5:K$639,$A$5:$A$639,$A12,$C$5:$C$639,$C12-1,$D$5:$D$639,$D12)=0,K12*SUMIFS(K$5:K$639,$A$5:$A$639,$A12,$C$5:$C$639,$C12-1,$D$5:$D$639,$D12)&lt;0),"n.s.",ABS(K12)/ABS(SUMIFS(K$5:K$639,$A$5:$A$639,$A12,$C$5:$C$639,$C12-1,$D$5:$D$639,$D12))-1)))</f>
        <v/>
      </c>
      <c r="T12" s="16">
        <f>IF(OR($A12="",L12="",$C12=""),"",IF(COUNTIFS($A$5:$A$639,$A12,$C$5:$C$639,$C12-1,$D$5:$D$639,$D12,L$5:L$639,"&lt;&gt;")=0,"",IF(OR(SUMIFS(L$5:L$639,$A$5:$A$639,$A12,$C$5:$C$639,$C12-1,$D$5:$D$639,$D12)=0,L12*SUMIFS(L$5:L$639,$A$5:$A$639,$A12,$C$5:$C$639,$C12-1,$D$5:$D$639,$D12)&lt;0),"n.s.",ABS(L12)/ABS(SUMIFS(L$5:L$639,$A$5:$A$639,$A12,$C$5:$C$639,$C12-1,$D$5:$D$639,$D12))-1)))</f>
        <v/>
      </c>
      <c r="U12" s="16">
        <f>IF(OR($A12="",M12="",$C12=""),"",IF(COUNTIFS($A$5:$A$639,$A12,$C$5:$C$639,$C12-1,$D$5:$D$639,$D12,M$5:M$639,"&lt;&gt;")=0,"",IF(OR(SUMIFS(M$5:M$639,$A$5:$A$639,$A12,$C$5:$C$639,$C12-1,$D$5:$D$639,$D12)=0,M12*SUMIFS(M$5:M$639,$A$5:$A$639,$A12,$C$5:$C$639,$C12-1,$D$5:$D$639,$D12)&lt;0),"n.s.",ABS(M12)/ABS(SUMIFS(M$5:M$639,$A$5:$A$639,$A12,$C$5:$C$639,$C12-1,$D$5:$D$639,$D12))-1)))</f>
        <v/>
      </c>
    </row>
    <row r="13">
      <c r="A13" s="9" t="inlineStr">
        <is>
          <t>NTLC</t>
        </is>
      </c>
      <c r="B13" s="10">
        <f>IF(A13="","",IFERROR(VLOOKUP(A13,Titres!$A$2:$B$400,2,FALSE),"Ticker inconnu"))</f>
        <v/>
      </c>
      <c r="C13" s="11" t="n">
        <v>2023</v>
      </c>
      <c r="D13" s="11" t="inlineStr">
        <is>
          <t>T3</t>
        </is>
      </c>
      <c r="E13" s="9" t="n"/>
      <c r="F13" s="12" t="n"/>
      <c r="G13" s="9" t="n"/>
      <c r="H13" s="13" t="n"/>
      <c r="I13" s="13" t="n"/>
      <c r="J13" s="13" t="n"/>
      <c r="K13" s="13" t="n"/>
      <c r="L13" s="13" t="n"/>
      <c r="M13" s="13" t="n"/>
      <c r="N13" s="14">
        <f>IF(A13="","",COUNT(H13:M13)/6)</f>
        <v/>
      </c>
      <c r="O13" s="15">
        <f>IF(COUNT(H13:M13)=0,"",IF(LEN(IF(COUNT(I13,J13)=2,IF(J13&gt;I13+1,"EBE &gt; VA ",""),"")&amp;IF(COUNT(H13,M13)=2,IF(ABS(M13)&gt;ABS(H13),"RN &gt; CA ",""),"")&amp;IF(COUNT(H13,K13)=2,IF(ABS(K13)&gt;ABS(H13),"RE &gt; CA ",""),""))=0,"OK",IF(COUNT(I13,J13)=2,IF(J13&gt;I13+1,"EBE &gt; VA ",""),"")&amp;IF(COUNT(H13,M13)=2,IF(ABS(M13)&gt;ABS(H13),"RN &gt; CA ",""),"")&amp;IF(COUNT(H13,K13)=2,IF(ABS(K13)&gt;ABS(H13),"RE &gt; CA ",""),"")))</f>
        <v/>
      </c>
      <c r="P13" s="16">
        <f>IF(OR($A13="",H13="",$C13=""),"",IF(COUNTIFS($A$5:$A$639,$A13,$C$5:$C$639,$C13-1,$D$5:$D$639,$D13,H$5:H$639,"&lt;&gt;")=0,"",IF(OR(SUMIFS(H$5:H$639,$A$5:$A$639,$A13,$C$5:$C$639,$C13-1,$D$5:$D$639,$D13)=0,H13*SUMIFS(H$5:H$639,$A$5:$A$639,$A13,$C$5:$C$639,$C13-1,$D$5:$D$639,$D13)&lt;0),"n.s.",ABS(H13)/ABS(SUMIFS(H$5:H$639,$A$5:$A$639,$A13,$C$5:$C$639,$C13-1,$D$5:$D$639,$D13))-1)))</f>
        <v/>
      </c>
      <c r="Q13" s="16">
        <f>IF(OR($A13="",I13="",$C13=""),"",IF(COUNTIFS($A$5:$A$639,$A13,$C$5:$C$639,$C13-1,$D$5:$D$639,$D13,I$5:I$639,"&lt;&gt;")=0,"",IF(OR(SUMIFS(I$5:I$639,$A$5:$A$639,$A13,$C$5:$C$639,$C13-1,$D$5:$D$639,$D13)=0,I13*SUMIFS(I$5:I$639,$A$5:$A$639,$A13,$C$5:$C$639,$C13-1,$D$5:$D$639,$D13)&lt;0),"n.s.",ABS(I13)/ABS(SUMIFS(I$5:I$639,$A$5:$A$639,$A13,$C$5:$C$639,$C13-1,$D$5:$D$639,$D13))-1)))</f>
        <v/>
      </c>
      <c r="R13" s="16">
        <f>IF(OR($A13="",J13="",$C13=""),"",IF(COUNTIFS($A$5:$A$639,$A13,$C$5:$C$639,$C13-1,$D$5:$D$639,$D13,J$5:J$639,"&lt;&gt;")=0,"",IF(OR(SUMIFS(J$5:J$639,$A$5:$A$639,$A13,$C$5:$C$639,$C13-1,$D$5:$D$639,$D13)=0,J13*SUMIFS(J$5:J$639,$A$5:$A$639,$A13,$C$5:$C$639,$C13-1,$D$5:$D$639,$D13)&lt;0),"n.s.",ABS(J13)/ABS(SUMIFS(J$5:J$639,$A$5:$A$639,$A13,$C$5:$C$639,$C13-1,$D$5:$D$639,$D13))-1)))</f>
        <v/>
      </c>
      <c r="S13" s="16">
        <f>IF(OR($A13="",K13="",$C13=""),"",IF(COUNTIFS($A$5:$A$639,$A13,$C$5:$C$639,$C13-1,$D$5:$D$639,$D13,K$5:K$639,"&lt;&gt;")=0,"",IF(OR(SUMIFS(K$5:K$639,$A$5:$A$639,$A13,$C$5:$C$639,$C13-1,$D$5:$D$639,$D13)=0,K13*SUMIFS(K$5:K$639,$A$5:$A$639,$A13,$C$5:$C$639,$C13-1,$D$5:$D$639,$D13)&lt;0),"n.s.",ABS(K13)/ABS(SUMIFS(K$5:K$639,$A$5:$A$639,$A13,$C$5:$C$639,$C13-1,$D$5:$D$639,$D13))-1)))</f>
        <v/>
      </c>
      <c r="T13" s="16">
        <f>IF(OR($A13="",L13="",$C13=""),"",IF(COUNTIFS($A$5:$A$639,$A13,$C$5:$C$639,$C13-1,$D$5:$D$639,$D13,L$5:L$639,"&lt;&gt;")=0,"",IF(OR(SUMIFS(L$5:L$639,$A$5:$A$639,$A13,$C$5:$C$639,$C13-1,$D$5:$D$639,$D13)=0,L13*SUMIFS(L$5:L$639,$A$5:$A$639,$A13,$C$5:$C$639,$C13-1,$D$5:$D$639,$D13)&lt;0),"n.s.",ABS(L13)/ABS(SUMIFS(L$5:L$639,$A$5:$A$639,$A13,$C$5:$C$639,$C13-1,$D$5:$D$639,$D13))-1)))</f>
        <v/>
      </c>
      <c r="U13" s="16">
        <f>IF(OR($A13="",M13="",$C13=""),"",IF(COUNTIFS($A$5:$A$639,$A13,$C$5:$C$639,$C13-1,$D$5:$D$639,$D13,M$5:M$639,"&lt;&gt;")=0,"",IF(OR(SUMIFS(M$5:M$639,$A$5:$A$639,$A13,$C$5:$C$639,$C13-1,$D$5:$D$639,$D13)=0,M13*SUMIFS(M$5:M$639,$A$5:$A$639,$A13,$C$5:$C$639,$C13-1,$D$5:$D$639,$D13)&lt;0),"n.s.",ABS(M13)/ABS(SUMIFS(M$5:M$639,$A$5:$A$639,$A13,$C$5:$C$639,$C13-1,$D$5:$D$639,$D13))-1)))</f>
        <v/>
      </c>
    </row>
    <row r="14">
      <c r="A14" s="9" t="inlineStr">
        <is>
          <t>NTLC</t>
        </is>
      </c>
      <c r="B14" s="10">
        <f>IF(A14="","",IFERROR(VLOOKUP(A14,Titres!$A$2:$B$400,2,FALSE),"Ticker inconnu"))</f>
        <v/>
      </c>
      <c r="C14" s="11" t="n">
        <v>2024</v>
      </c>
      <c r="D14" s="11" t="inlineStr">
        <is>
          <t>T1</t>
        </is>
      </c>
      <c r="E14" s="9" t="n"/>
      <c r="F14" s="12" t="n"/>
      <c r="G14" s="9" t="n"/>
      <c r="H14" s="13" t="n"/>
      <c r="I14" s="13" t="n"/>
      <c r="J14" s="13" t="n"/>
      <c r="K14" s="13" t="n"/>
      <c r="L14" s="13" t="n"/>
      <c r="M14" s="13" t="n"/>
      <c r="N14" s="14">
        <f>IF(A14="","",COUNT(H14:M14)/6)</f>
        <v/>
      </c>
      <c r="O14" s="15">
        <f>IF(COUNT(H14:M14)=0,"",IF(LEN(IF(COUNT(I14,J14)=2,IF(J14&gt;I14+1,"EBE &gt; VA ",""),"")&amp;IF(COUNT(H14,M14)=2,IF(ABS(M14)&gt;ABS(H14),"RN &gt; CA ",""),"")&amp;IF(COUNT(H14,K14)=2,IF(ABS(K14)&gt;ABS(H14),"RE &gt; CA ",""),""))=0,"OK",IF(COUNT(I14,J14)=2,IF(J14&gt;I14+1,"EBE &gt; VA ",""),"")&amp;IF(COUNT(H14,M14)=2,IF(ABS(M14)&gt;ABS(H14),"RN &gt; CA ",""),"")&amp;IF(COUNT(H14,K14)=2,IF(ABS(K14)&gt;ABS(H14),"RE &gt; CA ",""),"")))</f>
        <v/>
      </c>
      <c r="P14" s="16">
        <f>IF(OR($A14="",H14="",$C14=""),"",IF(COUNTIFS($A$5:$A$639,$A14,$C$5:$C$639,$C14-1,$D$5:$D$639,$D14,H$5:H$639,"&lt;&gt;")=0,"",IF(OR(SUMIFS(H$5:H$639,$A$5:$A$639,$A14,$C$5:$C$639,$C14-1,$D$5:$D$639,$D14)=0,H14*SUMIFS(H$5:H$639,$A$5:$A$639,$A14,$C$5:$C$639,$C14-1,$D$5:$D$639,$D14)&lt;0),"n.s.",ABS(H14)/ABS(SUMIFS(H$5:H$639,$A$5:$A$639,$A14,$C$5:$C$639,$C14-1,$D$5:$D$639,$D14))-1)))</f>
        <v/>
      </c>
      <c r="Q14" s="16">
        <f>IF(OR($A14="",I14="",$C14=""),"",IF(COUNTIFS($A$5:$A$639,$A14,$C$5:$C$639,$C14-1,$D$5:$D$639,$D14,I$5:I$639,"&lt;&gt;")=0,"",IF(OR(SUMIFS(I$5:I$639,$A$5:$A$639,$A14,$C$5:$C$639,$C14-1,$D$5:$D$639,$D14)=0,I14*SUMIFS(I$5:I$639,$A$5:$A$639,$A14,$C$5:$C$639,$C14-1,$D$5:$D$639,$D14)&lt;0),"n.s.",ABS(I14)/ABS(SUMIFS(I$5:I$639,$A$5:$A$639,$A14,$C$5:$C$639,$C14-1,$D$5:$D$639,$D14))-1)))</f>
        <v/>
      </c>
      <c r="R14" s="16">
        <f>IF(OR($A14="",J14="",$C14=""),"",IF(COUNTIFS($A$5:$A$639,$A14,$C$5:$C$639,$C14-1,$D$5:$D$639,$D14,J$5:J$639,"&lt;&gt;")=0,"",IF(OR(SUMIFS(J$5:J$639,$A$5:$A$639,$A14,$C$5:$C$639,$C14-1,$D$5:$D$639,$D14)=0,J14*SUMIFS(J$5:J$639,$A$5:$A$639,$A14,$C$5:$C$639,$C14-1,$D$5:$D$639,$D14)&lt;0),"n.s.",ABS(J14)/ABS(SUMIFS(J$5:J$639,$A$5:$A$639,$A14,$C$5:$C$639,$C14-1,$D$5:$D$639,$D14))-1)))</f>
        <v/>
      </c>
      <c r="S14" s="16">
        <f>IF(OR($A14="",K14="",$C14=""),"",IF(COUNTIFS($A$5:$A$639,$A14,$C$5:$C$639,$C14-1,$D$5:$D$639,$D14,K$5:K$639,"&lt;&gt;")=0,"",IF(OR(SUMIFS(K$5:K$639,$A$5:$A$639,$A14,$C$5:$C$639,$C14-1,$D$5:$D$639,$D14)=0,K14*SUMIFS(K$5:K$639,$A$5:$A$639,$A14,$C$5:$C$639,$C14-1,$D$5:$D$639,$D14)&lt;0),"n.s.",ABS(K14)/ABS(SUMIFS(K$5:K$639,$A$5:$A$639,$A14,$C$5:$C$639,$C14-1,$D$5:$D$639,$D14))-1)))</f>
        <v/>
      </c>
      <c r="T14" s="16">
        <f>IF(OR($A14="",L14="",$C14=""),"",IF(COUNTIFS($A$5:$A$639,$A14,$C$5:$C$639,$C14-1,$D$5:$D$639,$D14,L$5:L$639,"&lt;&gt;")=0,"",IF(OR(SUMIFS(L$5:L$639,$A$5:$A$639,$A14,$C$5:$C$639,$C14-1,$D$5:$D$639,$D14)=0,L14*SUMIFS(L$5:L$639,$A$5:$A$639,$A14,$C$5:$C$639,$C14-1,$D$5:$D$639,$D14)&lt;0),"n.s.",ABS(L14)/ABS(SUMIFS(L$5:L$639,$A$5:$A$639,$A14,$C$5:$C$639,$C14-1,$D$5:$D$639,$D14))-1)))</f>
        <v/>
      </c>
      <c r="U14" s="16">
        <f>IF(OR($A14="",M14="",$C14=""),"",IF(COUNTIFS($A$5:$A$639,$A14,$C$5:$C$639,$C14-1,$D$5:$D$639,$D14,M$5:M$639,"&lt;&gt;")=0,"",IF(OR(SUMIFS(M$5:M$639,$A$5:$A$639,$A14,$C$5:$C$639,$C14-1,$D$5:$D$639,$D14)=0,M14*SUMIFS(M$5:M$639,$A$5:$A$639,$A14,$C$5:$C$639,$C14-1,$D$5:$D$639,$D14)&lt;0),"n.s.",ABS(M14)/ABS(SUMIFS(M$5:M$639,$A$5:$A$639,$A14,$C$5:$C$639,$C14-1,$D$5:$D$639,$D14))-1)))</f>
        <v/>
      </c>
    </row>
    <row r="15">
      <c r="A15" s="9" t="inlineStr">
        <is>
          <t>NTLC</t>
        </is>
      </c>
      <c r="B15" s="10">
        <f>IF(A15="","",IFERROR(VLOOKUP(A15,Titres!$A$2:$B$400,2,FALSE),"Ticker inconnu"))</f>
        <v/>
      </c>
      <c r="C15" s="11" t="n">
        <v>2024</v>
      </c>
      <c r="D15" s="11" t="inlineStr">
        <is>
          <t>S1</t>
        </is>
      </c>
      <c r="E15" s="9" t="n"/>
      <c r="F15" s="12" t="n"/>
      <c r="G15" s="9" t="n"/>
      <c r="H15" s="13" t="n"/>
      <c r="I15" s="13" t="n"/>
      <c r="J15" s="13" t="n"/>
      <c r="K15" s="13" t="n"/>
      <c r="L15" s="13" t="n"/>
      <c r="M15" s="13" t="n"/>
      <c r="N15" s="14">
        <f>IF(A15="","",COUNT(H15:M15)/6)</f>
        <v/>
      </c>
      <c r="O15" s="15">
        <f>IF(COUNT(H15:M15)=0,"",IF(LEN(IF(COUNT(I15,J15)=2,IF(J15&gt;I15+1,"EBE &gt; VA ",""),"")&amp;IF(COUNT(H15,M15)=2,IF(ABS(M15)&gt;ABS(H15),"RN &gt; CA ",""),"")&amp;IF(COUNT(H15,K15)=2,IF(ABS(K15)&gt;ABS(H15),"RE &gt; CA ",""),""))=0,"OK",IF(COUNT(I15,J15)=2,IF(J15&gt;I15+1,"EBE &gt; VA ",""),"")&amp;IF(COUNT(H15,M15)=2,IF(ABS(M15)&gt;ABS(H15),"RN &gt; CA ",""),"")&amp;IF(COUNT(H15,K15)=2,IF(ABS(K15)&gt;ABS(H15),"RE &gt; CA ",""),"")))</f>
        <v/>
      </c>
      <c r="P15" s="16">
        <f>IF(OR($A15="",H15="",$C15=""),"",IF(COUNTIFS($A$5:$A$639,$A15,$C$5:$C$639,$C15-1,$D$5:$D$639,$D15,H$5:H$639,"&lt;&gt;")=0,"",IF(OR(SUMIFS(H$5:H$639,$A$5:$A$639,$A15,$C$5:$C$639,$C15-1,$D$5:$D$639,$D15)=0,H15*SUMIFS(H$5:H$639,$A$5:$A$639,$A15,$C$5:$C$639,$C15-1,$D$5:$D$639,$D15)&lt;0),"n.s.",ABS(H15)/ABS(SUMIFS(H$5:H$639,$A$5:$A$639,$A15,$C$5:$C$639,$C15-1,$D$5:$D$639,$D15))-1)))</f>
        <v/>
      </c>
      <c r="Q15" s="16">
        <f>IF(OR($A15="",I15="",$C15=""),"",IF(COUNTIFS($A$5:$A$639,$A15,$C$5:$C$639,$C15-1,$D$5:$D$639,$D15,I$5:I$639,"&lt;&gt;")=0,"",IF(OR(SUMIFS(I$5:I$639,$A$5:$A$639,$A15,$C$5:$C$639,$C15-1,$D$5:$D$639,$D15)=0,I15*SUMIFS(I$5:I$639,$A$5:$A$639,$A15,$C$5:$C$639,$C15-1,$D$5:$D$639,$D15)&lt;0),"n.s.",ABS(I15)/ABS(SUMIFS(I$5:I$639,$A$5:$A$639,$A15,$C$5:$C$639,$C15-1,$D$5:$D$639,$D15))-1)))</f>
        <v/>
      </c>
      <c r="R15" s="16">
        <f>IF(OR($A15="",J15="",$C15=""),"",IF(COUNTIFS($A$5:$A$639,$A15,$C$5:$C$639,$C15-1,$D$5:$D$639,$D15,J$5:J$639,"&lt;&gt;")=0,"",IF(OR(SUMIFS(J$5:J$639,$A$5:$A$639,$A15,$C$5:$C$639,$C15-1,$D$5:$D$639,$D15)=0,J15*SUMIFS(J$5:J$639,$A$5:$A$639,$A15,$C$5:$C$639,$C15-1,$D$5:$D$639,$D15)&lt;0),"n.s.",ABS(J15)/ABS(SUMIFS(J$5:J$639,$A$5:$A$639,$A15,$C$5:$C$639,$C15-1,$D$5:$D$639,$D15))-1)))</f>
        <v/>
      </c>
      <c r="S15" s="16">
        <f>IF(OR($A15="",K15="",$C15=""),"",IF(COUNTIFS($A$5:$A$639,$A15,$C$5:$C$639,$C15-1,$D$5:$D$639,$D15,K$5:K$639,"&lt;&gt;")=0,"",IF(OR(SUMIFS(K$5:K$639,$A$5:$A$639,$A15,$C$5:$C$639,$C15-1,$D$5:$D$639,$D15)=0,K15*SUMIFS(K$5:K$639,$A$5:$A$639,$A15,$C$5:$C$639,$C15-1,$D$5:$D$639,$D15)&lt;0),"n.s.",ABS(K15)/ABS(SUMIFS(K$5:K$639,$A$5:$A$639,$A15,$C$5:$C$639,$C15-1,$D$5:$D$639,$D15))-1)))</f>
        <v/>
      </c>
      <c r="T15" s="16">
        <f>IF(OR($A15="",L15="",$C15=""),"",IF(COUNTIFS($A$5:$A$639,$A15,$C$5:$C$639,$C15-1,$D$5:$D$639,$D15,L$5:L$639,"&lt;&gt;")=0,"",IF(OR(SUMIFS(L$5:L$639,$A$5:$A$639,$A15,$C$5:$C$639,$C15-1,$D$5:$D$639,$D15)=0,L15*SUMIFS(L$5:L$639,$A$5:$A$639,$A15,$C$5:$C$639,$C15-1,$D$5:$D$639,$D15)&lt;0),"n.s.",ABS(L15)/ABS(SUMIFS(L$5:L$639,$A$5:$A$639,$A15,$C$5:$C$639,$C15-1,$D$5:$D$639,$D15))-1)))</f>
        <v/>
      </c>
      <c r="U15" s="16">
        <f>IF(OR($A15="",M15="",$C15=""),"",IF(COUNTIFS($A$5:$A$639,$A15,$C$5:$C$639,$C15-1,$D$5:$D$639,$D15,M$5:M$639,"&lt;&gt;")=0,"",IF(OR(SUMIFS(M$5:M$639,$A$5:$A$639,$A15,$C$5:$C$639,$C15-1,$D$5:$D$639,$D15)=0,M15*SUMIFS(M$5:M$639,$A$5:$A$639,$A15,$C$5:$C$639,$C15-1,$D$5:$D$639,$D15)&lt;0),"n.s.",ABS(M15)/ABS(SUMIFS(M$5:M$639,$A$5:$A$639,$A15,$C$5:$C$639,$C15-1,$D$5:$D$639,$D15))-1)))</f>
        <v/>
      </c>
    </row>
    <row r="16">
      <c r="A16" s="9" t="inlineStr">
        <is>
          <t>NTLC</t>
        </is>
      </c>
      <c r="B16" s="10">
        <f>IF(A16="","",IFERROR(VLOOKUP(A16,Titres!$A$2:$B$400,2,FALSE),"Ticker inconnu"))</f>
        <v/>
      </c>
      <c r="C16" s="11" t="n">
        <v>2024</v>
      </c>
      <c r="D16" s="11" t="inlineStr">
        <is>
          <t>T3</t>
        </is>
      </c>
      <c r="E16" s="9" t="n"/>
      <c r="F16" s="12" t="n"/>
      <c r="G16" s="9" t="n"/>
      <c r="H16" s="13" t="n"/>
      <c r="I16" s="13" t="n"/>
      <c r="J16" s="13" t="n"/>
      <c r="K16" s="13" t="n"/>
      <c r="L16" s="13" t="n"/>
      <c r="M16" s="13" t="n"/>
      <c r="N16" s="14">
        <f>IF(A16="","",COUNT(H16:M16)/6)</f>
        <v/>
      </c>
      <c r="O16" s="15">
        <f>IF(COUNT(H16:M16)=0,"",IF(LEN(IF(COUNT(I16,J16)=2,IF(J16&gt;I16+1,"EBE &gt; VA ",""),"")&amp;IF(COUNT(H16,M16)=2,IF(ABS(M16)&gt;ABS(H16),"RN &gt; CA ",""),"")&amp;IF(COUNT(H16,K16)=2,IF(ABS(K16)&gt;ABS(H16),"RE &gt; CA ",""),""))=0,"OK",IF(COUNT(I16,J16)=2,IF(J16&gt;I16+1,"EBE &gt; VA ",""),"")&amp;IF(COUNT(H16,M16)=2,IF(ABS(M16)&gt;ABS(H16),"RN &gt; CA ",""),"")&amp;IF(COUNT(H16,K16)=2,IF(ABS(K16)&gt;ABS(H16),"RE &gt; CA ",""),"")))</f>
        <v/>
      </c>
      <c r="P16" s="16">
        <f>IF(OR($A16="",H16="",$C16=""),"",IF(COUNTIFS($A$5:$A$639,$A16,$C$5:$C$639,$C16-1,$D$5:$D$639,$D16,H$5:H$639,"&lt;&gt;")=0,"",IF(OR(SUMIFS(H$5:H$639,$A$5:$A$639,$A16,$C$5:$C$639,$C16-1,$D$5:$D$639,$D16)=0,H16*SUMIFS(H$5:H$639,$A$5:$A$639,$A16,$C$5:$C$639,$C16-1,$D$5:$D$639,$D16)&lt;0),"n.s.",ABS(H16)/ABS(SUMIFS(H$5:H$639,$A$5:$A$639,$A16,$C$5:$C$639,$C16-1,$D$5:$D$639,$D16))-1)))</f>
        <v/>
      </c>
      <c r="Q16" s="16">
        <f>IF(OR($A16="",I16="",$C16=""),"",IF(COUNTIFS($A$5:$A$639,$A16,$C$5:$C$639,$C16-1,$D$5:$D$639,$D16,I$5:I$639,"&lt;&gt;")=0,"",IF(OR(SUMIFS(I$5:I$639,$A$5:$A$639,$A16,$C$5:$C$639,$C16-1,$D$5:$D$639,$D16)=0,I16*SUMIFS(I$5:I$639,$A$5:$A$639,$A16,$C$5:$C$639,$C16-1,$D$5:$D$639,$D16)&lt;0),"n.s.",ABS(I16)/ABS(SUMIFS(I$5:I$639,$A$5:$A$639,$A16,$C$5:$C$639,$C16-1,$D$5:$D$639,$D16))-1)))</f>
        <v/>
      </c>
      <c r="R16" s="16">
        <f>IF(OR($A16="",J16="",$C16=""),"",IF(COUNTIFS($A$5:$A$639,$A16,$C$5:$C$639,$C16-1,$D$5:$D$639,$D16,J$5:J$639,"&lt;&gt;")=0,"",IF(OR(SUMIFS(J$5:J$639,$A$5:$A$639,$A16,$C$5:$C$639,$C16-1,$D$5:$D$639,$D16)=0,J16*SUMIFS(J$5:J$639,$A$5:$A$639,$A16,$C$5:$C$639,$C16-1,$D$5:$D$639,$D16)&lt;0),"n.s.",ABS(J16)/ABS(SUMIFS(J$5:J$639,$A$5:$A$639,$A16,$C$5:$C$639,$C16-1,$D$5:$D$639,$D16))-1)))</f>
        <v/>
      </c>
      <c r="S16" s="16">
        <f>IF(OR($A16="",K16="",$C16=""),"",IF(COUNTIFS($A$5:$A$639,$A16,$C$5:$C$639,$C16-1,$D$5:$D$639,$D16,K$5:K$639,"&lt;&gt;")=0,"",IF(OR(SUMIFS(K$5:K$639,$A$5:$A$639,$A16,$C$5:$C$639,$C16-1,$D$5:$D$639,$D16)=0,K16*SUMIFS(K$5:K$639,$A$5:$A$639,$A16,$C$5:$C$639,$C16-1,$D$5:$D$639,$D16)&lt;0),"n.s.",ABS(K16)/ABS(SUMIFS(K$5:K$639,$A$5:$A$639,$A16,$C$5:$C$639,$C16-1,$D$5:$D$639,$D16))-1)))</f>
        <v/>
      </c>
      <c r="T16" s="16">
        <f>IF(OR($A16="",L16="",$C16=""),"",IF(COUNTIFS($A$5:$A$639,$A16,$C$5:$C$639,$C16-1,$D$5:$D$639,$D16,L$5:L$639,"&lt;&gt;")=0,"",IF(OR(SUMIFS(L$5:L$639,$A$5:$A$639,$A16,$C$5:$C$639,$C16-1,$D$5:$D$639,$D16)=0,L16*SUMIFS(L$5:L$639,$A$5:$A$639,$A16,$C$5:$C$639,$C16-1,$D$5:$D$639,$D16)&lt;0),"n.s.",ABS(L16)/ABS(SUMIFS(L$5:L$639,$A$5:$A$639,$A16,$C$5:$C$639,$C16-1,$D$5:$D$639,$D16))-1)))</f>
        <v/>
      </c>
      <c r="U16" s="16">
        <f>IF(OR($A16="",M16="",$C16=""),"",IF(COUNTIFS($A$5:$A$639,$A16,$C$5:$C$639,$C16-1,$D$5:$D$639,$D16,M$5:M$639,"&lt;&gt;")=0,"",IF(OR(SUMIFS(M$5:M$639,$A$5:$A$639,$A16,$C$5:$C$639,$C16-1,$D$5:$D$639,$D16)=0,M16*SUMIFS(M$5:M$639,$A$5:$A$639,$A16,$C$5:$C$639,$C16-1,$D$5:$D$639,$D16)&lt;0),"n.s.",ABS(M16)/ABS(SUMIFS(M$5:M$639,$A$5:$A$639,$A16,$C$5:$C$639,$C16-1,$D$5:$D$639,$D16))-1)))</f>
        <v/>
      </c>
    </row>
    <row r="17">
      <c r="A17" s="9" t="inlineStr">
        <is>
          <t>NTLC</t>
        </is>
      </c>
      <c r="B17" s="10">
        <f>IF(A17="","",IFERROR(VLOOKUP(A17,Titres!$A$2:$B$400,2,FALSE),"Ticker inconnu"))</f>
        <v/>
      </c>
      <c r="C17" s="11" t="n">
        <v>2025</v>
      </c>
      <c r="D17" s="11" t="inlineStr">
        <is>
          <t>T1</t>
        </is>
      </c>
      <c r="E17" s="9" t="inlineStr">
        <is>
          <t>Publié</t>
        </is>
      </c>
      <c r="F17" s="12" t="n">
        <v>46142</v>
      </c>
      <c r="G17" s="9" t="inlineStr">
        <is>
          <t>https://www.richbourse.com/common/actualite/afficher-fichier/30-04-2026-nestle-ci-rapport-dactivites-1er-trimestre-2026 (comparatif N-1)</t>
        </is>
      </c>
      <c r="H17" s="13" t="n">
        <v>54079.13</v>
      </c>
      <c r="I17" s="13" t="n"/>
      <c r="J17" s="13" t="n"/>
      <c r="K17" s="13" t="n"/>
      <c r="L17" s="13" t="n">
        <v>9487.852999999999</v>
      </c>
      <c r="M17" s="13" t="n">
        <v>5479.04</v>
      </c>
      <c r="N17" s="14">
        <f>IF(A17="","",COUNT(H17:M17)/6)</f>
        <v/>
      </c>
      <c r="O17" s="15">
        <f>IF(COUNT(H17:M17)=0,"",IF(LEN(IF(COUNT(I17,J17)=2,IF(J17&gt;I17+1,"EBE &gt; VA ",""),"")&amp;IF(COUNT(H17,M17)=2,IF(ABS(M17)&gt;ABS(H17),"RN &gt; CA ",""),"")&amp;IF(COUNT(H17,K17)=2,IF(ABS(K17)&gt;ABS(H17),"RE &gt; CA ",""),""))=0,"OK",IF(COUNT(I17,J17)=2,IF(J17&gt;I17+1,"EBE &gt; VA ",""),"")&amp;IF(COUNT(H17,M17)=2,IF(ABS(M17)&gt;ABS(H17),"RN &gt; CA ",""),"")&amp;IF(COUNT(H17,K17)=2,IF(ABS(K17)&gt;ABS(H17),"RE &gt; CA ",""),"")))</f>
        <v/>
      </c>
      <c r="P17" s="16">
        <f>IF(OR($A17="",H17="",$C17=""),"",IF(COUNTIFS($A$5:$A$639,$A17,$C$5:$C$639,$C17-1,$D$5:$D$639,$D17,H$5:H$639,"&lt;&gt;")=0,"",IF(OR(SUMIFS(H$5:H$639,$A$5:$A$639,$A17,$C$5:$C$639,$C17-1,$D$5:$D$639,$D17)=0,H17*SUMIFS(H$5:H$639,$A$5:$A$639,$A17,$C$5:$C$639,$C17-1,$D$5:$D$639,$D17)&lt;0),"n.s.",ABS(H17)/ABS(SUMIFS(H$5:H$639,$A$5:$A$639,$A17,$C$5:$C$639,$C17-1,$D$5:$D$639,$D17))-1)))</f>
        <v/>
      </c>
      <c r="Q17" s="16">
        <f>IF(OR($A17="",I17="",$C17=""),"",IF(COUNTIFS($A$5:$A$639,$A17,$C$5:$C$639,$C17-1,$D$5:$D$639,$D17,I$5:I$639,"&lt;&gt;")=0,"",IF(OR(SUMIFS(I$5:I$639,$A$5:$A$639,$A17,$C$5:$C$639,$C17-1,$D$5:$D$639,$D17)=0,I17*SUMIFS(I$5:I$639,$A$5:$A$639,$A17,$C$5:$C$639,$C17-1,$D$5:$D$639,$D17)&lt;0),"n.s.",ABS(I17)/ABS(SUMIFS(I$5:I$639,$A$5:$A$639,$A17,$C$5:$C$639,$C17-1,$D$5:$D$639,$D17))-1)))</f>
        <v/>
      </c>
      <c r="R17" s="16">
        <f>IF(OR($A17="",J17="",$C17=""),"",IF(COUNTIFS($A$5:$A$639,$A17,$C$5:$C$639,$C17-1,$D$5:$D$639,$D17,J$5:J$639,"&lt;&gt;")=0,"",IF(OR(SUMIFS(J$5:J$639,$A$5:$A$639,$A17,$C$5:$C$639,$C17-1,$D$5:$D$639,$D17)=0,J17*SUMIFS(J$5:J$639,$A$5:$A$639,$A17,$C$5:$C$639,$C17-1,$D$5:$D$639,$D17)&lt;0),"n.s.",ABS(J17)/ABS(SUMIFS(J$5:J$639,$A$5:$A$639,$A17,$C$5:$C$639,$C17-1,$D$5:$D$639,$D17))-1)))</f>
        <v/>
      </c>
      <c r="S17" s="16">
        <f>IF(OR($A17="",K17="",$C17=""),"",IF(COUNTIFS($A$5:$A$639,$A17,$C$5:$C$639,$C17-1,$D$5:$D$639,$D17,K$5:K$639,"&lt;&gt;")=0,"",IF(OR(SUMIFS(K$5:K$639,$A$5:$A$639,$A17,$C$5:$C$639,$C17-1,$D$5:$D$639,$D17)=0,K17*SUMIFS(K$5:K$639,$A$5:$A$639,$A17,$C$5:$C$639,$C17-1,$D$5:$D$639,$D17)&lt;0),"n.s.",ABS(K17)/ABS(SUMIFS(K$5:K$639,$A$5:$A$639,$A17,$C$5:$C$639,$C17-1,$D$5:$D$639,$D17))-1)))</f>
        <v/>
      </c>
      <c r="T17" s="16">
        <f>IF(OR($A17="",L17="",$C17=""),"",IF(COUNTIFS($A$5:$A$639,$A17,$C$5:$C$639,$C17-1,$D$5:$D$639,$D17,L$5:L$639,"&lt;&gt;")=0,"",IF(OR(SUMIFS(L$5:L$639,$A$5:$A$639,$A17,$C$5:$C$639,$C17-1,$D$5:$D$639,$D17)=0,L17*SUMIFS(L$5:L$639,$A$5:$A$639,$A17,$C$5:$C$639,$C17-1,$D$5:$D$639,$D17)&lt;0),"n.s.",ABS(L17)/ABS(SUMIFS(L$5:L$639,$A$5:$A$639,$A17,$C$5:$C$639,$C17-1,$D$5:$D$639,$D17))-1)))</f>
        <v/>
      </c>
      <c r="U17" s="16">
        <f>IF(OR($A17="",M17="",$C17=""),"",IF(COUNTIFS($A$5:$A$639,$A17,$C$5:$C$639,$C17-1,$D$5:$D$639,$D17,M$5:M$639,"&lt;&gt;")=0,"",IF(OR(SUMIFS(M$5:M$639,$A$5:$A$639,$A17,$C$5:$C$639,$C17-1,$D$5:$D$639,$D17)=0,M17*SUMIFS(M$5:M$639,$A$5:$A$639,$A17,$C$5:$C$639,$C17-1,$D$5:$D$639,$D17)&lt;0),"n.s.",ABS(M17)/ABS(SUMIFS(M$5:M$639,$A$5:$A$639,$A17,$C$5:$C$639,$C17-1,$D$5:$D$639,$D17))-1)))</f>
        <v/>
      </c>
    </row>
    <row r="18">
      <c r="A18" s="9" t="inlineStr">
        <is>
          <t>NTLC</t>
        </is>
      </c>
      <c r="B18" s="10">
        <f>IF(A18="","",IFERROR(VLOOKUP(A18,Titres!$A$2:$B$400,2,FALSE),"Ticker inconnu"))</f>
        <v/>
      </c>
      <c r="C18" s="11" t="n">
        <v>2025</v>
      </c>
      <c r="D18" s="11" t="inlineStr">
        <is>
          <t>S1</t>
        </is>
      </c>
      <c r="E18" s="9" t="n"/>
      <c r="F18" s="12" t="n"/>
      <c r="G18" s="9" t="n"/>
      <c r="H18" s="13" t="n"/>
      <c r="I18" s="13" t="n"/>
      <c r="J18" s="13" t="n"/>
      <c r="K18" s="13" t="n"/>
      <c r="L18" s="13" t="n"/>
      <c r="M18" s="13" t="n"/>
      <c r="N18" s="14">
        <f>IF(A18="","",COUNT(H18:M18)/6)</f>
        <v/>
      </c>
      <c r="O18" s="15">
        <f>IF(COUNT(H18:M18)=0,"",IF(LEN(IF(COUNT(I18,J18)=2,IF(J18&gt;I18+1,"EBE &gt; VA ",""),"")&amp;IF(COUNT(H18,M18)=2,IF(ABS(M18)&gt;ABS(H18),"RN &gt; CA ",""),"")&amp;IF(COUNT(H18,K18)=2,IF(ABS(K18)&gt;ABS(H18),"RE &gt; CA ",""),""))=0,"OK",IF(COUNT(I18,J18)=2,IF(J18&gt;I18+1,"EBE &gt; VA ",""),"")&amp;IF(COUNT(H18,M18)=2,IF(ABS(M18)&gt;ABS(H18),"RN &gt; CA ",""),"")&amp;IF(COUNT(H18,K18)=2,IF(ABS(K18)&gt;ABS(H18),"RE &gt; CA ",""),"")))</f>
        <v/>
      </c>
      <c r="P18" s="16">
        <f>IF(OR($A18="",H18="",$C18=""),"",IF(COUNTIFS($A$5:$A$639,$A18,$C$5:$C$639,$C18-1,$D$5:$D$639,$D18,H$5:H$639,"&lt;&gt;")=0,"",IF(OR(SUMIFS(H$5:H$639,$A$5:$A$639,$A18,$C$5:$C$639,$C18-1,$D$5:$D$639,$D18)=0,H18*SUMIFS(H$5:H$639,$A$5:$A$639,$A18,$C$5:$C$639,$C18-1,$D$5:$D$639,$D18)&lt;0),"n.s.",ABS(H18)/ABS(SUMIFS(H$5:H$639,$A$5:$A$639,$A18,$C$5:$C$639,$C18-1,$D$5:$D$639,$D18))-1)))</f>
        <v/>
      </c>
      <c r="Q18" s="16">
        <f>IF(OR($A18="",I18="",$C18=""),"",IF(COUNTIFS($A$5:$A$639,$A18,$C$5:$C$639,$C18-1,$D$5:$D$639,$D18,I$5:I$639,"&lt;&gt;")=0,"",IF(OR(SUMIFS(I$5:I$639,$A$5:$A$639,$A18,$C$5:$C$639,$C18-1,$D$5:$D$639,$D18)=0,I18*SUMIFS(I$5:I$639,$A$5:$A$639,$A18,$C$5:$C$639,$C18-1,$D$5:$D$639,$D18)&lt;0),"n.s.",ABS(I18)/ABS(SUMIFS(I$5:I$639,$A$5:$A$639,$A18,$C$5:$C$639,$C18-1,$D$5:$D$639,$D18))-1)))</f>
        <v/>
      </c>
      <c r="R18" s="16">
        <f>IF(OR($A18="",J18="",$C18=""),"",IF(COUNTIFS($A$5:$A$639,$A18,$C$5:$C$639,$C18-1,$D$5:$D$639,$D18,J$5:J$639,"&lt;&gt;")=0,"",IF(OR(SUMIFS(J$5:J$639,$A$5:$A$639,$A18,$C$5:$C$639,$C18-1,$D$5:$D$639,$D18)=0,J18*SUMIFS(J$5:J$639,$A$5:$A$639,$A18,$C$5:$C$639,$C18-1,$D$5:$D$639,$D18)&lt;0),"n.s.",ABS(J18)/ABS(SUMIFS(J$5:J$639,$A$5:$A$639,$A18,$C$5:$C$639,$C18-1,$D$5:$D$639,$D18))-1)))</f>
        <v/>
      </c>
      <c r="S18" s="16">
        <f>IF(OR($A18="",K18="",$C18=""),"",IF(COUNTIFS($A$5:$A$639,$A18,$C$5:$C$639,$C18-1,$D$5:$D$639,$D18,K$5:K$639,"&lt;&gt;")=0,"",IF(OR(SUMIFS(K$5:K$639,$A$5:$A$639,$A18,$C$5:$C$639,$C18-1,$D$5:$D$639,$D18)=0,K18*SUMIFS(K$5:K$639,$A$5:$A$639,$A18,$C$5:$C$639,$C18-1,$D$5:$D$639,$D18)&lt;0),"n.s.",ABS(K18)/ABS(SUMIFS(K$5:K$639,$A$5:$A$639,$A18,$C$5:$C$639,$C18-1,$D$5:$D$639,$D18))-1)))</f>
        <v/>
      </c>
      <c r="T18" s="16">
        <f>IF(OR($A18="",L18="",$C18=""),"",IF(COUNTIFS($A$5:$A$639,$A18,$C$5:$C$639,$C18-1,$D$5:$D$639,$D18,L$5:L$639,"&lt;&gt;")=0,"",IF(OR(SUMIFS(L$5:L$639,$A$5:$A$639,$A18,$C$5:$C$639,$C18-1,$D$5:$D$639,$D18)=0,L18*SUMIFS(L$5:L$639,$A$5:$A$639,$A18,$C$5:$C$639,$C18-1,$D$5:$D$639,$D18)&lt;0),"n.s.",ABS(L18)/ABS(SUMIFS(L$5:L$639,$A$5:$A$639,$A18,$C$5:$C$639,$C18-1,$D$5:$D$639,$D18))-1)))</f>
        <v/>
      </c>
      <c r="U18" s="16">
        <f>IF(OR($A18="",M18="",$C18=""),"",IF(COUNTIFS($A$5:$A$639,$A18,$C$5:$C$639,$C18-1,$D$5:$D$639,$D18,M$5:M$639,"&lt;&gt;")=0,"",IF(OR(SUMIFS(M$5:M$639,$A$5:$A$639,$A18,$C$5:$C$639,$C18-1,$D$5:$D$639,$D18)=0,M18*SUMIFS(M$5:M$639,$A$5:$A$639,$A18,$C$5:$C$639,$C18-1,$D$5:$D$639,$D18)&lt;0),"n.s.",ABS(M18)/ABS(SUMIFS(M$5:M$639,$A$5:$A$639,$A18,$C$5:$C$639,$C18-1,$D$5:$D$639,$D18))-1)))</f>
        <v/>
      </c>
    </row>
    <row r="19">
      <c r="A19" s="9" t="inlineStr">
        <is>
          <t>NTLC</t>
        </is>
      </c>
      <c r="B19" s="10">
        <f>IF(A19="","",IFERROR(VLOOKUP(A19,Titres!$A$2:$B$400,2,FALSE),"Ticker inconnu"))</f>
        <v/>
      </c>
      <c r="C19" s="11" t="n">
        <v>2025</v>
      </c>
      <c r="D19" s="11" t="inlineStr">
        <is>
          <t>T3</t>
        </is>
      </c>
      <c r="E19" s="9" t="n"/>
      <c r="F19" s="12" t="n"/>
      <c r="G19" s="9" t="n"/>
      <c r="H19" s="13" t="n"/>
      <c r="I19" s="13" t="n"/>
      <c r="J19" s="13" t="n"/>
      <c r="K19" s="13" t="n"/>
      <c r="L19" s="13" t="n"/>
      <c r="M19" s="13" t="n"/>
      <c r="N19" s="14">
        <f>IF(A19="","",COUNT(H19:M19)/6)</f>
        <v/>
      </c>
      <c r="O19" s="15">
        <f>IF(COUNT(H19:M19)=0,"",IF(LEN(IF(COUNT(I19,J19)=2,IF(J19&gt;I19+1,"EBE &gt; VA ",""),"")&amp;IF(COUNT(H19,M19)=2,IF(ABS(M19)&gt;ABS(H19),"RN &gt; CA ",""),"")&amp;IF(COUNT(H19,K19)=2,IF(ABS(K19)&gt;ABS(H19),"RE &gt; CA ",""),""))=0,"OK",IF(COUNT(I19,J19)=2,IF(J19&gt;I19+1,"EBE &gt; VA ",""),"")&amp;IF(COUNT(H19,M19)=2,IF(ABS(M19)&gt;ABS(H19),"RN &gt; CA ",""),"")&amp;IF(COUNT(H19,K19)=2,IF(ABS(K19)&gt;ABS(H19),"RE &gt; CA ",""),"")))</f>
        <v/>
      </c>
      <c r="P19" s="16">
        <f>IF(OR($A19="",H19="",$C19=""),"",IF(COUNTIFS($A$5:$A$639,$A19,$C$5:$C$639,$C19-1,$D$5:$D$639,$D19,H$5:H$639,"&lt;&gt;")=0,"",IF(OR(SUMIFS(H$5:H$639,$A$5:$A$639,$A19,$C$5:$C$639,$C19-1,$D$5:$D$639,$D19)=0,H19*SUMIFS(H$5:H$639,$A$5:$A$639,$A19,$C$5:$C$639,$C19-1,$D$5:$D$639,$D19)&lt;0),"n.s.",ABS(H19)/ABS(SUMIFS(H$5:H$639,$A$5:$A$639,$A19,$C$5:$C$639,$C19-1,$D$5:$D$639,$D19))-1)))</f>
        <v/>
      </c>
      <c r="Q19" s="16">
        <f>IF(OR($A19="",I19="",$C19=""),"",IF(COUNTIFS($A$5:$A$639,$A19,$C$5:$C$639,$C19-1,$D$5:$D$639,$D19,I$5:I$639,"&lt;&gt;")=0,"",IF(OR(SUMIFS(I$5:I$639,$A$5:$A$639,$A19,$C$5:$C$639,$C19-1,$D$5:$D$639,$D19)=0,I19*SUMIFS(I$5:I$639,$A$5:$A$639,$A19,$C$5:$C$639,$C19-1,$D$5:$D$639,$D19)&lt;0),"n.s.",ABS(I19)/ABS(SUMIFS(I$5:I$639,$A$5:$A$639,$A19,$C$5:$C$639,$C19-1,$D$5:$D$639,$D19))-1)))</f>
        <v/>
      </c>
      <c r="R19" s="16">
        <f>IF(OR($A19="",J19="",$C19=""),"",IF(COUNTIFS($A$5:$A$639,$A19,$C$5:$C$639,$C19-1,$D$5:$D$639,$D19,J$5:J$639,"&lt;&gt;")=0,"",IF(OR(SUMIFS(J$5:J$639,$A$5:$A$639,$A19,$C$5:$C$639,$C19-1,$D$5:$D$639,$D19)=0,J19*SUMIFS(J$5:J$639,$A$5:$A$639,$A19,$C$5:$C$639,$C19-1,$D$5:$D$639,$D19)&lt;0),"n.s.",ABS(J19)/ABS(SUMIFS(J$5:J$639,$A$5:$A$639,$A19,$C$5:$C$639,$C19-1,$D$5:$D$639,$D19))-1)))</f>
        <v/>
      </c>
      <c r="S19" s="16">
        <f>IF(OR($A19="",K19="",$C19=""),"",IF(COUNTIFS($A$5:$A$639,$A19,$C$5:$C$639,$C19-1,$D$5:$D$639,$D19,K$5:K$639,"&lt;&gt;")=0,"",IF(OR(SUMIFS(K$5:K$639,$A$5:$A$639,$A19,$C$5:$C$639,$C19-1,$D$5:$D$639,$D19)=0,K19*SUMIFS(K$5:K$639,$A$5:$A$639,$A19,$C$5:$C$639,$C19-1,$D$5:$D$639,$D19)&lt;0),"n.s.",ABS(K19)/ABS(SUMIFS(K$5:K$639,$A$5:$A$639,$A19,$C$5:$C$639,$C19-1,$D$5:$D$639,$D19))-1)))</f>
        <v/>
      </c>
      <c r="T19" s="16">
        <f>IF(OR($A19="",L19="",$C19=""),"",IF(COUNTIFS($A$5:$A$639,$A19,$C$5:$C$639,$C19-1,$D$5:$D$639,$D19,L$5:L$639,"&lt;&gt;")=0,"",IF(OR(SUMIFS(L$5:L$639,$A$5:$A$639,$A19,$C$5:$C$639,$C19-1,$D$5:$D$639,$D19)=0,L19*SUMIFS(L$5:L$639,$A$5:$A$639,$A19,$C$5:$C$639,$C19-1,$D$5:$D$639,$D19)&lt;0),"n.s.",ABS(L19)/ABS(SUMIFS(L$5:L$639,$A$5:$A$639,$A19,$C$5:$C$639,$C19-1,$D$5:$D$639,$D19))-1)))</f>
        <v/>
      </c>
      <c r="U19" s="16">
        <f>IF(OR($A19="",M19="",$C19=""),"",IF(COUNTIFS($A$5:$A$639,$A19,$C$5:$C$639,$C19-1,$D$5:$D$639,$D19,M$5:M$639,"&lt;&gt;")=0,"",IF(OR(SUMIFS(M$5:M$639,$A$5:$A$639,$A19,$C$5:$C$639,$C19-1,$D$5:$D$639,$D19)=0,M19*SUMIFS(M$5:M$639,$A$5:$A$639,$A19,$C$5:$C$639,$C19-1,$D$5:$D$639,$D19)&lt;0),"n.s.",ABS(M19)/ABS(SUMIFS(M$5:M$639,$A$5:$A$639,$A19,$C$5:$C$639,$C19-1,$D$5:$D$639,$D19))-1)))</f>
        <v/>
      </c>
    </row>
    <row r="20">
      <c r="A20" s="9" t="inlineStr">
        <is>
          <t>NTLC</t>
        </is>
      </c>
      <c r="B20" s="10">
        <f>IF(A20="","",IFERROR(VLOOKUP(A20,Titres!$A$2:$B$400,2,FALSE),"Ticker inconnu"))</f>
        <v/>
      </c>
      <c r="C20" s="11" t="n">
        <v>2026</v>
      </c>
      <c r="D20" s="11" t="inlineStr">
        <is>
          <t>T1</t>
        </is>
      </c>
      <c r="E20" s="9" t="inlineStr">
        <is>
          <t>Publié</t>
        </is>
      </c>
      <c r="F20" s="12" t="n">
        <v>46142</v>
      </c>
      <c r="G20" s="9" t="inlineStr">
        <is>
          <t>https://www.richbourse.com/common/actualite/afficher-fichier/30-04-2026-nestle-ci-rapport-dactivites-1er-trimestre-2026</t>
        </is>
      </c>
      <c r="H20" s="13" t="n">
        <v>70821.658</v>
      </c>
      <c r="I20" s="13" t="n"/>
      <c r="J20" s="13" t="n"/>
      <c r="K20" s="13" t="n"/>
      <c r="L20" s="13" t="n">
        <v>10874.637</v>
      </c>
      <c r="M20" s="13" t="n">
        <v>7525.623</v>
      </c>
      <c r="N20" s="14">
        <f>IF(A20="","",COUNT(H20:M20)/6)</f>
        <v/>
      </c>
      <c r="O20" s="15">
        <f>IF(COUNT(H20:M20)=0,"",IF(LEN(IF(COUNT(I20,J20)=2,IF(J20&gt;I20+1,"EBE &gt; VA ",""),"")&amp;IF(COUNT(H20,M20)=2,IF(ABS(M20)&gt;ABS(H20),"RN &gt; CA ",""),"")&amp;IF(COUNT(H20,K20)=2,IF(ABS(K20)&gt;ABS(H20),"RE &gt; CA ",""),""))=0,"OK",IF(COUNT(I20,J20)=2,IF(J20&gt;I20+1,"EBE &gt; VA ",""),"")&amp;IF(COUNT(H20,M20)=2,IF(ABS(M20)&gt;ABS(H20),"RN &gt; CA ",""),"")&amp;IF(COUNT(H20,K20)=2,IF(ABS(K20)&gt;ABS(H20),"RE &gt; CA ",""),"")))</f>
        <v/>
      </c>
      <c r="P20" s="16">
        <f>IF(OR($A20="",H20="",$C20=""),"",IF(COUNTIFS($A$5:$A$639,$A20,$C$5:$C$639,$C20-1,$D$5:$D$639,$D20,H$5:H$639,"&lt;&gt;")=0,"",IF(OR(SUMIFS(H$5:H$639,$A$5:$A$639,$A20,$C$5:$C$639,$C20-1,$D$5:$D$639,$D20)=0,H20*SUMIFS(H$5:H$639,$A$5:$A$639,$A20,$C$5:$C$639,$C20-1,$D$5:$D$639,$D20)&lt;0),"n.s.",ABS(H20)/ABS(SUMIFS(H$5:H$639,$A$5:$A$639,$A20,$C$5:$C$639,$C20-1,$D$5:$D$639,$D20))-1)))</f>
        <v/>
      </c>
      <c r="Q20" s="16">
        <f>IF(OR($A20="",I20="",$C20=""),"",IF(COUNTIFS($A$5:$A$639,$A20,$C$5:$C$639,$C20-1,$D$5:$D$639,$D20,I$5:I$639,"&lt;&gt;")=0,"",IF(OR(SUMIFS(I$5:I$639,$A$5:$A$639,$A20,$C$5:$C$639,$C20-1,$D$5:$D$639,$D20)=0,I20*SUMIFS(I$5:I$639,$A$5:$A$639,$A20,$C$5:$C$639,$C20-1,$D$5:$D$639,$D20)&lt;0),"n.s.",ABS(I20)/ABS(SUMIFS(I$5:I$639,$A$5:$A$639,$A20,$C$5:$C$639,$C20-1,$D$5:$D$639,$D20))-1)))</f>
        <v/>
      </c>
      <c r="R20" s="16">
        <f>IF(OR($A20="",J20="",$C20=""),"",IF(COUNTIFS($A$5:$A$639,$A20,$C$5:$C$639,$C20-1,$D$5:$D$639,$D20,J$5:J$639,"&lt;&gt;")=0,"",IF(OR(SUMIFS(J$5:J$639,$A$5:$A$639,$A20,$C$5:$C$639,$C20-1,$D$5:$D$639,$D20)=0,J20*SUMIFS(J$5:J$639,$A$5:$A$639,$A20,$C$5:$C$639,$C20-1,$D$5:$D$639,$D20)&lt;0),"n.s.",ABS(J20)/ABS(SUMIFS(J$5:J$639,$A$5:$A$639,$A20,$C$5:$C$639,$C20-1,$D$5:$D$639,$D20))-1)))</f>
        <v/>
      </c>
      <c r="S20" s="16">
        <f>IF(OR($A20="",K20="",$C20=""),"",IF(COUNTIFS($A$5:$A$639,$A20,$C$5:$C$639,$C20-1,$D$5:$D$639,$D20,K$5:K$639,"&lt;&gt;")=0,"",IF(OR(SUMIFS(K$5:K$639,$A$5:$A$639,$A20,$C$5:$C$639,$C20-1,$D$5:$D$639,$D20)=0,K20*SUMIFS(K$5:K$639,$A$5:$A$639,$A20,$C$5:$C$639,$C20-1,$D$5:$D$639,$D20)&lt;0),"n.s.",ABS(K20)/ABS(SUMIFS(K$5:K$639,$A$5:$A$639,$A20,$C$5:$C$639,$C20-1,$D$5:$D$639,$D20))-1)))</f>
        <v/>
      </c>
      <c r="T20" s="16">
        <f>IF(OR($A20="",L20="",$C20=""),"",IF(COUNTIFS($A$5:$A$639,$A20,$C$5:$C$639,$C20-1,$D$5:$D$639,$D20,L$5:L$639,"&lt;&gt;")=0,"",IF(OR(SUMIFS(L$5:L$639,$A$5:$A$639,$A20,$C$5:$C$639,$C20-1,$D$5:$D$639,$D20)=0,L20*SUMIFS(L$5:L$639,$A$5:$A$639,$A20,$C$5:$C$639,$C20-1,$D$5:$D$639,$D20)&lt;0),"n.s.",ABS(L20)/ABS(SUMIFS(L$5:L$639,$A$5:$A$639,$A20,$C$5:$C$639,$C20-1,$D$5:$D$639,$D20))-1)))</f>
        <v/>
      </c>
      <c r="U20" s="16">
        <f>IF(OR($A20="",M20="",$C20=""),"",IF(COUNTIFS($A$5:$A$639,$A20,$C$5:$C$639,$C20-1,$D$5:$D$639,$D20,M$5:M$639,"&lt;&gt;")=0,"",IF(OR(SUMIFS(M$5:M$639,$A$5:$A$639,$A20,$C$5:$C$639,$C20-1,$D$5:$D$639,$D20)=0,M20*SUMIFS(M$5:M$639,$A$5:$A$639,$A20,$C$5:$C$639,$C20-1,$D$5:$D$639,$D20)&lt;0),"n.s.",ABS(M20)/ABS(SUMIFS(M$5:M$639,$A$5:$A$639,$A20,$C$5:$C$639,$C20-1,$D$5:$D$639,$D20))-1)))</f>
        <v/>
      </c>
    </row>
    <row r="21">
      <c r="A21" s="9" t="inlineStr">
        <is>
          <t>NTLC</t>
        </is>
      </c>
      <c r="B21" s="10">
        <f>IF(A21="","",IFERROR(VLOOKUP(A21,Titres!$A$2:$B$400,2,FALSE),"Ticker inconnu"))</f>
        <v/>
      </c>
      <c r="C21" s="11" t="n">
        <v>2026</v>
      </c>
      <c r="D21" s="11" t="inlineStr">
        <is>
          <t>S1</t>
        </is>
      </c>
      <c r="E21" s="9" t="n"/>
      <c r="F21" s="12" t="n"/>
      <c r="G21" s="9" t="n"/>
      <c r="H21" s="13" t="n"/>
      <c r="I21" s="13" t="n"/>
      <c r="J21" s="13" t="n"/>
      <c r="K21" s="13" t="n"/>
      <c r="L21" s="13" t="n"/>
      <c r="M21" s="13" t="n"/>
      <c r="N21" s="14">
        <f>IF(A21="","",COUNT(H21:M21)/6)</f>
        <v/>
      </c>
      <c r="O21" s="15">
        <f>IF(COUNT(H21:M21)=0,"",IF(LEN(IF(COUNT(I21,J21)=2,IF(J21&gt;I21+1,"EBE &gt; VA ",""),"")&amp;IF(COUNT(H21,M21)=2,IF(ABS(M21)&gt;ABS(H21),"RN &gt; CA ",""),"")&amp;IF(COUNT(H21,K21)=2,IF(ABS(K21)&gt;ABS(H21),"RE &gt; CA ",""),""))=0,"OK",IF(COUNT(I21,J21)=2,IF(J21&gt;I21+1,"EBE &gt; VA ",""),"")&amp;IF(COUNT(H21,M21)=2,IF(ABS(M21)&gt;ABS(H21),"RN &gt; CA ",""),"")&amp;IF(COUNT(H21,K21)=2,IF(ABS(K21)&gt;ABS(H21),"RE &gt; CA ",""),"")))</f>
        <v/>
      </c>
      <c r="P21" s="16">
        <f>IF(OR($A21="",H21="",$C21=""),"",IF(COUNTIFS($A$5:$A$639,$A21,$C$5:$C$639,$C21-1,$D$5:$D$639,$D21,H$5:H$639,"&lt;&gt;")=0,"",IF(OR(SUMIFS(H$5:H$639,$A$5:$A$639,$A21,$C$5:$C$639,$C21-1,$D$5:$D$639,$D21)=0,H21*SUMIFS(H$5:H$639,$A$5:$A$639,$A21,$C$5:$C$639,$C21-1,$D$5:$D$639,$D21)&lt;0),"n.s.",ABS(H21)/ABS(SUMIFS(H$5:H$639,$A$5:$A$639,$A21,$C$5:$C$639,$C21-1,$D$5:$D$639,$D21))-1)))</f>
        <v/>
      </c>
      <c r="Q21" s="16">
        <f>IF(OR($A21="",I21="",$C21=""),"",IF(COUNTIFS($A$5:$A$639,$A21,$C$5:$C$639,$C21-1,$D$5:$D$639,$D21,I$5:I$639,"&lt;&gt;")=0,"",IF(OR(SUMIFS(I$5:I$639,$A$5:$A$639,$A21,$C$5:$C$639,$C21-1,$D$5:$D$639,$D21)=0,I21*SUMIFS(I$5:I$639,$A$5:$A$639,$A21,$C$5:$C$639,$C21-1,$D$5:$D$639,$D21)&lt;0),"n.s.",ABS(I21)/ABS(SUMIFS(I$5:I$639,$A$5:$A$639,$A21,$C$5:$C$639,$C21-1,$D$5:$D$639,$D21))-1)))</f>
        <v/>
      </c>
      <c r="R21" s="16">
        <f>IF(OR($A21="",J21="",$C21=""),"",IF(COUNTIFS($A$5:$A$639,$A21,$C$5:$C$639,$C21-1,$D$5:$D$639,$D21,J$5:J$639,"&lt;&gt;")=0,"",IF(OR(SUMIFS(J$5:J$639,$A$5:$A$639,$A21,$C$5:$C$639,$C21-1,$D$5:$D$639,$D21)=0,J21*SUMIFS(J$5:J$639,$A$5:$A$639,$A21,$C$5:$C$639,$C21-1,$D$5:$D$639,$D21)&lt;0),"n.s.",ABS(J21)/ABS(SUMIFS(J$5:J$639,$A$5:$A$639,$A21,$C$5:$C$639,$C21-1,$D$5:$D$639,$D21))-1)))</f>
        <v/>
      </c>
      <c r="S21" s="16">
        <f>IF(OR($A21="",K21="",$C21=""),"",IF(COUNTIFS($A$5:$A$639,$A21,$C$5:$C$639,$C21-1,$D$5:$D$639,$D21,K$5:K$639,"&lt;&gt;")=0,"",IF(OR(SUMIFS(K$5:K$639,$A$5:$A$639,$A21,$C$5:$C$639,$C21-1,$D$5:$D$639,$D21)=0,K21*SUMIFS(K$5:K$639,$A$5:$A$639,$A21,$C$5:$C$639,$C21-1,$D$5:$D$639,$D21)&lt;0),"n.s.",ABS(K21)/ABS(SUMIFS(K$5:K$639,$A$5:$A$639,$A21,$C$5:$C$639,$C21-1,$D$5:$D$639,$D21))-1)))</f>
        <v/>
      </c>
      <c r="T21" s="16">
        <f>IF(OR($A21="",L21="",$C21=""),"",IF(COUNTIFS($A$5:$A$639,$A21,$C$5:$C$639,$C21-1,$D$5:$D$639,$D21,L$5:L$639,"&lt;&gt;")=0,"",IF(OR(SUMIFS(L$5:L$639,$A$5:$A$639,$A21,$C$5:$C$639,$C21-1,$D$5:$D$639,$D21)=0,L21*SUMIFS(L$5:L$639,$A$5:$A$639,$A21,$C$5:$C$639,$C21-1,$D$5:$D$639,$D21)&lt;0),"n.s.",ABS(L21)/ABS(SUMIFS(L$5:L$639,$A$5:$A$639,$A21,$C$5:$C$639,$C21-1,$D$5:$D$639,$D21))-1)))</f>
        <v/>
      </c>
      <c r="U21" s="16">
        <f>IF(OR($A21="",M21="",$C21=""),"",IF(COUNTIFS($A$5:$A$639,$A21,$C$5:$C$639,$C21-1,$D$5:$D$639,$D21,M$5:M$639,"&lt;&gt;")=0,"",IF(OR(SUMIFS(M$5:M$639,$A$5:$A$639,$A21,$C$5:$C$639,$C21-1,$D$5:$D$639,$D21)=0,M21*SUMIFS(M$5:M$639,$A$5:$A$639,$A21,$C$5:$C$639,$C21-1,$D$5:$D$639,$D21)&lt;0),"n.s.",ABS(M21)/ABS(SUMIFS(M$5:M$639,$A$5:$A$639,$A21,$C$5:$C$639,$C21-1,$D$5:$D$639,$D21))-1)))</f>
        <v/>
      </c>
    </row>
    <row r="22">
      <c r="A22" s="9" t="inlineStr">
        <is>
          <t>NTLC</t>
        </is>
      </c>
      <c r="B22" s="10">
        <f>IF(A22="","",IFERROR(VLOOKUP(A22,Titres!$A$2:$B$400,2,FALSE),"Ticker inconnu"))</f>
        <v/>
      </c>
      <c r="C22" s="11" t="n">
        <v>2026</v>
      </c>
      <c r="D22" s="11" t="inlineStr">
        <is>
          <t>T3</t>
        </is>
      </c>
      <c r="E22" s="9" t="n"/>
      <c r="F22" s="12" t="n"/>
      <c r="G22" s="9" t="n"/>
      <c r="H22" s="13" t="n"/>
      <c r="I22" s="13" t="n"/>
      <c r="J22" s="13" t="n"/>
      <c r="K22" s="13" t="n"/>
      <c r="L22" s="13" t="n"/>
      <c r="M22" s="13" t="n"/>
      <c r="N22" s="14">
        <f>IF(A22="","",COUNT(H22:M22)/6)</f>
        <v/>
      </c>
      <c r="O22" s="15">
        <f>IF(COUNT(H22:M22)=0,"",IF(LEN(IF(COUNT(I22,J22)=2,IF(J22&gt;I22+1,"EBE &gt; VA ",""),"")&amp;IF(COUNT(H22,M22)=2,IF(ABS(M22)&gt;ABS(H22),"RN &gt; CA ",""),"")&amp;IF(COUNT(H22,K22)=2,IF(ABS(K22)&gt;ABS(H22),"RE &gt; CA ",""),""))=0,"OK",IF(COUNT(I22,J22)=2,IF(J22&gt;I22+1,"EBE &gt; VA ",""),"")&amp;IF(COUNT(H22,M22)=2,IF(ABS(M22)&gt;ABS(H22),"RN &gt; CA ",""),"")&amp;IF(COUNT(H22,K22)=2,IF(ABS(K22)&gt;ABS(H22),"RE &gt; CA ",""),"")))</f>
        <v/>
      </c>
      <c r="P22" s="16">
        <f>IF(OR($A22="",H22="",$C22=""),"",IF(COUNTIFS($A$5:$A$639,$A22,$C$5:$C$639,$C22-1,$D$5:$D$639,$D22,H$5:H$639,"&lt;&gt;")=0,"",IF(OR(SUMIFS(H$5:H$639,$A$5:$A$639,$A22,$C$5:$C$639,$C22-1,$D$5:$D$639,$D22)=0,H22*SUMIFS(H$5:H$639,$A$5:$A$639,$A22,$C$5:$C$639,$C22-1,$D$5:$D$639,$D22)&lt;0),"n.s.",ABS(H22)/ABS(SUMIFS(H$5:H$639,$A$5:$A$639,$A22,$C$5:$C$639,$C22-1,$D$5:$D$639,$D22))-1)))</f>
        <v/>
      </c>
      <c r="Q22" s="16">
        <f>IF(OR($A22="",I22="",$C22=""),"",IF(COUNTIFS($A$5:$A$639,$A22,$C$5:$C$639,$C22-1,$D$5:$D$639,$D22,I$5:I$639,"&lt;&gt;")=0,"",IF(OR(SUMIFS(I$5:I$639,$A$5:$A$639,$A22,$C$5:$C$639,$C22-1,$D$5:$D$639,$D22)=0,I22*SUMIFS(I$5:I$639,$A$5:$A$639,$A22,$C$5:$C$639,$C22-1,$D$5:$D$639,$D22)&lt;0),"n.s.",ABS(I22)/ABS(SUMIFS(I$5:I$639,$A$5:$A$639,$A22,$C$5:$C$639,$C22-1,$D$5:$D$639,$D22))-1)))</f>
        <v/>
      </c>
      <c r="R22" s="16">
        <f>IF(OR($A22="",J22="",$C22=""),"",IF(COUNTIFS($A$5:$A$639,$A22,$C$5:$C$639,$C22-1,$D$5:$D$639,$D22,J$5:J$639,"&lt;&gt;")=0,"",IF(OR(SUMIFS(J$5:J$639,$A$5:$A$639,$A22,$C$5:$C$639,$C22-1,$D$5:$D$639,$D22)=0,J22*SUMIFS(J$5:J$639,$A$5:$A$639,$A22,$C$5:$C$639,$C22-1,$D$5:$D$639,$D22)&lt;0),"n.s.",ABS(J22)/ABS(SUMIFS(J$5:J$639,$A$5:$A$639,$A22,$C$5:$C$639,$C22-1,$D$5:$D$639,$D22))-1)))</f>
        <v/>
      </c>
      <c r="S22" s="16">
        <f>IF(OR($A22="",K22="",$C22=""),"",IF(COUNTIFS($A$5:$A$639,$A22,$C$5:$C$639,$C22-1,$D$5:$D$639,$D22,K$5:K$639,"&lt;&gt;")=0,"",IF(OR(SUMIFS(K$5:K$639,$A$5:$A$639,$A22,$C$5:$C$639,$C22-1,$D$5:$D$639,$D22)=0,K22*SUMIFS(K$5:K$639,$A$5:$A$639,$A22,$C$5:$C$639,$C22-1,$D$5:$D$639,$D22)&lt;0),"n.s.",ABS(K22)/ABS(SUMIFS(K$5:K$639,$A$5:$A$639,$A22,$C$5:$C$639,$C22-1,$D$5:$D$639,$D22))-1)))</f>
        <v/>
      </c>
      <c r="T22" s="16">
        <f>IF(OR($A22="",L22="",$C22=""),"",IF(COUNTIFS($A$5:$A$639,$A22,$C$5:$C$639,$C22-1,$D$5:$D$639,$D22,L$5:L$639,"&lt;&gt;")=0,"",IF(OR(SUMIFS(L$5:L$639,$A$5:$A$639,$A22,$C$5:$C$639,$C22-1,$D$5:$D$639,$D22)=0,L22*SUMIFS(L$5:L$639,$A$5:$A$639,$A22,$C$5:$C$639,$C22-1,$D$5:$D$639,$D22)&lt;0),"n.s.",ABS(L22)/ABS(SUMIFS(L$5:L$639,$A$5:$A$639,$A22,$C$5:$C$639,$C22-1,$D$5:$D$639,$D22))-1)))</f>
        <v/>
      </c>
      <c r="U22" s="16">
        <f>IF(OR($A22="",M22="",$C22=""),"",IF(COUNTIFS($A$5:$A$639,$A22,$C$5:$C$639,$C22-1,$D$5:$D$639,$D22,M$5:M$639,"&lt;&gt;")=0,"",IF(OR(SUMIFS(M$5:M$639,$A$5:$A$639,$A22,$C$5:$C$639,$C22-1,$D$5:$D$639,$D22)=0,M22*SUMIFS(M$5:M$639,$A$5:$A$639,$A22,$C$5:$C$639,$C22-1,$D$5:$D$639,$D22)&lt;0),"n.s.",ABS(M22)/ABS(SUMIFS(M$5:M$639,$A$5:$A$639,$A22,$C$5:$C$639,$C22-1,$D$5:$D$639,$D22))-1)))</f>
        <v/>
      </c>
    </row>
    <row r="23">
      <c r="A23" s="9" t="inlineStr">
        <is>
          <t>PALC</t>
        </is>
      </c>
      <c r="B23" s="10">
        <f>IF(A23="","",IFERROR(VLOOKUP(A23,Titres!$A$2:$B$400,2,FALSE),"Ticker inconnu"))</f>
        <v/>
      </c>
      <c r="C23" s="11" t="n">
        <v>2021</v>
      </c>
      <c r="D23" s="11" t="inlineStr">
        <is>
          <t>T1</t>
        </is>
      </c>
      <c r="E23" s="9" t="n"/>
      <c r="F23" s="12" t="n"/>
      <c r="G23" s="9" t="n"/>
      <c r="H23" s="13" t="n"/>
      <c r="I23" s="13" t="n"/>
      <c r="J23" s="13" t="n"/>
      <c r="K23" s="13" t="n"/>
      <c r="L23" s="13" t="n"/>
      <c r="M23" s="13" t="n"/>
      <c r="N23" s="14">
        <f>IF(A23="","",COUNT(H23:M23)/6)</f>
        <v/>
      </c>
      <c r="O23" s="15">
        <f>IF(COUNT(H23:M23)=0,"",IF(LEN(IF(COUNT(I23,J23)=2,IF(J23&gt;I23+1,"EBE &gt; VA ",""),"")&amp;IF(COUNT(H23,M23)=2,IF(ABS(M23)&gt;ABS(H23),"RN &gt; CA ",""),"")&amp;IF(COUNT(H23,K23)=2,IF(ABS(K23)&gt;ABS(H23),"RE &gt; CA ",""),""))=0,"OK",IF(COUNT(I23,J23)=2,IF(J23&gt;I23+1,"EBE &gt; VA ",""),"")&amp;IF(COUNT(H23,M23)=2,IF(ABS(M23)&gt;ABS(H23),"RN &gt; CA ",""),"")&amp;IF(COUNT(H23,K23)=2,IF(ABS(K23)&gt;ABS(H23),"RE &gt; CA ",""),"")))</f>
        <v/>
      </c>
      <c r="P23" s="16">
        <f>IF(OR($A23="",H23="",$C23=""),"",IF(COUNTIFS($A$5:$A$639,$A23,$C$5:$C$639,$C23-1,$D$5:$D$639,$D23,H$5:H$639,"&lt;&gt;")=0,"",IF(OR(SUMIFS(H$5:H$639,$A$5:$A$639,$A23,$C$5:$C$639,$C23-1,$D$5:$D$639,$D23)=0,H23*SUMIFS(H$5:H$639,$A$5:$A$639,$A23,$C$5:$C$639,$C23-1,$D$5:$D$639,$D23)&lt;0),"n.s.",ABS(H23)/ABS(SUMIFS(H$5:H$639,$A$5:$A$639,$A23,$C$5:$C$639,$C23-1,$D$5:$D$639,$D23))-1)))</f>
        <v/>
      </c>
      <c r="Q23" s="16">
        <f>IF(OR($A23="",I23="",$C23=""),"",IF(COUNTIFS($A$5:$A$639,$A23,$C$5:$C$639,$C23-1,$D$5:$D$639,$D23,I$5:I$639,"&lt;&gt;")=0,"",IF(OR(SUMIFS(I$5:I$639,$A$5:$A$639,$A23,$C$5:$C$639,$C23-1,$D$5:$D$639,$D23)=0,I23*SUMIFS(I$5:I$639,$A$5:$A$639,$A23,$C$5:$C$639,$C23-1,$D$5:$D$639,$D23)&lt;0),"n.s.",ABS(I23)/ABS(SUMIFS(I$5:I$639,$A$5:$A$639,$A23,$C$5:$C$639,$C23-1,$D$5:$D$639,$D23))-1)))</f>
        <v/>
      </c>
      <c r="R23" s="16">
        <f>IF(OR($A23="",J23="",$C23=""),"",IF(COUNTIFS($A$5:$A$639,$A23,$C$5:$C$639,$C23-1,$D$5:$D$639,$D23,J$5:J$639,"&lt;&gt;")=0,"",IF(OR(SUMIFS(J$5:J$639,$A$5:$A$639,$A23,$C$5:$C$639,$C23-1,$D$5:$D$639,$D23)=0,J23*SUMIFS(J$5:J$639,$A$5:$A$639,$A23,$C$5:$C$639,$C23-1,$D$5:$D$639,$D23)&lt;0),"n.s.",ABS(J23)/ABS(SUMIFS(J$5:J$639,$A$5:$A$639,$A23,$C$5:$C$639,$C23-1,$D$5:$D$639,$D23))-1)))</f>
        <v/>
      </c>
      <c r="S23" s="16">
        <f>IF(OR($A23="",K23="",$C23=""),"",IF(COUNTIFS($A$5:$A$639,$A23,$C$5:$C$639,$C23-1,$D$5:$D$639,$D23,K$5:K$639,"&lt;&gt;")=0,"",IF(OR(SUMIFS(K$5:K$639,$A$5:$A$639,$A23,$C$5:$C$639,$C23-1,$D$5:$D$639,$D23)=0,K23*SUMIFS(K$5:K$639,$A$5:$A$639,$A23,$C$5:$C$639,$C23-1,$D$5:$D$639,$D23)&lt;0),"n.s.",ABS(K23)/ABS(SUMIFS(K$5:K$639,$A$5:$A$639,$A23,$C$5:$C$639,$C23-1,$D$5:$D$639,$D23))-1)))</f>
        <v/>
      </c>
      <c r="T23" s="16">
        <f>IF(OR($A23="",L23="",$C23=""),"",IF(COUNTIFS($A$5:$A$639,$A23,$C$5:$C$639,$C23-1,$D$5:$D$639,$D23,L$5:L$639,"&lt;&gt;")=0,"",IF(OR(SUMIFS(L$5:L$639,$A$5:$A$639,$A23,$C$5:$C$639,$C23-1,$D$5:$D$639,$D23)=0,L23*SUMIFS(L$5:L$639,$A$5:$A$639,$A23,$C$5:$C$639,$C23-1,$D$5:$D$639,$D23)&lt;0),"n.s.",ABS(L23)/ABS(SUMIFS(L$5:L$639,$A$5:$A$639,$A23,$C$5:$C$639,$C23-1,$D$5:$D$639,$D23))-1)))</f>
        <v/>
      </c>
      <c r="U23" s="16">
        <f>IF(OR($A23="",M23="",$C23=""),"",IF(COUNTIFS($A$5:$A$639,$A23,$C$5:$C$639,$C23-1,$D$5:$D$639,$D23,M$5:M$639,"&lt;&gt;")=0,"",IF(OR(SUMIFS(M$5:M$639,$A$5:$A$639,$A23,$C$5:$C$639,$C23-1,$D$5:$D$639,$D23)=0,M23*SUMIFS(M$5:M$639,$A$5:$A$639,$A23,$C$5:$C$639,$C23-1,$D$5:$D$639,$D23)&lt;0),"n.s.",ABS(M23)/ABS(SUMIFS(M$5:M$639,$A$5:$A$639,$A23,$C$5:$C$639,$C23-1,$D$5:$D$639,$D23))-1)))</f>
        <v/>
      </c>
    </row>
    <row r="24">
      <c r="A24" s="9" t="inlineStr">
        <is>
          <t>PALC</t>
        </is>
      </c>
      <c r="B24" s="10">
        <f>IF(A24="","",IFERROR(VLOOKUP(A24,Titres!$A$2:$B$400,2,FALSE),"Ticker inconnu"))</f>
        <v/>
      </c>
      <c r="C24" s="11" t="n">
        <v>2021</v>
      </c>
      <c r="D24" s="11" t="inlineStr">
        <is>
          <t>S1</t>
        </is>
      </c>
      <c r="E24" s="9" t="n"/>
      <c r="F24" s="12" t="n"/>
      <c r="G24" s="9" t="n"/>
      <c r="H24" s="13" t="n"/>
      <c r="I24" s="13" t="n"/>
      <c r="J24" s="13" t="n"/>
      <c r="K24" s="13" t="n"/>
      <c r="L24" s="13" t="n"/>
      <c r="M24" s="13" t="n"/>
      <c r="N24" s="14">
        <f>IF(A24="","",COUNT(H24:M24)/6)</f>
        <v/>
      </c>
      <c r="O24" s="15">
        <f>IF(COUNT(H24:M24)=0,"",IF(LEN(IF(COUNT(I24,J24)=2,IF(J24&gt;I24+1,"EBE &gt; VA ",""),"")&amp;IF(COUNT(H24,M24)=2,IF(ABS(M24)&gt;ABS(H24),"RN &gt; CA ",""),"")&amp;IF(COUNT(H24,K24)=2,IF(ABS(K24)&gt;ABS(H24),"RE &gt; CA ",""),""))=0,"OK",IF(COUNT(I24,J24)=2,IF(J24&gt;I24+1,"EBE &gt; VA ",""),"")&amp;IF(COUNT(H24,M24)=2,IF(ABS(M24)&gt;ABS(H24),"RN &gt; CA ",""),"")&amp;IF(COUNT(H24,K24)=2,IF(ABS(K24)&gt;ABS(H24),"RE &gt; CA ",""),"")))</f>
        <v/>
      </c>
      <c r="P24" s="16">
        <f>IF(OR($A24="",H24="",$C24=""),"",IF(COUNTIFS($A$5:$A$639,$A24,$C$5:$C$639,$C24-1,$D$5:$D$639,$D24,H$5:H$639,"&lt;&gt;")=0,"",IF(OR(SUMIFS(H$5:H$639,$A$5:$A$639,$A24,$C$5:$C$639,$C24-1,$D$5:$D$639,$D24)=0,H24*SUMIFS(H$5:H$639,$A$5:$A$639,$A24,$C$5:$C$639,$C24-1,$D$5:$D$639,$D24)&lt;0),"n.s.",ABS(H24)/ABS(SUMIFS(H$5:H$639,$A$5:$A$639,$A24,$C$5:$C$639,$C24-1,$D$5:$D$639,$D24))-1)))</f>
        <v/>
      </c>
      <c r="Q24" s="16">
        <f>IF(OR($A24="",I24="",$C24=""),"",IF(COUNTIFS($A$5:$A$639,$A24,$C$5:$C$639,$C24-1,$D$5:$D$639,$D24,I$5:I$639,"&lt;&gt;")=0,"",IF(OR(SUMIFS(I$5:I$639,$A$5:$A$639,$A24,$C$5:$C$639,$C24-1,$D$5:$D$639,$D24)=0,I24*SUMIFS(I$5:I$639,$A$5:$A$639,$A24,$C$5:$C$639,$C24-1,$D$5:$D$639,$D24)&lt;0),"n.s.",ABS(I24)/ABS(SUMIFS(I$5:I$639,$A$5:$A$639,$A24,$C$5:$C$639,$C24-1,$D$5:$D$639,$D24))-1)))</f>
        <v/>
      </c>
      <c r="R24" s="16">
        <f>IF(OR($A24="",J24="",$C24=""),"",IF(COUNTIFS($A$5:$A$639,$A24,$C$5:$C$639,$C24-1,$D$5:$D$639,$D24,J$5:J$639,"&lt;&gt;")=0,"",IF(OR(SUMIFS(J$5:J$639,$A$5:$A$639,$A24,$C$5:$C$639,$C24-1,$D$5:$D$639,$D24)=0,J24*SUMIFS(J$5:J$639,$A$5:$A$639,$A24,$C$5:$C$639,$C24-1,$D$5:$D$639,$D24)&lt;0),"n.s.",ABS(J24)/ABS(SUMIFS(J$5:J$639,$A$5:$A$639,$A24,$C$5:$C$639,$C24-1,$D$5:$D$639,$D24))-1)))</f>
        <v/>
      </c>
      <c r="S24" s="16">
        <f>IF(OR($A24="",K24="",$C24=""),"",IF(COUNTIFS($A$5:$A$639,$A24,$C$5:$C$639,$C24-1,$D$5:$D$639,$D24,K$5:K$639,"&lt;&gt;")=0,"",IF(OR(SUMIFS(K$5:K$639,$A$5:$A$639,$A24,$C$5:$C$639,$C24-1,$D$5:$D$639,$D24)=0,K24*SUMIFS(K$5:K$639,$A$5:$A$639,$A24,$C$5:$C$639,$C24-1,$D$5:$D$639,$D24)&lt;0),"n.s.",ABS(K24)/ABS(SUMIFS(K$5:K$639,$A$5:$A$639,$A24,$C$5:$C$639,$C24-1,$D$5:$D$639,$D24))-1)))</f>
        <v/>
      </c>
      <c r="T24" s="16">
        <f>IF(OR($A24="",L24="",$C24=""),"",IF(COUNTIFS($A$5:$A$639,$A24,$C$5:$C$639,$C24-1,$D$5:$D$639,$D24,L$5:L$639,"&lt;&gt;")=0,"",IF(OR(SUMIFS(L$5:L$639,$A$5:$A$639,$A24,$C$5:$C$639,$C24-1,$D$5:$D$639,$D24)=0,L24*SUMIFS(L$5:L$639,$A$5:$A$639,$A24,$C$5:$C$639,$C24-1,$D$5:$D$639,$D24)&lt;0),"n.s.",ABS(L24)/ABS(SUMIFS(L$5:L$639,$A$5:$A$639,$A24,$C$5:$C$639,$C24-1,$D$5:$D$639,$D24))-1)))</f>
        <v/>
      </c>
      <c r="U24" s="16">
        <f>IF(OR($A24="",M24="",$C24=""),"",IF(COUNTIFS($A$5:$A$639,$A24,$C$5:$C$639,$C24-1,$D$5:$D$639,$D24,M$5:M$639,"&lt;&gt;")=0,"",IF(OR(SUMIFS(M$5:M$639,$A$5:$A$639,$A24,$C$5:$C$639,$C24-1,$D$5:$D$639,$D24)=0,M24*SUMIFS(M$5:M$639,$A$5:$A$639,$A24,$C$5:$C$639,$C24-1,$D$5:$D$639,$D24)&lt;0),"n.s.",ABS(M24)/ABS(SUMIFS(M$5:M$639,$A$5:$A$639,$A24,$C$5:$C$639,$C24-1,$D$5:$D$639,$D24))-1)))</f>
        <v/>
      </c>
    </row>
    <row r="25">
      <c r="A25" s="9" t="inlineStr">
        <is>
          <t>PALC</t>
        </is>
      </c>
      <c r="B25" s="10">
        <f>IF(A25="","",IFERROR(VLOOKUP(A25,Titres!$A$2:$B$400,2,FALSE),"Ticker inconnu"))</f>
        <v/>
      </c>
      <c r="C25" s="11" t="n">
        <v>2021</v>
      </c>
      <c r="D25" s="11" t="inlineStr">
        <is>
          <t>T3</t>
        </is>
      </c>
      <c r="E25" s="9" t="n"/>
      <c r="F25" s="12" t="n"/>
      <c r="G25" s="9" t="n"/>
      <c r="H25" s="13" t="n"/>
      <c r="I25" s="13" t="n"/>
      <c r="J25" s="13" t="n"/>
      <c r="K25" s="13" t="n"/>
      <c r="L25" s="13" t="n"/>
      <c r="M25" s="13" t="n"/>
      <c r="N25" s="14">
        <f>IF(A25="","",COUNT(H25:M25)/6)</f>
        <v/>
      </c>
      <c r="O25" s="15">
        <f>IF(COUNT(H25:M25)=0,"",IF(LEN(IF(COUNT(I25,J25)=2,IF(J25&gt;I25+1,"EBE &gt; VA ",""),"")&amp;IF(COUNT(H25,M25)=2,IF(ABS(M25)&gt;ABS(H25),"RN &gt; CA ",""),"")&amp;IF(COUNT(H25,K25)=2,IF(ABS(K25)&gt;ABS(H25),"RE &gt; CA ",""),""))=0,"OK",IF(COUNT(I25,J25)=2,IF(J25&gt;I25+1,"EBE &gt; VA ",""),"")&amp;IF(COUNT(H25,M25)=2,IF(ABS(M25)&gt;ABS(H25),"RN &gt; CA ",""),"")&amp;IF(COUNT(H25,K25)=2,IF(ABS(K25)&gt;ABS(H25),"RE &gt; CA ",""),"")))</f>
        <v/>
      </c>
      <c r="P25" s="16">
        <f>IF(OR($A25="",H25="",$C25=""),"",IF(COUNTIFS($A$5:$A$639,$A25,$C$5:$C$639,$C25-1,$D$5:$D$639,$D25,H$5:H$639,"&lt;&gt;")=0,"",IF(OR(SUMIFS(H$5:H$639,$A$5:$A$639,$A25,$C$5:$C$639,$C25-1,$D$5:$D$639,$D25)=0,H25*SUMIFS(H$5:H$639,$A$5:$A$639,$A25,$C$5:$C$639,$C25-1,$D$5:$D$639,$D25)&lt;0),"n.s.",ABS(H25)/ABS(SUMIFS(H$5:H$639,$A$5:$A$639,$A25,$C$5:$C$639,$C25-1,$D$5:$D$639,$D25))-1)))</f>
        <v/>
      </c>
      <c r="Q25" s="16">
        <f>IF(OR($A25="",I25="",$C25=""),"",IF(COUNTIFS($A$5:$A$639,$A25,$C$5:$C$639,$C25-1,$D$5:$D$639,$D25,I$5:I$639,"&lt;&gt;")=0,"",IF(OR(SUMIFS(I$5:I$639,$A$5:$A$639,$A25,$C$5:$C$639,$C25-1,$D$5:$D$639,$D25)=0,I25*SUMIFS(I$5:I$639,$A$5:$A$639,$A25,$C$5:$C$639,$C25-1,$D$5:$D$639,$D25)&lt;0),"n.s.",ABS(I25)/ABS(SUMIFS(I$5:I$639,$A$5:$A$639,$A25,$C$5:$C$639,$C25-1,$D$5:$D$639,$D25))-1)))</f>
        <v/>
      </c>
      <c r="R25" s="16">
        <f>IF(OR($A25="",J25="",$C25=""),"",IF(COUNTIFS($A$5:$A$639,$A25,$C$5:$C$639,$C25-1,$D$5:$D$639,$D25,J$5:J$639,"&lt;&gt;")=0,"",IF(OR(SUMIFS(J$5:J$639,$A$5:$A$639,$A25,$C$5:$C$639,$C25-1,$D$5:$D$639,$D25)=0,J25*SUMIFS(J$5:J$639,$A$5:$A$639,$A25,$C$5:$C$639,$C25-1,$D$5:$D$639,$D25)&lt;0),"n.s.",ABS(J25)/ABS(SUMIFS(J$5:J$639,$A$5:$A$639,$A25,$C$5:$C$639,$C25-1,$D$5:$D$639,$D25))-1)))</f>
        <v/>
      </c>
      <c r="S25" s="16">
        <f>IF(OR($A25="",K25="",$C25=""),"",IF(COUNTIFS($A$5:$A$639,$A25,$C$5:$C$639,$C25-1,$D$5:$D$639,$D25,K$5:K$639,"&lt;&gt;")=0,"",IF(OR(SUMIFS(K$5:K$639,$A$5:$A$639,$A25,$C$5:$C$639,$C25-1,$D$5:$D$639,$D25)=0,K25*SUMIFS(K$5:K$639,$A$5:$A$639,$A25,$C$5:$C$639,$C25-1,$D$5:$D$639,$D25)&lt;0),"n.s.",ABS(K25)/ABS(SUMIFS(K$5:K$639,$A$5:$A$639,$A25,$C$5:$C$639,$C25-1,$D$5:$D$639,$D25))-1)))</f>
        <v/>
      </c>
      <c r="T25" s="16">
        <f>IF(OR($A25="",L25="",$C25=""),"",IF(COUNTIFS($A$5:$A$639,$A25,$C$5:$C$639,$C25-1,$D$5:$D$639,$D25,L$5:L$639,"&lt;&gt;")=0,"",IF(OR(SUMIFS(L$5:L$639,$A$5:$A$639,$A25,$C$5:$C$639,$C25-1,$D$5:$D$639,$D25)=0,L25*SUMIFS(L$5:L$639,$A$5:$A$639,$A25,$C$5:$C$639,$C25-1,$D$5:$D$639,$D25)&lt;0),"n.s.",ABS(L25)/ABS(SUMIFS(L$5:L$639,$A$5:$A$639,$A25,$C$5:$C$639,$C25-1,$D$5:$D$639,$D25))-1)))</f>
        <v/>
      </c>
      <c r="U25" s="16">
        <f>IF(OR($A25="",M25="",$C25=""),"",IF(COUNTIFS($A$5:$A$639,$A25,$C$5:$C$639,$C25-1,$D$5:$D$639,$D25,M$5:M$639,"&lt;&gt;")=0,"",IF(OR(SUMIFS(M$5:M$639,$A$5:$A$639,$A25,$C$5:$C$639,$C25-1,$D$5:$D$639,$D25)=0,M25*SUMIFS(M$5:M$639,$A$5:$A$639,$A25,$C$5:$C$639,$C25-1,$D$5:$D$639,$D25)&lt;0),"n.s.",ABS(M25)/ABS(SUMIFS(M$5:M$639,$A$5:$A$639,$A25,$C$5:$C$639,$C25-1,$D$5:$D$639,$D25))-1)))</f>
        <v/>
      </c>
    </row>
    <row r="26">
      <c r="A26" s="9" t="inlineStr">
        <is>
          <t>PALC</t>
        </is>
      </c>
      <c r="B26" s="10">
        <f>IF(A26="","",IFERROR(VLOOKUP(A26,Titres!$A$2:$B$400,2,FALSE),"Ticker inconnu"))</f>
        <v/>
      </c>
      <c r="C26" s="11" t="n">
        <v>2022</v>
      </c>
      <c r="D26" s="11" t="inlineStr">
        <is>
          <t>T1</t>
        </is>
      </c>
      <c r="E26" s="9" t="n"/>
      <c r="F26" s="12" t="n"/>
      <c r="G26" s="9" t="n"/>
      <c r="H26" s="13" t="n"/>
      <c r="I26" s="13" t="n"/>
      <c r="J26" s="13" t="n"/>
      <c r="K26" s="13" t="n"/>
      <c r="L26" s="13" t="n"/>
      <c r="M26" s="13" t="n"/>
      <c r="N26" s="14">
        <f>IF(A26="","",COUNT(H26:M26)/6)</f>
        <v/>
      </c>
      <c r="O26" s="15">
        <f>IF(COUNT(H26:M26)=0,"",IF(LEN(IF(COUNT(I26,J26)=2,IF(J26&gt;I26+1,"EBE &gt; VA ",""),"")&amp;IF(COUNT(H26,M26)=2,IF(ABS(M26)&gt;ABS(H26),"RN &gt; CA ",""),"")&amp;IF(COUNT(H26,K26)=2,IF(ABS(K26)&gt;ABS(H26),"RE &gt; CA ",""),""))=0,"OK",IF(COUNT(I26,J26)=2,IF(J26&gt;I26+1,"EBE &gt; VA ",""),"")&amp;IF(COUNT(H26,M26)=2,IF(ABS(M26)&gt;ABS(H26),"RN &gt; CA ",""),"")&amp;IF(COUNT(H26,K26)=2,IF(ABS(K26)&gt;ABS(H26),"RE &gt; CA ",""),"")))</f>
        <v/>
      </c>
      <c r="P26" s="16">
        <f>IF(OR($A26="",H26="",$C26=""),"",IF(COUNTIFS($A$5:$A$639,$A26,$C$5:$C$639,$C26-1,$D$5:$D$639,$D26,H$5:H$639,"&lt;&gt;")=0,"",IF(OR(SUMIFS(H$5:H$639,$A$5:$A$639,$A26,$C$5:$C$639,$C26-1,$D$5:$D$639,$D26)=0,H26*SUMIFS(H$5:H$639,$A$5:$A$639,$A26,$C$5:$C$639,$C26-1,$D$5:$D$639,$D26)&lt;0),"n.s.",ABS(H26)/ABS(SUMIFS(H$5:H$639,$A$5:$A$639,$A26,$C$5:$C$639,$C26-1,$D$5:$D$639,$D26))-1)))</f>
        <v/>
      </c>
      <c r="Q26" s="16">
        <f>IF(OR($A26="",I26="",$C26=""),"",IF(COUNTIFS($A$5:$A$639,$A26,$C$5:$C$639,$C26-1,$D$5:$D$639,$D26,I$5:I$639,"&lt;&gt;")=0,"",IF(OR(SUMIFS(I$5:I$639,$A$5:$A$639,$A26,$C$5:$C$639,$C26-1,$D$5:$D$639,$D26)=0,I26*SUMIFS(I$5:I$639,$A$5:$A$639,$A26,$C$5:$C$639,$C26-1,$D$5:$D$639,$D26)&lt;0),"n.s.",ABS(I26)/ABS(SUMIFS(I$5:I$639,$A$5:$A$639,$A26,$C$5:$C$639,$C26-1,$D$5:$D$639,$D26))-1)))</f>
        <v/>
      </c>
      <c r="R26" s="16">
        <f>IF(OR($A26="",J26="",$C26=""),"",IF(COUNTIFS($A$5:$A$639,$A26,$C$5:$C$639,$C26-1,$D$5:$D$639,$D26,J$5:J$639,"&lt;&gt;")=0,"",IF(OR(SUMIFS(J$5:J$639,$A$5:$A$639,$A26,$C$5:$C$639,$C26-1,$D$5:$D$639,$D26)=0,J26*SUMIFS(J$5:J$639,$A$5:$A$639,$A26,$C$5:$C$639,$C26-1,$D$5:$D$639,$D26)&lt;0),"n.s.",ABS(J26)/ABS(SUMIFS(J$5:J$639,$A$5:$A$639,$A26,$C$5:$C$639,$C26-1,$D$5:$D$639,$D26))-1)))</f>
        <v/>
      </c>
      <c r="S26" s="16">
        <f>IF(OR($A26="",K26="",$C26=""),"",IF(COUNTIFS($A$5:$A$639,$A26,$C$5:$C$639,$C26-1,$D$5:$D$639,$D26,K$5:K$639,"&lt;&gt;")=0,"",IF(OR(SUMIFS(K$5:K$639,$A$5:$A$639,$A26,$C$5:$C$639,$C26-1,$D$5:$D$639,$D26)=0,K26*SUMIFS(K$5:K$639,$A$5:$A$639,$A26,$C$5:$C$639,$C26-1,$D$5:$D$639,$D26)&lt;0),"n.s.",ABS(K26)/ABS(SUMIFS(K$5:K$639,$A$5:$A$639,$A26,$C$5:$C$639,$C26-1,$D$5:$D$639,$D26))-1)))</f>
        <v/>
      </c>
      <c r="T26" s="16">
        <f>IF(OR($A26="",L26="",$C26=""),"",IF(COUNTIFS($A$5:$A$639,$A26,$C$5:$C$639,$C26-1,$D$5:$D$639,$D26,L$5:L$639,"&lt;&gt;")=0,"",IF(OR(SUMIFS(L$5:L$639,$A$5:$A$639,$A26,$C$5:$C$639,$C26-1,$D$5:$D$639,$D26)=0,L26*SUMIFS(L$5:L$639,$A$5:$A$639,$A26,$C$5:$C$639,$C26-1,$D$5:$D$639,$D26)&lt;0),"n.s.",ABS(L26)/ABS(SUMIFS(L$5:L$639,$A$5:$A$639,$A26,$C$5:$C$639,$C26-1,$D$5:$D$639,$D26))-1)))</f>
        <v/>
      </c>
      <c r="U26" s="16">
        <f>IF(OR($A26="",M26="",$C26=""),"",IF(COUNTIFS($A$5:$A$639,$A26,$C$5:$C$639,$C26-1,$D$5:$D$639,$D26,M$5:M$639,"&lt;&gt;")=0,"",IF(OR(SUMIFS(M$5:M$639,$A$5:$A$639,$A26,$C$5:$C$639,$C26-1,$D$5:$D$639,$D26)=0,M26*SUMIFS(M$5:M$639,$A$5:$A$639,$A26,$C$5:$C$639,$C26-1,$D$5:$D$639,$D26)&lt;0),"n.s.",ABS(M26)/ABS(SUMIFS(M$5:M$639,$A$5:$A$639,$A26,$C$5:$C$639,$C26-1,$D$5:$D$639,$D26))-1)))</f>
        <v/>
      </c>
    </row>
    <row r="27">
      <c r="A27" s="9" t="inlineStr">
        <is>
          <t>PALC</t>
        </is>
      </c>
      <c r="B27" s="10">
        <f>IF(A27="","",IFERROR(VLOOKUP(A27,Titres!$A$2:$B$400,2,FALSE),"Ticker inconnu"))</f>
        <v/>
      </c>
      <c r="C27" s="11" t="n">
        <v>2022</v>
      </c>
      <c r="D27" s="11" t="inlineStr">
        <is>
          <t>S1</t>
        </is>
      </c>
      <c r="E27" s="9" t="n"/>
      <c r="F27" s="12" t="n"/>
      <c r="G27" s="9" t="n"/>
      <c r="H27" s="13" t="n"/>
      <c r="I27" s="13" t="n"/>
      <c r="J27" s="13" t="n"/>
      <c r="K27" s="13" t="n"/>
      <c r="L27" s="13" t="n"/>
      <c r="M27" s="13" t="n"/>
      <c r="N27" s="14">
        <f>IF(A27="","",COUNT(H27:M27)/6)</f>
        <v/>
      </c>
      <c r="O27" s="15">
        <f>IF(COUNT(H27:M27)=0,"",IF(LEN(IF(COUNT(I27,J27)=2,IF(J27&gt;I27+1,"EBE &gt; VA ",""),"")&amp;IF(COUNT(H27,M27)=2,IF(ABS(M27)&gt;ABS(H27),"RN &gt; CA ",""),"")&amp;IF(COUNT(H27,K27)=2,IF(ABS(K27)&gt;ABS(H27),"RE &gt; CA ",""),""))=0,"OK",IF(COUNT(I27,J27)=2,IF(J27&gt;I27+1,"EBE &gt; VA ",""),"")&amp;IF(COUNT(H27,M27)=2,IF(ABS(M27)&gt;ABS(H27),"RN &gt; CA ",""),"")&amp;IF(COUNT(H27,K27)=2,IF(ABS(K27)&gt;ABS(H27),"RE &gt; CA ",""),"")))</f>
        <v/>
      </c>
      <c r="P27" s="16">
        <f>IF(OR($A27="",H27="",$C27=""),"",IF(COUNTIFS($A$5:$A$639,$A27,$C$5:$C$639,$C27-1,$D$5:$D$639,$D27,H$5:H$639,"&lt;&gt;")=0,"",IF(OR(SUMIFS(H$5:H$639,$A$5:$A$639,$A27,$C$5:$C$639,$C27-1,$D$5:$D$639,$D27)=0,H27*SUMIFS(H$5:H$639,$A$5:$A$639,$A27,$C$5:$C$639,$C27-1,$D$5:$D$639,$D27)&lt;0),"n.s.",ABS(H27)/ABS(SUMIFS(H$5:H$639,$A$5:$A$639,$A27,$C$5:$C$639,$C27-1,$D$5:$D$639,$D27))-1)))</f>
        <v/>
      </c>
      <c r="Q27" s="16">
        <f>IF(OR($A27="",I27="",$C27=""),"",IF(COUNTIFS($A$5:$A$639,$A27,$C$5:$C$639,$C27-1,$D$5:$D$639,$D27,I$5:I$639,"&lt;&gt;")=0,"",IF(OR(SUMIFS(I$5:I$639,$A$5:$A$639,$A27,$C$5:$C$639,$C27-1,$D$5:$D$639,$D27)=0,I27*SUMIFS(I$5:I$639,$A$5:$A$639,$A27,$C$5:$C$639,$C27-1,$D$5:$D$639,$D27)&lt;0),"n.s.",ABS(I27)/ABS(SUMIFS(I$5:I$639,$A$5:$A$639,$A27,$C$5:$C$639,$C27-1,$D$5:$D$639,$D27))-1)))</f>
        <v/>
      </c>
      <c r="R27" s="16">
        <f>IF(OR($A27="",J27="",$C27=""),"",IF(COUNTIFS($A$5:$A$639,$A27,$C$5:$C$639,$C27-1,$D$5:$D$639,$D27,J$5:J$639,"&lt;&gt;")=0,"",IF(OR(SUMIFS(J$5:J$639,$A$5:$A$639,$A27,$C$5:$C$639,$C27-1,$D$5:$D$639,$D27)=0,J27*SUMIFS(J$5:J$639,$A$5:$A$639,$A27,$C$5:$C$639,$C27-1,$D$5:$D$639,$D27)&lt;0),"n.s.",ABS(J27)/ABS(SUMIFS(J$5:J$639,$A$5:$A$639,$A27,$C$5:$C$639,$C27-1,$D$5:$D$639,$D27))-1)))</f>
        <v/>
      </c>
      <c r="S27" s="16">
        <f>IF(OR($A27="",K27="",$C27=""),"",IF(COUNTIFS($A$5:$A$639,$A27,$C$5:$C$639,$C27-1,$D$5:$D$639,$D27,K$5:K$639,"&lt;&gt;")=0,"",IF(OR(SUMIFS(K$5:K$639,$A$5:$A$639,$A27,$C$5:$C$639,$C27-1,$D$5:$D$639,$D27)=0,K27*SUMIFS(K$5:K$639,$A$5:$A$639,$A27,$C$5:$C$639,$C27-1,$D$5:$D$639,$D27)&lt;0),"n.s.",ABS(K27)/ABS(SUMIFS(K$5:K$639,$A$5:$A$639,$A27,$C$5:$C$639,$C27-1,$D$5:$D$639,$D27))-1)))</f>
        <v/>
      </c>
      <c r="T27" s="16">
        <f>IF(OR($A27="",L27="",$C27=""),"",IF(COUNTIFS($A$5:$A$639,$A27,$C$5:$C$639,$C27-1,$D$5:$D$639,$D27,L$5:L$639,"&lt;&gt;")=0,"",IF(OR(SUMIFS(L$5:L$639,$A$5:$A$639,$A27,$C$5:$C$639,$C27-1,$D$5:$D$639,$D27)=0,L27*SUMIFS(L$5:L$639,$A$5:$A$639,$A27,$C$5:$C$639,$C27-1,$D$5:$D$639,$D27)&lt;0),"n.s.",ABS(L27)/ABS(SUMIFS(L$5:L$639,$A$5:$A$639,$A27,$C$5:$C$639,$C27-1,$D$5:$D$639,$D27))-1)))</f>
        <v/>
      </c>
      <c r="U27" s="16">
        <f>IF(OR($A27="",M27="",$C27=""),"",IF(COUNTIFS($A$5:$A$639,$A27,$C$5:$C$639,$C27-1,$D$5:$D$639,$D27,M$5:M$639,"&lt;&gt;")=0,"",IF(OR(SUMIFS(M$5:M$639,$A$5:$A$639,$A27,$C$5:$C$639,$C27-1,$D$5:$D$639,$D27)=0,M27*SUMIFS(M$5:M$639,$A$5:$A$639,$A27,$C$5:$C$639,$C27-1,$D$5:$D$639,$D27)&lt;0),"n.s.",ABS(M27)/ABS(SUMIFS(M$5:M$639,$A$5:$A$639,$A27,$C$5:$C$639,$C27-1,$D$5:$D$639,$D27))-1)))</f>
        <v/>
      </c>
    </row>
    <row r="28">
      <c r="A28" s="9" t="inlineStr">
        <is>
          <t>PALC</t>
        </is>
      </c>
      <c r="B28" s="10">
        <f>IF(A28="","",IFERROR(VLOOKUP(A28,Titres!$A$2:$B$400,2,FALSE),"Ticker inconnu"))</f>
        <v/>
      </c>
      <c r="C28" s="11" t="n">
        <v>2022</v>
      </c>
      <c r="D28" s="11" t="inlineStr">
        <is>
          <t>T3</t>
        </is>
      </c>
      <c r="E28" s="9" t="n"/>
      <c r="F28" s="12" t="n"/>
      <c r="G28" s="9" t="n"/>
      <c r="H28" s="13" t="n"/>
      <c r="I28" s="13" t="n"/>
      <c r="J28" s="13" t="n"/>
      <c r="K28" s="13" t="n"/>
      <c r="L28" s="13" t="n"/>
      <c r="M28" s="13" t="n"/>
      <c r="N28" s="14">
        <f>IF(A28="","",COUNT(H28:M28)/6)</f>
        <v/>
      </c>
      <c r="O28" s="15">
        <f>IF(COUNT(H28:M28)=0,"",IF(LEN(IF(COUNT(I28,J28)=2,IF(J28&gt;I28+1,"EBE &gt; VA ",""),"")&amp;IF(COUNT(H28,M28)=2,IF(ABS(M28)&gt;ABS(H28),"RN &gt; CA ",""),"")&amp;IF(COUNT(H28,K28)=2,IF(ABS(K28)&gt;ABS(H28),"RE &gt; CA ",""),""))=0,"OK",IF(COUNT(I28,J28)=2,IF(J28&gt;I28+1,"EBE &gt; VA ",""),"")&amp;IF(COUNT(H28,M28)=2,IF(ABS(M28)&gt;ABS(H28),"RN &gt; CA ",""),"")&amp;IF(COUNT(H28,K28)=2,IF(ABS(K28)&gt;ABS(H28),"RE &gt; CA ",""),"")))</f>
        <v/>
      </c>
      <c r="P28" s="16">
        <f>IF(OR($A28="",H28="",$C28=""),"",IF(COUNTIFS($A$5:$A$639,$A28,$C$5:$C$639,$C28-1,$D$5:$D$639,$D28,H$5:H$639,"&lt;&gt;")=0,"",IF(OR(SUMIFS(H$5:H$639,$A$5:$A$639,$A28,$C$5:$C$639,$C28-1,$D$5:$D$639,$D28)=0,H28*SUMIFS(H$5:H$639,$A$5:$A$639,$A28,$C$5:$C$639,$C28-1,$D$5:$D$639,$D28)&lt;0),"n.s.",ABS(H28)/ABS(SUMIFS(H$5:H$639,$A$5:$A$639,$A28,$C$5:$C$639,$C28-1,$D$5:$D$639,$D28))-1)))</f>
        <v/>
      </c>
      <c r="Q28" s="16">
        <f>IF(OR($A28="",I28="",$C28=""),"",IF(COUNTIFS($A$5:$A$639,$A28,$C$5:$C$639,$C28-1,$D$5:$D$639,$D28,I$5:I$639,"&lt;&gt;")=0,"",IF(OR(SUMIFS(I$5:I$639,$A$5:$A$639,$A28,$C$5:$C$639,$C28-1,$D$5:$D$639,$D28)=0,I28*SUMIFS(I$5:I$639,$A$5:$A$639,$A28,$C$5:$C$639,$C28-1,$D$5:$D$639,$D28)&lt;0),"n.s.",ABS(I28)/ABS(SUMIFS(I$5:I$639,$A$5:$A$639,$A28,$C$5:$C$639,$C28-1,$D$5:$D$639,$D28))-1)))</f>
        <v/>
      </c>
      <c r="R28" s="16">
        <f>IF(OR($A28="",J28="",$C28=""),"",IF(COUNTIFS($A$5:$A$639,$A28,$C$5:$C$639,$C28-1,$D$5:$D$639,$D28,J$5:J$639,"&lt;&gt;")=0,"",IF(OR(SUMIFS(J$5:J$639,$A$5:$A$639,$A28,$C$5:$C$639,$C28-1,$D$5:$D$639,$D28)=0,J28*SUMIFS(J$5:J$639,$A$5:$A$639,$A28,$C$5:$C$639,$C28-1,$D$5:$D$639,$D28)&lt;0),"n.s.",ABS(J28)/ABS(SUMIFS(J$5:J$639,$A$5:$A$639,$A28,$C$5:$C$639,$C28-1,$D$5:$D$639,$D28))-1)))</f>
        <v/>
      </c>
      <c r="S28" s="16">
        <f>IF(OR($A28="",K28="",$C28=""),"",IF(COUNTIFS($A$5:$A$639,$A28,$C$5:$C$639,$C28-1,$D$5:$D$639,$D28,K$5:K$639,"&lt;&gt;")=0,"",IF(OR(SUMIFS(K$5:K$639,$A$5:$A$639,$A28,$C$5:$C$639,$C28-1,$D$5:$D$639,$D28)=0,K28*SUMIFS(K$5:K$639,$A$5:$A$639,$A28,$C$5:$C$639,$C28-1,$D$5:$D$639,$D28)&lt;0),"n.s.",ABS(K28)/ABS(SUMIFS(K$5:K$639,$A$5:$A$639,$A28,$C$5:$C$639,$C28-1,$D$5:$D$639,$D28))-1)))</f>
        <v/>
      </c>
      <c r="T28" s="16">
        <f>IF(OR($A28="",L28="",$C28=""),"",IF(COUNTIFS($A$5:$A$639,$A28,$C$5:$C$639,$C28-1,$D$5:$D$639,$D28,L$5:L$639,"&lt;&gt;")=0,"",IF(OR(SUMIFS(L$5:L$639,$A$5:$A$639,$A28,$C$5:$C$639,$C28-1,$D$5:$D$639,$D28)=0,L28*SUMIFS(L$5:L$639,$A$5:$A$639,$A28,$C$5:$C$639,$C28-1,$D$5:$D$639,$D28)&lt;0),"n.s.",ABS(L28)/ABS(SUMIFS(L$5:L$639,$A$5:$A$639,$A28,$C$5:$C$639,$C28-1,$D$5:$D$639,$D28))-1)))</f>
        <v/>
      </c>
      <c r="U28" s="16">
        <f>IF(OR($A28="",M28="",$C28=""),"",IF(COUNTIFS($A$5:$A$639,$A28,$C$5:$C$639,$C28-1,$D$5:$D$639,$D28,M$5:M$639,"&lt;&gt;")=0,"",IF(OR(SUMIFS(M$5:M$639,$A$5:$A$639,$A28,$C$5:$C$639,$C28-1,$D$5:$D$639,$D28)=0,M28*SUMIFS(M$5:M$639,$A$5:$A$639,$A28,$C$5:$C$639,$C28-1,$D$5:$D$639,$D28)&lt;0),"n.s.",ABS(M28)/ABS(SUMIFS(M$5:M$639,$A$5:$A$639,$A28,$C$5:$C$639,$C28-1,$D$5:$D$639,$D28))-1)))</f>
        <v/>
      </c>
    </row>
    <row r="29">
      <c r="A29" s="9" t="inlineStr">
        <is>
          <t>PALC</t>
        </is>
      </c>
      <c r="B29" s="10">
        <f>IF(A29="","",IFERROR(VLOOKUP(A29,Titres!$A$2:$B$400,2,FALSE),"Ticker inconnu"))</f>
        <v/>
      </c>
      <c r="C29" s="11" t="n">
        <v>2023</v>
      </c>
      <c r="D29" s="11" t="inlineStr">
        <is>
          <t>T1</t>
        </is>
      </c>
      <c r="E29" s="9" t="n"/>
      <c r="F29" s="12" t="n"/>
      <c r="G29" s="9" t="n"/>
      <c r="H29" s="13" t="n"/>
      <c r="I29" s="13" t="n"/>
      <c r="J29" s="13" t="n"/>
      <c r="K29" s="13" t="n"/>
      <c r="L29" s="13" t="n"/>
      <c r="M29" s="13" t="n"/>
      <c r="N29" s="14">
        <f>IF(A29="","",COUNT(H29:M29)/6)</f>
        <v/>
      </c>
      <c r="O29" s="15">
        <f>IF(COUNT(H29:M29)=0,"",IF(LEN(IF(COUNT(I29,J29)=2,IF(J29&gt;I29+1,"EBE &gt; VA ",""),"")&amp;IF(COUNT(H29,M29)=2,IF(ABS(M29)&gt;ABS(H29),"RN &gt; CA ",""),"")&amp;IF(COUNT(H29,K29)=2,IF(ABS(K29)&gt;ABS(H29),"RE &gt; CA ",""),""))=0,"OK",IF(COUNT(I29,J29)=2,IF(J29&gt;I29+1,"EBE &gt; VA ",""),"")&amp;IF(COUNT(H29,M29)=2,IF(ABS(M29)&gt;ABS(H29),"RN &gt; CA ",""),"")&amp;IF(COUNT(H29,K29)=2,IF(ABS(K29)&gt;ABS(H29),"RE &gt; CA ",""),"")))</f>
        <v/>
      </c>
      <c r="P29" s="16">
        <f>IF(OR($A29="",H29="",$C29=""),"",IF(COUNTIFS($A$5:$A$639,$A29,$C$5:$C$639,$C29-1,$D$5:$D$639,$D29,H$5:H$639,"&lt;&gt;")=0,"",IF(OR(SUMIFS(H$5:H$639,$A$5:$A$639,$A29,$C$5:$C$639,$C29-1,$D$5:$D$639,$D29)=0,H29*SUMIFS(H$5:H$639,$A$5:$A$639,$A29,$C$5:$C$639,$C29-1,$D$5:$D$639,$D29)&lt;0),"n.s.",ABS(H29)/ABS(SUMIFS(H$5:H$639,$A$5:$A$639,$A29,$C$5:$C$639,$C29-1,$D$5:$D$639,$D29))-1)))</f>
        <v/>
      </c>
      <c r="Q29" s="16">
        <f>IF(OR($A29="",I29="",$C29=""),"",IF(COUNTIFS($A$5:$A$639,$A29,$C$5:$C$639,$C29-1,$D$5:$D$639,$D29,I$5:I$639,"&lt;&gt;")=0,"",IF(OR(SUMIFS(I$5:I$639,$A$5:$A$639,$A29,$C$5:$C$639,$C29-1,$D$5:$D$639,$D29)=0,I29*SUMIFS(I$5:I$639,$A$5:$A$639,$A29,$C$5:$C$639,$C29-1,$D$5:$D$639,$D29)&lt;0),"n.s.",ABS(I29)/ABS(SUMIFS(I$5:I$639,$A$5:$A$639,$A29,$C$5:$C$639,$C29-1,$D$5:$D$639,$D29))-1)))</f>
        <v/>
      </c>
      <c r="R29" s="16">
        <f>IF(OR($A29="",J29="",$C29=""),"",IF(COUNTIFS($A$5:$A$639,$A29,$C$5:$C$639,$C29-1,$D$5:$D$639,$D29,J$5:J$639,"&lt;&gt;")=0,"",IF(OR(SUMIFS(J$5:J$639,$A$5:$A$639,$A29,$C$5:$C$639,$C29-1,$D$5:$D$639,$D29)=0,J29*SUMIFS(J$5:J$639,$A$5:$A$639,$A29,$C$5:$C$639,$C29-1,$D$5:$D$639,$D29)&lt;0),"n.s.",ABS(J29)/ABS(SUMIFS(J$5:J$639,$A$5:$A$639,$A29,$C$5:$C$639,$C29-1,$D$5:$D$639,$D29))-1)))</f>
        <v/>
      </c>
      <c r="S29" s="16">
        <f>IF(OR($A29="",K29="",$C29=""),"",IF(COUNTIFS($A$5:$A$639,$A29,$C$5:$C$639,$C29-1,$D$5:$D$639,$D29,K$5:K$639,"&lt;&gt;")=0,"",IF(OR(SUMIFS(K$5:K$639,$A$5:$A$639,$A29,$C$5:$C$639,$C29-1,$D$5:$D$639,$D29)=0,K29*SUMIFS(K$5:K$639,$A$5:$A$639,$A29,$C$5:$C$639,$C29-1,$D$5:$D$639,$D29)&lt;0),"n.s.",ABS(K29)/ABS(SUMIFS(K$5:K$639,$A$5:$A$639,$A29,$C$5:$C$639,$C29-1,$D$5:$D$639,$D29))-1)))</f>
        <v/>
      </c>
      <c r="T29" s="16">
        <f>IF(OR($A29="",L29="",$C29=""),"",IF(COUNTIFS($A$5:$A$639,$A29,$C$5:$C$639,$C29-1,$D$5:$D$639,$D29,L$5:L$639,"&lt;&gt;")=0,"",IF(OR(SUMIFS(L$5:L$639,$A$5:$A$639,$A29,$C$5:$C$639,$C29-1,$D$5:$D$639,$D29)=0,L29*SUMIFS(L$5:L$639,$A$5:$A$639,$A29,$C$5:$C$639,$C29-1,$D$5:$D$639,$D29)&lt;0),"n.s.",ABS(L29)/ABS(SUMIFS(L$5:L$639,$A$5:$A$639,$A29,$C$5:$C$639,$C29-1,$D$5:$D$639,$D29))-1)))</f>
        <v/>
      </c>
      <c r="U29" s="16">
        <f>IF(OR($A29="",M29="",$C29=""),"",IF(COUNTIFS($A$5:$A$639,$A29,$C$5:$C$639,$C29-1,$D$5:$D$639,$D29,M$5:M$639,"&lt;&gt;")=0,"",IF(OR(SUMIFS(M$5:M$639,$A$5:$A$639,$A29,$C$5:$C$639,$C29-1,$D$5:$D$639,$D29)=0,M29*SUMIFS(M$5:M$639,$A$5:$A$639,$A29,$C$5:$C$639,$C29-1,$D$5:$D$639,$D29)&lt;0),"n.s.",ABS(M29)/ABS(SUMIFS(M$5:M$639,$A$5:$A$639,$A29,$C$5:$C$639,$C29-1,$D$5:$D$639,$D29))-1)))</f>
        <v/>
      </c>
    </row>
    <row r="30">
      <c r="A30" s="9" t="inlineStr">
        <is>
          <t>PALC</t>
        </is>
      </c>
      <c r="B30" s="10">
        <f>IF(A30="","",IFERROR(VLOOKUP(A30,Titres!$A$2:$B$400,2,FALSE),"Ticker inconnu"))</f>
        <v/>
      </c>
      <c r="C30" s="11" t="n">
        <v>2023</v>
      </c>
      <c r="D30" s="11" t="inlineStr">
        <is>
          <t>S1</t>
        </is>
      </c>
      <c r="E30" s="9" t="n"/>
      <c r="F30" s="12" t="n"/>
      <c r="G30" s="9" t="n"/>
      <c r="H30" s="13" t="n"/>
      <c r="I30" s="13" t="n"/>
      <c r="J30" s="13" t="n"/>
      <c r="K30" s="13" t="n"/>
      <c r="L30" s="13" t="n"/>
      <c r="M30" s="13" t="n"/>
      <c r="N30" s="14">
        <f>IF(A30="","",COUNT(H30:M30)/6)</f>
        <v/>
      </c>
      <c r="O30" s="15">
        <f>IF(COUNT(H30:M30)=0,"",IF(LEN(IF(COUNT(I30,J30)=2,IF(J30&gt;I30+1,"EBE &gt; VA ",""),"")&amp;IF(COUNT(H30,M30)=2,IF(ABS(M30)&gt;ABS(H30),"RN &gt; CA ",""),"")&amp;IF(COUNT(H30,K30)=2,IF(ABS(K30)&gt;ABS(H30),"RE &gt; CA ",""),""))=0,"OK",IF(COUNT(I30,J30)=2,IF(J30&gt;I30+1,"EBE &gt; VA ",""),"")&amp;IF(COUNT(H30,M30)=2,IF(ABS(M30)&gt;ABS(H30),"RN &gt; CA ",""),"")&amp;IF(COUNT(H30,K30)=2,IF(ABS(K30)&gt;ABS(H30),"RE &gt; CA ",""),"")))</f>
        <v/>
      </c>
      <c r="P30" s="16">
        <f>IF(OR($A30="",H30="",$C30=""),"",IF(COUNTIFS($A$5:$A$639,$A30,$C$5:$C$639,$C30-1,$D$5:$D$639,$D30,H$5:H$639,"&lt;&gt;")=0,"",IF(OR(SUMIFS(H$5:H$639,$A$5:$A$639,$A30,$C$5:$C$639,$C30-1,$D$5:$D$639,$D30)=0,H30*SUMIFS(H$5:H$639,$A$5:$A$639,$A30,$C$5:$C$639,$C30-1,$D$5:$D$639,$D30)&lt;0),"n.s.",ABS(H30)/ABS(SUMIFS(H$5:H$639,$A$5:$A$639,$A30,$C$5:$C$639,$C30-1,$D$5:$D$639,$D30))-1)))</f>
        <v/>
      </c>
      <c r="Q30" s="16">
        <f>IF(OR($A30="",I30="",$C30=""),"",IF(COUNTIFS($A$5:$A$639,$A30,$C$5:$C$639,$C30-1,$D$5:$D$639,$D30,I$5:I$639,"&lt;&gt;")=0,"",IF(OR(SUMIFS(I$5:I$639,$A$5:$A$639,$A30,$C$5:$C$639,$C30-1,$D$5:$D$639,$D30)=0,I30*SUMIFS(I$5:I$639,$A$5:$A$639,$A30,$C$5:$C$639,$C30-1,$D$5:$D$639,$D30)&lt;0),"n.s.",ABS(I30)/ABS(SUMIFS(I$5:I$639,$A$5:$A$639,$A30,$C$5:$C$639,$C30-1,$D$5:$D$639,$D30))-1)))</f>
        <v/>
      </c>
      <c r="R30" s="16">
        <f>IF(OR($A30="",J30="",$C30=""),"",IF(COUNTIFS($A$5:$A$639,$A30,$C$5:$C$639,$C30-1,$D$5:$D$639,$D30,J$5:J$639,"&lt;&gt;")=0,"",IF(OR(SUMIFS(J$5:J$639,$A$5:$A$639,$A30,$C$5:$C$639,$C30-1,$D$5:$D$639,$D30)=0,J30*SUMIFS(J$5:J$639,$A$5:$A$639,$A30,$C$5:$C$639,$C30-1,$D$5:$D$639,$D30)&lt;0),"n.s.",ABS(J30)/ABS(SUMIFS(J$5:J$639,$A$5:$A$639,$A30,$C$5:$C$639,$C30-1,$D$5:$D$639,$D30))-1)))</f>
        <v/>
      </c>
      <c r="S30" s="16">
        <f>IF(OR($A30="",K30="",$C30=""),"",IF(COUNTIFS($A$5:$A$639,$A30,$C$5:$C$639,$C30-1,$D$5:$D$639,$D30,K$5:K$639,"&lt;&gt;")=0,"",IF(OR(SUMIFS(K$5:K$639,$A$5:$A$639,$A30,$C$5:$C$639,$C30-1,$D$5:$D$639,$D30)=0,K30*SUMIFS(K$5:K$639,$A$5:$A$639,$A30,$C$5:$C$639,$C30-1,$D$5:$D$639,$D30)&lt;0),"n.s.",ABS(K30)/ABS(SUMIFS(K$5:K$639,$A$5:$A$639,$A30,$C$5:$C$639,$C30-1,$D$5:$D$639,$D30))-1)))</f>
        <v/>
      </c>
      <c r="T30" s="16">
        <f>IF(OR($A30="",L30="",$C30=""),"",IF(COUNTIFS($A$5:$A$639,$A30,$C$5:$C$639,$C30-1,$D$5:$D$639,$D30,L$5:L$639,"&lt;&gt;")=0,"",IF(OR(SUMIFS(L$5:L$639,$A$5:$A$639,$A30,$C$5:$C$639,$C30-1,$D$5:$D$639,$D30)=0,L30*SUMIFS(L$5:L$639,$A$5:$A$639,$A30,$C$5:$C$639,$C30-1,$D$5:$D$639,$D30)&lt;0),"n.s.",ABS(L30)/ABS(SUMIFS(L$5:L$639,$A$5:$A$639,$A30,$C$5:$C$639,$C30-1,$D$5:$D$639,$D30))-1)))</f>
        <v/>
      </c>
      <c r="U30" s="16">
        <f>IF(OR($A30="",M30="",$C30=""),"",IF(COUNTIFS($A$5:$A$639,$A30,$C$5:$C$639,$C30-1,$D$5:$D$639,$D30,M$5:M$639,"&lt;&gt;")=0,"",IF(OR(SUMIFS(M$5:M$639,$A$5:$A$639,$A30,$C$5:$C$639,$C30-1,$D$5:$D$639,$D30)=0,M30*SUMIFS(M$5:M$639,$A$5:$A$639,$A30,$C$5:$C$639,$C30-1,$D$5:$D$639,$D30)&lt;0),"n.s.",ABS(M30)/ABS(SUMIFS(M$5:M$639,$A$5:$A$639,$A30,$C$5:$C$639,$C30-1,$D$5:$D$639,$D30))-1)))</f>
        <v/>
      </c>
    </row>
    <row r="31">
      <c r="A31" s="9" t="inlineStr">
        <is>
          <t>PALC</t>
        </is>
      </c>
      <c r="B31" s="10">
        <f>IF(A31="","",IFERROR(VLOOKUP(A31,Titres!$A$2:$B$400,2,FALSE),"Ticker inconnu"))</f>
        <v/>
      </c>
      <c r="C31" s="11" t="n">
        <v>2023</v>
      </c>
      <c r="D31" s="11" t="inlineStr">
        <is>
          <t>T3</t>
        </is>
      </c>
      <c r="E31" s="9" t="n"/>
      <c r="F31" s="12" t="n"/>
      <c r="G31" s="9" t="n"/>
      <c r="H31" s="13" t="n"/>
      <c r="I31" s="13" t="n"/>
      <c r="J31" s="13" t="n"/>
      <c r="K31" s="13" t="n"/>
      <c r="L31" s="13" t="n"/>
      <c r="M31" s="13" t="n"/>
      <c r="N31" s="14">
        <f>IF(A31="","",COUNT(H31:M31)/6)</f>
        <v/>
      </c>
      <c r="O31" s="15">
        <f>IF(COUNT(H31:M31)=0,"",IF(LEN(IF(COUNT(I31,J31)=2,IF(J31&gt;I31+1,"EBE &gt; VA ",""),"")&amp;IF(COUNT(H31,M31)=2,IF(ABS(M31)&gt;ABS(H31),"RN &gt; CA ",""),"")&amp;IF(COUNT(H31,K31)=2,IF(ABS(K31)&gt;ABS(H31),"RE &gt; CA ",""),""))=0,"OK",IF(COUNT(I31,J31)=2,IF(J31&gt;I31+1,"EBE &gt; VA ",""),"")&amp;IF(COUNT(H31,M31)=2,IF(ABS(M31)&gt;ABS(H31),"RN &gt; CA ",""),"")&amp;IF(COUNT(H31,K31)=2,IF(ABS(K31)&gt;ABS(H31),"RE &gt; CA ",""),"")))</f>
        <v/>
      </c>
      <c r="P31" s="16">
        <f>IF(OR($A31="",H31="",$C31=""),"",IF(COUNTIFS($A$5:$A$639,$A31,$C$5:$C$639,$C31-1,$D$5:$D$639,$D31,H$5:H$639,"&lt;&gt;")=0,"",IF(OR(SUMIFS(H$5:H$639,$A$5:$A$639,$A31,$C$5:$C$639,$C31-1,$D$5:$D$639,$D31)=0,H31*SUMIFS(H$5:H$639,$A$5:$A$639,$A31,$C$5:$C$639,$C31-1,$D$5:$D$639,$D31)&lt;0),"n.s.",ABS(H31)/ABS(SUMIFS(H$5:H$639,$A$5:$A$639,$A31,$C$5:$C$639,$C31-1,$D$5:$D$639,$D31))-1)))</f>
        <v/>
      </c>
      <c r="Q31" s="16">
        <f>IF(OR($A31="",I31="",$C31=""),"",IF(COUNTIFS($A$5:$A$639,$A31,$C$5:$C$639,$C31-1,$D$5:$D$639,$D31,I$5:I$639,"&lt;&gt;")=0,"",IF(OR(SUMIFS(I$5:I$639,$A$5:$A$639,$A31,$C$5:$C$639,$C31-1,$D$5:$D$639,$D31)=0,I31*SUMIFS(I$5:I$639,$A$5:$A$639,$A31,$C$5:$C$639,$C31-1,$D$5:$D$639,$D31)&lt;0),"n.s.",ABS(I31)/ABS(SUMIFS(I$5:I$639,$A$5:$A$639,$A31,$C$5:$C$639,$C31-1,$D$5:$D$639,$D31))-1)))</f>
        <v/>
      </c>
      <c r="R31" s="16">
        <f>IF(OR($A31="",J31="",$C31=""),"",IF(COUNTIFS($A$5:$A$639,$A31,$C$5:$C$639,$C31-1,$D$5:$D$639,$D31,J$5:J$639,"&lt;&gt;")=0,"",IF(OR(SUMIFS(J$5:J$639,$A$5:$A$639,$A31,$C$5:$C$639,$C31-1,$D$5:$D$639,$D31)=0,J31*SUMIFS(J$5:J$639,$A$5:$A$639,$A31,$C$5:$C$639,$C31-1,$D$5:$D$639,$D31)&lt;0),"n.s.",ABS(J31)/ABS(SUMIFS(J$5:J$639,$A$5:$A$639,$A31,$C$5:$C$639,$C31-1,$D$5:$D$639,$D31))-1)))</f>
        <v/>
      </c>
      <c r="S31" s="16">
        <f>IF(OR($A31="",K31="",$C31=""),"",IF(COUNTIFS($A$5:$A$639,$A31,$C$5:$C$639,$C31-1,$D$5:$D$639,$D31,K$5:K$639,"&lt;&gt;")=0,"",IF(OR(SUMIFS(K$5:K$639,$A$5:$A$639,$A31,$C$5:$C$639,$C31-1,$D$5:$D$639,$D31)=0,K31*SUMIFS(K$5:K$639,$A$5:$A$639,$A31,$C$5:$C$639,$C31-1,$D$5:$D$639,$D31)&lt;0),"n.s.",ABS(K31)/ABS(SUMIFS(K$5:K$639,$A$5:$A$639,$A31,$C$5:$C$639,$C31-1,$D$5:$D$639,$D31))-1)))</f>
        <v/>
      </c>
      <c r="T31" s="16">
        <f>IF(OR($A31="",L31="",$C31=""),"",IF(COUNTIFS($A$5:$A$639,$A31,$C$5:$C$639,$C31-1,$D$5:$D$639,$D31,L$5:L$639,"&lt;&gt;")=0,"",IF(OR(SUMIFS(L$5:L$639,$A$5:$A$639,$A31,$C$5:$C$639,$C31-1,$D$5:$D$639,$D31)=0,L31*SUMIFS(L$5:L$639,$A$5:$A$639,$A31,$C$5:$C$639,$C31-1,$D$5:$D$639,$D31)&lt;0),"n.s.",ABS(L31)/ABS(SUMIFS(L$5:L$639,$A$5:$A$639,$A31,$C$5:$C$639,$C31-1,$D$5:$D$639,$D31))-1)))</f>
        <v/>
      </c>
      <c r="U31" s="16">
        <f>IF(OR($A31="",M31="",$C31=""),"",IF(COUNTIFS($A$5:$A$639,$A31,$C$5:$C$639,$C31-1,$D$5:$D$639,$D31,M$5:M$639,"&lt;&gt;")=0,"",IF(OR(SUMIFS(M$5:M$639,$A$5:$A$639,$A31,$C$5:$C$639,$C31-1,$D$5:$D$639,$D31)=0,M31*SUMIFS(M$5:M$639,$A$5:$A$639,$A31,$C$5:$C$639,$C31-1,$D$5:$D$639,$D31)&lt;0),"n.s.",ABS(M31)/ABS(SUMIFS(M$5:M$639,$A$5:$A$639,$A31,$C$5:$C$639,$C31-1,$D$5:$D$639,$D31))-1)))</f>
        <v/>
      </c>
    </row>
    <row r="32">
      <c r="A32" s="9" t="inlineStr">
        <is>
          <t>PALC</t>
        </is>
      </c>
      <c r="B32" s="10">
        <f>IF(A32="","",IFERROR(VLOOKUP(A32,Titres!$A$2:$B$400,2,FALSE),"Ticker inconnu"))</f>
        <v/>
      </c>
      <c r="C32" s="11" t="n">
        <v>2024</v>
      </c>
      <c r="D32" s="11" t="inlineStr">
        <is>
          <t>T1</t>
        </is>
      </c>
      <c r="E32" s="9" t="n"/>
      <c r="F32" s="12" t="n"/>
      <c r="G32" s="9" t="n"/>
      <c r="H32" s="13" t="n"/>
      <c r="I32" s="13" t="n"/>
      <c r="J32" s="13" t="n"/>
      <c r="K32" s="13" t="n"/>
      <c r="L32" s="13" t="n"/>
      <c r="M32" s="13" t="n"/>
      <c r="N32" s="14">
        <f>IF(A32="","",COUNT(H32:M32)/6)</f>
        <v/>
      </c>
      <c r="O32" s="15">
        <f>IF(COUNT(H32:M32)=0,"",IF(LEN(IF(COUNT(I32,J32)=2,IF(J32&gt;I32+1,"EBE &gt; VA ",""),"")&amp;IF(COUNT(H32,M32)=2,IF(ABS(M32)&gt;ABS(H32),"RN &gt; CA ",""),"")&amp;IF(COUNT(H32,K32)=2,IF(ABS(K32)&gt;ABS(H32),"RE &gt; CA ",""),""))=0,"OK",IF(COUNT(I32,J32)=2,IF(J32&gt;I32+1,"EBE &gt; VA ",""),"")&amp;IF(COUNT(H32,M32)=2,IF(ABS(M32)&gt;ABS(H32),"RN &gt; CA ",""),"")&amp;IF(COUNT(H32,K32)=2,IF(ABS(K32)&gt;ABS(H32),"RE &gt; CA ",""),"")))</f>
        <v/>
      </c>
      <c r="P32" s="16">
        <f>IF(OR($A32="",H32="",$C32=""),"",IF(COUNTIFS($A$5:$A$639,$A32,$C$5:$C$639,$C32-1,$D$5:$D$639,$D32,H$5:H$639,"&lt;&gt;")=0,"",IF(OR(SUMIFS(H$5:H$639,$A$5:$A$639,$A32,$C$5:$C$639,$C32-1,$D$5:$D$639,$D32)=0,H32*SUMIFS(H$5:H$639,$A$5:$A$639,$A32,$C$5:$C$639,$C32-1,$D$5:$D$639,$D32)&lt;0),"n.s.",ABS(H32)/ABS(SUMIFS(H$5:H$639,$A$5:$A$639,$A32,$C$5:$C$639,$C32-1,$D$5:$D$639,$D32))-1)))</f>
        <v/>
      </c>
      <c r="Q32" s="16">
        <f>IF(OR($A32="",I32="",$C32=""),"",IF(COUNTIFS($A$5:$A$639,$A32,$C$5:$C$639,$C32-1,$D$5:$D$639,$D32,I$5:I$639,"&lt;&gt;")=0,"",IF(OR(SUMIFS(I$5:I$639,$A$5:$A$639,$A32,$C$5:$C$639,$C32-1,$D$5:$D$639,$D32)=0,I32*SUMIFS(I$5:I$639,$A$5:$A$639,$A32,$C$5:$C$639,$C32-1,$D$5:$D$639,$D32)&lt;0),"n.s.",ABS(I32)/ABS(SUMIFS(I$5:I$639,$A$5:$A$639,$A32,$C$5:$C$639,$C32-1,$D$5:$D$639,$D32))-1)))</f>
        <v/>
      </c>
      <c r="R32" s="16">
        <f>IF(OR($A32="",J32="",$C32=""),"",IF(COUNTIFS($A$5:$A$639,$A32,$C$5:$C$639,$C32-1,$D$5:$D$639,$D32,J$5:J$639,"&lt;&gt;")=0,"",IF(OR(SUMIFS(J$5:J$639,$A$5:$A$639,$A32,$C$5:$C$639,$C32-1,$D$5:$D$639,$D32)=0,J32*SUMIFS(J$5:J$639,$A$5:$A$639,$A32,$C$5:$C$639,$C32-1,$D$5:$D$639,$D32)&lt;0),"n.s.",ABS(J32)/ABS(SUMIFS(J$5:J$639,$A$5:$A$639,$A32,$C$5:$C$639,$C32-1,$D$5:$D$639,$D32))-1)))</f>
        <v/>
      </c>
      <c r="S32" s="16">
        <f>IF(OR($A32="",K32="",$C32=""),"",IF(COUNTIFS($A$5:$A$639,$A32,$C$5:$C$639,$C32-1,$D$5:$D$639,$D32,K$5:K$639,"&lt;&gt;")=0,"",IF(OR(SUMIFS(K$5:K$639,$A$5:$A$639,$A32,$C$5:$C$639,$C32-1,$D$5:$D$639,$D32)=0,K32*SUMIFS(K$5:K$639,$A$5:$A$639,$A32,$C$5:$C$639,$C32-1,$D$5:$D$639,$D32)&lt;0),"n.s.",ABS(K32)/ABS(SUMIFS(K$5:K$639,$A$5:$A$639,$A32,$C$5:$C$639,$C32-1,$D$5:$D$639,$D32))-1)))</f>
        <v/>
      </c>
      <c r="T32" s="16">
        <f>IF(OR($A32="",L32="",$C32=""),"",IF(COUNTIFS($A$5:$A$639,$A32,$C$5:$C$639,$C32-1,$D$5:$D$639,$D32,L$5:L$639,"&lt;&gt;")=0,"",IF(OR(SUMIFS(L$5:L$639,$A$5:$A$639,$A32,$C$5:$C$639,$C32-1,$D$5:$D$639,$D32)=0,L32*SUMIFS(L$5:L$639,$A$5:$A$639,$A32,$C$5:$C$639,$C32-1,$D$5:$D$639,$D32)&lt;0),"n.s.",ABS(L32)/ABS(SUMIFS(L$5:L$639,$A$5:$A$639,$A32,$C$5:$C$639,$C32-1,$D$5:$D$639,$D32))-1)))</f>
        <v/>
      </c>
      <c r="U32" s="16">
        <f>IF(OR($A32="",M32="",$C32=""),"",IF(COUNTIFS($A$5:$A$639,$A32,$C$5:$C$639,$C32-1,$D$5:$D$639,$D32,M$5:M$639,"&lt;&gt;")=0,"",IF(OR(SUMIFS(M$5:M$639,$A$5:$A$639,$A32,$C$5:$C$639,$C32-1,$D$5:$D$639,$D32)=0,M32*SUMIFS(M$5:M$639,$A$5:$A$639,$A32,$C$5:$C$639,$C32-1,$D$5:$D$639,$D32)&lt;0),"n.s.",ABS(M32)/ABS(SUMIFS(M$5:M$639,$A$5:$A$639,$A32,$C$5:$C$639,$C32-1,$D$5:$D$639,$D32))-1)))</f>
        <v/>
      </c>
    </row>
    <row r="33">
      <c r="A33" s="9" t="inlineStr">
        <is>
          <t>PALC</t>
        </is>
      </c>
      <c r="B33" s="10">
        <f>IF(A33="","",IFERROR(VLOOKUP(A33,Titres!$A$2:$B$400,2,FALSE),"Ticker inconnu"))</f>
        <v/>
      </c>
      <c r="C33" s="11" t="n">
        <v>2024</v>
      </c>
      <c r="D33" s="11" t="inlineStr">
        <is>
          <t>S1</t>
        </is>
      </c>
      <c r="E33" s="9" t="n"/>
      <c r="F33" s="12" t="n"/>
      <c r="G33" s="9" t="n"/>
      <c r="H33" s="13" t="n"/>
      <c r="I33" s="13" t="n"/>
      <c r="J33" s="13" t="n"/>
      <c r="K33" s="13" t="n"/>
      <c r="L33" s="13" t="n"/>
      <c r="M33" s="13" t="n"/>
      <c r="N33" s="14">
        <f>IF(A33="","",COUNT(H33:M33)/6)</f>
        <v/>
      </c>
      <c r="O33" s="15">
        <f>IF(COUNT(H33:M33)=0,"",IF(LEN(IF(COUNT(I33,J33)=2,IF(J33&gt;I33+1,"EBE &gt; VA ",""),"")&amp;IF(COUNT(H33,M33)=2,IF(ABS(M33)&gt;ABS(H33),"RN &gt; CA ",""),"")&amp;IF(COUNT(H33,K33)=2,IF(ABS(K33)&gt;ABS(H33),"RE &gt; CA ",""),""))=0,"OK",IF(COUNT(I33,J33)=2,IF(J33&gt;I33+1,"EBE &gt; VA ",""),"")&amp;IF(COUNT(H33,M33)=2,IF(ABS(M33)&gt;ABS(H33),"RN &gt; CA ",""),"")&amp;IF(COUNT(H33,K33)=2,IF(ABS(K33)&gt;ABS(H33),"RE &gt; CA ",""),"")))</f>
        <v/>
      </c>
      <c r="P33" s="16">
        <f>IF(OR($A33="",H33="",$C33=""),"",IF(COUNTIFS($A$5:$A$639,$A33,$C$5:$C$639,$C33-1,$D$5:$D$639,$D33,H$5:H$639,"&lt;&gt;")=0,"",IF(OR(SUMIFS(H$5:H$639,$A$5:$A$639,$A33,$C$5:$C$639,$C33-1,$D$5:$D$639,$D33)=0,H33*SUMIFS(H$5:H$639,$A$5:$A$639,$A33,$C$5:$C$639,$C33-1,$D$5:$D$639,$D33)&lt;0),"n.s.",ABS(H33)/ABS(SUMIFS(H$5:H$639,$A$5:$A$639,$A33,$C$5:$C$639,$C33-1,$D$5:$D$639,$D33))-1)))</f>
        <v/>
      </c>
      <c r="Q33" s="16">
        <f>IF(OR($A33="",I33="",$C33=""),"",IF(COUNTIFS($A$5:$A$639,$A33,$C$5:$C$639,$C33-1,$D$5:$D$639,$D33,I$5:I$639,"&lt;&gt;")=0,"",IF(OR(SUMIFS(I$5:I$639,$A$5:$A$639,$A33,$C$5:$C$639,$C33-1,$D$5:$D$639,$D33)=0,I33*SUMIFS(I$5:I$639,$A$5:$A$639,$A33,$C$5:$C$639,$C33-1,$D$5:$D$639,$D33)&lt;0),"n.s.",ABS(I33)/ABS(SUMIFS(I$5:I$639,$A$5:$A$639,$A33,$C$5:$C$639,$C33-1,$D$5:$D$639,$D33))-1)))</f>
        <v/>
      </c>
      <c r="R33" s="16">
        <f>IF(OR($A33="",J33="",$C33=""),"",IF(COUNTIFS($A$5:$A$639,$A33,$C$5:$C$639,$C33-1,$D$5:$D$639,$D33,J$5:J$639,"&lt;&gt;")=0,"",IF(OR(SUMIFS(J$5:J$639,$A$5:$A$639,$A33,$C$5:$C$639,$C33-1,$D$5:$D$639,$D33)=0,J33*SUMIFS(J$5:J$639,$A$5:$A$639,$A33,$C$5:$C$639,$C33-1,$D$5:$D$639,$D33)&lt;0),"n.s.",ABS(J33)/ABS(SUMIFS(J$5:J$639,$A$5:$A$639,$A33,$C$5:$C$639,$C33-1,$D$5:$D$639,$D33))-1)))</f>
        <v/>
      </c>
      <c r="S33" s="16">
        <f>IF(OR($A33="",K33="",$C33=""),"",IF(COUNTIFS($A$5:$A$639,$A33,$C$5:$C$639,$C33-1,$D$5:$D$639,$D33,K$5:K$639,"&lt;&gt;")=0,"",IF(OR(SUMIFS(K$5:K$639,$A$5:$A$639,$A33,$C$5:$C$639,$C33-1,$D$5:$D$639,$D33)=0,K33*SUMIFS(K$5:K$639,$A$5:$A$639,$A33,$C$5:$C$639,$C33-1,$D$5:$D$639,$D33)&lt;0),"n.s.",ABS(K33)/ABS(SUMIFS(K$5:K$639,$A$5:$A$639,$A33,$C$5:$C$639,$C33-1,$D$5:$D$639,$D33))-1)))</f>
        <v/>
      </c>
      <c r="T33" s="16">
        <f>IF(OR($A33="",L33="",$C33=""),"",IF(COUNTIFS($A$5:$A$639,$A33,$C$5:$C$639,$C33-1,$D$5:$D$639,$D33,L$5:L$639,"&lt;&gt;")=0,"",IF(OR(SUMIFS(L$5:L$639,$A$5:$A$639,$A33,$C$5:$C$639,$C33-1,$D$5:$D$639,$D33)=0,L33*SUMIFS(L$5:L$639,$A$5:$A$639,$A33,$C$5:$C$639,$C33-1,$D$5:$D$639,$D33)&lt;0),"n.s.",ABS(L33)/ABS(SUMIFS(L$5:L$639,$A$5:$A$639,$A33,$C$5:$C$639,$C33-1,$D$5:$D$639,$D33))-1)))</f>
        <v/>
      </c>
      <c r="U33" s="16">
        <f>IF(OR($A33="",M33="",$C33=""),"",IF(COUNTIFS($A$5:$A$639,$A33,$C$5:$C$639,$C33-1,$D$5:$D$639,$D33,M$5:M$639,"&lt;&gt;")=0,"",IF(OR(SUMIFS(M$5:M$639,$A$5:$A$639,$A33,$C$5:$C$639,$C33-1,$D$5:$D$639,$D33)=0,M33*SUMIFS(M$5:M$639,$A$5:$A$639,$A33,$C$5:$C$639,$C33-1,$D$5:$D$639,$D33)&lt;0),"n.s.",ABS(M33)/ABS(SUMIFS(M$5:M$639,$A$5:$A$639,$A33,$C$5:$C$639,$C33-1,$D$5:$D$639,$D33))-1)))</f>
        <v/>
      </c>
    </row>
    <row r="34">
      <c r="A34" s="9" t="inlineStr">
        <is>
          <t>PALC</t>
        </is>
      </c>
      <c r="B34" s="10">
        <f>IF(A34="","",IFERROR(VLOOKUP(A34,Titres!$A$2:$B$400,2,FALSE),"Ticker inconnu"))</f>
        <v/>
      </c>
      <c r="C34" s="11" t="n">
        <v>2024</v>
      </c>
      <c r="D34" s="11" t="inlineStr">
        <is>
          <t>T3</t>
        </is>
      </c>
      <c r="E34" s="9" t="n"/>
      <c r="F34" s="12" t="n"/>
      <c r="G34" s="9" t="n"/>
      <c r="H34" s="13" t="n"/>
      <c r="I34" s="13" t="n"/>
      <c r="J34" s="13" t="n"/>
      <c r="K34" s="13" t="n"/>
      <c r="L34" s="13" t="n"/>
      <c r="M34" s="13" t="n"/>
      <c r="N34" s="14">
        <f>IF(A34="","",COUNT(H34:M34)/6)</f>
        <v/>
      </c>
      <c r="O34" s="15">
        <f>IF(COUNT(H34:M34)=0,"",IF(LEN(IF(COUNT(I34,J34)=2,IF(J34&gt;I34+1,"EBE &gt; VA ",""),"")&amp;IF(COUNT(H34,M34)=2,IF(ABS(M34)&gt;ABS(H34),"RN &gt; CA ",""),"")&amp;IF(COUNT(H34,K34)=2,IF(ABS(K34)&gt;ABS(H34),"RE &gt; CA ",""),""))=0,"OK",IF(COUNT(I34,J34)=2,IF(J34&gt;I34+1,"EBE &gt; VA ",""),"")&amp;IF(COUNT(H34,M34)=2,IF(ABS(M34)&gt;ABS(H34),"RN &gt; CA ",""),"")&amp;IF(COUNT(H34,K34)=2,IF(ABS(K34)&gt;ABS(H34),"RE &gt; CA ",""),"")))</f>
        <v/>
      </c>
      <c r="P34" s="16">
        <f>IF(OR($A34="",H34="",$C34=""),"",IF(COUNTIFS($A$5:$A$639,$A34,$C$5:$C$639,$C34-1,$D$5:$D$639,$D34,H$5:H$639,"&lt;&gt;")=0,"",IF(OR(SUMIFS(H$5:H$639,$A$5:$A$639,$A34,$C$5:$C$639,$C34-1,$D$5:$D$639,$D34)=0,H34*SUMIFS(H$5:H$639,$A$5:$A$639,$A34,$C$5:$C$639,$C34-1,$D$5:$D$639,$D34)&lt;0),"n.s.",ABS(H34)/ABS(SUMIFS(H$5:H$639,$A$5:$A$639,$A34,$C$5:$C$639,$C34-1,$D$5:$D$639,$D34))-1)))</f>
        <v/>
      </c>
      <c r="Q34" s="16">
        <f>IF(OR($A34="",I34="",$C34=""),"",IF(COUNTIFS($A$5:$A$639,$A34,$C$5:$C$639,$C34-1,$D$5:$D$639,$D34,I$5:I$639,"&lt;&gt;")=0,"",IF(OR(SUMIFS(I$5:I$639,$A$5:$A$639,$A34,$C$5:$C$639,$C34-1,$D$5:$D$639,$D34)=0,I34*SUMIFS(I$5:I$639,$A$5:$A$639,$A34,$C$5:$C$639,$C34-1,$D$5:$D$639,$D34)&lt;0),"n.s.",ABS(I34)/ABS(SUMIFS(I$5:I$639,$A$5:$A$639,$A34,$C$5:$C$639,$C34-1,$D$5:$D$639,$D34))-1)))</f>
        <v/>
      </c>
      <c r="R34" s="16">
        <f>IF(OR($A34="",J34="",$C34=""),"",IF(COUNTIFS($A$5:$A$639,$A34,$C$5:$C$639,$C34-1,$D$5:$D$639,$D34,J$5:J$639,"&lt;&gt;")=0,"",IF(OR(SUMIFS(J$5:J$639,$A$5:$A$639,$A34,$C$5:$C$639,$C34-1,$D$5:$D$639,$D34)=0,J34*SUMIFS(J$5:J$639,$A$5:$A$639,$A34,$C$5:$C$639,$C34-1,$D$5:$D$639,$D34)&lt;0),"n.s.",ABS(J34)/ABS(SUMIFS(J$5:J$639,$A$5:$A$639,$A34,$C$5:$C$639,$C34-1,$D$5:$D$639,$D34))-1)))</f>
        <v/>
      </c>
      <c r="S34" s="16">
        <f>IF(OR($A34="",K34="",$C34=""),"",IF(COUNTIFS($A$5:$A$639,$A34,$C$5:$C$639,$C34-1,$D$5:$D$639,$D34,K$5:K$639,"&lt;&gt;")=0,"",IF(OR(SUMIFS(K$5:K$639,$A$5:$A$639,$A34,$C$5:$C$639,$C34-1,$D$5:$D$639,$D34)=0,K34*SUMIFS(K$5:K$639,$A$5:$A$639,$A34,$C$5:$C$639,$C34-1,$D$5:$D$639,$D34)&lt;0),"n.s.",ABS(K34)/ABS(SUMIFS(K$5:K$639,$A$5:$A$639,$A34,$C$5:$C$639,$C34-1,$D$5:$D$639,$D34))-1)))</f>
        <v/>
      </c>
      <c r="T34" s="16">
        <f>IF(OR($A34="",L34="",$C34=""),"",IF(COUNTIFS($A$5:$A$639,$A34,$C$5:$C$639,$C34-1,$D$5:$D$639,$D34,L$5:L$639,"&lt;&gt;")=0,"",IF(OR(SUMIFS(L$5:L$639,$A$5:$A$639,$A34,$C$5:$C$639,$C34-1,$D$5:$D$639,$D34)=0,L34*SUMIFS(L$5:L$639,$A$5:$A$639,$A34,$C$5:$C$639,$C34-1,$D$5:$D$639,$D34)&lt;0),"n.s.",ABS(L34)/ABS(SUMIFS(L$5:L$639,$A$5:$A$639,$A34,$C$5:$C$639,$C34-1,$D$5:$D$639,$D34))-1)))</f>
        <v/>
      </c>
      <c r="U34" s="16">
        <f>IF(OR($A34="",M34="",$C34=""),"",IF(COUNTIFS($A$5:$A$639,$A34,$C$5:$C$639,$C34-1,$D$5:$D$639,$D34,M$5:M$639,"&lt;&gt;")=0,"",IF(OR(SUMIFS(M$5:M$639,$A$5:$A$639,$A34,$C$5:$C$639,$C34-1,$D$5:$D$639,$D34)=0,M34*SUMIFS(M$5:M$639,$A$5:$A$639,$A34,$C$5:$C$639,$C34-1,$D$5:$D$639,$D34)&lt;0),"n.s.",ABS(M34)/ABS(SUMIFS(M$5:M$639,$A$5:$A$639,$A34,$C$5:$C$639,$C34-1,$D$5:$D$639,$D34))-1)))</f>
        <v/>
      </c>
    </row>
    <row r="35">
      <c r="A35" s="9" t="inlineStr">
        <is>
          <t>PALC</t>
        </is>
      </c>
      <c r="B35" s="10">
        <f>IF(A35="","",IFERROR(VLOOKUP(A35,Titres!$A$2:$B$400,2,FALSE),"Ticker inconnu"))</f>
        <v/>
      </c>
      <c r="C35" s="11" t="n">
        <v>2025</v>
      </c>
      <c r="D35" s="11" t="inlineStr">
        <is>
          <t>T1</t>
        </is>
      </c>
      <c r="E35" s="9" t="inlineStr">
        <is>
          <t>Publié</t>
        </is>
      </c>
      <c r="F35" s="12" t="n">
        <v>46141</v>
      </c>
      <c r="G35" s="9" t="inlineStr">
        <is>
          <t>https://www.richbourse.com/common/actualite/afficher-fichier/29-04-2026-palm-ci-rapport-dactivites-1er-trimestre-2026 (comparatif N-1)</t>
        </is>
      </c>
      <c r="H35" s="13" t="n">
        <v>67519.35799999999</v>
      </c>
      <c r="I35" s="13" t="n"/>
      <c r="J35" s="13" t="n"/>
      <c r="K35" s="13" t="n"/>
      <c r="L35" s="13" t="n">
        <v>15417.398</v>
      </c>
      <c r="M35" s="13" t="n">
        <v>11562.398</v>
      </c>
      <c r="N35" s="14">
        <f>IF(A35="","",COUNT(H35:M35)/6)</f>
        <v/>
      </c>
      <c r="O35" s="15">
        <f>IF(COUNT(H35:M35)=0,"",IF(LEN(IF(COUNT(I35,J35)=2,IF(J35&gt;I35+1,"EBE &gt; VA ",""),"")&amp;IF(COUNT(H35,M35)=2,IF(ABS(M35)&gt;ABS(H35),"RN &gt; CA ",""),"")&amp;IF(COUNT(H35,K35)=2,IF(ABS(K35)&gt;ABS(H35),"RE &gt; CA ",""),""))=0,"OK",IF(COUNT(I35,J35)=2,IF(J35&gt;I35+1,"EBE &gt; VA ",""),"")&amp;IF(COUNT(H35,M35)=2,IF(ABS(M35)&gt;ABS(H35),"RN &gt; CA ",""),"")&amp;IF(COUNT(H35,K35)=2,IF(ABS(K35)&gt;ABS(H35),"RE &gt; CA ",""),"")))</f>
        <v/>
      </c>
      <c r="P35" s="16">
        <f>IF(OR($A35="",H35="",$C35=""),"",IF(COUNTIFS($A$5:$A$639,$A35,$C$5:$C$639,$C35-1,$D$5:$D$639,$D35,H$5:H$639,"&lt;&gt;")=0,"",IF(OR(SUMIFS(H$5:H$639,$A$5:$A$639,$A35,$C$5:$C$639,$C35-1,$D$5:$D$639,$D35)=0,H35*SUMIFS(H$5:H$639,$A$5:$A$639,$A35,$C$5:$C$639,$C35-1,$D$5:$D$639,$D35)&lt;0),"n.s.",ABS(H35)/ABS(SUMIFS(H$5:H$639,$A$5:$A$639,$A35,$C$5:$C$639,$C35-1,$D$5:$D$639,$D35))-1)))</f>
        <v/>
      </c>
      <c r="Q35" s="16">
        <f>IF(OR($A35="",I35="",$C35=""),"",IF(COUNTIFS($A$5:$A$639,$A35,$C$5:$C$639,$C35-1,$D$5:$D$639,$D35,I$5:I$639,"&lt;&gt;")=0,"",IF(OR(SUMIFS(I$5:I$639,$A$5:$A$639,$A35,$C$5:$C$639,$C35-1,$D$5:$D$639,$D35)=0,I35*SUMIFS(I$5:I$639,$A$5:$A$639,$A35,$C$5:$C$639,$C35-1,$D$5:$D$639,$D35)&lt;0),"n.s.",ABS(I35)/ABS(SUMIFS(I$5:I$639,$A$5:$A$639,$A35,$C$5:$C$639,$C35-1,$D$5:$D$639,$D35))-1)))</f>
        <v/>
      </c>
      <c r="R35" s="16">
        <f>IF(OR($A35="",J35="",$C35=""),"",IF(COUNTIFS($A$5:$A$639,$A35,$C$5:$C$639,$C35-1,$D$5:$D$639,$D35,J$5:J$639,"&lt;&gt;")=0,"",IF(OR(SUMIFS(J$5:J$639,$A$5:$A$639,$A35,$C$5:$C$639,$C35-1,$D$5:$D$639,$D35)=0,J35*SUMIFS(J$5:J$639,$A$5:$A$639,$A35,$C$5:$C$639,$C35-1,$D$5:$D$639,$D35)&lt;0),"n.s.",ABS(J35)/ABS(SUMIFS(J$5:J$639,$A$5:$A$639,$A35,$C$5:$C$639,$C35-1,$D$5:$D$639,$D35))-1)))</f>
        <v/>
      </c>
      <c r="S35" s="16">
        <f>IF(OR($A35="",K35="",$C35=""),"",IF(COUNTIFS($A$5:$A$639,$A35,$C$5:$C$639,$C35-1,$D$5:$D$639,$D35,K$5:K$639,"&lt;&gt;")=0,"",IF(OR(SUMIFS(K$5:K$639,$A$5:$A$639,$A35,$C$5:$C$639,$C35-1,$D$5:$D$639,$D35)=0,K35*SUMIFS(K$5:K$639,$A$5:$A$639,$A35,$C$5:$C$639,$C35-1,$D$5:$D$639,$D35)&lt;0),"n.s.",ABS(K35)/ABS(SUMIFS(K$5:K$639,$A$5:$A$639,$A35,$C$5:$C$639,$C35-1,$D$5:$D$639,$D35))-1)))</f>
        <v/>
      </c>
      <c r="T35" s="16">
        <f>IF(OR($A35="",L35="",$C35=""),"",IF(COUNTIFS($A$5:$A$639,$A35,$C$5:$C$639,$C35-1,$D$5:$D$639,$D35,L$5:L$639,"&lt;&gt;")=0,"",IF(OR(SUMIFS(L$5:L$639,$A$5:$A$639,$A35,$C$5:$C$639,$C35-1,$D$5:$D$639,$D35)=0,L35*SUMIFS(L$5:L$639,$A$5:$A$639,$A35,$C$5:$C$639,$C35-1,$D$5:$D$639,$D35)&lt;0),"n.s.",ABS(L35)/ABS(SUMIFS(L$5:L$639,$A$5:$A$639,$A35,$C$5:$C$639,$C35-1,$D$5:$D$639,$D35))-1)))</f>
        <v/>
      </c>
      <c r="U35" s="16">
        <f>IF(OR($A35="",M35="",$C35=""),"",IF(COUNTIFS($A$5:$A$639,$A35,$C$5:$C$639,$C35-1,$D$5:$D$639,$D35,M$5:M$639,"&lt;&gt;")=0,"",IF(OR(SUMIFS(M$5:M$639,$A$5:$A$639,$A35,$C$5:$C$639,$C35-1,$D$5:$D$639,$D35)=0,M35*SUMIFS(M$5:M$639,$A$5:$A$639,$A35,$C$5:$C$639,$C35-1,$D$5:$D$639,$D35)&lt;0),"n.s.",ABS(M35)/ABS(SUMIFS(M$5:M$639,$A$5:$A$639,$A35,$C$5:$C$639,$C35-1,$D$5:$D$639,$D35))-1)))</f>
        <v/>
      </c>
    </row>
    <row r="36">
      <c r="A36" s="9" t="inlineStr">
        <is>
          <t>PALC</t>
        </is>
      </c>
      <c r="B36" s="10">
        <f>IF(A36="","",IFERROR(VLOOKUP(A36,Titres!$A$2:$B$400,2,FALSE),"Ticker inconnu"))</f>
        <v/>
      </c>
      <c r="C36" s="11" t="n">
        <v>2025</v>
      </c>
      <c r="D36" s="11" t="inlineStr">
        <is>
          <t>S1</t>
        </is>
      </c>
      <c r="E36" s="9" t="inlineStr">
        <is>
          <t>Publié</t>
        </is>
      </c>
      <c r="F36" s="12" t="n">
        <v>46302</v>
      </c>
      <c r="G36" s="9" t="inlineStr">
        <is>
          <t>https://www.richbourse.com/common/actualite/afficher-fichier/07-10-2026-palm-ci-rapport-d-activites-1er-semestre-2026 (comparatif N-1)</t>
        </is>
      </c>
      <c r="H36" s="13" t="n">
        <v>134789.05</v>
      </c>
      <c r="I36" s="13" t="n"/>
      <c r="J36" s="13" t="n"/>
      <c r="K36" s="13" t="n">
        <v>29803.435</v>
      </c>
      <c r="L36" s="13" t="n">
        <v>31070.451</v>
      </c>
      <c r="M36" s="13" t="n">
        <v>22908.673</v>
      </c>
      <c r="N36" s="14">
        <f>IF(A36="","",COUNT(H36:M36)/6)</f>
        <v/>
      </c>
      <c r="O36" s="15">
        <f>IF(COUNT(H36:M36)=0,"",IF(LEN(IF(COUNT(I36,J36)=2,IF(J36&gt;I36+1,"EBE &gt; VA ",""),"")&amp;IF(COUNT(H36,M36)=2,IF(ABS(M36)&gt;ABS(H36),"RN &gt; CA ",""),"")&amp;IF(COUNT(H36,K36)=2,IF(ABS(K36)&gt;ABS(H36),"RE &gt; CA ",""),""))=0,"OK",IF(COUNT(I36,J36)=2,IF(J36&gt;I36+1,"EBE &gt; VA ",""),"")&amp;IF(COUNT(H36,M36)=2,IF(ABS(M36)&gt;ABS(H36),"RN &gt; CA ",""),"")&amp;IF(COUNT(H36,K36)=2,IF(ABS(K36)&gt;ABS(H36),"RE &gt; CA ",""),"")))</f>
        <v/>
      </c>
      <c r="P36" s="16">
        <f>IF(OR($A36="",H36="",$C36=""),"",IF(COUNTIFS($A$5:$A$639,$A36,$C$5:$C$639,$C36-1,$D$5:$D$639,$D36,H$5:H$639,"&lt;&gt;")=0,"",IF(OR(SUMIFS(H$5:H$639,$A$5:$A$639,$A36,$C$5:$C$639,$C36-1,$D$5:$D$639,$D36)=0,H36*SUMIFS(H$5:H$639,$A$5:$A$639,$A36,$C$5:$C$639,$C36-1,$D$5:$D$639,$D36)&lt;0),"n.s.",ABS(H36)/ABS(SUMIFS(H$5:H$639,$A$5:$A$639,$A36,$C$5:$C$639,$C36-1,$D$5:$D$639,$D36))-1)))</f>
        <v/>
      </c>
      <c r="Q36" s="16">
        <f>IF(OR($A36="",I36="",$C36=""),"",IF(COUNTIFS($A$5:$A$639,$A36,$C$5:$C$639,$C36-1,$D$5:$D$639,$D36,I$5:I$639,"&lt;&gt;")=0,"",IF(OR(SUMIFS(I$5:I$639,$A$5:$A$639,$A36,$C$5:$C$639,$C36-1,$D$5:$D$639,$D36)=0,I36*SUMIFS(I$5:I$639,$A$5:$A$639,$A36,$C$5:$C$639,$C36-1,$D$5:$D$639,$D36)&lt;0),"n.s.",ABS(I36)/ABS(SUMIFS(I$5:I$639,$A$5:$A$639,$A36,$C$5:$C$639,$C36-1,$D$5:$D$639,$D36))-1)))</f>
        <v/>
      </c>
      <c r="R36" s="16">
        <f>IF(OR($A36="",J36="",$C36=""),"",IF(COUNTIFS($A$5:$A$639,$A36,$C$5:$C$639,$C36-1,$D$5:$D$639,$D36,J$5:J$639,"&lt;&gt;")=0,"",IF(OR(SUMIFS(J$5:J$639,$A$5:$A$639,$A36,$C$5:$C$639,$C36-1,$D$5:$D$639,$D36)=0,J36*SUMIFS(J$5:J$639,$A$5:$A$639,$A36,$C$5:$C$639,$C36-1,$D$5:$D$639,$D36)&lt;0),"n.s.",ABS(J36)/ABS(SUMIFS(J$5:J$639,$A$5:$A$639,$A36,$C$5:$C$639,$C36-1,$D$5:$D$639,$D36))-1)))</f>
        <v/>
      </c>
      <c r="S36" s="16">
        <f>IF(OR($A36="",K36="",$C36=""),"",IF(COUNTIFS($A$5:$A$639,$A36,$C$5:$C$639,$C36-1,$D$5:$D$639,$D36,K$5:K$639,"&lt;&gt;")=0,"",IF(OR(SUMIFS(K$5:K$639,$A$5:$A$639,$A36,$C$5:$C$639,$C36-1,$D$5:$D$639,$D36)=0,K36*SUMIFS(K$5:K$639,$A$5:$A$639,$A36,$C$5:$C$639,$C36-1,$D$5:$D$639,$D36)&lt;0),"n.s.",ABS(K36)/ABS(SUMIFS(K$5:K$639,$A$5:$A$639,$A36,$C$5:$C$639,$C36-1,$D$5:$D$639,$D36))-1)))</f>
        <v/>
      </c>
      <c r="T36" s="16">
        <f>IF(OR($A36="",L36="",$C36=""),"",IF(COUNTIFS($A$5:$A$639,$A36,$C$5:$C$639,$C36-1,$D$5:$D$639,$D36,L$5:L$639,"&lt;&gt;")=0,"",IF(OR(SUMIFS(L$5:L$639,$A$5:$A$639,$A36,$C$5:$C$639,$C36-1,$D$5:$D$639,$D36)=0,L36*SUMIFS(L$5:L$639,$A$5:$A$639,$A36,$C$5:$C$639,$C36-1,$D$5:$D$639,$D36)&lt;0),"n.s.",ABS(L36)/ABS(SUMIFS(L$5:L$639,$A$5:$A$639,$A36,$C$5:$C$639,$C36-1,$D$5:$D$639,$D36))-1)))</f>
        <v/>
      </c>
      <c r="U36" s="16">
        <f>IF(OR($A36="",M36="",$C36=""),"",IF(COUNTIFS($A$5:$A$639,$A36,$C$5:$C$639,$C36-1,$D$5:$D$639,$D36,M$5:M$639,"&lt;&gt;")=0,"",IF(OR(SUMIFS(M$5:M$639,$A$5:$A$639,$A36,$C$5:$C$639,$C36-1,$D$5:$D$639,$D36)=0,M36*SUMIFS(M$5:M$639,$A$5:$A$639,$A36,$C$5:$C$639,$C36-1,$D$5:$D$639,$D36)&lt;0),"n.s.",ABS(M36)/ABS(SUMIFS(M$5:M$639,$A$5:$A$639,$A36,$C$5:$C$639,$C36-1,$D$5:$D$639,$D36))-1)))</f>
        <v/>
      </c>
    </row>
    <row r="37">
      <c r="A37" s="9" t="inlineStr">
        <is>
          <t>PALC</t>
        </is>
      </c>
      <c r="B37" s="10">
        <f>IF(A37="","",IFERROR(VLOOKUP(A37,Titres!$A$2:$B$400,2,FALSE),"Ticker inconnu"))</f>
        <v/>
      </c>
      <c r="C37" s="11" t="n">
        <v>2025</v>
      </c>
      <c r="D37" s="11" t="inlineStr">
        <is>
          <t>T3</t>
        </is>
      </c>
      <c r="E37" s="9" t="n"/>
      <c r="F37" s="12" t="n"/>
      <c r="G37" s="9" t="n"/>
      <c r="H37" s="13" t="n"/>
      <c r="I37" s="13" t="n"/>
      <c r="J37" s="13" t="n"/>
      <c r="K37" s="13" t="n"/>
      <c r="L37" s="13" t="n"/>
      <c r="M37" s="13" t="n"/>
      <c r="N37" s="14">
        <f>IF(A37="","",COUNT(H37:M37)/6)</f>
        <v/>
      </c>
      <c r="O37" s="15">
        <f>IF(COUNT(H37:M37)=0,"",IF(LEN(IF(COUNT(I37,J37)=2,IF(J37&gt;I37+1,"EBE &gt; VA ",""),"")&amp;IF(COUNT(H37,M37)=2,IF(ABS(M37)&gt;ABS(H37),"RN &gt; CA ",""),"")&amp;IF(COUNT(H37,K37)=2,IF(ABS(K37)&gt;ABS(H37),"RE &gt; CA ",""),""))=0,"OK",IF(COUNT(I37,J37)=2,IF(J37&gt;I37+1,"EBE &gt; VA ",""),"")&amp;IF(COUNT(H37,M37)=2,IF(ABS(M37)&gt;ABS(H37),"RN &gt; CA ",""),"")&amp;IF(COUNT(H37,K37)=2,IF(ABS(K37)&gt;ABS(H37),"RE &gt; CA ",""),"")))</f>
        <v/>
      </c>
      <c r="P37" s="16">
        <f>IF(OR($A37="",H37="",$C37=""),"",IF(COUNTIFS($A$5:$A$639,$A37,$C$5:$C$639,$C37-1,$D$5:$D$639,$D37,H$5:H$639,"&lt;&gt;")=0,"",IF(OR(SUMIFS(H$5:H$639,$A$5:$A$639,$A37,$C$5:$C$639,$C37-1,$D$5:$D$639,$D37)=0,H37*SUMIFS(H$5:H$639,$A$5:$A$639,$A37,$C$5:$C$639,$C37-1,$D$5:$D$639,$D37)&lt;0),"n.s.",ABS(H37)/ABS(SUMIFS(H$5:H$639,$A$5:$A$639,$A37,$C$5:$C$639,$C37-1,$D$5:$D$639,$D37))-1)))</f>
        <v/>
      </c>
      <c r="Q37" s="16">
        <f>IF(OR($A37="",I37="",$C37=""),"",IF(COUNTIFS($A$5:$A$639,$A37,$C$5:$C$639,$C37-1,$D$5:$D$639,$D37,I$5:I$639,"&lt;&gt;")=0,"",IF(OR(SUMIFS(I$5:I$639,$A$5:$A$639,$A37,$C$5:$C$639,$C37-1,$D$5:$D$639,$D37)=0,I37*SUMIFS(I$5:I$639,$A$5:$A$639,$A37,$C$5:$C$639,$C37-1,$D$5:$D$639,$D37)&lt;0),"n.s.",ABS(I37)/ABS(SUMIFS(I$5:I$639,$A$5:$A$639,$A37,$C$5:$C$639,$C37-1,$D$5:$D$639,$D37))-1)))</f>
        <v/>
      </c>
      <c r="R37" s="16">
        <f>IF(OR($A37="",J37="",$C37=""),"",IF(COUNTIFS($A$5:$A$639,$A37,$C$5:$C$639,$C37-1,$D$5:$D$639,$D37,J$5:J$639,"&lt;&gt;")=0,"",IF(OR(SUMIFS(J$5:J$639,$A$5:$A$639,$A37,$C$5:$C$639,$C37-1,$D$5:$D$639,$D37)=0,J37*SUMIFS(J$5:J$639,$A$5:$A$639,$A37,$C$5:$C$639,$C37-1,$D$5:$D$639,$D37)&lt;0),"n.s.",ABS(J37)/ABS(SUMIFS(J$5:J$639,$A$5:$A$639,$A37,$C$5:$C$639,$C37-1,$D$5:$D$639,$D37))-1)))</f>
        <v/>
      </c>
      <c r="S37" s="16">
        <f>IF(OR($A37="",K37="",$C37=""),"",IF(COUNTIFS($A$5:$A$639,$A37,$C$5:$C$639,$C37-1,$D$5:$D$639,$D37,K$5:K$639,"&lt;&gt;")=0,"",IF(OR(SUMIFS(K$5:K$639,$A$5:$A$639,$A37,$C$5:$C$639,$C37-1,$D$5:$D$639,$D37)=0,K37*SUMIFS(K$5:K$639,$A$5:$A$639,$A37,$C$5:$C$639,$C37-1,$D$5:$D$639,$D37)&lt;0),"n.s.",ABS(K37)/ABS(SUMIFS(K$5:K$639,$A$5:$A$639,$A37,$C$5:$C$639,$C37-1,$D$5:$D$639,$D37))-1)))</f>
        <v/>
      </c>
      <c r="T37" s="16">
        <f>IF(OR($A37="",L37="",$C37=""),"",IF(COUNTIFS($A$5:$A$639,$A37,$C$5:$C$639,$C37-1,$D$5:$D$639,$D37,L$5:L$639,"&lt;&gt;")=0,"",IF(OR(SUMIFS(L$5:L$639,$A$5:$A$639,$A37,$C$5:$C$639,$C37-1,$D$5:$D$639,$D37)=0,L37*SUMIFS(L$5:L$639,$A$5:$A$639,$A37,$C$5:$C$639,$C37-1,$D$5:$D$639,$D37)&lt;0),"n.s.",ABS(L37)/ABS(SUMIFS(L$5:L$639,$A$5:$A$639,$A37,$C$5:$C$639,$C37-1,$D$5:$D$639,$D37))-1)))</f>
        <v/>
      </c>
      <c r="U37" s="16">
        <f>IF(OR($A37="",M37="",$C37=""),"",IF(COUNTIFS($A$5:$A$639,$A37,$C$5:$C$639,$C37-1,$D$5:$D$639,$D37,M$5:M$639,"&lt;&gt;")=0,"",IF(OR(SUMIFS(M$5:M$639,$A$5:$A$639,$A37,$C$5:$C$639,$C37-1,$D$5:$D$639,$D37)=0,M37*SUMIFS(M$5:M$639,$A$5:$A$639,$A37,$C$5:$C$639,$C37-1,$D$5:$D$639,$D37)&lt;0),"n.s.",ABS(M37)/ABS(SUMIFS(M$5:M$639,$A$5:$A$639,$A37,$C$5:$C$639,$C37-1,$D$5:$D$639,$D37))-1)))</f>
        <v/>
      </c>
    </row>
    <row r="38">
      <c r="A38" s="9" t="inlineStr">
        <is>
          <t>PALC</t>
        </is>
      </c>
      <c r="B38" s="10">
        <f>IF(A38="","",IFERROR(VLOOKUP(A38,Titres!$A$2:$B$400,2,FALSE),"Ticker inconnu"))</f>
        <v/>
      </c>
      <c r="C38" s="11" t="n">
        <v>2026</v>
      </c>
      <c r="D38" s="11" t="inlineStr">
        <is>
          <t>T1</t>
        </is>
      </c>
      <c r="E38" s="9" t="inlineStr">
        <is>
          <t>Publié</t>
        </is>
      </c>
      <c r="F38" s="12" t="n">
        <v>46141</v>
      </c>
      <c r="G38" s="9" t="inlineStr">
        <is>
          <t>https://www.richbourse.com/common/actualite/afficher-fichier/29-04-2026-palm-ci-rapport-dactivites-1er-trimestre-2026</t>
        </is>
      </c>
      <c r="H38" s="13" t="n">
        <v>49384.116</v>
      </c>
      <c r="I38" s="13" t="n"/>
      <c r="J38" s="13" t="n"/>
      <c r="K38" s="13" t="n"/>
      <c r="L38" s="13" t="n">
        <v>2120.132</v>
      </c>
      <c r="M38" s="13" t="n">
        <v>1594.48</v>
      </c>
      <c r="N38" s="14">
        <f>IF(A38="","",COUNT(H38:M38)/6)</f>
        <v/>
      </c>
      <c r="O38" s="15">
        <f>IF(COUNT(H38:M38)=0,"",IF(LEN(IF(COUNT(I38,J38)=2,IF(J38&gt;I38+1,"EBE &gt; VA ",""),"")&amp;IF(COUNT(H38,M38)=2,IF(ABS(M38)&gt;ABS(H38),"RN &gt; CA ",""),"")&amp;IF(COUNT(H38,K38)=2,IF(ABS(K38)&gt;ABS(H38),"RE &gt; CA ",""),""))=0,"OK",IF(COUNT(I38,J38)=2,IF(J38&gt;I38+1,"EBE &gt; VA ",""),"")&amp;IF(COUNT(H38,M38)=2,IF(ABS(M38)&gt;ABS(H38),"RN &gt; CA ",""),"")&amp;IF(COUNT(H38,K38)=2,IF(ABS(K38)&gt;ABS(H38),"RE &gt; CA ",""),"")))</f>
        <v/>
      </c>
      <c r="P38" s="16">
        <f>IF(OR($A38="",H38="",$C38=""),"",IF(COUNTIFS($A$5:$A$639,$A38,$C$5:$C$639,$C38-1,$D$5:$D$639,$D38,H$5:H$639,"&lt;&gt;")=0,"",IF(OR(SUMIFS(H$5:H$639,$A$5:$A$639,$A38,$C$5:$C$639,$C38-1,$D$5:$D$639,$D38)=0,H38*SUMIFS(H$5:H$639,$A$5:$A$639,$A38,$C$5:$C$639,$C38-1,$D$5:$D$639,$D38)&lt;0),"n.s.",ABS(H38)/ABS(SUMIFS(H$5:H$639,$A$5:$A$639,$A38,$C$5:$C$639,$C38-1,$D$5:$D$639,$D38))-1)))</f>
        <v/>
      </c>
      <c r="Q38" s="16">
        <f>IF(OR($A38="",I38="",$C38=""),"",IF(COUNTIFS($A$5:$A$639,$A38,$C$5:$C$639,$C38-1,$D$5:$D$639,$D38,I$5:I$639,"&lt;&gt;")=0,"",IF(OR(SUMIFS(I$5:I$639,$A$5:$A$639,$A38,$C$5:$C$639,$C38-1,$D$5:$D$639,$D38)=0,I38*SUMIFS(I$5:I$639,$A$5:$A$639,$A38,$C$5:$C$639,$C38-1,$D$5:$D$639,$D38)&lt;0),"n.s.",ABS(I38)/ABS(SUMIFS(I$5:I$639,$A$5:$A$639,$A38,$C$5:$C$639,$C38-1,$D$5:$D$639,$D38))-1)))</f>
        <v/>
      </c>
      <c r="R38" s="16">
        <f>IF(OR($A38="",J38="",$C38=""),"",IF(COUNTIFS($A$5:$A$639,$A38,$C$5:$C$639,$C38-1,$D$5:$D$639,$D38,J$5:J$639,"&lt;&gt;")=0,"",IF(OR(SUMIFS(J$5:J$639,$A$5:$A$639,$A38,$C$5:$C$639,$C38-1,$D$5:$D$639,$D38)=0,J38*SUMIFS(J$5:J$639,$A$5:$A$639,$A38,$C$5:$C$639,$C38-1,$D$5:$D$639,$D38)&lt;0),"n.s.",ABS(J38)/ABS(SUMIFS(J$5:J$639,$A$5:$A$639,$A38,$C$5:$C$639,$C38-1,$D$5:$D$639,$D38))-1)))</f>
        <v/>
      </c>
      <c r="S38" s="16">
        <f>IF(OR($A38="",K38="",$C38=""),"",IF(COUNTIFS($A$5:$A$639,$A38,$C$5:$C$639,$C38-1,$D$5:$D$639,$D38,K$5:K$639,"&lt;&gt;")=0,"",IF(OR(SUMIFS(K$5:K$639,$A$5:$A$639,$A38,$C$5:$C$639,$C38-1,$D$5:$D$639,$D38)=0,K38*SUMIFS(K$5:K$639,$A$5:$A$639,$A38,$C$5:$C$639,$C38-1,$D$5:$D$639,$D38)&lt;0),"n.s.",ABS(K38)/ABS(SUMIFS(K$5:K$639,$A$5:$A$639,$A38,$C$5:$C$639,$C38-1,$D$5:$D$639,$D38))-1)))</f>
        <v/>
      </c>
      <c r="T38" s="16">
        <f>IF(OR($A38="",L38="",$C38=""),"",IF(COUNTIFS($A$5:$A$639,$A38,$C$5:$C$639,$C38-1,$D$5:$D$639,$D38,L$5:L$639,"&lt;&gt;")=0,"",IF(OR(SUMIFS(L$5:L$639,$A$5:$A$639,$A38,$C$5:$C$639,$C38-1,$D$5:$D$639,$D38)=0,L38*SUMIFS(L$5:L$639,$A$5:$A$639,$A38,$C$5:$C$639,$C38-1,$D$5:$D$639,$D38)&lt;0),"n.s.",ABS(L38)/ABS(SUMIFS(L$5:L$639,$A$5:$A$639,$A38,$C$5:$C$639,$C38-1,$D$5:$D$639,$D38))-1)))</f>
        <v/>
      </c>
      <c r="U38" s="16">
        <f>IF(OR($A38="",M38="",$C38=""),"",IF(COUNTIFS($A$5:$A$639,$A38,$C$5:$C$639,$C38-1,$D$5:$D$639,$D38,M$5:M$639,"&lt;&gt;")=0,"",IF(OR(SUMIFS(M$5:M$639,$A$5:$A$639,$A38,$C$5:$C$639,$C38-1,$D$5:$D$639,$D38)=0,M38*SUMIFS(M$5:M$639,$A$5:$A$639,$A38,$C$5:$C$639,$C38-1,$D$5:$D$639,$D38)&lt;0),"n.s.",ABS(M38)/ABS(SUMIFS(M$5:M$639,$A$5:$A$639,$A38,$C$5:$C$639,$C38-1,$D$5:$D$639,$D38))-1)))</f>
        <v/>
      </c>
    </row>
    <row r="39">
      <c r="A39" s="9" t="inlineStr">
        <is>
          <t>PALC</t>
        </is>
      </c>
      <c r="B39" s="10">
        <f>IF(A39="","",IFERROR(VLOOKUP(A39,Titres!$A$2:$B$400,2,FALSE),"Ticker inconnu"))</f>
        <v/>
      </c>
      <c r="C39" s="11" t="n">
        <v>2026</v>
      </c>
      <c r="D39" s="11" t="inlineStr">
        <is>
          <t>S1</t>
        </is>
      </c>
      <c r="E39" s="9" t="inlineStr">
        <is>
          <t>Publié</t>
        </is>
      </c>
      <c r="F39" s="12" t="n">
        <v>46302</v>
      </c>
      <c r="G39" s="9" t="inlineStr">
        <is>
          <t>https://www.richbourse.com/common/actualite/afficher-fichier/07-10-2026-palm-ci-rapport-d-activites-1er-semestre-2026</t>
        </is>
      </c>
      <c r="H39" s="13" t="n">
        <v>114725.471</v>
      </c>
      <c r="I39" s="13" t="n"/>
      <c r="J39" s="13" t="n"/>
      <c r="K39" s="13" t="n">
        <v>17621.502</v>
      </c>
      <c r="L39" s="13" t="n">
        <v>18295.076</v>
      </c>
      <c r="M39" s="13" t="n">
        <v>13526.883</v>
      </c>
      <c r="N39" s="14">
        <f>IF(A39="","",COUNT(H39:M39)/6)</f>
        <v/>
      </c>
      <c r="O39" s="15">
        <f>IF(COUNT(H39:M39)=0,"",IF(LEN(IF(COUNT(I39,J39)=2,IF(J39&gt;I39+1,"EBE &gt; VA ",""),"")&amp;IF(COUNT(H39,M39)=2,IF(ABS(M39)&gt;ABS(H39),"RN &gt; CA ",""),"")&amp;IF(COUNT(H39,K39)=2,IF(ABS(K39)&gt;ABS(H39),"RE &gt; CA ",""),""))=0,"OK",IF(COUNT(I39,J39)=2,IF(J39&gt;I39+1,"EBE &gt; VA ",""),"")&amp;IF(COUNT(H39,M39)=2,IF(ABS(M39)&gt;ABS(H39),"RN &gt; CA ",""),"")&amp;IF(COUNT(H39,K39)=2,IF(ABS(K39)&gt;ABS(H39),"RE &gt; CA ",""),"")))</f>
        <v/>
      </c>
      <c r="P39" s="16">
        <f>IF(OR($A39="",H39="",$C39=""),"",IF(COUNTIFS($A$5:$A$639,$A39,$C$5:$C$639,$C39-1,$D$5:$D$639,$D39,H$5:H$639,"&lt;&gt;")=0,"",IF(OR(SUMIFS(H$5:H$639,$A$5:$A$639,$A39,$C$5:$C$639,$C39-1,$D$5:$D$639,$D39)=0,H39*SUMIFS(H$5:H$639,$A$5:$A$639,$A39,$C$5:$C$639,$C39-1,$D$5:$D$639,$D39)&lt;0),"n.s.",ABS(H39)/ABS(SUMIFS(H$5:H$639,$A$5:$A$639,$A39,$C$5:$C$639,$C39-1,$D$5:$D$639,$D39))-1)))</f>
        <v/>
      </c>
      <c r="Q39" s="16">
        <f>IF(OR($A39="",I39="",$C39=""),"",IF(COUNTIFS($A$5:$A$639,$A39,$C$5:$C$639,$C39-1,$D$5:$D$639,$D39,I$5:I$639,"&lt;&gt;")=0,"",IF(OR(SUMIFS(I$5:I$639,$A$5:$A$639,$A39,$C$5:$C$639,$C39-1,$D$5:$D$639,$D39)=0,I39*SUMIFS(I$5:I$639,$A$5:$A$639,$A39,$C$5:$C$639,$C39-1,$D$5:$D$639,$D39)&lt;0),"n.s.",ABS(I39)/ABS(SUMIFS(I$5:I$639,$A$5:$A$639,$A39,$C$5:$C$639,$C39-1,$D$5:$D$639,$D39))-1)))</f>
        <v/>
      </c>
      <c r="R39" s="16">
        <f>IF(OR($A39="",J39="",$C39=""),"",IF(COUNTIFS($A$5:$A$639,$A39,$C$5:$C$639,$C39-1,$D$5:$D$639,$D39,J$5:J$639,"&lt;&gt;")=0,"",IF(OR(SUMIFS(J$5:J$639,$A$5:$A$639,$A39,$C$5:$C$639,$C39-1,$D$5:$D$639,$D39)=0,J39*SUMIFS(J$5:J$639,$A$5:$A$639,$A39,$C$5:$C$639,$C39-1,$D$5:$D$639,$D39)&lt;0),"n.s.",ABS(J39)/ABS(SUMIFS(J$5:J$639,$A$5:$A$639,$A39,$C$5:$C$639,$C39-1,$D$5:$D$639,$D39))-1)))</f>
        <v/>
      </c>
      <c r="S39" s="16">
        <f>IF(OR($A39="",K39="",$C39=""),"",IF(COUNTIFS($A$5:$A$639,$A39,$C$5:$C$639,$C39-1,$D$5:$D$639,$D39,K$5:K$639,"&lt;&gt;")=0,"",IF(OR(SUMIFS(K$5:K$639,$A$5:$A$639,$A39,$C$5:$C$639,$C39-1,$D$5:$D$639,$D39)=0,K39*SUMIFS(K$5:K$639,$A$5:$A$639,$A39,$C$5:$C$639,$C39-1,$D$5:$D$639,$D39)&lt;0),"n.s.",ABS(K39)/ABS(SUMIFS(K$5:K$639,$A$5:$A$639,$A39,$C$5:$C$639,$C39-1,$D$5:$D$639,$D39))-1)))</f>
        <v/>
      </c>
      <c r="T39" s="16">
        <f>IF(OR($A39="",L39="",$C39=""),"",IF(COUNTIFS($A$5:$A$639,$A39,$C$5:$C$639,$C39-1,$D$5:$D$639,$D39,L$5:L$639,"&lt;&gt;")=0,"",IF(OR(SUMIFS(L$5:L$639,$A$5:$A$639,$A39,$C$5:$C$639,$C39-1,$D$5:$D$639,$D39)=0,L39*SUMIFS(L$5:L$639,$A$5:$A$639,$A39,$C$5:$C$639,$C39-1,$D$5:$D$639,$D39)&lt;0),"n.s.",ABS(L39)/ABS(SUMIFS(L$5:L$639,$A$5:$A$639,$A39,$C$5:$C$639,$C39-1,$D$5:$D$639,$D39))-1)))</f>
        <v/>
      </c>
      <c r="U39" s="16">
        <f>IF(OR($A39="",M39="",$C39=""),"",IF(COUNTIFS($A$5:$A$639,$A39,$C$5:$C$639,$C39-1,$D$5:$D$639,$D39,M$5:M$639,"&lt;&gt;")=0,"",IF(OR(SUMIFS(M$5:M$639,$A$5:$A$639,$A39,$C$5:$C$639,$C39-1,$D$5:$D$639,$D39)=0,M39*SUMIFS(M$5:M$639,$A$5:$A$639,$A39,$C$5:$C$639,$C39-1,$D$5:$D$639,$D39)&lt;0),"n.s.",ABS(M39)/ABS(SUMIFS(M$5:M$639,$A$5:$A$639,$A39,$C$5:$C$639,$C39-1,$D$5:$D$639,$D39))-1)))</f>
        <v/>
      </c>
    </row>
    <row r="40">
      <c r="A40" s="9" t="inlineStr">
        <is>
          <t>PALC</t>
        </is>
      </c>
      <c r="B40" s="10">
        <f>IF(A40="","",IFERROR(VLOOKUP(A40,Titres!$A$2:$B$400,2,FALSE),"Ticker inconnu"))</f>
        <v/>
      </c>
      <c r="C40" s="11" t="n">
        <v>2026</v>
      </c>
      <c r="D40" s="11" t="inlineStr">
        <is>
          <t>T3</t>
        </is>
      </c>
      <c r="E40" s="9" t="n"/>
      <c r="F40" s="12" t="n"/>
      <c r="G40" s="9" t="n"/>
      <c r="H40" s="13" t="n"/>
      <c r="I40" s="13" t="n"/>
      <c r="J40" s="13" t="n"/>
      <c r="K40" s="13" t="n"/>
      <c r="L40" s="13" t="n"/>
      <c r="M40" s="13" t="n"/>
      <c r="N40" s="14">
        <f>IF(A40="","",COUNT(H40:M40)/6)</f>
        <v/>
      </c>
      <c r="O40" s="15">
        <f>IF(COUNT(H40:M40)=0,"",IF(LEN(IF(COUNT(I40,J40)=2,IF(J40&gt;I40+1,"EBE &gt; VA ",""),"")&amp;IF(COUNT(H40,M40)=2,IF(ABS(M40)&gt;ABS(H40),"RN &gt; CA ",""),"")&amp;IF(COUNT(H40,K40)=2,IF(ABS(K40)&gt;ABS(H40),"RE &gt; CA ",""),""))=0,"OK",IF(COUNT(I40,J40)=2,IF(J40&gt;I40+1,"EBE &gt; VA ",""),"")&amp;IF(COUNT(H40,M40)=2,IF(ABS(M40)&gt;ABS(H40),"RN &gt; CA ",""),"")&amp;IF(COUNT(H40,K40)=2,IF(ABS(K40)&gt;ABS(H40),"RE &gt; CA ",""),"")))</f>
        <v/>
      </c>
      <c r="P40" s="16">
        <f>IF(OR($A40="",H40="",$C40=""),"",IF(COUNTIFS($A$5:$A$639,$A40,$C$5:$C$639,$C40-1,$D$5:$D$639,$D40,H$5:H$639,"&lt;&gt;")=0,"",IF(OR(SUMIFS(H$5:H$639,$A$5:$A$639,$A40,$C$5:$C$639,$C40-1,$D$5:$D$639,$D40)=0,H40*SUMIFS(H$5:H$639,$A$5:$A$639,$A40,$C$5:$C$639,$C40-1,$D$5:$D$639,$D40)&lt;0),"n.s.",ABS(H40)/ABS(SUMIFS(H$5:H$639,$A$5:$A$639,$A40,$C$5:$C$639,$C40-1,$D$5:$D$639,$D40))-1)))</f>
        <v/>
      </c>
      <c r="Q40" s="16">
        <f>IF(OR($A40="",I40="",$C40=""),"",IF(COUNTIFS($A$5:$A$639,$A40,$C$5:$C$639,$C40-1,$D$5:$D$639,$D40,I$5:I$639,"&lt;&gt;")=0,"",IF(OR(SUMIFS(I$5:I$639,$A$5:$A$639,$A40,$C$5:$C$639,$C40-1,$D$5:$D$639,$D40)=0,I40*SUMIFS(I$5:I$639,$A$5:$A$639,$A40,$C$5:$C$639,$C40-1,$D$5:$D$639,$D40)&lt;0),"n.s.",ABS(I40)/ABS(SUMIFS(I$5:I$639,$A$5:$A$639,$A40,$C$5:$C$639,$C40-1,$D$5:$D$639,$D40))-1)))</f>
        <v/>
      </c>
      <c r="R40" s="16">
        <f>IF(OR($A40="",J40="",$C40=""),"",IF(COUNTIFS($A$5:$A$639,$A40,$C$5:$C$639,$C40-1,$D$5:$D$639,$D40,J$5:J$639,"&lt;&gt;")=0,"",IF(OR(SUMIFS(J$5:J$639,$A$5:$A$639,$A40,$C$5:$C$639,$C40-1,$D$5:$D$639,$D40)=0,J40*SUMIFS(J$5:J$639,$A$5:$A$639,$A40,$C$5:$C$639,$C40-1,$D$5:$D$639,$D40)&lt;0),"n.s.",ABS(J40)/ABS(SUMIFS(J$5:J$639,$A$5:$A$639,$A40,$C$5:$C$639,$C40-1,$D$5:$D$639,$D40))-1)))</f>
        <v/>
      </c>
      <c r="S40" s="16">
        <f>IF(OR($A40="",K40="",$C40=""),"",IF(COUNTIFS($A$5:$A$639,$A40,$C$5:$C$639,$C40-1,$D$5:$D$639,$D40,K$5:K$639,"&lt;&gt;")=0,"",IF(OR(SUMIFS(K$5:K$639,$A$5:$A$639,$A40,$C$5:$C$639,$C40-1,$D$5:$D$639,$D40)=0,K40*SUMIFS(K$5:K$639,$A$5:$A$639,$A40,$C$5:$C$639,$C40-1,$D$5:$D$639,$D40)&lt;0),"n.s.",ABS(K40)/ABS(SUMIFS(K$5:K$639,$A$5:$A$639,$A40,$C$5:$C$639,$C40-1,$D$5:$D$639,$D40))-1)))</f>
        <v/>
      </c>
      <c r="T40" s="16">
        <f>IF(OR($A40="",L40="",$C40=""),"",IF(COUNTIFS($A$5:$A$639,$A40,$C$5:$C$639,$C40-1,$D$5:$D$639,$D40,L$5:L$639,"&lt;&gt;")=0,"",IF(OR(SUMIFS(L$5:L$639,$A$5:$A$639,$A40,$C$5:$C$639,$C40-1,$D$5:$D$639,$D40)=0,L40*SUMIFS(L$5:L$639,$A$5:$A$639,$A40,$C$5:$C$639,$C40-1,$D$5:$D$639,$D40)&lt;0),"n.s.",ABS(L40)/ABS(SUMIFS(L$5:L$639,$A$5:$A$639,$A40,$C$5:$C$639,$C40-1,$D$5:$D$639,$D40))-1)))</f>
        <v/>
      </c>
      <c r="U40" s="16">
        <f>IF(OR($A40="",M40="",$C40=""),"",IF(COUNTIFS($A$5:$A$639,$A40,$C$5:$C$639,$C40-1,$D$5:$D$639,$D40,M$5:M$639,"&lt;&gt;")=0,"",IF(OR(SUMIFS(M$5:M$639,$A$5:$A$639,$A40,$C$5:$C$639,$C40-1,$D$5:$D$639,$D40)=0,M40*SUMIFS(M$5:M$639,$A$5:$A$639,$A40,$C$5:$C$639,$C40-1,$D$5:$D$639,$D40)&lt;0),"n.s.",ABS(M40)/ABS(SUMIFS(M$5:M$639,$A$5:$A$639,$A40,$C$5:$C$639,$C40-1,$D$5:$D$639,$D40))-1)))</f>
        <v/>
      </c>
    </row>
    <row r="41">
      <c r="A41" s="9" t="inlineStr">
        <is>
          <t>SCRC</t>
        </is>
      </c>
      <c r="B41" s="10">
        <f>IF(A41="","",IFERROR(VLOOKUP(A41,Titres!$A$2:$B$400,2,FALSE),"Ticker inconnu"))</f>
        <v/>
      </c>
      <c r="C41" s="11" t="n">
        <v>2021</v>
      </c>
      <c r="D41" s="11" t="inlineStr">
        <is>
          <t>T1</t>
        </is>
      </c>
      <c r="E41" s="9" t="n"/>
      <c r="F41" s="12" t="n"/>
      <c r="G41" s="9" t="n"/>
      <c r="H41" s="13" t="n"/>
      <c r="I41" s="13" t="n"/>
      <c r="J41" s="13" t="n"/>
      <c r="K41" s="13" t="n"/>
      <c r="L41" s="13" t="n"/>
      <c r="M41" s="13" t="n"/>
      <c r="N41" s="14">
        <f>IF(A41="","",COUNT(H41:M41)/6)</f>
        <v/>
      </c>
      <c r="O41" s="15">
        <f>IF(COUNT(H41:M41)=0,"",IF(LEN(IF(COUNT(I41,J41)=2,IF(J41&gt;I41+1,"EBE &gt; VA ",""),"")&amp;IF(COUNT(H41,M41)=2,IF(ABS(M41)&gt;ABS(H41),"RN &gt; CA ",""),"")&amp;IF(COUNT(H41,K41)=2,IF(ABS(K41)&gt;ABS(H41),"RE &gt; CA ",""),""))=0,"OK",IF(COUNT(I41,J41)=2,IF(J41&gt;I41+1,"EBE &gt; VA ",""),"")&amp;IF(COUNT(H41,M41)=2,IF(ABS(M41)&gt;ABS(H41),"RN &gt; CA ",""),"")&amp;IF(COUNT(H41,K41)=2,IF(ABS(K41)&gt;ABS(H41),"RE &gt; CA ",""),"")))</f>
        <v/>
      </c>
      <c r="P41" s="16">
        <f>IF(OR($A41="",H41="",$C41=""),"",IF(COUNTIFS($A$5:$A$639,$A41,$C$5:$C$639,$C41-1,$D$5:$D$639,$D41,H$5:H$639,"&lt;&gt;")=0,"",IF(OR(SUMIFS(H$5:H$639,$A$5:$A$639,$A41,$C$5:$C$639,$C41-1,$D$5:$D$639,$D41)=0,H41*SUMIFS(H$5:H$639,$A$5:$A$639,$A41,$C$5:$C$639,$C41-1,$D$5:$D$639,$D41)&lt;0),"n.s.",ABS(H41)/ABS(SUMIFS(H$5:H$639,$A$5:$A$639,$A41,$C$5:$C$639,$C41-1,$D$5:$D$639,$D41))-1)))</f>
        <v/>
      </c>
      <c r="Q41" s="16">
        <f>IF(OR($A41="",I41="",$C41=""),"",IF(COUNTIFS($A$5:$A$639,$A41,$C$5:$C$639,$C41-1,$D$5:$D$639,$D41,I$5:I$639,"&lt;&gt;")=0,"",IF(OR(SUMIFS(I$5:I$639,$A$5:$A$639,$A41,$C$5:$C$639,$C41-1,$D$5:$D$639,$D41)=0,I41*SUMIFS(I$5:I$639,$A$5:$A$639,$A41,$C$5:$C$639,$C41-1,$D$5:$D$639,$D41)&lt;0),"n.s.",ABS(I41)/ABS(SUMIFS(I$5:I$639,$A$5:$A$639,$A41,$C$5:$C$639,$C41-1,$D$5:$D$639,$D41))-1)))</f>
        <v/>
      </c>
      <c r="R41" s="16">
        <f>IF(OR($A41="",J41="",$C41=""),"",IF(COUNTIFS($A$5:$A$639,$A41,$C$5:$C$639,$C41-1,$D$5:$D$639,$D41,J$5:J$639,"&lt;&gt;")=0,"",IF(OR(SUMIFS(J$5:J$639,$A$5:$A$639,$A41,$C$5:$C$639,$C41-1,$D$5:$D$639,$D41)=0,J41*SUMIFS(J$5:J$639,$A$5:$A$639,$A41,$C$5:$C$639,$C41-1,$D$5:$D$639,$D41)&lt;0),"n.s.",ABS(J41)/ABS(SUMIFS(J$5:J$639,$A$5:$A$639,$A41,$C$5:$C$639,$C41-1,$D$5:$D$639,$D41))-1)))</f>
        <v/>
      </c>
      <c r="S41" s="16">
        <f>IF(OR($A41="",K41="",$C41=""),"",IF(COUNTIFS($A$5:$A$639,$A41,$C$5:$C$639,$C41-1,$D$5:$D$639,$D41,K$5:K$639,"&lt;&gt;")=0,"",IF(OR(SUMIFS(K$5:K$639,$A$5:$A$639,$A41,$C$5:$C$639,$C41-1,$D$5:$D$639,$D41)=0,K41*SUMIFS(K$5:K$639,$A$5:$A$639,$A41,$C$5:$C$639,$C41-1,$D$5:$D$639,$D41)&lt;0),"n.s.",ABS(K41)/ABS(SUMIFS(K$5:K$639,$A$5:$A$639,$A41,$C$5:$C$639,$C41-1,$D$5:$D$639,$D41))-1)))</f>
        <v/>
      </c>
      <c r="T41" s="16">
        <f>IF(OR($A41="",L41="",$C41=""),"",IF(COUNTIFS($A$5:$A$639,$A41,$C$5:$C$639,$C41-1,$D$5:$D$639,$D41,L$5:L$639,"&lt;&gt;")=0,"",IF(OR(SUMIFS(L$5:L$639,$A$5:$A$639,$A41,$C$5:$C$639,$C41-1,$D$5:$D$639,$D41)=0,L41*SUMIFS(L$5:L$639,$A$5:$A$639,$A41,$C$5:$C$639,$C41-1,$D$5:$D$639,$D41)&lt;0),"n.s.",ABS(L41)/ABS(SUMIFS(L$5:L$639,$A$5:$A$639,$A41,$C$5:$C$639,$C41-1,$D$5:$D$639,$D41))-1)))</f>
        <v/>
      </c>
      <c r="U41" s="16">
        <f>IF(OR($A41="",M41="",$C41=""),"",IF(COUNTIFS($A$5:$A$639,$A41,$C$5:$C$639,$C41-1,$D$5:$D$639,$D41,M$5:M$639,"&lt;&gt;")=0,"",IF(OR(SUMIFS(M$5:M$639,$A$5:$A$639,$A41,$C$5:$C$639,$C41-1,$D$5:$D$639,$D41)=0,M41*SUMIFS(M$5:M$639,$A$5:$A$639,$A41,$C$5:$C$639,$C41-1,$D$5:$D$639,$D41)&lt;0),"n.s.",ABS(M41)/ABS(SUMIFS(M$5:M$639,$A$5:$A$639,$A41,$C$5:$C$639,$C41-1,$D$5:$D$639,$D41))-1)))</f>
        <v/>
      </c>
    </row>
    <row r="42">
      <c r="A42" s="9" t="inlineStr">
        <is>
          <t>SCRC</t>
        </is>
      </c>
      <c r="B42" s="10">
        <f>IF(A42="","",IFERROR(VLOOKUP(A42,Titres!$A$2:$B$400,2,FALSE),"Ticker inconnu"))</f>
        <v/>
      </c>
      <c r="C42" s="11" t="n">
        <v>2021</v>
      </c>
      <c r="D42" s="11" t="inlineStr">
        <is>
          <t>S1</t>
        </is>
      </c>
      <c r="E42" s="9" t="n"/>
      <c r="F42" s="12" t="n"/>
      <c r="G42" s="9" t="n"/>
      <c r="H42" s="13" t="n"/>
      <c r="I42" s="13" t="n"/>
      <c r="J42" s="13" t="n"/>
      <c r="K42" s="13" t="n"/>
      <c r="L42" s="13" t="n"/>
      <c r="M42" s="13" t="n"/>
      <c r="N42" s="14">
        <f>IF(A42="","",COUNT(H42:M42)/6)</f>
        <v/>
      </c>
      <c r="O42" s="15">
        <f>IF(COUNT(H42:M42)=0,"",IF(LEN(IF(COUNT(I42,J42)=2,IF(J42&gt;I42+1,"EBE &gt; VA ",""),"")&amp;IF(COUNT(H42,M42)=2,IF(ABS(M42)&gt;ABS(H42),"RN &gt; CA ",""),"")&amp;IF(COUNT(H42,K42)=2,IF(ABS(K42)&gt;ABS(H42),"RE &gt; CA ",""),""))=0,"OK",IF(COUNT(I42,J42)=2,IF(J42&gt;I42+1,"EBE &gt; VA ",""),"")&amp;IF(COUNT(H42,M42)=2,IF(ABS(M42)&gt;ABS(H42),"RN &gt; CA ",""),"")&amp;IF(COUNT(H42,K42)=2,IF(ABS(K42)&gt;ABS(H42),"RE &gt; CA ",""),"")))</f>
        <v/>
      </c>
      <c r="P42" s="16">
        <f>IF(OR($A42="",H42="",$C42=""),"",IF(COUNTIFS($A$5:$A$639,$A42,$C$5:$C$639,$C42-1,$D$5:$D$639,$D42,H$5:H$639,"&lt;&gt;")=0,"",IF(OR(SUMIFS(H$5:H$639,$A$5:$A$639,$A42,$C$5:$C$639,$C42-1,$D$5:$D$639,$D42)=0,H42*SUMIFS(H$5:H$639,$A$5:$A$639,$A42,$C$5:$C$639,$C42-1,$D$5:$D$639,$D42)&lt;0),"n.s.",ABS(H42)/ABS(SUMIFS(H$5:H$639,$A$5:$A$639,$A42,$C$5:$C$639,$C42-1,$D$5:$D$639,$D42))-1)))</f>
        <v/>
      </c>
      <c r="Q42" s="16">
        <f>IF(OR($A42="",I42="",$C42=""),"",IF(COUNTIFS($A$5:$A$639,$A42,$C$5:$C$639,$C42-1,$D$5:$D$639,$D42,I$5:I$639,"&lt;&gt;")=0,"",IF(OR(SUMIFS(I$5:I$639,$A$5:$A$639,$A42,$C$5:$C$639,$C42-1,$D$5:$D$639,$D42)=0,I42*SUMIFS(I$5:I$639,$A$5:$A$639,$A42,$C$5:$C$639,$C42-1,$D$5:$D$639,$D42)&lt;0),"n.s.",ABS(I42)/ABS(SUMIFS(I$5:I$639,$A$5:$A$639,$A42,$C$5:$C$639,$C42-1,$D$5:$D$639,$D42))-1)))</f>
        <v/>
      </c>
      <c r="R42" s="16">
        <f>IF(OR($A42="",J42="",$C42=""),"",IF(COUNTIFS($A$5:$A$639,$A42,$C$5:$C$639,$C42-1,$D$5:$D$639,$D42,J$5:J$639,"&lt;&gt;")=0,"",IF(OR(SUMIFS(J$5:J$639,$A$5:$A$639,$A42,$C$5:$C$639,$C42-1,$D$5:$D$639,$D42)=0,J42*SUMIFS(J$5:J$639,$A$5:$A$639,$A42,$C$5:$C$639,$C42-1,$D$5:$D$639,$D42)&lt;0),"n.s.",ABS(J42)/ABS(SUMIFS(J$5:J$639,$A$5:$A$639,$A42,$C$5:$C$639,$C42-1,$D$5:$D$639,$D42))-1)))</f>
        <v/>
      </c>
      <c r="S42" s="16">
        <f>IF(OR($A42="",K42="",$C42=""),"",IF(COUNTIFS($A$5:$A$639,$A42,$C$5:$C$639,$C42-1,$D$5:$D$639,$D42,K$5:K$639,"&lt;&gt;")=0,"",IF(OR(SUMIFS(K$5:K$639,$A$5:$A$639,$A42,$C$5:$C$639,$C42-1,$D$5:$D$639,$D42)=0,K42*SUMIFS(K$5:K$639,$A$5:$A$639,$A42,$C$5:$C$639,$C42-1,$D$5:$D$639,$D42)&lt;0),"n.s.",ABS(K42)/ABS(SUMIFS(K$5:K$639,$A$5:$A$639,$A42,$C$5:$C$639,$C42-1,$D$5:$D$639,$D42))-1)))</f>
        <v/>
      </c>
      <c r="T42" s="16">
        <f>IF(OR($A42="",L42="",$C42=""),"",IF(COUNTIFS($A$5:$A$639,$A42,$C$5:$C$639,$C42-1,$D$5:$D$639,$D42,L$5:L$639,"&lt;&gt;")=0,"",IF(OR(SUMIFS(L$5:L$639,$A$5:$A$639,$A42,$C$5:$C$639,$C42-1,$D$5:$D$639,$D42)=0,L42*SUMIFS(L$5:L$639,$A$5:$A$639,$A42,$C$5:$C$639,$C42-1,$D$5:$D$639,$D42)&lt;0),"n.s.",ABS(L42)/ABS(SUMIFS(L$5:L$639,$A$5:$A$639,$A42,$C$5:$C$639,$C42-1,$D$5:$D$639,$D42))-1)))</f>
        <v/>
      </c>
      <c r="U42" s="16">
        <f>IF(OR($A42="",M42="",$C42=""),"",IF(COUNTIFS($A$5:$A$639,$A42,$C$5:$C$639,$C42-1,$D$5:$D$639,$D42,M$5:M$639,"&lt;&gt;")=0,"",IF(OR(SUMIFS(M$5:M$639,$A$5:$A$639,$A42,$C$5:$C$639,$C42-1,$D$5:$D$639,$D42)=0,M42*SUMIFS(M$5:M$639,$A$5:$A$639,$A42,$C$5:$C$639,$C42-1,$D$5:$D$639,$D42)&lt;0),"n.s.",ABS(M42)/ABS(SUMIFS(M$5:M$639,$A$5:$A$639,$A42,$C$5:$C$639,$C42-1,$D$5:$D$639,$D42))-1)))</f>
        <v/>
      </c>
    </row>
    <row r="43">
      <c r="A43" s="9" t="inlineStr">
        <is>
          <t>SCRC</t>
        </is>
      </c>
      <c r="B43" s="10">
        <f>IF(A43="","",IFERROR(VLOOKUP(A43,Titres!$A$2:$B$400,2,FALSE),"Ticker inconnu"))</f>
        <v/>
      </c>
      <c r="C43" s="11" t="n">
        <v>2021</v>
      </c>
      <c r="D43" s="11" t="inlineStr">
        <is>
          <t>T3</t>
        </is>
      </c>
      <c r="E43" s="9" t="n"/>
      <c r="F43" s="12" t="n"/>
      <c r="G43" s="9" t="n"/>
      <c r="H43" s="13" t="n"/>
      <c r="I43" s="13" t="n"/>
      <c r="J43" s="13" t="n"/>
      <c r="K43" s="13" t="n"/>
      <c r="L43" s="13" t="n"/>
      <c r="M43" s="13" t="n"/>
      <c r="N43" s="14">
        <f>IF(A43="","",COUNT(H43:M43)/6)</f>
        <v/>
      </c>
      <c r="O43" s="15">
        <f>IF(COUNT(H43:M43)=0,"",IF(LEN(IF(COUNT(I43,J43)=2,IF(J43&gt;I43+1,"EBE &gt; VA ",""),"")&amp;IF(COUNT(H43,M43)=2,IF(ABS(M43)&gt;ABS(H43),"RN &gt; CA ",""),"")&amp;IF(COUNT(H43,K43)=2,IF(ABS(K43)&gt;ABS(H43),"RE &gt; CA ",""),""))=0,"OK",IF(COUNT(I43,J43)=2,IF(J43&gt;I43+1,"EBE &gt; VA ",""),"")&amp;IF(COUNT(H43,M43)=2,IF(ABS(M43)&gt;ABS(H43),"RN &gt; CA ",""),"")&amp;IF(COUNT(H43,K43)=2,IF(ABS(K43)&gt;ABS(H43),"RE &gt; CA ",""),"")))</f>
        <v/>
      </c>
      <c r="P43" s="16">
        <f>IF(OR($A43="",H43="",$C43=""),"",IF(COUNTIFS($A$5:$A$639,$A43,$C$5:$C$639,$C43-1,$D$5:$D$639,$D43,H$5:H$639,"&lt;&gt;")=0,"",IF(OR(SUMIFS(H$5:H$639,$A$5:$A$639,$A43,$C$5:$C$639,$C43-1,$D$5:$D$639,$D43)=0,H43*SUMIFS(H$5:H$639,$A$5:$A$639,$A43,$C$5:$C$639,$C43-1,$D$5:$D$639,$D43)&lt;0),"n.s.",ABS(H43)/ABS(SUMIFS(H$5:H$639,$A$5:$A$639,$A43,$C$5:$C$639,$C43-1,$D$5:$D$639,$D43))-1)))</f>
        <v/>
      </c>
      <c r="Q43" s="16">
        <f>IF(OR($A43="",I43="",$C43=""),"",IF(COUNTIFS($A$5:$A$639,$A43,$C$5:$C$639,$C43-1,$D$5:$D$639,$D43,I$5:I$639,"&lt;&gt;")=0,"",IF(OR(SUMIFS(I$5:I$639,$A$5:$A$639,$A43,$C$5:$C$639,$C43-1,$D$5:$D$639,$D43)=0,I43*SUMIFS(I$5:I$639,$A$5:$A$639,$A43,$C$5:$C$639,$C43-1,$D$5:$D$639,$D43)&lt;0),"n.s.",ABS(I43)/ABS(SUMIFS(I$5:I$639,$A$5:$A$639,$A43,$C$5:$C$639,$C43-1,$D$5:$D$639,$D43))-1)))</f>
        <v/>
      </c>
      <c r="R43" s="16">
        <f>IF(OR($A43="",J43="",$C43=""),"",IF(COUNTIFS($A$5:$A$639,$A43,$C$5:$C$639,$C43-1,$D$5:$D$639,$D43,J$5:J$639,"&lt;&gt;")=0,"",IF(OR(SUMIFS(J$5:J$639,$A$5:$A$639,$A43,$C$5:$C$639,$C43-1,$D$5:$D$639,$D43)=0,J43*SUMIFS(J$5:J$639,$A$5:$A$639,$A43,$C$5:$C$639,$C43-1,$D$5:$D$639,$D43)&lt;0),"n.s.",ABS(J43)/ABS(SUMIFS(J$5:J$639,$A$5:$A$639,$A43,$C$5:$C$639,$C43-1,$D$5:$D$639,$D43))-1)))</f>
        <v/>
      </c>
      <c r="S43" s="16">
        <f>IF(OR($A43="",K43="",$C43=""),"",IF(COUNTIFS($A$5:$A$639,$A43,$C$5:$C$639,$C43-1,$D$5:$D$639,$D43,K$5:K$639,"&lt;&gt;")=0,"",IF(OR(SUMIFS(K$5:K$639,$A$5:$A$639,$A43,$C$5:$C$639,$C43-1,$D$5:$D$639,$D43)=0,K43*SUMIFS(K$5:K$639,$A$5:$A$639,$A43,$C$5:$C$639,$C43-1,$D$5:$D$639,$D43)&lt;0),"n.s.",ABS(K43)/ABS(SUMIFS(K$5:K$639,$A$5:$A$639,$A43,$C$5:$C$639,$C43-1,$D$5:$D$639,$D43))-1)))</f>
        <v/>
      </c>
      <c r="T43" s="16">
        <f>IF(OR($A43="",L43="",$C43=""),"",IF(COUNTIFS($A$5:$A$639,$A43,$C$5:$C$639,$C43-1,$D$5:$D$639,$D43,L$5:L$639,"&lt;&gt;")=0,"",IF(OR(SUMIFS(L$5:L$639,$A$5:$A$639,$A43,$C$5:$C$639,$C43-1,$D$5:$D$639,$D43)=0,L43*SUMIFS(L$5:L$639,$A$5:$A$639,$A43,$C$5:$C$639,$C43-1,$D$5:$D$639,$D43)&lt;0),"n.s.",ABS(L43)/ABS(SUMIFS(L$5:L$639,$A$5:$A$639,$A43,$C$5:$C$639,$C43-1,$D$5:$D$639,$D43))-1)))</f>
        <v/>
      </c>
      <c r="U43" s="16">
        <f>IF(OR($A43="",M43="",$C43=""),"",IF(COUNTIFS($A$5:$A$639,$A43,$C$5:$C$639,$C43-1,$D$5:$D$639,$D43,M$5:M$639,"&lt;&gt;")=0,"",IF(OR(SUMIFS(M$5:M$639,$A$5:$A$639,$A43,$C$5:$C$639,$C43-1,$D$5:$D$639,$D43)=0,M43*SUMIFS(M$5:M$639,$A$5:$A$639,$A43,$C$5:$C$639,$C43-1,$D$5:$D$639,$D43)&lt;0),"n.s.",ABS(M43)/ABS(SUMIFS(M$5:M$639,$A$5:$A$639,$A43,$C$5:$C$639,$C43-1,$D$5:$D$639,$D43))-1)))</f>
        <v/>
      </c>
    </row>
    <row r="44">
      <c r="A44" s="9" t="inlineStr">
        <is>
          <t>SCRC</t>
        </is>
      </c>
      <c r="B44" s="10">
        <f>IF(A44="","",IFERROR(VLOOKUP(A44,Titres!$A$2:$B$400,2,FALSE),"Ticker inconnu"))</f>
        <v/>
      </c>
      <c r="C44" s="11" t="n">
        <v>2022</v>
      </c>
      <c r="D44" s="11" t="inlineStr">
        <is>
          <t>T1</t>
        </is>
      </c>
      <c r="E44" s="9" t="n"/>
      <c r="F44" s="12" t="n"/>
      <c r="G44" s="9" t="n"/>
      <c r="H44" s="13" t="n"/>
      <c r="I44" s="13" t="n"/>
      <c r="J44" s="13" t="n"/>
      <c r="K44" s="13" t="n"/>
      <c r="L44" s="13" t="n"/>
      <c r="M44" s="13" t="n"/>
      <c r="N44" s="14">
        <f>IF(A44="","",COUNT(H44:M44)/6)</f>
        <v/>
      </c>
      <c r="O44" s="15">
        <f>IF(COUNT(H44:M44)=0,"",IF(LEN(IF(COUNT(I44,J44)=2,IF(J44&gt;I44+1,"EBE &gt; VA ",""),"")&amp;IF(COUNT(H44,M44)=2,IF(ABS(M44)&gt;ABS(H44),"RN &gt; CA ",""),"")&amp;IF(COUNT(H44,K44)=2,IF(ABS(K44)&gt;ABS(H44),"RE &gt; CA ",""),""))=0,"OK",IF(COUNT(I44,J44)=2,IF(J44&gt;I44+1,"EBE &gt; VA ",""),"")&amp;IF(COUNT(H44,M44)=2,IF(ABS(M44)&gt;ABS(H44),"RN &gt; CA ",""),"")&amp;IF(COUNT(H44,K44)=2,IF(ABS(K44)&gt;ABS(H44),"RE &gt; CA ",""),"")))</f>
        <v/>
      </c>
      <c r="P44" s="16">
        <f>IF(OR($A44="",H44="",$C44=""),"",IF(COUNTIFS($A$5:$A$639,$A44,$C$5:$C$639,$C44-1,$D$5:$D$639,$D44,H$5:H$639,"&lt;&gt;")=0,"",IF(OR(SUMIFS(H$5:H$639,$A$5:$A$639,$A44,$C$5:$C$639,$C44-1,$D$5:$D$639,$D44)=0,H44*SUMIFS(H$5:H$639,$A$5:$A$639,$A44,$C$5:$C$639,$C44-1,$D$5:$D$639,$D44)&lt;0),"n.s.",ABS(H44)/ABS(SUMIFS(H$5:H$639,$A$5:$A$639,$A44,$C$5:$C$639,$C44-1,$D$5:$D$639,$D44))-1)))</f>
        <v/>
      </c>
      <c r="Q44" s="16">
        <f>IF(OR($A44="",I44="",$C44=""),"",IF(COUNTIFS($A$5:$A$639,$A44,$C$5:$C$639,$C44-1,$D$5:$D$639,$D44,I$5:I$639,"&lt;&gt;")=0,"",IF(OR(SUMIFS(I$5:I$639,$A$5:$A$639,$A44,$C$5:$C$639,$C44-1,$D$5:$D$639,$D44)=0,I44*SUMIFS(I$5:I$639,$A$5:$A$639,$A44,$C$5:$C$639,$C44-1,$D$5:$D$639,$D44)&lt;0),"n.s.",ABS(I44)/ABS(SUMIFS(I$5:I$639,$A$5:$A$639,$A44,$C$5:$C$639,$C44-1,$D$5:$D$639,$D44))-1)))</f>
        <v/>
      </c>
      <c r="R44" s="16">
        <f>IF(OR($A44="",J44="",$C44=""),"",IF(COUNTIFS($A$5:$A$639,$A44,$C$5:$C$639,$C44-1,$D$5:$D$639,$D44,J$5:J$639,"&lt;&gt;")=0,"",IF(OR(SUMIFS(J$5:J$639,$A$5:$A$639,$A44,$C$5:$C$639,$C44-1,$D$5:$D$639,$D44)=0,J44*SUMIFS(J$5:J$639,$A$5:$A$639,$A44,$C$5:$C$639,$C44-1,$D$5:$D$639,$D44)&lt;0),"n.s.",ABS(J44)/ABS(SUMIFS(J$5:J$639,$A$5:$A$639,$A44,$C$5:$C$639,$C44-1,$D$5:$D$639,$D44))-1)))</f>
        <v/>
      </c>
      <c r="S44" s="16">
        <f>IF(OR($A44="",K44="",$C44=""),"",IF(COUNTIFS($A$5:$A$639,$A44,$C$5:$C$639,$C44-1,$D$5:$D$639,$D44,K$5:K$639,"&lt;&gt;")=0,"",IF(OR(SUMIFS(K$5:K$639,$A$5:$A$639,$A44,$C$5:$C$639,$C44-1,$D$5:$D$639,$D44)=0,K44*SUMIFS(K$5:K$639,$A$5:$A$639,$A44,$C$5:$C$639,$C44-1,$D$5:$D$639,$D44)&lt;0),"n.s.",ABS(K44)/ABS(SUMIFS(K$5:K$639,$A$5:$A$639,$A44,$C$5:$C$639,$C44-1,$D$5:$D$639,$D44))-1)))</f>
        <v/>
      </c>
      <c r="T44" s="16">
        <f>IF(OR($A44="",L44="",$C44=""),"",IF(COUNTIFS($A$5:$A$639,$A44,$C$5:$C$639,$C44-1,$D$5:$D$639,$D44,L$5:L$639,"&lt;&gt;")=0,"",IF(OR(SUMIFS(L$5:L$639,$A$5:$A$639,$A44,$C$5:$C$639,$C44-1,$D$5:$D$639,$D44)=0,L44*SUMIFS(L$5:L$639,$A$5:$A$639,$A44,$C$5:$C$639,$C44-1,$D$5:$D$639,$D44)&lt;0),"n.s.",ABS(L44)/ABS(SUMIFS(L$5:L$639,$A$5:$A$639,$A44,$C$5:$C$639,$C44-1,$D$5:$D$639,$D44))-1)))</f>
        <v/>
      </c>
      <c r="U44" s="16">
        <f>IF(OR($A44="",M44="",$C44=""),"",IF(COUNTIFS($A$5:$A$639,$A44,$C$5:$C$639,$C44-1,$D$5:$D$639,$D44,M$5:M$639,"&lt;&gt;")=0,"",IF(OR(SUMIFS(M$5:M$639,$A$5:$A$639,$A44,$C$5:$C$639,$C44-1,$D$5:$D$639,$D44)=0,M44*SUMIFS(M$5:M$639,$A$5:$A$639,$A44,$C$5:$C$639,$C44-1,$D$5:$D$639,$D44)&lt;0),"n.s.",ABS(M44)/ABS(SUMIFS(M$5:M$639,$A$5:$A$639,$A44,$C$5:$C$639,$C44-1,$D$5:$D$639,$D44))-1)))</f>
        <v/>
      </c>
    </row>
    <row r="45">
      <c r="A45" s="9" t="inlineStr">
        <is>
          <t>SCRC</t>
        </is>
      </c>
      <c r="B45" s="10">
        <f>IF(A45="","",IFERROR(VLOOKUP(A45,Titres!$A$2:$B$400,2,FALSE),"Ticker inconnu"))</f>
        <v/>
      </c>
      <c r="C45" s="11" t="n">
        <v>2022</v>
      </c>
      <c r="D45" s="11" t="inlineStr">
        <is>
          <t>S1</t>
        </is>
      </c>
      <c r="E45" s="9" t="n"/>
      <c r="F45" s="12" t="n"/>
      <c r="G45" s="9" t="n"/>
      <c r="H45" s="13" t="n"/>
      <c r="I45" s="13" t="n"/>
      <c r="J45" s="13" t="n"/>
      <c r="K45" s="13" t="n"/>
      <c r="L45" s="13" t="n"/>
      <c r="M45" s="13" t="n"/>
      <c r="N45" s="14">
        <f>IF(A45="","",COUNT(H45:M45)/6)</f>
        <v/>
      </c>
      <c r="O45" s="15">
        <f>IF(COUNT(H45:M45)=0,"",IF(LEN(IF(COUNT(I45,J45)=2,IF(J45&gt;I45+1,"EBE &gt; VA ",""),"")&amp;IF(COUNT(H45,M45)=2,IF(ABS(M45)&gt;ABS(H45),"RN &gt; CA ",""),"")&amp;IF(COUNT(H45,K45)=2,IF(ABS(K45)&gt;ABS(H45),"RE &gt; CA ",""),""))=0,"OK",IF(COUNT(I45,J45)=2,IF(J45&gt;I45+1,"EBE &gt; VA ",""),"")&amp;IF(COUNT(H45,M45)=2,IF(ABS(M45)&gt;ABS(H45),"RN &gt; CA ",""),"")&amp;IF(COUNT(H45,K45)=2,IF(ABS(K45)&gt;ABS(H45),"RE &gt; CA ",""),"")))</f>
        <v/>
      </c>
      <c r="P45" s="16">
        <f>IF(OR($A45="",H45="",$C45=""),"",IF(COUNTIFS($A$5:$A$639,$A45,$C$5:$C$639,$C45-1,$D$5:$D$639,$D45,H$5:H$639,"&lt;&gt;")=0,"",IF(OR(SUMIFS(H$5:H$639,$A$5:$A$639,$A45,$C$5:$C$639,$C45-1,$D$5:$D$639,$D45)=0,H45*SUMIFS(H$5:H$639,$A$5:$A$639,$A45,$C$5:$C$639,$C45-1,$D$5:$D$639,$D45)&lt;0),"n.s.",ABS(H45)/ABS(SUMIFS(H$5:H$639,$A$5:$A$639,$A45,$C$5:$C$639,$C45-1,$D$5:$D$639,$D45))-1)))</f>
        <v/>
      </c>
      <c r="Q45" s="16">
        <f>IF(OR($A45="",I45="",$C45=""),"",IF(COUNTIFS($A$5:$A$639,$A45,$C$5:$C$639,$C45-1,$D$5:$D$639,$D45,I$5:I$639,"&lt;&gt;")=0,"",IF(OR(SUMIFS(I$5:I$639,$A$5:$A$639,$A45,$C$5:$C$639,$C45-1,$D$5:$D$639,$D45)=0,I45*SUMIFS(I$5:I$639,$A$5:$A$639,$A45,$C$5:$C$639,$C45-1,$D$5:$D$639,$D45)&lt;0),"n.s.",ABS(I45)/ABS(SUMIFS(I$5:I$639,$A$5:$A$639,$A45,$C$5:$C$639,$C45-1,$D$5:$D$639,$D45))-1)))</f>
        <v/>
      </c>
      <c r="R45" s="16">
        <f>IF(OR($A45="",J45="",$C45=""),"",IF(COUNTIFS($A$5:$A$639,$A45,$C$5:$C$639,$C45-1,$D$5:$D$639,$D45,J$5:J$639,"&lt;&gt;")=0,"",IF(OR(SUMIFS(J$5:J$639,$A$5:$A$639,$A45,$C$5:$C$639,$C45-1,$D$5:$D$639,$D45)=0,J45*SUMIFS(J$5:J$639,$A$5:$A$639,$A45,$C$5:$C$639,$C45-1,$D$5:$D$639,$D45)&lt;0),"n.s.",ABS(J45)/ABS(SUMIFS(J$5:J$639,$A$5:$A$639,$A45,$C$5:$C$639,$C45-1,$D$5:$D$639,$D45))-1)))</f>
        <v/>
      </c>
      <c r="S45" s="16">
        <f>IF(OR($A45="",K45="",$C45=""),"",IF(COUNTIFS($A$5:$A$639,$A45,$C$5:$C$639,$C45-1,$D$5:$D$639,$D45,K$5:K$639,"&lt;&gt;")=0,"",IF(OR(SUMIFS(K$5:K$639,$A$5:$A$639,$A45,$C$5:$C$639,$C45-1,$D$5:$D$639,$D45)=0,K45*SUMIFS(K$5:K$639,$A$5:$A$639,$A45,$C$5:$C$639,$C45-1,$D$5:$D$639,$D45)&lt;0),"n.s.",ABS(K45)/ABS(SUMIFS(K$5:K$639,$A$5:$A$639,$A45,$C$5:$C$639,$C45-1,$D$5:$D$639,$D45))-1)))</f>
        <v/>
      </c>
      <c r="T45" s="16">
        <f>IF(OR($A45="",L45="",$C45=""),"",IF(COUNTIFS($A$5:$A$639,$A45,$C$5:$C$639,$C45-1,$D$5:$D$639,$D45,L$5:L$639,"&lt;&gt;")=0,"",IF(OR(SUMIFS(L$5:L$639,$A$5:$A$639,$A45,$C$5:$C$639,$C45-1,$D$5:$D$639,$D45)=0,L45*SUMIFS(L$5:L$639,$A$5:$A$639,$A45,$C$5:$C$639,$C45-1,$D$5:$D$639,$D45)&lt;0),"n.s.",ABS(L45)/ABS(SUMIFS(L$5:L$639,$A$5:$A$639,$A45,$C$5:$C$639,$C45-1,$D$5:$D$639,$D45))-1)))</f>
        <v/>
      </c>
      <c r="U45" s="16">
        <f>IF(OR($A45="",M45="",$C45=""),"",IF(COUNTIFS($A$5:$A$639,$A45,$C$5:$C$639,$C45-1,$D$5:$D$639,$D45,M$5:M$639,"&lt;&gt;")=0,"",IF(OR(SUMIFS(M$5:M$639,$A$5:$A$639,$A45,$C$5:$C$639,$C45-1,$D$5:$D$639,$D45)=0,M45*SUMIFS(M$5:M$639,$A$5:$A$639,$A45,$C$5:$C$639,$C45-1,$D$5:$D$639,$D45)&lt;0),"n.s.",ABS(M45)/ABS(SUMIFS(M$5:M$639,$A$5:$A$639,$A45,$C$5:$C$639,$C45-1,$D$5:$D$639,$D45))-1)))</f>
        <v/>
      </c>
    </row>
    <row r="46">
      <c r="A46" s="9" t="inlineStr">
        <is>
          <t>SCRC</t>
        </is>
      </c>
      <c r="B46" s="10">
        <f>IF(A46="","",IFERROR(VLOOKUP(A46,Titres!$A$2:$B$400,2,FALSE),"Ticker inconnu"))</f>
        <v/>
      </c>
      <c r="C46" s="11" t="n">
        <v>2022</v>
      </c>
      <c r="D46" s="11" t="inlineStr">
        <is>
          <t>T3</t>
        </is>
      </c>
      <c r="E46" s="9" t="n"/>
      <c r="F46" s="12" t="n"/>
      <c r="G46" s="9" t="n"/>
      <c r="H46" s="13" t="n"/>
      <c r="I46" s="13" t="n"/>
      <c r="J46" s="13" t="n"/>
      <c r="K46" s="13" t="n"/>
      <c r="L46" s="13" t="n"/>
      <c r="M46" s="13" t="n"/>
      <c r="N46" s="14">
        <f>IF(A46="","",COUNT(H46:M46)/6)</f>
        <v/>
      </c>
      <c r="O46" s="15">
        <f>IF(COUNT(H46:M46)=0,"",IF(LEN(IF(COUNT(I46,J46)=2,IF(J46&gt;I46+1,"EBE &gt; VA ",""),"")&amp;IF(COUNT(H46,M46)=2,IF(ABS(M46)&gt;ABS(H46),"RN &gt; CA ",""),"")&amp;IF(COUNT(H46,K46)=2,IF(ABS(K46)&gt;ABS(H46),"RE &gt; CA ",""),""))=0,"OK",IF(COUNT(I46,J46)=2,IF(J46&gt;I46+1,"EBE &gt; VA ",""),"")&amp;IF(COUNT(H46,M46)=2,IF(ABS(M46)&gt;ABS(H46),"RN &gt; CA ",""),"")&amp;IF(COUNT(H46,K46)=2,IF(ABS(K46)&gt;ABS(H46),"RE &gt; CA ",""),"")))</f>
        <v/>
      </c>
      <c r="P46" s="16">
        <f>IF(OR($A46="",H46="",$C46=""),"",IF(COUNTIFS($A$5:$A$639,$A46,$C$5:$C$639,$C46-1,$D$5:$D$639,$D46,H$5:H$639,"&lt;&gt;")=0,"",IF(OR(SUMIFS(H$5:H$639,$A$5:$A$639,$A46,$C$5:$C$639,$C46-1,$D$5:$D$639,$D46)=0,H46*SUMIFS(H$5:H$639,$A$5:$A$639,$A46,$C$5:$C$639,$C46-1,$D$5:$D$639,$D46)&lt;0),"n.s.",ABS(H46)/ABS(SUMIFS(H$5:H$639,$A$5:$A$639,$A46,$C$5:$C$639,$C46-1,$D$5:$D$639,$D46))-1)))</f>
        <v/>
      </c>
      <c r="Q46" s="16">
        <f>IF(OR($A46="",I46="",$C46=""),"",IF(COUNTIFS($A$5:$A$639,$A46,$C$5:$C$639,$C46-1,$D$5:$D$639,$D46,I$5:I$639,"&lt;&gt;")=0,"",IF(OR(SUMIFS(I$5:I$639,$A$5:$A$639,$A46,$C$5:$C$639,$C46-1,$D$5:$D$639,$D46)=0,I46*SUMIFS(I$5:I$639,$A$5:$A$639,$A46,$C$5:$C$639,$C46-1,$D$5:$D$639,$D46)&lt;0),"n.s.",ABS(I46)/ABS(SUMIFS(I$5:I$639,$A$5:$A$639,$A46,$C$5:$C$639,$C46-1,$D$5:$D$639,$D46))-1)))</f>
        <v/>
      </c>
      <c r="R46" s="16">
        <f>IF(OR($A46="",J46="",$C46=""),"",IF(COUNTIFS($A$5:$A$639,$A46,$C$5:$C$639,$C46-1,$D$5:$D$639,$D46,J$5:J$639,"&lt;&gt;")=0,"",IF(OR(SUMIFS(J$5:J$639,$A$5:$A$639,$A46,$C$5:$C$639,$C46-1,$D$5:$D$639,$D46)=0,J46*SUMIFS(J$5:J$639,$A$5:$A$639,$A46,$C$5:$C$639,$C46-1,$D$5:$D$639,$D46)&lt;0),"n.s.",ABS(J46)/ABS(SUMIFS(J$5:J$639,$A$5:$A$639,$A46,$C$5:$C$639,$C46-1,$D$5:$D$639,$D46))-1)))</f>
        <v/>
      </c>
      <c r="S46" s="16">
        <f>IF(OR($A46="",K46="",$C46=""),"",IF(COUNTIFS($A$5:$A$639,$A46,$C$5:$C$639,$C46-1,$D$5:$D$639,$D46,K$5:K$639,"&lt;&gt;")=0,"",IF(OR(SUMIFS(K$5:K$639,$A$5:$A$639,$A46,$C$5:$C$639,$C46-1,$D$5:$D$639,$D46)=0,K46*SUMIFS(K$5:K$639,$A$5:$A$639,$A46,$C$5:$C$639,$C46-1,$D$5:$D$639,$D46)&lt;0),"n.s.",ABS(K46)/ABS(SUMIFS(K$5:K$639,$A$5:$A$639,$A46,$C$5:$C$639,$C46-1,$D$5:$D$639,$D46))-1)))</f>
        <v/>
      </c>
      <c r="T46" s="16">
        <f>IF(OR($A46="",L46="",$C46=""),"",IF(COUNTIFS($A$5:$A$639,$A46,$C$5:$C$639,$C46-1,$D$5:$D$639,$D46,L$5:L$639,"&lt;&gt;")=0,"",IF(OR(SUMIFS(L$5:L$639,$A$5:$A$639,$A46,$C$5:$C$639,$C46-1,$D$5:$D$639,$D46)=0,L46*SUMIFS(L$5:L$639,$A$5:$A$639,$A46,$C$5:$C$639,$C46-1,$D$5:$D$639,$D46)&lt;0),"n.s.",ABS(L46)/ABS(SUMIFS(L$5:L$639,$A$5:$A$639,$A46,$C$5:$C$639,$C46-1,$D$5:$D$639,$D46))-1)))</f>
        <v/>
      </c>
      <c r="U46" s="16">
        <f>IF(OR($A46="",M46="",$C46=""),"",IF(COUNTIFS($A$5:$A$639,$A46,$C$5:$C$639,$C46-1,$D$5:$D$639,$D46,M$5:M$639,"&lt;&gt;")=0,"",IF(OR(SUMIFS(M$5:M$639,$A$5:$A$639,$A46,$C$5:$C$639,$C46-1,$D$5:$D$639,$D46)=0,M46*SUMIFS(M$5:M$639,$A$5:$A$639,$A46,$C$5:$C$639,$C46-1,$D$5:$D$639,$D46)&lt;0),"n.s.",ABS(M46)/ABS(SUMIFS(M$5:M$639,$A$5:$A$639,$A46,$C$5:$C$639,$C46-1,$D$5:$D$639,$D46))-1)))</f>
        <v/>
      </c>
    </row>
    <row r="47">
      <c r="A47" s="9" t="inlineStr">
        <is>
          <t>SCRC</t>
        </is>
      </c>
      <c r="B47" s="10">
        <f>IF(A47="","",IFERROR(VLOOKUP(A47,Titres!$A$2:$B$400,2,FALSE),"Ticker inconnu"))</f>
        <v/>
      </c>
      <c r="C47" s="11" t="n">
        <v>2023</v>
      </c>
      <c r="D47" s="11" t="inlineStr">
        <is>
          <t>T1</t>
        </is>
      </c>
      <c r="E47" s="9" t="n"/>
      <c r="F47" s="12" t="n"/>
      <c r="G47" s="9" t="n"/>
      <c r="H47" s="13" t="n"/>
      <c r="I47" s="13" t="n"/>
      <c r="J47" s="13" t="n"/>
      <c r="K47" s="13" t="n"/>
      <c r="L47" s="13" t="n"/>
      <c r="M47" s="13" t="n"/>
      <c r="N47" s="14">
        <f>IF(A47="","",COUNT(H47:M47)/6)</f>
        <v/>
      </c>
      <c r="O47" s="15">
        <f>IF(COUNT(H47:M47)=0,"",IF(LEN(IF(COUNT(I47,J47)=2,IF(J47&gt;I47+1,"EBE &gt; VA ",""),"")&amp;IF(COUNT(H47,M47)=2,IF(ABS(M47)&gt;ABS(H47),"RN &gt; CA ",""),"")&amp;IF(COUNT(H47,K47)=2,IF(ABS(K47)&gt;ABS(H47),"RE &gt; CA ",""),""))=0,"OK",IF(COUNT(I47,J47)=2,IF(J47&gt;I47+1,"EBE &gt; VA ",""),"")&amp;IF(COUNT(H47,M47)=2,IF(ABS(M47)&gt;ABS(H47),"RN &gt; CA ",""),"")&amp;IF(COUNT(H47,K47)=2,IF(ABS(K47)&gt;ABS(H47),"RE &gt; CA ",""),"")))</f>
        <v/>
      </c>
      <c r="P47" s="16">
        <f>IF(OR($A47="",H47="",$C47=""),"",IF(COUNTIFS($A$5:$A$639,$A47,$C$5:$C$639,$C47-1,$D$5:$D$639,$D47,H$5:H$639,"&lt;&gt;")=0,"",IF(OR(SUMIFS(H$5:H$639,$A$5:$A$639,$A47,$C$5:$C$639,$C47-1,$D$5:$D$639,$D47)=0,H47*SUMIFS(H$5:H$639,$A$5:$A$639,$A47,$C$5:$C$639,$C47-1,$D$5:$D$639,$D47)&lt;0),"n.s.",ABS(H47)/ABS(SUMIFS(H$5:H$639,$A$5:$A$639,$A47,$C$5:$C$639,$C47-1,$D$5:$D$639,$D47))-1)))</f>
        <v/>
      </c>
      <c r="Q47" s="16">
        <f>IF(OR($A47="",I47="",$C47=""),"",IF(COUNTIFS($A$5:$A$639,$A47,$C$5:$C$639,$C47-1,$D$5:$D$639,$D47,I$5:I$639,"&lt;&gt;")=0,"",IF(OR(SUMIFS(I$5:I$639,$A$5:$A$639,$A47,$C$5:$C$639,$C47-1,$D$5:$D$639,$D47)=0,I47*SUMIFS(I$5:I$639,$A$5:$A$639,$A47,$C$5:$C$639,$C47-1,$D$5:$D$639,$D47)&lt;0),"n.s.",ABS(I47)/ABS(SUMIFS(I$5:I$639,$A$5:$A$639,$A47,$C$5:$C$639,$C47-1,$D$5:$D$639,$D47))-1)))</f>
        <v/>
      </c>
      <c r="R47" s="16">
        <f>IF(OR($A47="",J47="",$C47=""),"",IF(COUNTIFS($A$5:$A$639,$A47,$C$5:$C$639,$C47-1,$D$5:$D$639,$D47,J$5:J$639,"&lt;&gt;")=0,"",IF(OR(SUMIFS(J$5:J$639,$A$5:$A$639,$A47,$C$5:$C$639,$C47-1,$D$5:$D$639,$D47)=0,J47*SUMIFS(J$5:J$639,$A$5:$A$639,$A47,$C$5:$C$639,$C47-1,$D$5:$D$639,$D47)&lt;0),"n.s.",ABS(J47)/ABS(SUMIFS(J$5:J$639,$A$5:$A$639,$A47,$C$5:$C$639,$C47-1,$D$5:$D$639,$D47))-1)))</f>
        <v/>
      </c>
      <c r="S47" s="16">
        <f>IF(OR($A47="",K47="",$C47=""),"",IF(COUNTIFS($A$5:$A$639,$A47,$C$5:$C$639,$C47-1,$D$5:$D$639,$D47,K$5:K$639,"&lt;&gt;")=0,"",IF(OR(SUMIFS(K$5:K$639,$A$5:$A$639,$A47,$C$5:$C$639,$C47-1,$D$5:$D$639,$D47)=0,K47*SUMIFS(K$5:K$639,$A$5:$A$639,$A47,$C$5:$C$639,$C47-1,$D$5:$D$639,$D47)&lt;0),"n.s.",ABS(K47)/ABS(SUMIFS(K$5:K$639,$A$5:$A$639,$A47,$C$5:$C$639,$C47-1,$D$5:$D$639,$D47))-1)))</f>
        <v/>
      </c>
      <c r="T47" s="16">
        <f>IF(OR($A47="",L47="",$C47=""),"",IF(COUNTIFS($A$5:$A$639,$A47,$C$5:$C$639,$C47-1,$D$5:$D$639,$D47,L$5:L$639,"&lt;&gt;")=0,"",IF(OR(SUMIFS(L$5:L$639,$A$5:$A$639,$A47,$C$5:$C$639,$C47-1,$D$5:$D$639,$D47)=0,L47*SUMIFS(L$5:L$639,$A$5:$A$639,$A47,$C$5:$C$639,$C47-1,$D$5:$D$639,$D47)&lt;0),"n.s.",ABS(L47)/ABS(SUMIFS(L$5:L$639,$A$5:$A$639,$A47,$C$5:$C$639,$C47-1,$D$5:$D$639,$D47))-1)))</f>
        <v/>
      </c>
      <c r="U47" s="16">
        <f>IF(OR($A47="",M47="",$C47=""),"",IF(COUNTIFS($A$5:$A$639,$A47,$C$5:$C$639,$C47-1,$D$5:$D$639,$D47,M$5:M$639,"&lt;&gt;")=0,"",IF(OR(SUMIFS(M$5:M$639,$A$5:$A$639,$A47,$C$5:$C$639,$C47-1,$D$5:$D$639,$D47)=0,M47*SUMIFS(M$5:M$639,$A$5:$A$639,$A47,$C$5:$C$639,$C47-1,$D$5:$D$639,$D47)&lt;0),"n.s.",ABS(M47)/ABS(SUMIFS(M$5:M$639,$A$5:$A$639,$A47,$C$5:$C$639,$C47-1,$D$5:$D$639,$D47))-1)))</f>
        <v/>
      </c>
    </row>
    <row r="48">
      <c r="A48" s="9" t="inlineStr">
        <is>
          <t>SCRC</t>
        </is>
      </c>
      <c r="B48" s="10">
        <f>IF(A48="","",IFERROR(VLOOKUP(A48,Titres!$A$2:$B$400,2,FALSE),"Ticker inconnu"))</f>
        <v/>
      </c>
      <c r="C48" s="11" t="n">
        <v>2023</v>
      </c>
      <c r="D48" s="11" t="inlineStr">
        <is>
          <t>S1</t>
        </is>
      </c>
      <c r="E48" s="9" t="n"/>
      <c r="F48" s="12" t="n"/>
      <c r="G48" s="9" t="n"/>
      <c r="H48" s="13" t="n"/>
      <c r="I48" s="13" t="n"/>
      <c r="J48" s="13" t="n"/>
      <c r="K48" s="13" t="n"/>
      <c r="L48" s="13" t="n"/>
      <c r="M48" s="13" t="n"/>
      <c r="N48" s="14">
        <f>IF(A48="","",COUNT(H48:M48)/6)</f>
        <v/>
      </c>
      <c r="O48" s="15">
        <f>IF(COUNT(H48:M48)=0,"",IF(LEN(IF(COUNT(I48,J48)=2,IF(J48&gt;I48+1,"EBE &gt; VA ",""),"")&amp;IF(COUNT(H48,M48)=2,IF(ABS(M48)&gt;ABS(H48),"RN &gt; CA ",""),"")&amp;IF(COUNT(H48,K48)=2,IF(ABS(K48)&gt;ABS(H48),"RE &gt; CA ",""),""))=0,"OK",IF(COUNT(I48,J48)=2,IF(J48&gt;I48+1,"EBE &gt; VA ",""),"")&amp;IF(COUNT(H48,M48)=2,IF(ABS(M48)&gt;ABS(H48),"RN &gt; CA ",""),"")&amp;IF(COUNT(H48,K48)=2,IF(ABS(K48)&gt;ABS(H48),"RE &gt; CA ",""),"")))</f>
        <v/>
      </c>
      <c r="P48" s="16">
        <f>IF(OR($A48="",H48="",$C48=""),"",IF(COUNTIFS($A$5:$A$639,$A48,$C$5:$C$639,$C48-1,$D$5:$D$639,$D48,H$5:H$639,"&lt;&gt;")=0,"",IF(OR(SUMIFS(H$5:H$639,$A$5:$A$639,$A48,$C$5:$C$639,$C48-1,$D$5:$D$639,$D48)=0,H48*SUMIFS(H$5:H$639,$A$5:$A$639,$A48,$C$5:$C$639,$C48-1,$D$5:$D$639,$D48)&lt;0),"n.s.",ABS(H48)/ABS(SUMIFS(H$5:H$639,$A$5:$A$639,$A48,$C$5:$C$639,$C48-1,$D$5:$D$639,$D48))-1)))</f>
        <v/>
      </c>
      <c r="Q48" s="16">
        <f>IF(OR($A48="",I48="",$C48=""),"",IF(COUNTIFS($A$5:$A$639,$A48,$C$5:$C$639,$C48-1,$D$5:$D$639,$D48,I$5:I$639,"&lt;&gt;")=0,"",IF(OR(SUMIFS(I$5:I$639,$A$5:$A$639,$A48,$C$5:$C$639,$C48-1,$D$5:$D$639,$D48)=0,I48*SUMIFS(I$5:I$639,$A$5:$A$639,$A48,$C$5:$C$639,$C48-1,$D$5:$D$639,$D48)&lt;0),"n.s.",ABS(I48)/ABS(SUMIFS(I$5:I$639,$A$5:$A$639,$A48,$C$5:$C$639,$C48-1,$D$5:$D$639,$D48))-1)))</f>
        <v/>
      </c>
      <c r="R48" s="16">
        <f>IF(OR($A48="",J48="",$C48=""),"",IF(COUNTIFS($A$5:$A$639,$A48,$C$5:$C$639,$C48-1,$D$5:$D$639,$D48,J$5:J$639,"&lt;&gt;")=0,"",IF(OR(SUMIFS(J$5:J$639,$A$5:$A$639,$A48,$C$5:$C$639,$C48-1,$D$5:$D$639,$D48)=0,J48*SUMIFS(J$5:J$639,$A$5:$A$639,$A48,$C$5:$C$639,$C48-1,$D$5:$D$639,$D48)&lt;0),"n.s.",ABS(J48)/ABS(SUMIFS(J$5:J$639,$A$5:$A$639,$A48,$C$5:$C$639,$C48-1,$D$5:$D$639,$D48))-1)))</f>
        <v/>
      </c>
      <c r="S48" s="16">
        <f>IF(OR($A48="",K48="",$C48=""),"",IF(COUNTIFS($A$5:$A$639,$A48,$C$5:$C$639,$C48-1,$D$5:$D$639,$D48,K$5:K$639,"&lt;&gt;")=0,"",IF(OR(SUMIFS(K$5:K$639,$A$5:$A$639,$A48,$C$5:$C$639,$C48-1,$D$5:$D$639,$D48)=0,K48*SUMIFS(K$5:K$639,$A$5:$A$639,$A48,$C$5:$C$639,$C48-1,$D$5:$D$639,$D48)&lt;0),"n.s.",ABS(K48)/ABS(SUMIFS(K$5:K$639,$A$5:$A$639,$A48,$C$5:$C$639,$C48-1,$D$5:$D$639,$D48))-1)))</f>
        <v/>
      </c>
      <c r="T48" s="16">
        <f>IF(OR($A48="",L48="",$C48=""),"",IF(COUNTIFS($A$5:$A$639,$A48,$C$5:$C$639,$C48-1,$D$5:$D$639,$D48,L$5:L$639,"&lt;&gt;")=0,"",IF(OR(SUMIFS(L$5:L$639,$A$5:$A$639,$A48,$C$5:$C$639,$C48-1,$D$5:$D$639,$D48)=0,L48*SUMIFS(L$5:L$639,$A$5:$A$639,$A48,$C$5:$C$639,$C48-1,$D$5:$D$639,$D48)&lt;0),"n.s.",ABS(L48)/ABS(SUMIFS(L$5:L$639,$A$5:$A$639,$A48,$C$5:$C$639,$C48-1,$D$5:$D$639,$D48))-1)))</f>
        <v/>
      </c>
      <c r="U48" s="16">
        <f>IF(OR($A48="",M48="",$C48=""),"",IF(COUNTIFS($A$5:$A$639,$A48,$C$5:$C$639,$C48-1,$D$5:$D$639,$D48,M$5:M$639,"&lt;&gt;")=0,"",IF(OR(SUMIFS(M$5:M$639,$A$5:$A$639,$A48,$C$5:$C$639,$C48-1,$D$5:$D$639,$D48)=0,M48*SUMIFS(M$5:M$639,$A$5:$A$639,$A48,$C$5:$C$639,$C48-1,$D$5:$D$639,$D48)&lt;0),"n.s.",ABS(M48)/ABS(SUMIFS(M$5:M$639,$A$5:$A$639,$A48,$C$5:$C$639,$C48-1,$D$5:$D$639,$D48))-1)))</f>
        <v/>
      </c>
    </row>
    <row r="49">
      <c r="A49" s="9" t="inlineStr">
        <is>
          <t>SCRC</t>
        </is>
      </c>
      <c r="B49" s="10">
        <f>IF(A49="","",IFERROR(VLOOKUP(A49,Titres!$A$2:$B$400,2,FALSE),"Ticker inconnu"))</f>
        <v/>
      </c>
      <c r="C49" s="11" t="n">
        <v>2023</v>
      </c>
      <c r="D49" s="11" t="inlineStr">
        <is>
          <t>T3</t>
        </is>
      </c>
      <c r="E49" s="9" t="n"/>
      <c r="F49" s="12" t="n"/>
      <c r="G49" s="9" t="n"/>
      <c r="H49" s="13" t="n"/>
      <c r="I49" s="13" t="n"/>
      <c r="J49" s="13" t="n"/>
      <c r="K49" s="13" t="n"/>
      <c r="L49" s="13" t="n"/>
      <c r="M49" s="13" t="n"/>
      <c r="N49" s="14">
        <f>IF(A49="","",COUNT(H49:M49)/6)</f>
        <v/>
      </c>
      <c r="O49" s="15">
        <f>IF(COUNT(H49:M49)=0,"",IF(LEN(IF(COUNT(I49,J49)=2,IF(J49&gt;I49+1,"EBE &gt; VA ",""),"")&amp;IF(COUNT(H49,M49)=2,IF(ABS(M49)&gt;ABS(H49),"RN &gt; CA ",""),"")&amp;IF(COUNT(H49,K49)=2,IF(ABS(K49)&gt;ABS(H49),"RE &gt; CA ",""),""))=0,"OK",IF(COUNT(I49,J49)=2,IF(J49&gt;I49+1,"EBE &gt; VA ",""),"")&amp;IF(COUNT(H49,M49)=2,IF(ABS(M49)&gt;ABS(H49),"RN &gt; CA ",""),"")&amp;IF(COUNT(H49,K49)=2,IF(ABS(K49)&gt;ABS(H49),"RE &gt; CA ",""),"")))</f>
        <v/>
      </c>
      <c r="P49" s="16">
        <f>IF(OR($A49="",H49="",$C49=""),"",IF(COUNTIFS($A$5:$A$639,$A49,$C$5:$C$639,$C49-1,$D$5:$D$639,$D49,H$5:H$639,"&lt;&gt;")=0,"",IF(OR(SUMIFS(H$5:H$639,$A$5:$A$639,$A49,$C$5:$C$639,$C49-1,$D$5:$D$639,$D49)=0,H49*SUMIFS(H$5:H$639,$A$5:$A$639,$A49,$C$5:$C$639,$C49-1,$D$5:$D$639,$D49)&lt;0),"n.s.",ABS(H49)/ABS(SUMIFS(H$5:H$639,$A$5:$A$639,$A49,$C$5:$C$639,$C49-1,$D$5:$D$639,$D49))-1)))</f>
        <v/>
      </c>
      <c r="Q49" s="16">
        <f>IF(OR($A49="",I49="",$C49=""),"",IF(COUNTIFS($A$5:$A$639,$A49,$C$5:$C$639,$C49-1,$D$5:$D$639,$D49,I$5:I$639,"&lt;&gt;")=0,"",IF(OR(SUMIFS(I$5:I$639,$A$5:$A$639,$A49,$C$5:$C$639,$C49-1,$D$5:$D$639,$D49)=0,I49*SUMIFS(I$5:I$639,$A$5:$A$639,$A49,$C$5:$C$639,$C49-1,$D$5:$D$639,$D49)&lt;0),"n.s.",ABS(I49)/ABS(SUMIFS(I$5:I$639,$A$5:$A$639,$A49,$C$5:$C$639,$C49-1,$D$5:$D$639,$D49))-1)))</f>
        <v/>
      </c>
      <c r="R49" s="16">
        <f>IF(OR($A49="",J49="",$C49=""),"",IF(COUNTIFS($A$5:$A$639,$A49,$C$5:$C$639,$C49-1,$D$5:$D$639,$D49,J$5:J$639,"&lt;&gt;")=0,"",IF(OR(SUMIFS(J$5:J$639,$A$5:$A$639,$A49,$C$5:$C$639,$C49-1,$D$5:$D$639,$D49)=0,J49*SUMIFS(J$5:J$639,$A$5:$A$639,$A49,$C$5:$C$639,$C49-1,$D$5:$D$639,$D49)&lt;0),"n.s.",ABS(J49)/ABS(SUMIFS(J$5:J$639,$A$5:$A$639,$A49,$C$5:$C$639,$C49-1,$D$5:$D$639,$D49))-1)))</f>
        <v/>
      </c>
      <c r="S49" s="16">
        <f>IF(OR($A49="",K49="",$C49=""),"",IF(COUNTIFS($A$5:$A$639,$A49,$C$5:$C$639,$C49-1,$D$5:$D$639,$D49,K$5:K$639,"&lt;&gt;")=0,"",IF(OR(SUMIFS(K$5:K$639,$A$5:$A$639,$A49,$C$5:$C$639,$C49-1,$D$5:$D$639,$D49)=0,K49*SUMIFS(K$5:K$639,$A$5:$A$639,$A49,$C$5:$C$639,$C49-1,$D$5:$D$639,$D49)&lt;0),"n.s.",ABS(K49)/ABS(SUMIFS(K$5:K$639,$A$5:$A$639,$A49,$C$5:$C$639,$C49-1,$D$5:$D$639,$D49))-1)))</f>
        <v/>
      </c>
      <c r="T49" s="16">
        <f>IF(OR($A49="",L49="",$C49=""),"",IF(COUNTIFS($A$5:$A$639,$A49,$C$5:$C$639,$C49-1,$D$5:$D$639,$D49,L$5:L$639,"&lt;&gt;")=0,"",IF(OR(SUMIFS(L$5:L$639,$A$5:$A$639,$A49,$C$5:$C$639,$C49-1,$D$5:$D$639,$D49)=0,L49*SUMIFS(L$5:L$639,$A$5:$A$639,$A49,$C$5:$C$639,$C49-1,$D$5:$D$639,$D49)&lt;0),"n.s.",ABS(L49)/ABS(SUMIFS(L$5:L$639,$A$5:$A$639,$A49,$C$5:$C$639,$C49-1,$D$5:$D$639,$D49))-1)))</f>
        <v/>
      </c>
      <c r="U49" s="16">
        <f>IF(OR($A49="",M49="",$C49=""),"",IF(COUNTIFS($A$5:$A$639,$A49,$C$5:$C$639,$C49-1,$D$5:$D$639,$D49,M$5:M$639,"&lt;&gt;")=0,"",IF(OR(SUMIFS(M$5:M$639,$A$5:$A$639,$A49,$C$5:$C$639,$C49-1,$D$5:$D$639,$D49)=0,M49*SUMIFS(M$5:M$639,$A$5:$A$639,$A49,$C$5:$C$639,$C49-1,$D$5:$D$639,$D49)&lt;0),"n.s.",ABS(M49)/ABS(SUMIFS(M$5:M$639,$A$5:$A$639,$A49,$C$5:$C$639,$C49-1,$D$5:$D$639,$D49))-1)))</f>
        <v/>
      </c>
    </row>
    <row r="50">
      <c r="A50" s="9" t="inlineStr">
        <is>
          <t>SCRC</t>
        </is>
      </c>
      <c r="B50" s="10">
        <f>IF(A50="","",IFERROR(VLOOKUP(A50,Titres!$A$2:$B$400,2,FALSE),"Ticker inconnu"))</f>
        <v/>
      </c>
      <c r="C50" s="11" t="n">
        <v>2024</v>
      </c>
      <c r="D50" s="11" t="inlineStr">
        <is>
          <t>T1</t>
        </is>
      </c>
      <c r="E50" s="9" t="n"/>
      <c r="F50" s="12" t="n"/>
      <c r="G50" s="9" t="n"/>
      <c r="H50" s="13" t="n"/>
      <c r="I50" s="13" t="n"/>
      <c r="J50" s="13" t="n"/>
      <c r="K50" s="13" t="n"/>
      <c r="L50" s="13" t="n"/>
      <c r="M50" s="13" t="n"/>
      <c r="N50" s="14">
        <f>IF(A50="","",COUNT(H50:M50)/6)</f>
        <v/>
      </c>
      <c r="O50" s="15">
        <f>IF(COUNT(H50:M50)=0,"",IF(LEN(IF(COUNT(I50,J50)=2,IF(J50&gt;I50+1,"EBE &gt; VA ",""),"")&amp;IF(COUNT(H50,M50)=2,IF(ABS(M50)&gt;ABS(H50),"RN &gt; CA ",""),"")&amp;IF(COUNT(H50,K50)=2,IF(ABS(K50)&gt;ABS(H50),"RE &gt; CA ",""),""))=0,"OK",IF(COUNT(I50,J50)=2,IF(J50&gt;I50+1,"EBE &gt; VA ",""),"")&amp;IF(COUNT(H50,M50)=2,IF(ABS(M50)&gt;ABS(H50),"RN &gt; CA ",""),"")&amp;IF(COUNT(H50,K50)=2,IF(ABS(K50)&gt;ABS(H50),"RE &gt; CA ",""),"")))</f>
        <v/>
      </c>
      <c r="P50" s="16">
        <f>IF(OR($A50="",H50="",$C50=""),"",IF(COUNTIFS($A$5:$A$639,$A50,$C$5:$C$639,$C50-1,$D$5:$D$639,$D50,H$5:H$639,"&lt;&gt;")=0,"",IF(OR(SUMIFS(H$5:H$639,$A$5:$A$639,$A50,$C$5:$C$639,$C50-1,$D$5:$D$639,$D50)=0,H50*SUMIFS(H$5:H$639,$A$5:$A$639,$A50,$C$5:$C$639,$C50-1,$D$5:$D$639,$D50)&lt;0),"n.s.",ABS(H50)/ABS(SUMIFS(H$5:H$639,$A$5:$A$639,$A50,$C$5:$C$639,$C50-1,$D$5:$D$639,$D50))-1)))</f>
        <v/>
      </c>
      <c r="Q50" s="16">
        <f>IF(OR($A50="",I50="",$C50=""),"",IF(COUNTIFS($A$5:$A$639,$A50,$C$5:$C$639,$C50-1,$D$5:$D$639,$D50,I$5:I$639,"&lt;&gt;")=0,"",IF(OR(SUMIFS(I$5:I$639,$A$5:$A$639,$A50,$C$5:$C$639,$C50-1,$D$5:$D$639,$D50)=0,I50*SUMIFS(I$5:I$639,$A$5:$A$639,$A50,$C$5:$C$639,$C50-1,$D$5:$D$639,$D50)&lt;0),"n.s.",ABS(I50)/ABS(SUMIFS(I$5:I$639,$A$5:$A$639,$A50,$C$5:$C$639,$C50-1,$D$5:$D$639,$D50))-1)))</f>
        <v/>
      </c>
      <c r="R50" s="16">
        <f>IF(OR($A50="",J50="",$C50=""),"",IF(COUNTIFS($A$5:$A$639,$A50,$C$5:$C$639,$C50-1,$D$5:$D$639,$D50,J$5:J$639,"&lt;&gt;")=0,"",IF(OR(SUMIFS(J$5:J$639,$A$5:$A$639,$A50,$C$5:$C$639,$C50-1,$D$5:$D$639,$D50)=0,J50*SUMIFS(J$5:J$639,$A$5:$A$639,$A50,$C$5:$C$639,$C50-1,$D$5:$D$639,$D50)&lt;0),"n.s.",ABS(J50)/ABS(SUMIFS(J$5:J$639,$A$5:$A$639,$A50,$C$5:$C$639,$C50-1,$D$5:$D$639,$D50))-1)))</f>
        <v/>
      </c>
      <c r="S50" s="16">
        <f>IF(OR($A50="",K50="",$C50=""),"",IF(COUNTIFS($A$5:$A$639,$A50,$C$5:$C$639,$C50-1,$D$5:$D$639,$D50,K$5:K$639,"&lt;&gt;")=0,"",IF(OR(SUMIFS(K$5:K$639,$A$5:$A$639,$A50,$C$5:$C$639,$C50-1,$D$5:$D$639,$D50)=0,K50*SUMIFS(K$5:K$639,$A$5:$A$639,$A50,$C$5:$C$639,$C50-1,$D$5:$D$639,$D50)&lt;0),"n.s.",ABS(K50)/ABS(SUMIFS(K$5:K$639,$A$5:$A$639,$A50,$C$5:$C$639,$C50-1,$D$5:$D$639,$D50))-1)))</f>
        <v/>
      </c>
      <c r="T50" s="16">
        <f>IF(OR($A50="",L50="",$C50=""),"",IF(COUNTIFS($A$5:$A$639,$A50,$C$5:$C$639,$C50-1,$D$5:$D$639,$D50,L$5:L$639,"&lt;&gt;")=0,"",IF(OR(SUMIFS(L$5:L$639,$A$5:$A$639,$A50,$C$5:$C$639,$C50-1,$D$5:$D$639,$D50)=0,L50*SUMIFS(L$5:L$639,$A$5:$A$639,$A50,$C$5:$C$639,$C50-1,$D$5:$D$639,$D50)&lt;0),"n.s.",ABS(L50)/ABS(SUMIFS(L$5:L$639,$A$5:$A$639,$A50,$C$5:$C$639,$C50-1,$D$5:$D$639,$D50))-1)))</f>
        <v/>
      </c>
      <c r="U50" s="16">
        <f>IF(OR($A50="",M50="",$C50=""),"",IF(COUNTIFS($A$5:$A$639,$A50,$C$5:$C$639,$C50-1,$D$5:$D$639,$D50,M$5:M$639,"&lt;&gt;")=0,"",IF(OR(SUMIFS(M$5:M$639,$A$5:$A$639,$A50,$C$5:$C$639,$C50-1,$D$5:$D$639,$D50)=0,M50*SUMIFS(M$5:M$639,$A$5:$A$639,$A50,$C$5:$C$639,$C50-1,$D$5:$D$639,$D50)&lt;0),"n.s.",ABS(M50)/ABS(SUMIFS(M$5:M$639,$A$5:$A$639,$A50,$C$5:$C$639,$C50-1,$D$5:$D$639,$D50))-1)))</f>
        <v/>
      </c>
    </row>
    <row r="51">
      <c r="A51" s="9" t="inlineStr">
        <is>
          <t>SCRC</t>
        </is>
      </c>
      <c r="B51" s="10">
        <f>IF(A51="","",IFERROR(VLOOKUP(A51,Titres!$A$2:$B$400,2,FALSE),"Ticker inconnu"))</f>
        <v/>
      </c>
      <c r="C51" s="11" t="n">
        <v>2024</v>
      </c>
      <c r="D51" s="11" t="inlineStr">
        <is>
          <t>S1</t>
        </is>
      </c>
      <c r="E51" s="9" t="n"/>
      <c r="F51" s="12" t="n"/>
      <c r="G51" s="9" t="n"/>
      <c r="H51" s="13" t="n"/>
      <c r="I51" s="13" t="n"/>
      <c r="J51" s="13" t="n"/>
      <c r="K51" s="13" t="n"/>
      <c r="L51" s="13" t="n"/>
      <c r="M51" s="13" t="n"/>
      <c r="N51" s="14">
        <f>IF(A51="","",COUNT(H51:M51)/6)</f>
        <v/>
      </c>
      <c r="O51" s="15">
        <f>IF(COUNT(H51:M51)=0,"",IF(LEN(IF(COUNT(I51,J51)=2,IF(J51&gt;I51+1,"EBE &gt; VA ",""),"")&amp;IF(COUNT(H51,M51)=2,IF(ABS(M51)&gt;ABS(H51),"RN &gt; CA ",""),"")&amp;IF(COUNT(H51,K51)=2,IF(ABS(K51)&gt;ABS(H51),"RE &gt; CA ",""),""))=0,"OK",IF(COUNT(I51,J51)=2,IF(J51&gt;I51+1,"EBE &gt; VA ",""),"")&amp;IF(COUNT(H51,M51)=2,IF(ABS(M51)&gt;ABS(H51),"RN &gt; CA ",""),"")&amp;IF(COUNT(H51,K51)=2,IF(ABS(K51)&gt;ABS(H51),"RE &gt; CA ",""),"")))</f>
        <v/>
      </c>
      <c r="P51" s="16">
        <f>IF(OR($A51="",H51="",$C51=""),"",IF(COUNTIFS($A$5:$A$639,$A51,$C$5:$C$639,$C51-1,$D$5:$D$639,$D51,H$5:H$639,"&lt;&gt;")=0,"",IF(OR(SUMIFS(H$5:H$639,$A$5:$A$639,$A51,$C$5:$C$639,$C51-1,$D$5:$D$639,$D51)=0,H51*SUMIFS(H$5:H$639,$A$5:$A$639,$A51,$C$5:$C$639,$C51-1,$D$5:$D$639,$D51)&lt;0),"n.s.",ABS(H51)/ABS(SUMIFS(H$5:H$639,$A$5:$A$639,$A51,$C$5:$C$639,$C51-1,$D$5:$D$639,$D51))-1)))</f>
        <v/>
      </c>
      <c r="Q51" s="16">
        <f>IF(OR($A51="",I51="",$C51=""),"",IF(COUNTIFS($A$5:$A$639,$A51,$C$5:$C$639,$C51-1,$D$5:$D$639,$D51,I$5:I$639,"&lt;&gt;")=0,"",IF(OR(SUMIFS(I$5:I$639,$A$5:$A$639,$A51,$C$5:$C$639,$C51-1,$D$5:$D$639,$D51)=0,I51*SUMIFS(I$5:I$639,$A$5:$A$639,$A51,$C$5:$C$639,$C51-1,$D$5:$D$639,$D51)&lt;0),"n.s.",ABS(I51)/ABS(SUMIFS(I$5:I$639,$A$5:$A$639,$A51,$C$5:$C$639,$C51-1,$D$5:$D$639,$D51))-1)))</f>
        <v/>
      </c>
      <c r="R51" s="16">
        <f>IF(OR($A51="",J51="",$C51=""),"",IF(COUNTIFS($A$5:$A$639,$A51,$C$5:$C$639,$C51-1,$D$5:$D$639,$D51,J$5:J$639,"&lt;&gt;")=0,"",IF(OR(SUMIFS(J$5:J$639,$A$5:$A$639,$A51,$C$5:$C$639,$C51-1,$D$5:$D$639,$D51)=0,J51*SUMIFS(J$5:J$639,$A$5:$A$639,$A51,$C$5:$C$639,$C51-1,$D$5:$D$639,$D51)&lt;0),"n.s.",ABS(J51)/ABS(SUMIFS(J$5:J$639,$A$5:$A$639,$A51,$C$5:$C$639,$C51-1,$D$5:$D$639,$D51))-1)))</f>
        <v/>
      </c>
      <c r="S51" s="16">
        <f>IF(OR($A51="",K51="",$C51=""),"",IF(COUNTIFS($A$5:$A$639,$A51,$C$5:$C$639,$C51-1,$D$5:$D$639,$D51,K$5:K$639,"&lt;&gt;")=0,"",IF(OR(SUMIFS(K$5:K$639,$A$5:$A$639,$A51,$C$5:$C$639,$C51-1,$D$5:$D$639,$D51)=0,K51*SUMIFS(K$5:K$639,$A$5:$A$639,$A51,$C$5:$C$639,$C51-1,$D$5:$D$639,$D51)&lt;0),"n.s.",ABS(K51)/ABS(SUMIFS(K$5:K$639,$A$5:$A$639,$A51,$C$5:$C$639,$C51-1,$D$5:$D$639,$D51))-1)))</f>
        <v/>
      </c>
      <c r="T51" s="16">
        <f>IF(OR($A51="",L51="",$C51=""),"",IF(COUNTIFS($A$5:$A$639,$A51,$C$5:$C$639,$C51-1,$D$5:$D$639,$D51,L$5:L$639,"&lt;&gt;")=0,"",IF(OR(SUMIFS(L$5:L$639,$A$5:$A$639,$A51,$C$5:$C$639,$C51-1,$D$5:$D$639,$D51)=0,L51*SUMIFS(L$5:L$639,$A$5:$A$639,$A51,$C$5:$C$639,$C51-1,$D$5:$D$639,$D51)&lt;0),"n.s.",ABS(L51)/ABS(SUMIFS(L$5:L$639,$A$5:$A$639,$A51,$C$5:$C$639,$C51-1,$D$5:$D$639,$D51))-1)))</f>
        <v/>
      </c>
      <c r="U51" s="16">
        <f>IF(OR($A51="",M51="",$C51=""),"",IF(COUNTIFS($A$5:$A$639,$A51,$C$5:$C$639,$C51-1,$D$5:$D$639,$D51,M$5:M$639,"&lt;&gt;")=0,"",IF(OR(SUMIFS(M$5:M$639,$A$5:$A$639,$A51,$C$5:$C$639,$C51-1,$D$5:$D$639,$D51)=0,M51*SUMIFS(M$5:M$639,$A$5:$A$639,$A51,$C$5:$C$639,$C51-1,$D$5:$D$639,$D51)&lt;0),"n.s.",ABS(M51)/ABS(SUMIFS(M$5:M$639,$A$5:$A$639,$A51,$C$5:$C$639,$C51-1,$D$5:$D$639,$D51))-1)))</f>
        <v/>
      </c>
    </row>
    <row r="52">
      <c r="A52" s="9" t="inlineStr">
        <is>
          <t>SCRC</t>
        </is>
      </c>
      <c r="B52" s="10">
        <f>IF(A52="","",IFERROR(VLOOKUP(A52,Titres!$A$2:$B$400,2,FALSE),"Ticker inconnu"))</f>
        <v/>
      </c>
      <c r="C52" s="11" t="n">
        <v>2024</v>
      </c>
      <c r="D52" s="11" t="inlineStr">
        <is>
          <t>T3</t>
        </is>
      </c>
      <c r="E52" s="9" t="n"/>
      <c r="F52" s="12" t="n"/>
      <c r="G52" s="9" t="n"/>
      <c r="H52" s="13" t="n"/>
      <c r="I52" s="13" t="n"/>
      <c r="J52" s="13" t="n"/>
      <c r="K52" s="13" t="n"/>
      <c r="L52" s="13" t="n"/>
      <c r="M52" s="13" t="n"/>
      <c r="N52" s="14">
        <f>IF(A52="","",COUNT(H52:M52)/6)</f>
        <v/>
      </c>
      <c r="O52" s="15">
        <f>IF(COUNT(H52:M52)=0,"",IF(LEN(IF(COUNT(I52,J52)=2,IF(J52&gt;I52+1,"EBE &gt; VA ",""),"")&amp;IF(COUNT(H52,M52)=2,IF(ABS(M52)&gt;ABS(H52),"RN &gt; CA ",""),"")&amp;IF(COUNT(H52,K52)=2,IF(ABS(K52)&gt;ABS(H52),"RE &gt; CA ",""),""))=0,"OK",IF(COUNT(I52,J52)=2,IF(J52&gt;I52+1,"EBE &gt; VA ",""),"")&amp;IF(COUNT(H52,M52)=2,IF(ABS(M52)&gt;ABS(H52),"RN &gt; CA ",""),"")&amp;IF(COUNT(H52,K52)=2,IF(ABS(K52)&gt;ABS(H52),"RE &gt; CA ",""),"")))</f>
        <v/>
      </c>
      <c r="P52" s="16">
        <f>IF(OR($A52="",H52="",$C52=""),"",IF(COUNTIFS($A$5:$A$639,$A52,$C$5:$C$639,$C52-1,$D$5:$D$639,$D52,H$5:H$639,"&lt;&gt;")=0,"",IF(OR(SUMIFS(H$5:H$639,$A$5:$A$639,$A52,$C$5:$C$639,$C52-1,$D$5:$D$639,$D52)=0,H52*SUMIFS(H$5:H$639,$A$5:$A$639,$A52,$C$5:$C$639,$C52-1,$D$5:$D$639,$D52)&lt;0),"n.s.",ABS(H52)/ABS(SUMIFS(H$5:H$639,$A$5:$A$639,$A52,$C$5:$C$639,$C52-1,$D$5:$D$639,$D52))-1)))</f>
        <v/>
      </c>
      <c r="Q52" s="16">
        <f>IF(OR($A52="",I52="",$C52=""),"",IF(COUNTIFS($A$5:$A$639,$A52,$C$5:$C$639,$C52-1,$D$5:$D$639,$D52,I$5:I$639,"&lt;&gt;")=0,"",IF(OR(SUMIFS(I$5:I$639,$A$5:$A$639,$A52,$C$5:$C$639,$C52-1,$D$5:$D$639,$D52)=0,I52*SUMIFS(I$5:I$639,$A$5:$A$639,$A52,$C$5:$C$639,$C52-1,$D$5:$D$639,$D52)&lt;0),"n.s.",ABS(I52)/ABS(SUMIFS(I$5:I$639,$A$5:$A$639,$A52,$C$5:$C$639,$C52-1,$D$5:$D$639,$D52))-1)))</f>
        <v/>
      </c>
      <c r="R52" s="16">
        <f>IF(OR($A52="",J52="",$C52=""),"",IF(COUNTIFS($A$5:$A$639,$A52,$C$5:$C$639,$C52-1,$D$5:$D$639,$D52,J$5:J$639,"&lt;&gt;")=0,"",IF(OR(SUMIFS(J$5:J$639,$A$5:$A$639,$A52,$C$5:$C$639,$C52-1,$D$5:$D$639,$D52)=0,J52*SUMIFS(J$5:J$639,$A$5:$A$639,$A52,$C$5:$C$639,$C52-1,$D$5:$D$639,$D52)&lt;0),"n.s.",ABS(J52)/ABS(SUMIFS(J$5:J$639,$A$5:$A$639,$A52,$C$5:$C$639,$C52-1,$D$5:$D$639,$D52))-1)))</f>
        <v/>
      </c>
      <c r="S52" s="16">
        <f>IF(OR($A52="",K52="",$C52=""),"",IF(COUNTIFS($A$5:$A$639,$A52,$C$5:$C$639,$C52-1,$D$5:$D$639,$D52,K$5:K$639,"&lt;&gt;")=0,"",IF(OR(SUMIFS(K$5:K$639,$A$5:$A$639,$A52,$C$5:$C$639,$C52-1,$D$5:$D$639,$D52)=0,K52*SUMIFS(K$5:K$639,$A$5:$A$639,$A52,$C$5:$C$639,$C52-1,$D$5:$D$639,$D52)&lt;0),"n.s.",ABS(K52)/ABS(SUMIFS(K$5:K$639,$A$5:$A$639,$A52,$C$5:$C$639,$C52-1,$D$5:$D$639,$D52))-1)))</f>
        <v/>
      </c>
      <c r="T52" s="16">
        <f>IF(OR($A52="",L52="",$C52=""),"",IF(COUNTIFS($A$5:$A$639,$A52,$C$5:$C$639,$C52-1,$D$5:$D$639,$D52,L$5:L$639,"&lt;&gt;")=0,"",IF(OR(SUMIFS(L$5:L$639,$A$5:$A$639,$A52,$C$5:$C$639,$C52-1,$D$5:$D$639,$D52)=0,L52*SUMIFS(L$5:L$639,$A$5:$A$639,$A52,$C$5:$C$639,$C52-1,$D$5:$D$639,$D52)&lt;0),"n.s.",ABS(L52)/ABS(SUMIFS(L$5:L$639,$A$5:$A$639,$A52,$C$5:$C$639,$C52-1,$D$5:$D$639,$D52))-1)))</f>
        <v/>
      </c>
      <c r="U52" s="16">
        <f>IF(OR($A52="",M52="",$C52=""),"",IF(COUNTIFS($A$5:$A$639,$A52,$C$5:$C$639,$C52-1,$D$5:$D$639,$D52,M$5:M$639,"&lt;&gt;")=0,"",IF(OR(SUMIFS(M$5:M$639,$A$5:$A$639,$A52,$C$5:$C$639,$C52-1,$D$5:$D$639,$D52)=0,M52*SUMIFS(M$5:M$639,$A$5:$A$639,$A52,$C$5:$C$639,$C52-1,$D$5:$D$639,$D52)&lt;0),"n.s.",ABS(M52)/ABS(SUMIFS(M$5:M$639,$A$5:$A$639,$A52,$C$5:$C$639,$C52-1,$D$5:$D$639,$D52))-1)))</f>
        <v/>
      </c>
    </row>
    <row r="53">
      <c r="A53" s="9" t="inlineStr">
        <is>
          <t>SCRC</t>
        </is>
      </c>
      <c r="B53" s="10">
        <f>IF(A53="","",IFERROR(VLOOKUP(A53,Titres!$A$2:$B$400,2,FALSE),"Ticker inconnu"))</f>
        <v/>
      </c>
      <c r="C53" s="11" t="n">
        <v>2025</v>
      </c>
      <c r="D53" s="11" t="inlineStr">
        <is>
          <t>T1</t>
        </is>
      </c>
      <c r="E53" s="9" t="n"/>
      <c r="F53" s="12" t="n"/>
      <c r="G53" s="9" t="n"/>
      <c r="H53" s="13" t="n"/>
      <c r="I53" s="13" t="n"/>
      <c r="J53" s="13" t="n"/>
      <c r="K53" s="13" t="n"/>
      <c r="L53" s="13" t="n"/>
      <c r="M53" s="13" t="n"/>
      <c r="N53" s="14">
        <f>IF(A53="","",COUNT(H53:M53)/6)</f>
        <v/>
      </c>
      <c r="O53" s="15">
        <f>IF(COUNT(H53:M53)=0,"",IF(LEN(IF(COUNT(I53,J53)=2,IF(J53&gt;I53+1,"EBE &gt; VA ",""),"")&amp;IF(COUNT(H53,M53)=2,IF(ABS(M53)&gt;ABS(H53),"RN &gt; CA ",""),"")&amp;IF(COUNT(H53,K53)=2,IF(ABS(K53)&gt;ABS(H53),"RE &gt; CA ",""),""))=0,"OK",IF(COUNT(I53,J53)=2,IF(J53&gt;I53+1,"EBE &gt; VA ",""),"")&amp;IF(COUNT(H53,M53)=2,IF(ABS(M53)&gt;ABS(H53),"RN &gt; CA ",""),"")&amp;IF(COUNT(H53,K53)=2,IF(ABS(K53)&gt;ABS(H53),"RE &gt; CA ",""),"")))</f>
        <v/>
      </c>
      <c r="P53" s="16">
        <f>IF(OR($A53="",H53="",$C53=""),"",IF(COUNTIFS($A$5:$A$639,$A53,$C$5:$C$639,$C53-1,$D$5:$D$639,$D53,H$5:H$639,"&lt;&gt;")=0,"",IF(OR(SUMIFS(H$5:H$639,$A$5:$A$639,$A53,$C$5:$C$639,$C53-1,$D$5:$D$639,$D53)=0,H53*SUMIFS(H$5:H$639,$A$5:$A$639,$A53,$C$5:$C$639,$C53-1,$D$5:$D$639,$D53)&lt;0),"n.s.",ABS(H53)/ABS(SUMIFS(H$5:H$639,$A$5:$A$639,$A53,$C$5:$C$639,$C53-1,$D$5:$D$639,$D53))-1)))</f>
        <v/>
      </c>
      <c r="Q53" s="16">
        <f>IF(OR($A53="",I53="",$C53=""),"",IF(COUNTIFS($A$5:$A$639,$A53,$C$5:$C$639,$C53-1,$D$5:$D$639,$D53,I$5:I$639,"&lt;&gt;")=0,"",IF(OR(SUMIFS(I$5:I$639,$A$5:$A$639,$A53,$C$5:$C$639,$C53-1,$D$5:$D$639,$D53)=0,I53*SUMIFS(I$5:I$639,$A$5:$A$639,$A53,$C$5:$C$639,$C53-1,$D$5:$D$639,$D53)&lt;0),"n.s.",ABS(I53)/ABS(SUMIFS(I$5:I$639,$A$5:$A$639,$A53,$C$5:$C$639,$C53-1,$D$5:$D$639,$D53))-1)))</f>
        <v/>
      </c>
      <c r="R53" s="16">
        <f>IF(OR($A53="",J53="",$C53=""),"",IF(COUNTIFS($A$5:$A$639,$A53,$C$5:$C$639,$C53-1,$D$5:$D$639,$D53,J$5:J$639,"&lt;&gt;")=0,"",IF(OR(SUMIFS(J$5:J$639,$A$5:$A$639,$A53,$C$5:$C$639,$C53-1,$D$5:$D$639,$D53)=0,J53*SUMIFS(J$5:J$639,$A$5:$A$639,$A53,$C$5:$C$639,$C53-1,$D$5:$D$639,$D53)&lt;0),"n.s.",ABS(J53)/ABS(SUMIFS(J$5:J$639,$A$5:$A$639,$A53,$C$5:$C$639,$C53-1,$D$5:$D$639,$D53))-1)))</f>
        <v/>
      </c>
      <c r="S53" s="16">
        <f>IF(OR($A53="",K53="",$C53=""),"",IF(COUNTIFS($A$5:$A$639,$A53,$C$5:$C$639,$C53-1,$D$5:$D$639,$D53,K$5:K$639,"&lt;&gt;")=0,"",IF(OR(SUMIFS(K$5:K$639,$A$5:$A$639,$A53,$C$5:$C$639,$C53-1,$D$5:$D$639,$D53)=0,K53*SUMIFS(K$5:K$639,$A$5:$A$639,$A53,$C$5:$C$639,$C53-1,$D$5:$D$639,$D53)&lt;0),"n.s.",ABS(K53)/ABS(SUMIFS(K$5:K$639,$A$5:$A$639,$A53,$C$5:$C$639,$C53-1,$D$5:$D$639,$D53))-1)))</f>
        <v/>
      </c>
      <c r="T53" s="16">
        <f>IF(OR($A53="",L53="",$C53=""),"",IF(COUNTIFS($A$5:$A$639,$A53,$C$5:$C$639,$C53-1,$D$5:$D$639,$D53,L$5:L$639,"&lt;&gt;")=0,"",IF(OR(SUMIFS(L$5:L$639,$A$5:$A$639,$A53,$C$5:$C$639,$C53-1,$D$5:$D$639,$D53)=0,L53*SUMIFS(L$5:L$639,$A$5:$A$639,$A53,$C$5:$C$639,$C53-1,$D$5:$D$639,$D53)&lt;0),"n.s.",ABS(L53)/ABS(SUMIFS(L$5:L$639,$A$5:$A$639,$A53,$C$5:$C$639,$C53-1,$D$5:$D$639,$D53))-1)))</f>
        <v/>
      </c>
      <c r="U53" s="16">
        <f>IF(OR($A53="",M53="",$C53=""),"",IF(COUNTIFS($A$5:$A$639,$A53,$C$5:$C$639,$C53-1,$D$5:$D$639,$D53,M$5:M$639,"&lt;&gt;")=0,"",IF(OR(SUMIFS(M$5:M$639,$A$5:$A$639,$A53,$C$5:$C$639,$C53-1,$D$5:$D$639,$D53)=0,M53*SUMIFS(M$5:M$639,$A$5:$A$639,$A53,$C$5:$C$639,$C53-1,$D$5:$D$639,$D53)&lt;0),"n.s.",ABS(M53)/ABS(SUMIFS(M$5:M$639,$A$5:$A$639,$A53,$C$5:$C$639,$C53-1,$D$5:$D$639,$D53))-1)))</f>
        <v/>
      </c>
    </row>
    <row r="54">
      <c r="A54" s="9" t="inlineStr">
        <is>
          <t>SCRC</t>
        </is>
      </c>
      <c r="B54" s="10">
        <f>IF(A54="","",IFERROR(VLOOKUP(A54,Titres!$A$2:$B$400,2,FALSE),"Ticker inconnu"))</f>
        <v/>
      </c>
      <c r="C54" s="11" t="n">
        <v>2025</v>
      </c>
      <c r="D54" s="11" t="inlineStr">
        <is>
          <t>S1</t>
        </is>
      </c>
      <c r="E54" s="9" t="n"/>
      <c r="F54" s="12" t="n"/>
      <c r="G54" s="9" t="n"/>
      <c r="H54" s="13" t="n"/>
      <c r="I54" s="13" t="n"/>
      <c r="J54" s="13" t="n"/>
      <c r="K54" s="13" t="n"/>
      <c r="L54" s="13" t="n"/>
      <c r="M54" s="13" t="n"/>
      <c r="N54" s="14">
        <f>IF(A54="","",COUNT(H54:M54)/6)</f>
        <v/>
      </c>
      <c r="O54" s="15">
        <f>IF(COUNT(H54:M54)=0,"",IF(LEN(IF(COUNT(I54,J54)=2,IF(J54&gt;I54+1,"EBE &gt; VA ",""),"")&amp;IF(COUNT(H54,M54)=2,IF(ABS(M54)&gt;ABS(H54),"RN &gt; CA ",""),"")&amp;IF(COUNT(H54,K54)=2,IF(ABS(K54)&gt;ABS(H54),"RE &gt; CA ",""),""))=0,"OK",IF(COUNT(I54,J54)=2,IF(J54&gt;I54+1,"EBE &gt; VA ",""),"")&amp;IF(COUNT(H54,M54)=2,IF(ABS(M54)&gt;ABS(H54),"RN &gt; CA ",""),"")&amp;IF(COUNT(H54,K54)=2,IF(ABS(K54)&gt;ABS(H54),"RE &gt; CA ",""),"")))</f>
        <v/>
      </c>
      <c r="P54" s="16">
        <f>IF(OR($A54="",H54="",$C54=""),"",IF(COUNTIFS($A$5:$A$639,$A54,$C$5:$C$639,$C54-1,$D$5:$D$639,$D54,H$5:H$639,"&lt;&gt;")=0,"",IF(OR(SUMIFS(H$5:H$639,$A$5:$A$639,$A54,$C$5:$C$639,$C54-1,$D$5:$D$639,$D54)=0,H54*SUMIFS(H$5:H$639,$A$5:$A$639,$A54,$C$5:$C$639,$C54-1,$D$5:$D$639,$D54)&lt;0),"n.s.",ABS(H54)/ABS(SUMIFS(H$5:H$639,$A$5:$A$639,$A54,$C$5:$C$639,$C54-1,$D$5:$D$639,$D54))-1)))</f>
        <v/>
      </c>
      <c r="Q54" s="16">
        <f>IF(OR($A54="",I54="",$C54=""),"",IF(COUNTIFS($A$5:$A$639,$A54,$C$5:$C$639,$C54-1,$D$5:$D$639,$D54,I$5:I$639,"&lt;&gt;")=0,"",IF(OR(SUMIFS(I$5:I$639,$A$5:$A$639,$A54,$C$5:$C$639,$C54-1,$D$5:$D$639,$D54)=0,I54*SUMIFS(I$5:I$639,$A$5:$A$639,$A54,$C$5:$C$639,$C54-1,$D$5:$D$639,$D54)&lt;0),"n.s.",ABS(I54)/ABS(SUMIFS(I$5:I$639,$A$5:$A$639,$A54,$C$5:$C$639,$C54-1,$D$5:$D$639,$D54))-1)))</f>
        <v/>
      </c>
      <c r="R54" s="16">
        <f>IF(OR($A54="",J54="",$C54=""),"",IF(COUNTIFS($A$5:$A$639,$A54,$C$5:$C$639,$C54-1,$D$5:$D$639,$D54,J$5:J$639,"&lt;&gt;")=0,"",IF(OR(SUMIFS(J$5:J$639,$A$5:$A$639,$A54,$C$5:$C$639,$C54-1,$D$5:$D$639,$D54)=0,J54*SUMIFS(J$5:J$639,$A$5:$A$639,$A54,$C$5:$C$639,$C54-1,$D$5:$D$639,$D54)&lt;0),"n.s.",ABS(J54)/ABS(SUMIFS(J$5:J$639,$A$5:$A$639,$A54,$C$5:$C$639,$C54-1,$D$5:$D$639,$D54))-1)))</f>
        <v/>
      </c>
      <c r="S54" s="16">
        <f>IF(OR($A54="",K54="",$C54=""),"",IF(COUNTIFS($A$5:$A$639,$A54,$C$5:$C$639,$C54-1,$D$5:$D$639,$D54,K$5:K$639,"&lt;&gt;")=0,"",IF(OR(SUMIFS(K$5:K$639,$A$5:$A$639,$A54,$C$5:$C$639,$C54-1,$D$5:$D$639,$D54)=0,K54*SUMIFS(K$5:K$639,$A$5:$A$639,$A54,$C$5:$C$639,$C54-1,$D$5:$D$639,$D54)&lt;0),"n.s.",ABS(K54)/ABS(SUMIFS(K$5:K$639,$A$5:$A$639,$A54,$C$5:$C$639,$C54-1,$D$5:$D$639,$D54))-1)))</f>
        <v/>
      </c>
      <c r="T54" s="16">
        <f>IF(OR($A54="",L54="",$C54=""),"",IF(COUNTIFS($A$5:$A$639,$A54,$C$5:$C$639,$C54-1,$D$5:$D$639,$D54,L$5:L$639,"&lt;&gt;")=0,"",IF(OR(SUMIFS(L$5:L$639,$A$5:$A$639,$A54,$C$5:$C$639,$C54-1,$D$5:$D$639,$D54)=0,L54*SUMIFS(L$5:L$639,$A$5:$A$639,$A54,$C$5:$C$639,$C54-1,$D$5:$D$639,$D54)&lt;0),"n.s.",ABS(L54)/ABS(SUMIFS(L$5:L$639,$A$5:$A$639,$A54,$C$5:$C$639,$C54-1,$D$5:$D$639,$D54))-1)))</f>
        <v/>
      </c>
      <c r="U54" s="16">
        <f>IF(OR($A54="",M54="",$C54=""),"",IF(COUNTIFS($A$5:$A$639,$A54,$C$5:$C$639,$C54-1,$D$5:$D$639,$D54,M$5:M$639,"&lt;&gt;")=0,"",IF(OR(SUMIFS(M$5:M$639,$A$5:$A$639,$A54,$C$5:$C$639,$C54-1,$D$5:$D$639,$D54)=0,M54*SUMIFS(M$5:M$639,$A$5:$A$639,$A54,$C$5:$C$639,$C54-1,$D$5:$D$639,$D54)&lt;0),"n.s.",ABS(M54)/ABS(SUMIFS(M$5:M$639,$A$5:$A$639,$A54,$C$5:$C$639,$C54-1,$D$5:$D$639,$D54))-1)))</f>
        <v/>
      </c>
    </row>
    <row r="55">
      <c r="A55" s="9" t="inlineStr">
        <is>
          <t>SCRC</t>
        </is>
      </c>
      <c r="B55" s="10">
        <f>IF(A55="","",IFERROR(VLOOKUP(A55,Titres!$A$2:$B$400,2,FALSE),"Ticker inconnu"))</f>
        <v/>
      </c>
      <c r="C55" s="11" t="n">
        <v>2025</v>
      </c>
      <c r="D55" s="11" t="inlineStr">
        <is>
          <t>T3</t>
        </is>
      </c>
      <c r="E55" s="9" t="n"/>
      <c r="F55" s="12" t="n"/>
      <c r="G55" s="9" t="n"/>
      <c r="H55" s="13" t="n"/>
      <c r="I55" s="13" t="n"/>
      <c r="J55" s="13" t="n"/>
      <c r="K55" s="13" t="n"/>
      <c r="L55" s="13" t="n"/>
      <c r="M55" s="13" t="n"/>
      <c r="N55" s="14">
        <f>IF(A55="","",COUNT(H55:M55)/6)</f>
        <v/>
      </c>
      <c r="O55" s="15">
        <f>IF(COUNT(H55:M55)=0,"",IF(LEN(IF(COUNT(I55,J55)=2,IF(J55&gt;I55+1,"EBE &gt; VA ",""),"")&amp;IF(COUNT(H55,M55)=2,IF(ABS(M55)&gt;ABS(H55),"RN &gt; CA ",""),"")&amp;IF(COUNT(H55,K55)=2,IF(ABS(K55)&gt;ABS(H55),"RE &gt; CA ",""),""))=0,"OK",IF(COUNT(I55,J55)=2,IF(J55&gt;I55+1,"EBE &gt; VA ",""),"")&amp;IF(COUNT(H55,M55)=2,IF(ABS(M55)&gt;ABS(H55),"RN &gt; CA ",""),"")&amp;IF(COUNT(H55,K55)=2,IF(ABS(K55)&gt;ABS(H55),"RE &gt; CA ",""),"")))</f>
        <v/>
      </c>
      <c r="P55" s="16">
        <f>IF(OR($A55="",H55="",$C55=""),"",IF(COUNTIFS($A$5:$A$639,$A55,$C$5:$C$639,$C55-1,$D$5:$D$639,$D55,H$5:H$639,"&lt;&gt;")=0,"",IF(OR(SUMIFS(H$5:H$639,$A$5:$A$639,$A55,$C$5:$C$639,$C55-1,$D$5:$D$639,$D55)=0,H55*SUMIFS(H$5:H$639,$A$5:$A$639,$A55,$C$5:$C$639,$C55-1,$D$5:$D$639,$D55)&lt;0),"n.s.",ABS(H55)/ABS(SUMIFS(H$5:H$639,$A$5:$A$639,$A55,$C$5:$C$639,$C55-1,$D$5:$D$639,$D55))-1)))</f>
        <v/>
      </c>
      <c r="Q55" s="16">
        <f>IF(OR($A55="",I55="",$C55=""),"",IF(COUNTIFS($A$5:$A$639,$A55,$C$5:$C$639,$C55-1,$D$5:$D$639,$D55,I$5:I$639,"&lt;&gt;")=0,"",IF(OR(SUMIFS(I$5:I$639,$A$5:$A$639,$A55,$C$5:$C$639,$C55-1,$D$5:$D$639,$D55)=0,I55*SUMIFS(I$5:I$639,$A$5:$A$639,$A55,$C$5:$C$639,$C55-1,$D$5:$D$639,$D55)&lt;0),"n.s.",ABS(I55)/ABS(SUMIFS(I$5:I$639,$A$5:$A$639,$A55,$C$5:$C$639,$C55-1,$D$5:$D$639,$D55))-1)))</f>
        <v/>
      </c>
      <c r="R55" s="16">
        <f>IF(OR($A55="",J55="",$C55=""),"",IF(COUNTIFS($A$5:$A$639,$A55,$C$5:$C$639,$C55-1,$D$5:$D$639,$D55,J$5:J$639,"&lt;&gt;")=0,"",IF(OR(SUMIFS(J$5:J$639,$A$5:$A$639,$A55,$C$5:$C$639,$C55-1,$D$5:$D$639,$D55)=0,J55*SUMIFS(J$5:J$639,$A$5:$A$639,$A55,$C$5:$C$639,$C55-1,$D$5:$D$639,$D55)&lt;0),"n.s.",ABS(J55)/ABS(SUMIFS(J$5:J$639,$A$5:$A$639,$A55,$C$5:$C$639,$C55-1,$D$5:$D$639,$D55))-1)))</f>
        <v/>
      </c>
      <c r="S55" s="16">
        <f>IF(OR($A55="",K55="",$C55=""),"",IF(COUNTIFS($A$5:$A$639,$A55,$C$5:$C$639,$C55-1,$D$5:$D$639,$D55,K$5:K$639,"&lt;&gt;")=0,"",IF(OR(SUMIFS(K$5:K$639,$A$5:$A$639,$A55,$C$5:$C$639,$C55-1,$D$5:$D$639,$D55)=0,K55*SUMIFS(K$5:K$639,$A$5:$A$639,$A55,$C$5:$C$639,$C55-1,$D$5:$D$639,$D55)&lt;0),"n.s.",ABS(K55)/ABS(SUMIFS(K$5:K$639,$A$5:$A$639,$A55,$C$5:$C$639,$C55-1,$D$5:$D$639,$D55))-1)))</f>
        <v/>
      </c>
      <c r="T55" s="16">
        <f>IF(OR($A55="",L55="",$C55=""),"",IF(COUNTIFS($A$5:$A$639,$A55,$C$5:$C$639,$C55-1,$D$5:$D$639,$D55,L$5:L$639,"&lt;&gt;")=0,"",IF(OR(SUMIFS(L$5:L$639,$A$5:$A$639,$A55,$C$5:$C$639,$C55-1,$D$5:$D$639,$D55)=0,L55*SUMIFS(L$5:L$639,$A$5:$A$639,$A55,$C$5:$C$639,$C55-1,$D$5:$D$639,$D55)&lt;0),"n.s.",ABS(L55)/ABS(SUMIFS(L$5:L$639,$A$5:$A$639,$A55,$C$5:$C$639,$C55-1,$D$5:$D$639,$D55))-1)))</f>
        <v/>
      </c>
      <c r="U55" s="16">
        <f>IF(OR($A55="",M55="",$C55=""),"",IF(COUNTIFS($A$5:$A$639,$A55,$C$5:$C$639,$C55-1,$D$5:$D$639,$D55,M$5:M$639,"&lt;&gt;")=0,"",IF(OR(SUMIFS(M$5:M$639,$A$5:$A$639,$A55,$C$5:$C$639,$C55-1,$D$5:$D$639,$D55)=0,M55*SUMIFS(M$5:M$639,$A$5:$A$639,$A55,$C$5:$C$639,$C55-1,$D$5:$D$639,$D55)&lt;0),"n.s.",ABS(M55)/ABS(SUMIFS(M$5:M$639,$A$5:$A$639,$A55,$C$5:$C$639,$C55-1,$D$5:$D$639,$D55))-1)))</f>
        <v/>
      </c>
    </row>
    <row r="56">
      <c r="A56" s="9" t="inlineStr">
        <is>
          <t>SCRC</t>
        </is>
      </c>
      <c r="B56" s="10">
        <f>IF(A56="","",IFERROR(VLOOKUP(A56,Titres!$A$2:$B$400,2,FALSE),"Ticker inconnu"))</f>
        <v/>
      </c>
      <c r="C56" s="11" t="n">
        <v>2026</v>
      </c>
      <c r="D56" s="11" t="inlineStr">
        <is>
          <t>T1</t>
        </is>
      </c>
      <c r="E56" s="9" t="n"/>
      <c r="F56" s="12" t="n"/>
      <c r="G56" s="9" t="n"/>
      <c r="H56" s="13" t="n"/>
      <c r="I56" s="13" t="n"/>
      <c r="J56" s="13" t="n"/>
      <c r="K56" s="13" t="n"/>
      <c r="L56" s="13" t="n"/>
      <c r="M56" s="13" t="n"/>
      <c r="N56" s="14">
        <f>IF(A56="","",COUNT(H56:M56)/6)</f>
        <v/>
      </c>
      <c r="O56" s="15">
        <f>IF(COUNT(H56:M56)=0,"",IF(LEN(IF(COUNT(I56,J56)=2,IF(J56&gt;I56+1,"EBE &gt; VA ",""),"")&amp;IF(COUNT(H56,M56)=2,IF(ABS(M56)&gt;ABS(H56),"RN &gt; CA ",""),"")&amp;IF(COUNT(H56,K56)=2,IF(ABS(K56)&gt;ABS(H56),"RE &gt; CA ",""),""))=0,"OK",IF(COUNT(I56,J56)=2,IF(J56&gt;I56+1,"EBE &gt; VA ",""),"")&amp;IF(COUNT(H56,M56)=2,IF(ABS(M56)&gt;ABS(H56),"RN &gt; CA ",""),"")&amp;IF(COUNT(H56,K56)=2,IF(ABS(K56)&gt;ABS(H56),"RE &gt; CA ",""),"")))</f>
        <v/>
      </c>
      <c r="P56" s="16">
        <f>IF(OR($A56="",H56="",$C56=""),"",IF(COUNTIFS($A$5:$A$639,$A56,$C$5:$C$639,$C56-1,$D$5:$D$639,$D56,H$5:H$639,"&lt;&gt;")=0,"",IF(OR(SUMIFS(H$5:H$639,$A$5:$A$639,$A56,$C$5:$C$639,$C56-1,$D$5:$D$639,$D56)=0,H56*SUMIFS(H$5:H$639,$A$5:$A$639,$A56,$C$5:$C$639,$C56-1,$D$5:$D$639,$D56)&lt;0),"n.s.",ABS(H56)/ABS(SUMIFS(H$5:H$639,$A$5:$A$639,$A56,$C$5:$C$639,$C56-1,$D$5:$D$639,$D56))-1)))</f>
        <v/>
      </c>
      <c r="Q56" s="16">
        <f>IF(OR($A56="",I56="",$C56=""),"",IF(COUNTIFS($A$5:$A$639,$A56,$C$5:$C$639,$C56-1,$D$5:$D$639,$D56,I$5:I$639,"&lt;&gt;")=0,"",IF(OR(SUMIFS(I$5:I$639,$A$5:$A$639,$A56,$C$5:$C$639,$C56-1,$D$5:$D$639,$D56)=0,I56*SUMIFS(I$5:I$639,$A$5:$A$639,$A56,$C$5:$C$639,$C56-1,$D$5:$D$639,$D56)&lt;0),"n.s.",ABS(I56)/ABS(SUMIFS(I$5:I$639,$A$5:$A$639,$A56,$C$5:$C$639,$C56-1,$D$5:$D$639,$D56))-1)))</f>
        <v/>
      </c>
      <c r="R56" s="16">
        <f>IF(OR($A56="",J56="",$C56=""),"",IF(COUNTIFS($A$5:$A$639,$A56,$C$5:$C$639,$C56-1,$D$5:$D$639,$D56,J$5:J$639,"&lt;&gt;")=0,"",IF(OR(SUMIFS(J$5:J$639,$A$5:$A$639,$A56,$C$5:$C$639,$C56-1,$D$5:$D$639,$D56)=0,J56*SUMIFS(J$5:J$639,$A$5:$A$639,$A56,$C$5:$C$639,$C56-1,$D$5:$D$639,$D56)&lt;0),"n.s.",ABS(J56)/ABS(SUMIFS(J$5:J$639,$A$5:$A$639,$A56,$C$5:$C$639,$C56-1,$D$5:$D$639,$D56))-1)))</f>
        <v/>
      </c>
      <c r="S56" s="16">
        <f>IF(OR($A56="",K56="",$C56=""),"",IF(COUNTIFS($A$5:$A$639,$A56,$C$5:$C$639,$C56-1,$D$5:$D$639,$D56,K$5:K$639,"&lt;&gt;")=0,"",IF(OR(SUMIFS(K$5:K$639,$A$5:$A$639,$A56,$C$5:$C$639,$C56-1,$D$5:$D$639,$D56)=0,K56*SUMIFS(K$5:K$639,$A$5:$A$639,$A56,$C$5:$C$639,$C56-1,$D$5:$D$639,$D56)&lt;0),"n.s.",ABS(K56)/ABS(SUMIFS(K$5:K$639,$A$5:$A$639,$A56,$C$5:$C$639,$C56-1,$D$5:$D$639,$D56))-1)))</f>
        <v/>
      </c>
      <c r="T56" s="16">
        <f>IF(OR($A56="",L56="",$C56=""),"",IF(COUNTIFS($A$5:$A$639,$A56,$C$5:$C$639,$C56-1,$D$5:$D$639,$D56,L$5:L$639,"&lt;&gt;")=0,"",IF(OR(SUMIFS(L$5:L$639,$A$5:$A$639,$A56,$C$5:$C$639,$C56-1,$D$5:$D$639,$D56)=0,L56*SUMIFS(L$5:L$639,$A$5:$A$639,$A56,$C$5:$C$639,$C56-1,$D$5:$D$639,$D56)&lt;0),"n.s.",ABS(L56)/ABS(SUMIFS(L$5:L$639,$A$5:$A$639,$A56,$C$5:$C$639,$C56-1,$D$5:$D$639,$D56))-1)))</f>
        <v/>
      </c>
      <c r="U56" s="16">
        <f>IF(OR($A56="",M56="",$C56=""),"",IF(COUNTIFS($A$5:$A$639,$A56,$C$5:$C$639,$C56-1,$D$5:$D$639,$D56,M$5:M$639,"&lt;&gt;")=0,"",IF(OR(SUMIFS(M$5:M$639,$A$5:$A$639,$A56,$C$5:$C$639,$C56-1,$D$5:$D$639,$D56)=0,M56*SUMIFS(M$5:M$639,$A$5:$A$639,$A56,$C$5:$C$639,$C56-1,$D$5:$D$639,$D56)&lt;0),"n.s.",ABS(M56)/ABS(SUMIFS(M$5:M$639,$A$5:$A$639,$A56,$C$5:$C$639,$C56-1,$D$5:$D$639,$D56))-1)))</f>
        <v/>
      </c>
    </row>
    <row r="57">
      <c r="A57" s="9" t="inlineStr">
        <is>
          <t>SCRC</t>
        </is>
      </c>
      <c r="B57" s="10">
        <f>IF(A57="","",IFERROR(VLOOKUP(A57,Titres!$A$2:$B$400,2,FALSE),"Ticker inconnu"))</f>
        <v/>
      </c>
      <c r="C57" s="11" t="n">
        <v>2026</v>
      </c>
      <c r="D57" s="11" t="inlineStr">
        <is>
          <t>S1</t>
        </is>
      </c>
      <c r="E57" s="9" t="n"/>
      <c r="F57" s="12" t="n"/>
      <c r="G57" s="9" t="n"/>
      <c r="H57" s="13" t="n"/>
      <c r="I57" s="13" t="n"/>
      <c r="J57" s="13" t="n"/>
      <c r="K57" s="13" t="n"/>
      <c r="L57" s="13" t="n"/>
      <c r="M57" s="13" t="n"/>
      <c r="N57" s="14">
        <f>IF(A57="","",COUNT(H57:M57)/6)</f>
        <v/>
      </c>
      <c r="O57" s="15">
        <f>IF(COUNT(H57:M57)=0,"",IF(LEN(IF(COUNT(I57,J57)=2,IF(J57&gt;I57+1,"EBE &gt; VA ",""),"")&amp;IF(COUNT(H57,M57)=2,IF(ABS(M57)&gt;ABS(H57),"RN &gt; CA ",""),"")&amp;IF(COUNT(H57,K57)=2,IF(ABS(K57)&gt;ABS(H57),"RE &gt; CA ",""),""))=0,"OK",IF(COUNT(I57,J57)=2,IF(J57&gt;I57+1,"EBE &gt; VA ",""),"")&amp;IF(COUNT(H57,M57)=2,IF(ABS(M57)&gt;ABS(H57),"RN &gt; CA ",""),"")&amp;IF(COUNT(H57,K57)=2,IF(ABS(K57)&gt;ABS(H57),"RE &gt; CA ",""),"")))</f>
        <v/>
      </c>
      <c r="P57" s="16">
        <f>IF(OR($A57="",H57="",$C57=""),"",IF(COUNTIFS($A$5:$A$639,$A57,$C$5:$C$639,$C57-1,$D$5:$D$639,$D57,H$5:H$639,"&lt;&gt;")=0,"",IF(OR(SUMIFS(H$5:H$639,$A$5:$A$639,$A57,$C$5:$C$639,$C57-1,$D$5:$D$639,$D57)=0,H57*SUMIFS(H$5:H$639,$A$5:$A$639,$A57,$C$5:$C$639,$C57-1,$D$5:$D$639,$D57)&lt;0),"n.s.",ABS(H57)/ABS(SUMIFS(H$5:H$639,$A$5:$A$639,$A57,$C$5:$C$639,$C57-1,$D$5:$D$639,$D57))-1)))</f>
        <v/>
      </c>
      <c r="Q57" s="16">
        <f>IF(OR($A57="",I57="",$C57=""),"",IF(COUNTIFS($A$5:$A$639,$A57,$C$5:$C$639,$C57-1,$D$5:$D$639,$D57,I$5:I$639,"&lt;&gt;")=0,"",IF(OR(SUMIFS(I$5:I$639,$A$5:$A$639,$A57,$C$5:$C$639,$C57-1,$D$5:$D$639,$D57)=0,I57*SUMIFS(I$5:I$639,$A$5:$A$639,$A57,$C$5:$C$639,$C57-1,$D$5:$D$639,$D57)&lt;0),"n.s.",ABS(I57)/ABS(SUMIFS(I$5:I$639,$A$5:$A$639,$A57,$C$5:$C$639,$C57-1,$D$5:$D$639,$D57))-1)))</f>
        <v/>
      </c>
      <c r="R57" s="16">
        <f>IF(OR($A57="",J57="",$C57=""),"",IF(COUNTIFS($A$5:$A$639,$A57,$C$5:$C$639,$C57-1,$D$5:$D$639,$D57,J$5:J$639,"&lt;&gt;")=0,"",IF(OR(SUMIFS(J$5:J$639,$A$5:$A$639,$A57,$C$5:$C$639,$C57-1,$D$5:$D$639,$D57)=0,J57*SUMIFS(J$5:J$639,$A$5:$A$639,$A57,$C$5:$C$639,$C57-1,$D$5:$D$639,$D57)&lt;0),"n.s.",ABS(J57)/ABS(SUMIFS(J$5:J$639,$A$5:$A$639,$A57,$C$5:$C$639,$C57-1,$D$5:$D$639,$D57))-1)))</f>
        <v/>
      </c>
      <c r="S57" s="16">
        <f>IF(OR($A57="",K57="",$C57=""),"",IF(COUNTIFS($A$5:$A$639,$A57,$C$5:$C$639,$C57-1,$D$5:$D$639,$D57,K$5:K$639,"&lt;&gt;")=0,"",IF(OR(SUMIFS(K$5:K$639,$A$5:$A$639,$A57,$C$5:$C$639,$C57-1,$D$5:$D$639,$D57)=0,K57*SUMIFS(K$5:K$639,$A$5:$A$639,$A57,$C$5:$C$639,$C57-1,$D$5:$D$639,$D57)&lt;0),"n.s.",ABS(K57)/ABS(SUMIFS(K$5:K$639,$A$5:$A$639,$A57,$C$5:$C$639,$C57-1,$D$5:$D$639,$D57))-1)))</f>
        <v/>
      </c>
      <c r="T57" s="16">
        <f>IF(OR($A57="",L57="",$C57=""),"",IF(COUNTIFS($A$5:$A$639,$A57,$C$5:$C$639,$C57-1,$D$5:$D$639,$D57,L$5:L$639,"&lt;&gt;")=0,"",IF(OR(SUMIFS(L$5:L$639,$A$5:$A$639,$A57,$C$5:$C$639,$C57-1,$D$5:$D$639,$D57)=0,L57*SUMIFS(L$5:L$639,$A$5:$A$639,$A57,$C$5:$C$639,$C57-1,$D$5:$D$639,$D57)&lt;0),"n.s.",ABS(L57)/ABS(SUMIFS(L$5:L$639,$A$5:$A$639,$A57,$C$5:$C$639,$C57-1,$D$5:$D$639,$D57))-1)))</f>
        <v/>
      </c>
      <c r="U57" s="16">
        <f>IF(OR($A57="",M57="",$C57=""),"",IF(COUNTIFS($A$5:$A$639,$A57,$C$5:$C$639,$C57-1,$D$5:$D$639,$D57,M$5:M$639,"&lt;&gt;")=0,"",IF(OR(SUMIFS(M$5:M$639,$A$5:$A$639,$A57,$C$5:$C$639,$C57-1,$D$5:$D$639,$D57)=0,M57*SUMIFS(M$5:M$639,$A$5:$A$639,$A57,$C$5:$C$639,$C57-1,$D$5:$D$639,$D57)&lt;0),"n.s.",ABS(M57)/ABS(SUMIFS(M$5:M$639,$A$5:$A$639,$A57,$C$5:$C$639,$C57-1,$D$5:$D$639,$D57))-1)))</f>
        <v/>
      </c>
    </row>
    <row r="58">
      <c r="A58" s="9" t="inlineStr">
        <is>
          <t>SCRC</t>
        </is>
      </c>
      <c r="B58" s="10">
        <f>IF(A58="","",IFERROR(VLOOKUP(A58,Titres!$A$2:$B$400,2,FALSE),"Ticker inconnu"))</f>
        <v/>
      </c>
      <c r="C58" s="11" t="n">
        <v>2026</v>
      </c>
      <c r="D58" s="11" t="inlineStr">
        <is>
          <t>T3</t>
        </is>
      </c>
      <c r="E58" s="9" t="n"/>
      <c r="F58" s="12" t="n"/>
      <c r="G58" s="9" t="n"/>
      <c r="H58" s="13" t="n"/>
      <c r="I58" s="13" t="n"/>
      <c r="J58" s="13" t="n"/>
      <c r="K58" s="13" t="n"/>
      <c r="L58" s="13" t="n"/>
      <c r="M58" s="13" t="n"/>
      <c r="N58" s="14">
        <f>IF(A58="","",COUNT(H58:M58)/6)</f>
        <v/>
      </c>
      <c r="O58" s="15">
        <f>IF(COUNT(H58:M58)=0,"",IF(LEN(IF(COUNT(I58,J58)=2,IF(J58&gt;I58+1,"EBE &gt; VA ",""),"")&amp;IF(COUNT(H58,M58)=2,IF(ABS(M58)&gt;ABS(H58),"RN &gt; CA ",""),"")&amp;IF(COUNT(H58,K58)=2,IF(ABS(K58)&gt;ABS(H58),"RE &gt; CA ",""),""))=0,"OK",IF(COUNT(I58,J58)=2,IF(J58&gt;I58+1,"EBE &gt; VA ",""),"")&amp;IF(COUNT(H58,M58)=2,IF(ABS(M58)&gt;ABS(H58),"RN &gt; CA ",""),"")&amp;IF(COUNT(H58,K58)=2,IF(ABS(K58)&gt;ABS(H58),"RE &gt; CA ",""),"")))</f>
        <v/>
      </c>
      <c r="P58" s="16">
        <f>IF(OR($A58="",H58="",$C58=""),"",IF(COUNTIFS($A$5:$A$639,$A58,$C$5:$C$639,$C58-1,$D$5:$D$639,$D58,H$5:H$639,"&lt;&gt;")=0,"",IF(OR(SUMIFS(H$5:H$639,$A$5:$A$639,$A58,$C$5:$C$639,$C58-1,$D$5:$D$639,$D58)=0,H58*SUMIFS(H$5:H$639,$A$5:$A$639,$A58,$C$5:$C$639,$C58-1,$D$5:$D$639,$D58)&lt;0),"n.s.",ABS(H58)/ABS(SUMIFS(H$5:H$639,$A$5:$A$639,$A58,$C$5:$C$639,$C58-1,$D$5:$D$639,$D58))-1)))</f>
        <v/>
      </c>
      <c r="Q58" s="16">
        <f>IF(OR($A58="",I58="",$C58=""),"",IF(COUNTIFS($A$5:$A$639,$A58,$C$5:$C$639,$C58-1,$D$5:$D$639,$D58,I$5:I$639,"&lt;&gt;")=0,"",IF(OR(SUMIFS(I$5:I$639,$A$5:$A$639,$A58,$C$5:$C$639,$C58-1,$D$5:$D$639,$D58)=0,I58*SUMIFS(I$5:I$639,$A$5:$A$639,$A58,$C$5:$C$639,$C58-1,$D$5:$D$639,$D58)&lt;0),"n.s.",ABS(I58)/ABS(SUMIFS(I$5:I$639,$A$5:$A$639,$A58,$C$5:$C$639,$C58-1,$D$5:$D$639,$D58))-1)))</f>
        <v/>
      </c>
      <c r="R58" s="16">
        <f>IF(OR($A58="",J58="",$C58=""),"",IF(COUNTIFS($A$5:$A$639,$A58,$C$5:$C$639,$C58-1,$D$5:$D$639,$D58,J$5:J$639,"&lt;&gt;")=0,"",IF(OR(SUMIFS(J$5:J$639,$A$5:$A$639,$A58,$C$5:$C$639,$C58-1,$D$5:$D$639,$D58)=0,J58*SUMIFS(J$5:J$639,$A$5:$A$639,$A58,$C$5:$C$639,$C58-1,$D$5:$D$639,$D58)&lt;0),"n.s.",ABS(J58)/ABS(SUMIFS(J$5:J$639,$A$5:$A$639,$A58,$C$5:$C$639,$C58-1,$D$5:$D$639,$D58))-1)))</f>
        <v/>
      </c>
      <c r="S58" s="16">
        <f>IF(OR($A58="",K58="",$C58=""),"",IF(COUNTIFS($A$5:$A$639,$A58,$C$5:$C$639,$C58-1,$D$5:$D$639,$D58,K$5:K$639,"&lt;&gt;")=0,"",IF(OR(SUMIFS(K$5:K$639,$A$5:$A$639,$A58,$C$5:$C$639,$C58-1,$D$5:$D$639,$D58)=0,K58*SUMIFS(K$5:K$639,$A$5:$A$639,$A58,$C$5:$C$639,$C58-1,$D$5:$D$639,$D58)&lt;0),"n.s.",ABS(K58)/ABS(SUMIFS(K$5:K$639,$A$5:$A$639,$A58,$C$5:$C$639,$C58-1,$D$5:$D$639,$D58))-1)))</f>
        <v/>
      </c>
      <c r="T58" s="16">
        <f>IF(OR($A58="",L58="",$C58=""),"",IF(COUNTIFS($A$5:$A$639,$A58,$C$5:$C$639,$C58-1,$D$5:$D$639,$D58,L$5:L$639,"&lt;&gt;")=0,"",IF(OR(SUMIFS(L$5:L$639,$A$5:$A$639,$A58,$C$5:$C$639,$C58-1,$D$5:$D$639,$D58)=0,L58*SUMIFS(L$5:L$639,$A$5:$A$639,$A58,$C$5:$C$639,$C58-1,$D$5:$D$639,$D58)&lt;0),"n.s.",ABS(L58)/ABS(SUMIFS(L$5:L$639,$A$5:$A$639,$A58,$C$5:$C$639,$C58-1,$D$5:$D$639,$D58))-1)))</f>
        <v/>
      </c>
      <c r="U58" s="16">
        <f>IF(OR($A58="",M58="",$C58=""),"",IF(COUNTIFS($A$5:$A$639,$A58,$C$5:$C$639,$C58-1,$D$5:$D$639,$D58,M$5:M$639,"&lt;&gt;")=0,"",IF(OR(SUMIFS(M$5:M$639,$A$5:$A$639,$A58,$C$5:$C$639,$C58-1,$D$5:$D$639,$D58)=0,M58*SUMIFS(M$5:M$639,$A$5:$A$639,$A58,$C$5:$C$639,$C58-1,$D$5:$D$639,$D58)&lt;0),"n.s.",ABS(M58)/ABS(SUMIFS(M$5:M$639,$A$5:$A$639,$A58,$C$5:$C$639,$C58-1,$D$5:$D$639,$D58))-1)))</f>
        <v/>
      </c>
    </row>
    <row r="59">
      <c r="A59" s="9" t="inlineStr">
        <is>
          <t>SICC</t>
        </is>
      </c>
      <c r="B59" s="10">
        <f>IF(A59="","",IFERROR(VLOOKUP(A59,Titres!$A$2:$B$400,2,FALSE),"Ticker inconnu"))</f>
        <v/>
      </c>
      <c r="C59" s="11" t="n">
        <v>2021</v>
      </c>
      <c r="D59" s="11" t="inlineStr">
        <is>
          <t>T1</t>
        </is>
      </c>
      <c r="E59" s="9" t="n"/>
      <c r="F59" s="12" t="n"/>
      <c r="G59" s="9" t="n"/>
      <c r="H59" s="13" t="n"/>
      <c r="I59" s="13" t="n"/>
      <c r="J59" s="13" t="n"/>
      <c r="K59" s="13" t="n"/>
      <c r="L59" s="13" t="n"/>
      <c r="M59" s="13" t="n"/>
      <c r="N59" s="14">
        <f>IF(A59="","",COUNT(H59:M59)/6)</f>
        <v/>
      </c>
      <c r="O59" s="15">
        <f>IF(COUNT(H59:M59)=0,"",IF(LEN(IF(COUNT(I59,J59)=2,IF(J59&gt;I59+1,"EBE &gt; VA ",""),"")&amp;IF(COUNT(H59,M59)=2,IF(ABS(M59)&gt;ABS(H59),"RN &gt; CA ",""),"")&amp;IF(COUNT(H59,K59)=2,IF(ABS(K59)&gt;ABS(H59),"RE &gt; CA ",""),""))=0,"OK",IF(COUNT(I59,J59)=2,IF(J59&gt;I59+1,"EBE &gt; VA ",""),"")&amp;IF(COUNT(H59,M59)=2,IF(ABS(M59)&gt;ABS(H59),"RN &gt; CA ",""),"")&amp;IF(COUNT(H59,K59)=2,IF(ABS(K59)&gt;ABS(H59),"RE &gt; CA ",""),"")))</f>
        <v/>
      </c>
      <c r="P59" s="16">
        <f>IF(OR($A59="",H59="",$C59=""),"",IF(COUNTIFS($A$5:$A$639,$A59,$C$5:$C$639,$C59-1,$D$5:$D$639,$D59,H$5:H$639,"&lt;&gt;")=0,"",IF(OR(SUMIFS(H$5:H$639,$A$5:$A$639,$A59,$C$5:$C$639,$C59-1,$D$5:$D$639,$D59)=0,H59*SUMIFS(H$5:H$639,$A$5:$A$639,$A59,$C$5:$C$639,$C59-1,$D$5:$D$639,$D59)&lt;0),"n.s.",ABS(H59)/ABS(SUMIFS(H$5:H$639,$A$5:$A$639,$A59,$C$5:$C$639,$C59-1,$D$5:$D$639,$D59))-1)))</f>
        <v/>
      </c>
      <c r="Q59" s="16">
        <f>IF(OR($A59="",I59="",$C59=""),"",IF(COUNTIFS($A$5:$A$639,$A59,$C$5:$C$639,$C59-1,$D$5:$D$639,$D59,I$5:I$639,"&lt;&gt;")=0,"",IF(OR(SUMIFS(I$5:I$639,$A$5:$A$639,$A59,$C$5:$C$639,$C59-1,$D$5:$D$639,$D59)=0,I59*SUMIFS(I$5:I$639,$A$5:$A$639,$A59,$C$5:$C$639,$C59-1,$D$5:$D$639,$D59)&lt;0),"n.s.",ABS(I59)/ABS(SUMIFS(I$5:I$639,$A$5:$A$639,$A59,$C$5:$C$639,$C59-1,$D$5:$D$639,$D59))-1)))</f>
        <v/>
      </c>
      <c r="R59" s="16">
        <f>IF(OR($A59="",J59="",$C59=""),"",IF(COUNTIFS($A$5:$A$639,$A59,$C$5:$C$639,$C59-1,$D$5:$D$639,$D59,J$5:J$639,"&lt;&gt;")=0,"",IF(OR(SUMIFS(J$5:J$639,$A$5:$A$639,$A59,$C$5:$C$639,$C59-1,$D$5:$D$639,$D59)=0,J59*SUMIFS(J$5:J$639,$A$5:$A$639,$A59,$C$5:$C$639,$C59-1,$D$5:$D$639,$D59)&lt;0),"n.s.",ABS(J59)/ABS(SUMIFS(J$5:J$639,$A$5:$A$639,$A59,$C$5:$C$639,$C59-1,$D$5:$D$639,$D59))-1)))</f>
        <v/>
      </c>
      <c r="S59" s="16">
        <f>IF(OR($A59="",K59="",$C59=""),"",IF(COUNTIFS($A$5:$A$639,$A59,$C$5:$C$639,$C59-1,$D$5:$D$639,$D59,K$5:K$639,"&lt;&gt;")=0,"",IF(OR(SUMIFS(K$5:K$639,$A$5:$A$639,$A59,$C$5:$C$639,$C59-1,$D$5:$D$639,$D59)=0,K59*SUMIFS(K$5:K$639,$A$5:$A$639,$A59,$C$5:$C$639,$C59-1,$D$5:$D$639,$D59)&lt;0),"n.s.",ABS(K59)/ABS(SUMIFS(K$5:K$639,$A$5:$A$639,$A59,$C$5:$C$639,$C59-1,$D$5:$D$639,$D59))-1)))</f>
        <v/>
      </c>
      <c r="T59" s="16">
        <f>IF(OR($A59="",L59="",$C59=""),"",IF(COUNTIFS($A$5:$A$639,$A59,$C$5:$C$639,$C59-1,$D$5:$D$639,$D59,L$5:L$639,"&lt;&gt;")=0,"",IF(OR(SUMIFS(L$5:L$639,$A$5:$A$639,$A59,$C$5:$C$639,$C59-1,$D$5:$D$639,$D59)=0,L59*SUMIFS(L$5:L$639,$A$5:$A$639,$A59,$C$5:$C$639,$C59-1,$D$5:$D$639,$D59)&lt;0),"n.s.",ABS(L59)/ABS(SUMIFS(L$5:L$639,$A$5:$A$639,$A59,$C$5:$C$639,$C59-1,$D$5:$D$639,$D59))-1)))</f>
        <v/>
      </c>
      <c r="U59" s="16">
        <f>IF(OR($A59="",M59="",$C59=""),"",IF(COUNTIFS($A$5:$A$639,$A59,$C$5:$C$639,$C59-1,$D$5:$D$639,$D59,M$5:M$639,"&lt;&gt;")=0,"",IF(OR(SUMIFS(M$5:M$639,$A$5:$A$639,$A59,$C$5:$C$639,$C59-1,$D$5:$D$639,$D59)=0,M59*SUMIFS(M$5:M$639,$A$5:$A$639,$A59,$C$5:$C$639,$C59-1,$D$5:$D$639,$D59)&lt;0),"n.s.",ABS(M59)/ABS(SUMIFS(M$5:M$639,$A$5:$A$639,$A59,$C$5:$C$639,$C59-1,$D$5:$D$639,$D59))-1)))</f>
        <v/>
      </c>
    </row>
    <row r="60">
      <c r="A60" s="9" t="inlineStr">
        <is>
          <t>SICC</t>
        </is>
      </c>
      <c r="B60" s="10">
        <f>IF(A60="","",IFERROR(VLOOKUP(A60,Titres!$A$2:$B$400,2,FALSE),"Ticker inconnu"))</f>
        <v/>
      </c>
      <c r="C60" s="11" t="n">
        <v>2021</v>
      </c>
      <c r="D60" s="11" t="inlineStr">
        <is>
          <t>S1</t>
        </is>
      </c>
      <c r="E60" s="9" t="n"/>
      <c r="F60" s="12" t="n"/>
      <c r="G60" s="9" t="n"/>
      <c r="H60" s="13" t="n"/>
      <c r="I60" s="13" t="n"/>
      <c r="J60" s="13" t="n"/>
      <c r="K60" s="13" t="n"/>
      <c r="L60" s="13" t="n"/>
      <c r="M60" s="13" t="n"/>
      <c r="N60" s="14">
        <f>IF(A60="","",COUNT(H60:M60)/6)</f>
        <v/>
      </c>
      <c r="O60" s="15">
        <f>IF(COUNT(H60:M60)=0,"",IF(LEN(IF(COUNT(I60,J60)=2,IF(J60&gt;I60+1,"EBE &gt; VA ",""),"")&amp;IF(COUNT(H60,M60)=2,IF(ABS(M60)&gt;ABS(H60),"RN &gt; CA ",""),"")&amp;IF(COUNT(H60,K60)=2,IF(ABS(K60)&gt;ABS(H60),"RE &gt; CA ",""),""))=0,"OK",IF(COUNT(I60,J60)=2,IF(J60&gt;I60+1,"EBE &gt; VA ",""),"")&amp;IF(COUNT(H60,M60)=2,IF(ABS(M60)&gt;ABS(H60),"RN &gt; CA ",""),"")&amp;IF(COUNT(H60,K60)=2,IF(ABS(K60)&gt;ABS(H60),"RE &gt; CA ",""),"")))</f>
        <v/>
      </c>
      <c r="P60" s="16">
        <f>IF(OR($A60="",H60="",$C60=""),"",IF(COUNTIFS($A$5:$A$639,$A60,$C$5:$C$639,$C60-1,$D$5:$D$639,$D60,H$5:H$639,"&lt;&gt;")=0,"",IF(OR(SUMIFS(H$5:H$639,$A$5:$A$639,$A60,$C$5:$C$639,$C60-1,$D$5:$D$639,$D60)=0,H60*SUMIFS(H$5:H$639,$A$5:$A$639,$A60,$C$5:$C$639,$C60-1,$D$5:$D$639,$D60)&lt;0),"n.s.",ABS(H60)/ABS(SUMIFS(H$5:H$639,$A$5:$A$639,$A60,$C$5:$C$639,$C60-1,$D$5:$D$639,$D60))-1)))</f>
        <v/>
      </c>
      <c r="Q60" s="16">
        <f>IF(OR($A60="",I60="",$C60=""),"",IF(COUNTIFS($A$5:$A$639,$A60,$C$5:$C$639,$C60-1,$D$5:$D$639,$D60,I$5:I$639,"&lt;&gt;")=0,"",IF(OR(SUMIFS(I$5:I$639,$A$5:$A$639,$A60,$C$5:$C$639,$C60-1,$D$5:$D$639,$D60)=0,I60*SUMIFS(I$5:I$639,$A$5:$A$639,$A60,$C$5:$C$639,$C60-1,$D$5:$D$639,$D60)&lt;0),"n.s.",ABS(I60)/ABS(SUMIFS(I$5:I$639,$A$5:$A$639,$A60,$C$5:$C$639,$C60-1,$D$5:$D$639,$D60))-1)))</f>
        <v/>
      </c>
      <c r="R60" s="16">
        <f>IF(OR($A60="",J60="",$C60=""),"",IF(COUNTIFS($A$5:$A$639,$A60,$C$5:$C$639,$C60-1,$D$5:$D$639,$D60,J$5:J$639,"&lt;&gt;")=0,"",IF(OR(SUMIFS(J$5:J$639,$A$5:$A$639,$A60,$C$5:$C$639,$C60-1,$D$5:$D$639,$D60)=0,J60*SUMIFS(J$5:J$639,$A$5:$A$639,$A60,$C$5:$C$639,$C60-1,$D$5:$D$639,$D60)&lt;0),"n.s.",ABS(J60)/ABS(SUMIFS(J$5:J$639,$A$5:$A$639,$A60,$C$5:$C$639,$C60-1,$D$5:$D$639,$D60))-1)))</f>
        <v/>
      </c>
      <c r="S60" s="16">
        <f>IF(OR($A60="",K60="",$C60=""),"",IF(COUNTIFS($A$5:$A$639,$A60,$C$5:$C$639,$C60-1,$D$5:$D$639,$D60,K$5:K$639,"&lt;&gt;")=0,"",IF(OR(SUMIFS(K$5:K$639,$A$5:$A$639,$A60,$C$5:$C$639,$C60-1,$D$5:$D$639,$D60)=0,K60*SUMIFS(K$5:K$639,$A$5:$A$639,$A60,$C$5:$C$639,$C60-1,$D$5:$D$639,$D60)&lt;0),"n.s.",ABS(K60)/ABS(SUMIFS(K$5:K$639,$A$5:$A$639,$A60,$C$5:$C$639,$C60-1,$D$5:$D$639,$D60))-1)))</f>
        <v/>
      </c>
      <c r="T60" s="16">
        <f>IF(OR($A60="",L60="",$C60=""),"",IF(COUNTIFS($A$5:$A$639,$A60,$C$5:$C$639,$C60-1,$D$5:$D$639,$D60,L$5:L$639,"&lt;&gt;")=0,"",IF(OR(SUMIFS(L$5:L$639,$A$5:$A$639,$A60,$C$5:$C$639,$C60-1,$D$5:$D$639,$D60)=0,L60*SUMIFS(L$5:L$639,$A$5:$A$639,$A60,$C$5:$C$639,$C60-1,$D$5:$D$639,$D60)&lt;0),"n.s.",ABS(L60)/ABS(SUMIFS(L$5:L$639,$A$5:$A$639,$A60,$C$5:$C$639,$C60-1,$D$5:$D$639,$D60))-1)))</f>
        <v/>
      </c>
      <c r="U60" s="16">
        <f>IF(OR($A60="",M60="",$C60=""),"",IF(COUNTIFS($A$5:$A$639,$A60,$C$5:$C$639,$C60-1,$D$5:$D$639,$D60,M$5:M$639,"&lt;&gt;")=0,"",IF(OR(SUMIFS(M$5:M$639,$A$5:$A$639,$A60,$C$5:$C$639,$C60-1,$D$5:$D$639,$D60)=0,M60*SUMIFS(M$5:M$639,$A$5:$A$639,$A60,$C$5:$C$639,$C60-1,$D$5:$D$639,$D60)&lt;0),"n.s.",ABS(M60)/ABS(SUMIFS(M$5:M$639,$A$5:$A$639,$A60,$C$5:$C$639,$C60-1,$D$5:$D$639,$D60))-1)))</f>
        <v/>
      </c>
    </row>
    <row r="61">
      <c r="A61" s="9" t="inlineStr">
        <is>
          <t>SICC</t>
        </is>
      </c>
      <c r="B61" s="10">
        <f>IF(A61="","",IFERROR(VLOOKUP(A61,Titres!$A$2:$B$400,2,FALSE),"Ticker inconnu"))</f>
        <v/>
      </c>
      <c r="C61" s="11" t="n">
        <v>2021</v>
      </c>
      <c r="D61" s="11" t="inlineStr">
        <is>
          <t>T3</t>
        </is>
      </c>
      <c r="E61" s="9" t="n"/>
      <c r="F61" s="12" t="n"/>
      <c r="G61" s="9" t="n"/>
      <c r="H61" s="13" t="n"/>
      <c r="I61" s="13" t="n"/>
      <c r="J61" s="13" t="n"/>
      <c r="K61" s="13" t="n"/>
      <c r="L61" s="13" t="n"/>
      <c r="M61" s="13" t="n"/>
      <c r="N61" s="14">
        <f>IF(A61="","",COUNT(H61:M61)/6)</f>
        <v/>
      </c>
      <c r="O61" s="15">
        <f>IF(COUNT(H61:M61)=0,"",IF(LEN(IF(COUNT(I61,J61)=2,IF(J61&gt;I61+1,"EBE &gt; VA ",""),"")&amp;IF(COUNT(H61,M61)=2,IF(ABS(M61)&gt;ABS(H61),"RN &gt; CA ",""),"")&amp;IF(COUNT(H61,K61)=2,IF(ABS(K61)&gt;ABS(H61),"RE &gt; CA ",""),""))=0,"OK",IF(COUNT(I61,J61)=2,IF(J61&gt;I61+1,"EBE &gt; VA ",""),"")&amp;IF(COUNT(H61,M61)=2,IF(ABS(M61)&gt;ABS(H61),"RN &gt; CA ",""),"")&amp;IF(COUNT(H61,K61)=2,IF(ABS(K61)&gt;ABS(H61),"RE &gt; CA ",""),"")))</f>
        <v/>
      </c>
      <c r="P61" s="16">
        <f>IF(OR($A61="",H61="",$C61=""),"",IF(COUNTIFS($A$5:$A$639,$A61,$C$5:$C$639,$C61-1,$D$5:$D$639,$D61,H$5:H$639,"&lt;&gt;")=0,"",IF(OR(SUMIFS(H$5:H$639,$A$5:$A$639,$A61,$C$5:$C$639,$C61-1,$D$5:$D$639,$D61)=0,H61*SUMIFS(H$5:H$639,$A$5:$A$639,$A61,$C$5:$C$639,$C61-1,$D$5:$D$639,$D61)&lt;0),"n.s.",ABS(H61)/ABS(SUMIFS(H$5:H$639,$A$5:$A$639,$A61,$C$5:$C$639,$C61-1,$D$5:$D$639,$D61))-1)))</f>
        <v/>
      </c>
      <c r="Q61" s="16">
        <f>IF(OR($A61="",I61="",$C61=""),"",IF(COUNTIFS($A$5:$A$639,$A61,$C$5:$C$639,$C61-1,$D$5:$D$639,$D61,I$5:I$639,"&lt;&gt;")=0,"",IF(OR(SUMIFS(I$5:I$639,$A$5:$A$639,$A61,$C$5:$C$639,$C61-1,$D$5:$D$639,$D61)=0,I61*SUMIFS(I$5:I$639,$A$5:$A$639,$A61,$C$5:$C$639,$C61-1,$D$5:$D$639,$D61)&lt;0),"n.s.",ABS(I61)/ABS(SUMIFS(I$5:I$639,$A$5:$A$639,$A61,$C$5:$C$639,$C61-1,$D$5:$D$639,$D61))-1)))</f>
        <v/>
      </c>
      <c r="R61" s="16">
        <f>IF(OR($A61="",J61="",$C61=""),"",IF(COUNTIFS($A$5:$A$639,$A61,$C$5:$C$639,$C61-1,$D$5:$D$639,$D61,J$5:J$639,"&lt;&gt;")=0,"",IF(OR(SUMIFS(J$5:J$639,$A$5:$A$639,$A61,$C$5:$C$639,$C61-1,$D$5:$D$639,$D61)=0,J61*SUMIFS(J$5:J$639,$A$5:$A$639,$A61,$C$5:$C$639,$C61-1,$D$5:$D$639,$D61)&lt;0),"n.s.",ABS(J61)/ABS(SUMIFS(J$5:J$639,$A$5:$A$639,$A61,$C$5:$C$639,$C61-1,$D$5:$D$639,$D61))-1)))</f>
        <v/>
      </c>
      <c r="S61" s="16">
        <f>IF(OR($A61="",K61="",$C61=""),"",IF(COUNTIFS($A$5:$A$639,$A61,$C$5:$C$639,$C61-1,$D$5:$D$639,$D61,K$5:K$639,"&lt;&gt;")=0,"",IF(OR(SUMIFS(K$5:K$639,$A$5:$A$639,$A61,$C$5:$C$639,$C61-1,$D$5:$D$639,$D61)=0,K61*SUMIFS(K$5:K$639,$A$5:$A$639,$A61,$C$5:$C$639,$C61-1,$D$5:$D$639,$D61)&lt;0),"n.s.",ABS(K61)/ABS(SUMIFS(K$5:K$639,$A$5:$A$639,$A61,$C$5:$C$639,$C61-1,$D$5:$D$639,$D61))-1)))</f>
        <v/>
      </c>
      <c r="T61" s="16">
        <f>IF(OR($A61="",L61="",$C61=""),"",IF(COUNTIFS($A$5:$A$639,$A61,$C$5:$C$639,$C61-1,$D$5:$D$639,$D61,L$5:L$639,"&lt;&gt;")=0,"",IF(OR(SUMIFS(L$5:L$639,$A$5:$A$639,$A61,$C$5:$C$639,$C61-1,$D$5:$D$639,$D61)=0,L61*SUMIFS(L$5:L$639,$A$5:$A$639,$A61,$C$5:$C$639,$C61-1,$D$5:$D$639,$D61)&lt;0),"n.s.",ABS(L61)/ABS(SUMIFS(L$5:L$639,$A$5:$A$639,$A61,$C$5:$C$639,$C61-1,$D$5:$D$639,$D61))-1)))</f>
        <v/>
      </c>
      <c r="U61" s="16">
        <f>IF(OR($A61="",M61="",$C61=""),"",IF(COUNTIFS($A$5:$A$639,$A61,$C$5:$C$639,$C61-1,$D$5:$D$639,$D61,M$5:M$639,"&lt;&gt;")=0,"",IF(OR(SUMIFS(M$5:M$639,$A$5:$A$639,$A61,$C$5:$C$639,$C61-1,$D$5:$D$639,$D61)=0,M61*SUMIFS(M$5:M$639,$A$5:$A$639,$A61,$C$5:$C$639,$C61-1,$D$5:$D$639,$D61)&lt;0),"n.s.",ABS(M61)/ABS(SUMIFS(M$5:M$639,$A$5:$A$639,$A61,$C$5:$C$639,$C61-1,$D$5:$D$639,$D61))-1)))</f>
        <v/>
      </c>
    </row>
    <row r="62">
      <c r="A62" s="9" t="inlineStr">
        <is>
          <t>SICC</t>
        </is>
      </c>
      <c r="B62" s="10">
        <f>IF(A62="","",IFERROR(VLOOKUP(A62,Titres!$A$2:$B$400,2,FALSE),"Ticker inconnu"))</f>
        <v/>
      </c>
      <c r="C62" s="11" t="n">
        <v>2022</v>
      </c>
      <c r="D62" s="11" t="inlineStr">
        <is>
          <t>T1</t>
        </is>
      </c>
      <c r="E62" s="9" t="n"/>
      <c r="F62" s="12" t="n"/>
      <c r="G62" s="9" t="n"/>
      <c r="H62" s="13" t="n"/>
      <c r="I62" s="13" t="n"/>
      <c r="J62" s="13" t="n"/>
      <c r="K62" s="13" t="n"/>
      <c r="L62" s="13" t="n"/>
      <c r="M62" s="13" t="n"/>
      <c r="N62" s="14">
        <f>IF(A62="","",COUNT(H62:M62)/6)</f>
        <v/>
      </c>
      <c r="O62" s="15">
        <f>IF(COUNT(H62:M62)=0,"",IF(LEN(IF(COUNT(I62,J62)=2,IF(J62&gt;I62+1,"EBE &gt; VA ",""),"")&amp;IF(COUNT(H62,M62)=2,IF(ABS(M62)&gt;ABS(H62),"RN &gt; CA ",""),"")&amp;IF(COUNT(H62,K62)=2,IF(ABS(K62)&gt;ABS(H62),"RE &gt; CA ",""),""))=0,"OK",IF(COUNT(I62,J62)=2,IF(J62&gt;I62+1,"EBE &gt; VA ",""),"")&amp;IF(COUNT(H62,M62)=2,IF(ABS(M62)&gt;ABS(H62),"RN &gt; CA ",""),"")&amp;IF(COUNT(H62,K62)=2,IF(ABS(K62)&gt;ABS(H62),"RE &gt; CA ",""),"")))</f>
        <v/>
      </c>
      <c r="P62" s="16">
        <f>IF(OR($A62="",H62="",$C62=""),"",IF(COUNTIFS($A$5:$A$639,$A62,$C$5:$C$639,$C62-1,$D$5:$D$639,$D62,H$5:H$639,"&lt;&gt;")=0,"",IF(OR(SUMIFS(H$5:H$639,$A$5:$A$639,$A62,$C$5:$C$639,$C62-1,$D$5:$D$639,$D62)=0,H62*SUMIFS(H$5:H$639,$A$5:$A$639,$A62,$C$5:$C$639,$C62-1,$D$5:$D$639,$D62)&lt;0),"n.s.",ABS(H62)/ABS(SUMIFS(H$5:H$639,$A$5:$A$639,$A62,$C$5:$C$639,$C62-1,$D$5:$D$639,$D62))-1)))</f>
        <v/>
      </c>
      <c r="Q62" s="16">
        <f>IF(OR($A62="",I62="",$C62=""),"",IF(COUNTIFS($A$5:$A$639,$A62,$C$5:$C$639,$C62-1,$D$5:$D$639,$D62,I$5:I$639,"&lt;&gt;")=0,"",IF(OR(SUMIFS(I$5:I$639,$A$5:$A$639,$A62,$C$5:$C$639,$C62-1,$D$5:$D$639,$D62)=0,I62*SUMIFS(I$5:I$639,$A$5:$A$639,$A62,$C$5:$C$639,$C62-1,$D$5:$D$639,$D62)&lt;0),"n.s.",ABS(I62)/ABS(SUMIFS(I$5:I$639,$A$5:$A$639,$A62,$C$5:$C$639,$C62-1,$D$5:$D$639,$D62))-1)))</f>
        <v/>
      </c>
      <c r="R62" s="16">
        <f>IF(OR($A62="",J62="",$C62=""),"",IF(COUNTIFS($A$5:$A$639,$A62,$C$5:$C$639,$C62-1,$D$5:$D$639,$D62,J$5:J$639,"&lt;&gt;")=0,"",IF(OR(SUMIFS(J$5:J$639,$A$5:$A$639,$A62,$C$5:$C$639,$C62-1,$D$5:$D$639,$D62)=0,J62*SUMIFS(J$5:J$639,$A$5:$A$639,$A62,$C$5:$C$639,$C62-1,$D$5:$D$639,$D62)&lt;0),"n.s.",ABS(J62)/ABS(SUMIFS(J$5:J$639,$A$5:$A$639,$A62,$C$5:$C$639,$C62-1,$D$5:$D$639,$D62))-1)))</f>
        <v/>
      </c>
      <c r="S62" s="16">
        <f>IF(OR($A62="",K62="",$C62=""),"",IF(COUNTIFS($A$5:$A$639,$A62,$C$5:$C$639,$C62-1,$D$5:$D$639,$D62,K$5:K$639,"&lt;&gt;")=0,"",IF(OR(SUMIFS(K$5:K$639,$A$5:$A$639,$A62,$C$5:$C$639,$C62-1,$D$5:$D$639,$D62)=0,K62*SUMIFS(K$5:K$639,$A$5:$A$639,$A62,$C$5:$C$639,$C62-1,$D$5:$D$639,$D62)&lt;0),"n.s.",ABS(K62)/ABS(SUMIFS(K$5:K$639,$A$5:$A$639,$A62,$C$5:$C$639,$C62-1,$D$5:$D$639,$D62))-1)))</f>
        <v/>
      </c>
      <c r="T62" s="16">
        <f>IF(OR($A62="",L62="",$C62=""),"",IF(COUNTIFS($A$5:$A$639,$A62,$C$5:$C$639,$C62-1,$D$5:$D$639,$D62,L$5:L$639,"&lt;&gt;")=0,"",IF(OR(SUMIFS(L$5:L$639,$A$5:$A$639,$A62,$C$5:$C$639,$C62-1,$D$5:$D$639,$D62)=0,L62*SUMIFS(L$5:L$639,$A$5:$A$639,$A62,$C$5:$C$639,$C62-1,$D$5:$D$639,$D62)&lt;0),"n.s.",ABS(L62)/ABS(SUMIFS(L$5:L$639,$A$5:$A$639,$A62,$C$5:$C$639,$C62-1,$D$5:$D$639,$D62))-1)))</f>
        <v/>
      </c>
      <c r="U62" s="16">
        <f>IF(OR($A62="",M62="",$C62=""),"",IF(COUNTIFS($A$5:$A$639,$A62,$C$5:$C$639,$C62-1,$D$5:$D$639,$D62,M$5:M$639,"&lt;&gt;")=0,"",IF(OR(SUMIFS(M$5:M$639,$A$5:$A$639,$A62,$C$5:$C$639,$C62-1,$D$5:$D$639,$D62)=0,M62*SUMIFS(M$5:M$639,$A$5:$A$639,$A62,$C$5:$C$639,$C62-1,$D$5:$D$639,$D62)&lt;0),"n.s.",ABS(M62)/ABS(SUMIFS(M$5:M$639,$A$5:$A$639,$A62,$C$5:$C$639,$C62-1,$D$5:$D$639,$D62))-1)))</f>
        <v/>
      </c>
    </row>
    <row r="63">
      <c r="A63" s="9" t="inlineStr">
        <is>
          <t>SICC</t>
        </is>
      </c>
      <c r="B63" s="10">
        <f>IF(A63="","",IFERROR(VLOOKUP(A63,Titres!$A$2:$B$400,2,FALSE),"Ticker inconnu"))</f>
        <v/>
      </c>
      <c r="C63" s="11" t="n">
        <v>2022</v>
      </c>
      <c r="D63" s="11" t="inlineStr">
        <is>
          <t>S1</t>
        </is>
      </c>
      <c r="E63" s="9" t="n"/>
      <c r="F63" s="12" t="n"/>
      <c r="G63" s="9" t="n"/>
      <c r="H63" s="13" t="n"/>
      <c r="I63" s="13" t="n"/>
      <c r="J63" s="13" t="n"/>
      <c r="K63" s="13" t="n"/>
      <c r="L63" s="13" t="n"/>
      <c r="M63" s="13" t="n"/>
      <c r="N63" s="14">
        <f>IF(A63="","",COUNT(H63:M63)/6)</f>
        <v/>
      </c>
      <c r="O63" s="15">
        <f>IF(COUNT(H63:M63)=0,"",IF(LEN(IF(COUNT(I63,J63)=2,IF(J63&gt;I63+1,"EBE &gt; VA ",""),"")&amp;IF(COUNT(H63,M63)=2,IF(ABS(M63)&gt;ABS(H63),"RN &gt; CA ",""),"")&amp;IF(COUNT(H63,K63)=2,IF(ABS(K63)&gt;ABS(H63),"RE &gt; CA ",""),""))=0,"OK",IF(COUNT(I63,J63)=2,IF(J63&gt;I63+1,"EBE &gt; VA ",""),"")&amp;IF(COUNT(H63,M63)=2,IF(ABS(M63)&gt;ABS(H63),"RN &gt; CA ",""),"")&amp;IF(COUNT(H63,K63)=2,IF(ABS(K63)&gt;ABS(H63),"RE &gt; CA ",""),"")))</f>
        <v/>
      </c>
      <c r="P63" s="16">
        <f>IF(OR($A63="",H63="",$C63=""),"",IF(COUNTIFS($A$5:$A$639,$A63,$C$5:$C$639,$C63-1,$D$5:$D$639,$D63,H$5:H$639,"&lt;&gt;")=0,"",IF(OR(SUMIFS(H$5:H$639,$A$5:$A$639,$A63,$C$5:$C$639,$C63-1,$D$5:$D$639,$D63)=0,H63*SUMIFS(H$5:H$639,$A$5:$A$639,$A63,$C$5:$C$639,$C63-1,$D$5:$D$639,$D63)&lt;0),"n.s.",ABS(H63)/ABS(SUMIFS(H$5:H$639,$A$5:$A$639,$A63,$C$5:$C$639,$C63-1,$D$5:$D$639,$D63))-1)))</f>
        <v/>
      </c>
      <c r="Q63" s="16">
        <f>IF(OR($A63="",I63="",$C63=""),"",IF(COUNTIFS($A$5:$A$639,$A63,$C$5:$C$639,$C63-1,$D$5:$D$639,$D63,I$5:I$639,"&lt;&gt;")=0,"",IF(OR(SUMIFS(I$5:I$639,$A$5:$A$639,$A63,$C$5:$C$639,$C63-1,$D$5:$D$639,$D63)=0,I63*SUMIFS(I$5:I$639,$A$5:$A$639,$A63,$C$5:$C$639,$C63-1,$D$5:$D$639,$D63)&lt;0),"n.s.",ABS(I63)/ABS(SUMIFS(I$5:I$639,$A$5:$A$639,$A63,$C$5:$C$639,$C63-1,$D$5:$D$639,$D63))-1)))</f>
        <v/>
      </c>
      <c r="R63" s="16">
        <f>IF(OR($A63="",J63="",$C63=""),"",IF(COUNTIFS($A$5:$A$639,$A63,$C$5:$C$639,$C63-1,$D$5:$D$639,$D63,J$5:J$639,"&lt;&gt;")=0,"",IF(OR(SUMIFS(J$5:J$639,$A$5:$A$639,$A63,$C$5:$C$639,$C63-1,$D$5:$D$639,$D63)=0,J63*SUMIFS(J$5:J$639,$A$5:$A$639,$A63,$C$5:$C$639,$C63-1,$D$5:$D$639,$D63)&lt;0),"n.s.",ABS(J63)/ABS(SUMIFS(J$5:J$639,$A$5:$A$639,$A63,$C$5:$C$639,$C63-1,$D$5:$D$639,$D63))-1)))</f>
        <v/>
      </c>
      <c r="S63" s="16">
        <f>IF(OR($A63="",K63="",$C63=""),"",IF(COUNTIFS($A$5:$A$639,$A63,$C$5:$C$639,$C63-1,$D$5:$D$639,$D63,K$5:K$639,"&lt;&gt;")=0,"",IF(OR(SUMIFS(K$5:K$639,$A$5:$A$639,$A63,$C$5:$C$639,$C63-1,$D$5:$D$639,$D63)=0,K63*SUMIFS(K$5:K$639,$A$5:$A$639,$A63,$C$5:$C$639,$C63-1,$D$5:$D$639,$D63)&lt;0),"n.s.",ABS(K63)/ABS(SUMIFS(K$5:K$639,$A$5:$A$639,$A63,$C$5:$C$639,$C63-1,$D$5:$D$639,$D63))-1)))</f>
        <v/>
      </c>
      <c r="T63" s="16">
        <f>IF(OR($A63="",L63="",$C63=""),"",IF(COUNTIFS($A$5:$A$639,$A63,$C$5:$C$639,$C63-1,$D$5:$D$639,$D63,L$5:L$639,"&lt;&gt;")=0,"",IF(OR(SUMIFS(L$5:L$639,$A$5:$A$639,$A63,$C$5:$C$639,$C63-1,$D$5:$D$639,$D63)=0,L63*SUMIFS(L$5:L$639,$A$5:$A$639,$A63,$C$5:$C$639,$C63-1,$D$5:$D$639,$D63)&lt;0),"n.s.",ABS(L63)/ABS(SUMIFS(L$5:L$639,$A$5:$A$639,$A63,$C$5:$C$639,$C63-1,$D$5:$D$639,$D63))-1)))</f>
        <v/>
      </c>
      <c r="U63" s="16">
        <f>IF(OR($A63="",M63="",$C63=""),"",IF(COUNTIFS($A$5:$A$639,$A63,$C$5:$C$639,$C63-1,$D$5:$D$639,$D63,M$5:M$639,"&lt;&gt;")=0,"",IF(OR(SUMIFS(M$5:M$639,$A$5:$A$639,$A63,$C$5:$C$639,$C63-1,$D$5:$D$639,$D63)=0,M63*SUMIFS(M$5:M$639,$A$5:$A$639,$A63,$C$5:$C$639,$C63-1,$D$5:$D$639,$D63)&lt;0),"n.s.",ABS(M63)/ABS(SUMIFS(M$5:M$639,$A$5:$A$639,$A63,$C$5:$C$639,$C63-1,$D$5:$D$639,$D63))-1)))</f>
        <v/>
      </c>
    </row>
    <row r="64">
      <c r="A64" s="9" t="inlineStr">
        <is>
          <t>SICC</t>
        </is>
      </c>
      <c r="B64" s="10">
        <f>IF(A64="","",IFERROR(VLOOKUP(A64,Titres!$A$2:$B$400,2,FALSE),"Ticker inconnu"))</f>
        <v/>
      </c>
      <c r="C64" s="11" t="n">
        <v>2022</v>
      </c>
      <c r="D64" s="11" t="inlineStr">
        <is>
          <t>T3</t>
        </is>
      </c>
      <c r="E64" s="9" t="n"/>
      <c r="F64" s="12" t="n"/>
      <c r="G64" s="9" t="n"/>
      <c r="H64" s="13" t="n"/>
      <c r="I64" s="13" t="n"/>
      <c r="J64" s="13" t="n"/>
      <c r="K64" s="13" t="n"/>
      <c r="L64" s="13" t="n"/>
      <c r="M64" s="13" t="n"/>
      <c r="N64" s="14">
        <f>IF(A64="","",COUNT(H64:M64)/6)</f>
        <v/>
      </c>
      <c r="O64" s="15">
        <f>IF(COUNT(H64:M64)=0,"",IF(LEN(IF(COUNT(I64,J64)=2,IF(J64&gt;I64+1,"EBE &gt; VA ",""),"")&amp;IF(COUNT(H64,M64)=2,IF(ABS(M64)&gt;ABS(H64),"RN &gt; CA ",""),"")&amp;IF(COUNT(H64,K64)=2,IF(ABS(K64)&gt;ABS(H64),"RE &gt; CA ",""),""))=0,"OK",IF(COUNT(I64,J64)=2,IF(J64&gt;I64+1,"EBE &gt; VA ",""),"")&amp;IF(COUNT(H64,M64)=2,IF(ABS(M64)&gt;ABS(H64),"RN &gt; CA ",""),"")&amp;IF(COUNT(H64,K64)=2,IF(ABS(K64)&gt;ABS(H64),"RE &gt; CA ",""),"")))</f>
        <v/>
      </c>
      <c r="P64" s="16">
        <f>IF(OR($A64="",H64="",$C64=""),"",IF(COUNTIFS($A$5:$A$639,$A64,$C$5:$C$639,$C64-1,$D$5:$D$639,$D64,H$5:H$639,"&lt;&gt;")=0,"",IF(OR(SUMIFS(H$5:H$639,$A$5:$A$639,$A64,$C$5:$C$639,$C64-1,$D$5:$D$639,$D64)=0,H64*SUMIFS(H$5:H$639,$A$5:$A$639,$A64,$C$5:$C$639,$C64-1,$D$5:$D$639,$D64)&lt;0),"n.s.",ABS(H64)/ABS(SUMIFS(H$5:H$639,$A$5:$A$639,$A64,$C$5:$C$639,$C64-1,$D$5:$D$639,$D64))-1)))</f>
        <v/>
      </c>
      <c r="Q64" s="16">
        <f>IF(OR($A64="",I64="",$C64=""),"",IF(COUNTIFS($A$5:$A$639,$A64,$C$5:$C$639,$C64-1,$D$5:$D$639,$D64,I$5:I$639,"&lt;&gt;")=0,"",IF(OR(SUMIFS(I$5:I$639,$A$5:$A$639,$A64,$C$5:$C$639,$C64-1,$D$5:$D$639,$D64)=0,I64*SUMIFS(I$5:I$639,$A$5:$A$639,$A64,$C$5:$C$639,$C64-1,$D$5:$D$639,$D64)&lt;0),"n.s.",ABS(I64)/ABS(SUMIFS(I$5:I$639,$A$5:$A$639,$A64,$C$5:$C$639,$C64-1,$D$5:$D$639,$D64))-1)))</f>
        <v/>
      </c>
      <c r="R64" s="16">
        <f>IF(OR($A64="",J64="",$C64=""),"",IF(COUNTIFS($A$5:$A$639,$A64,$C$5:$C$639,$C64-1,$D$5:$D$639,$D64,J$5:J$639,"&lt;&gt;")=0,"",IF(OR(SUMIFS(J$5:J$639,$A$5:$A$639,$A64,$C$5:$C$639,$C64-1,$D$5:$D$639,$D64)=0,J64*SUMIFS(J$5:J$639,$A$5:$A$639,$A64,$C$5:$C$639,$C64-1,$D$5:$D$639,$D64)&lt;0),"n.s.",ABS(J64)/ABS(SUMIFS(J$5:J$639,$A$5:$A$639,$A64,$C$5:$C$639,$C64-1,$D$5:$D$639,$D64))-1)))</f>
        <v/>
      </c>
      <c r="S64" s="16">
        <f>IF(OR($A64="",K64="",$C64=""),"",IF(COUNTIFS($A$5:$A$639,$A64,$C$5:$C$639,$C64-1,$D$5:$D$639,$D64,K$5:K$639,"&lt;&gt;")=0,"",IF(OR(SUMIFS(K$5:K$639,$A$5:$A$639,$A64,$C$5:$C$639,$C64-1,$D$5:$D$639,$D64)=0,K64*SUMIFS(K$5:K$639,$A$5:$A$639,$A64,$C$5:$C$639,$C64-1,$D$5:$D$639,$D64)&lt;0),"n.s.",ABS(K64)/ABS(SUMIFS(K$5:K$639,$A$5:$A$639,$A64,$C$5:$C$639,$C64-1,$D$5:$D$639,$D64))-1)))</f>
        <v/>
      </c>
      <c r="T64" s="16">
        <f>IF(OR($A64="",L64="",$C64=""),"",IF(COUNTIFS($A$5:$A$639,$A64,$C$5:$C$639,$C64-1,$D$5:$D$639,$D64,L$5:L$639,"&lt;&gt;")=0,"",IF(OR(SUMIFS(L$5:L$639,$A$5:$A$639,$A64,$C$5:$C$639,$C64-1,$D$5:$D$639,$D64)=0,L64*SUMIFS(L$5:L$639,$A$5:$A$639,$A64,$C$5:$C$639,$C64-1,$D$5:$D$639,$D64)&lt;0),"n.s.",ABS(L64)/ABS(SUMIFS(L$5:L$639,$A$5:$A$639,$A64,$C$5:$C$639,$C64-1,$D$5:$D$639,$D64))-1)))</f>
        <v/>
      </c>
      <c r="U64" s="16">
        <f>IF(OR($A64="",M64="",$C64=""),"",IF(COUNTIFS($A$5:$A$639,$A64,$C$5:$C$639,$C64-1,$D$5:$D$639,$D64,M$5:M$639,"&lt;&gt;")=0,"",IF(OR(SUMIFS(M$5:M$639,$A$5:$A$639,$A64,$C$5:$C$639,$C64-1,$D$5:$D$639,$D64)=0,M64*SUMIFS(M$5:M$639,$A$5:$A$639,$A64,$C$5:$C$639,$C64-1,$D$5:$D$639,$D64)&lt;0),"n.s.",ABS(M64)/ABS(SUMIFS(M$5:M$639,$A$5:$A$639,$A64,$C$5:$C$639,$C64-1,$D$5:$D$639,$D64))-1)))</f>
        <v/>
      </c>
    </row>
    <row r="65">
      <c r="A65" s="9" t="inlineStr">
        <is>
          <t>SICC</t>
        </is>
      </c>
      <c r="B65" s="10">
        <f>IF(A65="","",IFERROR(VLOOKUP(A65,Titres!$A$2:$B$400,2,FALSE),"Ticker inconnu"))</f>
        <v/>
      </c>
      <c r="C65" s="11" t="n">
        <v>2023</v>
      </c>
      <c r="D65" s="11" t="inlineStr">
        <is>
          <t>T1</t>
        </is>
      </c>
      <c r="E65" s="9" t="n"/>
      <c r="F65" s="12" t="n"/>
      <c r="G65" s="9" t="n"/>
      <c r="H65" s="13" t="n"/>
      <c r="I65" s="13" t="n"/>
      <c r="J65" s="13" t="n"/>
      <c r="K65" s="13" t="n"/>
      <c r="L65" s="13" t="n"/>
      <c r="M65" s="13" t="n"/>
      <c r="N65" s="14">
        <f>IF(A65="","",COUNT(H65:M65)/6)</f>
        <v/>
      </c>
      <c r="O65" s="15">
        <f>IF(COUNT(H65:M65)=0,"",IF(LEN(IF(COUNT(I65,J65)=2,IF(J65&gt;I65+1,"EBE &gt; VA ",""),"")&amp;IF(COUNT(H65,M65)=2,IF(ABS(M65)&gt;ABS(H65),"RN &gt; CA ",""),"")&amp;IF(COUNT(H65,K65)=2,IF(ABS(K65)&gt;ABS(H65),"RE &gt; CA ",""),""))=0,"OK",IF(COUNT(I65,J65)=2,IF(J65&gt;I65+1,"EBE &gt; VA ",""),"")&amp;IF(COUNT(H65,M65)=2,IF(ABS(M65)&gt;ABS(H65),"RN &gt; CA ",""),"")&amp;IF(COUNT(H65,K65)=2,IF(ABS(K65)&gt;ABS(H65),"RE &gt; CA ",""),"")))</f>
        <v/>
      </c>
      <c r="P65" s="16">
        <f>IF(OR($A65="",H65="",$C65=""),"",IF(COUNTIFS($A$5:$A$639,$A65,$C$5:$C$639,$C65-1,$D$5:$D$639,$D65,H$5:H$639,"&lt;&gt;")=0,"",IF(OR(SUMIFS(H$5:H$639,$A$5:$A$639,$A65,$C$5:$C$639,$C65-1,$D$5:$D$639,$D65)=0,H65*SUMIFS(H$5:H$639,$A$5:$A$639,$A65,$C$5:$C$639,$C65-1,$D$5:$D$639,$D65)&lt;0),"n.s.",ABS(H65)/ABS(SUMIFS(H$5:H$639,$A$5:$A$639,$A65,$C$5:$C$639,$C65-1,$D$5:$D$639,$D65))-1)))</f>
        <v/>
      </c>
      <c r="Q65" s="16">
        <f>IF(OR($A65="",I65="",$C65=""),"",IF(COUNTIFS($A$5:$A$639,$A65,$C$5:$C$639,$C65-1,$D$5:$D$639,$D65,I$5:I$639,"&lt;&gt;")=0,"",IF(OR(SUMIFS(I$5:I$639,$A$5:$A$639,$A65,$C$5:$C$639,$C65-1,$D$5:$D$639,$D65)=0,I65*SUMIFS(I$5:I$639,$A$5:$A$639,$A65,$C$5:$C$639,$C65-1,$D$5:$D$639,$D65)&lt;0),"n.s.",ABS(I65)/ABS(SUMIFS(I$5:I$639,$A$5:$A$639,$A65,$C$5:$C$639,$C65-1,$D$5:$D$639,$D65))-1)))</f>
        <v/>
      </c>
      <c r="R65" s="16">
        <f>IF(OR($A65="",J65="",$C65=""),"",IF(COUNTIFS($A$5:$A$639,$A65,$C$5:$C$639,$C65-1,$D$5:$D$639,$D65,J$5:J$639,"&lt;&gt;")=0,"",IF(OR(SUMIFS(J$5:J$639,$A$5:$A$639,$A65,$C$5:$C$639,$C65-1,$D$5:$D$639,$D65)=0,J65*SUMIFS(J$5:J$639,$A$5:$A$639,$A65,$C$5:$C$639,$C65-1,$D$5:$D$639,$D65)&lt;0),"n.s.",ABS(J65)/ABS(SUMIFS(J$5:J$639,$A$5:$A$639,$A65,$C$5:$C$639,$C65-1,$D$5:$D$639,$D65))-1)))</f>
        <v/>
      </c>
      <c r="S65" s="16">
        <f>IF(OR($A65="",K65="",$C65=""),"",IF(COUNTIFS($A$5:$A$639,$A65,$C$5:$C$639,$C65-1,$D$5:$D$639,$D65,K$5:K$639,"&lt;&gt;")=0,"",IF(OR(SUMIFS(K$5:K$639,$A$5:$A$639,$A65,$C$5:$C$639,$C65-1,$D$5:$D$639,$D65)=0,K65*SUMIFS(K$5:K$639,$A$5:$A$639,$A65,$C$5:$C$639,$C65-1,$D$5:$D$639,$D65)&lt;0),"n.s.",ABS(K65)/ABS(SUMIFS(K$5:K$639,$A$5:$A$639,$A65,$C$5:$C$639,$C65-1,$D$5:$D$639,$D65))-1)))</f>
        <v/>
      </c>
      <c r="T65" s="16">
        <f>IF(OR($A65="",L65="",$C65=""),"",IF(COUNTIFS($A$5:$A$639,$A65,$C$5:$C$639,$C65-1,$D$5:$D$639,$D65,L$5:L$639,"&lt;&gt;")=0,"",IF(OR(SUMIFS(L$5:L$639,$A$5:$A$639,$A65,$C$5:$C$639,$C65-1,$D$5:$D$639,$D65)=0,L65*SUMIFS(L$5:L$639,$A$5:$A$639,$A65,$C$5:$C$639,$C65-1,$D$5:$D$639,$D65)&lt;0),"n.s.",ABS(L65)/ABS(SUMIFS(L$5:L$639,$A$5:$A$639,$A65,$C$5:$C$639,$C65-1,$D$5:$D$639,$D65))-1)))</f>
        <v/>
      </c>
      <c r="U65" s="16">
        <f>IF(OR($A65="",M65="",$C65=""),"",IF(COUNTIFS($A$5:$A$639,$A65,$C$5:$C$639,$C65-1,$D$5:$D$639,$D65,M$5:M$639,"&lt;&gt;")=0,"",IF(OR(SUMIFS(M$5:M$639,$A$5:$A$639,$A65,$C$5:$C$639,$C65-1,$D$5:$D$639,$D65)=0,M65*SUMIFS(M$5:M$639,$A$5:$A$639,$A65,$C$5:$C$639,$C65-1,$D$5:$D$639,$D65)&lt;0),"n.s.",ABS(M65)/ABS(SUMIFS(M$5:M$639,$A$5:$A$639,$A65,$C$5:$C$639,$C65-1,$D$5:$D$639,$D65))-1)))</f>
        <v/>
      </c>
    </row>
    <row r="66">
      <c r="A66" s="9" t="inlineStr">
        <is>
          <t>SICC</t>
        </is>
      </c>
      <c r="B66" s="10">
        <f>IF(A66="","",IFERROR(VLOOKUP(A66,Titres!$A$2:$B$400,2,FALSE),"Ticker inconnu"))</f>
        <v/>
      </c>
      <c r="C66" s="11" t="n">
        <v>2023</v>
      </c>
      <c r="D66" s="11" t="inlineStr">
        <is>
          <t>S1</t>
        </is>
      </c>
      <c r="E66" s="9" t="n"/>
      <c r="F66" s="12" t="n"/>
      <c r="G66" s="9" t="n"/>
      <c r="H66" s="13" t="n"/>
      <c r="I66" s="13" t="n"/>
      <c r="J66" s="13" t="n"/>
      <c r="K66" s="13" t="n"/>
      <c r="L66" s="13" t="n"/>
      <c r="M66" s="13" t="n"/>
      <c r="N66" s="14">
        <f>IF(A66="","",COUNT(H66:M66)/6)</f>
        <v/>
      </c>
      <c r="O66" s="15">
        <f>IF(COUNT(H66:M66)=0,"",IF(LEN(IF(COUNT(I66,J66)=2,IF(J66&gt;I66+1,"EBE &gt; VA ",""),"")&amp;IF(COUNT(H66,M66)=2,IF(ABS(M66)&gt;ABS(H66),"RN &gt; CA ",""),"")&amp;IF(COUNT(H66,K66)=2,IF(ABS(K66)&gt;ABS(H66),"RE &gt; CA ",""),""))=0,"OK",IF(COUNT(I66,J66)=2,IF(J66&gt;I66+1,"EBE &gt; VA ",""),"")&amp;IF(COUNT(H66,M66)=2,IF(ABS(M66)&gt;ABS(H66),"RN &gt; CA ",""),"")&amp;IF(COUNT(H66,K66)=2,IF(ABS(K66)&gt;ABS(H66),"RE &gt; CA ",""),"")))</f>
        <v/>
      </c>
      <c r="P66" s="16">
        <f>IF(OR($A66="",H66="",$C66=""),"",IF(COUNTIFS($A$5:$A$639,$A66,$C$5:$C$639,$C66-1,$D$5:$D$639,$D66,H$5:H$639,"&lt;&gt;")=0,"",IF(OR(SUMIFS(H$5:H$639,$A$5:$A$639,$A66,$C$5:$C$639,$C66-1,$D$5:$D$639,$D66)=0,H66*SUMIFS(H$5:H$639,$A$5:$A$639,$A66,$C$5:$C$639,$C66-1,$D$5:$D$639,$D66)&lt;0),"n.s.",ABS(H66)/ABS(SUMIFS(H$5:H$639,$A$5:$A$639,$A66,$C$5:$C$639,$C66-1,$D$5:$D$639,$D66))-1)))</f>
        <v/>
      </c>
      <c r="Q66" s="16">
        <f>IF(OR($A66="",I66="",$C66=""),"",IF(COUNTIFS($A$5:$A$639,$A66,$C$5:$C$639,$C66-1,$D$5:$D$639,$D66,I$5:I$639,"&lt;&gt;")=0,"",IF(OR(SUMIFS(I$5:I$639,$A$5:$A$639,$A66,$C$5:$C$639,$C66-1,$D$5:$D$639,$D66)=0,I66*SUMIFS(I$5:I$639,$A$5:$A$639,$A66,$C$5:$C$639,$C66-1,$D$5:$D$639,$D66)&lt;0),"n.s.",ABS(I66)/ABS(SUMIFS(I$5:I$639,$A$5:$A$639,$A66,$C$5:$C$639,$C66-1,$D$5:$D$639,$D66))-1)))</f>
        <v/>
      </c>
      <c r="R66" s="16">
        <f>IF(OR($A66="",J66="",$C66=""),"",IF(COUNTIFS($A$5:$A$639,$A66,$C$5:$C$639,$C66-1,$D$5:$D$639,$D66,J$5:J$639,"&lt;&gt;")=0,"",IF(OR(SUMIFS(J$5:J$639,$A$5:$A$639,$A66,$C$5:$C$639,$C66-1,$D$5:$D$639,$D66)=0,J66*SUMIFS(J$5:J$639,$A$5:$A$639,$A66,$C$5:$C$639,$C66-1,$D$5:$D$639,$D66)&lt;0),"n.s.",ABS(J66)/ABS(SUMIFS(J$5:J$639,$A$5:$A$639,$A66,$C$5:$C$639,$C66-1,$D$5:$D$639,$D66))-1)))</f>
        <v/>
      </c>
      <c r="S66" s="16">
        <f>IF(OR($A66="",K66="",$C66=""),"",IF(COUNTIFS($A$5:$A$639,$A66,$C$5:$C$639,$C66-1,$D$5:$D$639,$D66,K$5:K$639,"&lt;&gt;")=0,"",IF(OR(SUMIFS(K$5:K$639,$A$5:$A$639,$A66,$C$5:$C$639,$C66-1,$D$5:$D$639,$D66)=0,K66*SUMIFS(K$5:K$639,$A$5:$A$639,$A66,$C$5:$C$639,$C66-1,$D$5:$D$639,$D66)&lt;0),"n.s.",ABS(K66)/ABS(SUMIFS(K$5:K$639,$A$5:$A$639,$A66,$C$5:$C$639,$C66-1,$D$5:$D$639,$D66))-1)))</f>
        <v/>
      </c>
      <c r="T66" s="16">
        <f>IF(OR($A66="",L66="",$C66=""),"",IF(COUNTIFS($A$5:$A$639,$A66,$C$5:$C$639,$C66-1,$D$5:$D$639,$D66,L$5:L$639,"&lt;&gt;")=0,"",IF(OR(SUMIFS(L$5:L$639,$A$5:$A$639,$A66,$C$5:$C$639,$C66-1,$D$5:$D$639,$D66)=0,L66*SUMIFS(L$5:L$639,$A$5:$A$639,$A66,$C$5:$C$639,$C66-1,$D$5:$D$639,$D66)&lt;0),"n.s.",ABS(L66)/ABS(SUMIFS(L$5:L$639,$A$5:$A$639,$A66,$C$5:$C$639,$C66-1,$D$5:$D$639,$D66))-1)))</f>
        <v/>
      </c>
      <c r="U66" s="16">
        <f>IF(OR($A66="",M66="",$C66=""),"",IF(COUNTIFS($A$5:$A$639,$A66,$C$5:$C$639,$C66-1,$D$5:$D$639,$D66,M$5:M$639,"&lt;&gt;")=0,"",IF(OR(SUMIFS(M$5:M$639,$A$5:$A$639,$A66,$C$5:$C$639,$C66-1,$D$5:$D$639,$D66)=0,M66*SUMIFS(M$5:M$639,$A$5:$A$639,$A66,$C$5:$C$639,$C66-1,$D$5:$D$639,$D66)&lt;0),"n.s.",ABS(M66)/ABS(SUMIFS(M$5:M$639,$A$5:$A$639,$A66,$C$5:$C$639,$C66-1,$D$5:$D$639,$D66))-1)))</f>
        <v/>
      </c>
    </row>
    <row r="67">
      <c r="A67" s="9" t="inlineStr">
        <is>
          <t>SICC</t>
        </is>
      </c>
      <c r="B67" s="10">
        <f>IF(A67="","",IFERROR(VLOOKUP(A67,Titres!$A$2:$B$400,2,FALSE),"Ticker inconnu"))</f>
        <v/>
      </c>
      <c r="C67" s="11" t="n">
        <v>2023</v>
      </c>
      <c r="D67" s="11" t="inlineStr">
        <is>
          <t>T3</t>
        </is>
      </c>
      <c r="E67" s="9" t="n"/>
      <c r="F67" s="12" t="n"/>
      <c r="G67" s="9" t="n"/>
      <c r="H67" s="13" t="n"/>
      <c r="I67" s="13" t="n"/>
      <c r="J67" s="13" t="n"/>
      <c r="K67" s="13" t="n"/>
      <c r="L67" s="13" t="n"/>
      <c r="M67" s="13" t="n"/>
      <c r="N67" s="14">
        <f>IF(A67="","",COUNT(H67:M67)/6)</f>
        <v/>
      </c>
      <c r="O67" s="15">
        <f>IF(COUNT(H67:M67)=0,"",IF(LEN(IF(COUNT(I67,J67)=2,IF(J67&gt;I67+1,"EBE &gt; VA ",""),"")&amp;IF(COUNT(H67,M67)=2,IF(ABS(M67)&gt;ABS(H67),"RN &gt; CA ",""),"")&amp;IF(COUNT(H67,K67)=2,IF(ABS(K67)&gt;ABS(H67),"RE &gt; CA ",""),""))=0,"OK",IF(COUNT(I67,J67)=2,IF(J67&gt;I67+1,"EBE &gt; VA ",""),"")&amp;IF(COUNT(H67,M67)=2,IF(ABS(M67)&gt;ABS(H67),"RN &gt; CA ",""),"")&amp;IF(COUNT(H67,K67)=2,IF(ABS(K67)&gt;ABS(H67),"RE &gt; CA ",""),"")))</f>
        <v/>
      </c>
      <c r="P67" s="16">
        <f>IF(OR($A67="",H67="",$C67=""),"",IF(COUNTIFS($A$5:$A$639,$A67,$C$5:$C$639,$C67-1,$D$5:$D$639,$D67,H$5:H$639,"&lt;&gt;")=0,"",IF(OR(SUMIFS(H$5:H$639,$A$5:$A$639,$A67,$C$5:$C$639,$C67-1,$D$5:$D$639,$D67)=0,H67*SUMIFS(H$5:H$639,$A$5:$A$639,$A67,$C$5:$C$639,$C67-1,$D$5:$D$639,$D67)&lt;0),"n.s.",ABS(H67)/ABS(SUMIFS(H$5:H$639,$A$5:$A$639,$A67,$C$5:$C$639,$C67-1,$D$5:$D$639,$D67))-1)))</f>
        <v/>
      </c>
      <c r="Q67" s="16">
        <f>IF(OR($A67="",I67="",$C67=""),"",IF(COUNTIFS($A$5:$A$639,$A67,$C$5:$C$639,$C67-1,$D$5:$D$639,$D67,I$5:I$639,"&lt;&gt;")=0,"",IF(OR(SUMIFS(I$5:I$639,$A$5:$A$639,$A67,$C$5:$C$639,$C67-1,$D$5:$D$639,$D67)=0,I67*SUMIFS(I$5:I$639,$A$5:$A$639,$A67,$C$5:$C$639,$C67-1,$D$5:$D$639,$D67)&lt;0),"n.s.",ABS(I67)/ABS(SUMIFS(I$5:I$639,$A$5:$A$639,$A67,$C$5:$C$639,$C67-1,$D$5:$D$639,$D67))-1)))</f>
        <v/>
      </c>
      <c r="R67" s="16">
        <f>IF(OR($A67="",J67="",$C67=""),"",IF(COUNTIFS($A$5:$A$639,$A67,$C$5:$C$639,$C67-1,$D$5:$D$639,$D67,J$5:J$639,"&lt;&gt;")=0,"",IF(OR(SUMIFS(J$5:J$639,$A$5:$A$639,$A67,$C$5:$C$639,$C67-1,$D$5:$D$639,$D67)=0,J67*SUMIFS(J$5:J$639,$A$5:$A$639,$A67,$C$5:$C$639,$C67-1,$D$5:$D$639,$D67)&lt;0),"n.s.",ABS(J67)/ABS(SUMIFS(J$5:J$639,$A$5:$A$639,$A67,$C$5:$C$639,$C67-1,$D$5:$D$639,$D67))-1)))</f>
        <v/>
      </c>
      <c r="S67" s="16">
        <f>IF(OR($A67="",K67="",$C67=""),"",IF(COUNTIFS($A$5:$A$639,$A67,$C$5:$C$639,$C67-1,$D$5:$D$639,$D67,K$5:K$639,"&lt;&gt;")=0,"",IF(OR(SUMIFS(K$5:K$639,$A$5:$A$639,$A67,$C$5:$C$639,$C67-1,$D$5:$D$639,$D67)=0,K67*SUMIFS(K$5:K$639,$A$5:$A$639,$A67,$C$5:$C$639,$C67-1,$D$5:$D$639,$D67)&lt;0),"n.s.",ABS(K67)/ABS(SUMIFS(K$5:K$639,$A$5:$A$639,$A67,$C$5:$C$639,$C67-1,$D$5:$D$639,$D67))-1)))</f>
        <v/>
      </c>
      <c r="T67" s="16">
        <f>IF(OR($A67="",L67="",$C67=""),"",IF(COUNTIFS($A$5:$A$639,$A67,$C$5:$C$639,$C67-1,$D$5:$D$639,$D67,L$5:L$639,"&lt;&gt;")=0,"",IF(OR(SUMIFS(L$5:L$639,$A$5:$A$639,$A67,$C$5:$C$639,$C67-1,$D$5:$D$639,$D67)=0,L67*SUMIFS(L$5:L$639,$A$5:$A$639,$A67,$C$5:$C$639,$C67-1,$D$5:$D$639,$D67)&lt;0),"n.s.",ABS(L67)/ABS(SUMIFS(L$5:L$639,$A$5:$A$639,$A67,$C$5:$C$639,$C67-1,$D$5:$D$639,$D67))-1)))</f>
        <v/>
      </c>
      <c r="U67" s="16">
        <f>IF(OR($A67="",M67="",$C67=""),"",IF(COUNTIFS($A$5:$A$639,$A67,$C$5:$C$639,$C67-1,$D$5:$D$639,$D67,M$5:M$639,"&lt;&gt;")=0,"",IF(OR(SUMIFS(M$5:M$639,$A$5:$A$639,$A67,$C$5:$C$639,$C67-1,$D$5:$D$639,$D67)=0,M67*SUMIFS(M$5:M$639,$A$5:$A$639,$A67,$C$5:$C$639,$C67-1,$D$5:$D$639,$D67)&lt;0),"n.s.",ABS(M67)/ABS(SUMIFS(M$5:M$639,$A$5:$A$639,$A67,$C$5:$C$639,$C67-1,$D$5:$D$639,$D67))-1)))</f>
        <v/>
      </c>
    </row>
    <row r="68">
      <c r="A68" s="9" t="inlineStr">
        <is>
          <t>SICC</t>
        </is>
      </c>
      <c r="B68" s="10">
        <f>IF(A68="","",IFERROR(VLOOKUP(A68,Titres!$A$2:$B$400,2,FALSE),"Ticker inconnu"))</f>
        <v/>
      </c>
      <c r="C68" s="11" t="n">
        <v>2024</v>
      </c>
      <c r="D68" s="11" t="inlineStr">
        <is>
          <t>T1</t>
        </is>
      </c>
      <c r="E68" s="9" t="n"/>
      <c r="F68" s="12" t="n"/>
      <c r="G68" s="9" t="n"/>
      <c r="H68" s="13" t="n"/>
      <c r="I68" s="13" t="n"/>
      <c r="J68" s="13" t="n"/>
      <c r="K68" s="13" t="n"/>
      <c r="L68" s="13" t="n"/>
      <c r="M68" s="13" t="n"/>
      <c r="N68" s="14">
        <f>IF(A68="","",COUNT(H68:M68)/6)</f>
        <v/>
      </c>
      <c r="O68" s="15">
        <f>IF(COUNT(H68:M68)=0,"",IF(LEN(IF(COUNT(I68,J68)=2,IF(J68&gt;I68+1,"EBE &gt; VA ",""),"")&amp;IF(COUNT(H68,M68)=2,IF(ABS(M68)&gt;ABS(H68),"RN &gt; CA ",""),"")&amp;IF(COUNT(H68,K68)=2,IF(ABS(K68)&gt;ABS(H68),"RE &gt; CA ",""),""))=0,"OK",IF(COUNT(I68,J68)=2,IF(J68&gt;I68+1,"EBE &gt; VA ",""),"")&amp;IF(COUNT(H68,M68)=2,IF(ABS(M68)&gt;ABS(H68),"RN &gt; CA ",""),"")&amp;IF(COUNT(H68,K68)=2,IF(ABS(K68)&gt;ABS(H68),"RE &gt; CA ",""),"")))</f>
        <v/>
      </c>
      <c r="P68" s="16">
        <f>IF(OR($A68="",H68="",$C68=""),"",IF(COUNTIFS($A$5:$A$639,$A68,$C$5:$C$639,$C68-1,$D$5:$D$639,$D68,H$5:H$639,"&lt;&gt;")=0,"",IF(OR(SUMIFS(H$5:H$639,$A$5:$A$639,$A68,$C$5:$C$639,$C68-1,$D$5:$D$639,$D68)=0,H68*SUMIFS(H$5:H$639,$A$5:$A$639,$A68,$C$5:$C$639,$C68-1,$D$5:$D$639,$D68)&lt;0),"n.s.",ABS(H68)/ABS(SUMIFS(H$5:H$639,$A$5:$A$639,$A68,$C$5:$C$639,$C68-1,$D$5:$D$639,$D68))-1)))</f>
        <v/>
      </c>
      <c r="Q68" s="16">
        <f>IF(OR($A68="",I68="",$C68=""),"",IF(COUNTIFS($A$5:$A$639,$A68,$C$5:$C$639,$C68-1,$D$5:$D$639,$D68,I$5:I$639,"&lt;&gt;")=0,"",IF(OR(SUMIFS(I$5:I$639,$A$5:$A$639,$A68,$C$5:$C$639,$C68-1,$D$5:$D$639,$D68)=0,I68*SUMIFS(I$5:I$639,$A$5:$A$639,$A68,$C$5:$C$639,$C68-1,$D$5:$D$639,$D68)&lt;0),"n.s.",ABS(I68)/ABS(SUMIFS(I$5:I$639,$A$5:$A$639,$A68,$C$5:$C$639,$C68-1,$D$5:$D$639,$D68))-1)))</f>
        <v/>
      </c>
      <c r="R68" s="16">
        <f>IF(OR($A68="",J68="",$C68=""),"",IF(COUNTIFS($A$5:$A$639,$A68,$C$5:$C$639,$C68-1,$D$5:$D$639,$D68,J$5:J$639,"&lt;&gt;")=0,"",IF(OR(SUMIFS(J$5:J$639,$A$5:$A$639,$A68,$C$5:$C$639,$C68-1,$D$5:$D$639,$D68)=0,J68*SUMIFS(J$5:J$639,$A$5:$A$639,$A68,$C$5:$C$639,$C68-1,$D$5:$D$639,$D68)&lt;0),"n.s.",ABS(J68)/ABS(SUMIFS(J$5:J$639,$A$5:$A$639,$A68,$C$5:$C$639,$C68-1,$D$5:$D$639,$D68))-1)))</f>
        <v/>
      </c>
      <c r="S68" s="16">
        <f>IF(OR($A68="",K68="",$C68=""),"",IF(COUNTIFS($A$5:$A$639,$A68,$C$5:$C$639,$C68-1,$D$5:$D$639,$D68,K$5:K$639,"&lt;&gt;")=0,"",IF(OR(SUMIFS(K$5:K$639,$A$5:$A$639,$A68,$C$5:$C$639,$C68-1,$D$5:$D$639,$D68)=0,K68*SUMIFS(K$5:K$639,$A$5:$A$639,$A68,$C$5:$C$639,$C68-1,$D$5:$D$639,$D68)&lt;0),"n.s.",ABS(K68)/ABS(SUMIFS(K$5:K$639,$A$5:$A$639,$A68,$C$5:$C$639,$C68-1,$D$5:$D$639,$D68))-1)))</f>
        <v/>
      </c>
      <c r="T68" s="16">
        <f>IF(OR($A68="",L68="",$C68=""),"",IF(COUNTIFS($A$5:$A$639,$A68,$C$5:$C$639,$C68-1,$D$5:$D$639,$D68,L$5:L$639,"&lt;&gt;")=0,"",IF(OR(SUMIFS(L$5:L$639,$A$5:$A$639,$A68,$C$5:$C$639,$C68-1,$D$5:$D$639,$D68)=0,L68*SUMIFS(L$5:L$639,$A$5:$A$639,$A68,$C$5:$C$639,$C68-1,$D$5:$D$639,$D68)&lt;0),"n.s.",ABS(L68)/ABS(SUMIFS(L$5:L$639,$A$5:$A$639,$A68,$C$5:$C$639,$C68-1,$D$5:$D$639,$D68))-1)))</f>
        <v/>
      </c>
      <c r="U68" s="16">
        <f>IF(OR($A68="",M68="",$C68=""),"",IF(COUNTIFS($A$5:$A$639,$A68,$C$5:$C$639,$C68-1,$D$5:$D$639,$D68,M$5:M$639,"&lt;&gt;")=0,"",IF(OR(SUMIFS(M$5:M$639,$A$5:$A$639,$A68,$C$5:$C$639,$C68-1,$D$5:$D$639,$D68)=0,M68*SUMIFS(M$5:M$639,$A$5:$A$639,$A68,$C$5:$C$639,$C68-1,$D$5:$D$639,$D68)&lt;0),"n.s.",ABS(M68)/ABS(SUMIFS(M$5:M$639,$A$5:$A$639,$A68,$C$5:$C$639,$C68-1,$D$5:$D$639,$D68))-1)))</f>
        <v/>
      </c>
    </row>
    <row r="69">
      <c r="A69" s="9" t="inlineStr">
        <is>
          <t>SICC</t>
        </is>
      </c>
      <c r="B69" s="10">
        <f>IF(A69="","",IFERROR(VLOOKUP(A69,Titres!$A$2:$B$400,2,FALSE),"Ticker inconnu"))</f>
        <v/>
      </c>
      <c r="C69" s="11" t="n">
        <v>2024</v>
      </c>
      <c r="D69" s="11" t="inlineStr">
        <is>
          <t>S1</t>
        </is>
      </c>
      <c r="E69" s="9" t="n"/>
      <c r="F69" s="12" t="n"/>
      <c r="G69" s="9" t="n"/>
      <c r="H69" s="13" t="n"/>
      <c r="I69" s="13" t="n"/>
      <c r="J69" s="13" t="n"/>
      <c r="K69" s="13" t="n"/>
      <c r="L69" s="13" t="n"/>
      <c r="M69" s="13" t="n"/>
      <c r="N69" s="14">
        <f>IF(A69="","",COUNT(H69:M69)/6)</f>
        <v/>
      </c>
      <c r="O69" s="15">
        <f>IF(COUNT(H69:M69)=0,"",IF(LEN(IF(COUNT(I69,J69)=2,IF(J69&gt;I69+1,"EBE &gt; VA ",""),"")&amp;IF(COUNT(H69,M69)=2,IF(ABS(M69)&gt;ABS(H69),"RN &gt; CA ",""),"")&amp;IF(COUNT(H69,K69)=2,IF(ABS(K69)&gt;ABS(H69),"RE &gt; CA ",""),""))=0,"OK",IF(COUNT(I69,J69)=2,IF(J69&gt;I69+1,"EBE &gt; VA ",""),"")&amp;IF(COUNT(H69,M69)=2,IF(ABS(M69)&gt;ABS(H69),"RN &gt; CA ",""),"")&amp;IF(COUNT(H69,K69)=2,IF(ABS(K69)&gt;ABS(H69),"RE &gt; CA ",""),"")))</f>
        <v/>
      </c>
      <c r="P69" s="16">
        <f>IF(OR($A69="",H69="",$C69=""),"",IF(COUNTIFS($A$5:$A$639,$A69,$C$5:$C$639,$C69-1,$D$5:$D$639,$D69,H$5:H$639,"&lt;&gt;")=0,"",IF(OR(SUMIFS(H$5:H$639,$A$5:$A$639,$A69,$C$5:$C$639,$C69-1,$D$5:$D$639,$D69)=0,H69*SUMIFS(H$5:H$639,$A$5:$A$639,$A69,$C$5:$C$639,$C69-1,$D$5:$D$639,$D69)&lt;0),"n.s.",ABS(H69)/ABS(SUMIFS(H$5:H$639,$A$5:$A$639,$A69,$C$5:$C$639,$C69-1,$D$5:$D$639,$D69))-1)))</f>
        <v/>
      </c>
      <c r="Q69" s="16">
        <f>IF(OR($A69="",I69="",$C69=""),"",IF(COUNTIFS($A$5:$A$639,$A69,$C$5:$C$639,$C69-1,$D$5:$D$639,$D69,I$5:I$639,"&lt;&gt;")=0,"",IF(OR(SUMIFS(I$5:I$639,$A$5:$A$639,$A69,$C$5:$C$639,$C69-1,$D$5:$D$639,$D69)=0,I69*SUMIFS(I$5:I$639,$A$5:$A$639,$A69,$C$5:$C$639,$C69-1,$D$5:$D$639,$D69)&lt;0),"n.s.",ABS(I69)/ABS(SUMIFS(I$5:I$639,$A$5:$A$639,$A69,$C$5:$C$639,$C69-1,$D$5:$D$639,$D69))-1)))</f>
        <v/>
      </c>
      <c r="R69" s="16">
        <f>IF(OR($A69="",J69="",$C69=""),"",IF(COUNTIFS($A$5:$A$639,$A69,$C$5:$C$639,$C69-1,$D$5:$D$639,$D69,J$5:J$639,"&lt;&gt;")=0,"",IF(OR(SUMIFS(J$5:J$639,$A$5:$A$639,$A69,$C$5:$C$639,$C69-1,$D$5:$D$639,$D69)=0,J69*SUMIFS(J$5:J$639,$A$5:$A$639,$A69,$C$5:$C$639,$C69-1,$D$5:$D$639,$D69)&lt;0),"n.s.",ABS(J69)/ABS(SUMIFS(J$5:J$639,$A$5:$A$639,$A69,$C$5:$C$639,$C69-1,$D$5:$D$639,$D69))-1)))</f>
        <v/>
      </c>
      <c r="S69" s="16">
        <f>IF(OR($A69="",K69="",$C69=""),"",IF(COUNTIFS($A$5:$A$639,$A69,$C$5:$C$639,$C69-1,$D$5:$D$639,$D69,K$5:K$639,"&lt;&gt;")=0,"",IF(OR(SUMIFS(K$5:K$639,$A$5:$A$639,$A69,$C$5:$C$639,$C69-1,$D$5:$D$639,$D69)=0,K69*SUMIFS(K$5:K$639,$A$5:$A$639,$A69,$C$5:$C$639,$C69-1,$D$5:$D$639,$D69)&lt;0),"n.s.",ABS(K69)/ABS(SUMIFS(K$5:K$639,$A$5:$A$639,$A69,$C$5:$C$639,$C69-1,$D$5:$D$639,$D69))-1)))</f>
        <v/>
      </c>
      <c r="T69" s="16">
        <f>IF(OR($A69="",L69="",$C69=""),"",IF(COUNTIFS($A$5:$A$639,$A69,$C$5:$C$639,$C69-1,$D$5:$D$639,$D69,L$5:L$639,"&lt;&gt;")=0,"",IF(OR(SUMIFS(L$5:L$639,$A$5:$A$639,$A69,$C$5:$C$639,$C69-1,$D$5:$D$639,$D69)=0,L69*SUMIFS(L$5:L$639,$A$5:$A$639,$A69,$C$5:$C$639,$C69-1,$D$5:$D$639,$D69)&lt;0),"n.s.",ABS(L69)/ABS(SUMIFS(L$5:L$639,$A$5:$A$639,$A69,$C$5:$C$639,$C69-1,$D$5:$D$639,$D69))-1)))</f>
        <v/>
      </c>
      <c r="U69" s="16">
        <f>IF(OR($A69="",M69="",$C69=""),"",IF(COUNTIFS($A$5:$A$639,$A69,$C$5:$C$639,$C69-1,$D$5:$D$639,$D69,M$5:M$639,"&lt;&gt;")=0,"",IF(OR(SUMIFS(M$5:M$639,$A$5:$A$639,$A69,$C$5:$C$639,$C69-1,$D$5:$D$639,$D69)=0,M69*SUMIFS(M$5:M$639,$A$5:$A$639,$A69,$C$5:$C$639,$C69-1,$D$5:$D$639,$D69)&lt;0),"n.s.",ABS(M69)/ABS(SUMIFS(M$5:M$639,$A$5:$A$639,$A69,$C$5:$C$639,$C69-1,$D$5:$D$639,$D69))-1)))</f>
        <v/>
      </c>
    </row>
    <row r="70">
      <c r="A70" s="9" t="inlineStr">
        <is>
          <t>SICC</t>
        </is>
      </c>
      <c r="B70" s="10">
        <f>IF(A70="","",IFERROR(VLOOKUP(A70,Titres!$A$2:$B$400,2,FALSE),"Ticker inconnu"))</f>
        <v/>
      </c>
      <c r="C70" s="11" t="n">
        <v>2024</v>
      </c>
      <c r="D70" s="11" t="inlineStr">
        <is>
          <t>T3</t>
        </is>
      </c>
      <c r="E70" s="9" t="n"/>
      <c r="F70" s="12" t="n"/>
      <c r="G70" s="9" t="n"/>
      <c r="H70" s="13" t="n"/>
      <c r="I70" s="13" t="n"/>
      <c r="J70" s="13" t="n"/>
      <c r="K70" s="13" t="n"/>
      <c r="L70" s="13" t="n"/>
      <c r="M70" s="13" t="n"/>
      <c r="N70" s="14">
        <f>IF(A70="","",COUNT(H70:M70)/6)</f>
        <v/>
      </c>
      <c r="O70" s="15">
        <f>IF(COUNT(H70:M70)=0,"",IF(LEN(IF(COUNT(I70,J70)=2,IF(J70&gt;I70+1,"EBE &gt; VA ",""),"")&amp;IF(COUNT(H70,M70)=2,IF(ABS(M70)&gt;ABS(H70),"RN &gt; CA ",""),"")&amp;IF(COUNT(H70,K70)=2,IF(ABS(K70)&gt;ABS(H70),"RE &gt; CA ",""),""))=0,"OK",IF(COUNT(I70,J70)=2,IF(J70&gt;I70+1,"EBE &gt; VA ",""),"")&amp;IF(COUNT(H70,M70)=2,IF(ABS(M70)&gt;ABS(H70),"RN &gt; CA ",""),"")&amp;IF(COUNT(H70,K70)=2,IF(ABS(K70)&gt;ABS(H70),"RE &gt; CA ",""),"")))</f>
        <v/>
      </c>
      <c r="P70" s="16">
        <f>IF(OR($A70="",H70="",$C70=""),"",IF(COUNTIFS($A$5:$A$639,$A70,$C$5:$C$639,$C70-1,$D$5:$D$639,$D70,H$5:H$639,"&lt;&gt;")=0,"",IF(OR(SUMIFS(H$5:H$639,$A$5:$A$639,$A70,$C$5:$C$639,$C70-1,$D$5:$D$639,$D70)=0,H70*SUMIFS(H$5:H$639,$A$5:$A$639,$A70,$C$5:$C$639,$C70-1,$D$5:$D$639,$D70)&lt;0),"n.s.",ABS(H70)/ABS(SUMIFS(H$5:H$639,$A$5:$A$639,$A70,$C$5:$C$639,$C70-1,$D$5:$D$639,$D70))-1)))</f>
        <v/>
      </c>
      <c r="Q70" s="16">
        <f>IF(OR($A70="",I70="",$C70=""),"",IF(COUNTIFS($A$5:$A$639,$A70,$C$5:$C$639,$C70-1,$D$5:$D$639,$D70,I$5:I$639,"&lt;&gt;")=0,"",IF(OR(SUMIFS(I$5:I$639,$A$5:$A$639,$A70,$C$5:$C$639,$C70-1,$D$5:$D$639,$D70)=0,I70*SUMIFS(I$5:I$639,$A$5:$A$639,$A70,$C$5:$C$639,$C70-1,$D$5:$D$639,$D70)&lt;0),"n.s.",ABS(I70)/ABS(SUMIFS(I$5:I$639,$A$5:$A$639,$A70,$C$5:$C$639,$C70-1,$D$5:$D$639,$D70))-1)))</f>
        <v/>
      </c>
      <c r="R70" s="16">
        <f>IF(OR($A70="",J70="",$C70=""),"",IF(COUNTIFS($A$5:$A$639,$A70,$C$5:$C$639,$C70-1,$D$5:$D$639,$D70,J$5:J$639,"&lt;&gt;")=0,"",IF(OR(SUMIFS(J$5:J$639,$A$5:$A$639,$A70,$C$5:$C$639,$C70-1,$D$5:$D$639,$D70)=0,J70*SUMIFS(J$5:J$639,$A$5:$A$639,$A70,$C$5:$C$639,$C70-1,$D$5:$D$639,$D70)&lt;0),"n.s.",ABS(J70)/ABS(SUMIFS(J$5:J$639,$A$5:$A$639,$A70,$C$5:$C$639,$C70-1,$D$5:$D$639,$D70))-1)))</f>
        <v/>
      </c>
      <c r="S70" s="16">
        <f>IF(OR($A70="",K70="",$C70=""),"",IF(COUNTIFS($A$5:$A$639,$A70,$C$5:$C$639,$C70-1,$D$5:$D$639,$D70,K$5:K$639,"&lt;&gt;")=0,"",IF(OR(SUMIFS(K$5:K$639,$A$5:$A$639,$A70,$C$5:$C$639,$C70-1,$D$5:$D$639,$D70)=0,K70*SUMIFS(K$5:K$639,$A$5:$A$639,$A70,$C$5:$C$639,$C70-1,$D$5:$D$639,$D70)&lt;0),"n.s.",ABS(K70)/ABS(SUMIFS(K$5:K$639,$A$5:$A$639,$A70,$C$5:$C$639,$C70-1,$D$5:$D$639,$D70))-1)))</f>
        <v/>
      </c>
      <c r="T70" s="16">
        <f>IF(OR($A70="",L70="",$C70=""),"",IF(COUNTIFS($A$5:$A$639,$A70,$C$5:$C$639,$C70-1,$D$5:$D$639,$D70,L$5:L$639,"&lt;&gt;")=0,"",IF(OR(SUMIFS(L$5:L$639,$A$5:$A$639,$A70,$C$5:$C$639,$C70-1,$D$5:$D$639,$D70)=0,L70*SUMIFS(L$5:L$639,$A$5:$A$639,$A70,$C$5:$C$639,$C70-1,$D$5:$D$639,$D70)&lt;0),"n.s.",ABS(L70)/ABS(SUMIFS(L$5:L$639,$A$5:$A$639,$A70,$C$5:$C$639,$C70-1,$D$5:$D$639,$D70))-1)))</f>
        <v/>
      </c>
      <c r="U70" s="16">
        <f>IF(OR($A70="",M70="",$C70=""),"",IF(COUNTIFS($A$5:$A$639,$A70,$C$5:$C$639,$C70-1,$D$5:$D$639,$D70,M$5:M$639,"&lt;&gt;")=0,"",IF(OR(SUMIFS(M$5:M$639,$A$5:$A$639,$A70,$C$5:$C$639,$C70-1,$D$5:$D$639,$D70)=0,M70*SUMIFS(M$5:M$639,$A$5:$A$639,$A70,$C$5:$C$639,$C70-1,$D$5:$D$639,$D70)&lt;0),"n.s.",ABS(M70)/ABS(SUMIFS(M$5:M$639,$A$5:$A$639,$A70,$C$5:$C$639,$C70-1,$D$5:$D$639,$D70))-1)))</f>
        <v/>
      </c>
    </row>
    <row r="71">
      <c r="A71" s="9" t="inlineStr">
        <is>
          <t>SICC</t>
        </is>
      </c>
      <c r="B71" s="10">
        <f>IF(A71="","",IFERROR(VLOOKUP(A71,Titres!$A$2:$B$400,2,FALSE),"Ticker inconnu"))</f>
        <v/>
      </c>
      <c r="C71" s="11" t="n">
        <v>2025</v>
      </c>
      <c r="D71" s="11" t="inlineStr">
        <is>
          <t>T1</t>
        </is>
      </c>
      <c r="E71" s="9" t="n"/>
      <c r="F71" s="12" t="n"/>
      <c r="G71" s="9" t="n"/>
      <c r="H71" s="13" t="n"/>
      <c r="I71" s="13" t="n"/>
      <c r="J71" s="13" t="n"/>
      <c r="K71" s="13" t="n"/>
      <c r="L71" s="13" t="n"/>
      <c r="M71" s="13" t="n"/>
      <c r="N71" s="14">
        <f>IF(A71="","",COUNT(H71:M71)/6)</f>
        <v/>
      </c>
      <c r="O71" s="15">
        <f>IF(COUNT(H71:M71)=0,"",IF(LEN(IF(COUNT(I71,J71)=2,IF(J71&gt;I71+1,"EBE &gt; VA ",""),"")&amp;IF(COUNT(H71,M71)=2,IF(ABS(M71)&gt;ABS(H71),"RN &gt; CA ",""),"")&amp;IF(COUNT(H71,K71)=2,IF(ABS(K71)&gt;ABS(H71),"RE &gt; CA ",""),""))=0,"OK",IF(COUNT(I71,J71)=2,IF(J71&gt;I71+1,"EBE &gt; VA ",""),"")&amp;IF(COUNT(H71,M71)=2,IF(ABS(M71)&gt;ABS(H71),"RN &gt; CA ",""),"")&amp;IF(COUNT(H71,K71)=2,IF(ABS(K71)&gt;ABS(H71),"RE &gt; CA ",""),"")))</f>
        <v/>
      </c>
      <c r="P71" s="16">
        <f>IF(OR($A71="",H71="",$C71=""),"",IF(COUNTIFS($A$5:$A$639,$A71,$C$5:$C$639,$C71-1,$D$5:$D$639,$D71,H$5:H$639,"&lt;&gt;")=0,"",IF(OR(SUMIFS(H$5:H$639,$A$5:$A$639,$A71,$C$5:$C$639,$C71-1,$D$5:$D$639,$D71)=0,H71*SUMIFS(H$5:H$639,$A$5:$A$639,$A71,$C$5:$C$639,$C71-1,$D$5:$D$639,$D71)&lt;0),"n.s.",ABS(H71)/ABS(SUMIFS(H$5:H$639,$A$5:$A$639,$A71,$C$5:$C$639,$C71-1,$D$5:$D$639,$D71))-1)))</f>
        <v/>
      </c>
      <c r="Q71" s="16">
        <f>IF(OR($A71="",I71="",$C71=""),"",IF(COUNTIFS($A$5:$A$639,$A71,$C$5:$C$639,$C71-1,$D$5:$D$639,$D71,I$5:I$639,"&lt;&gt;")=0,"",IF(OR(SUMIFS(I$5:I$639,$A$5:$A$639,$A71,$C$5:$C$639,$C71-1,$D$5:$D$639,$D71)=0,I71*SUMIFS(I$5:I$639,$A$5:$A$639,$A71,$C$5:$C$639,$C71-1,$D$5:$D$639,$D71)&lt;0),"n.s.",ABS(I71)/ABS(SUMIFS(I$5:I$639,$A$5:$A$639,$A71,$C$5:$C$639,$C71-1,$D$5:$D$639,$D71))-1)))</f>
        <v/>
      </c>
      <c r="R71" s="16">
        <f>IF(OR($A71="",J71="",$C71=""),"",IF(COUNTIFS($A$5:$A$639,$A71,$C$5:$C$639,$C71-1,$D$5:$D$639,$D71,J$5:J$639,"&lt;&gt;")=0,"",IF(OR(SUMIFS(J$5:J$639,$A$5:$A$639,$A71,$C$5:$C$639,$C71-1,$D$5:$D$639,$D71)=0,J71*SUMIFS(J$5:J$639,$A$5:$A$639,$A71,$C$5:$C$639,$C71-1,$D$5:$D$639,$D71)&lt;0),"n.s.",ABS(J71)/ABS(SUMIFS(J$5:J$639,$A$5:$A$639,$A71,$C$5:$C$639,$C71-1,$D$5:$D$639,$D71))-1)))</f>
        <v/>
      </c>
      <c r="S71" s="16">
        <f>IF(OR($A71="",K71="",$C71=""),"",IF(COUNTIFS($A$5:$A$639,$A71,$C$5:$C$639,$C71-1,$D$5:$D$639,$D71,K$5:K$639,"&lt;&gt;")=0,"",IF(OR(SUMIFS(K$5:K$639,$A$5:$A$639,$A71,$C$5:$C$639,$C71-1,$D$5:$D$639,$D71)=0,K71*SUMIFS(K$5:K$639,$A$5:$A$639,$A71,$C$5:$C$639,$C71-1,$D$5:$D$639,$D71)&lt;0),"n.s.",ABS(K71)/ABS(SUMIFS(K$5:K$639,$A$5:$A$639,$A71,$C$5:$C$639,$C71-1,$D$5:$D$639,$D71))-1)))</f>
        <v/>
      </c>
      <c r="T71" s="16">
        <f>IF(OR($A71="",L71="",$C71=""),"",IF(COUNTIFS($A$5:$A$639,$A71,$C$5:$C$639,$C71-1,$D$5:$D$639,$D71,L$5:L$639,"&lt;&gt;")=0,"",IF(OR(SUMIFS(L$5:L$639,$A$5:$A$639,$A71,$C$5:$C$639,$C71-1,$D$5:$D$639,$D71)=0,L71*SUMIFS(L$5:L$639,$A$5:$A$639,$A71,$C$5:$C$639,$C71-1,$D$5:$D$639,$D71)&lt;0),"n.s.",ABS(L71)/ABS(SUMIFS(L$5:L$639,$A$5:$A$639,$A71,$C$5:$C$639,$C71-1,$D$5:$D$639,$D71))-1)))</f>
        <v/>
      </c>
      <c r="U71" s="16">
        <f>IF(OR($A71="",M71="",$C71=""),"",IF(COUNTIFS($A$5:$A$639,$A71,$C$5:$C$639,$C71-1,$D$5:$D$639,$D71,M$5:M$639,"&lt;&gt;")=0,"",IF(OR(SUMIFS(M$5:M$639,$A$5:$A$639,$A71,$C$5:$C$639,$C71-1,$D$5:$D$639,$D71)=0,M71*SUMIFS(M$5:M$639,$A$5:$A$639,$A71,$C$5:$C$639,$C71-1,$D$5:$D$639,$D71)&lt;0),"n.s.",ABS(M71)/ABS(SUMIFS(M$5:M$639,$A$5:$A$639,$A71,$C$5:$C$639,$C71-1,$D$5:$D$639,$D71))-1)))</f>
        <v/>
      </c>
    </row>
    <row r="72">
      <c r="A72" s="9" t="inlineStr">
        <is>
          <t>SICC</t>
        </is>
      </c>
      <c r="B72" s="10">
        <f>IF(A72="","",IFERROR(VLOOKUP(A72,Titres!$A$2:$B$400,2,FALSE),"Ticker inconnu"))</f>
        <v/>
      </c>
      <c r="C72" s="11" t="n">
        <v>2025</v>
      </c>
      <c r="D72" s="11" t="inlineStr">
        <is>
          <t>S1</t>
        </is>
      </c>
      <c r="E72" s="9" t="n"/>
      <c r="F72" s="12" t="n"/>
      <c r="G72" s="9" t="n"/>
      <c r="H72" s="13" t="n"/>
      <c r="I72" s="13" t="n"/>
      <c r="J72" s="13" t="n"/>
      <c r="K72" s="13" t="n"/>
      <c r="L72" s="13" t="n"/>
      <c r="M72" s="13" t="n"/>
      <c r="N72" s="14">
        <f>IF(A72="","",COUNT(H72:M72)/6)</f>
        <v/>
      </c>
      <c r="O72" s="15">
        <f>IF(COUNT(H72:M72)=0,"",IF(LEN(IF(COUNT(I72,J72)=2,IF(J72&gt;I72+1,"EBE &gt; VA ",""),"")&amp;IF(COUNT(H72,M72)=2,IF(ABS(M72)&gt;ABS(H72),"RN &gt; CA ",""),"")&amp;IF(COUNT(H72,K72)=2,IF(ABS(K72)&gt;ABS(H72),"RE &gt; CA ",""),""))=0,"OK",IF(COUNT(I72,J72)=2,IF(J72&gt;I72+1,"EBE &gt; VA ",""),"")&amp;IF(COUNT(H72,M72)=2,IF(ABS(M72)&gt;ABS(H72),"RN &gt; CA ",""),"")&amp;IF(COUNT(H72,K72)=2,IF(ABS(K72)&gt;ABS(H72),"RE &gt; CA ",""),"")))</f>
        <v/>
      </c>
      <c r="P72" s="16">
        <f>IF(OR($A72="",H72="",$C72=""),"",IF(COUNTIFS($A$5:$A$639,$A72,$C$5:$C$639,$C72-1,$D$5:$D$639,$D72,H$5:H$639,"&lt;&gt;")=0,"",IF(OR(SUMIFS(H$5:H$639,$A$5:$A$639,$A72,$C$5:$C$639,$C72-1,$D$5:$D$639,$D72)=0,H72*SUMIFS(H$5:H$639,$A$5:$A$639,$A72,$C$5:$C$639,$C72-1,$D$5:$D$639,$D72)&lt;0),"n.s.",ABS(H72)/ABS(SUMIFS(H$5:H$639,$A$5:$A$639,$A72,$C$5:$C$639,$C72-1,$D$5:$D$639,$D72))-1)))</f>
        <v/>
      </c>
      <c r="Q72" s="16">
        <f>IF(OR($A72="",I72="",$C72=""),"",IF(COUNTIFS($A$5:$A$639,$A72,$C$5:$C$639,$C72-1,$D$5:$D$639,$D72,I$5:I$639,"&lt;&gt;")=0,"",IF(OR(SUMIFS(I$5:I$639,$A$5:$A$639,$A72,$C$5:$C$639,$C72-1,$D$5:$D$639,$D72)=0,I72*SUMIFS(I$5:I$639,$A$5:$A$639,$A72,$C$5:$C$639,$C72-1,$D$5:$D$639,$D72)&lt;0),"n.s.",ABS(I72)/ABS(SUMIFS(I$5:I$639,$A$5:$A$639,$A72,$C$5:$C$639,$C72-1,$D$5:$D$639,$D72))-1)))</f>
        <v/>
      </c>
      <c r="R72" s="16">
        <f>IF(OR($A72="",J72="",$C72=""),"",IF(COUNTIFS($A$5:$A$639,$A72,$C$5:$C$639,$C72-1,$D$5:$D$639,$D72,J$5:J$639,"&lt;&gt;")=0,"",IF(OR(SUMIFS(J$5:J$639,$A$5:$A$639,$A72,$C$5:$C$639,$C72-1,$D$5:$D$639,$D72)=0,J72*SUMIFS(J$5:J$639,$A$5:$A$639,$A72,$C$5:$C$639,$C72-1,$D$5:$D$639,$D72)&lt;0),"n.s.",ABS(J72)/ABS(SUMIFS(J$5:J$639,$A$5:$A$639,$A72,$C$5:$C$639,$C72-1,$D$5:$D$639,$D72))-1)))</f>
        <v/>
      </c>
      <c r="S72" s="16">
        <f>IF(OR($A72="",K72="",$C72=""),"",IF(COUNTIFS($A$5:$A$639,$A72,$C$5:$C$639,$C72-1,$D$5:$D$639,$D72,K$5:K$639,"&lt;&gt;")=0,"",IF(OR(SUMIFS(K$5:K$639,$A$5:$A$639,$A72,$C$5:$C$639,$C72-1,$D$5:$D$639,$D72)=0,K72*SUMIFS(K$5:K$639,$A$5:$A$639,$A72,$C$5:$C$639,$C72-1,$D$5:$D$639,$D72)&lt;0),"n.s.",ABS(K72)/ABS(SUMIFS(K$5:K$639,$A$5:$A$639,$A72,$C$5:$C$639,$C72-1,$D$5:$D$639,$D72))-1)))</f>
        <v/>
      </c>
      <c r="T72" s="16">
        <f>IF(OR($A72="",L72="",$C72=""),"",IF(COUNTIFS($A$5:$A$639,$A72,$C$5:$C$639,$C72-1,$D$5:$D$639,$D72,L$5:L$639,"&lt;&gt;")=0,"",IF(OR(SUMIFS(L$5:L$639,$A$5:$A$639,$A72,$C$5:$C$639,$C72-1,$D$5:$D$639,$D72)=0,L72*SUMIFS(L$5:L$639,$A$5:$A$639,$A72,$C$5:$C$639,$C72-1,$D$5:$D$639,$D72)&lt;0),"n.s.",ABS(L72)/ABS(SUMIFS(L$5:L$639,$A$5:$A$639,$A72,$C$5:$C$639,$C72-1,$D$5:$D$639,$D72))-1)))</f>
        <v/>
      </c>
      <c r="U72" s="16">
        <f>IF(OR($A72="",M72="",$C72=""),"",IF(COUNTIFS($A$5:$A$639,$A72,$C$5:$C$639,$C72-1,$D$5:$D$639,$D72,M$5:M$639,"&lt;&gt;")=0,"",IF(OR(SUMIFS(M$5:M$639,$A$5:$A$639,$A72,$C$5:$C$639,$C72-1,$D$5:$D$639,$D72)=0,M72*SUMIFS(M$5:M$639,$A$5:$A$639,$A72,$C$5:$C$639,$C72-1,$D$5:$D$639,$D72)&lt;0),"n.s.",ABS(M72)/ABS(SUMIFS(M$5:M$639,$A$5:$A$639,$A72,$C$5:$C$639,$C72-1,$D$5:$D$639,$D72))-1)))</f>
        <v/>
      </c>
    </row>
    <row r="73">
      <c r="A73" s="9" t="inlineStr">
        <is>
          <t>SICC</t>
        </is>
      </c>
      <c r="B73" s="10">
        <f>IF(A73="","",IFERROR(VLOOKUP(A73,Titres!$A$2:$B$400,2,FALSE),"Ticker inconnu"))</f>
        <v/>
      </c>
      <c r="C73" s="11" t="n">
        <v>2025</v>
      </c>
      <c r="D73" s="11" t="inlineStr">
        <is>
          <t>T3</t>
        </is>
      </c>
      <c r="E73" s="9" t="n"/>
      <c r="F73" s="12" t="n"/>
      <c r="G73" s="9" t="n"/>
      <c r="H73" s="13" t="n"/>
      <c r="I73" s="13" t="n"/>
      <c r="J73" s="13" t="n"/>
      <c r="K73" s="13" t="n"/>
      <c r="L73" s="13" t="n"/>
      <c r="M73" s="13" t="n"/>
      <c r="N73" s="14">
        <f>IF(A73="","",COUNT(H73:M73)/6)</f>
        <v/>
      </c>
      <c r="O73" s="15">
        <f>IF(COUNT(H73:M73)=0,"",IF(LEN(IF(COUNT(I73,J73)=2,IF(J73&gt;I73+1,"EBE &gt; VA ",""),"")&amp;IF(COUNT(H73,M73)=2,IF(ABS(M73)&gt;ABS(H73),"RN &gt; CA ",""),"")&amp;IF(COUNT(H73,K73)=2,IF(ABS(K73)&gt;ABS(H73),"RE &gt; CA ",""),""))=0,"OK",IF(COUNT(I73,J73)=2,IF(J73&gt;I73+1,"EBE &gt; VA ",""),"")&amp;IF(COUNT(H73,M73)=2,IF(ABS(M73)&gt;ABS(H73),"RN &gt; CA ",""),"")&amp;IF(COUNT(H73,K73)=2,IF(ABS(K73)&gt;ABS(H73),"RE &gt; CA ",""),"")))</f>
        <v/>
      </c>
      <c r="P73" s="16">
        <f>IF(OR($A73="",H73="",$C73=""),"",IF(COUNTIFS($A$5:$A$639,$A73,$C$5:$C$639,$C73-1,$D$5:$D$639,$D73,H$5:H$639,"&lt;&gt;")=0,"",IF(OR(SUMIFS(H$5:H$639,$A$5:$A$639,$A73,$C$5:$C$639,$C73-1,$D$5:$D$639,$D73)=0,H73*SUMIFS(H$5:H$639,$A$5:$A$639,$A73,$C$5:$C$639,$C73-1,$D$5:$D$639,$D73)&lt;0),"n.s.",ABS(H73)/ABS(SUMIFS(H$5:H$639,$A$5:$A$639,$A73,$C$5:$C$639,$C73-1,$D$5:$D$639,$D73))-1)))</f>
        <v/>
      </c>
      <c r="Q73" s="16">
        <f>IF(OR($A73="",I73="",$C73=""),"",IF(COUNTIFS($A$5:$A$639,$A73,$C$5:$C$639,$C73-1,$D$5:$D$639,$D73,I$5:I$639,"&lt;&gt;")=0,"",IF(OR(SUMIFS(I$5:I$639,$A$5:$A$639,$A73,$C$5:$C$639,$C73-1,$D$5:$D$639,$D73)=0,I73*SUMIFS(I$5:I$639,$A$5:$A$639,$A73,$C$5:$C$639,$C73-1,$D$5:$D$639,$D73)&lt;0),"n.s.",ABS(I73)/ABS(SUMIFS(I$5:I$639,$A$5:$A$639,$A73,$C$5:$C$639,$C73-1,$D$5:$D$639,$D73))-1)))</f>
        <v/>
      </c>
      <c r="R73" s="16">
        <f>IF(OR($A73="",J73="",$C73=""),"",IF(COUNTIFS($A$5:$A$639,$A73,$C$5:$C$639,$C73-1,$D$5:$D$639,$D73,J$5:J$639,"&lt;&gt;")=0,"",IF(OR(SUMIFS(J$5:J$639,$A$5:$A$639,$A73,$C$5:$C$639,$C73-1,$D$5:$D$639,$D73)=0,J73*SUMIFS(J$5:J$639,$A$5:$A$639,$A73,$C$5:$C$639,$C73-1,$D$5:$D$639,$D73)&lt;0),"n.s.",ABS(J73)/ABS(SUMIFS(J$5:J$639,$A$5:$A$639,$A73,$C$5:$C$639,$C73-1,$D$5:$D$639,$D73))-1)))</f>
        <v/>
      </c>
      <c r="S73" s="16">
        <f>IF(OR($A73="",K73="",$C73=""),"",IF(COUNTIFS($A$5:$A$639,$A73,$C$5:$C$639,$C73-1,$D$5:$D$639,$D73,K$5:K$639,"&lt;&gt;")=0,"",IF(OR(SUMIFS(K$5:K$639,$A$5:$A$639,$A73,$C$5:$C$639,$C73-1,$D$5:$D$639,$D73)=0,K73*SUMIFS(K$5:K$639,$A$5:$A$639,$A73,$C$5:$C$639,$C73-1,$D$5:$D$639,$D73)&lt;0),"n.s.",ABS(K73)/ABS(SUMIFS(K$5:K$639,$A$5:$A$639,$A73,$C$5:$C$639,$C73-1,$D$5:$D$639,$D73))-1)))</f>
        <v/>
      </c>
      <c r="T73" s="16">
        <f>IF(OR($A73="",L73="",$C73=""),"",IF(COUNTIFS($A$5:$A$639,$A73,$C$5:$C$639,$C73-1,$D$5:$D$639,$D73,L$5:L$639,"&lt;&gt;")=0,"",IF(OR(SUMIFS(L$5:L$639,$A$5:$A$639,$A73,$C$5:$C$639,$C73-1,$D$5:$D$639,$D73)=0,L73*SUMIFS(L$5:L$639,$A$5:$A$639,$A73,$C$5:$C$639,$C73-1,$D$5:$D$639,$D73)&lt;0),"n.s.",ABS(L73)/ABS(SUMIFS(L$5:L$639,$A$5:$A$639,$A73,$C$5:$C$639,$C73-1,$D$5:$D$639,$D73))-1)))</f>
        <v/>
      </c>
      <c r="U73" s="16">
        <f>IF(OR($A73="",M73="",$C73=""),"",IF(COUNTIFS($A$5:$A$639,$A73,$C$5:$C$639,$C73-1,$D$5:$D$639,$D73,M$5:M$639,"&lt;&gt;")=0,"",IF(OR(SUMIFS(M$5:M$639,$A$5:$A$639,$A73,$C$5:$C$639,$C73-1,$D$5:$D$639,$D73)=0,M73*SUMIFS(M$5:M$639,$A$5:$A$639,$A73,$C$5:$C$639,$C73-1,$D$5:$D$639,$D73)&lt;0),"n.s.",ABS(M73)/ABS(SUMIFS(M$5:M$639,$A$5:$A$639,$A73,$C$5:$C$639,$C73-1,$D$5:$D$639,$D73))-1)))</f>
        <v/>
      </c>
    </row>
    <row r="74">
      <c r="A74" s="9" t="inlineStr">
        <is>
          <t>SICC</t>
        </is>
      </c>
      <c r="B74" s="10">
        <f>IF(A74="","",IFERROR(VLOOKUP(A74,Titres!$A$2:$B$400,2,FALSE),"Ticker inconnu"))</f>
        <v/>
      </c>
      <c r="C74" s="11" t="n">
        <v>2026</v>
      </c>
      <c r="D74" s="11" t="inlineStr">
        <is>
          <t>T1</t>
        </is>
      </c>
      <c r="E74" s="9" t="n"/>
      <c r="F74" s="12" t="n"/>
      <c r="G74" s="9" t="n"/>
      <c r="H74" s="13" t="n"/>
      <c r="I74" s="13" t="n"/>
      <c r="J74" s="13" t="n"/>
      <c r="K74" s="13" t="n"/>
      <c r="L74" s="13" t="n"/>
      <c r="M74" s="13" t="n"/>
      <c r="N74" s="14">
        <f>IF(A74="","",COUNT(H74:M74)/6)</f>
        <v/>
      </c>
      <c r="O74" s="15">
        <f>IF(COUNT(H74:M74)=0,"",IF(LEN(IF(COUNT(I74,J74)=2,IF(J74&gt;I74+1,"EBE &gt; VA ",""),"")&amp;IF(COUNT(H74,M74)=2,IF(ABS(M74)&gt;ABS(H74),"RN &gt; CA ",""),"")&amp;IF(COUNT(H74,K74)=2,IF(ABS(K74)&gt;ABS(H74),"RE &gt; CA ",""),""))=0,"OK",IF(COUNT(I74,J74)=2,IF(J74&gt;I74+1,"EBE &gt; VA ",""),"")&amp;IF(COUNT(H74,M74)=2,IF(ABS(M74)&gt;ABS(H74),"RN &gt; CA ",""),"")&amp;IF(COUNT(H74,K74)=2,IF(ABS(K74)&gt;ABS(H74),"RE &gt; CA ",""),"")))</f>
        <v/>
      </c>
      <c r="P74" s="16">
        <f>IF(OR($A74="",H74="",$C74=""),"",IF(COUNTIFS($A$5:$A$639,$A74,$C$5:$C$639,$C74-1,$D$5:$D$639,$D74,H$5:H$639,"&lt;&gt;")=0,"",IF(OR(SUMIFS(H$5:H$639,$A$5:$A$639,$A74,$C$5:$C$639,$C74-1,$D$5:$D$639,$D74)=0,H74*SUMIFS(H$5:H$639,$A$5:$A$639,$A74,$C$5:$C$639,$C74-1,$D$5:$D$639,$D74)&lt;0),"n.s.",ABS(H74)/ABS(SUMIFS(H$5:H$639,$A$5:$A$639,$A74,$C$5:$C$639,$C74-1,$D$5:$D$639,$D74))-1)))</f>
        <v/>
      </c>
      <c r="Q74" s="16">
        <f>IF(OR($A74="",I74="",$C74=""),"",IF(COUNTIFS($A$5:$A$639,$A74,$C$5:$C$639,$C74-1,$D$5:$D$639,$D74,I$5:I$639,"&lt;&gt;")=0,"",IF(OR(SUMIFS(I$5:I$639,$A$5:$A$639,$A74,$C$5:$C$639,$C74-1,$D$5:$D$639,$D74)=0,I74*SUMIFS(I$5:I$639,$A$5:$A$639,$A74,$C$5:$C$639,$C74-1,$D$5:$D$639,$D74)&lt;0),"n.s.",ABS(I74)/ABS(SUMIFS(I$5:I$639,$A$5:$A$639,$A74,$C$5:$C$639,$C74-1,$D$5:$D$639,$D74))-1)))</f>
        <v/>
      </c>
      <c r="R74" s="16">
        <f>IF(OR($A74="",J74="",$C74=""),"",IF(COUNTIFS($A$5:$A$639,$A74,$C$5:$C$639,$C74-1,$D$5:$D$639,$D74,J$5:J$639,"&lt;&gt;")=0,"",IF(OR(SUMIFS(J$5:J$639,$A$5:$A$639,$A74,$C$5:$C$639,$C74-1,$D$5:$D$639,$D74)=0,J74*SUMIFS(J$5:J$639,$A$5:$A$639,$A74,$C$5:$C$639,$C74-1,$D$5:$D$639,$D74)&lt;0),"n.s.",ABS(J74)/ABS(SUMIFS(J$5:J$639,$A$5:$A$639,$A74,$C$5:$C$639,$C74-1,$D$5:$D$639,$D74))-1)))</f>
        <v/>
      </c>
      <c r="S74" s="16">
        <f>IF(OR($A74="",K74="",$C74=""),"",IF(COUNTIFS($A$5:$A$639,$A74,$C$5:$C$639,$C74-1,$D$5:$D$639,$D74,K$5:K$639,"&lt;&gt;")=0,"",IF(OR(SUMIFS(K$5:K$639,$A$5:$A$639,$A74,$C$5:$C$639,$C74-1,$D$5:$D$639,$D74)=0,K74*SUMIFS(K$5:K$639,$A$5:$A$639,$A74,$C$5:$C$639,$C74-1,$D$5:$D$639,$D74)&lt;0),"n.s.",ABS(K74)/ABS(SUMIFS(K$5:K$639,$A$5:$A$639,$A74,$C$5:$C$639,$C74-1,$D$5:$D$639,$D74))-1)))</f>
        <v/>
      </c>
      <c r="T74" s="16">
        <f>IF(OR($A74="",L74="",$C74=""),"",IF(COUNTIFS($A$5:$A$639,$A74,$C$5:$C$639,$C74-1,$D$5:$D$639,$D74,L$5:L$639,"&lt;&gt;")=0,"",IF(OR(SUMIFS(L$5:L$639,$A$5:$A$639,$A74,$C$5:$C$639,$C74-1,$D$5:$D$639,$D74)=0,L74*SUMIFS(L$5:L$639,$A$5:$A$639,$A74,$C$5:$C$639,$C74-1,$D$5:$D$639,$D74)&lt;0),"n.s.",ABS(L74)/ABS(SUMIFS(L$5:L$639,$A$5:$A$639,$A74,$C$5:$C$639,$C74-1,$D$5:$D$639,$D74))-1)))</f>
        <v/>
      </c>
      <c r="U74" s="16">
        <f>IF(OR($A74="",M74="",$C74=""),"",IF(COUNTIFS($A$5:$A$639,$A74,$C$5:$C$639,$C74-1,$D$5:$D$639,$D74,M$5:M$639,"&lt;&gt;")=0,"",IF(OR(SUMIFS(M$5:M$639,$A$5:$A$639,$A74,$C$5:$C$639,$C74-1,$D$5:$D$639,$D74)=0,M74*SUMIFS(M$5:M$639,$A$5:$A$639,$A74,$C$5:$C$639,$C74-1,$D$5:$D$639,$D74)&lt;0),"n.s.",ABS(M74)/ABS(SUMIFS(M$5:M$639,$A$5:$A$639,$A74,$C$5:$C$639,$C74-1,$D$5:$D$639,$D74))-1)))</f>
        <v/>
      </c>
    </row>
    <row r="75">
      <c r="A75" s="9" t="inlineStr">
        <is>
          <t>SICC</t>
        </is>
      </c>
      <c r="B75" s="10">
        <f>IF(A75="","",IFERROR(VLOOKUP(A75,Titres!$A$2:$B$400,2,FALSE),"Ticker inconnu"))</f>
        <v/>
      </c>
      <c r="C75" s="11" t="n">
        <v>2026</v>
      </c>
      <c r="D75" s="11" t="inlineStr">
        <is>
          <t>S1</t>
        </is>
      </c>
      <c r="E75" s="9" t="n"/>
      <c r="F75" s="12" t="n"/>
      <c r="G75" s="9" t="n"/>
      <c r="H75" s="13" t="n"/>
      <c r="I75" s="13" t="n"/>
      <c r="J75" s="13" t="n"/>
      <c r="K75" s="13" t="n"/>
      <c r="L75" s="13" t="n"/>
      <c r="M75" s="13" t="n"/>
      <c r="N75" s="14">
        <f>IF(A75="","",COUNT(H75:M75)/6)</f>
        <v/>
      </c>
      <c r="O75" s="15">
        <f>IF(COUNT(H75:M75)=0,"",IF(LEN(IF(COUNT(I75,J75)=2,IF(J75&gt;I75+1,"EBE &gt; VA ",""),"")&amp;IF(COUNT(H75,M75)=2,IF(ABS(M75)&gt;ABS(H75),"RN &gt; CA ",""),"")&amp;IF(COUNT(H75,K75)=2,IF(ABS(K75)&gt;ABS(H75),"RE &gt; CA ",""),""))=0,"OK",IF(COUNT(I75,J75)=2,IF(J75&gt;I75+1,"EBE &gt; VA ",""),"")&amp;IF(COUNT(H75,M75)=2,IF(ABS(M75)&gt;ABS(H75),"RN &gt; CA ",""),"")&amp;IF(COUNT(H75,K75)=2,IF(ABS(K75)&gt;ABS(H75),"RE &gt; CA ",""),"")))</f>
        <v/>
      </c>
      <c r="P75" s="16">
        <f>IF(OR($A75="",H75="",$C75=""),"",IF(COUNTIFS($A$5:$A$639,$A75,$C$5:$C$639,$C75-1,$D$5:$D$639,$D75,H$5:H$639,"&lt;&gt;")=0,"",IF(OR(SUMIFS(H$5:H$639,$A$5:$A$639,$A75,$C$5:$C$639,$C75-1,$D$5:$D$639,$D75)=0,H75*SUMIFS(H$5:H$639,$A$5:$A$639,$A75,$C$5:$C$639,$C75-1,$D$5:$D$639,$D75)&lt;0),"n.s.",ABS(H75)/ABS(SUMIFS(H$5:H$639,$A$5:$A$639,$A75,$C$5:$C$639,$C75-1,$D$5:$D$639,$D75))-1)))</f>
        <v/>
      </c>
      <c r="Q75" s="16">
        <f>IF(OR($A75="",I75="",$C75=""),"",IF(COUNTIFS($A$5:$A$639,$A75,$C$5:$C$639,$C75-1,$D$5:$D$639,$D75,I$5:I$639,"&lt;&gt;")=0,"",IF(OR(SUMIFS(I$5:I$639,$A$5:$A$639,$A75,$C$5:$C$639,$C75-1,$D$5:$D$639,$D75)=0,I75*SUMIFS(I$5:I$639,$A$5:$A$639,$A75,$C$5:$C$639,$C75-1,$D$5:$D$639,$D75)&lt;0),"n.s.",ABS(I75)/ABS(SUMIFS(I$5:I$639,$A$5:$A$639,$A75,$C$5:$C$639,$C75-1,$D$5:$D$639,$D75))-1)))</f>
        <v/>
      </c>
      <c r="R75" s="16">
        <f>IF(OR($A75="",J75="",$C75=""),"",IF(COUNTIFS($A$5:$A$639,$A75,$C$5:$C$639,$C75-1,$D$5:$D$639,$D75,J$5:J$639,"&lt;&gt;")=0,"",IF(OR(SUMIFS(J$5:J$639,$A$5:$A$639,$A75,$C$5:$C$639,$C75-1,$D$5:$D$639,$D75)=0,J75*SUMIFS(J$5:J$639,$A$5:$A$639,$A75,$C$5:$C$639,$C75-1,$D$5:$D$639,$D75)&lt;0),"n.s.",ABS(J75)/ABS(SUMIFS(J$5:J$639,$A$5:$A$639,$A75,$C$5:$C$639,$C75-1,$D$5:$D$639,$D75))-1)))</f>
        <v/>
      </c>
      <c r="S75" s="16">
        <f>IF(OR($A75="",K75="",$C75=""),"",IF(COUNTIFS($A$5:$A$639,$A75,$C$5:$C$639,$C75-1,$D$5:$D$639,$D75,K$5:K$639,"&lt;&gt;")=0,"",IF(OR(SUMIFS(K$5:K$639,$A$5:$A$639,$A75,$C$5:$C$639,$C75-1,$D$5:$D$639,$D75)=0,K75*SUMIFS(K$5:K$639,$A$5:$A$639,$A75,$C$5:$C$639,$C75-1,$D$5:$D$639,$D75)&lt;0),"n.s.",ABS(K75)/ABS(SUMIFS(K$5:K$639,$A$5:$A$639,$A75,$C$5:$C$639,$C75-1,$D$5:$D$639,$D75))-1)))</f>
        <v/>
      </c>
      <c r="T75" s="16">
        <f>IF(OR($A75="",L75="",$C75=""),"",IF(COUNTIFS($A$5:$A$639,$A75,$C$5:$C$639,$C75-1,$D$5:$D$639,$D75,L$5:L$639,"&lt;&gt;")=0,"",IF(OR(SUMIFS(L$5:L$639,$A$5:$A$639,$A75,$C$5:$C$639,$C75-1,$D$5:$D$639,$D75)=0,L75*SUMIFS(L$5:L$639,$A$5:$A$639,$A75,$C$5:$C$639,$C75-1,$D$5:$D$639,$D75)&lt;0),"n.s.",ABS(L75)/ABS(SUMIFS(L$5:L$639,$A$5:$A$639,$A75,$C$5:$C$639,$C75-1,$D$5:$D$639,$D75))-1)))</f>
        <v/>
      </c>
      <c r="U75" s="16">
        <f>IF(OR($A75="",M75="",$C75=""),"",IF(COUNTIFS($A$5:$A$639,$A75,$C$5:$C$639,$C75-1,$D$5:$D$639,$D75,M$5:M$639,"&lt;&gt;")=0,"",IF(OR(SUMIFS(M$5:M$639,$A$5:$A$639,$A75,$C$5:$C$639,$C75-1,$D$5:$D$639,$D75)=0,M75*SUMIFS(M$5:M$639,$A$5:$A$639,$A75,$C$5:$C$639,$C75-1,$D$5:$D$639,$D75)&lt;0),"n.s.",ABS(M75)/ABS(SUMIFS(M$5:M$639,$A$5:$A$639,$A75,$C$5:$C$639,$C75-1,$D$5:$D$639,$D75))-1)))</f>
        <v/>
      </c>
    </row>
    <row r="76">
      <c r="A76" s="9" t="inlineStr">
        <is>
          <t>SICC</t>
        </is>
      </c>
      <c r="B76" s="10">
        <f>IF(A76="","",IFERROR(VLOOKUP(A76,Titres!$A$2:$B$400,2,FALSE),"Ticker inconnu"))</f>
        <v/>
      </c>
      <c r="C76" s="11" t="n">
        <v>2026</v>
      </c>
      <c r="D76" s="11" t="inlineStr">
        <is>
          <t>T3</t>
        </is>
      </c>
      <c r="E76" s="9" t="n"/>
      <c r="F76" s="12" t="n"/>
      <c r="G76" s="9" t="n"/>
      <c r="H76" s="13" t="n"/>
      <c r="I76" s="13" t="n"/>
      <c r="J76" s="13" t="n"/>
      <c r="K76" s="13" t="n"/>
      <c r="L76" s="13" t="n"/>
      <c r="M76" s="13" t="n"/>
      <c r="N76" s="14">
        <f>IF(A76="","",COUNT(H76:M76)/6)</f>
        <v/>
      </c>
      <c r="O76" s="15">
        <f>IF(COUNT(H76:M76)=0,"",IF(LEN(IF(COUNT(I76,J76)=2,IF(J76&gt;I76+1,"EBE &gt; VA ",""),"")&amp;IF(COUNT(H76,M76)=2,IF(ABS(M76)&gt;ABS(H76),"RN &gt; CA ",""),"")&amp;IF(COUNT(H76,K76)=2,IF(ABS(K76)&gt;ABS(H76),"RE &gt; CA ",""),""))=0,"OK",IF(COUNT(I76,J76)=2,IF(J76&gt;I76+1,"EBE &gt; VA ",""),"")&amp;IF(COUNT(H76,M76)=2,IF(ABS(M76)&gt;ABS(H76),"RN &gt; CA ",""),"")&amp;IF(COUNT(H76,K76)=2,IF(ABS(K76)&gt;ABS(H76),"RE &gt; CA ",""),"")))</f>
        <v/>
      </c>
      <c r="P76" s="16">
        <f>IF(OR($A76="",H76="",$C76=""),"",IF(COUNTIFS($A$5:$A$639,$A76,$C$5:$C$639,$C76-1,$D$5:$D$639,$D76,H$5:H$639,"&lt;&gt;")=0,"",IF(OR(SUMIFS(H$5:H$639,$A$5:$A$639,$A76,$C$5:$C$639,$C76-1,$D$5:$D$639,$D76)=0,H76*SUMIFS(H$5:H$639,$A$5:$A$639,$A76,$C$5:$C$639,$C76-1,$D$5:$D$639,$D76)&lt;0),"n.s.",ABS(H76)/ABS(SUMIFS(H$5:H$639,$A$5:$A$639,$A76,$C$5:$C$639,$C76-1,$D$5:$D$639,$D76))-1)))</f>
        <v/>
      </c>
      <c r="Q76" s="16">
        <f>IF(OR($A76="",I76="",$C76=""),"",IF(COUNTIFS($A$5:$A$639,$A76,$C$5:$C$639,$C76-1,$D$5:$D$639,$D76,I$5:I$639,"&lt;&gt;")=0,"",IF(OR(SUMIFS(I$5:I$639,$A$5:$A$639,$A76,$C$5:$C$639,$C76-1,$D$5:$D$639,$D76)=0,I76*SUMIFS(I$5:I$639,$A$5:$A$639,$A76,$C$5:$C$639,$C76-1,$D$5:$D$639,$D76)&lt;0),"n.s.",ABS(I76)/ABS(SUMIFS(I$5:I$639,$A$5:$A$639,$A76,$C$5:$C$639,$C76-1,$D$5:$D$639,$D76))-1)))</f>
        <v/>
      </c>
      <c r="R76" s="16">
        <f>IF(OR($A76="",J76="",$C76=""),"",IF(COUNTIFS($A$5:$A$639,$A76,$C$5:$C$639,$C76-1,$D$5:$D$639,$D76,J$5:J$639,"&lt;&gt;")=0,"",IF(OR(SUMIFS(J$5:J$639,$A$5:$A$639,$A76,$C$5:$C$639,$C76-1,$D$5:$D$639,$D76)=0,J76*SUMIFS(J$5:J$639,$A$5:$A$639,$A76,$C$5:$C$639,$C76-1,$D$5:$D$639,$D76)&lt;0),"n.s.",ABS(J76)/ABS(SUMIFS(J$5:J$639,$A$5:$A$639,$A76,$C$5:$C$639,$C76-1,$D$5:$D$639,$D76))-1)))</f>
        <v/>
      </c>
      <c r="S76" s="16">
        <f>IF(OR($A76="",K76="",$C76=""),"",IF(COUNTIFS($A$5:$A$639,$A76,$C$5:$C$639,$C76-1,$D$5:$D$639,$D76,K$5:K$639,"&lt;&gt;")=0,"",IF(OR(SUMIFS(K$5:K$639,$A$5:$A$639,$A76,$C$5:$C$639,$C76-1,$D$5:$D$639,$D76)=0,K76*SUMIFS(K$5:K$639,$A$5:$A$639,$A76,$C$5:$C$639,$C76-1,$D$5:$D$639,$D76)&lt;0),"n.s.",ABS(K76)/ABS(SUMIFS(K$5:K$639,$A$5:$A$639,$A76,$C$5:$C$639,$C76-1,$D$5:$D$639,$D76))-1)))</f>
        <v/>
      </c>
      <c r="T76" s="16">
        <f>IF(OR($A76="",L76="",$C76=""),"",IF(COUNTIFS($A$5:$A$639,$A76,$C$5:$C$639,$C76-1,$D$5:$D$639,$D76,L$5:L$639,"&lt;&gt;")=0,"",IF(OR(SUMIFS(L$5:L$639,$A$5:$A$639,$A76,$C$5:$C$639,$C76-1,$D$5:$D$639,$D76)=0,L76*SUMIFS(L$5:L$639,$A$5:$A$639,$A76,$C$5:$C$639,$C76-1,$D$5:$D$639,$D76)&lt;0),"n.s.",ABS(L76)/ABS(SUMIFS(L$5:L$639,$A$5:$A$639,$A76,$C$5:$C$639,$C76-1,$D$5:$D$639,$D76))-1)))</f>
        <v/>
      </c>
      <c r="U76" s="16">
        <f>IF(OR($A76="",M76="",$C76=""),"",IF(COUNTIFS($A$5:$A$639,$A76,$C$5:$C$639,$C76-1,$D$5:$D$639,$D76,M$5:M$639,"&lt;&gt;")=0,"",IF(OR(SUMIFS(M$5:M$639,$A$5:$A$639,$A76,$C$5:$C$639,$C76-1,$D$5:$D$639,$D76)=0,M76*SUMIFS(M$5:M$639,$A$5:$A$639,$A76,$C$5:$C$639,$C76-1,$D$5:$D$639,$D76)&lt;0),"n.s.",ABS(M76)/ABS(SUMIFS(M$5:M$639,$A$5:$A$639,$A76,$C$5:$C$639,$C76-1,$D$5:$D$639,$D76))-1)))</f>
        <v/>
      </c>
    </row>
    <row r="77">
      <c r="A77" s="9" t="inlineStr">
        <is>
          <t>SLBC</t>
        </is>
      </c>
      <c r="B77" s="10">
        <f>IF(A77="","",IFERROR(VLOOKUP(A77,Titres!$A$2:$B$400,2,FALSE),"Ticker inconnu"))</f>
        <v/>
      </c>
      <c r="C77" s="11" t="n">
        <v>2021</v>
      </c>
      <c r="D77" s="11" t="inlineStr">
        <is>
          <t>T1</t>
        </is>
      </c>
      <c r="E77" s="9" t="n"/>
      <c r="F77" s="12" t="n"/>
      <c r="G77" s="9" t="n"/>
      <c r="H77" s="13" t="n"/>
      <c r="I77" s="13" t="n"/>
      <c r="J77" s="13" t="n"/>
      <c r="K77" s="13" t="n"/>
      <c r="L77" s="13" t="n"/>
      <c r="M77" s="13" t="n"/>
      <c r="N77" s="14">
        <f>IF(A77="","",COUNT(H77:M77)/6)</f>
        <v/>
      </c>
      <c r="O77" s="15">
        <f>IF(COUNT(H77:M77)=0,"",IF(LEN(IF(COUNT(I77,J77)=2,IF(J77&gt;I77+1,"EBE &gt; VA ",""),"")&amp;IF(COUNT(H77,M77)=2,IF(ABS(M77)&gt;ABS(H77),"RN &gt; CA ",""),"")&amp;IF(COUNT(H77,K77)=2,IF(ABS(K77)&gt;ABS(H77),"RE &gt; CA ",""),""))=0,"OK",IF(COUNT(I77,J77)=2,IF(J77&gt;I77+1,"EBE &gt; VA ",""),"")&amp;IF(COUNT(H77,M77)=2,IF(ABS(M77)&gt;ABS(H77),"RN &gt; CA ",""),"")&amp;IF(COUNT(H77,K77)=2,IF(ABS(K77)&gt;ABS(H77),"RE &gt; CA ",""),"")))</f>
        <v/>
      </c>
      <c r="P77" s="16">
        <f>IF(OR($A77="",H77="",$C77=""),"",IF(COUNTIFS($A$5:$A$639,$A77,$C$5:$C$639,$C77-1,$D$5:$D$639,$D77,H$5:H$639,"&lt;&gt;")=0,"",IF(OR(SUMIFS(H$5:H$639,$A$5:$A$639,$A77,$C$5:$C$639,$C77-1,$D$5:$D$639,$D77)=0,H77*SUMIFS(H$5:H$639,$A$5:$A$639,$A77,$C$5:$C$639,$C77-1,$D$5:$D$639,$D77)&lt;0),"n.s.",ABS(H77)/ABS(SUMIFS(H$5:H$639,$A$5:$A$639,$A77,$C$5:$C$639,$C77-1,$D$5:$D$639,$D77))-1)))</f>
        <v/>
      </c>
      <c r="Q77" s="16">
        <f>IF(OR($A77="",I77="",$C77=""),"",IF(COUNTIFS($A$5:$A$639,$A77,$C$5:$C$639,$C77-1,$D$5:$D$639,$D77,I$5:I$639,"&lt;&gt;")=0,"",IF(OR(SUMIFS(I$5:I$639,$A$5:$A$639,$A77,$C$5:$C$639,$C77-1,$D$5:$D$639,$D77)=0,I77*SUMIFS(I$5:I$639,$A$5:$A$639,$A77,$C$5:$C$639,$C77-1,$D$5:$D$639,$D77)&lt;0),"n.s.",ABS(I77)/ABS(SUMIFS(I$5:I$639,$A$5:$A$639,$A77,$C$5:$C$639,$C77-1,$D$5:$D$639,$D77))-1)))</f>
        <v/>
      </c>
      <c r="R77" s="16">
        <f>IF(OR($A77="",J77="",$C77=""),"",IF(COUNTIFS($A$5:$A$639,$A77,$C$5:$C$639,$C77-1,$D$5:$D$639,$D77,J$5:J$639,"&lt;&gt;")=0,"",IF(OR(SUMIFS(J$5:J$639,$A$5:$A$639,$A77,$C$5:$C$639,$C77-1,$D$5:$D$639,$D77)=0,J77*SUMIFS(J$5:J$639,$A$5:$A$639,$A77,$C$5:$C$639,$C77-1,$D$5:$D$639,$D77)&lt;0),"n.s.",ABS(J77)/ABS(SUMIFS(J$5:J$639,$A$5:$A$639,$A77,$C$5:$C$639,$C77-1,$D$5:$D$639,$D77))-1)))</f>
        <v/>
      </c>
      <c r="S77" s="16">
        <f>IF(OR($A77="",K77="",$C77=""),"",IF(COUNTIFS($A$5:$A$639,$A77,$C$5:$C$639,$C77-1,$D$5:$D$639,$D77,K$5:K$639,"&lt;&gt;")=0,"",IF(OR(SUMIFS(K$5:K$639,$A$5:$A$639,$A77,$C$5:$C$639,$C77-1,$D$5:$D$639,$D77)=0,K77*SUMIFS(K$5:K$639,$A$5:$A$639,$A77,$C$5:$C$639,$C77-1,$D$5:$D$639,$D77)&lt;0),"n.s.",ABS(K77)/ABS(SUMIFS(K$5:K$639,$A$5:$A$639,$A77,$C$5:$C$639,$C77-1,$D$5:$D$639,$D77))-1)))</f>
        <v/>
      </c>
      <c r="T77" s="16">
        <f>IF(OR($A77="",L77="",$C77=""),"",IF(COUNTIFS($A$5:$A$639,$A77,$C$5:$C$639,$C77-1,$D$5:$D$639,$D77,L$5:L$639,"&lt;&gt;")=0,"",IF(OR(SUMIFS(L$5:L$639,$A$5:$A$639,$A77,$C$5:$C$639,$C77-1,$D$5:$D$639,$D77)=0,L77*SUMIFS(L$5:L$639,$A$5:$A$639,$A77,$C$5:$C$639,$C77-1,$D$5:$D$639,$D77)&lt;0),"n.s.",ABS(L77)/ABS(SUMIFS(L$5:L$639,$A$5:$A$639,$A77,$C$5:$C$639,$C77-1,$D$5:$D$639,$D77))-1)))</f>
        <v/>
      </c>
      <c r="U77" s="16">
        <f>IF(OR($A77="",M77="",$C77=""),"",IF(COUNTIFS($A$5:$A$639,$A77,$C$5:$C$639,$C77-1,$D$5:$D$639,$D77,M$5:M$639,"&lt;&gt;")=0,"",IF(OR(SUMIFS(M$5:M$639,$A$5:$A$639,$A77,$C$5:$C$639,$C77-1,$D$5:$D$639,$D77)=0,M77*SUMIFS(M$5:M$639,$A$5:$A$639,$A77,$C$5:$C$639,$C77-1,$D$5:$D$639,$D77)&lt;0),"n.s.",ABS(M77)/ABS(SUMIFS(M$5:M$639,$A$5:$A$639,$A77,$C$5:$C$639,$C77-1,$D$5:$D$639,$D77))-1)))</f>
        <v/>
      </c>
    </row>
    <row r="78">
      <c r="A78" s="9" t="inlineStr">
        <is>
          <t>SLBC</t>
        </is>
      </c>
      <c r="B78" s="10">
        <f>IF(A78="","",IFERROR(VLOOKUP(A78,Titres!$A$2:$B$400,2,FALSE),"Ticker inconnu"))</f>
        <v/>
      </c>
      <c r="C78" s="11" t="n">
        <v>2021</v>
      </c>
      <c r="D78" s="11" t="inlineStr">
        <is>
          <t>S1</t>
        </is>
      </c>
      <c r="E78" s="9" t="n"/>
      <c r="F78" s="12" t="n"/>
      <c r="G78" s="9" t="n"/>
      <c r="H78" s="13" t="n"/>
      <c r="I78" s="13" t="n"/>
      <c r="J78" s="13" t="n"/>
      <c r="K78" s="13" t="n"/>
      <c r="L78" s="13" t="n"/>
      <c r="M78" s="13" t="n"/>
      <c r="N78" s="14">
        <f>IF(A78="","",COUNT(H78:M78)/6)</f>
        <v/>
      </c>
      <c r="O78" s="15">
        <f>IF(COUNT(H78:M78)=0,"",IF(LEN(IF(COUNT(I78,J78)=2,IF(J78&gt;I78+1,"EBE &gt; VA ",""),"")&amp;IF(COUNT(H78,M78)=2,IF(ABS(M78)&gt;ABS(H78),"RN &gt; CA ",""),"")&amp;IF(COUNT(H78,K78)=2,IF(ABS(K78)&gt;ABS(H78),"RE &gt; CA ",""),""))=0,"OK",IF(COUNT(I78,J78)=2,IF(J78&gt;I78+1,"EBE &gt; VA ",""),"")&amp;IF(COUNT(H78,M78)=2,IF(ABS(M78)&gt;ABS(H78),"RN &gt; CA ",""),"")&amp;IF(COUNT(H78,K78)=2,IF(ABS(K78)&gt;ABS(H78),"RE &gt; CA ",""),"")))</f>
        <v/>
      </c>
      <c r="P78" s="16">
        <f>IF(OR($A78="",H78="",$C78=""),"",IF(COUNTIFS($A$5:$A$639,$A78,$C$5:$C$639,$C78-1,$D$5:$D$639,$D78,H$5:H$639,"&lt;&gt;")=0,"",IF(OR(SUMIFS(H$5:H$639,$A$5:$A$639,$A78,$C$5:$C$639,$C78-1,$D$5:$D$639,$D78)=0,H78*SUMIFS(H$5:H$639,$A$5:$A$639,$A78,$C$5:$C$639,$C78-1,$D$5:$D$639,$D78)&lt;0),"n.s.",ABS(H78)/ABS(SUMIFS(H$5:H$639,$A$5:$A$639,$A78,$C$5:$C$639,$C78-1,$D$5:$D$639,$D78))-1)))</f>
        <v/>
      </c>
      <c r="Q78" s="16">
        <f>IF(OR($A78="",I78="",$C78=""),"",IF(COUNTIFS($A$5:$A$639,$A78,$C$5:$C$639,$C78-1,$D$5:$D$639,$D78,I$5:I$639,"&lt;&gt;")=0,"",IF(OR(SUMIFS(I$5:I$639,$A$5:$A$639,$A78,$C$5:$C$639,$C78-1,$D$5:$D$639,$D78)=0,I78*SUMIFS(I$5:I$639,$A$5:$A$639,$A78,$C$5:$C$639,$C78-1,$D$5:$D$639,$D78)&lt;0),"n.s.",ABS(I78)/ABS(SUMIFS(I$5:I$639,$A$5:$A$639,$A78,$C$5:$C$639,$C78-1,$D$5:$D$639,$D78))-1)))</f>
        <v/>
      </c>
      <c r="R78" s="16">
        <f>IF(OR($A78="",J78="",$C78=""),"",IF(COUNTIFS($A$5:$A$639,$A78,$C$5:$C$639,$C78-1,$D$5:$D$639,$D78,J$5:J$639,"&lt;&gt;")=0,"",IF(OR(SUMIFS(J$5:J$639,$A$5:$A$639,$A78,$C$5:$C$639,$C78-1,$D$5:$D$639,$D78)=0,J78*SUMIFS(J$5:J$639,$A$5:$A$639,$A78,$C$5:$C$639,$C78-1,$D$5:$D$639,$D78)&lt;0),"n.s.",ABS(J78)/ABS(SUMIFS(J$5:J$639,$A$5:$A$639,$A78,$C$5:$C$639,$C78-1,$D$5:$D$639,$D78))-1)))</f>
        <v/>
      </c>
      <c r="S78" s="16">
        <f>IF(OR($A78="",K78="",$C78=""),"",IF(COUNTIFS($A$5:$A$639,$A78,$C$5:$C$639,$C78-1,$D$5:$D$639,$D78,K$5:K$639,"&lt;&gt;")=0,"",IF(OR(SUMIFS(K$5:K$639,$A$5:$A$639,$A78,$C$5:$C$639,$C78-1,$D$5:$D$639,$D78)=0,K78*SUMIFS(K$5:K$639,$A$5:$A$639,$A78,$C$5:$C$639,$C78-1,$D$5:$D$639,$D78)&lt;0),"n.s.",ABS(K78)/ABS(SUMIFS(K$5:K$639,$A$5:$A$639,$A78,$C$5:$C$639,$C78-1,$D$5:$D$639,$D78))-1)))</f>
        <v/>
      </c>
      <c r="T78" s="16">
        <f>IF(OR($A78="",L78="",$C78=""),"",IF(COUNTIFS($A$5:$A$639,$A78,$C$5:$C$639,$C78-1,$D$5:$D$639,$D78,L$5:L$639,"&lt;&gt;")=0,"",IF(OR(SUMIFS(L$5:L$639,$A$5:$A$639,$A78,$C$5:$C$639,$C78-1,$D$5:$D$639,$D78)=0,L78*SUMIFS(L$5:L$639,$A$5:$A$639,$A78,$C$5:$C$639,$C78-1,$D$5:$D$639,$D78)&lt;0),"n.s.",ABS(L78)/ABS(SUMIFS(L$5:L$639,$A$5:$A$639,$A78,$C$5:$C$639,$C78-1,$D$5:$D$639,$D78))-1)))</f>
        <v/>
      </c>
      <c r="U78" s="16">
        <f>IF(OR($A78="",M78="",$C78=""),"",IF(COUNTIFS($A$5:$A$639,$A78,$C$5:$C$639,$C78-1,$D$5:$D$639,$D78,M$5:M$639,"&lt;&gt;")=0,"",IF(OR(SUMIFS(M$5:M$639,$A$5:$A$639,$A78,$C$5:$C$639,$C78-1,$D$5:$D$639,$D78)=0,M78*SUMIFS(M$5:M$639,$A$5:$A$639,$A78,$C$5:$C$639,$C78-1,$D$5:$D$639,$D78)&lt;0),"n.s.",ABS(M78)/ABS(SUMIFS(M$5:M$639,$A$5:$A$639,$A78,$C$5:$C$639,$C78-1,$D$5:$D$639,$D78))-1)))</f>
        <v/>
      </c>
    </row>
    <row r="79">
      <c r="A79" s="9" t="inlineStr">
        <is>
          <t>SLBC</t>
        </is>
      </c>
      <c r="B79" s="10">
        <f>IF(A79="","",IFERROR(VLOOKUP(A79,Titres!$A$2:$B$400,2,FALSE),"Ticker inconnu"))</f>
        <v/>
      </c>
      <c r="C79" s="11" t="n">
        <v>2021</v>
      </c>
      <c r="D79" s="11" t="inlineStr">
        <is>
          <t>T3</t>
        </is>
      </c>
      <c r="E79" s="9" t="n"/>
      <c r="F79" s="12" t="n"/>
      <c r="G79" s="9" t="n"/>
      <c r="H79" s="13" t="n"/>
      <c r="I79" s="13" t="n"/>
      <c r="J79" s="13" t="n"/>
      <c r="K79" s="13" t="n"/>
      <c r="L79" s="13" t="n"/>
      <c r="M79" s="13" t="n"/>
      <c r="N79" s="14">
        <f>IF(A79="","",COUNT(H79:M79)/6)</f>
        <v/>
      </c>
      <c r="O79" s="15">
        <f>IF(COUNT(H79:M79)=0,"",IF(LEN(IF(COUNT(I79,J79)=2,IF(J79&gt;I79+1,"EBE &gt; VA ",""),"")&amp;IF(COUNT(H79,M79)=2,IF(ABS(M79)&gt;ABS(H79),"RN &gt; CA ",""),"")&amp;IF(COUNT(H79,K79)=2,IF(ABS(K79)&gt;ABS(H79),"RE &gt; CA ",""),""))=0,"OK",IF(COUNT(I79,J79)=2,IF(J79&gt;I79+1,"EBE &gt; VA ",""),"")&amp;IF(COUNT(H79,M79)=2,IF(ABS(M79)&gt;ABS(H79),"RN &gt; CA ",""),"")&amp;IF(COUNT(H79,K79)=2,IF(ABS(K79)&gt;ABS(H79),"RE &gt; CA ",""),"")))</f>
        <v/>
      </c>
      <c r="P79" s="16">
        <f>IF(OR($A79="",H79="",$C79=""),"",IF(COUNTIFS($A$5:$A$639,$A79,$C$5:$C$639,$C79-1,$D$5:$D$639,$D79,H$5:H$639,"&lt;&gt;")=0,"",IF(OR(SUMIFS(H$5:H$639,$A$5:$A$639,$A79,$C$5:$C$639,$C79-1,$D$5:$D$639,$D79)=0,H79*SUMIFS(H$5:H$639,$A$5:$A$639,$A79,$C$5:$C$639,$C79-1,$D$5:$D$639,$D79)&lt;0),"n.s.",ABS(H79)/ABS(SUMIFS(H$5:H$639,$A$5:$A$639,$A79,$C$5:$C$639,$C79-1,$D$5:$D$639,$D79))-1)))</f>
        <v/>
      </c>
      <c r="Q79" s="16">
        <f>IF(OR($A79="",I79="",$C79=""),"",IF(COUNTIFS($A$5:$A$639,$A79,$C$5:$C$639,$C79-1,$D$5:$D$639,$D79,I$5:I$639,"&lt;&gt;")=0,"",IF(OR(SUMIFS(I$5:I$639,$A$5:$A$639,$A79,$C$5:$C$639,$C79-1,$D$5:$D$639,$D79)=0,I79*SUMIFS(I$5:I$639,$A$5:$A$639,$A79,$C$5:$C$639,$C79-1,$D$5:$D$639,$D79)&lt;0),"n.s.",ABS(I79)/ABS(SUMIFS(I$5:I$639,$A$5:$A$639,$A79,$C$5:$C$639,$C79-1,$D$5:$D$639,$D79))-1)))</f>
        <v/>
      </c>
      <c r="R79" s="16">
        <f>IF(OR($A79="",J79="",$C79=""),"",IF(COUNTIFS($A$5:$A$639,$A79,$C$5:$C$639,$C79-1,$D$5:$D$639,$D79,J$5:J$639,"&lt;&gt;")=0,"",IF(OR(SUMIFS(J$5:J$639,$A$5:$A$639,$A79,$C$5:$C$639,$C79-1,$D$5:$D$639,$D79)=0,J79*SUMIFS(J$5:J$639,$A$5:$A$639,$A79,$C$5:$C$639,$C79-1,$D$5:$D$639,$D79)&lt;0),"n.s.",ABS(J79)/ABS(SUMIFS(J$5:J$639,$A$5:$A$639,$A79,$C$5:$C$639,$C79-1,$D$5:$D$639,$D79))-1)))</f>
        <v/>
      </c>
      <c r="S79" s="16">
        <f>IF(OR($A79="",K79="",$C79=""),"",IF(COUNTIFS($A$5:$A$639,$A79,$C$5:$C$639,$C79-1,$D$5:$D$639,$D79,K$5:K$639,"&lt;&gt;")=0,"",IF(OR(SUMIFS(K$5:K$639,$A$5:$A$639,$A79,$C$5:$C$639,$C79-1,$D$5:$D$639,$D79)=0,K79*SUMIFS(K$5:K$639,$A$5:$A$639,$A79,$C$5:$C$639,$C79-1,$D$5:$D$639,$D79)&lt;0),"n.s.",ABS(K79)/ABS(SUMIFS(K$5:K$639,$A$5:$A$639,$A79,$C$5:$C$639,$C79-1,$D$5:$D$639,$D79))-1)))</f>
        <v/>
      </c>
      <c r="T79" s="16">
        <f>IF(OR($A79="",L79="",$C79=""),"",IF(COUNTIFS($A$5:$A$639,$A79,$C$5:$C$639,$C79-1,$D$5:$D$639,$D79,L$5:L$639,"&lt;&gt;")=0,"",IF(OR(SUMIFS(L$5:L$639,$A$5:$A$639,$A79,$C$5:$C$639,$C79-1,$D$5:$D$639,$D79)=0,L79*SUMIFS(L$5:L$639,$A$5:$A$639,$A79,$C$5:$C$639,$C79-1,$D$5:$D$639,$D79)&lt;0),"n.s.",ABS(L79)/ABS(SUMIFS(L$5:L$639,$A$5:$A$639,$A79,$C$5:$C$639,$C79-1,$D$5:$D$639,$D79))-1)))</f>
        <v/>
      </c>
      <c r="U79" s="16">
        <f>IF(OR($A79="",M79="",$C79=""),"",IF(COUNTIFS($A$5:$A$639,$A79,$C$5:$C$639,$C79-1,$D$5:$D$639,$D79,M$5:M$639,"&lt;&gt;")=0,"",IF(OR(SUMIFS(M$5:M$639,$A$5:$A$639,$A79,$C$5:$C$639,$C79-1,$D$5:$D$639,$D79)=0,M79*SUMIFS(M$5:M$639,$A$5:$A$639,$A79,$C$5:$C$639,$C79-1,$D$5:$D$639,$D79)&lt;0),"n.s.",ABS(M79)/ABS(SUMIFS(M$5:M$639,$A$5:$A$639,$A79,$C$5:$C$639,$C79-1,$D$5:$D$639,$D79))-1)))</f>
        <v/>
      </c>
    </row>
    <row r="80">
      <c r="A80" s="9" t="inlineStr">
        <is>
          <t>SLBC</t>
        </is>
      </c>
      <c r="B80" s="10">
        <f>IF(A80="","",IFERROR(VLOOKUP(A80,Titres!$A$2:$B$400,2,FALSE),"Ticker inconnu"))</f>
        <v/>
      </c>
      <c r="C80" s="11" t="n">
        <v>2022</v>
      </c>
      <c r="D80" s="11" t="inlineStr">
        <is>
          <t>T1</t>
        </is>
      </c>
      <c r="E80" s="9" t="n"/>
      <c r="F80" s="12" t="n"/>
      <c r="G80" s="9" t="n"/>
      <c r="H80" s="13" t="n"/>
      <c r="I80" s="13" t="n"/>
      <c r="J80" s="13" t="n"/>
      <c r="K80" s="13" t="n"/>
      <c r="L80" s="13" t="n"/>
      <c r="M80" s="13" t="n"/>
      <c r="N80" s="14">
        <f>IF(A80="","",COUNT(H80:M80)/6)</f>
        <v/>
      </c>
      <c r="O80" s="15">
        <f>IF(COUNT(H80:M80)=0,"",IF(LEN(IF(COUNT(I80,J80)=2,IF(J80&gt;I80+1,"EBE &gt; VA ",""),"")&amp;IF(COUNT(H80,M80)=2,IF(ABS(M80)&gt;ABS(H80),"RN &gt; CA ",""),"")&amp;IF(COUNT(H80,K80)=2,IF(ABS(K80)&gt;ABS(H80),"RE &gt; CA ",""),""))=0,"OK",IF(COUNT(I80,J80)=2,IF(J80&gt;I80+1,"EBE &gt; VA ",""),"")&amp;IF(COUNT(H80,M80)=2,IF(ABS(M80)&gt;ABS(H80),"RN &gt; CA ",""),"")&amp;IF(COUNT(H80,K80)=2,IF(ABS(K80)&gt;ABS(H80),"RE &gt; CA ",""),"")))</f>
        <v/>
      </c>
      <c r="P80" s="16">
        <f>IF(OR($A80="",H80="",$C80=""),"",IF(COUNTIFS($A$5:$A$639,$A80,$C$5:$C$639,$C80-1,$D$5:$D$639,$D80,H$5:H$639,"&lt;&gt;")=0,"",IF(OR(SUMIFS(H$5:H$639,$A$5:$A$639,$A80,$C$5:$C$639,$C80-1,$D$5:$D$639,$D80)=0,H80*SUMIFS(H$5:H$639,$A$5:$A$639,$A80,$C$5:$C$639,$C80-1,$D$5:$D$639,$D80)&lt;0),"n.s.",ABS(H80)/ABS(SUMIFS(H$5:H$639,$A$5:$A$639,$A80,$C$5:$C$639,$C80-1,$D$5:$D$639,$D80))-1)))</f>
        <v/>
      </c>
      <c r="Q80" s="16">
        <f>IF(OR($A80="",I80="",$C80=""),"",IF(COUNTIFS($A$5:$A$639,$A80,$C$5:$C$639,$C80-1,$D$5:$D$639,$D80,I$5:I$639,"&lt;&gt;")=0,"",IF(OR(SUMIFS(I$5:I$639,$A$5:$A$639,$A80,$C$5:$C$639,$C80-1,$D$5:$D$639,$D80)=0,I80*SUMIFS(I$5:I$639,$A$5:$A$639,$A80,$C$5:$C$639,$C80-1,$D$5:$D$639,$D80)&lt;0),"n.s.",ABS(I80)/ABS(SUMIFS(I$5:I$639,$A$5:$A$639,$A80,$C$5:$C$639,$C80-1,$D$5:$D$639,$D80))-1)))</f>
        <v/>
      </c>
      <c r="R80" s="16">
        <f>IF(OR($A80="",J80="",$C80=""),"",IF(COUNTIFS($A$5:$A$639,$A80,$C$5:$C$639,$C80-1,$D$5:$D$639,$D80,J$5:J$639,"&lt;&gt;")=0,"",IF(OR(SUMIFS(J$5:J$639,$A$5:$A$639,$A80,$C$5:$C$639,$C80-1,$D$5:$D$639,$D80)=0,J80*SUMIFS(J$5:J$639,$A$5:$A$639,$A80,$C$5:$C$639,$C80-1,$D$5:$D$639,$D80)&lt;0),"n.s.",ABS(J80)/ABS(SUMIFS(J$5:J$639,$A$5:$A$639,$A80,$C$5:$C$639,$C80-1,$D$5:$D$639,$D80))-1)))</f>
        <v/>
      </c>
      <c r="S80" s="16">
        <f>IF(OR($A80="",K80="",$C80=""),"",IF(COUNTIFS($A$5:$A$639,$A80,$C$5:$C$639,$C80-1,$D$5:$D$639,$D80,K$5:K$639,"&lt;&gt;")=0,"",IF(OR(SUMIFS(K$5:K$639,$A$5:$A$639,$A80,$C$5:$C$639,$C80-1,$D$5:$D$639,$D80)=0,K80*SUMIFS(K$5:K$639,$A$5:$A$639,$A80,$C$5:$C$639,$C80-1,$D$5:$D$639,$D80)&lt;0),"n.s.",ABS(K80)/ABS(SUMIFS(K$5:K$639,$A$5:$A$639,$A80,$C$5:$C$639,$C80-1,$D$5:$D$639,$D80))-1)))</f>
        <v/>
      </c>
      <c r="T80" s="16">
        <f>IF(OR($A80="",L80="",$C80=""),"",IF(COUNTIFS($A$5:$A$639,$A80,$C$5:$C$639,$C80-1,$D$5:$D$639,$D80,L$5:L$639,"&lt;&gt;")=0,"",IF(OR(SUMIFS(L$5:L$639,$A$5:$A$639,$A80,$C$5:$C$639,$C80-1,$D$5:$D$639,$D80)=0,L80*SUMIFS(L$5:L$639,$A$5:$A$639,$A80,$C$5:$C$639,$C80-1,$D$5:$D$639,$D80)&lt;0),"n.s.",ABS(L80)/ABS(SUMIFS(L$5:L$639,$A$5:$A$639,$A80,$C$5:$C$639,$C80-1,$D$5:$D$639,$D80))-1)))</f>
        <v/>
      </c>
      <c r="U80" s="16">
        <f>IF(OR($A80="",M80="",$C80=""),"",IF(COUNTIFS($A$5:$A$639,$A80,$C$5:$C$639,$C80-1,$D$5:$D$639,$D80,M$5:M$639,"&lt;&gt;")=0,"",IF(OR(SUMIFS(M$5:M$639,$A$5:$A$639,$A80,$C$5:$C$639,$C80-1,$D$5:$D$639,$D80)=0,M80*SUMIFS(M$5:M$639,$A$5:$A$639,$A80,$C$5:$C$639,$C80-1,$D$5:$D$639,$D80)&lt;0),"n.s.",ABS(M80)/ABS(SUMIFS(M$5:M$639,$A$5:$A$639,$A80,$C$5:$C$639,$C80-1,$D$5:$D$639,$D80))-1)))</f>
        <v/>
      </c>
    </row>
    <row r="81">
      <c r="A81" s="9" t="inlineStr">
        <is>
          <t>SLBC</t>
        </is>
      </c>
      <c r="B81" s="10">
        <f>IF(A81="","",IFERROR(VLOOKUP(A81,Titres!$A$2:$B$400,2,FALSE),"Ticker inconnu"))</f>
        <v/>
      </c>
      <c r="C81" s="11" t="n">
        <v>2022</v>
      </c>
      <c r="D81" s="11" t="inlineStr">
        <is>
          <t>S1</t>
        </is>
      </c>
      <c r="E81" s="9" t="n"/>
      <c r="F81" s="12" t="n"/>
      <c r="G81" s="9" t="n"/>
      <c r="H81" s="13" t="n"/>
      <c r="I81" s="13" t="n"/>
      <c r="J81" s="13" t="n"/>
      <c r="K81" s="13" t="n"/>
      <c r="L81" s="13" t="n"/>
      <c r="M81" s="13" t="n"/>
      <c r="N81" s="14">
        <f>IF(A81="","",COUNT(H81:M81)/6)</f>
        <v/>
      </c>
      <c r="O81" s="15">
        <f>IF(COUNT(H81:M81)=0,"",IF(LEN(IF(COUNT(I81,J81)=2,IF(J81&gt;I81+1,"EBE &gt; VA ",""),"")&amp;IF(COUNT(H81,M81)=2,IF(ABS(M81)&gt;ABS(H81),"RN &gt; CA ",""),"")&amp;IF(COUNT(H81,K81)=2,IF(ABS(K81)&gt;ABS(H81),"RE &gt; CA ",""),""))=0,"OK",IF(COUNT(I81,J81)=2,IF(J81&gt;I81+1,"EBE &gt; VA ",""),"")&amp;IF(COUNT(H81,M81)=2,IF(ABS(M81)&gt;ABS(H81),"RN &gt; CA ",""),"")&amp;IF(COUNT(H81,K81)=2,IF(ABS(K81)&gt;ABS(H81),"RE &gt; CA ",""),"")))</f>
        <v/>
      </c>
      <c r="P81" s="16">
        <f>IF(OR($A81="",H81="",$C81=""),"",IF(COUNTIFS($A$5:$A$639,$A81,$C$5:$C$639,$C81-1,$D$5:$D$639,$D81,H$5:H$639,"&lt;&gt;")=0,"",IF(OR(SUMIFS(H$5:H$639,$A$5:$A$639,$A81,$C$5:$C$639,$C81-1,$D$5:$D$639,$D81)=0,H81*SUMIFS(H$5:H$639,$A$5:$A$639,$A81,$C$5:$C$639,$C81-1,$D$5:$D$639,$D81)&lt;0),"n.s.",ABS(H81)/ABS(SUMIFS(H$5:H$639,$A$5:$A$639,$A81,$C$5:$C$639,$C81-1,$D$5:$D$639,$D81))-1)))</f>
        <v/>
      </c>
      <c r="Q81" s="16">
        <f>IF(OR($A81="",I81="",$C81=""),"",IF(COUNTIFS($A$5:$A$639,$A81,$C$5:$C$639,$C81-1,$D$5:$D$639,$D81,I$5:I$639,"&lt;&gt;")=0,"",IF(OR(SUMIFS(I$5:I$639,$A$5:$A$639,$A81,$C$5:$C$639,$C81-1,$D$5:$D$639,$D81)=0,I81*SUMIFS(I$5:I$639,$A$5:$A$639,$A81,$C$5:$C$639,$C81-1,$D$5:$D$639,$D81)&lt;0),"n.s.",ABS(I81)/ABS(SUMIFS(I$5:I$639,$A$5:$A$639,$A81,$C$5:$C$639,$C81-1,$D$5:$D$639,$D81))-1)))</f>
        <v/>
      </c>
      <c r="R81" s="16">
        <f>IF(OR($A81="",J81="",$C81=""),"",IF(COUNTIFS($A$5:$A$639,$A81,$C$5:$C$639,$C81-1,$D$5:$D$639,$D81,J$5:J$639,"&lt;&gt;")=0,"",IF(OR(SUMIFS(J$5:J$639,$A$5:$A$639,$A81,$C$5:$C$639,$C81-1,$D$5:$D$639,$D81)=0,J81*SUMIFS(J$5:J$639,$A$5:$A$639,$A81,$C$5:$C$639,$C81-1,$D$5:$D$639,$D81)&lt;0),"n.s.",ABS(J81)/ABS(SUMIFS(J$5:J$639,$A$5:$A$639,$A81,$C$5:$C$639,$C81-1,$D$5:$D$639,$D81))-1)))</f>
        <v/>
      </c>
      <c r="S81" s="16">
        <f>IF(OR($A81="",K81="",$C81=""),"",IF(COUNTIFS($A$5:$A$639,$A81,$C$5:$C$639,$C81-1,$D$5:$D$639,$D81,K$5:K$639,"&lt;&gt;")=0,"",IF(OR(SUMIFS(K$5:K$639,$A$5:$A$639,$A81,$C$5:$C$639,$C81-1,$D$5:$D$639,$D81)=0,K81*SUMIFS(K$5:K$639,$A$5:$A$639,$A81,$C$5:$C$639,$C81-1,$D$5:$D$639,$D81)&lt;0),"n.s.",ABS(K81)/ABS(SUMIFS(K$5:K$639,$A$5:$A$639,$A81,$C$5:$C$639,$C81-1,$D$5:$D$639,$D81))-1)))</f>
        <v/>
      </c>
      <c r="T81" s="16">
        <f>IF(OR($A81="",L81="",$C81=""),"",IF(COUNTIFS($A$5:$A$639,$A81,$C$5:$C$639,$C81-1,$D$5:$D$639,$D81,L$5:L$639,"&lt;&gt;")=0,"",IF(OR(SUMIFS(L$5:L$639,$A$5:$A$639,$A81,$C$5:$C$639,$C81-1,$D$5:$D$639,$D81)=0,L81*SUMIFS(L$5:L$639,$A$5:$A$639,$A81,$C$5:$C$639,$C81-1,$D$5:$D$639,$D81)&lt;0),"n.s.",ABS(L81)/ABS(SUMIFS(L$5:L$639,$A$5:$A$639,$A81,$C$5:$C$639,$C81-1,$D$5:$D$639,$D81))-1)))</f>
        <v/>
      </c>
      <c r="U81" s="16">
        <f>IF(OR($A81="",M81="",$C81=""),"",IF(COUNTIFS($A$5:$A$639,$A81,$C$5:$C$639,$C81-1,$D$5:$D$639,$D81,M$5:M$639,"&lt;&gt;")=0,"",IF(OR(SUMIFS(M$5:M$639,$A$5:$A$639,$A81,$C$5:$C$639,$C81-1,$D$5:$D$639,$D81)=0,M81*SUMIFS(M$5:M$639,$A$5:$A$639,$A81,$C$5:$C$639,$C81-1,$D$5:$D$639,$D81)&lt;0),"n.s.",ABS(M81)/ABS(SUMIFS(M$5:M$639,$A$5:$A$639,$A81,$C$5:$C$639,$C81-1,$D$5:$D$639,$D81))-1)))</f>
        <v/>
      </c>
    </row>
    <row r="82">
      <c r="A82" s="9" t="inlineStr">
        <is>
          <t>SLBC</t>
        </is>
      </c>
      <c r="B82" s="10">
        <f>IF(A82="","",IFERROR(VLOOKUP(A82,Titres!$A$2:$B$400,2,FALSE),"Ticker inconnu"))</f>
        <v/>
      </c>
      <c r="C82" s="11" t="n">
        <v>2022</v>
      </c>
      <c r="D82" s="11" t="inlineStr">
        <is>
          <t>T3</t>
        </is>
      </c>
      <c r="E82" s="9" t="n"/>
      <c r="F82" s="12" t="n"/>
      <c r="G82" s="9" t="n"/>
      <c r="H82" s="13" t="n"/>
      <c r="I82" s="13" t="n"/>
      <c r="J82" s="13" t="n"/>
      <c r="K82" s="13" t="n"/>
      <c r="L82" s="13" t="n"/>
      <c r="M82" s="13" t="n"/>
      <c r="N82" s="14">
        <f>IF(A82="","",COUNT(H82:M82)/6)</f>
        <v/>
      </c>
      <c r="O82" s="15">
        <f>IF(COUNT(H82:M82)=0,"",IF(LEN(IF(COUNT(I82,J82)=2,IF(J82&gt;I82+1,"EBE &gt; VA ",""),"")&amp;IF(COUNT(H82,M82)=2,IF(ABS(M82)&gt;ABS(H82),"RN &gt; CA ",""),"")&amp;IF(COUNT(H82,K82)=2,IF(ABS(K82)&gt;ABS(H82),"RE &gt; CA ",""),""))=0,"OK",IF(COUNT(I82,J82)=2,IF(J82&gt;I82+1,"EBE &gt; VA ",""),"")&amp;IF(COUNT(H82,M82)=2,IF(ABS(M82)&gt;ABS(H82),"RN &gt; CA ",""),"")&amp;IF(COUNT(H82,K82)=2,IF(ABS(K82)&gt;ABS(H82),"RE &gt; CA ",""),"")))</f>
        <v/>
      </c>
      <c r="P82" s="16">
        <f>IF(OR($A82="",H82="",$C82=""),"",IF(COUNTIFS($A$5:$A$639,$A82,$C$5:$C$639,$C82-1,$D$5:$D$639,$D82,H$5:H$639,"&lt;&gt;")=0,"",IF(OR(SUMIFS(H$5:H$639,$A$5:$A$639,$A82,$C$5:$C$639,$C82-1,$D$5:$D$639,$D82)=0,H82*SUMIFS(H$5:H$639,$A$5:$A$639,$A82,$C$5:$C$639,$C82-1,$D$5:$D$639,$D82)&lt;0),"n.s.",ABS(H82)/ABS(SUMIFS(H$5:H$639,$A$5:$A$639,$A82,$C$5:$C$639,$C82-1,$D$5:$D$639,$D82))-1)))</f>
        <v/>
      </c>
      <c r="Q82" s="16">
        <f>IF(OR($A82="",I82="",$C82=""),"",IF(COUNTIFS($A$5:$A$639,$A82,$C$5:$C$639,$C82-1,$D$5:$D$639,$D82,I$5:I$639,"&lt;&gt;")=0,"",IF(OR(SUMIFS(I$5:I$639,$A$5:$A$639,$A82,$C$5:$C$639,$C82-1,$D$5:$D$639,$D82)=0,I82*SUMIFS(I$5:I$639,$A$5:$A$639,$A82,$C$5:$C$639,$C82-1,$D$5:$D$639,$D82)&lt;0),"n.s.",ABS(I82)/ABS(SUMIFS(I$5:I$639,$A$5:$A$639,$A82,$C$5:$C$639,$C82-1,$D$5:$D$639,$D82))-1)))</f>
        <v/>
      </c>
      <c r="R82" s="16">
        <f>IF(OR($A82="",J82="",$C82=""),"",IF(COUNTIFS($A$5:$A$639,$A82,$C$5:$C$639,$C82-1,$D$5:$D$639,$D82,J$5:J$639,"&lt;&gt;")=0,"",IF(OR(SUMIFS(J$5:J$639,$A$5:$A$639,$A82,$C$5:$C$639,$C82-1,$D$5:$D$639,$D82)=0,J82*SUMIFS(J$5:J$639,$A$5:$A$639,$A82,$C$5:$C$639,$C82-1,$D$5:$D$639,$D82)&lt;0),"n.s.",ABS(J82)/ABS(SUMIFS(J$5:J$639,$A$5:$A$639,$A82,$C$5:$C$639,$C82-1,$D$5:$D$639,$D82))-1)))</f>
        <v/>
      </c>
      <c r="S82" s="16">
        <f>IF(OR($A82="",K82="",$C82=""),"",IF(COUNTIFS($A$5:$A$639,$A82,$C$5:$C$639,$C82-1,$D$5:$D$639,$D82,K$5:K$639,"&lt;&gt;")=0,"",IF(OR(SUMIFS(K$5:K$639,$A$5:$A$639,$A82,$C$5:$C$639,$C82-1,$D$5:$D$639,$D82)=0,K82*SUMIFS(K$5:K$639,$A$5:$A$639,$A82,$C$5:$C$639,$C82-1,$D$5:$D$639,$D82)&lt;0),"n.s.",ABS(K82)/ABS(SUMIFS(K$5:K$639,$A$5:$A$639,$A82,$C$5:$C$639,$C82-1,$D$5:$D$639,$D82))-1)))</f>
        <v/>
      </c>
      <c r="T82" s="16">
        <f>IF(OR($A82="",L82="",$C82=""),"",IF(COUNTIFS($A$5:$A$639,$A82,$C$5:$C$639,$C82-1,$D$5:$D$639,$D82,L$5:L$639,"&lt;&gt;")=0,"",IF(OR(SUMIFS(L$5:L$639,$A$5:$A$639,$A82,$C$5:$C$639,$C82-1,$D$5:$D$639,$D82)=0,L82*SUMIFS(L$5:L$639,$A$5:$A$639,$A82,$C$5:$C$639,$C82-1,$D$5:$D$639,$D82)&lt;0),"n.s.",ABS(L82)/ABS(SUMIFS(L$5:L$639,$A$5:$A$639,$A82,$C$5:$C$639,$C82-1,$D$5:$D$639,$D82))-1)))</f>
        <v/>
      </c>
      <c r="U82" s="16">
        <f>IF(OR($A82="",M82="",$C82=""),"",IF(COUNTIFS($A$5:$A$639,$A82,$C$5:$C$639,$C82-1,$D$5:$D$639,$D82,M$5:M$639,"&lt;&gt;")=0,"",IF(OR(SUMIFS(M$5:M$639,$A$5:$A$639,$A82,$C$5:$C$639,$C82-1,$D$5:$D$639,$D82)=0,M82*SUMIFS(M$5:M$639,$A$5:$A$639,$A82,$C$5:$C$639,$C82-1,$D$5:$D$639,$D82)&lt;0),"n.s.",ABS(M82)/ABS(SUMIFS(M$5:M$639,$A$5:$A$639,$A82,$C$5:$C$639,$C82-1,$D$5:$D$639,$D82))-1)))</f>
        <v/>
      </c>
    </row>
    <row r="83">
      <c r="A83" s="9" t="inlineStr">
        <is>
          <t>SLBC</t>
        </is>
      </c>
      <c r="B83" s="10">
        <f>IF(A83="","",IFERROR(VLOOKUP(A83,Titres!$A$2:$B$400,2,FALSE),"Ticker inconnu"))</f>
        <v/>
      </c>
      <c r="C83" s="11" t="n">
        <v>2023</v>
      </c>
      <c r="D83" s="11" t="inlineStr">
        <is>
          <t>T1</t>
        </is>
      </c>
      <c r="E83" s="9" t="n"/>
      <c r="F83" s="12" t="n"/>
      <c r="G83" s="9" t="n"/>
      <c r="H83" s="13" t="n"/>
      <c r="I83" s="13" t="n"/>
      <c r="J83" s="13" t="n"/>
      <c r="K83" s="13" t="n"/>
      <c r="L83" s="13" t="n"/>
      <c r="M83" s="13" t="n"/>
      <c r="N83" s="14">
        <f>IF(A83="","",COUNT(H83:M83)/6)</f>
        <v/>
      </c>
      <c r="O83" s="15">
        <f>IF(COUNT(H83:M83)=0,"",IF(LEN(IF(COUNT(I83,J83)=2,IF(J83&gt;I83+1,"EBE &gt; VA ",""),"")&amp;IF(COUNT(H83,M83)=2,IF(ABS(M83)&gt;ABS(H83),"RN &gt; CA ",""),"")&amp;IF(COUNT(H83,K83)=2,IF(ABS(K83)&gt;ABS(H83),"RE &gt; CA ",""),""))=0,"OK",IF(COUNT(I83,J83)=2,IF(J83&gt;I83+1,"EBE &gt; VA ",""),"")&amp;IF(COUNT(H83,M83)=2,IF(ABS(M83)&gt;ABS(H83),"RN &gt; CA ",""),"")&amp;IF(COUNT(H83,K83)=2,IF(ABS(K83)&gt;ABS(H83),"RE &gt; CA ",""),"")))</f>
        <v/>
      </c>
      <c r="P83" s="16">
        <f>IF(OR($A83="",H83="",$C83=""),"",IF(COUNTIFS($A$5:$A$639,$A83,$C$5:$C$639,$C83-1,$D$5:$D$639,$D83,H$5:H$639,"&lt;&gt;")=0,"",IF(OR(SUMIFS(H$5:H$639,$A$5:$A$639,$A83,$C$5:$C$639,$C83-1,$D$5:$D$639,$D83)=0,H83*SUMIFS(H$5:H$639,$A$5:$A$639,$A83,$C$5:$C$639,$C83-1,$D$5:$D$639,$D83)&lt;0),"n.s.",ABS(H83)/ABS(SUMIFS(H$5:H$639,$A$5:$A$639,$A83,$C$5:$C$639,$C83-1,$D$5:$D$639,$D83))-1)))</f>
        <v/>
      </c>
      <c r="Q83" s="16">
        <f>IF(OR($A83="",I83="",$C83=""),"",IF(COUNTIFS($A$5:$A$639,$A83,$C$5:$C$639,$C83-1,$D$5:$D$639,$D83,I$5:I$639,"&lt;&gt;")=0,"",IF(OR(SUMIFS(I$5:I$639,$A$5:$A$639,$A83,$C$5:$C$639,$C83-1,$D$5:$D$639,$D83)=0,I83*SUMIFS(I$5:I$639,$A$5:$A$639,$A83,$C$5:$C$639,$C83-1,$D$5:$D$639,$D83)&lt;0),"n.s.",ABS(I83)/ABS(SUMIFS(I$5:I$639,$A$5:$A$639,$A83,$C$5:$C$639,$C83-1,$D$5:$D$639,$D83))-1)))</f>
        <v/>
      </c>
      <c r="R83" s="16">
        <f>IF(OR($A83="",J83="",$C83=""),"",IF(COUNTIFS($A$5:$A$639,$A83,$C$5:$C$639,$C83-1,$D$5:$D$639,$D83,J$5:J$639,"&lt;&gt;")=0,"",IF(OR(SUMIFS(J$5:J$639,$A$5:$A$639,$A83,$C$5:$C$639,$C83-1,$D$5:$D$639,$D83)=0,J83*SUMIFS(J$5:J$639,$A$5:$A$639,$A83,$C$5:$C$639,$C83-1,$D$5:$D$639,$D83)&lt;0),"n.s.",ABS(J83)/ABS(SUMIFS(J$5:J$639,$A$5:$A$639,$A83,$C$5:$C$639,$C83-1,$D$5:$D$639,$D83))-1)))</f>
        <v/>
      </c>
      <c r="S83" s="16">
        <f>IF(OR($A83="",K83="",$C83=""),"",IF(COUNTIFS($A$5:$A$639,$A83,$C$5:$C$639,$C83-1,$D$5:$D$639,$D83,K$5:K$639,"&lt;&gt;")=0,"",IF(OR(SUMIFS(K$5:K$639,$A$5:$A$639,$A83,$C$5:$C$639,$C83-1,$D$5:$D$639,$D83)=0,K83*SUMIFS(K$5:K$639,$A$5:$A$639,$A83,$C$5:$C$639,$C83-1,$D$5:$D$639,$D83)&lt;0),"n.s.",ABS(K83)/ABS(SUMIFS(K$5:K$639,$A$5:$A$639,$A83,$C$5:$C$639,$C83-1,$D$5:$D$639,$D83))-1)))</f>
        <v/>
      </c>
      <c r="T83" s="16">
        <f>IF(OR($A83="",L83="",$C83=""),"",IF(COUNTIFS($A$5:$A$639,$A83,$C$5:$C$639,$C83-1,$D$5:$D$639,$D83,L$5:L$639,"&lt;&gt;")=0,"",IF(OR(SUMIFS(L$5:L$639,$A$5:$A$639,$A83,$C$5:$C$639,$C83-1,$D$5:$D$639,$D83)=0,L83*SUMIFS(L$5:L$639,$A$5:$A$639,$A83,$C$5:$C$639,$C83-1,$D$5:$D$639,$D83)&lt;0),"n.s.",ABS(L83)/ABS(SUMIFS(L$5:L$639,$A$5:$A$639,$A83,$C$5:$C$639,$C83-1,$D$5:$D$639,$D83))-1)))</f>
        <v/>
      </c>
      <c r="U83" s="16">
        <f>IF(OR($A83="",M83="",$C83=""),"",IF(COUNTIFS($A$5:$A$639,$A83,$C$5:$C$639,$C83-1,$D$5:$D$639,$D83,M$5:M$639,"&lt;&gt;")=0,"",IF(OR(SUMIFS(M$5:M$639,$A$5:$A$639,$A83,$C$5:$C$639,$C83-1,$D$5:$D$639,$D83)=0,M83*SUMIFS(M$5:M$639,$A$5:$A$639,$A83,$C$5:$C$639,$C83-1,$D$5:$D$639,$D83)&lt;0),"n.s.",ABS(M83)/ABS(SUMIFS(M$5:M$639,$A$5:$A$639,$A83,$C$5:$C$639,$C83-1,$D$5:$D$639,$D83))-1)))</f>
        <v/>
      </c>
    </row>
    <row r="84">
      <c r="A84" s="9" t="inlineStr">
        <is>
          <t>SLBC</t>
        </is>
      </c>
      <c r="B84" s="10">
        <f>IF(A84="","",IFERROR(VLOOKUP(A84,Titres!$A$2:$B$400,2,FALSE),"Ticker inconnu"))</f>
        <v/>
      </c>
      <c r="C84" s="11" t="n">
        <v>2023</v>
      </c>
      <c r="D84" s="11" t="inlineStr">
        <is>
          <t>S1</t>
        </is>
      </c>
      <c r="E84" s="9" t="n"/>
      <c r="F84" s="12" t="n"/>
      <c r="G84" s="9" t="n"/>
      <c r="H84" s="13" t="n"/>
      <c r="I84" s="13" t="n"/>
      <c r="J84" s="13" t="n"/>
      <c r="K84" s="13" t="n"/>
      <c r="L84" s="13" t="n"/>
      <c r="M84" s="13" t="n"/>
      <c r="N84" s="14">
        <f>IF(A84="","",COUNT(H84:M84)/6)</f>
        <v/>
      </c>
      <c r="O84" s="15">
        <f>IF(COUNT(H84:M84)=0,"",IF(LEN(IF(COUNT(I84,J84)=2,IF(J84&gt;I84+1,"EBE &gt; VA ",""),"")&amp;IF(COUNT(H84,M84)=2,IF(ABS(M84)&gt;ABS(H84),"RN &gt; CA ",""),"")&amp;IF(COUNT(H84,K84)=2,IF(ABS(K84)&gt;ABS(H84),"RE &gt; CA ",""),""))=0,"OK",IF(COUNT(I84,J84)=2,IF(J84&gt;I84+1,"EBE &gt; VA ",""),"")&amp;IF(COUNT(H84,M84)=2,IF(ABS(M84)&gt;ABS(H84),"RN &gt; CA ",""),"")&amp;IF(COUNT(H84,K84)=2,IF(ABS(K84)&gt;ABS(H84),"RE &gt; CA ",""),"")))</f>
        <v/>
      </c>
      <c r="P84" s="16">
        <f>IF(OR($A84="",H84="",$C84=""),"",IF(COUNTIFS($A$5:$A$639,$A84,$C$5:$C$639,$C84-1,$D$5:$D$639,$D84,H$5:H$639,"&lt;&gt;")=0,"",IF(OR(SUMIFS(H$5:H$639,$A$5:$A$639,$A84,$C$5:$C$639,$C84-1,$D$5:$D$639,$D84)=0,H84*SUMIFS(H$5:H$639,$A$5:$A$639,$A84,$C$5:$C$639,$C84-1,$D$5:$D$639,$D84)&lt;0),"n.s.",ABS(H84)/ABS(SUMIFS(H$5:H$639,$A$5:$A$639,$A84,$C$5:$C$639,$C84-1,$D$5:$D$639,$D84))-1)))</f>
        <v/>
      </c>
      <c r="Q84" s="16">
        <f>IF(OR($A84="",I84="",$C84=""),"",IF(COUNTIFS($A$5:$A$639,$A84,$C$5:$C$639,$C84-1,$D$5:$D$639,$D84,I$5:I$639,"&lt;&gt;")=0,"",IF(OR(SUMIFS(I$5:I$639,$A$5:$A$639,$A84,$C$5:$C$639,$C84-1,$D$5:$D$639,$D84)=0,I84*SUMIFS(I$5:I$639,$A$5:$A$639,$A84,$C$5:$C$639,$C84-1,$D$5:$D$639,$D84)&lt;0),"n.s.",ABS(I84)/ABS(SUMIFS(I$5:I$639,$A$5:$A$639,$A84,$C$5:$C$639,$C84-1,$D$5:$D$639,$D84))-1)))</f>
        <v/>
      </c>
      <c r="R84" s="16">
        <f>IF(OR($A84="",J84="",$C84=""),"",IF(COUNTIFS($A$5:$A$639,$A84,$C$5:$C$639,$C84-1,$D$5:$D$639,$D84,J$5:J$639,"&lt;&gt;")=0,"",IF(OR(SUMIFS(J$5:J$639,$A$5:$A$639,$A84,$C$5:$C$639,$C84-1,$D$5:$D$639,$D84)=0,J84*SUMIFS(J$5:J$639,$A$5:$A$639,$A84,$C$5:$C$639,$C84-1,$D$5:$D$639,$D84)&lt;0),"n.s.",ABS(J84)/ABS(SUMIFS(J$5:J$639,$A$5:$A$639,$A84,$C$5:$C$639,$C84-1,$D$5:$D$639,$D84))-1)))</f>
        <v/>
      </c>
      <c r="S84" s="16">
        <f>IF(OR($A84="",K84="",$C84=""),"",IF(COUNTIFS($A$5:$A$639,$A84,$C$5:$C$639,$C84-1,$D$5:$D$639,$D84,K$5:K$639,"&lt;&gt;")=0,"",IF(OR(SUMIFS(K$5:K$639,$A$5:$A$639,$A84,$C$5:$C$639,$C84-1,$D$5:$D$639,$D84)=0,K84*SUMIFS(K$5:K$639,$A$5:$A$639,$A84,$C$5:$C$639,$C84-1,$D$5:$D$639,$D84)&lt;0),"n.s.",ABS(K84)/ABS(SUMIFS(K$5:K$639,$A$5:$A$639,$A84,$C$5:$C$639,$C84-1,$D$5:$D$639,$D84))-1)))</f>
        <v/>
      </c>
      <c r="T84" s="16">
        <f>IF(OR($A84="",L84="",$C84=""),"",IF(COUNTIFS($A$5:$A$639,$A84,$C$5:$C$639,$C84-1,$D$5:$D$639,$D84,L$5:L$639,"&lt;&gt;")=0,"",IF(OR(SUMIFS(L$5:L$639,$A$5:$A$639,$A84,$C$5:$C$639,$C84-1,$D$5:$D$639,$D84)=0,L84*SUMIFS(L$5:L$639,$A$5:$A$639,$A84,$C$5:$C$639,$C84-1,$D$5:$D$639,$D84)&lt;0),"n.s.",ABS(L84)/ABS(SUMIFS(L$5:L$639,$A$5:$A$639,$A84,$C$5:$C$639,$C84-1,$D$5:$D$639,$D84))-1)))</f>
        <v/>
      </c>
      <c r="U84" s="16">
        <f>IF(OR($A84="",M84="",$C84=""),"",IF(COUNTIFS($A$5:$A$639,$A84,$C$5:$C$639,$C84-1,$D$5:$D$639,$D84,M$5:M$639,"&lt;&gt;")=0,"",IF(OR(SUMIFS(M$5:M$639,$A$5:$A$639,$A84,$C$5:$C$639,$C84-1,$D$5:$D$639,$D84)=0,M84*SUMIFS(M$5:M$639,$A$5:$A$639,$A84,$C$5:$C$639,$C84-1,$D$5:$D$639,$D84)&lt;0),"n.s.",ABS(M84)/ABS(SUMIFS(M$5:M$639,$A$5:$A$639,$A84,$C$5:$C$639,$C84-1,$D$5:$D$639,$D84))-1)))</f>
        <v/>
      </c>
    </row>
    <row r="85">
      <c r="A85" s="9" t="inlineStr">
        <is>
          <t>SLBC</t>
        </is>
      </c>
      <c r="B85" s="10">
        <f>IF(A85="","",IFERROR(VLOOKUP(A85,Titres!$A$2:$B$400,2,FALSE),"Ticker inconnu"))</f>
        <v/>
      </c>
      <c r="C85" s="11" t="n">
        <v>2023</v>
      </c>
      <c r="D85" s="11" t="inlineStr">
        <is>
          <t>T3</t>
        </is>
      </c>
      <c r="E85" s="9" t="n"/>
      <c r="F85" s="12" t="n"/>
      <c r="G85" s="9" t="n"/>
      <c r="H85" s="13" t="n"/>
      <c r="I85" s="13" t="n"/>
      <c r="J85" s="13" t="n"/>
      <c r="K85" s="13" t="n"/>
      <c r="L85" s="13" t="n"/>
      <c r="M85" s="13" t="n"/>
      <c r="N85" s="14">
        <f>IF(A85="","",COUNT(H85:M85)/6)</f>
        <v/>
      </c>
      <c r="O85" s="15">
        <f>IF(COUNT(H85:M85)=0,"",IF(LEN(IF(COUNT(I85,J85)=2,IF(J85&gt;I85+1,"EBE &gt; VA ",""),"")&amp;IF(COUNT(H85,M85)=2,IF(ABS(M85)&gt;ABS(H85),"RN &gt; CA ",""),"")&amp;IF(COUNT(H85,K85)=2,IF(ABS(K85)&gt;ABS(H85),"RE &gt; CA ",""),""))=0,"OK",IF(COUNT(I85,J85)=2,IF(J85&gt;I85+1,"EBE &gt; VA ",""),"")&amp;IF(COUNT(H85,M85)=2,IF(ABS(M85)&gt;ABS(H85),"RN &gt; CA ",""),"")&amp;IF(COUNT(H85,K85)=2,IF(ABS(K85)&gt;ABS(H85),"RE &gt; CA ",""),"")))</f>
        <v/>
      </c>
      <c r="P85" s="16">
        <f>IF(OR($A85="",H85="",$C85=""),"",IF(COUNTIFS($A$5:$A$639,$A85,$C$5:$C$639,$C85-1,$D$5:$D$639,$D85,H$5:H$639,"&lt;&gt;")=0,"",IF(OR(SUMIFS(H$5:H$639,$A$5:$A$639,$A85,$C$5:$C$639,$C85-1,$D$5:$D$639,$D85)=0,H85*SUMIFS(H$5:H$639,$A$5:$A$639,$A85,$C$5:$C$639,$C85-1,$D$5:$D$639,$D85)&lt;0),"n.s.",ABS(H85)/ABS(SUMIFS(H$5:H$639,$A$5:$A$639,$A85,$C$5:$C$639,$C85-1,$D$5:$D$639,$D85))-1)))</f>
        <v/>
      </c>
      <c r="Q85" s="16">
        <f>IF(OR($A85="",I85="",$C85=""),"",IF(COUNTIFS($A$5:$A$639,$A85,$C$5:$C$639,$C85-1,$D$5:$D$639,$D85,I$5:I$639,"&lt;&gt;")=0,"",IF(OR(SUMIFS(I$5:I$639,$A$5:$A$639,$A85,$C$5:$C$639,$C85-1,$D$5:$D$639,$D85)=0,I85*SUMIFS(I$5:I$639,$A$5:$A$639,$A85,$C$5:$C$639,$C85-1,$D$5:$D$639,$D85)&lt;0),"n.s.",ABS(I85)/ABS(SUMIFS(I$5:I$639,$A$5:$A$639,$A85,$C$5:$C$639,$C85-1,$D$5:$D$639,$D85))-1)))</f>
        <v/>
      </c>
      <c r="R85" s="16">
        <f>IF(OR($A85="",J85="",$C85=""),"",IF(COUNTIFS($A$5:$A$639,$A85,$C$5:$C$639,$C85-1,$D$5:$D$639,$D85,J$5:J$639,"&lt;&gt;")=0,"",IF(OR(SUMIFS(J$5:J$639,$A$5:$A$639,$A85,$C$5:$C$639,$C85-1,$D$5:$D$639,$D85)=0,J85*SUMIFS(J$5:J$639,$A$5:$A$639,$A85,$C$5:$C$639,$C85-1,$D$5:$D$639,$D85)&lt;0),"n.s.",ABS(J85)/ABS(SUMIFS(J$5:J$639,$A$5:$A$639,$A85,$C$5:$C$639,$C85-1,$D$5:$D$639,$D85))-1)))</f>
        <v/>
      </c>
      <c r="S85" s="16">
        <f>IF(OR($A85="",K85="",$C85=""),"",IF(COUNTIFS($A$5:$A$639,$A85,$C$5:$C$639,$C85-1,$D$5:$D$639,$D85,K$5:K$639,"&lt;&gt;")=0,"",IF(OR(SUMIFS(K$5:K$639,$A$5:$A$639,$A85,$C$5:$C$639,$C85-1,$D$5:$D$639,$D85)=0,K85*SUMIFS(K$5:K$639,$A$5:$A$639,$A85,$C$5:$C$639,$C85-1,$D$5:$D$639,$D85)&lt;0),"n.s.",ABS(K85)/ABS(SUMIFS(K$5:K$639,$A$5:$A$639,$A85,$C$5:$C$639,$C85-1,$D$5:$D$639,$D85))-1)))</f>
        <v/>
      </c>
      <c r="T85" s="16">
        <f>IF(OR($A85="",L85="",$C85=""),"",IF(COUNTIFS($A$5:$A$639,$A85,$C$5:$C$639,$C85-1,$D$5:$D$639,$D85,L$5:L$639,"&lt;&gt;")=0,"",IF(OR(SUMIFS(L$5:L$639,$A$5:$A$639,$A85,$C$5:$C$639,$C85-1,$D$5:$D$639,$D85)=0,L85*SUMIFS(L$5:L$639,$A$5:$A$639,$A85,$C$5:$C$639,$C85-1,$D$5:$D$639,$D85)&lt;0),"n.s.",ABS(L85)/ABS(SUMIFS(L$5:L$639,$A$5:$A$639,$A85,$C$5:$C$639,$C85-1,$D$5:$D$639,$D85))-1)))</f>
        <v/>
      </c>
      <c r="U85" s="16">
        <f>IF(OR($A85="",M85="",$C85=""),"",IF(COUNTIFS($A$5:$A$639,$A85,$C$5:$C$639,$C85-1,$D$5:$D$639,$D85,M$5:M$639,"&lt;&gt;")=0,"",IF(OR(SUMIFS(M$5:M$639,$A$5:$A$639,$A85,$C$5:$C$639,$C85-1,$D$5:$D$639,$D85)=0,M85*SUMIFS(M$5:M$639,$A$5:$A$639,$A85,$C$5:$C$639,$C85-1,$D$5:$D$639,$D85)&lt;0),"n.s.",ABS(M85)/ABS(SUMIFS(M$5:M$639,$A$5:$A$639,$A85,$C$5:$C$639,$C85-1,$D$5:$D$639,$D85))-1)))</f>
        <v/>
      </c>
    </row>
    <row r="86">
      <c r="A86" s="9" t="inlineStr">
        <is>
          <t>SLBC</t>
        </is>
      </c>
      <c r="B86" s="10">
        <f>IF(A86="","",IFERROR(VLOOKUP(A86,Titres!$A$2:$B$400,2,FALSE),"Ticker inconnu"))</f>
        <v/>
      </c>
      <c r="C86" s="11" t="n">
        <v>2024</v>
      </c>
      <c r="D86" s="11" t="inlineStr">
        <is>
          <t>T1</t>
        </is>
      </c>
      <c r="E86" s="9" t="n"/>
      <c r="F86" s="12" t="n"/>
      <c r="G86" s="9" t="n"/>
      <c r="H86" s="13" t="n"/>
      <c r="I86" s="13" t="n"/>
      <c r="J86" s="13" t="n"/>
      <c r="K86" s="13" t="n"/>
      <c r="L86" s="13" t="n"/>
      <c r="M86" s="13" t="n"/>
      <c r="N86" s="14">
        <f>IF(A86="","",COUNT(H86:M86)/6)</f>
        <v/>
      </c>
      <c r="O86" s="15">
        <f>IF(COUNT(H86:M86)=0,"",IF(LEN(IF(COUNT(I86,J86)=2,IF(J86&gt;I86+1,"EBE &gt; VA ",""),"")&amp;IF(COUNT(H86,M86)=2,IF(ABS(M86)&gt;ABS(H86),"RN &gt; CA ",""),"")&amp;IF(COUNT(H86,K86)=2,IF(ABS(K86)&gt;ABS(H86),"RE &gt; CA ",""),""))=0,"OK",IF(COUNT(I86,J86)=2,IF(J86&gt;I86+1,"EBE &gt; VA ",""),"")&amp;IF(COUNT(H86,M86)=2,IF(ABS(M86)&gt;ABS(H86),"RN &gt; CA ",""),"")&amp;IF(COUNT(H86,K86)=2,IF(ABS(K86)&gt;ABS(H86),"RE &gt; CA ",""),"")))</f>
        <v/>
      </c>
      <c r="P86" s="16">
        <f>IF(OR($A86="",H86="",$C86=""),"",IF(COUNTIFS($A$5:$A$639,$A86,$C$5:$C$639,$C86-1,$D$5:$D$639,$D86,H$5:H$639,"&lt;&gt;")=0,"",IF(OR(SUMIFS(H$5:H$639,$A$5:$A$639,$A86,$C$5:$C$639,$C86-1,$D$5:$D$639,$D86)=0,H86*SUMIFS(H$5:H$639,$A$5:$A$639,$A86,$C$5:$C$639,$C86-1,$D$5:$D$639,$D86)&lt;0),"n.s.",ABS(H86)/ABS(SUMIFS(H$5:H$639,$A$5:$A$639,$A86,$C$5:$C$639,$C86-1,$D$5:$D$639,$D86))-1)))</f>
        <v/>
      </c>
      <c r="Q86" s="16">
        <f>IF(OR($A86="",I86="",$C86=""),"",IF(COUNTIFS($A$5:$A$639,$A86,$C$5:$C$639,$C86-1,$D$5:$D$639,$D86,I$5:I$639,"&lt;&gt;")=0,"",IF(OR(SUMIFS(I$5:I$639,$A$5:$A$639,$A86,$C$5:$C$639,$C86-1,$D$5:$D$639,$D86)=0,I86*SUMIFS(I$5:I$639,$A$5:$A$639,$A86,$C$5:$C$639,$C86-1,$D$5:$D$639,$D86)&lt;0),"n.s.",ABS(I86)/ABS(SUMIFS(I$5:I$639,$A$5:$A$639,$A86,$C$5:$C$639,$C86-1,$D$5:$D$639,$D86))-1)))</f>
        <v/>
      </c>
      <c r="R86" s="16">
        <f>IF(OR($A86="",J86="",$C86=""),"",IF(COUNTIFS($A$5:$A$639,$A86,$C$5:$C$639,$C86-1,$D$5:$D$639,$D86,J$5:J$639,"&lt;&gt;")=0,"",IF(OR(SUMIFS(J$5:J$639,$A$5:$A$639,$A86,$C$5:$C$639,$C86-1,$D$5:$D$639,$D86)=0,J86*SUMIFS(J$5:J$639,$A$5:$A$639,$A86,$C$5:$C$639,$C86-1,$D$5:$D$639,$D86)&lt;0),"n.s.",ABS(J86)/ABS(SUMIFS(J$5:J$639,$A$5:$A$639,$A86,$C$5:$C$639,$C86-1,$D$5:$D$639,$D86))-1)))</f>
        <v/>
      </c>
      <c r="S86" s="16">
        <f>IF(OR($A86="",K86="",$C86=""),"",IF(COUNTIFS($A$5:$A$639,$A86,$C$5:$C$639,$C86-1,$D$5:$D$639,$D86,K$5:K$639,"&lt;&gt;")=0,"",IF(OR(SUMIFS(K$5:K$639,$A$5:$A$639,$A86,$C$5:$C$639,$C86-1,$D$5:$D$639,$D86)=0,K86*SUMIFS(K$5:K$639,$A$5:$A$639,$A86,$C$5:$C$639,$C86-1,$D$5:$D$639,$D86)&lt;0),"n.s.",ABS(K86)/ABS(SUMIFS(K$5:K$639,$A$5:$A$639,$A86,$C$5:$C$639,$C86-1,$D$5:$D$639,$D86))-1)))</f>
        <v/>
      </c>
      <c r="T86" s="16">
        <f>IF(OR($A86="",L86="",$C86=""),"",IF(COUNTIFS($A$5:$A$639,$A86,$C$5:$C$639,$C86-1,$D$5:$D$639,$D86,L$5:L$639,"&lt;&gt;")=0,"",IF(OR(SUMIFS(L$5:L$639,$A$5:$A$639,$A86,$C$5:$C$639,$C86-1,$D$5:$D$639,$D86)=0,L86*SUMIFS(L$5:L$639,$A$5:$A$639,$A86,$C$5:$C$639,$C86-1,$D$5:$D$639,$D86)&lt;0),"n.s.",ABS(L86)/ABS(SUMIFS(L$5:L$639,$A$5:$A$639,$A86,$C$5:$C$639,$C86-1,$D$5:$D$639,$D86))-1)))</f>
        <v/>
      </c>
      <c r="U86" s="16">
        <f>IF(OR($A86="",M86="",$C86=""),"",IF(COUNTIFS($A$5:$A$639,$A86,$C$5:$C$639,$C86-1,$D$5:$D$639,$D86,M$5:M$639,"&lt;&gt;")=0,"",IF(OR(SUMIFS(M$5:M$639,$A$5:$A$639,$A86,$C$5:$C$639,$C86-1,$D$5:$D$639,$D86)=0,M86*SUMIFS(M$5:M$639,$A$5:$A$639,$A86,$C$5:$C$639,$C86-1,$D$5:$D$639,$D86)&lt;0),"n.s.",ABS(M86)/ABS(SUMIFS(M$5:M$639,$A$5:$A$639,$A86,$C$5:$C$639,$C86-1,$D$5:$D$639,$D86))-1)))</f>
        <v/>
      </c>
    </row>
    <row r="87">
      <c r="A87" s="9" t="inlineStr">
        <is>
          <t>SLBC</t>
        </is>
      </c>
      <c r="B87" s="10">
        <f>IF(A87="","",IFERROR(VLOOKUP(A87,Titres!$A$2:$B$400,2,FALSE),"Ticker inconnu"))</f>
        <v/>
      </c>
      <c r="C87" s="11" t="n">
        <v>2024</v>
      </c>
      <c r="D87" s="11" t="inlineStr">
        <is>
          <t>S1</t>
        </is>
      </c>
      <c r="E87" s="9" t="n"/>
      <c r="F87" s="12" t="n"/>
      <c r="G87" s="9" t="n"/>
      <c r="H87" s="13" t="n"/>
      <c r="I87" s="13" t="n"/>
      <c r="J87" s="13" t="n"/>
      <c r="K87" s="13" t="n"/>
      <c r="L87" s="13" t="n"/>
      <c r="M87" s="13" t="n"/>
      <c r="N87" s="14">
        <f>IF(A87="","",COUNT(H87:M87)/6)</f>
        <v/>
      </c>
      <c r="O87" s="15">
        <f>IF(COUNT(H87:M87)=0,"",IF(LEN(IF(COUNT(I87,J87)=2,IF(J87&gt;I87+1,"EBE &gt; VA ",""),"")&amp;IF(COUNT(H87,M87)=2,IF(ABS(M87)&gt;ABS(H87),"RN &gt; CA ",""),"")&amp;IF(COUNT(H87,K87)=2,IF(ABS(K87)&gt;ABS(H87),"RE &gt; CA ",""),""))=0,"OK",IF(COUNT(I87,J87)=2,IF(J87&gt;I87+1,"EBE &gt; VA ",""),"")&amp;IF(COUNT(H87,M87)=2,IF(ABS(M87)&gt;ABS(H87),"RN &gt; CA ",""),"")&amp;IF(COUNT(H87,K87)=2,IF(ABS(K87)&gt;ABS(H87),"RE &gt; CA ",""),"")))</f>
        <v/>
      </c>
      <c r="P87" s="16">
        <f>IF(OR($A87="",H87="",$C87=""),"",IF(COUNTIFS($A$5:$A$639,$A87,$C$5:$C$639,$C87-1,$D$5:$D$639,$D87,H$5:H$639,"&lt;&gt;")=0,"",IF(OR(SUMIFS(H$5:H$639,$A$5:$A$639,$A87,$C$5:$C$639,$C87-1,$D$5:$D$639,$D87)=0,H87*SUMIFS(H$5:H$639,$A$5:$A$639,$A87,$C$5:$C$639,$C87-1,$D$5:$D$639,$D87)&lt;0),"n.s.",ABS(H87)/ABS(SUMIFS(H$5:H$639,$A$5:$A$639,$A87,$C$5:$C$639,$C87-1,$D$5:$D$639,$D87))-1)))</f>
        <v/>
      </c>
      <c r="Q87" s="16">
        <f>IF(OR($A87="",I87="",$C87=""),"",IF(COUNTIFS($A$5:$A$639,$A87,$C$5:$C$639,$C87-1,$D$5:$D$639,$D87,I$5:I$639,"&lt;&gt;")=0,"",IF(OR(SUMIFS(I$5:I$639,$A$5:$A$639,$A87,$C$5:$C$639,$C87-1,$D$5:$D$639,$D87)=0,I87*SUMIFS(I$5:I$639,$A$5:$A$639,$A87,$C$5:$C$639,$C87-1,$D$5:$D$639,$D87)&lt;0),"n.s.",ABS(I87)/ABS(SUMIFS(I$5:I$639,$A$5:$A$639,$A87,$C$5:$C$639,$C87-1,$D$5:$D$639,$D87))-1)))</f>
        <v/>
      </c>
      <c r="R87" s="16">
        <f>IF(OR($A87="",J87="",$C87=""),"",IF(COUNTIFS($A$5:$A$639,$A87,$C$5:$C$639,$C87-1,$D$5:$D$639,$D87,J$5:J$639,"&lt;&gt;")=0,"",IF(OR(SUMIFS(J$5:J$639,$A$5:$A$639,$A87,$C$5:$C$639,$C87-1,$D$5:$D$639,$D87)=0,J87*SUMIFS(J$5:J$639,$A$5:$A$639,$A87,$C$5:$C$639,$C87-1,$D$5:$D$639,$D87)&lt;0),"n.s.",ABS(J87)/ABS(SUMIFS(J$5:J$639,$A$5:$A$639,$A87,$C$5:$C$639,$C87-1,$D$5:$D$639,$D87))-1)))</f>
        <v/>
      </c>
      <c r="S87" s="16">
        <f>IF(OR($A87="",K87="",$C87=""),"",IF(COUNTIFS($A$5:$A$639,$A87,$C$5:$C$639,$C87-1,$D$5:$D$639,$D87,K$5:K$639,"&lt;&gt;")=0,"",IF(OR(SUMIFS(K$5:K$639,$A$5:$A$639,$A87,$C$5:$C$639,$C87-1,$D$5:$D$639,$D87)=0,K87*SUMIFS(K$5:K$639,$A$5:$A$639,$A87,$C$5:$C$639,$C87-1,$D$5:$D$639,$D87)&lt;0),"n.s.",ABS(K87)/ABS(SUMIFS(K$5:K$639,$A$5:$A$639,$A87,$C$5:$C$639,$C87-1,$D$5:$D$639,$D87))-1)))</f>
        <v/>
      </c>
      <c r="T87" s="16">
        <f>IF(OR($A87="",L87="",$C87=""),"",IF(COUNTIFS($A$5:$A$639,$A87,$C$5:$C$639,$C87-1,$D$5:$D$639,$D87,L$5:L$639,"&lt;&gt;")=0,"",IF(OR(SUMIFS(L$5:L$639,$A$5:$A$639,$A87,$C$5:$C$639,$C87-1,$D$5:$D$639,$D87)=0,L87*SUMIFS(L$5:L$639,$A$5:$A$639,$A87,$C$5:$C$639,$C87-1,$D$5:$D$639,$D87)&lt;0),"n.s.",ABS(L87)/ABS(SUMIFS(L$5:L$639,$A$5:$A$639,$A87,$C$5:$C$639,$C87-1,$D$5:$D$639,$D87))-1)))</f>
        <v/>
      </c>
      <c r="U87" s="16">
        <f>IF(OR($A87="",M87="",$C87=""),"",IF(COUNTIFS($A$5:$A$639,$A87,$C$5:$C$639,$C87-1,$D$5:$D$639,$D87,M$5:M$639,"&lt;&gt;")=0,"",IF(OR(SUMIFS(M$5:M$639,$A$5:$A$639,$A87,$C$5:$C$639,$C87-1,$D$5:$D$639,$D87)=0,M87*SUMIFS(M$5:M$639,$A$5:$A$639,$A87,$C$5:$C$639,$C87-1,$D$5:$D$639,$D87)&lt;0),"n.s.",ABS(M87)/ABS(SUMIFS(M$5:M$639,$A$5:$A$639,$A87,$C$5:$C$639,$C87-1,$D$5:$D$639,$D87))-1)))</f>
        <v/>
      </c>
    </row>
    <row r="88">
      <c r="A88" s="9" t="inlineStr">
        <is>
          <t>SLBC</t>
        </is>
      </c>
      <c r="B88" s="10">
        <f>IF(A88="","",IFERROR(VLOOKUP(A88,Titres!$A$2:$B$400,2,FALSE),"Ticker inconnu"))</f>
        <v/>
      </c>
      <c r="C88" s="11" t="n">
        <v>2024</v>
      </c>
      <c r="D88" s="11" t="inlineStr">
        <is>
          <t>T3</t>
        </is>
      </c>
      <c r="E88" s="9" t="n"/>
      <c r="F88" s="12" t="n"/>
      <c r="G88" s="9" t="n"/>
      <c r="H88" s="13" t="n"/>
      <c r="I88" s="13" t="n"/>
      <c r="J88" s="13" t="n"/>
      <c r="K88" s="13" t="n"/>
      <c r="L88" s="13" t="n"/>
      <c r="M88" s="13" t="n"/>
      <c r="N88" s="14">
        <f>IF(A88="","",COUNT(H88:M88)/6)</f>
        <v/>
      </c>
      <c r="O88" s="15">
        <f>IF(COUNT(H88:M88)=0,"",IF(LEN(IF(COUNT(I88,J88)=2,IF(J88&gt;I88+1,"EBE &gt; VA ",""),"")&amp;IF(COUNT(H88,M88)=2,IF(ABS(M88)&gt;ABS(H88),"RN &gt; CA ",""),"")&amp;IF(COUNT(H88,K88)=2,IF(ABS(K88)&gt;ABS(H88),"RE &gt; CA ",""),""))=0,"OK",IF(COUNT(I88,J88)=2,IF(J88&gt;I88+1,"EBE &gt; VA ",""),"")&amp;IF(COUNT(H88,M88)=2,IF(ABS(M88)&gt;ABS(H88),"RN &gt; CA ",""),"")&amp;IF(COUNT(H88,K88)=2,IF(ABS(K88)&gt;ABS(H88),"RE &gt; CA ",""),"")))</f>
        <v/>
      </c>
      <c r="P88" s="16">
        <f>IF(OR($A88="",H88="",$C88=""),"",IF(COUNTIFS($A$5:$A$639,$A88,$C$5:$C$639,$C88-1,$D$5:$D$639,$D88,H$5:H$639,"&lt;&gt;")=0,"",IF(OR(SUMIFS(H$5:H$639,$A$5:$A$639,$A88,$C$5:$C$639,$C88-1,$D$5:$D$639,$D88)=0,H88*SUMIFS(H$5:H$639,$A$5:$A$639,$A88,$C$5:$C$639,$C88-1,$D$5:$D$639,$D88)&lt;0),"n.s.",ABS(H88)/ABS(SUMIFS(H$5:H$639,$A$5:$A$639,$A88,$C$5:$C$639,$C88-1,$D$5:$D$639,$D88))-1)))</f>
        <v/>
      </c>
      <c r="Q88" s="16">
        <f>IF(OR($A88="",I88="",$C88=""),"",IF(COUNTIFS($A$5:$A$639,$A88,$C$5:$C$639,$C88-1,$D$5:$D$639,$D88,I$5:I$639,"&lt;&gt;")=0,"",IF(OR(SUMIFS(I$5:I$639,$A$5:$A$639,$A88,$C$5:$C$639,$C88-1,$D$5:$D$639,$D88)=0,I88*SUMIFS(I$5:I$639,$A$5:$A$639,$A88,$C$5:$C$639,$C88-1,$D$5:$D$639,$D88)&lt;0),"n.s.",ABS(I88)/ABS(SUMIFS(I$5:I$639,$A$5:$A$639,$A88,$C$5:$C$639,$C88-1,$D$5:$D$639,$D88))-1)))</f>
        <v/>
      </c>
      <c r="R88" s="16">
        <f>IF(OR($A88="",J88="",$C88=""),"",IF(COUNTIFS($A$5:$A$639,$A88,$C$5:$C$639,$C88-1,$D$5:$D$639,$D88,J$5:J$639,"&lt;&gt;")=0,"",IF(OR(SUMIFS(J$5:J$639,$A$5:$A$639,$A88,$C$5:$C$639,$C88-1,$D$5:$D$639,$D88)=0,J88*SUMIFS(J$5:J$639,$A$5:$A$639,$A88,$C$5:$C$639,$C88-1,$D$5:$D$639,$D88)&lt;0),"n.s.",ABS(J88)/ABS(SUMIFS(J$5:J$639,$A$5:$A$639,$A88,$C$5:$C$639,$C88-1,$D$5:$D$639,$D88))-1)))</f>
        <v/>
      </c>
      <c r="S88" s="16">
        <f>IF(OR($A88="",K88="",$C88=""),"",IF(COUNTIFS($A$5:$A$639,$A88,$C$5:$C$639,$C88-1,$D$5:$D$639,$D88,K$5:K$639,"&lt;&gt;")=0,"",IF(OR(SUMIFS(K$5:K$639,$A$5:$A$639,$A88,$C$5:$C$639,$C88-1,$D$5:$D$639,$D88)=0,K88*SUMIFS(K$5:K$639,$A$5:$A$639,$A88,$C$5:$C$639,$C88-1,$D$5:$D$639,$D88)&lt;0),"n.s.",ABS(K88)/ABS(SUMIFS(K$5:K$639,$A$5:$A$639,$A88,$C$5:$C$639,$C88-1,$D$5:$D$639,$D88))-1)))</f>
        <v/>
      </c>
      <c r="T88" s="16">
        <f>IF(OR($A88="",L88="",$C88=""),"",IF(COUNTIFS($A$5:$A$639,$A88,$C$5:$C$639,$C88-1,$D$5:$D$639,$D88,L$5:L$639,"&lt;&gt;")=0,"",IF(OR(SUMIFS(L$5:L$639,$A$5:$A$639,$A88,$C$5:$C$639,$C88-1,$D$5:$D$639,$D88)=0,L88*SUMIFS(L$5:L$639,$A$5:$A$639,$A88,$C$5:$C$639,$C88-1,$D$5:$D$639,$D88)&lt;0),"n.s.",ABS(L88)/ABS(SUMIFS(L$5:L$639,$A$5:$A$639,$A88,$C$5:$C$639,$C88-1,$D$5:$D$639,$D88))-1)))</f>
        <v/>
      </c>
      <c r="U88" s="16">
        <f>IF(OR($A88="",M88="",$C88=""),"",IF(COUNTIFS($A$5:$A$639,$A88,$C$5:$C$639,$C88-1,$D$5:$D$639,$D88,M$5:M$639,"&lt;&gt;")=0,"",IF(OR(SUMIFS(M$5:M$639,$A$5:$A$639,$A88,$C$5:$C$639,$C88-1,$D$5:$D$639,$D88)=0,M88*SUMIFS(M$5:M$639,$A$5:$A$639,$A88,$C$5:$C$639,$C88-1,$D$5:$D$639,$D88)&lt;0),"n.s.",ABS(M88)/ABS(SUMIFS(M$5:M$639,$A$5:$A$639,$A88,$C$5:$C$639,$C88-1,$D$5:$D$639,$D88))-1)))</f>
        <v/>
      </c>
    </row>
    <row r="89">
      <c r="A89" s="9" t="inlineStr">
        <is>
          <t>SLBC</t>
        </is>
      </c>
      <c r="B89" s="10">
        <f>IF(A89="","",IFERROR(VLOOKUP(A89,Titres!$A$2:$B$400,2,FALSE),"Ticker inconnu"))</f>
        <v/>
      </c>
      <c r="C89" s="11" t="n">
        <v>2025</v>
      </c>
      <c r="D89" s="11" t="inlineStr">
        <is>
          <t>T1</t>
        </is>
      </c>
      <c r="E89" s="9" t="n"/>
      <c r="F89" s="12" t="n"/>
      <c r="G89" s="9" t="n"/>
      <c r="H89" s="13" t="n"/>
      <c r="I89" s="13" t="n"/>
      <c r="J89" s="13" t="n"/>
      <c r="K89" s="13" t="n"/>
      <c r="L89" s="13" t="n"/>
      <c r="M89" s="13" t="n"/>
      <c r="N89" s="14">
        <f>IF(A89="","",COUNT(H89:M89)/6)</f>
        <v/>
      </c>
      <c r="O89" s="15">
        <f>IF(COUNT(H89:M89)=0,"",IF(LEN(IF(COUNT(I89,J89)=2,IF(J89&gt;I89+1,"EBE &gt; VA ",""),"")&amp;IF(COUNT(H89,M89)=2,IF(ABS(M89)&gt;ABS(H89),"RN &gt; CA ",""),"")&amp;IF(COUNT(H89,K89)=2,IF(ABS(K89)&gt;ABS(H89),"RE &gt; CA ",""),""))=0,"OK",IF(COUNT(I89,J89)=2,IF(J89&gt;I89+1,"EBE &gt; VA ",""),"")&amp;IF(COUNT(H89,M89)=2,IF(ABS(M89)&gt;ABS(H89),"RN &gt; CA ",""),"")&amp;IF(COUNT(H89,K89)=2,IF(ABS(K89)&gt;ABS(H89),"RE &gt; CA ",""),"")))</f>
        <v/>
      </c>
      <c r="P89" s="16">
        <f>IF(OR($A89="",H89="",$C89=""),"",IF(COUNTIFS($A$5:$A$639,$A89,$C$5:$C$639,$C89-1,$D$5:$D$639,$D89,H$5:H$639,"&lt;&gt;")=0,"",IF(OR(SUMIFS(H$5:H$639,$A$5:$A$639,$A89,$C$5:$C$639,$C89-1,$D$5:$D$639,$D89)=0,H89*SUMIFS(H$5:H$639,$A$5:$A$639,$A89,$C$5:$C$639,$C89-1,$D$5:$D$639,$D89)&lt;0),"n.s.",ABS(H89)/ABS(SUMIFS(H$5:H$639,$A$5:$A$639,$A89,$C$5:$C$639,$C89-1,$D$5:$D$639,$D89))-1)))</f>
        <v/>
      </c>
      <c r="Q89" s="16">
        <f>IF(OR($A89="",I89="",$C89=""),"",IF(COUNTIFS($A$5:$A$639,$A89,$C$5:$C$639,$C89-1,$D$5:$D$639,$D89,I$5:I$639,"&lt;&gt;")=0,"",IF(OR(SUMIFS(I$5:I$639,$A$5:$A$639,$A89,$C$5:$C$639,$C89-1,$D$5:$D$639,$D89)=0,I89*SUMIFS(I$5:I$639,$A$5:$A$639,$A89,$C$5:$C$639,$C89-1,$D$5:$D$639,$D89)&lt;0),"n.s.",ABS(I89)/ABS(SUMIFS(I$5:I$639,$A$5:$A$639,$A89,$C$5:$C$639,$C89-1,$D$5:$D$639,$D89))-1)))</f>
        <v/>
      </c>
      <c r="R89" s="16">
        <f>IF(OR($A89="",J89="",$C89=""),"",IF(COUNTIFS($A$5:$A$639,$A89,$C$5:$C$639,$C89-1,$D$5:$D$639,$D89,J$5:J$639,"&lt;&gt;")=0,"",IF(OR(SUMIFS(J$5:J$639,$A$5:$A$639,$A89,$C$5:$C$639,$C89-1,$D$5:$D$639,$D89)=0,J89*SUMIFS(J$5:J$639,$A$5:$A$639,$A89,$C$5:$C$639,$C89-1,$D$5:$D$639,$D89)&lt;0),"n.s.",ABS(J89)/ABS(SUMIFS(J$5:J$639,$A$5:$A$639,$A89,$C$5:$C$639,$C89-1,$D$5:$D$639,$D89))-1)))</f>
        <v/>
      </c>
      <c r="S89" s="16">
        <f>IF(OR($A89="",K89="",$C89=""),"",IF(COUNTIFS($A$5:$A$639,$A89,$C$5:$C$639,$C89-1,$D$5:$D$639,$D89,K$5:K$639,"&lt;&gt;")=0,"",IF(OR(SUMIFS(K$5:K$639,$A$5:$A$639,$A89,$C$5:$C$639,$C89-1,$D$5:$D$639,$D89)=0,K89*SUMIFS(K$5:K$639,$A$5:$A$639,$A89,$C$5:$C$639,$C89-1,$D$5:$D$639,$D89)&lt;0),"n.s.",ABS(K89)/ABS(SUMIFS(K$5:K$639,$A$5:$A$639,$A89,$C$5:$C$639,$C89-1,$D$5:$D$639,$D89))-1)))</f>
        <v/>
      </c>
      <c r="T89" s="16">
        <f>IF(OR($A89="",L89="",$C89=""),"",IF(COUNTIFS($A$5:$A$639,$A89,$C$5:$C$639,$C89-1,$D$5:$D$639,$D89,L$5:L$639,"&lt;&gt;")=0,"",IF(OR(SUMIFS(L$5:L$639,$A$5:$A$639,$A89,$C$5:$C$639,$C89-1,$D$5:$D$639,$D89)=0,L89*SUMIFS(L$5:L$639,$A$5:$A$639,$A89,$C$5:$C$639,$C89-1,$D$5:$D$639,$D89)&lt;0),"n.s.",ABS(L89)/ABS(SUMIFS(L$5:L$639,$A$5:$A$639,$A89,$C$5:$C$639,$C89-1,$D$5:$D$639,$D89))-1)))</f>
        <v/>
      </c>
      <c r="U89" s="16">
        <f>IF(OR($A89="",M89="",$C89=""),"",IF(COUNTIFS($A$5:$A$639,$A89,$C$5:$C$639,$C89-1,$D$5:$D$639,$D89,M$5:M$639,"&lt;&gt;")=0,"",IF(OR(SUMIFS(M$5:M$639,$A$5:$A$639,$A89,$C$5:$C$639,$C89-1,$D$5:$D$639,$D89)=0,M89*SUMIFS(M$5:M$639,$A$5:$A$639,$A89,$C$5:$C$639,$C89-1,$D$5:$D$639,$D89)&lt;0),"n.s.",ABS(M89)/ABS(SUMIFS(M$5:M$639,$A$5:$A$639,$A89,$C$5:$C$639,$C89-1,$D$5:$D$639,$D89))-1)))</f>
        <v/>
      </c>
    </row>
    <row r="90">
      <c r="A90" s="9" t="inlineStr">
        <is>
          <t>SLBC</t>
        </is>
      </c>
      <c r="B90" s="10">
        <f>IF(A90="","",IFERROR(VLOOKUP(A90,Titres!$A$2:$B$400,2,FALSE),"Ticker inconnu"))</f>
        <v/>
      </c>
      <c r="C90" s="11" t="n">
        <v>2025</v>
      </c>
      <c r="D90" s="11" t="inlineStr">
        <is>
          <t>S1</t>
        </is>
      </c>
      <c r="E90" s="9" t="n"/>
      <c r="F90" s="12" t="n"/>
      <c r="G90" s="9" t="n"/>
      <c r="H90" s="13" t="n"/>
      <c r="I90" s="13" t="n"/>
      <c r="J90" s="13" t="n"/>
      <c r="K90" s="13" t="n"/>
      <c r="L90" s="13" t="n"/>
      <c r="M90" s="13" t="n"/>
      <c r="N90" s="14">
        <f>IF(A90="","",COUNT(H90:M90)/6)</f>
        <v/>
      </c>
      <c r="O90" s="15">
        <f>IF(COUNT(H90:M90)=0,"",IF(LEN(IF(COUNT(I90,J90)=2,IF(J90&gt;I90+1,"EBE &gt; VA ",""),"")&amp;IF(COUNT(H90,M90)=2,IF(ABS(M90)&gt;ABS(H90),"RN &gt; CA ",""),"")&amp;IF(COUNT(H90,K90)=2,IF(ABS(K90)&gt;ABS(H90),"RE &gt; CA ",""),""))=0,"OK",IF(COUNT(I90,J90)=2,IF(J90&gt;I90+1,"EBE &gt; VA ",""),"")&amp;IF(COUNT(H90,M90)=2,IF(ABS(M90)&gt;ABS(H90),"RN &gt; CA ",""),"")&amp;IF(COUNT(H90,K90)=2,IF(ABS(K90)&gt;ABS(H90),"RE &gt; CA ",""),"")))</f>
        <v/>
      </c>
      <c r="P90" s="16">
        <f>IF(OR($A90="",H90="",$C90=""),"",IF(COUNTIFS($A$5:$A$639,$A90,$C$5:$C$639,$C90-1,$D$5:$D$639,$D90,H$5:H$639,"&lt;&gt;")=0,"",IF(OR(SUMIFS(H$5:H$639,$A$5:$A$639,$A90,$C$5:$C$639,$C90-1,$D$5:$D$639,$D90)=0,H90*SUMIFS(H$5:H$639,$A$5:$A$639,$A90,$C$5:$C$639,$C90-1,$D$5:$D$639,$D90)&lt;0),"n.s.",ABS(H90)/ABS(SUMIFS(H$5:H$639,$A$5:$A$639,$A90,$C$5:$C$639,$C90-1,$D$5:$D$639,$D90))-1)))</f>
        <v/>
      </c>
      <c r="Q90" s="16">
        <f>IF(OR($A90="",I90="",$C90=""),"",IF(COUNTIFS($A$5:$A$639,$A90,$C$5:$C$639,$C90-1,$D$5:$D$639,$D90,I$5:I$639,"&lt;&gt;")=0,"",IF(OR(SUMIFS(I$5:I$639,$A$5:$A$639,$A90,$C$5:$C$639,$C90-1,$D$5:$D$639,$D90)=0,I90*SUMIFS(I$5:I$639,$A$5:$A$639,$A90,$C$5:$C$639,$C90-1,$D$5:$D$639,$D90)&lt;0),"n.s.",ABS(I90)/ABS(SUMIFS(I$5:I$639,$A$5:$A$639,$A90,$C$5:$C$639,$C90-1,$D$5:$D$639,$D90))-1)))</f>
        <v/>
      </c>
      <c r="R90" s="16">
        <f>IF(OR($A90="",J90="",$C90=""),"",IF(COUNTIFS($A$5:$A$639,$A90,$C$5:$C$639,$C90-1,$D$5:$D$639,$D90,J$5:J$639,"&lt;&gt;")=0,"",IF(OR(SUMIFS(J$5:J$639,$A$5:$A$639,$A90,$C$5:$C$639,$C90-1,$D$5:$D$639,$D90)=0,J90*SUMIFS(J$5:J$639,$A$5:$A$639,$A90,$C$5:$C$639,$C90-1,$D$5:$D$639,$D90)&lt;0),"n.s.",ABS(J90)/ABS(SUMIFS(J$5:J$639,$A$5:$A$639,$A90,$C$5:$C$639,$C90-1,$D$5:$D$639,$D90))-1)))</f>
        <v/>
      </c>
      <c r="S90" s="16">
        <f>IF(OR($A90="",K90="",$C90=""),"",IF(COUNTIFS($A$5:$A$639,$A90,$C$5:$C$639,$C90-1,$D$5:$D$639,$D90,K$5:K$639,"&lt;&gt;")=0,"",IF(OR(SUMIFS(K$5:K$639,$A$5:$A$639,$A90,$C$5:$C$639,$C90-1,$D$5:$D$639,$D90)=0,K90*SUMIFS(K$5:K$639,$A$5:$A$639,$A90,$C$5:$C$639,$C90-1,$D$5:$D$639,$D90)&lt;0),"n.s.",ABS(K90)/ABS(SUMIFS(K$5:K$639,$A$5:$A$639,$A90,$C$5:$C$639,$C90-1,$D$5:$D$639,$D90))-1)))</f>
        <v/>
      </c>
      <c r="T90" s="16">
        <f>IF(OR($A90="",L90="",$C90=""),"",IF(COUNTIFS($A$5:$A$639,$A90,$C$5:$C$639,$C90-1,$D$5:$D$639,$D90,L$5:L$639,"&lt;&gt;")=0,"",IF(OR(SUMIFS(L$5:L$639,$A$5:$A$639,$A90,$C$5:$C$639,$C90-1,$D$5:$D$639,$D90)=0,L90*SUMIFS(L$5:L$639,$A$5:$A$639,$A90,$C$5:$C$639,$C90-1,$D$5:$D$639,$D90)&lt;0),"n.s.",ABS(L90)/ABS(SUMIFS(L$5:L$639,$A$5:$A$639,$A90,$C$5:$C$639,$C90-1,$D$5:$D$639,$D90))-1)))</f>
        <v/>
      </c>
      <c r="U90" s="16">
        <f>IF(OR($A90="",M90="",$C90=""),"",IF(COUNTIFS($A$5:$A$639,$A90,$C$5:$C$639,$C90-1,$D$5:$D$639,$D90,M$5:M$639,"&lt;&gt;")=0,"",IF(OR(SUMIFS(M$5:M$639,$A$5:$A$639,$A90,$C$5:$C$639,$C90-1,$D$5:$D$639,$D90)=0,M90*SUMIFS(M$5:M$639,$A$5:$A$639,$A90,$C$5:$C$639,$C90-1,$D$5:$D$639,$D90)&lt;0),"n.s.",ABS(M90)/ABS(SUMIFS(M$5:M$639,$A$5:$A$639,$A90,$C$5:$C$639,$C90-1,$D$5:$D$639,$D90))-1)))</f>
        <v/>
      </c>
    </row>
    <row r="91">
      <c r="A91" s="9" t="inlineStr">
        <is>
          <t>SLBC</t>
        </is>
      </c>
      <c r="B91" s="10">
        <f>IF(A91="","",IFERROR(VLOOKUP(A91,Titres!$A$2:$B$400,2,FALSE),"Ticker inconnu"))</f>
        <v/>
      </c>
      <c r="C91" s="11" t="n">
        <v>2025</v>
      </c>
      <c r="D91" s="11" t="inlineStr">
        <is>
          <t>T3</t>
        </is>
      </c>
      <c r="E91" s="9" t="n"/>
      <c r="F91" s="12" t="n"/>
      <c r="G91" s="9" t="n"/>
      <c r="H91" s="13" t="n"/>
      <c r="I91" s="13" t="n"/>
      <c r="J91" s="13" t="n"/>
      <c r="K91" s="13" t="n"/>
      <c r="L91" s="13" t="n"/>
      <c r="M91" s="13" t="n"/>
      <c r="N91" s="14">
        <f>IF(A91="","",COUNT(H91:M91)/6)</f>
        <v/>
      </c>
      <c r="O91" s="15">
        <f>IF(COUNT(H91:M91)=0,"",IF(LEN(IF(COUNT(I91,J91)=2,IF(J91&gt;I91+1,"EBE &gt; VA ",""),"")&amp;IF(COUNT(H91,M91)=2,IF(ABS(M91)&gt;ABS(H91),"RN &gt; CA ",""),"")&amp;IF(COUNT(H91,K91)=2,IF(ABS(K91)&gt;ABS(H91),"RE &gt; CA ",""),""))=0,"OK",IF(COUNT(I91,J91)=2,IF(J91&gt;I91+1,"EBE &gt; VA ",""),"")&amp;IF(COUNT(H91,M91)=2,IF(ABS(M91)&gt;ABS(H91),"RN &gt; CA ",""),"")&amp;IF(COUNT(H91,K91)=2,IF(ABS(K91)&gt;ABS(H91),"RE &gt; CA ",""),"")))</f>
        <v/>
      </c>
      <c r="P91" s="16">
        <f>IF(OR($A91="",H91="",$C91=""),"",IF(COUNTIFS($A$5:$A$639,$A91,$C$5:$C$639,$C91-1,$D$5:$D$639,$D91,H$5:H$639,"&lt;&gt;")=0,"",IF(OR(SUMIFS(H$5:H$639,$A$5:$A$639,$A91,$C$5:$C$639,$C91-1,$D$5:$D$639,$D91)=0,H91*SUMIFS(H$5:H$639,$A$5:$A$639,$A91,$C$5:$C$639,$C91-1,$D$5:$D$639,$D91)&lt;0),"n.s.",ABS(H91)/ABS(SUMIFS(H$5:H$639,$A$5:$A$639,$A91,$C$5:$C$639,$C91-1,$D$5:$D$639,$D91))-1)))</f>
        <v/>
      </c>
      <c r="Q91" s="16">
        <f>IF(OR($A91="",I91="",$C91=""),"",IF(COUNTIFS($A$5:$A$639,$A91,$C$5:$C$639,$C91-1,$D$5:$D$639,$D91,I$5:I$639,"&lt;&gt;")=0,"",IF(OR(SUMIFS(I$5:I$639,$A$5:$A$639,$A91,$C$5:$C$639,$C91-1,$D$5:$D$639,$D91)=0,I91*SUMIFS(I$5:I$639,$A$5:$A$639,$A91,$C$5:$C$639,$C91-1,$D$5:$D$639,$D91)&lt;0),"n.s.",ABS(I91)/ABS(SUMIFS(I$5:I$639,$A$5:$A$639,$A91,$C$5:$C$639,$C91-1,$D$5:$D$639,$D91))-1)))</f>
        <v/>
      </c>
      <c r="R91" s="16">
        <f>IF(OR($A91="",J91="",$C91=""),"",IF(COUNTIFS($A$5:$A$639,$A91,$C$5:$C$639,$C91-1,$D$5:$D$639,$D91,J$5:J$639,"&lt;&gt;")=0,"",IF(OR(SUMIFS(J$5:J$639,$A$5:$A$639,$A91,$C$5:$C$639,$C91-1,$D$5:$D$639,$D91)=0,J91*SUMIFS(J$5:J$639,$A$5:$A$639,$A91,$C$5:$C$639,$C91-1,$D$5:$D$639,$D91)&lt;0),"n.s.",ABS(J91)/ABS(SUMIFS(J$5:J$639,$A$5:$A$639,$A91,$C$5:$C$639,$C91-1,$D$5:$D$639,$D91))-1)))</f>
        <v/>
      </c>
      <c r="S91" s="16">
        <f>IF(OR($A91="",K91="",$C91=""),"",IF(COUNTIFS($A$5:$A$639,$A91,$C$5:$C$639,$C91-1,$D$5:$D$639,$D91,K$5:K$639,"&lt;&gt;")=0,"",IF(OR(SUMIFS(K$5:K$639,$A$5:$A$639,$A91,$C$5:$C$639,$C91-1,$D$5:$D$639,$D91)=0,K91*SUMIFS(K$5:K$639,$A$5:$A$639,$A91,$C$5:$C$639,$C91-1,$D$5:$D$639,$D91)&lt;0),"n.s.",ABS(K91)/ABS(SUMIFS(K$5:K$639,$A$5:$A$639,$A91,$C$5:$C$639,$C91-1,$D$5:$D$639,$D91))-1)))</f>
        <v/>
      </c>
      <c r="T91" s="16">
        <f>IF(OR($A91="",L91="",$C91=""),"",IF(COUNTIFS($A$5:$A$639,$A91,$C$5:$C$639,$C91-1,$D$5:$D$639,$D91,L$5:L$639,"&lt;&gt;")=0,"",IF(OR(SUMIFS(L$5:L$639,$A$5:$A$639,$A91,$C$5:$C$639,$C91-1,$D$5:$D$639,$D91)=0,L91*SUMIFS(L$5:L$639,$A$5:$A$639,$A91,$C$5:$C$639,$C91-1,$D$5:$D$639,$D91)&lt;0),"n.s.",ABS(L91)/ABS(SUMIFS(L$5:L$639,$A$5:$A$639,$A91,$C$5:$C$639,$C91-1,$D$5:$D$639,$D91))-1)))</f>
        <v/>
      </c>
      <c r="U91" s="16">
        <f>IF(OR($A91="",M91="",$C91=""),"",IF(COUNTIFS($A$5:$A$639,$A91,$C$5:$C$639,$C91-1,$D$5:$D$639,$D91,M$5:M$639,"&lt;&gt;")=0,"",IF(OR(SUMIFS(M$5:M$639,$A$5:$A$639,$A91,$C$5:$C$639,$C91-1,$D$5:$D$639,$D91)=0,M91*SUMIFS(M$5:M$639,$A$5:$A$639,$A91,$C$5:$C$639,$C91-1,$D$5:$D$639,$D91)&lt;0),"n.s.",ABS(M91)/ABS(SUMIFS(M$5:M$639,$A$5:$A$639,$A91,$C$5:$C$639,$C91-1,$D$5:$D$639,$D91))-1)))</f>
        <v/>
      </c>
    </row>
    <row r="92">
      <c r="A92" s="9" t="inlineStr">
        <is>
          <t>SLBC</t>
        </is>
      </c>
      <c r="B92" s="10">
        <f>IF(A92="","",IFERROR(VLOOKUP(A92,Titres!$A$2:$B$400,2,FALSE),"Ticker inconnu"))</f>
        <v/>
      </c>
      <c r="C92" s="11" t="n">
        <v>2026</v>
      </c>
      <c r="D92" s="11" t="inlineStr">
        <is>
          <t>T1</t>
        </is>
      </c>
      <c r="E92" s="9" t="n"/>
      <c r="F92" s="12" t="n"/>
      <c r="G92" s="9" t="n"/>
      <c r="H92" s="13" t="n"/>
      <c r="I92" s="13" t="n"/>
      <c r="J92" s="13" t="n"/>
      <c r="K92" s="13" t="n"/>
      <c r="L92" s="13" t="n"/>
      <c r="M92" s="13" t="n"/>
      <c r="N92" s="14">
        <f>IF(A92="","",COUNT(H92:M92)/6)</f>
        <v/>
      </c>
      <c r="O92" s="15">
        <f>IF(COUNT(H92:M92)=0,"",IF(LEN(IF(COUNT(I92,J92)=2,IF(J92&gt;I92+1,"EBE &gt; VA ",""),"")&amp;IF(COUNT(H92,M92)=2,IF(ABS(M92)&gt;ABS(H92),"RN &gt; CA ",""),"")&amp;IF(COUNT(H92,K92)=2,IF(ABS(K92)&gt;ABS(H92),"RE &gt; CA ",""),""))=0,"OK",IF(COUNT(I92,J92)=2,IF(J92&gt;I92+1,"EBE &gt; VA ",""),"")&amp;IF(COUNT(H92,M92)=2,IF(ABS(M92)&gt;ABS(H92),"RN &gt; CA ",""),"")&amp;IF(COUNT(H92,K92)=2,IF(ABS(K92)&gt;ABS(H92),"RE &gt; CA ",""),"")))</f>
        <v/>
      </c>
      <c r="P92" s="16">
        <f>IF(OR($A92="",H92="",$C92=""),"",IF(COUNTIFS($A$5:$A$639,$A92,$C$5:$C$639,$C92-1,$D$5:$D$639,$D92,H$5:H$639,"&lt;&gt;")=0,"",IF(OR(SUMIFS(H$5:H$639,$A$5:$A$639,$A92,$C$5:$C$639,$C92-1,$D$5:$D$639,$D92)=0,H92*SUMIFS(H$5:H$639,$A$5:$A$639,$A92,$C$5:$C$639,$C92-1,$D$5:$D$639,$D92)&lt;0),"n.s.",ABS(H92)/ABS(SUMIFS(H$5:H$639,$A$5:$A$639,$A92,$C$5:$C$639,$C92-1,$D$5:$D$639,$D92))-1)))</f>
        <v/>
      </c>
      <c r="Q92" s="16">
        <f>IF(OR($A92="",I92="",$C92=""),"",IF(COUNTIFS($A$5:$A$639,$A92,$C$5:$C$639,$C92-1,$D$5:$D$639,$D92,I$5:I$639,"&lt;&gt;")=0,"",IF(OR(SUMIFS(I$5:I$639,$A$5:$A$639,$A92,$C$5:$C$639,$C92-1,$D$5:$D$639,$D92)=0,I92*SUMIFS(I$5:I$639,$A$5:$A$639,$A92,$C$5:$C$639,$C92-1,$D$5:$D$639,$D92)&lt;0),"n.s.",ABS(I92)/ABS(SUMIFS(I$5:I$639,$A$5:$A$639,$A92,$C$5:$C$639,$C92-1,$D$5:$D$639,$D92))-1)))</f>
        <v/>
      </c>
      <c r="R92" s="16">
        <f>IF(OR($A92="",J92="",$C92=""),"",IF(COUNTIFS($A$5:$A$639,$A92,$C$5:$C$639,$C92-1,$D$5:$D$639,$D92,J$5:J$639,"&lt;&gt;")=0,"",IF(OR(SUMIFS(J$5:J$639,$A$5:$A$639,$A92,$C$5:$C$639,$C92-1,$D$5:$D$639,$D92)=0,J92*SUMIFS(J$5:J$639,$A$5:$A$639,$A92,$C$5:$C$639,$C92-1,$D$5:$D$639,$D92)&lt;0),"n.s.",ABS(J92)/ABS(SUMIFS(J$5:J$639,$A$5:$A$639,$A92,$C$5:$C$639,$C92-1,$D$5:$D$639,$D92))-1)))</f>
        <v/>
      </c>
      <c r="S92" s="16">
        <f>IF(OR($A92="",K92="",$C92=""),"",IF(COUNTIFS($A$5:$A$639,$A92,$C$5:$C$639,$C92-1,$D$5:$D$639,$D92,K$5:K$639,"&lt;&gt;")=0,"",IF(OR(SUMIFS(K$5:K$639,$A$5:$A$639,$A92,$C$5:$C$639,$C92-1,$D$5:$D$639,$D92)=0,K92*SUMIFS(K$5:K$639,$A$5:$A$639,$A92,$C$5:$C$639,$C92-1,$D$5:$D$639,$D92)&lt;0),"n.s.",ABS(K92)/ABS(SUMIFS(K$5:K$639,$A$5:$A$639,$A92,$C$5:$C$639,$C92-1,$D$5:$D$639,$D92))-1)))</f>
        <v/>
      </c>
      <c r="T92" s="16">
        <f>IF(OR($A92="",L92="",$C92=""),"",IF(COUNTIFS($A$5:$A$639,$A92,$C$5:$C$639,$C92-1,$D$5:$D$639,$D92,L$5:L$639,"&lt;&gt;")=0,"",IF(OR(SUMIFS(L$5:L$639,$A$5:$A$639,$A92,$C$5:$C$639,$C92-1,$D$5:$D$639,$D92)=0,L92*SUMIFS(L$5:L$639,$A$5:$A$639,$A92,$C$5:$C$639,$C92-1,$D$5:$D$639,$D92)&lt;0),"n.s.",ABS(L92)/ABS(SUMIFS(L$5:L$639,$A$5:$A$639,$A92,$C$5:$C$639,$C92-1,$D$5:$D$639,$D92))-1)))</f>
        <v/>
      </c>
      <c r="U92" s="16">
        <f>IF(OR($A92="",M92="",$C92=""),"",IF(COUNTIFS($A$5:$A$639,$A92,$C$5:$C$639,$C92-1,$D$5:$D$639,$D92,M$5:M$639,"&lt;&gt;")=0,"",IF(OR(SUMIFS(M$5:M$639,$A$5:$A$639,$A92,$C$5:$C$639,$C92-1,$D$5:$D$639,$D92)=0,M92*SUMIFS(M$5:M$639,$A$5:$A$639,$A92,$C$5:$C$639,$C92-1,$D$5:$D$639,$D92)&lt;0),"n.s.",ABS(M92)/ABS(SUMIFS(M$5:M$639,$A$5:$A$639,$A92,$C$5:$C$639,$C92-1,$D$5:$D$639,$D92))-1)))</f>
        <v/>
      </c>
    </row>
    <row r="93">
      <c r="A93" s="9" t="inlineStr">
        <is>
          <t>SLBC</t>
        </is>
      </c>
      <c r="B93" s="10">
        <f>IF(A93="","",IFERROR(VLOOKUP(A93,Titres!$A$2:$B$400,2,FALSE),"Ticker inconnu"))</f>
        <v/>
      </c>
      <c r="C93" s="11" t="n">
        <v>2026</v>
      </c>
      <c r="D93" s="11" t="inlineStr">
        <is>
          <t>S1</t>
        </is>
      </c>
      <c r="E93" s="9" t="n"/>
      <c r="F93" s="12" t="n"/>
      <c r="G93" s="9" t="n"/>
      <c r="H93" s="13" t="n"/>
      <c r="I93" s="13" t="n"/>
      <c r="J93" s="13" t="n"/>
      <c r="K93" s="13" t="n"/>
      <c r="L93" s="13" t="n"/>
      <c r="M93" s="13" t="n"/>
      <c r="N93" s="14">
        <f>IF(A93="","",COUNT(H93:M93)/6)</f>
        <v/>
      </c>
      <c r="O93" s="15">
        <f>IF(COUNT(H93:M93)=0,"",IF(LEN(IF(COUNT(I93,J93)=2,IF(J93&gt;I93+1,"EBE &gt; VA ",""),"")&amp;IF(COUNT(H93,M93)=2,IF(ABS(M93)&gt;ABS(H93),"RN &gt; CA ",""),"")&amp;IF(COUNT(H93,K93)=2,IF(ABS(K93)&gt;ABS(H93),"RE &gt; CA ",""),""))=0,"OK",IF(COUNT(I93,J93)=2,IF(J93&gt;I93+1,"EBE &gt; VA ",""),"")&amp;IF(COUNT(H93,M93)=2,IF(ABS(M93)&gt;ABS(H93),"RN &gt; CA ",""),"")&amp;IF(COUNT(H93,K93)=2,IF(ABS(K93)&gt;ABS(H93),"RE &gt; CA ",""),"")))</f>
        <v/>
      </c>
      <c r="P93" s="16">
        <f>IF(OR($A93="",H93="",$C93=""),"",IF(COUNTIFS($A$5:$A$639,$A93,$C$5:$C$639,$C93-1,$D$5:$D$639,$D93,H$5:H$639,"&lt;&gt;")=0,"",IF(OR(SUMIFS(H$5:H$639,$A$5:$A$639,$A93,$C$5:$C$639,$C93-1,$D$5:$D$639,$D93)=0,H93*SUMIFS(H$5:H$639,$A$5:$A$639,$A93,$C$5:$C$639,$C93-1,$D$5:$D$639,$D93)&lt;0),"n.s.",ABS(H93)/ABS(SUMIFS(H$5:H$639,$A$5:$A$639,$A93,$C$5:$C$639,$C93-1,$D$5:$D$639,$D93))-1)))</f>
        <v/>
      </c>
      <c r="Q93" s="16">
        <f>IF(OR($A93="",I93="",$C93=""),"",IF(COUNTIFS($A$5:$A$639,$A93,$C$5:$C$639,$C93-1,$D$5:$D$639,$D93,I$5:I$639,"&lt;&gt;")=0,"",IF(OR(SUMIFS(I$5:I$639,$A$5:$A$639,$A93,$C$5:$C$639,$C93-1,$D$5:$D$639,$D93)=0,I93*SUMIFS(I$5:I$639,$A$5:$A$639,$A93,$C$5:$C$639,$C93-1,$D$5:$D$639,$D93)&lt;0),"n.s.",ABS(I93)/ABS(SUMIFS(I$5:I$639,$A$5:$A$639,$A93,$C$5:$C$639,$C93-1,$D$5:$D$639,$D93))-1)))</f>
        <v/>
      </c>
      <c r="R93" s="16">
        <f>IF(OR($A93="",J93="",$C93=""),"",IF(COUNTIFS($A$5:$A$639,$A93,$C$5:$C$639,$C93-1,$D$5:$D$639,$D93,J$5:J$639,"&lt;&gt;")=0,"",IF(OR(SUMIFS(J$5:J$639,$A$5:$A$639,$A93,$C$5:$C$639,$C93-1,$D$5:$D$639,$D93)=0,J93*SUMIFS(J$5:J$639,$A$5:$A$639,$A93,$C$5:$C$639,$C93-1,$D$5:$D$639,$D93)&lt;0),"n.s.",ABS(J93)/ABS(SUMIFS(J$5:J$639,$A$5:$A$639,$A93,$C$5:$C$639,$C93-1,$D$5:$D$639,$D93))-1)))</f>
        <v/>
      </c>
      <c r="S93" s="16">
        <f>IF(OR($A93="",K93="",$C93=""),"",IF(COUNTIFS($A$5:$A$639,$A93,$C$5:$C$639,$C93-1,$D$5:$D$639,$D93,K$5:K$639,"&lt;&gt;")=0,"",IF(OR(SUMIFS(K$5:K$639,$A$5:$A$639,$A93,$C$5:$C$639,$C93-1,$D$5:$D$639,$D93)=0,K93*SUMIFS(K$5:K$639,$A$5:$A$639,$A93,$C$5:$C$639,$C93-1,$D$5:$D$639,$D93)&lt;0),"n.s.",ABS(K93)/ABS(SUMIFS(K$5:K$639,$A$5:$A$639,$A93,$C$5:$C$639,$C93-1,$D$5:$D$639,$D93))-1)))</f>
        <v/>
      </c>
      <c r="T93" s="16">
        <f>IF(OR($A93="",L93="",$C93=""),"",IF(COUNTIFS($A$5:$A$639,$A93,$C$5:$C$639,$C93-1,$D$5:$D$639,$D93,L$5:L$639,"&lt;&gt;")=0,"",IF(OR(SUMIFS(L$5:L$639,$A$5:$A$639,$A93,$C$5:$C$639,$C93-1,$D$5:$D$639,$D93)=0,L93*SUMIFS(L$5:L$639,$A$5:$A$639,$A93,$C$5:$C$639,$C93-1,$D$5:$D$639,$D93)&lt;0),"n.s.",ABS(L93)/ABS(SUMIFS(L$5:L$639,$A$5:$A$639,$A93,$C$5:$C$639,$C93-1,$D$5:$D$639,$D93))-1)))</f>
        <v/>
      </c>
      <c r="U93" s="16">
        <f>IF(OR($A93="",M93="",$C93=""),"",IF(COUNTIFS($A$5:$A$639,$A93,$C$5:$C$639,$C93-1,$D$5:$D$639,$D93,M$5:M$639,"&lt;&gt;")=0,"",IF(OR(SUMIFS(M$5:M$639,$A$5:$A$639,$A93,$C$5:$C$639,$C93-1,$D$5:$D$639,$D93)=0,M93*SUMIFS(M$5:M$639,$A$5:$A$639,$A93,$C$5:$C$639,$C93-1,$D$5:$D$639,$D93)&lt;0),"n.s.",ABS(M93)/ABS(SUMIFS(M$5:M$639,$A$5:$A$639,$A93,$C$5:$C$639,$C93-1,$D$5:$D$639,$D93))-1)))</f>
        <v/>
      </c>
    </row>
    <row r="94">
      <c r="A94" s="9" t="inlineStr">
        <is>
          <t>SLBC</t>
        </is>
      </c>
      <c r="B94" s="10">
        <f>IF(A94="","",IFERROR(VLOOKUP(A94,Titres!$A$2:$B$400,2,FALSE),"Ticker inconnu"))</f>
        <v/>
      </c>
      <c r="C94" s="11" t="n">
        <v>2026</v>
      </c>
      <c r="D94" s="11" t="inlineStr">
        <is>
          <t>T3</t>
        </is>
      </c>
      <c r="E94" s="9" t="n"/>
      <c r="F94" s="12" t="n"/>
      <c r="G94" s="9" t="n"/>
      <c r="H94" s="13" t="n"/>
      <c r="I94" s="13" t="n"/>
      <c r="J94" s="13" t="n"/>
      <c r="K94" s="13" t="n"/>
      <c r="L94" s="13" t="n"/>
      <c r="M94" s="13" t="n"/>
      <c r="N94" s="14">
        <f>IF(A94="","",COUNT(H94:M94)/6)</f>
        <v/>
      </c>
      <c r="O94" s="15">
        <f>IF(COUNT(H94:M94)=0,"",IF(LEN(IF(COUNT(I94,J94)=2,IF(J94&gt;I94+1,"EBE &gt; VA ",""),"")&amp;IF(COUNT(H94,M94)=2,IF(ABS(M94)&gt;ABS(H94),"RN &gt; CA ",""),"")&amp;IF(COUNT(H94,K94)=2,IF(ABS(K94)&gt;ABS(H94),"RE &gt; CA ",""),""))=0,"OK",IF(COUNT(I94,J94)=2,IF(J94&gt;I94+1,"EBE &gt; VA ",""),"")&amp;IF(COUNT(H94,M94)=2,IF(ABS(M94)&gt;ABS(H94),"RN &gt; CA ",""),"")&amp;IF(COUNT(H94,K94)=2,IF(ABS(K94)&gt;ABS(H94),"RE &gt; CA ",""),"")))</f>
        <v/>
      </c>
      <c r="P94" s="16">
        <f>IF(OR($A94="",H94="",$C94=""),"",IF(COUNTIFS($A$5:$A$639,$A94,$C$5:$C$639,$C94-1,$D$5:$D$639,$D94,H$5:H$639,"&lt;&gt;")=0,"",IF(OR(SUMIFS(H$5:H$639,$A$5:$A$639,$A94,$C$5:$C$639,$C94-1,$D$5:$D$639,$D94)=0,H94*SUMIFS(H$5:H$639,$A$5:$A$639,$A94,$C$5:$C$639,$C94-1,$D$5:$D$639,$D94)&lt;0),"n.s.",ABS(H94)/ABS(SUMIFS(H$5:H$639,$A$5:$A$639,$A94,$C$5:$C$639,$C94-1,$D$5:$D$639,$D94))-1)))</f>
        <v/>
      </c>
      <c r="Q94" s="16">
        <f>IF(OR($A94="",I94="",$C94=""),"",IF(COUNTIFS($A$5:$A$639,$A94,$C$5:$C$639,$C94-1,$D$5:$D$639,$D94,I$5:I$639,"&lt;&gt;")=0,"",IF(OR(SUMIFS(I$5:I$639,$A$5:$A$639,$A94,$C$5:$C$639,$C94-1,$D$5:$D$639,$D94)=0,I94*SUMIFS(I$5:I$639,$A$5:$A$639,$A94,$C$5:$C$639,$C94-1,$D$5:$D$639,$D94)&lt;0),"n.s.",ABS(I94)/ABS(SUMIFS(I$5:I$639,$A$5:$A$639,$A94,$C$5:$C$639,$C94-1,$D$5:$D$639,$D94))-1)))</f>
        <v/>
      </c>
      <c r="R94" s="16">
        <f>IF(OR($A94="",J94="",$C94=""),"",IF(COUNTIFS($A$5:$A$639,$A94,$C$5:$C$639,$C94-1,$D$5:$D$639,$D94,J$5:J$639,"&lt;&gt;")=0,"",IF(OR(SUMIFS(J$5:J$639,$A$5:$A$639,$A94,$C$5:$C$639,$C94-1,$D$5:$D$639,$D94)=0,J94*SUMIFS(J$5:J$639,$A$5:$A$639,$A94,$C$5:$C$639,$C94-1,$D$5:$D$639,$D94)&lt;0),"n.s.",ABS(J94)/ABS(SUMIFS(J$5:J$639,$A$5:$A$639,$A94,$C$5:$C$639,$C94-1,$D$5:$D$639,$D94))-1)))</f>
        <v/>
      </c>
      <c r="S94" s="16">
        <f>IF(OR($A94="",K94="",$C94=""),"",IF(COUNTIFS($A$5:$A$639,$A94,$C$5:$C$639,$C94-1,$D$5:$D$639,$D94,K$5:K$639,"&lt;&gt;")=0,"",IF(OR(SUMIFS(K$5:K$639,$A$5:$A$639,$A94,$C$5:$C$639,$C94-1,$D$5:$D$639,$D94)=0,K94*SUMIFS(K$5:K$639,$A$5:$A$639,$A94,$C$5:$C$639,$C94-1,$D$5:$D$639,$D94)&lt;0),"n.s.",ABS(K94)/ABS(SUMIFS(K$5:K$639,$A$5:$A$639,$A94,$C$5:$C$639,$C94-1,$D$5:$D$639,$D94))-1)))</f>
        <v/>
      </c>
      <c r="T94" s="16">
        <f>IF(OR($A94="",L94="",$C94=""),"",IF(COUNTIFS($A$5:$A$639,$A94,$C$5:$C$639,$C94-1,$D$5:$D$639,$D94,L$5:L$639,"&lt;&gt;")=0,"",IF(OR(SUMIFS(L$5:L$639,$A$5:$A$639,$A94,$C$5:$C$639,$C94-1,$D$5:$D$639,$D94)=0,L94*SUMIFS(L$5:L$639,$A$5:$A$639,$A94,$C$5:$C$639,$C94-1,$D$5:$D$639,$D94)&lt;0),"n.s.",ABS(L94)/ABS(SUMIFS(L$5:L$639,$A$5:$A$639,$A94,$C$5:$C$639,$C94-1,$D$5:$D$639,$D94))-1)))</f>
        <v/>
      </c>
      <c r="U94" s="16">
        <f>IF(OR($A94="",M94="",$C94=""),"",IF(COUNTIFS($A$5:$A$639,$A94,$C$5:$C$639,$C94-1,$D$5:$D$639,$D94,M$5:M$639,"&lt;&gt;")=0,"",IF(OR(SUMIFS(M$5:M$639,$A$5:$A$639,$A94,$C$5:$C$639,$C94-1,$D$5:$D$639,$D94)=0,M94*SUMIFS(M$5:M$639,$A$5:$A$639,$A94,$C$5:$C$639,$C94-1,$D$5:$D$639,$D94)&lt;0),"n.s.",ABS(M94)/ABS(SUMIFS(M$5:M$639,$A$5:$A$639,$A94,$C$5:$C$639,$C94-1,$D$5:$D$639,$D94))-1)))</f>
        <v/>
      </c>
    </row>
    <row r="95">
      <c r="A95" s="9" t="inlineStr">
        <is>
          <t>SOGC</t>
        </is>
      </c>
      <c r="B95" s="10">
        <f>IF(A95="","",IFERROR(VLOOKUP(A95,Titres!$A$2:$B$400,2,FALSE),"Ticker inconnu"))</f>
        <v/>
      </c>
      <c r="C95" s="11" t="n">
        <v>2021</v>
      </c>
      <c r="D95" s="11" t="inlineStr">
        <is>
          <t>T1</t>
        </is>
      </c>
      <c r="E95" s="9" t="n"/>
      <c r="F95" s="12" t="n"/>
      <c r="G95" s="9" t="n"/>
      <c r="H95" s="13" t="n"/>
      <c r="I95" s="13" t="n"/>
      <c r="J95" s="13" t="n"/>
      <c r="K95" s="13" t="n"/>
      <c r="L95" s="13" t="n"/>
      <c r="M95" s="13" t="n"/>
      <c r="N95" s="14">
        <f>IF(A95="","",COUNT(H95:M95)/6)</f>
        <v/>
      </c>
      <c r="O95" s="15">
        <f>IF(COUNT(H95:M95)=0,"",IF(LEN(IF(COUNT(I95,J95)=2,IF(J95&gt;I95+1,"EBE &gt; VA ",""),"")&amp;IF(COUNT(H95,M95)=2,IF(ABS(M95)&gt;ABS(H95),"RN &gt; CA ",""),"")&amp;IF(COUNT(H95,K95)=2,IF(ABS(K95)&gt;ABS(H95),"RE &gt; CA ",""),""))=0,"OK",IF(COUNT(I95,J95)=2,IF(J95&gt;I95+1,"EBE &gt; VA ",""),"")&amp;IF(COUNT(H95,M95)=2,IF(ABS(M95)&gt;ABS(H95),"RN &gt; CA ",""),"")&amp;IF(COUNT(H95,K95)=2,IF(ABS(K95)&gt;ABS(H95),"RE &gt; CA ",""),"")))</f>
        <v/>
      </c>
      <c r="P95" s="16">
        <f>IF(OR($A95="",H95="",$C95=""),"",IF(COUNTIFS($A$5:$A$639,$A95,$C$5:$C$639,$C95-1,$D$5:$D$639,$D95,H$5:H$639,"&lt;&gt;")=0,"",IF(OR(SUMIFS(H$5:H$639,$A$5:$A$639,$A95,$C$5:$C$639,$C95-1,$D$5:$D$639,$D95)=0,H95*SUMIFS(H$5:H$639,$A$5:$A$639,$A95,$C$5:$C$639,$C95-1,$D$5:$D$639,$D95)&lt;0),"n.s.",ABS(H95)/ABS(SUMIFS(H$5:H$639,$A$5:$A$639,$A95,$C$5:$C$639,$C95-1,$D$5:$D$639,$D95))-1)))</f>
        <v/>
      </c>
      <c r="Q95" s="16">
        <f>IF(OR($A95="",I95="",$C95=""),"",IF(COUNTIFS($A$5:$A$639,$A95,$C$5:$C$639,$C95-1,$D$5:$D$639,$D95,I$5:I$639,"&lt;&gt;")=0,"",IF(OR(SUMIFS(I$5:I$639,$A$5:$A$639,$A95,$C$5:$C$639,$C95-1,$D$5:$D$639,$D95)=0,I95*SUMIFS(I$5:I$639,$A$5:$A$639,$A95,$C$5:$C$639,$C95-1,$D$5:$D$639,$D95)&lt;0),"n.s.",ABS(I95)/ABS(SUMIFS(I$5:I$639,$A$5:$A$639,$A95,$C$5:$C$639,$C95-1,$D$5:$D$639,$D95))-1)))</f>
        <v/>
      </c>
      <c r="R95" s="16">
        <f>IF(OR($A95="",J95="",$C95=""),"",IF(COUNTIFS($A$5:$A$639,$A95,$C$5:$C$639,$C95-1,$D$5:$D$639,$D95,J$5:J$639,"&lt;&gt;")=0,"",IF(OR(SUMIFS(J$5:J$639,$A$5:$A$639,$A95,$C$5:$C$639,$C95-1,$D$5:$D$639,$D95)=0,J95*SUMIFS(J$5:J$639,$A$5:$A$639,$A95,$C$5:$C$639,$C95-1,$D$5:$D$639,$D95)&lt;0),"n.s.",ABS(J95)/ABS(SUMIFS(J$5:J$639,$A$5:$A$639,$A95,$C$5:$C$639,$C95-1,$D$5:$D$639,$D95))-1)))</f>
        <v/>
      </c>
      <c r="S95" s="16">
        <f>IF(OR($A95="",K95="",$C95=""),"",IF(COUNTIFS($A$5:$A$639,$A95,$C$5:$C$639,$C95-1,$D$5:$D$639,$D95,K$5:K$639,"&lt;&gt;")=0,"",IF(OR(SUMIFS(K$5:K$639,$A$5:$A$639,$A95,$C$5:$C$639,$C95-1,$D$5:$D$639,$D95)=0,K95*SUMIFS(K$5:K$639,$A$5:$A$639,$A95,$C$5:$C$639,$C95-1,$D$5:$D$639,$D95)&lt;0),"n.s.",ABS(K95)/ABS(SUMIFS(K$5:K$639,$A$5:$A$639,$A95,$C$5:$C$639,$C95-1,$D$5:$D$639,$D95))-1)))</f>
        <v/>
      </c>
      <c r="T95" s="16">
        <f>IF(OR($A95="",L95="",$C95=""),"",IF(COUNTIFS($A$5:$A$639,$A95,$C$5:$C$639,$C95-1,$D$5:$D$639,$D95,L$5:L$639,"&lt;&gt;")=0,"",IF(OR(SUMIFS(L$5:L$639,$A$5:$A$639,$A95,$C$5:$C$639,$C95-1,$D$5:$D$639,$D95)=0,L95*SUMIFS(L$5:L$639,$A$5:$A$639,$A95,$C$5:$C$639,$C95-1,$D$5:$D$639,$D95)&lt;0),"n.s.",ABS(L95)/ABS(SUMIFS(L$5:L$639,$A$5:$A$639,$A95,$C$5:$C$639,$C95-1,$D$5:$D$639,$D95))-1)))</f>
        <v/>
      </c>
      <c r="U95" s="16">
        <f>IF(OR($A95="",M95="",$C95=""),"",IF(COUNTIFS($A$5:$A$639,$A95,$C$5:$C$639,$C95-1,$D$5:$D$639,$D95,M$5:M$639,"&lt;&gt;")=0,"",IF(OR(SUMIFS(M$5:M$639,$A$5:$A$639,$A95,$C$5:$C$639,$C95-1,$D$5:$D$639,$D95)=0,M95*SUMIFS(M$5:M$639,$A$5:$A$639,$A95,$C$5:$C$639,$C95-1,$D$5:$D$639,$D95)&lt;0),"n.s.",ABS(M95)/ABS(SUMIFS(M$5:M$639,$A$5:$A$639,$A95,$C$5:$C$639,$C95-1,$D$5:$D$639,$D95))-1)))</f>
        <v/>
      </c>
    </row>
    <row r="96">
      <c r="A96" s="9" t="inlineStr">
        <is>
          <t>SOGC</t>
        </is>
      </c>
      <c r="B96" s="10">
        <f>IF(A96="","",IFERROR(VLOOKUP(A96,Titres!$A$2:$B$400,2,FALSE),"Ticker inconnu"))</f>
        <v/>
      </c>
      <c r="C96" s="11" t="n">
        <v>2021</v>
      </c>
      <c r="D96" s="11" t="inlineStr">
        <is>
          <t>S1</t>
        </is>
      </c>
      <c r="E96" s="9" t="n"/>
      <c r="F96" s="12" t="n"/>
      <c r="G96" s="9" t="n"/>
      <c r="H96" s="13" t="n"/>
      <c r="I96" s="13" t="n"/>
      <c r="J96" s="13" t="n"/>
      <c r="K96" s="13" t="n"/>
      <c r="L96" s="13" t="n"/>
      <c r="M96" s="13" t="n"/>
      <c r="N96" s="14">
        <f>IF(A96="","",COUNT(H96:M96)/6)</f>
        <v/>
      </c>
      <c r="O96" s="15">
        <f>IF(COUNT(H96:M96)=0,"",IF(LEN(IF(COUNT(I96,J96)=2,IF(J96&gt;I96+1,"EBE &gt; VA ",""),"")&amp;IF(COUNT(H96,M96)=2,IF(ABS(M96)&gt;ABS(H96),"RN &gt; CA ",""),"")&amp;IF(COUNT(H96,K96)=2,IF(ABS(K96)&gt;ABS(H96),"RE &gt; CA ",""),""))=0,"OK",IF(COUNT(I96,J96)=2,IF(J96&gt;I96+1,"EBE &gt; VA ",""),"")&amp;IF(COUNT(H96,M96)=2,IF(ABS(M96)&gt;ABS(H96),"RN &gt; CA ",""),"")&amp;IF(COUNT(H96,K96)=2,IF(ABS(K96)&gt;ABS(H96),"RE &gt; CA ",""),"")))</f>
        <v/>
      </c>
      <c r="P96" s="16">
        <f>IF(OR($A96="",H96="",$C96=""),"",IF(COUNTIFS($A$5:$A$639,$A96,$C$5:$C$639,$C96-1,$D$5:$D$639,$D96,H$5:H$639,"&lt;&gt;")=0,"",IF(OR(SUMIFS(H$5:H$639,$A$5:$A$639,$A96,$C$5:$C$639,$C96-1,$D$5:$D$639,$D96)=0,H96*SUMIFS(H$5:H$639,$A$5:$A$639,$A96,$C$5:$C$639,$C96-1,$D$5:$D$639,$D96)&lt;0),"n.s.",ABS(H96)/ABS(SUMIFS(H$5:H$639,$A$5:$A$639,$A96,$C$5:$C$639,$C96-1,$D$5:$D$639,$D96))-1)))</f>
        <v/>
      </c>
      <c r="Q96" s="16">
        <f>IF(OR($A96="",I96="",$C96=""),"",IF(COUNTIFS($A$5:$A$639,$A96,$C$5:$C$639,$C96-1,$D$5:$D$639,$D96,I$5:I$639,"&lt;&gt;")=0,"",IF(OR(SUMIFS(I$5:I$639,$A$5:$A$639,$A96,$C$5:$C$639,$C96-1,$D$5:$D$639,$D96)=0,I96*SUMIFS(I$5:I$639,$A$5:$A$639,$A96,$C$5:$C$639,$C96-1,$D$5:$D$639,$D96)&lt;0),"n.s.",ABS(I96)/ABS(SUMIFS(I$5:I$639,$A$5:$A$639,$A96,$C$5:$C$639,$C96-1,$D$5:$D$639,$D96))-1)))</f>
        <v/>
      </c>
      <c r="R96" s="16">
        <f>IF(OR($A96="",J96="",$C96=""),"",IF(COUNTIFS($A$5:$A$639,$A96,$C$5:$C$639,$C96-1,$D$5:$D$639,$D96,J$5:J$639,"&lt;&gt;")=0,"",IF(OR(SUMIFS(J$5:J$639,$A$5:$A$639,$A96,$C$5:$C$639,$C96-1,$D$5:$D$639,$D96)=0,J96*SUMIFS(J$5:J$639,$A$5:$A$639,$A96,$C$5:$C$639,$C96-1,$D$5:$D$639,$D96)&lt;0),"n.s.",ABS(J96)/ABS(SUMIFS(J$5:J$639,$A$5:$A$639,$A96,$C$5:$C$639,$C96-1,$D$5:$D$639,$D96))-1)))</f>
        <v/>
      </c>
      <c r="S96" s="16">
        <f>IF(OR($A96="",K96="",$C96=""),"",IF(COUNTIFS($A$5:$A$639,$A96,$C$5:$C$639,$C96-1,$D$5:$D$639,$D96,K$5:K$639,"&lt;&gt;")=0,"",IF(OR(SUMIFS(K$5:K$639,$A$5:$A$639,$A96,$C$5:$C$639,$C96-1,$D$5:$D$639,$D96)=0,K96*SUMIFS(K$5:K$639,$A$5:$A$639,$A96,$C$5:$C$639,$C96-1,$D$5:$D$639,$D96)&lt;0),"n.s.",ABS(K96)/ABS(SUMIFS(K$5:K$639,$A$5:$A$639,$A96,$C$5:$C$639,$C96-1,$D$5:$D$639,$D96))-1)))</f>
        <v/>
      </c>
      <c r="T96" s="16">
        <f>IF(OR($A96="",L96="",$C96=""),"",IF(COUNTIFS($A$5:$A$639,$A96,$C$5:$C$639,$C96-1,$D$5:$D$639,$D96,L$5:L$639,"&lt;&gt;")=0,"",IF(OR(SUMIFS(L$5:L$639,$A$5:$A$639,$A96,$C$5:$C$639,$C96-1,$D$5:$D$639,$D96)=0,L96*SUMIFS(L$5:L$639,$A$5:$A$639,$A96,$C$5:$C$639,$C96-1,$D$5:$D$639,$D96)&lt;0),"n.s.",ABS(L96)/ABS(SUMIFS(L$5:L$639,$A$5:$A$639,$A96,$C$5:$C$639,$C96-1,$D$5:$D$639,$D96))-1)))</f>
        <v/>
      </c>
      <c r="U96" s="16">
        <f>IF(OR($A96="",M96="",$C96=""),"",IF(COUNTIFS($A$5:$A$639,$A96,$C$5:$C$639,$C96-1,$D$5:$D$639,$D96,M$5:M$639,"&lt;&gt;")=0,"",IF(OR(SUMIFS(M$5:M$639,$A$5:$A$639,$A96,$C$5:$C$639,$C96-1,$D$5:$D$639,$D96)=0,M96*SUMIFS(M$5:M$639,$A$5:$A$639,$A96,$C$5:$C$639,$C96-1,$D$5:$D$639,$D96)&lt;0),"n.s.",ABS(M96)/ABS(SUMIFS(M$5:M$639,$A$5:$A$639,$A96,$C$5:$C$639,$C96-1,$D$5:$D$639,$D96))-1)))</f>
        <v/>
      </c>
    </row>
    <row r="97">
      <c r="A97" s="9" t="inlineStr">
        <is>
          <t>SOGC</t>
        </is>
      </c>
      <c r="B97" s="10">
        <f>IF(A97="","",IFERROR(VLOOKUP(A97,Titres!$A$2:$B$400,2,FALSE),"Ticker inconnu"))</f>
        <v/>
      </c>
      <c r="C97" s="11" t="n">
        <v>2021</v>
      </c>
      <c r="D97" s="11" t="inlineStr">
        <is>
          <t>T3</t>
        </is>
      </c>
      <c r="E97" s="9" t="n"/>
      <c r="F97" s="12" t="n"/>
      <c r="G97" s="9" t="n"/>
      <c r="H97" s="13" t="n"/>
      <c r="I97" s="13" t="n"/>
      <c r="J97" s="13" t="n"/>
      <c r="K97" s="13" t="n"/>
      <c r="L97" s="13" t="n"/>
      <c r="M97" s="13" t="n"/>
      <c r="N97" s="14">
        <f>IF(A97="","",COUNT(H97:M97)/6)</f>
        <v/>
      </c>
      <c r="O97" s="15">
        <f>IF(COUNT(H97:M97)=0,"",IF(LEN(IF(COUNT(I97,J97)=2,IF(J97&gt;I97+1,"EBE &gt; VA ",""),"")&amp;IF(COUNT(H97,M97)=2,IF(ABS(M97)&gt;ABS(H97),"RN &gt; CA ",""),"")&amp;IF(COUNT(H97,K97)=2,IF(ABS(K97)&gt;ABS(H97),"RE &gt; CA ",""),""))=0,"OK",IF(COUNT(I97,J97)=2,IF(J97&gt;I97+1,"EBE &gt; VA ",""),"")&amp;IF(COUNT(H97,M97)=2,IF(ABS(M97)&gt;ABS(H97),"RN &gt; CA ",""),"")&amp;IF(COUNT(H97,K97)=2,IF(ABS(K97)&gt;ABS(H97),"RE &gt; CA ",""),"")))</f>
        <v/>
      </c>
      <c r="P97" s="16">
        <f>IF(OR($A97="",H97="",$C97=""),"",IF(COUNTIFS($A$5:$A$639,$A97,$C$5:$C$639,$C97-1,$D$5:$D$639,$D97,H$5:H$639,"&lt;&gt;")=0,"",IF(OR(SUMIFS(H$5:H$639,$A$5:$A$639,$A97,$C$5:$C$639,$C97-1,$D$5:$D$639,$D97)=0,H97*SUMIFS(H$5:H$639,$A$5:$A$639,$A97,$C$5:$C$639,$C97-1,$D$5:$D$639,$D97)&lt;0),"n.s.",ABS(H97)/ABS(SUMIFS(H$5:H$639,$A$5:$A$639,$A97,$C$5:$C$639,$C97-1,$D$5:$D$639,$D97))-1)))</f>
        <v/>
      </c>
      <c r="Q97" s="16">
        <f>IF(OR($A97="",I97="",$C97=""),"",IF(COUNTIFS($A$5:$A$639,$A97,$C$5:$C$639,$C97-1,$D$5:$D$639,$D97,I$5:I$639,"&lt;&gt;")=0,"",IF(OR(SUMIFS(I$5:I$639,$A$5:$A$639,$A97,$C$5:$C$639,$C97-1,$D$5:$D$639,$D97)=0,I97*SUMIFS(I$5:I$639,$A$5:$A$639,$A97,$C$5:$C$639,$C97-1,$D$5:$D$639,$D97)&lt;0),"n.s.",ABS(I97)/ABS(SUMIFS(I$5:I$639,$A$5:$A$639,$A97,$C$5:$C$639,$C97-1,$D$5:$D$639,$D97))-1)))</f>
        <v/>
      </c>
      <c r="R97" s="16">
        <f>IF(OR($A97="",J97="",$C97=""),"",IF(COUNTIFS($A$5:$A$639,$A97,$C$5:$C$639,$C97-1,$D$5:$D$639,$D97,J$5:J$639,"&lt;&gt;")=0,"",IF(OR(SUMIFS(J$5:J$639,$A$5:$A$639,$A97,$C$5:$C$639,$C97-1,$D$5:$D$639,$D97)=0,J97*SUMIFS(J$5:J$639,$A$5:$A$639,$A97,$C$5:$C$639,$C97-1,$D$5:$D$639,$D97)&lt;0),"n.s.",ABS(J97)/ABS(SUMIFS(J$5:J$639,$A$5:$A$639,$A97,$C$5:$C$639,$C97-1,$D$5:$D$639,$D97))-1)))</f>
        <v/>
      </c>
      <c r="S97" s="16">
        <f>IF(OR($A97="",K97="",$C97=""),"",IF(COUNTIFS($A$5:$A$639,$A97,$C$5:$C$639,$C97-1,$D$5:$D$639,$D97,K$5:K$639,"&lt;&gt;")=0,"",IF(OR(SUMIFS(K$5:K$639,$A$5:$A$639,$A97,$C$5:$C$639,$C97-1,$D$5:$D$639,$D97)=0,K97*SUMIFS(K$5:K$639,$A$5:$A$639,$A97,$C$5:$C$639,$C97-1,$D$5:$D$639,$D97)&lt;0),"n.s.",ABS(K97)/ABS(SUMIFS(K$5:K$639,$A$5:$A$639,$A97,$C$5:$C$639,$C97-1,$D$5:$D$639,$D97))-1)))</f>
        <v/>
      </c>
      <c r="T97" s="16">
        <f>IF(OR($A97="",L97="",$C97=""),"",IF(COUNTIFS($A$5:$A$639,$A97,$C$5:$C$639,$C97-1,$D$5:$D$639,$D97,L$5:L$639,"&lt;&gt;")=0,"",IF(OR(SUMIFS(L$5:L$639,$A$5:$A$639,$A97,$C$5:$C$639,$C97-1,$D$5:$D$639,$D97)=0,L97*SUMIFS(L$5:L$639,$A$5:$A$639,$A97,$C$5:$C$639,$C97-1,$D$5:$D$639,$D97)&lt;0),"n.s.",ABS(L97)/ABS(SUMIFS(L$5:L$639,$A$5:$A$639,$A97,$C$5:$C$639,$C97-1,$D$5:$D$639,$D97))-1)))</f>
        <v/>
      </c>
      <c r="U97" s="16">
        <f>IF(OR($A97="",M97="",$C97=""),"",IF(COUNTIFS($A$5:$A$639,$A97,$C$5:$C$639,$C97-1,$D$5:$D$639,$D97,M$5:M$639,"&lt;&gt;")=0,"",IF(OR(SUMIFS(M$5:M$639,$A$5:$A$639,$A97,$C$5:$C$639,$C97-1,$D$5:$D$639,$D97)=0,M97*SUMIFS(M$5:M$639,$A$5:$A$639,$A97,$C$5:$C$639,$C97-1,$D$5:$D$639,$D97)&lt;0),"n.s.",ABS(M97)/ABS(SUMIFS(M$5:M$639,$A$5:$A$639,$A97,$C$5:$C$639,$C97-1,$D$5:$D$639,$D97))-1)))</f>
        <v/>
      </c>
    </row>
    <row r="98">
      <c r="A98" s="9" t="inlineStr">
        <is>
          <t>SOGC</t>
        </is>
      </c>
      <c r="B98" s="10">
        <f>IF(A98="","",IFERROR(VLOOKUP(A98,Titres!$A$2:$B$400,2,FALSE),"Ticker inconnu"))</f>
        <v/>
      </c>
      <c r="C98" s="11" t="n">
        <v>2022</v>
      </c>
      <c r="D98" s="11" t="inlineStr">
        <is>
          <t>T1</t>
        </is>
      </c>
      <c r="E98" s="9" t="n"/>
      <c r="F98" s="12" t="n"/>
      <c r="G98" s="9" t="n"/>
      <c r="H98" s="13" t="n"/>
      <c r="I98" s="13" t="n"/>
      <c r="J98" s="13" t="n"/>
      <c r="K98" s="13" t="n"/>
      <c r="L98" s="13" t="n"/>
      <c r="M98" s="13" t="n"/>
      <c r="N98" s="14">
        <f>IF(A98="","",COUNT(H98:M98)/6)</f>
        <v/>
      </c>
      <c r="O98" s="15">
        <f>IF(COUNT(H98:M98)=0,"",IF(LEN(IF(COUNT(I98,J98)=2,IF(J98&gt;I98+1,"EBE &gt; VA ",""),"")&amp;IF(COUNT(H98,M98)=2,IF(ABS(M98)&gt;ABS(H98),"RN &gt; CA ",""),"")&amp;IF(COUNT(H98,K98)=2,IF(ABS(K98)&gt;ABS(H98),"RE &gt; CA ",""),""))=0,"OK",IF(COUNT(I98,J98)=2,IF(J98&gt;I98+1,"EBE &gt; VA ",""),"")&amp;IF(COUNT(H98,M98)=2,IF(ABS(M98)&gt;ABS(H98),"RN &gt; CA ",""),"")&amp;IF(COUNT(H98,K98)=2,IF(ABS(K98)&gt;ABS(H98),"RE &gt; CA ",""),"")))</f>
        <v/>
      </c>
      <c r="P98" s="16">
        <f>IF(OR($A98="",H98="",$C98=""),"",IF(COUNTIFS($A$5:$A$639,$A98,$C$5:$C$639,$C98-1,$D$5:$D$639,$D98,H$5:H$639,"&lt;&gt;")=0,"",IF(OR(SUMIFS(H$5:H$639,$A$5:$A$639,$A98,$C$5:$C$639,$C98-1,$D$5:$D$639,$D98)=0,H98*SUMIFS(H$5:H$639,$A$5:$A$639,$A98,$C$5:$C$639,$C98-1,$D$5:$D$639,$D98)&lt;0),"n.s.",ABS(H98)/ABS(SUMIFS(H$5:H$639,$A$5:$A$639,$A98,$C$5:$C$639,$C98-1,$D$5:$D$639,$D98))-1)))</f>
        <v/>
      </c>
      <c r="Q98" s="16">
        <f>IF(OR($A98="",I98="",$C98=""),"",IF(COUNTIFS($A$5:$A$639,$A98,$C$5:$C$639,$C98-1,$D$5:$D$639,$D98,I$5:I$639,"&lt;&gt;")=0,"",IF(OR(SUMIFS(I$5:I$639,$A$5:$A$639,$A98,$C$5:$C$639,$C98-1,$D$5:$D$639,$D98)=0,I98*SUMIFS(I$5:I$639,$A$5:$A$639,$A98,$C$5:$C$639,$C98-1,$D$5:$D$639,$D98)&lt;0),"n.s.",ABS(I98)/ABS(SUMIFS(I$5:I$639,$A$5:$A$639,$A98,$C$5:$C$639,$C98-1,$D$5:$D$639,$D98))-1)))</f>
        <v/>
      </c>
      <c r="R98" s="16">
        <f>IF(OR($A98="",J98="",$C98=""),"",IF(COUNTIFS($A$5:$A$639,$A98,$C$5:$C$639,$C98-1,$D$5:$D$639,$D98,J$5:J$639,"&lt;&gt;")=0,"",IF(OR(SUMIFS(J$5:J$639,$A$5:$A$639,$A98,$C$5:$C$639,$C98-1,$D$5:$D$639,$D98)=0,J98*SUMIFS(J$5:J$639,$A$5:$A$639,$A98,$C$5:$C$639,$C98-1,$D$5:$D$639,$D98)&lt;0),"n.s.",ABS(J98)/ABS(SUMIFS(J$5:J$639,$A$5:$A$639,$A98,$C$5:$C$639,$C98-1,$D$5:$D$639,$D98))-1)))</f>
        <v/>
      </c>
      <c r="S98" s="16">
        <f>IF(OR($A98="",K98="",$C98=""),"",IF(COUNTIFS($A$5:$A$639,$A98,$C$5:$C$639,$C98-1,$D$5:$D$639,$D98,K$5:K$639,"&lt;&gt;")=0,"",IF(OR(SUMIFS(K$5:K$639,$A$5:$A$639,$A98,$C$5:$C$639,$C98-1,$D$5:$D$639,$D98)=0,K98*SUMIFS(K$5:K$639,$A$5:$A$639,$A98,$C$5:$C$639,$C98-1,$D$5:$D$639,$D98)&lt;0),"n.s.",ABS(K98)/ABS(SUMIFS(K$5:K$639,$A$5:$A$639,$A98,$C$5:$C$639,$C98-1,$D$5:$D$639,$D98))-1)))</f>
        <v/>
      </c>
      <c r="T98" s="16">
        <f>IF(OR($A98="",L98="",$C98=""),"",IF(COUNTIFS($A$5:$A$639,$A98,$C$5:$C$639,$C98-1,$D$5:$D$639,$D98,L$5:L$639,"&lt;&gt;")=0,"",IF(OR(SUMIFS(L$5:L$639,$A$5:$A$639,$A98,$C$5:$C$639,$C98-1,$D$5:$D$639,$D98)=0,L98*SUMIFS(L$5:L$639,$A$5:$A$639,$A98,$C$5:$C$639,$C98-1,$D$5:$D$639,$D98)&lt;0),"n.s.",ABS(L98)/ABS(SUMIFS(L$5:L$639,$A$5:$A$639,$A98,$C$5:$C$639,$C98-1,$D$5:$D$639,$D98))-1)))</f>
        <v/>
      </c>
      <c r="U98" s="16">
        <f>IF(OR($A98="",M98="",$C98=""),"",IF(COUNTIFS($A$5:$A$639,$A98,$C$5:$C$639,$C98-1,$D$5:$D$639,$D98,M$5:M$639,"&lt;&gt;")=0,"",IF(OR(SUMIFS(M$5:M$639,$A$5:$A$639,$A98,$C$5:$C$639,$C98-1,$D$5:$D$639,$D98)=0,M98*SUMIFS(M$5:M$639,$A$5:$A$639,$A98,$C$5:$C$639,$C98-1,$D$5:$D$639,$D98)&lt;0),"n.s.",ABS(M98)/ABS(SUMIFS(M$5:M$639,$A$5:$A$639,$A98,$C$5:$C$639,$C98-1,$D$5:$D$639,$D98))-1)))</f>
        <v/>
      </c>
    </row>
    <row r="99">
      <c r="A99" s="9" t="inlineStr">
        <is>
          <t>SOGC</t>
        </is>
      </c>
      <c r="B99" s="10">
        <f>IF(A99="","",IFERROR(VLOOKUP(A99,Titres!$A$2:$B$400,2,FALSE),"Ticker inconnu"))</f>
        <v/>
      </c>
      <c r="C99" s="11" t="n">
        <v>2022</v>
      </c>
      <c r="D99" s="11" t="inlineStr">
        <is>
          <t>S1</t>
        </is>
      </c>
      <c r="E99" s="9" t="n"/>
      <c r="F99" s="12" t="n"/>
      <c r="G99" s="9" t="n"/>
      <c r="H99" s="13" t="n"/>
      <c r="I99" s="13" t="n"/>
      <c r="J99" s="13" t="n"/>
      <c r="K99" s="13" t="n"/>
      <c r="L99" s="13" t="n"/>
      <c r="M99" s="13" t="n"/>
      <c r="N99" s="14">
        <f>IF(A99="","",COUNT(H99:M99)/6)</f>
        <v/>
      </c>
      <c r="O99" s="15">
        <f>IF(COUNT(H99:M99)=0,"",IF(LEN(IF(COUNT(I99,J99)=2,IF(J99&gt;I99+1,"EBE &gt; VA ",""),"")&amp;IF(COUNT(H99,M99)=2,IF(ABS(M99)&gt;ABS(H99),"RN &gt; CA ",""),"")&amp;IF(COUNT(H99,K99)=2,IF(ABS(K99)&gt;ABS(H99),"RE &gt; CA ",""),""))=0,"OK",IF(COUNT(I99,J99)=2,IF(J99&gt;I99+1,"EBE &gt; VA ",""),"")&amp;IF(COUNT(H99,M99)=2,IF(ABS(M99)&gt;ABS(H99),"RN &gt; CA ",""),"")&amp;IF(COUNT(H99,K99)=2,IF(ABS(K99)&gt;ABS(H99),"RE &gt; CA ",""),"")))</f>
        <v/>
      </c>
      <c r="P99" s="16">
        <f>IF(OR($A99="",H99="",$C99=""),"",IF(COUNTIFS($A$5:$A$639,$A99,$C$5:$C$639,$C99-1,$D$5:$D$639,$D99,H$5:H$639,"&lt;&gt;")=0,"",IF(OR(SUMIFS(H$5:H$639,$A$5:$A$639,$A99,$C$5:$C$639,$C99-1,$D$5:$D$639,$D99)=0,H99*SUMIFS(H$5:H$639,$A$5:$A$639,$A99,$C$5:$C$639,$C99-1,$D$5:$D$639,$D99)&lt;0),"n.s.",ABS(H99)/ABS(SUMIFS(H$5:H$639,$A$5:$A$639,$A99,$C$5:$C$639,$C99-1,$D$5:$D$639,$D99))-1)))</f>
        <v/>
      </c>
      <c r="Q99" s="16">
        <f>IF(OR($A99="",I99="",$C99=""),"",IF(COUNTIFS($A$5:$A$639,$A99,$C$5:$C$639,$C99-1,$D$5:$D$639,$D99,I$5:I$639,"&lt;&gt;")=0,"",IF(OR(SUMIFS(I$5:I$639,$A$5:$A$639,$A99,$C$5:$C$639,$C99-1,$D$5:$D$639,$D99)=0,I99*SUMIFS(I$5:I$639,$A$5:$A$639,$A99,$C$5:$C$639,$C99-1,$D$5:$D$639,$D99)&lt;0),"n.s.",ABS(I99)/ABS(SUMIFS(I$5:I$639,$A$5:$A$639,$A99,$C$5:$C$639,$C99-1,$D$5:$D$639,$D99))-1)))</f>
        <v/>
      </c>
      <c r="R99" s="16">
        <f>IF(OR($A99="",J99="",$C99=""),"",IF(COUNTIFS($A$5:$A$639,$A99,$C$5:$C$639,$C99-1,$D$5:$D$639,$D99,J$5:J$639,"&lt;&gt;")=0,"",IF(OR(SUMIFS(J$5:J$639,$A$5:$A$639,$A99,$C$5:$C$639,$C99-1,$D$5:$D$639,$D99)=0,J99*SUMIFS(J$5:J$639,$A$5:$A$639,$A99,$C$5:$C$639,$C99-1,$D$5:$D$639,$D99)&lt;0),"n.s.",ABS(J99)/ABS(SUMIFS(J$5:J$639,$A$5:$A$639,$A99,$C$5:$C$639,$C99-1,$D$5:$D$639,$D99))-1)))</f>
        <v/>
      </c>
      <c r="S99" s="16">
        <f>IF(OR($A99="",K99="",$C99=""),"",IF(COUNTIFS($A$5:$A$639,$A99,$C$5:$C$639,$C99-1,$D$5:$D$639,$D99,K$5:K$639,"&lt;&gt;")=0,"",IF(OR(SUMIFS(K$5:K$639,$A$5:$A$639,$A99,$C$5:$C$639,$C99-1,$D$5:$D$639,$D99)=0,K99*SUMIFS(K$5:K$639,$A$5:$A$639,$A99,$C$5:$C$639,$C99-1,$D$5:$D$639,$D99)&lt;0),"n.s.",ABS(K99)/ABS(SUMIFS(K$5:K$639,$A$5:$A$639,$A99,$C$5:$C$639,$C99-1,$D$5:$D$639,$D99))-1)))</f>
        <v/>
      </c>
      <c r="T99" s="16">
        <f>IF(OR($A99="",L99="",$C99=""),"",IF(COUNTIFS($A$5:$A$639,$A99,$C$5:$C$639,$C99-1,$D$5:$D$639,$D99,L$5:L$639,"&lt;&gt;")=0,"",IF(OR(SUMIFS(L$5:L$639,$A$5:$A$639,$A99,$C$5:$C$639,$C99-1,$D$5:$D$639,$D99)=0,L99*SUMIFS(L$5:L$639,$A$5:$A$639,$A99,$C$5:$C$639,$C99-1,$D$5:$D$639,$D99)&lt;0),"n.s.",ABS(L99)/ABS(SUMIFS(L$5:L$639,$A$5:$A$639,$A99,$C$5:$C$639,$C99-1,$D$5:$D$639,$D99))-1)))</f>
        <v/>
      </c>
      <c r="U99" s="16">
        <f>IF(OR($A99="",M99="",$C99=""),"",IF(COUNTIFS($A$5:$A$639,$A99,$C$5:$C$639,$C99-1,$D$5:$D$639,$D99,M$5:M$639,"&lt;&gt;")=0,"",IF(OR(SUMIFS(M$5:M$639,$A$5:$A$639,$A99,$C$5:$C$639,$C99-1,$D$5:$D$639,$D99)=0,M99*SUMIFS(M$5:M$639,$A$5:$A$639,$A99,$C$5:$C$639,$C99-1,$D$5:$D$639,$D99)&lt;0),"n.s.",ABS(M99)/ABS(SUMIFS(M$5:M$639,$A$5:$A$639,$A99,$C$5:$C$639,$C99-1,$D$5:$D$639,$D99))-1)))</f>
        <v/>
      </c>
    </row>
    <row r="100">
      <c r="A100" s="9" t="inlineStr">
        <is>
          <t>SOGC</t>
        </is>
      </c>
      <c r="B100" s="10">
        <f>IF(A100="","",IFERROR(VLOOKUP(A100,Titres!$A$2:$B$400,2,FALSE),"Ticker inconnu"))</f>
        <v/>
      </c>
      <c r="C100" s="11" t="n">
        <v>2022</v>
      </c>
      <c r="D100" s="11" t="inlineStr">
        <is>
          <t>T3</t>
        </is>
      </c>
      <c r="E100" s="9" t="n"/>
      <c r="F100" s="12" t="n"/>
      <c r="G100" s="9" t="n"/>
      <c r="H100" s="13" t="n"/>
      <c r="I100" s="13" t="n"/>
      <c r="J100" s="13" t="n"/>
      <c r="K100" s="13" t="n"/>
      <c r="L100" s="13" t="n"/>
      <c r="M100" s="13" t="n"/>
      <c r="N100" s="14">
        <f>IF(A100="","",COUNT(H100:M100)/6)</f>
        <v/>
      </c>
      <c r="O100" s="15">
        <f>IF(COUNT(H100:M100)=0,"",IF(LEN(IF(COUNT(I100,J100)=2,IF(J100&gt;I100+1,"EBE &gt; VA ",""),"")&amp;IF(COUNT(H100,M100)=2,IF(ABS(M100)&gt;ABS(H100),"RN &gt; CA ",""),"")&amp;IF(COUNT(H100,K100)=2,IF(ABS(K100)&gt;ABS(H100),"RE &gt; CA ",""),""))=0,"OK",IF(COUNT(I100,J100)=2,IF(J100&gt;I100+1,"EBE &gt; VA ",""),"")&amp;IF(COUNT(H100,M100)=2,IF(ABS(M100)&gt;ABS(H100),"RN &gt; CA ",""),"")&amp;IF(COUNT(H100,K100)=2,IF(ABS(K100)&gt;ABS(H100),"RE &gt; CA ",""),"")))</f>
        <v/>
      </c>
      <c r="P100" s="16">
        <f>IF(OR($A100="",H100="",$C100=""),"",IF(COUNTIFS($A$5:$A$639,$A100,$C$5:$C$639,$C100-1,$D$5:$D$639,$D100,H$5:H$639,"&lt;&gt;")=0,"",IF(OR(SUMIFS(H$5:H$639,$A$5:$A$639,$A100,$C$5:$C$639,$C100-1,$D$5:$D$639,$D100)=0,H100*SUMIFS(H$5:H$639,$A$5:$A$639,$A100,$C$5:$C$639,$C100-1,$D$5:$D$639,$D100)&lt;0),"n.s.",ABS(H100)/ABS(SUMIFS(H$5:H$639,$A$5:$A$639,$A100,$C$5:$C$639,$C100-1,$D$5:$D$639,$D100))-1)))</f>
        <v/>
      </c>
      <c r="Q100" s="16">
        <f>IF(OR($A100="",I100="",$C100=""),"",IF(COUNTIFS($A$5:$A$639,$A100,$C$5:$C$639,$C100-1,$D$5:$D$639,$D100,I$5:I$639,"&lt;&gt;")=0,"",IF(OR(SUMIFS(I$5:I$639,$A$5:$A$639,$A100,$C$5:$C$639,$C100-1,$D$5:$D$639,$D100)=0,I100*SUMIFS(I$5:I$639,$A$5:$A$639,$A100,$C$5:$C$639,$C100-1,$D$5:$D$639,$D100)&lt;0),"n.s.",ABS(I100)/ABS(SUMIFS(I$5:I$639,$A$5:$A$639,$A100,$C$5:$C$639,$C100-1,$D$5:$D$639,$D100))-1)))</f>
        <v/>
      </c>
      <c r="R100" s="16">
        <f>IF(OR($A100="",J100="",$C100=""),"",IF(COUNTIFS($A$5:$A$639,$A100,$C$5:$C$639,$C100-1,$D$5:$D$639,$D100,J$5:J$639,"&lt;&gt;")=0,"",IF(OR(SUMIFS(J$5:J$639,$A$5:$A$639,$A100,$C$5:$C$639,$C100-1,$D$5:$D$639,$D100)=0,J100*SUMIFS(J$5:J$639,$A$5:$A$639,$A100,$C$5:$C$639,$C100-1,$D$5:$D$639,$D100)&lt;0),"n.s.",ABS(J100)/ABS(SUMIFS(J$5:J$639,$A$5:$A$639,$A100,$C$5:$C$639,$C100-1,$D$5:$D$639,$D100))-1)))</f>
        <v/>
      </c>
      <c r="S100" s="16">
        <f>IF(OR($A100="",K100="",$C100=""),"",IF(COUNTIFS($A$5:$A$639,$A100,$C$5:$C$639,$C100-1,$D$5:$D$639,$D100,K$5:K$639,"&lt;&gt;")=0,"",IF(OR(SUMIFS(K$5:K$639,$A$5:$A$639,$A100,$C$5:$C$639,$C100-1,$D$5:$D$639,$D100)=0,K100*SUMIFS(K$5:K$639,$A$5:$A$639,$A100,$C$5:$C$639,$C100-1,$D$5:$D$639,$D100)&lt;0),"n.s.",ABS(K100)/ABS(SUMIFS(K$5:K$639,$A$5:$A$639,$A100,$C$5:$C$639,$C100-1,$D$5:$D$639,$D100))-1)))</f>
        <v/>
      </c>
      <c r="T100" s="16">
        <f>IF(OR($A100="",L100="",$C100=""),"",IF(COUNTIFS($A$5:$A$639,$A100,$C$5:$C$639,$C100-1,$D$5:$D$639,$D100,L$5:L$639,"&lt;&gt;")=0,"",IF(OR(SUMIFS(L$5:L$639,$A$5:$A$639,$A100,$C$5:$C$639,$C100-1,$D$5:$D$639,$D100)=0,L100*SUMIFS(L$5:L$639,$A$5:$A$639,$A100,$C$5:$C$639,$C100-1,$D$5:$D$639,$D100)&lt;0),"n.s.",ABS(L100)/ABS(SUMIFS(L$5:L$639,$A$5:$A$639,$A100,$C$5:$C$639,$C100-1,$D$5:$D$639,$D100))-1)))</f>
        <v/>
      </c>
      <c r="U100" s="16">
        <f>IF(OR($A100="",M100="",$C100=""),"",IF(COUNTIFS($A$5:$A$639,$A100,$C$5:$C$639,$C100-1,$D$5:$D$639,$D100,M$5:M$639,"&lt;&gt;")=0,"",IF(OR(SUMIFS(M$5:M$639,$A$5:$A$639,$A100,$C$5:$C$639,$C100-1,$D$5:$D$639,$D100)=0,M100*SUMIFS(M$5:M$639,$A$5:$A$639,$A100,$C$5:$C$639,$C100-1,$D$5:$D$639,$D100)&lt;0),"n.s.",ABS(M100)/ABS(SUMIFS(M$5:M$639,$A$5:$A$639,$A100,$C$5:$C$639,$C100-1,$D$5:$D$639,$D100))-1)))</f>
        <v/>
      </c>
    </row>
    <row r="101">
      <c r="A101" s="9" t="inlineStr">
        <is>
          <t>SOGC</t>
        </is>
      </c>
      <c r="B101" s="10">
        <f>IF(A101="","",IFERROR(VLOOKUP(A101,Titres!$A$2:$B$400,2,FALSE),"Ticker inconnu"))</f>
        <v/>
      </c>
      <c r="C101" s="11" t="n">
        <v>2023</v>
      </c>
      <c r="D101" s="11" t="inlineStr">
        <is>
          <t>T1</t>
        </is>
      </c>
      <c r="E101" s="9" t="n"/>
      <c r="F101" s="12" t="n"/>
      <c r="G101" s="9" t="n"/>
      <c r="H101" s="13" t="n"/>
      <c r="I101" s="13" t="n"/>
      <c r="J101" s="13" t="n"/>
      <c r="K101" s="13" t="n"/>
      <c r="L101" s="13" t="n"/>
      <c r="M101" s="13" t="n"/>
      <c r="N101" s="14">
        <f>IF(A101="","",COUNT(H101:M101)/6)</f>
        <v/>
      </c>
      <c r="O101" s="15">
        <f>IF(COUNT(H101:M101)=0,"",IF(LEN(IF(COUNT(I101,J101)=2,IF(J101&gt;I101+1,"EBE &gt; VA ",""),"")&amp;IF(COUNT(H101,M101)=2,IF(ABS(M101)&gt;ABS(H101),"RN &gt; CA ",""),"")&amp;IF(COUNT(H101,K101)=2,IF(ABS(K101)&gt;ABS(H101),"RE &gt; CA ",""),""))=0,"OK",IF(COUNT(I101,J101)=2,IF(J101&gt;I101+1,"EBE &gt; VA ",""),"")&amp;IF(COUNT(H101,M101)=2,IF(ABS(M101)&gt;ABS(H101),"RN &gt; CA ",""),"")&amp;IF(COUNT(H101,K101)=2,IF(ABS(K101)&gt;ABS(H101),"RE &gt; CA ",""),"")))</f>
        <v/>
      </c>
      <c r="P101" s="16">
        <f>IF(OR($A101="",H101="",$C101=""),"",IF(COUNTIFS($A$5:$A$639,$A101,$C$5:$C$639,$C101-1,$D$5:$D$639,$D101,H$5:H$639,"&lt;&gt;")=0,"",IF(OR(SUMIFS(H$5:H$639,$A$5:$A$639,$A101,$C$5:$C$639,$C101-1,$D$5:$D$639,$D101)=0,H101*SUMIFS(H$5:H$639,$A$5:$A$639,$A101,$C$5:$C$639,$C101-1,$D$5:$D$639,$D101)&lt;0),"n.s.",ABS(H101)/ABS(SUMIFS(H$5:H$639,$A$5:$A$639,$A101,$C$5:$C$639,$C101-1,$D$5:$D$639,$D101))-1)))</f>
        <v/>
      </c>
      <c r="Q101" s="16">
        <f>IF(OR($A101="",I101="",$C101=""),"",IF(COUNTIFS($A$5:$A$639,$A101,$C$5:$C$639,$C101-1,$D$5:$D$639,$D101,I$5:I$639,"&lt;&gt;")=0,"",IF(OR(SUMIFS(I$5:I$639,$A$5:$A$639,$A101,$C$5:$C$639,$C101-1,$D$5:$D$639,$D101)=0,I101*SUMIFS(I$5:I$639,$A$5:$A$639,$A101,$C$5:$C$639,$C101-1,$D$5:$D$639,$D101)&lt;0),"n.s.",ABS(I101)/ABS(SUMIFS(I$5:I$639,$A$5:$A$639,$A101,$C$5:$C$639,$C101-1,$D$5:$D$639,$D101))-1)))</f>
        <v/>
      </c>
      <c r="R101" s="16">
        <f>IF(OR($A101="",J101="",$C101=""),"",IF(COUNTIFS($A$5:$A$639,$A101,$C$5:$C$639,$C101-1,$D$5:$D$639,$D101,J$5:J$639,"&lt;&gt;")=0,"",IF(OR(SUMIFS(J$5:J$639,$A$5:$A$639,$A101,$C$5:$C$639,$C101-1,$D$5:$D$639,$D101)=0,J101*SUMIFS(J$5:J$639,$A$5:$A$639,$A101,$C$5:$C$639,$C101-1,$D$5:$D$639,$D101)&lt;0),"n.s.",ABS(J101)/ABS(SUMIFS(J$5:J$639,$A$5:$A$639,$A101,$C$5:$C$639,$C101-1,$D$5:$D$639,$D101))-1)))</f>
        <v/>
      </c>
      <c r="S101" s="16">
        <f>IF(OR($A101="",K101="",$C101=""),"",IF(COUNTIFS($A$5:$A$639,$A101,$C$5:$C$639,$C101-1,$D$5:$D$639,$D101,K$5:K$639,"&lt;&gt;")=0,"",IF(OR(SUMIFS(K$5:K$639,$A$5:$A$639,$A101,$C$5:$C$639,$C101-1,$D$5:$D$639,$D101)=0,K101*SUMIFS(K$5:K$639,$A$5:$A$639,$A101,$C$5:$C$639,$C101-1,$D$5:$D$639,$D101)&lt;0),"n.s.",ABS(K101)/ABS(SUMIFS(K$5:K$639,$A$5:$A$639,$A101,$C$5:$C$639,$C101-1,$D$5:$D$639,$D101))-1)))</f>
        <v/>
      </c>
      <c r="T101" s="16">
        <f>IF(OR($A101="",L101="",$C101=""),"",IF(COUNTIFS($A$5:$A$639,$A101,$C$5:$C$639,$C101-1,$D$5:$D$639,$D101,L$5:L$639,"&lt;&gt;")=0,"",IF(OR(SUMIFS(L$5:L$639,$A$5:$A$639,$A101,$C$5:$C$639,$C101-1,$D$5:$D$639,$D101)=0,L101*SUMIFS(L$5:L$639,$A$5:$A$639,$A101,$C$5:$C$639,$C101-1,$D$5:$D$639,$D101)&lt;0),"n.s.",ABS(L101)/ABS(SUMIFS(L$5:L$639,$A$5:$A$639,$A101,$C$5:$C$639,$C101-1,$D$5:$D$639,$D101))-1)))</f>
        <v/>
      </c>
      <c r="U101" s="16">
        <f>IF(OR($A101="",M101="",$C101=""),"",IF(COUNTIFS($A$5:$A$639,$A101,$C$5:$C$639,$C101-1,$D$5:$D$639,$D101,M$5:M$639,"&lt;&gt;")=0,"",IF(OR(SUMIFS(M$5:M$639,$A$5:$A$639,$A101,$C$5:$C$639,$C101-1,$D$5:$D$639,$D101)=0,M101*SUMIFS(M$5:M$639,$A$5:$A$639,$A101,$C$5:$C$639,$C101-1,$D$5:$D$639,$D101)&lt;0),"n.s.",ABS(M101)/ABS(SUMIFS(M$5:M$639,$A$5:$A$639,$A101,$C$5:$C$639,$C101-1,$D$5:$D$639,$D101))-1)))</f>
        <v/>
      </c>
    </row>
    <row r="102">
      <c r="A102" s="9" t="inlineStr">
        <is>
          <t>SOGC</t>
        </is>
      </c>
      <c r="B102" s="10">
        <f>IF(A102="","",IFERROR(VLOOKUP(A102,Titres!$A$2:$B$400,2,FALSE),"Ticker inconnu"))</f>
        <v/>
      </c>
      <c r="C102" s="11" t="n">
        <v>2023</v>
      </c>
      <c r="D102" s="11" t="inlineStr">
        <is>
          <t>S1</t>
        </is>
      </c>
      <c r="E102" s="9" t="n"/>
      <c r="F102" s="12" t="n"/>
      <c r="G102" s="9" t="n"/>
      <c r="H102" s="13" t="n"/>
      <c r="I102" s="13" t="n"/>
      <c r="J102" s="13" t="n"/>
      <c r="K102" s="13" t="n"/>
      <c r="L102" s="13" t="n"/>
      <c r="M102" s="13" t="n"/>
      <c r="N102" s="14">
        <f>IF(A102="","",COUNT(H102:M102)/6)</f>
        <v/>
      </c>
      <c r="O102" s="15">
        <f>IF(COUNT(H102:M102)=0,"",IF(LEN(IF(COUNT(I102,J102)=2,IF(J102&gt;I102+1,"EBE &gt; VA ",""),"")&amp;IF(COUNT(H102,M102)=2,IF(ABS(M102)&gt;ABS(H102),"RN &gt; CA ",""),"")&amp;IF(COUNT(H102,K102)=2,IF(ABS(K102)&gt;ABS(H102),"RE &gt; CA ",""),""))=0,"OK",IF(COUNT(I102,J102)=2,IF(J102&gt;I102+1,"EBE &gt; VA ",""),"")&amp;IF(COUNT(H102,M102)=2,IF(ABS(M102)&gt;ABS(H102),"RN &gt; CA ",""),"")&amp;IF(COUNT(H102,K102)=2,IF(ABS(K102)&gt;ABS(H102),"RE &gt; CA ",""),"")))</f>
        <v/>
      </c>
      <c r="P102" s="16">
        <f>IF(OR($A102="",H102="",$C102=""),"",IF(COUNTIFS($A$5:$A$639,$A102,$C$5:$C$639,$C102-1,$D$5:$D$639,$D102,H$5:H$639,"&lt;&gt;")=0,"",IF(OR(SUMIFS(H$5:H$639,$A$5:$A$639,$A102,$C$5:$C$639,$C102-1,$D$5:$D$639,$D102)=0,H102*SUMIFS(H$5:H$639,$A$5:$A$639,$A102,$C$5:$C$639,$C102-1,$D$5:$D$639,$D102)&lt;0),"n.s.",ABS(H102)/ABS(SUMIFS(H$5:H$639,$A$5:$A$639,$A102,$C$5:$C$639,$C102-1,$D$5:$D$639,$D102))-1)))</f>
        <v/>
      </c>
      <c r="Q102" s="16">
        <f>IF(OR($A102="",I102="",$C102=""),"",IF(COUNTIFS($A$5:$A$639,$A102,$C$5:$C$639,$C102-1,$D$5:$D$639,$D102,I$5:I$639,"&lt;&gt;")=0,"",IF(OR(SUMIFS(I$5:I$639,$A$5:$A$639,$A102,$C$5:$C$639,$C102-1,$D$5:$D$639,$D102)=0,I102*SUMIFS(I$5:I$639,$A$5:$A$639,$A102,$C$5:$C$639,$C102-1,$D$5:$D$639,$D102)&lt;0),"n.s.",ABS(I102)/ABS(SUMIFS(I$5:I$639,$A$5:$A$639,$A102,$C$5:$C$639,$C102-1,$D$5:$D$639,$D102))-1)))</f>
        <v/>
      </c>
      <c r="R102" s="16">
        <f>IF(OR($A102="",J102="",$C102=""),"",IF(COUNTIFS($A$5:$A$639,$A102,$C$5:$C$639,$C102-1,$D$5:$D$639,$D102,J$5:J$639,"&lt;&gt;")=0,"",IF(OR(SUMIFS(J$5:J$639,$A$5:$A$639,$A102,$C$5:$C$639,$C102-1,$D$5:$D$639,$D102)=0,J102*SUMIFS(J$5:J$639,$A$5:$A$639,$A102,$C$5:$C$639,$C102-1,$D$5:$D$639,$D102)&lt;0),"n.s.",ABS(J102)/ABS(SUMIFS(J$5:J$639,$A$5:$A$639,$A102,$C$5:$C$639,$C102-1,$D$5:$D$639,$D102))-1)))</f>
        <v/>
      </c>
      <c r="S102" s="16">
        <f>IF(OR($A102="",K102="",$C102=""),"",IF(COUNTIFS($A$5:$A$639,$A102,$C$5:$C$639,$C102-1,$D$5:$D$639,$D102,K$5:K$639,"&lt;&gt;")=0,"",IF(OR(SUMIFS(K$5:K$639,$A$5:$A$639,$A102,$C$5:$C$639,$C102-1,$D$5:$D$639,$D102)=0,K102*SUMIFS(K$5:K$639,$A$5:$A$639,$A102,$C$5:$C$639,$C102-1,$D$5:$D$639,$D102)&lt;0),"n.s.",ABS(K102)/ABS(SUMIFS(K$5:K$639,$A$5:$A$639,$A102,$C$5:$C$639,$C102-1,$D$5:$D$639,$D102))-1)))</f>
        <v/>
      </c>
      <c r="T102" s="16">
        <f>IF(OR($A102="",L102="",$C102=""),"",IF(COUNTIFS($A$5:$A$639,$A102,$C$5:$C$639,$C102-1,$D$5:$D$639,$D102,L$5:L$639,"&lt;&gt;")=0,"",IF(OR(SUMIFS(L$5:L$639,$A$5:$A$639,$A102,$C$5:$C$639,$C102-1,$D$5:$D$639,$D102)=0,L102*SUMIFS(L$5:L$639,$A$5:$A$639,$A102,$C$5:$C$639,$C102-1,$D$5:$D$639,$D102)&lt;0),"n.s.",ABS(L102)/ABS(SUMIFS(L$5:L$639,$A$5:$A$639,$A102,$C$5:$C$639,$C102-1,$D$5:$D$639,$D102))-1)))</f>
        <v/>
      </c>
      <c r="U102" s="16">
        <f>IF(OR($A102="",M102="",$C102=""),"",IF(COUNTIFS($A$5:$A$639,$A102,$C$5:$C$639,$C102-1,$D$5:$D$639,$D102,M$5:M$639,"&lt;&gt;")=0,"",IF(OR(SUMIFS(M$5:M$639,$A$5:$A$639,$A102,$C$5:$C$639,$C102-1,$D$5:$D$639,$D102)=0,M102*SUMIFS(M$5:M$639,$A$5:$A$639,$A102,$C$5:$C$639,$C102-1,$D$5:$D$639,$D102)&lt;0),"n.s.",ABS(M102)/ABS(SUMIFS(M$5:M$639,$A$5:$A$639,$A102,$C$5:$C$639,$C102-1,$D$5:$D$639,$D102))-1)))</f>
        <v/>
      </c>
    </row>
    <row r="103">
      <c r="A103" s="9" t="inlineStr">
        <is>
          <t>SOGC</t>
        </is>
      </c>
      <c r="B103" s="10">
        <f>IF(A103="","",IFERROR(VLOOKUP(A103,Titres!$A$2:$B$400,2,FALSE),"Ticker inconnu"))</f>
        <v/>
      </c>
      <c r="C103" s="11" t="n">
        <v>2023</v>
      </c>
      <c r="D103" s="11" t="inlineStr">
        <is>
          <t>T3</t>
        </is>
      </c>
      <c r="E103" s="9" t="n"/>
      <c r="F103" s="12" t="n"/>
      <c r="G103" s="9" t="n"/>
      <c r="H103" s="13" t="n"/>
      <c r="I103" s="13" t="n"/>
      <c r="J103" s="13" t="n"/>
      <c r="K103" s="13" t="n"/>
      <c r="L103" s="13" t="n"/>
      <c r="M103" s="13" t="n"/>
      <c r="N103" s="14">
        <f>IF(A103="","",COUNT(H103:M103)/6)</f>
        <v/>
      </c>
      <c r="O103" s="15">
        <f>IF(COUNT(H103:M103)=0,"",IF(LEN(IF(COUNT(I103,J103)=2,IF(J103&gt;I103+1,"EBE &gt; VA ",""),"")&amp;IF(COUNT(H103,M103)=2,IF(ABS(M103)&gt;ABS(H103),"RN &gt; CA ",""),"")&amp;IF(COUNT(H103,K103)=2,IF(ABS(K103)&gt;ABS(H103),"RE &gt; CA ",""),""))=0,"OK",IF(COUNT(I103,J103)=2,IF(J103&gt;I103+1,"EBE &gt; VA ",""),"")&amp;IF(COUNT(H103,M103)=2,IF(ABS(M103)&gt;ABS(H103),"RN &gt; CA ",""),"")&amp;IF(COUNT(H103,K103)=2,IF(ABS(K103)&gt;ABS(H103),"RE &gt; CA ",""),"")))</f>
        <v/>
      </c>
      <c r="P103" s="16">
        <f>IF(OR($A103="",H103="",$C103=""),"",IF(COUNTIFS($A$5:$A$639,$A103,$C$5:$C$639,$C103-1,$D$5:$D$639,$D103,H$5:H$639,"&lt;&gt;")=0,"",IF(OR(SUMIFS(H$5:H$639,$A$5:$A$639,$A103,$C$5:$C$639,$C103-1,$D$5:$D$639,$D103)=0,H103*SUMIFS(H$5:H$639,$A$5:$A$639,$A103,$C$5:$C$639,$C103-1,$D$5:$D$639,$D103)&lt;0),"n.s.",ABS(H103)/ABS(SUMIFS(H$5:H$639,$A$5:$A$639,$A103,$C$5:$C$639,$C103-1,$D$5:$D$639,$D103))-1)))</f>
        <v/>
      </c>
      <c r="Q103" s="16">
        <f>IF(OR($A103="",I103="",$C103=""),"",IF(COUNTIFS($A$5:$A$639,$A103,$C$5:$C$639,$C103-1,$D$5:$D$639,$D103,I$5:I$639,"&lt;&gt;")=0,"",IF(OR(SUMIFS(I$5:I$639,$A$5:$A$639,$A103,$C$5:$C$639,$C103-1,$D$5:$D$639,$D103)=0,I103*SUMIFS(I$5:I$639,$A$5:$A$639,$A103,$C$5:$C$639,$C103-1,$D$5:$D$639,$D103)&lt;0),"n.s.",ABS(I103)/ABS(SUMIFS(I$5:I$639,$A$5:$A$639,$A103,$C$5:$C$639,$C103-1,$D$5:$D$639,$D103))-1)))</f>
        <v/>
      </c>
      <c r="R103" s="16">
        <f>IF(OR($A103="",J103="",$C103=""),"",IF(COUNTIFS($A$5:$A$639,$A103,$C$5:$C$639,$C103-1,$D$5:$D$639,$D103,J$5:J$639,"&lt;&gt;")=0,"",IF(OR(SUMIFS(J$5:J$639,$A$5:$A$639,$A103,$C$5:$C$639,$C103-1,$D$5:$D$639,$D103)=0,J103*SUMIFS(J$5:J$639,$A$5:$A$639,$A103,$C$5:$C$639,$C103-1,$D$5:$D$639,$D103)&lt;0),"n.s.",ABS(J103)/ABS(SUMIFS(J$5:J$639,$A$5:$A$639,$A103,$C$5:$C$639,$C103-1,$D$5:$D$639,$D103))-1)))</f>
        <v/>
      </c>
      <c r="S103" s="16">
        <f>IF(OR($A103="",K103="",$C103=""),"",IF(COUNTIFS($A$5:$A$639,$A103,$C$5:$C$639,$C103-1,$D$5:$D$639,$D103,K$5:K$639,"&lt;&gt;")=0,"",IF(OR(SUMIFS(K$5:K$639,$A$5:$A$639,$A103,$C$5:$C$639,$C103-1,$D$5:$D$639,$D103)=0,K103*SUMIFS(K$5:K$639,$A$5:$A$639,$A103,$C$5:$C$639,$C103-1,$D$5:$D$639,$D103)&lt;0),"n.s.",ABS(K103)/ABS(SUMIFS(K$5:K$639,$A$5:$A$639,$A103,$C$5:$C$639,$C103-1,$D$5:$D$639,$D103))-1)))</f>
        <v/>
      </c>
      <c r="T103" s="16">
        <f>IF(OR($A103="",L103="",$C103=""),"",IF(COUNTIFS($A$5:$A$639,$A103,$C$5:$C$639,$C103-1,$D$5:$D$639,$D103,L$5:L$639,"&lt;&gt;")=0,"",IF(OR(SUMIFS(L$5:L$639,$A$5:$A$639,$A103,$C$5:$C$639,$C103-1,$D$5:$D$639,$D103)=0,L103*SUMIFS(L$5:L$639,$A$5:$A$639,$A103,$C$5:$C$639,$C103-1,$D$5:$D$639,$D103)&lt;0),"n.s.",ABS(L103)/ABS(SUMIFS(L$5:L$639,$A$5:$A$639,$A103,$C$5:$C$639,$C103-1,$D$5:$D$639,$D103))-1)))</f>
        <v/>
      </c>
      <c r="U103" s="16">
        <f>IF(OR($A103="",M103="",$C103=""),"",IF(COUNTIFS($A$5:$A$639,$A103,$C$5:$C$639,$C103-1,$D$5:$D$639,$D103,M$5:M$639,"&lt;&gt;")=0,"",IF(OR(SUMIFS(M$5:M$639,$A$5:$A$639,$A103,$C$5:$C$639,$C103-1,$D$5:$D$639,$D103)=0,M103*SUMIFS(M$5:M$639,$A$5:$A$639,$A103,$C$5:$C$639,$C103-1,$D$5:$D$639,$D103)&lt;0),"n.s.",ABS(M103)/ABS(SUMIFS(M$5:M$639,$A$5:$A$639,$A103,$C$5:$C$639,$C103-1,$D$5:$D$639,$D103))-1)))</f>
        <v/>
      </c>
    </row>
    <row r="104">
      <c r="A104" s="9" t="inlineStr">
        <is>
          <t>SOGC</t>
        </is>
      </c>
      <c r="B104" s="10">
        <f>IF(A104="","",IFERROR(VLOOKUP(A104,Titres!$A$2:$B$400,2,FALSE),"Ticker inconnu"))</f>
        <v/>
      </c>
      <c r="C104" s="11" t="n">
        <v>2024</v>
      </c>
      <c r="D104" s="11" t="inlineStr">
        <is>
          <t>T1</t>
        </is>
      </c>
      <c r="E104" s="9" t="n"/>
      <c r="F104" s="12" t="n"/>
      <c r="G104" s="9" t="n"/>
      <c r="H104" s="13" t="n"/>
      <c r="I104" s="13" t="n"/>
      <c r="J104" s="13" t="n"/>
      <c r="K104" s="13" t="n"/>
      <c r="L104" s="13" t="n"/>
      <c r="M104" s="13" t="n"/>
      <c r="N104" s="14">
        <f>IF(A104="","",COUNT(H104:M104)/6)</f>
        <v/>
      </c>
      <c r="O104" s="15">
        <f>IF(COUNT(H104:M104)=0,"",IF(LEN(IF(COUNT(I104,J104)=2,IF(J104&gt;I104+1,"EBE &gt; VA ",""),"")&amp;IF(COUNT(H104,M104)=2,IF(ABS(M104)&gt;ABS(H104),"RN &gt; CA ",""),"")&amp;IF(COUNT(H104,K104)=2,IF(ABS(K104)&gt;ABS(H104),"RE &gt; CA ",""),""))=0,"OK",IF(COUNT(I104,J104)=2,IF(J104&gt;I104+1,"EBE &gt; VA ",""),"")&amp;IF(COUNT(H104,M104)=2,IF(ABS(M104)&gt;ABS(H104),"RN &gt; CA ",""),"")&amp;IF(COUNT(H104,K104)=2,IF(ABS(K104)&gt;ABS(H104),"RE &gt; CA ",""),"")))</f>
        <v/>
      </c>
      <c r="P104" s="16">
        <f>IF(OR($A104="",H104="",$C104=""),"",IF(COUNTIFS($A$5:$A$639,$A104,$C$5:$C$639,$C104-1,$D$5:$D$639,$D104,H$5:H$639,"&lt;&gt;")=0,"",IF(OR(SUMIFS(H$5:H$639,$A$5:$A$639,$A104,$C$5:$C$639,$C104-1,$D$5:$D$639,$D104)=0,H104*SUMIFS(H$5:H$639,$A$5:$A$639,$A104,$C$5:$C$639,$C104-1,$D$5:$D$639,$D104)&lt;0),"n.s.",ABS(H104)/ABS(SUMIFS(H$5:H$639,$A$5:$A$639,$A104,$C$5:$C$639,$C104-1,$D$5:$D$639,$D104))-1)))</f>
        <v/>
      </c>
      <c r="Q104" s="16">
        <f>IF(OR($A104="",I104="",$C104=""),"",IF(COUNTIFS($A$5:$A$639,$A104,$C$5:$C$639,$C104-1,$D$5:$D$639,$D104,I$5:I$639,"&lt;&gt;")=0,"",IF(OR(SUMIFS(I$5:I$639,$A$5:$A$639,$A104,$C$5:$C$639,$C104-1,$D$5:$D$639,$D104)=0,I104*SUMIFS(I$5:I$639,$A$5:$A$639,$A104,$C$5:$C$639,$C104-1,$D$5:$D$639,$D104)&lt;0),"n.s.",ABS(I104)/ABS(SUMIFS(I$5:I$639,$A$5:$A$639,$A104,$C$5:$C$639,$C104-1,$D$5:$D$639,$D104))-1)))</f>
        <v/>
      </c>
      <c r="R104" s="16">
        <f>IF(OR($A104="",J104="",$C104=""),"",IF(COUNTIFS($A$5:$A$639,$A104,$C$5:$C$639,$C104-1,$D$5:$D$639,$D104,J$5:J$639,"&lt;&gt;")=0,"",IF(OR(SUMIFS(J$5:J$639,$A$5:$A$639,$A104,$C$5:$C$639,$C104-1,$D$5:$D$639,$D104)=0,J104*SUMIFS(J$5:J$639,$A$5:$A$639,$A104,$C$5:$C$639,$C104-1,$D$5:$D$639,$D104)&lt;0),"n.s.",ABS(J104)/ABS(SUMIFS(J$5:J$639,$A$5:$A$639,$A104,$C$5:$C$639,$C104-1,$D$5:$D$639,$D104))-1)))</f>
        <v/>
      </c>
      <c r="S104" s="16">
        <f>IF(OR($A104="",K104="",$C104=""),"",IF(COUNTIFS($A$5:$A$639,$A104,$C$5:$C$639,$C104-1,$D$5:$D$639,$D104,K$5:K$639,"&lt;&gt;")=0,"",IF(OR(SUMIFS(K$5:K$639,$A$5:$A$639,$A104,$C$5:$C$639,$C104-1,$D$5:$D$639,$D104)=0,K104*SUMIFS(K$5:K$639,$A$5:$A$639,$A104,$C$5:$C$639,$C104-1,$D$5:$D$639,$D104)&lt;0),"n.s.",ABS(K104)/ABS(SUMIFS(K$5:K$639,$A$5:$A$639,$A104,$C$5:$C$639,$C104-1,$D$5:$D$639,$D104))-1)))</f>
        <v/>
      </c>
      <c r="T104" s="16">
        <f>IF(OR($A104="",L104="",$C104=""),"",IF(COUNTIFS($A$5:$A$639,$A104,$C$5:$C$639,$C104-1,$D$5:$D$639,$D104,L$5:L$639,"&lt;&gt;")=0,"",IF(OR(SUMIFS(L$5:L$639,$A$5:$A$639,$A104,$C$5:$C$639,$C104-1,$D$5:$D$639,$D104)=0,L104*SUMIFS(L$5:L$639,$A$5:$A$639,$A104,$C$5:$C$639,$C104-1,$D$5:$D$639,$D104)&lt;0),"n.s.",ABS(L104)/ABS(SUMIFS(L$5:L$639,$A$5:$A$639,$A104,$C$5:$C$639,$C104-1,$D$5:$D$639,$D104))-1)))</f>
        <v/>
      </c>
      <c r="U104" s="16">
        <f>IF(OR($A104="",M104="",$C104=""),"",IF(COUNTIFS($A$5:$A$639,$A104,$C$5:$C$639,$C104-1,$D$5:$D$639,$D104,M$5:M$639,"&lt;&gt;")=0,"",IF(OR(SUMIFS(M$5:M$639,$A$5:$A$639,$A104,$C$5:$C$639,$C104-1,$D$5:$D$639,$D104)=0,M104*SUMIFS(M$5:M$639,$A$5:$A$639,$A104,$C$5:$C$639,$C104-1,$D$5:$D$639,$D104)&lt;0),"n.s.",ABS(M104)/ABS(SUMIFS(M$5:M$639,$A$5:$A$639,$A104,$C$5:$C$639,$C104-1,$D$5:$D$639,$D104))-1)))</f>
        <v/>
      </c>
    </row>
    <row r="105">
      <c r="A105" s="9" t="inlineStr">
        <is>
          <t>SOGC</t>
        </is>
      </c>
      <c r="B105" s="10">
        <f>IF(A105="","",IFERROR(VLOOKUP(A105,Titres!$A$2:$B$400,2,FALSE),"Ticker inconnu"))</f>
        <v/>
      </c>
      <c r="C105" s="11" t="n">
        <v>2024</v>
      </c>
      <c r="D105" s="11" t="inlineStr">
        <is>
          <t>S1</t>
        </is>
      </c>
      <c r="E105" s="9" t="n"/>
      <c r="F105" s="12" t="n"/>
      <c r="G105" s="9" t="n"/>
      <c r="H105" s="13" t="n"/>
      <c r="I105" s="13" t="n"/>
      <c r="J105" s="13" t="n"/>
      <c r="K105" s="13" t="n"/>
      <c r="L105" s="13" t="n"/>
      <c r="M105" s="13" t="n"/>
      <c r="N105" s="14">
        <f>IF(A105="","",COUNT(H105:M105)/6)</f>
        <v/>
      </c>
      <c r="O105" s="15">
        <f>IF(COUNT(H105:M105)=0,"",IF(LEN(IF(COUNT(I105,J105)=2,IF(J105&gt;I105+1,"EBE &gt; VA ",""),"")&amp;IF(COUNT(H105,M105)=2,IF(ABS(M105)&gt;ABS(H105),"RN &gt; CA ",""),"")&amp;IF(COUNT(H105,K105)=2,IF(ABS(K105)&gt;ABS(H105),"RE &gt; CA ",""),""))=0,"OK",IF(COUNT(I105,J105)=2,IF(J105&gt;I105+1,"EBE &gt; VA ",""),"")&amp;IF(COUNT(H105,M105)=2,IF(ABS(M105)&gt;ABS(H105),"RN &gt; CA ",""),"")&amp;IF(COUNT(H105,K105)=2,IF(ABS(K105)&gt;ABS(H105),"RE &gt; CA ",""),"")))</f>
        <v/>
      </c>
      <c r="P105" s="16">
        <f>IF(OR($A105="",H105="",$C105=""),"",IF(COUNTIFS($A$5:$A$639,$A105,$C$5:$C$639,$C105-1,$D$5:$D$639,$D105,H$5:H$639,"&lt;&gt;")=0,"",IF(OR(SUMIFS(H$5:H$639,$A$5:$A$639,$A105,$C$5:$C$639,$C105-1,$D$5:$D$639,$D105)=0,H105*SUMIFS(H$5:H$639,$A$5:$A$639,$A105,$C$5:$C$639,$C105-1,$D$5:$D$639,$D105)&lt;0),"n.s.",ABS(H105)/ABS(SUMIFS(H$5:H$639,$A$5:$A$639,$A105,$C$5:$C$639,$C105-1,$D$5:$D$639,$D105))-1)))</f>
        <v/>
      </c>
      <c r="Q105" s="16">
        <f>IF(OR($A105="",I105="",$C105=""),"",IF(COUNTIFS($A$5:$A$639,$A105,$C$5:$C$639,$C105-1,$D$5:$D$639,$D105,I$5:I$639,"&lt;&gt;")=0,"",IF(OR(SUMIFS(I$5:I$639,$A$5:$A$639,$A105,$C$5:$C$639,$C105-1,$D$5:$D$639,$D105)=0,I105*SUMIFS(I$5:I$639,$A$5:$A$639,$A105,$C$5:$C$639,$C105-1,$D$5:$D$639,$D105)&lt;0),"n.s.",ABS(I105)/ABS(SUMIFS(I$5:I$639,$A$5:$A$639,$A105,$C$5:$C$639,$C105-1,$D$5:$D$639,$D105))-1)))</f>
        <v/>
      </c>
      <c r="R105" s="16">
        <f>IF(OR($A105="",J105="",$C105=""),"",IF(COUNTIFS($A$5:$A$639,$A105,$C$5:$C$639,$C105-1,$D$5:$D$639,$D105,J$5:J$639,"&lt;&gt;")=0,"",IF(OR(SUMIFS(J$5:J$639,$A$5:$A$639,$A105,$C$5:$C$639,$C105-1,$D$5:$D$639,$D105)=0,J105*SUMIFS(J$5:J$639,$A$5:$A$639,$A105,$C$5:$C$639,$C105-1,$D$5:$D$639,$D105)&lt;0),"n.s.",ABS(J105)/ABS(SUMIFS(J$5:J$639,$A$5:$A$639,$A105,$C$5:$C$639,$C105-1,$D$5:$D$639,$D105))-1)))</f>
        <v/>
      </c>
      <c r="S105" s="16">
        <f>IF(OR($A105="",K105="",$C105=""),"",IF(COUNTIFS($A$5:$A$639,$A105,$C$5:$C$639,$C105-1,$D$5:$D$639,$D105,K$5:K$639,"&lt;&gt;")=0,"",IF(OR(SUMIFS(K$5:K$639,$A$5:$A$639,$A105,$C$5:$C$639,$C105-1,$D$5:$D$639,$D105)=0,K105*SUMIFS(K$5:K$639,$A$5:$A$639,$A105,$C$5:$C$639,$C105-1,$D$5:$D$639,$D105)&lt;0),"n.s.",ABS(K105)/ABS(SUMIFS(K$5:K$639,$A$5:$A$639,$A105,$C$5:$C$639,$C105-1,$D$5:$D$639,$D105))-1)))</f>
        <v/>
      </c>
      <c r="T105" s="16">
        <f>IF(OR($A105="",L105="",$C105=""),"",IF(COUNTIFS($A$5:$A$639,$A105,$C$5:$C$639,$C105-1,$D$5:$D$639,$D105,L$5:L$639,"&lt;&gt;")=0,"",IF(OR(SUMIFS(L$5:L$639,$A$5:$A$639,$A105,$C$5:$C$639,$C105-1,$D$5:$D$639,$D105)=0,L105*SUMIFS(L$5:L$639,$A$5:$A$639,$A105,$C$5:$C$639,$C105-1,$D$5:$D$639,$D105)&lt;0),"n.s.",ABS(L105)/ABS(SUMIFS(L$5:L$639,$A$5:$A$639,$A105,$C$5:$C$639,$C105-1,$D$5:$D$639,$D105))-1)))</f>
        <v/>
      </c>
      <c r="U105" s="16">
        <f>IF(OR($A105="",M105="",$C105=""),"",IF(COUNTIFS($A$5:$A$639,$A105,$C$5:$C$639,$C105-1,$D$5:$D$639,$D105,M$5:M$639,"&lt;&gt;")=0,"",IF(OR(SUMIFS(M$5:M$639,$A$5:$A$639,$A105,$C$5:$C$639,$C105-1,$D$5:$D$639,$D105)=0,M105*SUMIFS(M$5:M$639,$A$5:$A$639,$A105,$C$5:$C$639,$C105-1,$D$5:$D$639,$D105)&lt;0),"n.s.",ABS(M105)/ABS(SUMIFS(M$5:M$639,$A$5:$A$639,$A105,$C$5:$C$639,$C105-1,$D$5:$D$639,$D105))-1)))</f>
        <v/>
      </c>
    </row>
    <row r="106">
      <c r="A106" s="9" t="inlineStr">
        <is>
          <t>SOGC</t>
        </is>
      </c>
      <c r="B106" s="10">
        <f>IF(A106="","",IFERROR(VLOOKUP(A106,Titres!$A$2:$B$400,2,FALSE),"Ticker inconnu"))</f>
        <v/>
      </c>
      <c r="C106" s="11" t="n">
        <v>2024</v>
      </c>
      <c r="D106" s="11" t="inlineStr">
        <is>
          <t>T3</t>
        </is>
      </c>
      <c r="E106" s="9" t="n"/>
      <c r="F106" s="12" t="n"/>
      <c r="G106" s="9" t="n"/>
      <c r="H106" s="13" t="n"/>
      <c r="I106" s="13" t="n"/>
      <c r="J106" s="13" t="n"/>
      <c r="K106" s="13" t="n"/>
      <c r="L106" s="13" t="n"/>
      <c r="M106" s="13" t="n"/>
      <c r="N106" s="14">
        <f>IF(A106="","",COUNT(H106:M106)/6)</f>
        <v/>
      </c>
      <c r="O106" s="15">
        <f>IF(COUNT(H106:M106)=0,"",IF(LEN(IF(COUNT(I106,J106)=2,IF(J106&gt;I106+1,"EBE &gt; VA ",""),"")&amp;IF(COUNT(H106,M106)=2,IF(ABS(M106)&gt;ABS(H106),"RN &gt; CA ",""),"")&amp;IF(COUNT(H106,K106)=2,IF(ABS(K106)&gt;ABS(H106),"RE &gt; CA ",""),""))=0,"OK",IF(COUNT(I106,J106)=2,IF(J106&gt;I106+1,"EBE &gt; VA ",""),"")&amp;IF(COUNT(H106,M106)=2,IF(ABS(M106)&gt;ABS(H106),"RN &gt; CA ",""),"")&amp;IF(COUNT(H106,K106)=2,IF(ABS(K106)&gt;ABS(H106),"RE &gt; CA ",""),"")))</f>
        <v/>
      </c>
      <c r="P106" s="16">
        <f>IF(OR($A106="",H106="",$C106=""),"",IF(COUNTIFS($A$5:$A$639,$A106,$C$5:$C$639,$C106-1,$D$5:$D$639,$D106,H$5:H$639,"&lt;&gt;")=0,"",IF(OR(SUMIFS(H$5:H$639,$A$5:$A$639,$A106,$C$5:$C$639,$C106-1,$D$5:$D$639,$D106)=0,H106*SUMIFS(H$5:H$639,$A$5:$A$639,$A106,$C$5:$C$639,$C106-1,$D$5:$D$639,$D106)&lt;0),"n.s.",ABS(H106)/ABS(SUMIFS(H$5:H$639,$A$5:$A$639,$A106,$C$5:$C$639,$C106-1,$D$5:$D$639,$D106))-1)))</f>
        <v/>
      </c>
      <c r="Q106" s="16">
        <f>IF(OR($A106="",I106="",$C106=""),"",IF(COUNTIFS($A$5:$A$639,$A106,$C$5:$C$639,$C106-1,$D$5:$D$639,$D106,I$5:I$639,"&lt;&gt;")=0,"",IF(OR(SUMIFS(I$5:I$639,$A$5:$A$639,$A106,$C$5:$C$639,$C106-1,$D$5:$D$639,$D106)=0,I106*SUMIFS(I$5:I$639,$A$5:$A$639,$A106,$C$5:$C$639,$C106-1,$D$5:$D$639,$D106)&lt;0),"n.s.",ABS(I106)/ABS(SUMIFS(I$5:I$639,$A$5:$A$639,$A106,$C$5:$C$639,$C106-1,$D$5:$D$639,$D106))-1)))</f>
        <v/>
      </c>
      <c r="R106" s="16">
        <f>IF(OR($A106="",J106="",$C106=""),"",IF(COUNTIFS($A$5:$A$639,$A106,$C$5:$C$639,$C106-1,$D$5:$D$639,$D106,J$5:J$639,"&lt;&gt;")=0,"",IF(OR(SUMIFS(J$5:J$639,$A$5:$A$639,$A106,$C$5:$C$639,$C106-1,$D$5:$D$639,$D106)=0,J106*SUMIFS(J$5:J$639,$A$5:$A$639,$A106,$C$5:$C$639,$C106-1,$D$5:$D$639,$D106)&lt;0),"n.s.",ABS(J106)/ABS(SUMIFS(J$5:J$639,$A$5:$A$639,$A106,$C$5:$C$639,$C106-1,$D$5:$D$639,$D106))-1)))</f>
        <v/>
      </c>
      <c r="S106" s="16">
        <f>IF(OR($A106="",K106="",$C106=""),"",IF(COUNTIFS($A$5:$A$639,$A106,$C$5:$C$639,$C106-1,$D$5:$D$639,$D106,K$5:K$639,"&lt;&gt;")=0,"",IF(OR(SUMIFS(K$5:K$639,$A$5:$A$639,$A106,$C$5:$C$639,$C106-1,$D$5:$D$639,$D106)=0,K106*SUMIFS(K$5:K$639,$A$5:$A$639,$A106,$C$5:$C$639,$C106-1,$D$5:$D$639,$D106)&lt;0),"n.s.",ABS(K106)/ABS(SUMIFS(K$5:K$639,$A$5:$A$639,$A106,$C$5:$C$639,$C106-1,$D$5:$D$639,$D106))-1)))</f>
        <v/>
      </c>
      <c r="T106" s="16">
        <f>IF(OR($A106="",L106="",$C106=""),"",IF(COUNTIFS($A$5:$A$639,$A106,$C$5:$C$639,$C106-1,$D$5:$D$639,$D106,L$5:L$639,"&lt;&gt;")=0,"",IF(OR(SUMIFS(L$5:L$639,$A$5:$A$639,$A106,$C$5:$C$639,$C106-1,$D$5:$D$639,$D106)=0,L106*SUMIFS(L$5:L$639,$A$5:$A$639,$A106,$C$5:$C$639,$C106-1,$D$5:$D$639,$D106)&lt;0),"n.s.",ABS(L106)/ABS(SUMIFS(L$5:L$639,$A$5:$A$639,$A106,$C$5:$C$639,$C106-1,$D$5:$D$639,$D106))-1)))</f>
        <v/>
      </c>
      <c r="U106" s="16">
        <f>IF(OR($A106="",M106="",$C106=""),"",IF(COUNTIFS($A$5:$A$639,$A106,$C$5:$C$639,$C106-1,$D$5:$D$639,$D106,M$5:M$639,"&lt;&gt;")=0,"",IF(OR(SUMIFS(M$5:M$639,$A$5:$A$639,$A106,$C$5:$C$639,$C106-1,$D$5:$D$639,$D106)=0,M106*SUMIFS(M$5:M$639,$A$5:$A$639,$A106,$C$5:$C$639,$C106-1,$D$5:$D$639,$D106)&lt;0),"n.s.",ABS(M106)/ABS(SUMIFS(M$5:M$639,$A$5:$A$639,$A106,$C$5:$C$639,$C106-1,$D$5:$D$639,$D106))-1)))</f>
        <v/>
      </c>
    </row>
    <row r="107">
      <c r="A107" s="9" t="inlineStr">
        <is>
          <t>SOGC</t>
        </is>
      </c>
      <c r="B107" s="10">
        <f>IF(A107="","",IFERROR(VLOOKUP(A107,Titres!$A$2:$B$400,2,FALSE),"Ticker inconnu"))</f>
        <v/>
      </c>
      <c r="C107" s="11" t="n">
        <v>2025</v>
      </c>
      <c r="D107" s="11" t="inlineStr">
        <is>
          <t>T1</t>
        </is>
      </c>
      <c r="E107" s="9" t="n"/>
      <c r="F107" s="12" t="n"/>
      <c r="G107" s="9" t="n"/>
      <c r="H107" s="13" t="n"/>
      <c r="I107" s="13" t="n"/>
      <c r="J107" s="13" t="n"/>
      <c r="K107" s="13" t="n"/>
      <c r="L107" s="13" t="n"/>
      <c r="M107" s="13" t="n"/>
      <c r="N107" s="14">
        <f>IF(A107="","",COUNT(H107:M107)/6)</f>
        <v/>
      </c>
      <c r="O107" s="15">
        <f>IF(COUNT(H107:M107)=0,"",IF(LEN(IF(COUNT(I107,J107)=2,IF(J107&gt;I107+1,"EBE &gt; VA ",""),"")&amp;IF(COUNT(H107,M107)=2,IF(ABS(M107)&gt;ABS(H107),"RN &gt; CA ",""),"")&amp;IF(COUNT(H107,K107)=2,IF(ABS(K107)&gt;ABS(H107),"RE &gt; CA ",""),""))=0,"OK",IF(COUNT(I107,J107)=2,IF(J107&gt;I107+1,"EBE &gt; VA ",""),"")&amp;IF(COUNT(H107,M107)=2,IF(ABS(M107)&gt;ABS(H107),"RN &gt; CA ",""),"")&amp;IF(COUNT(H107,K107)=2,IF(ABS(K107)&gt;ABS(H107),"RE &gt; CA ",""),"")))</f>
        <v/>
      </c>
      <c r="P107" s="16">
        <f>IF(OR($A107="",H107="",$C107=""),"",IF(COUNTIFS($A$5:$A$639,$A107,$C$5:$C$639,$C107-1,$D$5:$D$639,$D107,H$5:H$639,"&lt;&gt;")=0,"",IF(OR(SUMIFS(H$5:H$639,$A$5:$A$639,$A107,$C$5:$C$639,$C107-1,$D$5:$D$639,$D107)=0,H107*SUMIFS(H$5:H$639,$A$5:$A$639,$A107,$C$5:$C$639,$C107-1,$D$5:$D$639,$D107)&lt;0),"n.s.",ABS(H107)/ABS(SUMIFS(H$5:H$639,$A$5:$A$639,$A107,$C$5:$C$639,$C107-1,$D$5:$D$639,$D107))-1)))</f>
        <v/>
      </c>
      <c r="Q107" s="16">
        <f>IF(OR($A107="",I107="",$C107=""),"",IF(COUNTIFS($A$5:$A$639,$A107,$C$5:$C$639,$C107-1,$D$5:$D$639,$D107,I$5:I$639,"&lt;&gt;")=0,"",IF(OR(SUMIFS(I$5:I$639,$A$5:$A$639,$A107,$C$5:$C$639,$C107-1,$D$5:$D$639,$D107)=0,I107*SUMIFS(I$5:I$639,$A$5:$A$639,$A107,$C$5:$C$639,$C107-1,$D$5:$D$639,$D107)&lt;0),"n.s.",ABS(I107)/ABS(SUMIFS(I$5:I$639,$A$5:$A$639,$A107,$C$5:$C$639,$C107-1,$D$5:$D$639,$D107))-1)))</f>
        <v/>
      </c>
      <c r="R107" s="16">
        <f>IF(OR($A107="",J107="",$C107=""),"",IF(COUNTIFS($A$5:$A$639,$A107,$C$5:$C$639,$C107-1,$D$5:$D$639,$D107,J$5:J$639,"&lt;&gt;")=0,"",IF(OR(SUMIFS(J$5:J$639,$A$5:$A$639,$A107,$C$5:$C$639,$C107-1,$D$5:$D$639,$D107)=0,J107*SUMIFS(J$5:J$639,$A$5:$A$639,$A107,$C$5:$C$639,$C107-1,$D$5:$D$639,$D107)&lt;0),"n.s.",ABS(J107)/ABS(SUMIFS(J$5:J$639,$A$5:$A$639,$A107,$C$5:$C$639,$C107-1,$D$5:$D$639,$D107))-1)))</f>
        <v/>
      </c>
      <c r="S107" s="16">
        <f>IF(OR($A107="",K107="",$C107=""),"",IF(COUNTIFS($A$5:$A$639,$A107,$C$5:$C$639,$C107-1,$D$5:$D$639,$D107,K$5:K$639,"&lt;&gt;")=0,"",IF(OR(SUMIFS(K$5:K$639,$A$5:$A$639,$A107,$C$5:$C$639,$C107-1,$D$5:$D$639,$D107)=0,K107*SUMIFS(K$5:K$639,$A$5:$A$639,$A107,$C$5:$C$639,$C107-1,$D$5:$D$639,$D107)&lt;0),"n.s.",ABS(K107)/ABS(SUMIFS(K$5:K$639,$A$5:$A$639,$A107,$C$5:$C$639,$C107-1,$D$5:$D$639,$D107))-1)))</f>
        <v/>
      </c>
      <c r="T107" s="16">
        <f>IF(OR($A107="",L107="",$C107=""),"",IF(COUNTIFS($A$5:$A$639,$A107,$C$5:$C$639,$C107-1,$D$5:$D$639,$D107,L$5:L$639,"&lt;&gt;")=0,"",IF(OR(SUMIFS(L$5:L$639,$A$5:$A$639,$A107,$C$5:$C$639,$C107-1,$D$5:$D$639,$D107)=0,L107*SUMIFS(L$5:L$639,$A$5:$A$639,$A107,$C$5:$C$639,$C107-1,$D$5:$D$639,$D107)&lt;0),"n.s.",ABS(L107)/ABS(SUMIFS(L$5:L$639,$A$5:$A$639,$A107,$C$5:$C$639,$C107-1,$D$5:$D$639,$D107))-1)))</f>
        <v/>
      </c>
      <c r="U107" s="16">
        <f>IF(OR($A107="",M107="",$C107=""),"",IF(COUNTIFS($A$5:$A$639,$A107,$C$5:$C$639,$C107-1,$D$5:$D$639,$D107,M$5:M$639,"&lt;&gt;")=0,"",IF(OR(SUMIFS(M$5:M$639,$A$5:$A$639,$A107,$C$5:$C$639,$C107-1,$D$5:$D$639,$D107)=0,M107*SUMIFS(M$5:M$639,$A$5:$A$639,$A107,$C$5:$C$639,$C107-1,$D$5:$D$639,$D107)&lt;0),"n.s.",ABS(M107)/ABS(SUMIFS(M$5:M$639,$A$5:$A$639,$A107,$C$5:$C$639,$C107-1,$D$5:$D$639,$D107))-1)))</f>
        <v/>
      </c>
    </row>
    <row r="108">
      <c r="A108" s="9" t="inlineStr">
        <is>
          <t>SOGC</t>
        </is>
      </c>
      <c r="B108" s="10">
        <f>IF(A108="","",IFERROR(VLOOKUP(A108,Titres!$A$2:$B$400,2,FALSE),"Ticker inconnu"))</f>
        <v/>
      </c>
      <c r="C108" s="11" t="n">
        <v>2025</v>
      </c>
      <c r="D108" s="11" t="inlineStr">
        <is>
          <t>S1</t>
        </is>
      </c>
      <c r="E108" s="9" t="n"/>
      <c r="F108" s="12" t="n"/>
      <c r="G108" s="9" t="n"/>
      <c r="H108" s="13" t="n"/>
      <c r="I108" s="13" t="n"/>
      <c r="J108" s="13" t="n"/>
      <c r="K108" s="13" t="n"/>
      <c r="L108" s="13" t="n"/>
      <c r="M108" s="13" t="n"/>
      <c r="N108" s="14">
        <f>IF(A108="","",COUNT(H108:M108)/6)</f>
        <v/>
      </c>
      <c r="O108" s="15">
        <f>IF(COUNT(H108:M108)=0,"",IF(LEN(IF(COUNT(I108,J108)=2,IF(J108&gt;I108+1,"EBE &gt; VA ",""),"")&amp;IF(COUNT(H108,M108)=2,IF(ABS(M108)&gt;ABS(H108),"RN &gt; CA ",""),"")&amp;IF(COUNT(H108,K108)=2,IF(ABS(K108)&gt;ABS(H108),"RE &gt; CA ",""),""))=0,"OK",IF(COUNT(I108,J108)=2,IF(J108&gt;I108+1,"EBE &gt; VA ",""),"")&amp;IF(COUNT(H108,M108)=2,IF(ABS(M108)&gt;ABS(H108),"RN &gt; CA ",""),"")&amp;IF(COUNT(H108,K108)=2,IF(ABS(K108)&gt;ABS(H108),"RE &gt; CA ",""),"")))</f>
        <v/>
      </c>
      <c r="P108" s="16">
        <f>IF(OR($A108="",H108="",$C108=""),"",IF(COUNTIFS($A$5:$A$639,$A108,$C$5:$C$639,$C108-1,$D$5:$D$639,$D108,H$5:H$639,"&lt;&gt;")=0,"",IF(OR(SUMIFS(H$5:H$639,$A$5:$A$639,$A108,$C$5:$C$639,$C108-1,$D$5:$D$639,$D108)=0,H108*SUMIFS(H$5:H$639,$A$5:$A$639,$A108,$C$5:$C$639,$C108-1,$D$5:$D$639,$D108)&lt;0),"n.s.",ABS(H108)/ABS(SUMIFS(H$5:H$639,$A$5:$A$639,$A108,$C$5:$C$639,$C108-1,$D$5:$D$639,$D108))-1)))</f>
        <v/>
      </c>
      <c r="Q108" s="16">
        <f>IF(OR($A108="",I108="",$C108=""),"",IF(COUNTIFS($A$5:$A$639,$A108,$C$5:$C$639,$C108-1,$D$5:$D$639,$D108,I$5:I$639,"&lt;&gt;")=0,"",IF(OR(SUMIFS(I$5:I$639,$A$5:$A$639,$A108,$C$5:$C$639,$C108-1,$D$5:$D$639,$D108)=0,I108*SUMIFS(I$5:I$639,$A$5:$A$639,$A108,$C$5:$C$639,$C108-1,$D$5:$D$639,$D108)&lt;0),"n.s.",ABS(I108)/ABS(SUMIFS(I$5:I$639,$A$5:$A$639,$A108,$C$5:$C$639,$C108-1,$D$5:$D$639,$D108))-1)))</f>
        <v/>
      </c>
      <c r="R108" s="16">
        <f>IF(OR($A108="",J108="",$C108=""),"",IF(COUNTIFS($A$5:$A$639,$A108,$C$5:$C$639,$C108-1,$D$5:$D$639,$D108,J$5:J$639,"&lt;&gt;")=0,"",IF(OR(SUMIFS(J$5:J$639,$A$5:$A$639,$A108,$C$5:$C$639,$C108-1,$D$5:$D$639,$D108)=0,J108*SUMIFS(J$5:J$639,$A$5:$A$639,$A108,$C$5:$C$639,$C108-1,$D$5:$D$639,$D108)&lt;0),"n.s.",ABS(J108)/ABS(SUMIFS(J$5:J$639,$A$5:$A$639,$A108,$C$5:$C$639,$C108-1,$D$5:$D$639,$D108))-1)))</f>
        <v/>
      </c>
      <c r="S108" s="16">
        <f>IF(OR($A108="",K108="",$C108=""),"",IF(COUNTIFS($A$5:$A$639,$A108,$C$5:$C$639,$C108-1,$D$5:$D$639,$D108,K$5:K$639,"&lt;&gt;")=0,"",IF(OR(SUMIFS(K$5:K$639,$A$5:$A$639,$A108,$C$5:$C$639,$C108-1,$D$5:$D$639,$D108)=0,K108*SUMIFS(K$5:K$639,$A$5:$A$639,$A108,$C$5:$C$639,$C108-1,$D$5:$D$639,$D108)&lt;0),"n.s.",ABS(K108)/ABS(SUMIFS(K$5:K$639,$A$5:$A$639,$A108,$C$5:$C$639,$C108-1,$D$5:$D$639,$D108))-1)))</f>
        <v/>
      </c>
      <c r="T108" s="16">
        <f>IF(OR($A108="",L108="",$C108=""),"",IF(COUNTIFS($A$5:$A$639,$A108,$C$5:$C$639,$C108-1,$D$5:$D$639,$D108,L$5:L$639,"&lt;&gt;")=0,"",IF(OR(SUMIFS(L$5:L$639,$A$5:$A$639,$A108,$C$5:$C$639,$C108-1,$D$5:$D$639,$D108)=0,L108*SUMIFS(L$5:L$639,$A$5:$A$639,$A108,$C$5:$C$639,$C108-1,$D$5:$D$639,$D108)&lt;0),"n.s.",ABS(L108)/ABS(SUMIFS(L$5:L$639,$A$5:$A$639,$A108,$C$5:$C$639,$C108-1,$D$5:$D$639,$D108))-1)))</f>
        <v/>
      </c>
      <c r="U108" s="16">
        <f>IF(OR($A108="",M108="",$C108=""),"",IF(COUNTIFS($A$5:$A$639,$A108,$C$5:$C$639,$C108-1,$D$5:$D$639,$D108,M$5:M$639,"&lt;&gt;")=0,"",IF(OR(SUMIFS(M$5:M$639,$A$5:$A$639,$A108,$C$5:$C$639,$C108-1,$D$5:$D$639,$D108)=0,M108*SUMIFS(M$5:M$639,$A$5:$A$639,$A108,$C$5:$C$639,$C108-1,$D$5:$D$639,$D108)&lt;0),"n.s.",ABS(M108)/ABS(SUMIFS(M$5:M$639,$A$5:$A$639,$A108,$C$5:$C$639,$C108-1,$D$5:$D$639,$D108))-1)))</f>
        <v/>
      </c>
    </row>
    <row r="109">
      <c r="A109" s="9" t="inlineStr">
        <is>
          <t>SOGC</t>
        </is>
      </c>
      <c r="B109" s="10">
        <f>IF(A109="","",IFERROR(VLOOKUP(A109,Titres!$A$2:$B$400,2,FALSE),"Ticker inconnu"))</f>
        <v/>
      </c>
      <c r="C109" s="11" t="n">
        <v>2025</v>
      </c>
      <c r="D109" s="11" t="inlineStr">
        <is>
          <t>T3</t>
        </is>
      </c>
      <c r="E109" s="9" t="n"/>
      <c r="F109" s="12" t="n"/>
      <c r="G109" s="9" t="n"/>
      <c r="H109" s="13" t="n"/>
      <c r="I109" s="13" t="n"/>
      <c r="J109" s="13" t="n"/>
      <c r="K109" s="13" t="n"/>
      <c r="L109" s="13" t="n"/>
      <c r="M109" s="13" t="n"/>
      <c r="N109" s="14">
        <f>IF(A109="","",COUNT(H109:M109)/6)</f>
        <v/>
      </c>
      <c r="O109" s="15">
        <f>IF(COUNT(H109:M109)=0,"",IF(LEN(IF(COUNT(I109,J109)=2,IF(J109&gt;I109+1,"EBE &gt; VA ",""),"")&amp;IF(COUNT(H109,M109)=2,IF(ABS(M109)&gt;ABS(H109),"RN &gt; CA ",""),"")&amp;IF(COUNT(H109,K109)=2,IF(ABS(K109)&gt;ABS(H109),"RE &gt; CA ",""),""))=0,"OK",IF(COUNT(I109,J109)=2,IF(J109&gt;I109+1,"EBE &gt; VA ",""),"")&amp;IF(COUNT(H109,M109)=2,IF(ABS(M109)&gt;ABS(H109),"RN &gt; CA ",""),"")&amp;IF(COUNT(H109,K109)=2,IF(ABS(K109)&gt;ABS(H109),"RE &gt; CA ",""),"")))</f>
        <v/>
      </c>
      <c r="P109" s="16">
        <f>IF(OR($A109="",H109="",$C109=""),"",IF(COUNTIFS($A$5:$A$639,$A109,$C$5:$C$639,$C109-1,$D$5:$D$639,$D109,H$5:H$639,"&lt;&gt;")=0,"",IF(OR(SUMIFS(H$5:H$639,$A$5:$A$639,$A109,$C$5:$C$639,$C109-1,$D$5:$D$639,$D109)=0,H109*SUMIFS(H$5:H$639,$A$5:$A$639,$A109,$C$5:$C$639,$C109-1,$D$5:$D$639,$D109)&lt;0),"n.s.",ABS(H109)/ABS(SUMIFS(H$5:H$639,$A$5:$A$639,$A109,$C$5:$C$639,$C109-1,$D$5:$D$639,$D109))-1)))</f>
        <v/>
      </c>
      <c r="Q109" s="16">
        <f>IF(OR($A109="",I109="",$C109=""),"",IF(COUNTIFS($A$5:$A$639,$A109,$C$5:$C$639,$C109-1,$D$5:$D$639,$D109,I$5:I$639,"&lt;&gt;")=0,"",IF(OR(SUMIFS(I$5:I$639,$A$5:$A$639,$A109,$C$5:$C$639,$C109-1,$D$5:$D$639,$D109)=0,I109*SUMIFS(I$5:I$639,$A$5:$A$639,$A109,$C$5:$C$639,$C109-1,$D$5:$D$639,$D109)&lt;0),"n.s.",ABS(I109)/ABS(SUMIFS(I$5:I$639,$A$5:$A$639,$A109,$C$5:$C$639,$C109-1,$D$5:$D$639,$D109))-1)))</f>
        <v/>
      </c>
      <c r="R109" s="16">
        <f>IF(OR($A109="",J109="",$C109=""),"",IF(COUNTIFS($A$5:$A$639,$A109,$C$5:$C$639,$C109-1,$D$5:$D$639,$D109,J$5:J$639,"&lt;&gt;")=0,"",IF(OR(SUMIFS(J$5:J$639,$A$5:$A$639,$A109,$C$5:$C$639,$C109-1,$D$5:$D$639,$D109)=0,J109*SUMIFS(J$5:J$639,$A$5:$A$639,$A109,$C$5:$C$639,$C109-1,$D$5:$D$639,$D109)&lt;0),"n.s.",ABS(J109)/ABS(SUMIFS(J$5:J$639,$A$5:$A$639,$A109,$C$5:$C$639,$C109-1,$D$5:$D$639,$D109))-1)))</f>
        <v/>
      </c>
      <c r="S109" s="16">
        <f>IF(OR($A109="",K109="",$C109=""),"",IF(COUNTIFS($A$5:$A$639,$A109,$C$5:$C$639,$C109-1,$D$5:$D$639,$D109,K$5:K$639,"&lt;&gt;")=0,"",IF(OR(SUMIFS(K$5:K$639,$A$5:$A$639,$A109,$C$5:$C$639,$C109-1,$D$5:$D$639,$D109)=0,K109*SUMIFS(K$5:K$639,$A$5:$A$639,$A109,$C$5:$C$639,$C109-1,$D$5:$D$639,$D109)&lt;0),"n.s.",ABS(K109)/ABS(SUMIFS(K$5:K$639,$A$5:$A$639,$A109,$C$5:$C$639,$C109-1,$D$5:$D$639,$D109))-1)))</f>
        <v/>
      </c>
      <c r="T109" s="16">
        <f>IF(OR($A109="",L109="",$C109=""),"",IF(COUNTIFS($A$5:$A$639,$A109,$C$5:$C$639,$C109-1,$D$5:$D$639,$D109,L$5:L$639,"&lt;&gt;")=0,"",IF(OR(SUMIFS(L$5:L$639,$A$5:$A$639,$A109,$C$5:$C$639,$C109-1,$D$5:$D$639,$D109)=0,L109*SUMIFS(L$5:L$639,$A$5:$A$639,$A109,$C$5:$C$639,$C109-1,$D$5:$D$639,$D109)&lt;0),"n.s.",ABS(L109)/ABS(SUMIFS(L$5:L$639,$A$5:$A$639,$A109,$C$5:$C$639,$C109-1,$D$5:$D$639,$D109))-1)))</f>
        <v/>
      </c>
      <c r="U109" s="16">
        <f>IF(OR($A109="",M109="",$C109=""),"",IF(COUNTIFS($A$5:$A$639,$A109,$C$5:$C$639,$C109-1,$D$5:$D$639,$D109,M$5:M$639,"&lt;&gt;")=0,"",IF(OR(SUMIFS(M$5:M$639,$A$5:$A$639,$A109,$C$5:$C$639,$C109-1,$D$5:$D$639,$D109)=0,M109*SUMIFS(M$5:M$639,$A$5:$A$639,$A109,$C$5:$C$639,$C109-1,$D$5:$D$639,$D109)&lt;0),"n.s.",ABS(M109)/ABS(SUMIFS(M$5:M$639,$A$5:$A$639,$A109,$C$5:$C$639,$C109-1,$D$5:$D$639,$D109))-1)))</f>
        <v/>
      </c>
    </row>
    <row r="110">
      <c r="A110" s="9" t="inlineStr">
        <is>
          <t>SOGC</t>
        </is>
      </c>
      <c r="B110" s="10">
        <f>IF(A110="","",IFERROR(VLOOKUP(A110,Titres!$A$2:$B$400,2,FALSE),"Ticker inconnu"))</f>
        <v/>
      </c>
      <c r="C110" s="11" t="n">
        <v>2026</v>
      </c>
      <c r="D110" s="11" t="inlineStr">
        <is>
          <t>T1</t>
        </is>
      </c>
      <c r="E110" s="9" t="n"/>
      <c r="F110" s="12" t="n"/>
      <c r="G110" s="9" t="n"/>
      <c r="H110" s="13" t="n"/>
      <c r="I110" s="13" t="n"/>
      <c r="J110" s="13" t="n"/>
      <c r="K110" s="13" t="n"/>
      <c r="L110" s="13" t="n"/>
      <c r="M110" s="13" t="n"/>
      <c r="N110" s="14">
        <f>IF(A110="","",COUNT(H110:M110)/6)</f>
        <v/>
      </c>
      <c r="O110" s="15">
        <f>IF(COUNT(H110:M110)=0,"",IF(LEN(IF(COUNT(I110,J110)=2,IF(J110&gt;I110+1,"EBE &gt; VA ",""),"")&amp;IF(COUNT(H110,M110)=2,IF(ABS(M110)&gt;ABS(H110),"RN &gt; CA ",""),"")&amp;IF(COUNT(H110,K110)=2,IF(ABS(K110)&gt;ABS(H110),"RE &gt; CA ",""),""))=0,"OK",IF(COUNT(I110,J110)=2,IF(J110&gt;I110+1,"EBE &gt; VA ",""),"")&amp;IF(COUNT(H110,M110)=2,IF(ABS(M110)&gt;ABS(H110),"RN &gt; CA ",""),"")&amp;IF(COUNT(H110,K110)=2,IF(ABS(K110)&gt;ABS(H110),"RE &gt; CA ",""),"")))</f>
        <v/>
      </c>
      <c r="P110" s="16">
        <f>IF(OR($A110="",H110="",$C110=""),"",IF(COUNTIFS($A$5:$A$639,$A110,$C$5:$C$639,$C110-1,$D$5:$D$639,$D110,H$5:H$639,"&lt;&gt;")=0,"",IF(OR(SUMIFS(H$5:H$639,$A$5:$A$639,$A110,$C$5:$C$639,$C110-1,$D$5:$D$639,$D110)=0,H110*SUMIFS(H$5:H$639,$A$5:$A$639,$A110,$C$5:$C$639,$C110-1,$D$5:$D$639,$D110)&lt;0),"n.s.",ABS(H110)/ABS(SUMIFS(H$5:H$639,$A$5:$A$639,$A110,$C$5:$C$639,$C110-1,$D$5:$D$639,$D110))-1)))</f>
        <v/>
      </c>
      <c r="Q110" s="16">
        <f>IF(OR($A110="",I110="",$C110=""),"",IF(COUNTIFS($A$5:$A$639,$A110,$C$5:$C$639,$C110-1,$D$5:$D$639,$D110,I$5:I$639,"&lt;&gt;")=0,"",IF(OR(SUMIFS(I$5:I$639,$A$5:$A$639,$A110,$C$5:$C$639,$C110-1,$D$5:$D$639,$D110)=0,I110*SUMIFS(I$5:I$639,$A$5:$A$639,$A110,$C$5:$C$639,$C110-1,$D$5:$D$639,$D110)&lt;0),"n.s.",ABS(I110)/ABS(SUMIFS(I$5:I$639,$A$5:$A$639,$A110,$C$5:$C$639,$C110-1,$D$5:$D$639,$D110))-1)))</f>
        <v/>
      </c>
      <c r="R110" s="16">
        <f>IF(OR($A110="",J110="",$C110=""),"",IF(COUNTIFS($A$5:$A$639,$A110,$C$5:$C$639,$C110-1,$D$5:$D$639,$D110,J$5:J$639,"&lt;&gt;")=0,"",IF(OR(SUMIFS(J$5:J$639,$A$5:$A$639,$A110,$C$5:$C$639,$C110-1,$D$5:$D$639,$D110)=0,J110*SUMIFS(J$5:J$639,$A$5:$A$639,$A110,$C$5:$C$639,$C110-1,$D$5:$D$639,$D110)&lt;0),"n.s.",ABS(J110)/ABS(SUMIFS(J$5:J$639,$A$5:$A$639,$A110,$C$5:$C$639,$C110-1,$D$5:$D$639,$D110))-1)))</f>
        <v/>
      </c>
      <c r="S110" s="16">
        <f>IF(OR($A110="",K110="",$C110=""),"",IF(COUNTIFS($A$5:$A$639,$A110,$C$5:$C$639,$C110-1,$D$5:$D$639,$D110,K$5:K$639,"&lt;&gt;")=0,"",IF(OR(SUMIFS(K$5:K$639,$A$5:$A$639,$A110,$C$5:$C$639,$C110-1,$D$5:$D$639,$D110)=0,K110*SUMIFS(K$5:K$639,$A$5:$A$639,$A110,$C$5:$C$639,$C110-1,$D$5:$D$639,$D110)&lt;0),"n.s.",ABS(K110)/ABS(SUMIFS(K$5:K$639,$A$5:$A$639,$A110,$C$5:$C$639,$C110-1,$D$5:$D$639,$D110))-1)))</f>
        <v/>
      </c>
      <c r="T110" s="16">
        <f>IF(OR($A110="",L110="",$C110=""),"",IF(COUNTIFS($A$5:$A$639,$A110,$C$5:$C$639,$C110-1,$D$5:$D$639,$D110,L$5:L$639,"&lt;&gt;")=0,"",IF(OR(SUMIFS(L$5:L$639,$A$5:$A$639,$A110,$C$5:$C$639,$C110-1,$D$5:$D$639,$D110)=0,L110*SUMIFS(L$5:L$639,$A$5:$A$639,$A110,$C$5:$C$639,$C110-1,$D$5:$D$639,$D110)&lt;0),"n.s.",ABS(L110)/ABS(SUMIFS(L$5:L$639,$A$5:$A$639,$A110,$C$5:$C$639,$C110-1,$D$5:$D$639,$D110))-1)))</f>
        <v/>
      </c>
      <c r="U110" s="16">
        <f>IF(OR($A110="",M110="",$C110=""),"",IF(COUNTIFS($A$5:$A$639,$A110,$C$5:$C$639,$C110-1,$D$5:$D$639,$D110,M$5:M$639,"&lt;&gt;")=0,"",IF(OR(SUMIFS(M$5:M$639,$A$5:$A$639,$A110,$C$5:$C$639,$C110-1,$D$5:$D$639,$D110)=0,M110*SUMIFS(M$5:M$639,$A$5:$A$639,$A110,$C$5:$C$639,$C110-1,$D$5:$D$639,$D110)&lt;0),"n.s.",ABS(M110)/ABS(SUMIFS(M$5:M$639,$A$5:$A$639,$A110,$C$5:$C$639,$C110-1,$D$5:$D$639,$D110))-1)))</f>
        <v/>
      </c>
    </row>
    <row r="111">
      <c r="A111" s="9" t="inlineStr">
        <is>
          <t>SOGC</t>
        </is>
      </c>
      <c r="B111" s="10">
        <f>IF(A111="","",IFERROR(VLOOKUP(A111,Titres!$A$2:$B$400,2,FALSE),"Ticker inconnu"))</f>
        <v/>
      </c>
      <c r="C111" s="11" t="n">
        <v>2026</v>
      </c>
      <c r="D111" s="11" t="inlineStr">
        <is>
          <t>S1</t>
        </is>
      </c>
      <c r="E111" s="9" t="n"/>
      <c r="F111" s="12" t="n"/>
      <c r="G111" s="9" t="n"/>
      <c r="H111" s="13" t="n"/>
      <c r="I111" s="13" t="n"/>
      <c r="J111" s="13" t="n"/>
      <c r="K111" s="13" t="n"/>
      <c r="L111" s="13" t="n"/>
      <c r="M111" s="13" t="n"/>
      <c r="N111" s="14">
        <f>IF(A111="","",COUNT(H111:M111)/6)</f>
        <v/>
      </c>
      <c r="O111" s="15">
        <f>IF(COUNT(H111:M111)=0,"",IF(LEN(IF(COUNT(I111,J111)=2,IF(J111&gt;I111+1,"EBE &gt; VA ",""),"")&amp;IF(COUNT(H111,M111)=2,IF(ABS(M111)&gt;ABS(H111),"RN &gt; CA ",""),"")&amp;IF(COUNT(H111,K111)=2,IF(ABS(K111)&gt;ABS(H111),"RE &gt; CA ",""),""))=0,"OK",IF(COUNT(I111,J111)=2,IF(J111&gt;I111+1,"EBE &gt; VA ",""),"")&amp;IF(COUNT(H111,M111)=2,IF(ABS(M111)&gt;ABS(H111),"RN &gt; CA ",""),"")&amp;IF(COUNT(H111,K111)=2,IF(ABS(K111)&gt;ABS(H111),"RE &gt; CA ",""),"")))</f>
        <v/>
      </c>
      <c r="P111" s="16">
        <f>IF(OR($A111="",H111="",$C111=""),"",IF(COUNTIFS($A$5:$A$639,$A111,$C$5:$C$639,$C111-1,$D$5:$D$639,$D111,H$5:H$639,"&lt;&gt;")=0,"",IF(OR(SUMIFS(H$5:H$639,$A$5:$A$639,$A111,$C$5:$C$639,$C111-1,$D$5:$D$639,$D111)=0,H111*SUMIFS(H$5:H$639,$A$5:$A$639,$A111,$C$5:$C$639,$C111-1,$D$5:$D$639,$D111)&lt;0),"n.s.",ABS(H111)/ABS(SUMIFS(H$5:H$639,$A$5:$A$639,$A111,$C$5:$C$639,$C111-1,$D$5:$D$639,$D111))-1)))</f>
        <v/>
      </c>
      <c r="Q111" s="16">
        <f>IF(OR($A111="",I111="",$C111=""),"",IF(COUNTIFS($A$5:$A$639,$A111,$C$5:$C$639,$C111-1,$D$5:$D$639,$D111,I$5:I$639,"&lt;&gt;")=0,"",IF(OR(SUMIFS(I$5:I$639,$A$5:$A$639,$A111,$C$5:$C$639,$C111-1,$D$5:$D$639,$D111)=0,I111*SUMIFS(I$5:I$639,$A$5:$A$639,$A111,$C$5:$C$639,$C111-1,$D$5:$D$639,$D111)&lt;0),"n.s.",ABS(I111)/ABS(SUMIFS(I$5:I$639,$A$5:$A$639,$A111,$C$5:$C$639,$C111-1,$D$5:$D$639,$D111))-1)))</f>
        <v/>
      </c>
      <c r="R111" s="16">
        <f>IF(OR($A111="",J111="",$C111=""),"",IF(COUNTIFS($A$5:$A$639,$A111,$C$5:$C$639,$C111-1,$D$5:$D$639,$D111,J$5:J$639,"&lt;&gt;")=0,"",IF(OR(SUMIFS(J$5:J$639,$A$5:$A$639,$A111,$C$5:$C$639,$C111-1,$D$5:$D$639,$D111)=0,J111*SUMIFS(J$5:J$639,$A$5:$A$639,$A111,$C$5:$C$639,$C111-1,$D$5:$D$639,$D111)&lt;0),"n.s.",ABS(J111)/ABS(SUMIFS(J$5:J$639,$A$5:$A$639,$A111,$C$5:$C$639,$C111-1,$D$5:$D$639,$D111))-1)))</f>
        <v/>
      </c>
      <c r="S111" s="16">
        <f>IF(OR($A111="",K111="",$C111=""),"",IF(COUNTIFS($A$5:$A$639,$A111,$C$5:$C$639,$C111-1,$D$5:$D$639,$D111,K$5:K$639,"&lt;&gt;")=0,"",IF(OR(SUMIFS(K$5:K$639,$A$5:$A$639,$A111,$C$5:$C$639,$C111-1,$D$5:$D$639,$D111)=0,K111*SUMIFS(K$5:K$639,$A$5:$A$639,$A111,$C$5:$C$639,$C111-1,$D$5:$D$639,$D111)&lt;0),"n.s.",ABS(K111)/ABS(SUMIFS(K$5:K$639,$A$5:$A$639,$A111,$C$5:$C$639,$C111-1,$D$5:$D$639,$D111))-1)))</f>
        <v/>
      </c>
      <c r="T111" s="16">
        <f>IF(OR($A111="",L111="",$C111=""),"",IF(COUNTIFS($A$5:$A$639,$A111,$C$5:$C$639,$C111-1,$D$5:$D$639,$D111,L$5:L$639,"&lt;&gt;")=0,"",IF(OR(SUMIFS(L$5:L$639,$A$5:$A$639,$A111,$C$5:$C$639,$C111-1,$D$5:$D$639,$D111)=0,L111*SUMIFS(L$5:L$639,$A$5:$A$639,$A111,$C$5:$C$639,$C111-1,$D$5:$D$639,$D111)&lt;0),"n.s.",ABS(L111)/ABS(SUMIFS(L$5:L$639,$A$5:$A$639,$A111,$C$5:$C$639,$C111-1,$D$5:$D$639,$D111))-1)))</f>
        <v/>
      </c>
      <c r="U111" s="16">
        <f>IF(OR($A111="",M111="",$C111=""),"",IF(COUNTIFS($A$5:$A$639,$A111,$C$5:$C$639,$C111-1,$D$5:$D$639,$D111,M$5:M$639,"&lt;&gt;")=0,"",IF(OR(SUMIFS(M$5:M$639,$A$5:$A$639,$A111,$C$5:$C$639,$C111-1,$D$5:$D$639,$D111)=0,M111*SUMIFS(M$5:M$639,$A$5:$A$639,$A111,$C$5:$C$639,$C111-1,$D$5:$D$639,$D111)&lt;0),"n.s.",ABS(M111)/ABS(SUMIFS(M$5:M$639,$A$5:$A$639,$A111,$C$5:$C$639,$C111-1,$D$5:$D$639,$D111))-1)))</f>
        <v/>
      </c>
    </row>
    <row r="112">
      <c r="A112" s="9" t="inlineStr">
        <is>
          <t>SOGC</t>
        </is>
      </c>
      <c r="B112" s="10">
        <f>IF(A112="","",IFERROR(VLOOKUP(A112,Titres!$A$2:$B$400,2,FALSE),"Ticker inconnu"))</f>
        <v/>
      </c>
      <c r="C112" s="11" t="n">
        <v>2026</v>
      </c>
      <c r="D112" s="11" t="inlineStr">
        <is>
          <t>T3</t>
        </is>
      </c>
      <c r="E112" s="9" t="n"/>
      <c r="F112" s="12" t="n"/>
      <c r="G112" s="9" t="n"/>
      <c r="H112" s="13" t="n"/>
      <c r="I112" s="13" t="n"/>
      <c r="J112" s="13" t="n"/>
      <c r="K112" s="13" t="n"/>
      <c r="L112" s="13" t="n"/>
      <c r="M112" s="13" t="n"/>
      <c r="N112" s="14">
        <f>IF(A112="","",COUNT(H112:M112)/6)</f>
        <v/>
      </c>
      <c r="O112" s="15">
        <f>IF(COUNT(H112:M112)=0,"",IF(LEN(IF(COUNT(I112,J112)=2,IF(J112&gt;I112+1,"EBE &gt; VA ",""),"")&amp;IF(COUNT(H112,M112)=2,IF(ABS(M112)&gt;ABS(H112),"RN &gt; CA ",""),"")&amp;IF(COUNT(H112,K112)=2,IF(ABS(K112)&gt;ABS(H112),"RE &gt; CA ",""),""))=0,"OK",IF(COUNT(I112,J112)=2,IF(J112&gt;I112+1,"EBE &gt; VA ",""),"")&amp;IF(COUNT(H112,M112)=2,IF(ABS(M112)&gt;ABS(H112),"RN &gt; CA ",""),"")&amp;IF(COUNT(H112,K112)=2,IF(ABS(K112)&gt;ABS(H112),"RE &gt; CA ",""),"")))</f>
        <v/>
      </c>
      <c r="P112" s="16">
        <f>IF(OR($A112="",H112="",$C112=""),"",IF(COUNTIFS($A$5:$A$639,$A112,$C$5:$C$639,$C112-1,$D$5:$D$639,$D112,H$5:H$639,"&lt;&gt;")=0,"",IF(OR(SUMIFS(H$5:H$639,$A$5:$A$639,$A112,$C$5:$C$639,$C112-1,$D$5:$D$639,$D112)=0,H112*SUMIFS(H$5:H$639,$A$5:$A$639,$A112,$C$5:$C$639,$C112-1,$D$5:$D$639,$D112)&lt;0),"n.s.",ABS(H112)/ABS(SUMIFS(H$5:H$639,$A$5:$A$639,$A112,$C$5:$C$639,$C112-1,$D$5:$D$639,$D112))-1)))</f>
        <v/>
      </c>
      <c r="Q112" s="16">
        <f>IF(OR($A112="",I112="",$C112=""),"",IF(COUNTIFS($A$5:$A$639,$A112,$C$5:$C$639,$C112-1,$D$5:$D$639,$D112,I$5:I$639,"&lt;&gt;")=0,"",IF(OR(SUMIFS(I$5:I$639,$A$5:$A$639,$A112,$C$5:$C$639,$C112-1,$D$5:$D$639,$D112)=0,I112*SUMIFS(I$5:I$639,$A$5:$A$639,$A112,$C$5:$C$639,$C112-1,$D$5:$D$639,$D112)&lt;0),"n.s.",ABS(I112)/ABS(SUMIFS(I$5:I$639,$A$5:$A$639,$A112,$C$5:$C$639,$C112-1,$D$5:$D$639,$D112))-1)))</f>
        <v/>
      </c>
      <c r="R112" s="16">
        <f>IF(OR($A112="",J112="",$C112=""),"",IF(COUNTIFS($A$5:$A$639,$A112,$C$5:$C$639,$C112-1,$D$5:$D$639,$D112,J$5:J$639,"&lt;&gt;")=0,"",IF(OR(SUMIFS(J$5:J$639,$A$5:$A$639,$A112,$C$5:$C$639,$C112-1,$D$5:$D$639,$D112)=0,J112*SUMIFS(J$5:J$639,$A$5:$A$639,$A112,$C$5:$C$639,$C112-1,$D$5:$D$639,$D112)&lt;0),"n.s.",ABS(J112)/ABS(SUMIFS(J$5:J$639,$A$5:$A$639,$A112,$C$5:$C$639,$C112-1,$D$5:$D$639,$D112))-1)))</f>
        <v/>
      </c>
      <c r="S112" s="16">
        <f>IF(OR($A112="",K112="",$C112=""),"",IF(COUNTIFS($A$5:$A$639,$A112,$C$5:$C$639,$C112-1,$D$5:$D$639,$D112,K$5:K$639,"&lt;&gt;")=0,"",IF(OR(SUMIFS(K$5:K$639,$A$5:$A$639,$A112,$C$5:$C$639,$C112-1,$D$5:$D$639,$D112)=0,K112*SUMIFS(K$5:K$639,$A$5:$A$639,$A112,$C$5:$C$639,$C112-1,$D$5:$D$639,$D112)&lt;0),"n.s.",ABS(K112)/ABS(SUMIFS(K$5:K$639,$A$5:$A$639,$A112,$C$5:$C$639,$C112-1,$D$5:$D$639,$D112))-1)))</f>
        <v/>
      </c>
      <c r="T112" s="16">
        <f>IF(OR($A112="",L112="",$C112=""),"",IF(COUNTIFS($A$5:$A$639,$A112,$C$5:$C$639,$C112-1,$D$5:$D$639,$D112,L$5:L$639,"&lt;&gt;")=0,"",IF(OR(SUMIFS(L$5:L$639,$A$5:$A$639,$A112,$C$5:$C$639,$C112-1,$D$5:$D$639,$D112)=0,L112*SUMIFS(L$5:L$639,$A$5:$A$639,$A112,$C$5:$C$639,$C112-1,$D$5:$D$639,$D112)&lt;0),"n.s.",ABS(L112)/ABS(SUMIFS(L$5:L$639,$A$5:$A$639,$A112,$C$5:$C$639,$C112-1,$D$5:$D$639,$D112))-1)))</f>
        <v/>
      </c>
      <c r="U112" s="16">
        <f>IF(OR($A112="",M112="",$C112=""),"",IF(COUNTIFS($A$5:$A$639,$A112,$C$5:$C$639,$C112-1,$D$5:$D$639,$D112,M$5:M$639,"&lt;&gt;")=0,"",IF(OR(SUMIFS(M$5:M$639,$A$5:$A$639,$A112,$C$5:$C$639,$C112-1,$D$5:$D$639,$D112)=0,M112*SUMIFS(M$5:M$639,$A$5:$A$639,$A112,$C$5:$C$639,$C112-1,$D$5:$D$639,$D112)&lt;0),"n.s.",ABS(M112)/ABS(SUMIFS(M$5:M$639,$A$5:$A$639,$A112,$C$5:$C$639,$C112-1,$D$5:$D$639,$D112))-1)))</f>
        <v/>
      </c>
    </row>
    <row r="113">
      <c r="A113" s="9" t="inlineStr">
        <is>
          <t>SPHC</t>
        </is>
      </c>
      <c r="B113" s="10">
        <f>IF(A113="","",IFERROR(VLOOKUP(A113,Titres!$A$2:$B$400,2,FALSE),"Ticker inconnu"))</f>
        <v/>
      </c>
      <c r="C113" s="11" t="n">
        <v>2021</v>
      </c>
      <c r="D113" s="11" t="inlineStr">
        <is>
          <t>T1</t>
        </is>
      </c>
      <c r="E113" s="9" t="n"/>
      <c r="F113" s="12" t="n"/>
      <c r="G113" s="9" t="n"/>
      <c r="H113" s="13" t="n"/>
      <c r="I113" s="13" t="n"/>
      <c r="J113" s="13" t="n"/>
      <c r="K113" s="13" t="n"/>
      <c r="L113" s="13" t="n"/>
      <c r="M113" s="13" t="n"/>
      <c r="N113" s="14">
        <f>IF(A113="","",COUNT(H113:M113)/6)</f>
        <v/>
      </c>
      <c r="O113" s="15">
        <f>IF(COUNT(H113:M113)=0,"",IF(LEN(IF(COUNT(I113,J113)=2,IF(J113&gt;I113+1,"EBE &gt; VA ",""),"")&amp;IF(COUNT(H113,M113)=2,IF(ABS(M113)&gt;ABS(H113),"RN &gt; CA ",""),"")&amp;IF(COUNT(H113,K113)=2,IF(ABS(K113)&gt;ABS(H113),"RE &gt; CA ",""),""))=0,"OK",IF(COUNT(I113,J113)=2,IF(J113&gt;I113+1,"EBE &gt; VA ",""),"")&amp;IF(COUNT(H113,M113)=2,IF(ABS(M113)&gt;ABS(H113),"RN &gt; CA ",""),"")&amp;IF(COUNT(H113,K113)=2,IF(ABS(K113)&gt;ABS(H113),"RE &gt; CA ",""),"")))</f>
        <v/>
      </c>
      <c r="P113" s="16">
        <f>IF(OR($A113="",H113="",$C113=""),"",IF(COUNTIFS($A$5:$A$639,$A113,$C$5:$C$639,$C113-1,$D$5:$D$639,$D113,H$5:H$639,"&lt;&gt;")=0,"",IF(OR(SUMIFS(H$5:H$639,$A$5:$A$639,$A113,$C$5:$C$639,$C113-1,$D$5:$D$639,$D113)=0,H113*SUMIFS(H$5:H$639,$A$5:$A$639,$A113,$C$5:$C$639,$C113-1,$D$5:$D$639,$D113)&lt;0),"n.s.",ABS(H113)/ABS(SUMIFS(H$5:H$639,$A$5:$A$639,$A113,$C$5:$C$639,$C113-1,$D$5:$D$639,$D113))-1)))</f>
        <v/>
      </c>
      <c r="Q113" s="16">
        <f>IF(OR($A113="",I113="",$C113=""),"",IF(COUNTIFS($A$5:$A$639,$A113,$C$5:$C$639,$C113-1,$D$5:$D$639,$D113,I$5:I$639,"&lt;&gt;")=0,"",IF(OR(SUMIFS(I$5:I$639,$A$5:$A$639,$A113,$C$5:$C$639,$C113-1,$D$5:$D$639,$D113)=0,I113*SUMIFS(I$5:I$639,$A$5:$A$639,$A113,$C$5:$C$639,$C113-1,$D$5:$D$639,$D113)&lt;0),"n.s.",ABS(I113)/ABS(SUMIFS(I$5:I$639,$A$5:$A$639,$A113,$C$5:$C$639,$C113-1,$D$5:$D$639,$D113))-1)))</f>
        <v/>
      </c>
      <c r="R113" s="16">
        <f>IF(OR($A113="",J113="",$C113=""),"",IF(COUNTIFS($A$5:$A$639,$A113,$C$5:$C$639,$C113-1,$D$5:$D$639,$D113,J$5:J$639,"&lt;&gt;")=0,"",IF(OR(SUMIFS(J$5:J$639,$A$5:$A$639,$A113,$C$5:$C$639,$C113-1,$D$5:$D$639,$D113)=0,J113*SUMIFS(J$5:J$639,$A$5:$A$639,$A113,$C$5:$C$639,$C113-1,$D$5:$D$639,$D113)&lt;0),"n.s.",ABS(J113)/ABS(SUMIFS(J$5:J$639,$A$5:$A$639,$A113,$C$5:$C$639,$C113-1,$D$5:$D$639,$D113))-1)))</f>
        <v/>
      </c>
      <c r="S113" s="16">
        <f>IF(OR($A113="",K113="",$C113=""),"",IF(COUNTIFS($A$5:$A$639,$A113,$C$5:$C$639,$C113-1,$D$5:$D$639,$D113,K$5:K$639,"&lt;&gt;")=0,"",IF(OR(SUMIFS(K$5:K$639,$A$5:$A$639,$A113,$C$5:$C$639,$C113-1,$D$5:$D$639,$D113)=0,K113*SUMIFS(K$5:K$639,$A$5:$A$639,$A113,$C$5:$C$639,$C113-1,$D$5:$D$639,$D113)&lt;0),"n.s.",ABS(K113)/ABS(SUMIFS(K$5:K$639,$A$5:$A$639,$A113,$C$5:$C$639,$C113-1,$D$5:$D$639,$D113))-1)))</f>
        <v/>
      </c>
      <c r="T113" s="16">
        <f>IF(OR($A113="",L113="",$C113=""),"",IF(COUNTIFS($A$5:$A$639,$A113,$C$5:$C$639,$C113-1,$D$5:$D$639,$D113,L$5:L$639,"&lt;&gt;")=0,"",IF(OR(SUMIFS(L$5:L$639,$A$5:$A$639,$A113,$C$5:$C$639,$C113-1,$D$5:$D$639,$D113)=0,L113*SUMIFS(L$5:L$639,$A$5:$A$639,$A113,$C$5:$C$639,$C113-1,$D$5:$D$639,$D113)&lt;0),"n.s.",ABS(L113)/ABS(SUMIFS(L$5:L$639,$A$5:$A$639,$A113,$C$5:$C$639,$C113-1,$D$5:$D$639,$D113))-1)))</f>
        <v/>
      </c>
      <c r="U113" s="16">
        <f>IF(OR($A113="",M113="",$C113=""),"",IF(COUNTIFS($A$5:$A$639,$A113,$C$5:$C$639,$C113-1,$D$5:$D$639,$D113,M$5:M$639,"&lt;&gt;")=0,"",IF(OR(SUMIFS(M$5:M$639,$A$5:$A$639,$A113,$C$5:$C$639,$C113-1,$D$5:$D$639,$D113)=0,M113*SUMIFS(M$5:M$639,$A$5:$A$639,$A113,$C$5:$C$639,$C113-1,$D$5:$D$639,$D113)&lt;0),"n.s.",ABS(M113)/ABS(SUMIFS(M$5:M$639,$A$5:$A$639,$A113,$C$5:$C$639,$C113-1,$D$5:$D$639,$D113))-1)))</f>
        <v/>
      </c>
    </row>
    <row r="114">
      <c r="A114" s="9" t="inlineStr">
        <is>
          <t>SPHC</t>
        </is>
      </c>
      <c r="B114" s="10">
        <f>IF(A114="","",IFERROR(VLOOKUP(A114,Titres!$A$2:$B$400,2,FALSE),"Ticker inconnu"))</f>
        <v/>
      </c>
      <c r="C114" s="11" t="n">
        <v>2021</v>
      </c>
      <c r="D114" s="11" t="inlineStr">
        <is>
          <t>S1</t>
        </is>
      </c>
      <c r="E114" s="9" t="n"/>
      <c r="F114" s="12" t="n"/>
      <c r="G114" s="9" t="n"/>
      <c r="H114" s="13" t="n"/>
      <c r="I114" s="13" t="n"/>
      <c r="J114" s="13" t="n"/>
      <c r="K114" s="13" t="n"/>
      <c r="L114" s="13" t="n"/>
      <c r="M114" s="13" t="n"/>
      <c r="N114" s="14">
        <f>IF(A114="","",COUNT(H114:M114)/6)</f>
        <v/>
      </c>
      <c r="O114" s="15">
        <f>IF(COUNT(H114:M114)=0,"",IF(LEN(IF(COUNT(I114,J114)=2,IF(J114&gt;I114+1,"EBE &gt; VA ",""),"")&amp;IF(COUNT(H114,M114)=2,IF(ABS(M114)&gt;ABS(H114),"RN &gt; CA ",""),"")&amp;IF(COUNT(H114,K114)=2,IF(ABS(K114)&gt;ABS(H114),"RE &gt; CA ",""),""))=0,"OK",IF(COUNT(I114,J114)=2,IF(J114&gt;I114+1,"EBE &gt; VA ",""),"")&amp;IF(COUNT(H114,M114)=2,IF(ABS(M114)&gt;ABS(H114),"RN &gt; CA ",""),"")&amp;IF(COUNT(H114,K114)=2,IF(ABS(K114)&gt;ABS(H114),"RE &gt; CA ",""),"")))</f>
        <v/>
      </c>
      <c r="P114" s="16">
        <f>IF(OR($A114="",H114="",$C114=""),"",IF(COUNTIFS($A$5:$A$639,$A114,$C$5:$C$639,$C114-1,$D$5:$D$639,$D114,H$5:H$639,"&lt;&gt;")=0,"",IF(OR(SUMIFS(H$5:H$639,$A$5:$A$639,$A114,$C$5:$C$639,$C114-1,$D$5:$D$639,$D114)=0,H114*SUMIFS(H$5:H$639,$A$5:$A$639,$A114,$C$5:$C$639,$C114-1,$D$5:$D$639,$D114)&lt;0),"n.s.",ABS(H114)/ABS(SUMIFS(H$5:H$639,$A$5:$A$639,$A114,$C$5:$C$639,$C114-1,$D$5:$D$639,$D114))-1)))</f>
        <v/>
      </c>
      <c r="Q114" s="16">
        <f>IF(OR($A114="",I114="",$C114=""),"",IF(COUNTIFS($A$5:$A$639,$A114,$C$5:$C$639,$C114-1,$D$5:$D$639,$D114,I$5:I$639,"&lt;&gt;")=0,"",IF(OR(SUMIFS(I$5:I$639,$A$5:$A$639,$A114,$C$5:$C$639,$C114-1,$D$5:$D$639,$D114)=0,I114*SUMIFS(I$5:I$639,$A$5:$A$639,$A114,$C$5:$C$639,$C114-1,$D$5:$D$639,$D114)&lt;0),"n.s.",ABS(I114)/ABS(SUMIFS(I$5:I$639,$A$5:$A$639,$A114,$C$5:$C$639,$C114-1,$D$5:$D$639,$D114))-1)))</f>
        <v/>
      </c>
      <c r="R114" s="16">
        <f>IF(OR($A114="",J114="",$C114=""),"",IF(COUNTIFS($A$5:$A$639,$A114,$C$5:$C$639,$C114-1,$D$5:$D$639,$D114,J$5:J$639,"&lt;&gt;")=0,"",IF(OR(SUMIFS(J$5:J$639,$A$5:$A$639,$A114,$C$5:$C$639,$C114-1,$D$5:$D$639,$D114)=0,J114*SUMIFS(J$5:J$639,$A$5:$A$639,$A114,$C$5:$C$639,$C114-1,$D$5:$D$639,$D114)&lt;0),"n.s.",ABS(J114)/ABS(SUMIFS(J$5:J$639,$A$5:$A$639,$A114,$C$5:$C$639,$C114-1,$D$5:$D$639,$D114))-1)))</f>
        <v/>
      </c>
      <c r="S114" s="16">
        <f>IF(OR($A114="",K114="",$C114=""),"",IF(COUNTIFS($A$5:$A$639,$A114,$C$5:$C$639,$C114-1,$D$5:$D$639,$D114,K$5:K$639,"&lt;&gt;")=0,"",IF(OR(SUMIFS(K$5:K$639,$A$5:$A$639,$A114,$C$5:$C$639,$C114-1,$D$5:$D$639,$D114)=0,K114*SUMIFS(K$5:K$639,$A$5:$A$639,$A114,$C$5:$C$639,$C114-1,$D$5:$D$639,$D114)&lt;0),"n.s.",ABS(K114)/ABS(SUMIFS(K$5:K$639,$A$5:$A$639,$A114,$C$5:$C$639,$C114-1,$D$5:$D$639,$D114))-1)))</f>
        <v/>
      </c>
      <c r="T114" s="16">
        <f>IF(OR($A114="",L114="",$C114=""),"",IF(COUNTIFS($A$5:$A$639,$A114,$C$5:$C$639,$C114-1,$D$5:$D$639,$D114,L$5:L$639,"&lt;&gt;")=0,"",IF(OR(SUMIFS(L$5:L$639,$A$5:$A$639,$A114,$C$5:$C$639,$C114-1,$D$5:$D$639,$D114)=0,L114*SUMIFS(L$5:L$639,$A$5:$A$639,$A114,$C$5:$C$639,$C114-1,$D$5:$D$639,$D114)&lt;0),"n.s.",ABS(L114)/ABS(SUMIFS(L$5:L$639,$A$5:$A$639,$A114,$C$5:$C$639,$C114-1,$D$5:$D$639,$D114))-1)))</f>
        <v/>
      </c>
      <c r="U114" s="16">
        <f>IF(OR($A114="",M114="",$C114=""),"",IF(COUNTIFS($A$5:$A$639,$A114,$C$5:$C$639,$C114-1,$D$5:$D$639,$D114,M$5:M$639,"&lt;&gt;")=0,"",IF(OR(SUMIFS(M$5:M$639,$A$5:$A$639,$A114,$C$5:$C$639,$C114-1,$D$5:$D$639,$D114)=0,M114*SUMIFS(M$5:M$639,$A$5:$A$639,$A114,$C$5:$C$639,$C114-1,$D$5:$D$639,$D114)&lt;0),"n.s.",ABS(M114)/ABS(SUMIFS(M$5:M$639,$A$5:$A$639,$A114,$C$5:$C$639,$C114-1,$D$5:$D$639,$D114))-1)))</f>
        <v/>
      </c>
    </row>
    <row r="115">
      <c r="A115" s="9" t="inlineStr">
        <is>
          <t>SPHC</t>
        </is>
      </c>
      <c r="B115" s="10">
        <f>IF(A115="","",IFERROR(VLOOKUP(A115,Titres!$A$2:$B$400,2,FALSE),"Ticker inconnu"))</f>
        <v/>
      </c>
      <c r="C115" s="11" t="n">
        <v>2021</v>
      </c>
      <c r="D115" s="11" t="inlineStr">
        <is>
          <t>T3</t>
        </is>
      </c>
      <c r="E115" s="9" t="n"/>
      <c r="F115" s="12" t="n"/>
      <c r="G115" s="9" t="n"/>
      <c r="H115" s="13" t="n"/>
      <c r="I115" s="13" t="n"/>
      <c r="J115" s="13" t="n"/>
      <c r="K115" s="13" t="n"/>
      <c r="L115" s="13" t="n"/>
      <c r="M115" s="13" t="n"/>
      <c r="N115" s="14">
        <f>IF(A115="","",COUNT(H115:M115)/6)</f>
        <v/>
      </c>
      <c r="O115" s="15">
        <f>IF(COUNT(H115:M115)=0,"",IF(LEN(IF(COUNT(I115,J115)=2,IF(J115&gt;I115+1,"EBE &gt; VA ",""),"")&amp;IF(COUNT(H115,M115)=2,IF(ABS(M115)&gt;ABS(H115),"RN &gt; CA ",""),"")&amp;IF(COUNT(H115,K115)=2,IF(ABS(K115)&gt;ABS(H115),"RE &gt; CA ",""),""))=0,"OK",IF(COUNT(I115,J115)=2,IF(J115&gt;I115+1,"EBE &gt; VA ",""),"")&amp;IF(COUNT(H115,M115)=2,IF(ABS(M115)&gt;ABS(H115),"RN &gt; CA ",""),"")&amp;IF(COUNT(H115,K115)=2,IF(ABS(K115)&gt;ABS(H115),"RE &gt; CA ",""),"")))</f>
        <v/>
      </c>
      <c r="P115" s="16">
        <f>IF(OR($A115="",H115="",$C115=""),"",IF(COUNTIFS($A$5:$A$639,$A115,$C$5:$C$639,$C115-1,$D$5:$D$639,$D115,H$5:H$639,"&lt;&gt;")=0,"",IF(OR(SUMIFS(H$5:H$639,$A$5:$A$639,$A115,$C$5:$C$639,$C115-1,$D$5:$D$639,$D115)=0,H115*SUMIFS(H$5:H$639,$A$5:$A$639,$A115,$C$5:$C$639,$C115-1,$D$5:$D$639,$D115)&lt;0),"n.s.",ABS(H115)/ABS(SUMIFS(H$5:H$639,$A$5:$A$639,$A115,$C$5:$C$639,$C115-1,$D$5:$D$639,$D115))-1)))</f>
        <v/>
      </c>
      <c r="Q115" s="16">
        <f>IF(OR($A115="",I115="",$C115=""),"",IF(COUNTIFS($A$5:$A$639,$A115,$C$5:$C$639,$C115-1,$D$5:$D$639,$D115,I$5:I$639,"&lt;&gt;")=0,"",IF(OR(SUMIFS(I$5:I$639,$A$5:$A$639,$A115,$C$5:$C$639,$C115-1,$D$5:$D$639,$D115)=0,I115*SUMIFS(I$5:I$639,$A$5:$A$639,$A115,$C$5:$C$639,$C115-1,$D$5:$D$639,$D115)&lt;0),"n.s.",ABS(I115)/ABS(SUMIFS(I$5:I$639,$A$5:$A$639,$A115,$C$5:$C$639,$C115-1,$D$5:$D$639,$D115))-1)))</f>
        <v/>
      </c>
      <c r="R115" s="16">
        <f>IF(OR($A115="",J115="",$C115=""),"",IF(COUNTIFS($A$5:$A$639,$A115,$C$5:$C$639,$C115-1,$D$5:$D$639,$D115,J$5:J$639,"&lt;&gt;")=0,"",IF(OR(SUMIFS(J$5:J$639,$A$5:$A$639,$A115,$C$5:$C$639,$C115-1,$D$5:$D$639,$D115)=0,J115*SUMIFS(J$5:J$639,$A$5:$A$639,$A115,$C$5:$C$639,$C115-1,$D$5:$D$639,$D115)&lt;0),"n.s.",ABS(J115)/ABS(SUMIFS(J$5:J$639,$A$5:$A$639,$A115,$C$5:$C$639,$C115-1,$D$5:$D$639,$D115))-1)))</f>
        <v/>
      </c>
      <c r="S115" s="16">
        <f>IF(OR($A115="",K115="",$C115=""),"",IF(COUNTIFS($A$5:$A$639,$A115,$C$5:$C$639,$C115-1,$D$5:$D$639,$D115,K$5:K$639,"&lt;&gt;")=0,"",IF(OR(SUMIFS(K$5:K$639,$A$5:$A$639,$A115,$C$5:$C$639,$C115-1,$D$5:$D$639,$D115)=0,K115*SUMIFS(K$5:K$639,$A$5:$A$639,$A115,$C$5:$C$639,$C115-1,$D$5:$D$639,$D115)&lt;0),"n.s.",ABS(K115)/ABS(SUMIFS(K$5:K$639,$A$5:$A$639,$A115,$C$5:$C$639,$C115-1,$D$5:$D$639,$D115))-1)))</f>
        <v/>
      </c>
      <c r="T115" s="16">
        <f>IF(OR($A115="",L115="",$C115=""),"",IF(COUNTIFS($A$5:$A$639,$A115,$C$5:$C$639,$C115-1,$D$5:$D$639,$D115,L$5:L$639,"&lt;&gt;")=0,"",IF(OR(SUMIFS(L$5:L$639,$A$5:$A$639,$A115,$C$5:$C$639,$C115-1,$D$5:$D$639,$D115)=0,L115*SUMIFS(L$5:L$639,$A$5:$A$639,$A115,$C$5:$C$639,$C115-1,$D$5:$D$639,$D115)&lt;0),"n.s.",ABS(L115)/ABS(SUMIFS(L$5:L$639,$A$5:$A$639,$A115,$C$5:$C$639,$C115-1,$D$5:$D$639,$D115))-1)))</f>
        <v/>
      </c>
      <c r="U115" s="16">
        <f>IF(OR($A115="",M115="",$C115=""),"",IF(COUNTIFS($A$5:$A$639,$A115,$C$5:$C$639,$C115-1,$D$5:$D$639,$D115,M$5:M$639,"&lt;&gt;")=0,"",IF(OR(SUMIFS(M$5:M$639,$A$5:$A$639,$A115,$C$5:$C$639,$C115-1,$D$5:$D$639,$D115)=0,M115*SUMIFS(M$5:M$639,$A$5:$A$639,$A115,$C$5:$C$639,$C115-1,$D$5:$D$639,$D115)&lt;0),"n.s.",ABS(M115)/ABS(SUMIFS(M$5:M$639,$A$5:$A$639,$A115,$C$5:$C$639,$C115-1,$D$5:$D$639,$D115))-1)))</f>
        <v/>
      </c>
    </row>
    <row r="116">
      <c r="A116" s="9" t="inlineStr">
        <is>
          <t>SPHC</t>
        </is>
      </c>
      <c r="B116" s="10">
        <f>IF(A116="","",IFERROR(VLOOKUP(A116,Titres!$A$2:$B$400,2,FALSE),"Ticker inconnu"))</f>
        <v/>
      </c>
      <c r="C116" s="11" t="n">
        <v>2022</v>
      </c>
      <c r="D116" s="11" t="inlineStr">
        <is>
          <t>T1</t>
        </is>
      </c>
      <c r="E116" s="9" t="n"/>
      <c r="F116" s="12" t="n"/>
      <c r="G116" s="9" t="n"/>
      <c r="H116" s="13" t="n"/>
      <c r="I116" s="13" t="n"/>
      <c r="J116" s="13" t="n"/>
      <c r="K116" s="13" t="n"/>
      <c r="L116" s="13" t="n"/>
      <c r="M116" s="13" t="n"/>
      <c r="N116" s="14">
        <f>IF(A116="","",COUNT(H116:M116)/6)</f>
        <v/>
      </c>
      <c r="O116" s="15">
        <f>IF(COUNT(H116:M116)=0,"",IF(LEN(IF(COUNT(I116,J116)=2,IF(J116&gt;I116+1,"EBE &gt; VA ",""),"")&amp;IF(COUNT(H116,M116)=2,IF(ABS(M116)&gt;ABS(H116),"RN &gt; CA ",""),"")&amp;IF(COUNT(H116,K116)=2,IF(ABS(K116)&gt;ABS(H116),"RE &gt; CA ",""),""))=0,"OK",IF(COUNT(I116,J116)=2,IF(J116&gt;I116+1,"EBE &gt; VA ",""),"")&amp;IF(COUNT(H116,M116)=2,IF(ABS(M116)&gt;ABS(H116),"RN &gt; CA ",""),"")&amp;IF(COUNT(H116,K116)=2,IF(ABS(K116)&gt;ABS(H116),"RE &gt; CA ",""),"")))</f>
        <v/>
      </c>
      <c r="P116" s="16">
        <f>IF(OR($A116="",H116="",$C116=""),"",IF(COUNTIFS($A$5:$A$639,$A116,$C$5:$C$639,$C116-1,$D$5:$D$639,$D116,H$5:H$639,"&lt;&gt;")=0,"",IF(OR(SUMIFS(H$5:H$639,$A$5:$A$639,$A116,$C$5:$C$639,$C116-1,$D$5:$D$639,$D116)=0,H116*SUMIFS(H$5:H$639,$A$5:$A$639,$A116,$C$5:$C$639,$C116-1,$D$5:$D$639,$D116)&lt;0),"n.s.",ABS(H116)/ABS(SUMIFS(H$5:H$639,$A$5:$A$639,$A116,$C$5:$C$639,$C116-1,$D$5:$D$639,$D116))-1)))</f>
        <v/>
      </c>
      <c r="Q116" s="16">
        <f>IF(OR($A116="",I116="",$C116=""),"",IF(COUNTIFS($A$5:$A$639,$A116,$C$5:$C$639,$C116-1,$D$5:$D$639,$D116,I$5:I$639,"&lt;&gt;")=0,"",IF(OR(SUMIFS(I$5:I$639,$A$5:$A$639,$A116,$C$5:$C$639,$C116-1,$D$5:$D$639,$D116)=0,I116*SUMIFS(I$5:I$639,$A$5:$A$639,$A116,$C$5:$C$639,$C116-1,$D$5:$D$639,$D116)&lt;0),"n.s.",ABS(I116)/ABS(SUMIFS(I$5:I$639,$A$5:$A$639,$A116,$C$5:$C$639,$C116-1,$D$5:$D$639,$D116))-1)))</f>
        <v/>
      </c>
      <c r="R116" s="16">
        <f>IF(OR($A116="",J116="",$C116=""),"",IF(COUNTIFS($A$5:$A$639,$A116,$C$5:$C$639,$C116-1,$D$5:$D$639,$D116,J$5:J$639,"&lt;&gt;")=0,"",IF(OR(SUMIFS(J$5:J$639,$A$5:$A$639,$A116,$C$5:$C$639,$C116-1,$D$5:$D$639,$D116)=0,J116*SUMIFS(J$5:J$639,$A$5:$A$639,$A116,$C$5:$C$639,$C116-1,$D$5:$D$639,$D116)&lt;0),"n.s.",ABS(J116)/ABS(SUMIFS(J$5:J$639,$A$5:$A$639,$A116,$C$5:$C$639,$C116-1,$D$5:$D$639,$D116))-1)))</f>
        <v/>
      </c>
      <c r="S116" s="16">
        <f>IF(OR($A116="",K116="",$C116=""),"",IF(COUNTIFS($A$5:$A$639,$A116,$C$5:$C$639,$C116-1,$D$5:$D$639,$D116,K$5:K$639,"&lt;&gt;")=0,"",IF(OR(SUMIFS(K$5:K$639,$A$5:$A$639,$A116,$C$5:$C$639,$C116-1,$D$5:$D$639,$D116)=0,K116*SUMIFS(K$5:K$639,$A$5:$A$639,$A116,$C$5:$C$639,$C116-1,$D$5:$D$639,$D116)&lt;0),"n.s.",ABS(K116)/ABS(SUMIFS(K$5:K$639,$A$5:$A$639,$A116,$C$5:$C$639,$C116-1,$D$5:$D$639,$D116))-1)))</f>
        <v/>
      </c>
      <c r="T116" s="16">
        <f>IF(OR($A116="",L116="",$C116=""),"",IF(COUNTIFS($A$5:$A$639,$A116,$C$5:$C$639,$C116-1,$D$5:$D$639,$D116,L$5:L$639,"&lt;&gt;")=0,"",IF(OR(SUMIFS(L$5:L$639,$A$5:$A$639,$A116,$C$5:$C$639,$C116-1,$D$5:$D$639,$D116)=0,L116*SUMIFS(L$5:L$639,$A$5:$A$639,$A116,$C$5:$C$639,$C116-1,$D$5:$D$639,$D116)&lt;0),"n.s.",ABS(L116)/ABS(SUMIFS(L$5:L$639,$A$5:$A$639,$A116,$C$5:$C$639,$C116-1,$D$5:$D$639,$D116))-1)))</f>
        <v/>
      </c>
      <c r="U116" s="16">
        <f>IF(OR($A116="",M116="",$C116=""),"",IF(COUNTIFS($A$5:$A$639,$A116,$C$5:$C$639,$C116-1,$D$5:$D$639,$D116,M$5:M$639,"&lt;&gt;")=0,"",IF(OR(SUMIFS(M$5:M$639,$A$5:$A$639,$A116,$C$5:$C$639,$C116-1,$D$5:$D$639,$D116)=0,M116*SUMIFS(M$5:M$639,$A$5:$A$639,$A116,$C$5:$C$639,$C116-1,$D$5:$D$639,$D116)&lt;0),"n.s.",ABS(M116)/ABS(SUMIFS(M$5:M$639,$A$5:$A$639,$A116,$C$5:$C$639,$C116-1,$D$5:$D$639,$D116))-1)))</f>
        <v/>
      </c>
    </row>
    <row r="117">
      <c r="A117" s="9" t="inlineStr">
        <is>
          <t>SPHC</t>
        </is>
      </c>
      <c r="B117" s="10">
        <f>IF(A117="","",IFERROR(VLOOKUP(A117,Titres!$A$2:$B$400,2,FALSE),"Ticker inconnu"))</f>
        <v/>
      </c>
      <c r="C117" s="11" t="n">
        <v>2022</v>
      </c>
      <c r="D117" s="11" t="inlineStr">
        <is>
          <t>S1</t>
        </is>
      </c>
      <c r="E117" s="9" t="n"/>
      <c r="F117" s="12" t="n"/>
      <c r="G117" s="9" t="n"/>
      <c r="H117" s="13" t="n"/>
      <c r="I117" s="13" t="n"/>
      <c r="J117" s="13" t="n"/>
      <c r="K117" s="13" t="n"/>
      <c r="L117" s="13" t="n"/>
      <c r="M117" s="13" t="n"/>
      <c r="N117" s="14">
        <f>IF(A117="","",COUNT(H117:M117)/6)</f>
        <v/>
      </c>
      <c r="O117" s="15">
        <f>IF(COUNT(H117:M117)=0,"",IF(LEN(IF(COUNT(I117,J117)=2,IF(J117&gt;I117+1,"EBE &gt; VA ",""),"")&amp;IF(COUNT(H117,M117)=2,IF(ABS(M117)&gt;ABS(H117),"RN &gt; CA ",""),"")&amp;IF(COUNT(H117,K117)=2,IF(ABS(K117)&gt;ABS(H117),"RE &gt; CA ",""),""))=0,"OK",IF(COUNT(I117,J117)=2,IF(J117&gt;I117+1,"EBE &gt; VA ",""),"")&amp;IF(COUNT(H117,M117)=2,IF(ABS(M117)&gt;ABS(H117),"RN &gt; CA ",""),"")&amp;IF(COUNT(H117,K117)=2,IF(ABS(K117)&gt;ABS(H117),"RE &gt; CA ",""),"")))</f>
        <v/>
      </c>
      <c r="P117" s="16">
        <f>IF(OR($A117="",H117="",$C117=""),"",IF(COUNTIFS($A$5:$A$639,$A117,$C$5:$C$639,$C117-1,$D$5:$D$639,$D117,H$5:H$639,"&lt;&gt;")=0,"",IF(OR(SUMIFS(H$5:H$639,$A$5:$A$639,$A117,$C$5:$C$639,$C117-1,$D$5:$D$639,$D117)=0,H117*SUMIFS(H$5:H$639,$A$5:$A$639,$A117,$C$5:$C$639,$C117-1,$D$5:$D$639,$D117)&lt;0),"n.s.",ABS(H117)/ABS(SUMIFS(H$5:H$639,$A$5:$A$639,$A117,$C$5:$C$639,$C117-1,$D$5:$D$639,$D117))-1)))</f>
        <v/>
      </c>
      <c r="Q117" s="16">
        <f>IF(OR($A117="",I117="",$C117=""),"",IF(COUNTIFS($A$5:$A$639,$A117,$C$5:$C$639,$C117-1,$D$5:$D$639,$D117,I$5:I$639,"&lt;&gt;")=0,"",IF(OR(SUMIFS(I$5:I$639,$A$5:$A$639,$A117,$C$5:$C$639,$C117-1,$D$5:$D$639,$D117)=0,I117*SUMIFS(I$5:I$639,$A$5:$A$639,$A117,$C$5:$C$639,$C117-1,$D$5:$D$639,$D117)&lt;0),"n.s.",ABS(I117)/ABS(SUMIFS(I$5:I$639,$A$5:$A$639,$A117,$C$5:$C$639,$C117-1,$D$5:$D$639,$D117))-1)))</f>
        <v/>
      </c>
      <c r="R117" s="16">
        <f>IF(OR($A117="",J117="",$C117=""),"",IF(COUNTIFS($A$5:$A$639,$A117,$C$5:$C$639,$C117-1,$D$5:$D$639,$D117,J$5:J$639,"&lt;&gt;")=0,"",IF(OR(SUMIFS(J$5:J$639,$A$5:$A$639,$A117,$C$5:$C$639,$C117-1,$D$5:$D$639,$D117)=0,J117*SUMIFS(J$5:J$639,$A$5:$A$639,$A117,$C$5:$C$639,$C117-1,$D$5:$D$639,$D117)&lt;0),"n.s.",ABS(J117)/ABS(SUMIFS(J$5:J$639,$A$5:$A$639,$A117,$C$5:$C$639,$C117-1,$D$5:$D$639,$D117))-1)))</f>
        <v/>
      </c>
      <c r="S117" s="16">
        <f>IF(OR($A117="",K117="",$C117=""),"",IF(COUNTIFS($A$5:$A$639,$A117,$C$5:$C$639,$C117-1,$D$5:$D$639,$D117,K$5:K$639,"&lt;&gt;")=0,"",IF(OR(SUMIFS(K$5:K$639,$A$5:$A$639,$A117,$C$5:$C$639,$C117-1,$D$5:$D$639,$D117)=0,K117*SUMIFS(K$5:K$639,$A$5:$A$639,$A117,$C$5:$C$639,$C117-1,$D$5:$D$639,$D117)&lt;0),"n.s.",ABS(K117)/ABS(SUMIFS(K$5:K$639,$A$5:$A$639,$A117,$C$5:$C$639,$C117-1,$D$5:$D$639,$D117))-1)))</f>
        <v/>
      </c>
      <c r="T117" s="16">
        <f>IF(OR($A117="",L117="",$C117=""),"",IF(COUNTIFS($A$5:$A$639,$A117,$C$5:$C$639,$C117-1,$D$5:$D$639,$D117,L$5:L$639,"&lt;&gt;")=0,"",IF(OR(SUMIFS(L$5:L$639,$A$5:$A$639,$A117,$C$5:$C$639,$C117-1,$D$5:$D$639,$D117)=0,L117*SUMIFS(L$5:L$639,$A$5:$A$639,$A117,$C$5:$C$639,$C117-1,$D$5:$D$639,$D117)&lt;0),"n.s.",ABS(L117)/ABS(SUMIFS(L$5:L$639,$A$5:$A$639,$A117,$C$5:$C$639,$C117-1,$D$5:$D$639,$D117))-1)))</f>
        <v/>
      </c>
      <c r="U117" s="16">
        <f>IF(OR($A117="",M117="",$C117=""),"",IF(COUNTIFS($A$5:$A$639,$A117,$C$5:$C$639,$C117-1,$D$5:$D$639,$D117,M$5:M$639,"&lt;&gt;")=0,"",IF(OR(SUMIFS(M$5:M$639,$A$5:$A$639,$A117,$C$5:$C$639,$C117-1,$D$5:$D$639,$D117)=0,M117*SUMIFS(M$5:M$639,$A$5:$A$639,$A117,$C$5:$C$639,$C117-1,$D$5:$D$639,$D117)&lt;0),"n.s.",ABS(M117)/ABS(SUMIFS(M$5:M$639,$A$5:$A$639,$A117,$C$5:$C$639,$C117-1,$D$5:$D$639,$D117))-1)))</f>
        <v/>
      </c>
    </row>
    <row r="118">
      <c r="A118" s="9" t="inlineStr">
        <is>
          <t>SPHC</t>
        </is>
      </c>
      <c r="B118" s="10">
        <f>IF(A118="","",IFERROR(VLOOKUP(A118,Titres!$A$2:$B$400,2,FALSE),"Ticker inconnu"))</f>
        <v/>
      </c>
      <c r="C118" s="11" t="n">
        <v>2022</v>
      </c>
      <c r="D118" s="11" t="inlineStr">
        <is>
          <t>T3</t>
        </is>
      </c>
      <c r="E118" s="9" t="n"/>
      <c r="F118" s="12" t="n"/>
      <c r="G118" s="9" t="n"/>
      <c r="H118" s="13" t="n"/>
      <c r="I118" s="13" t="n"/>
      <c r="J118" s="13" t="n"/>
      <c r="K118" s="13" t="n"/>
      <c r="L118" s="13" t="n"/>
      <c r="M118" s="13" t="n"/>
      <c r="N118" s="14">
        <f>IF(A118="","",COUNT(H118:M118)/6)</f>
        <v/>
      </c>
      <c r="O118" s="15">
        <f>IF(COUNT(H118:M118)=0,"",IF(LEN(IF(COUNT(I118,J118)=2,IF(J118&gt;I118+1,"EBE &gt; VA ",""),"")&amp;IF(COUNT(H118,M118)=2,IF(ABS(M118)&gt;ABS(H118),"RN &gt; CA ",""),"")&amp;IF(COUNT(H118,K118)=2,IF(ABS(K118)&gt;ABS(H118),"RE &gt; CA ",""),""))=0,"OK",IF(COUNT(I118,J118)=2,IF(J118&gt;I118+1,"EBE &gt; VA ",""),"")&amp;IF(COUNT(H118,M118)=2,IF(ABS(M118)&gt;ABS(H118),"RN &gt; CA ",""),"")&amp;IF(COUNT(H118,K118)=2,IF(ABS(K118)&gt;ABS(H118),"RE &gt; CA ",""),"")))</f>
        <v/>
      </c>
      <c r="P118" s="16">
        <f>IF(OR($A118="",H118="",$C118=""),"",IF(COUNTIFS($A$5:$A$639,$A118,$C$5:$C$639,$C118-1,$D$5:$D$639,$D118,H$5:H$639,"&lt;&gt;")=0,"",IF(OR(SUMIFS(H$5:H$639,$A$5:$A$639,$A118,$C$5:$C$639,$C118-1,$D$5:$D$639,$D118)=0,H118*SUMIFS(H$5:H$639,$A$5:$A$639,$A118,$C$5:$C$639,$C118-1,$D$5:$D$639,$D118)&lt;0),"n.s.",ABS(H118)/ABS(SUMIFS(H$5:H$639,$A$5:$A$639,$A118,$C$5:$C$639,$C118-1,$D$5:$D$639,$D118))-1)))</f>
        <v/>
      </c>
      <c r="Q118" s="16">
        <f>IF(OR($A118="",I118="",$C118=""),"",IF(COUNTIFS($A$5:$A$639,$A118,$C$5:$C$639,$C118-1,$D$5:$D$639,$D118,I$5:I$639,"&lt;&gt;")=0,"",IF(OR(SUMIFS(I$5:I$639,$A$5:$A$639,$A118,$C$5:$C$639,$C118-1,$D$5:$D$639,$D118)=0,I118*SUMIFS(I$5:I$639,$A$5:$A$639,$A118,$C$5:$C$639,$C118-1,$D$5:$D$639,$D118)&lt;0),"n.s.",ABS(I118)/ABS(SUMIFS(I$5:I$639,$A$5:$A$639,$A118,$C$5:$C$639,$C118-1,$D$5:$D$639,$D118))-1)))</f>
        <v/>
      </c>
      <c r="R118" s="16">
        <f>IF(OR($A118="",J118="",$C118=""),"",IF(COUNTIFS($A$5:$A$639,$A118,$C$5:$C$639,$C118-1,$D$5:$D$639,$D118,J$5:J$639,"&lt;&gt;")=0,"",IF(OR(SUMIFS(J$5:J$639,$A$5:$A$639,$A118,$C$5:$C$639,$C118-1,$D$5:$D$639,$D118)=0,J118*SUMIFS(J$5:J$639,$A$5:$A$639,$A118,$C$5:$C$639,$C118-1,$D$5:$D$639,$D118)&lt;0),"n.s.",ABS(J118)/ABS(SUMIFS(J$5:J$639,$A$5:$A$639,$A118,$C$5:$C$639,$C118-1,$D$5:$D$639,$D118))-1)))</f>
        <v/>
      </c>
      <c r="S118" s="16">
        <f>IF(OR($A118="",K118="",$C118=""),"",IF(COUNTIFS($A$5:$A$639,$A118,$C$5:$C$639,$C118-1,$D$5:$D$639,$D118,K$5:K$639,"&lt;&gt;")=0,"",IF(OR(SUMIFS(K$5:K$639,$A$5:$A$639,$A118,$C$5:$C$639,$C118-1,$D$5:$D$639,$D118)=0,K118*SUMIFS(K$5:K$639,$A$5:$A$639,$A118,$C$5:$C$639,$C118-1,$D$5:$D$639,$D118)&lt;0),"n.s.",ABS(K118)/ABS(SUMIFS(K$5:K$639,$A$5:$A$639,$A118,$C$5:$C$639,$C118-1,$D$5:$D$639,$D118))-1)))</f>
        <v/>
      </c>
      <c r="T118" s="16">
        <f>IF(OR($A118="",L118="",$C118=""),"",IF(COUNTIFS($A$5:$A$639,$A118,$C$5:$C$639,$C118-1,$D$5:$D$639,$D118,L$5:L$639,"&lt;&gt;")=0,"",IF(OR(SUMIFS(L$5:L$639,$A$5:$A$639,$A118,$C$5:$C$639,$C118-1,$D$5:$D$639,$D118)=0,L118*SUMIFS(L$5:L$639,$A$5:$A$639,$A118,$C$5:$C$639,$C118-1,$D$5:$D$639,$D118)&lt;0),"n.s.",ABS(L118)/ABS(SUMIFS(L$5:L$639,$A$5:$A$639,$A118,$C$5:$C$639,$C118-1,$D$5:$D$639,$D118))-1)))</f>
        <v/>
      </c>
      <c r="U118" s="16">
        <f>IF(OR($A118="",M118="",$C118=""),"",IF(COUNTIFS($A$5:$A$639,$A118,$C$5:$C$639,$C118-1,$D$5:$D$639,$D118,M$5:M$639,"&lt;&gt;")=0,"",IF(OR(SUMIFS(M$5:M$639,$A$5:$A$639,$A118,$C$5:$C$639,$C118-1,$D$5:$D$639,$D118)=0,M118*SUMIFS(M$5:M$639,$A$5:$A$639,$A118,$C$5:$C$639,$C118-1,$D$5:$D$639,$D118)&lt;0),"n.s.",ABS(M118)/ABS(SUMIFS(M$5:M$639,$A$5:$A$639,$A118,$C$5:$C$639,$C118-1,$D$5:$D$639,$D118))-1)))</f>
        <v/>
      </c>
    </row>
    <row r="119">
      <c r="A119" s="9" t="inlineStr">
        <is>
          <t>SPHC</t>
        </is>
      </c>
      <c r="B119" s="10">
        <f>IF(A119="","",IFERROR(VLOOKUP(A119,Titres!$A$2:$B$400,2,FALSE),"Ticker inconnu"))</f>
        <v/>
      </c>
      <c r="C119" s="11" t="n">
        <v>2023</v>
      </c>
      <c r="D119" s="11" t="inlineStr">
        <is>
          <t>T1</t>
        </is>
      </c>
      <c r="E119" s="9" t="n"/>
      <c r="F119" s="12" t="n"/>
      <c r="G119" s="9" t="n"/>
      <c r="H119" s="13" t="n"/>
      <c r="I119" s="13" t="n"/>
      <c r="J119" s="13" t="n"/>
      <c r="K119" s="13" t="n"/>
      <c r="L119" s="13" t="n"/>
      <c r="M119" s="13" t="n"/>
      <c r="N119" s="14">
        <f>IF(A119="","",COUNT(H119:M119)/6)</f>
        <v/>
      </c>
      <c r="O119" s="15">
        <f>IF(COUNT(H119:M119)=0,"",IF(LEN(IF(COUNT(I119,J119)=2,IF(J119&gt;I119+1,"EBE &gt; VA ",""),"")&amp;IF(COUNT(H119,M119)=2,IF(ABS(M119)&gt;ABS(H119),"RN &gt; CA ",""),"")&amp;IF(COUNT(H119,K119)=2,IF(ABS(K119)&gt;ABS(H119),"RE &gt; CA ",""),""))=0,"OK",IF(COUNT(I119,J119)=2,IF(J119&gt;I119+1,"EBE &gt; VA ",""),"")&amp;IF(COUNT(H119,M119)=2,IF(ABS(M119)&gt;ABS(H119),"RN &gt; CA ",""),"")&amp;IF(COUNT(H119,K119)=2,IF(ABS(K119)&gt;ABS(H119),"RE &gt; CA ",""),"")))</f>
        <v/>
      </c>
      <c r="P119" s="16">
        <f>IF(OR($A119="",H119="",$C119=""),"",IF(COUNTIFS($A$5:$A$639,$A119,$C$5:$C$639,$C119-1,$D$5:$D$639,$D119,H$5:H$639,"&lt;&gt;")=0,"",IF(OR(SUMIFS(H$5:H$639,$A$5:$A$639,$A119,$C$5:$C$639,$C119-1,$D$5:$D$639,$D119)=0,H119*SUMIFS(H$5:H$639,$A$5:$A$639,$A119,$C$5:$C$639,$C119-1,$D$5:$D$639,$D119)&lt;0),"n.s.",ABS(H119)/ABS(SUMIFS(H$5:H$639,$A$5:$A$639,$A119,$C$5:$C$639,$C119-1,$D$5:$D$639,$D119))-1)))</f>
        <v/>
      </c>
      <c r="Q119" s="16">
        <f>IF(OR($A119="",I119="",$C119=""),"",IF(COUNTIFS($A$5:$A$639,$A119,$C$5:$C$639,$C119-1,$D$5:$D$639,$D119,I$5:I$639,"&lt;&gt;")=0,"",IF(OR(SUMIFS(I$5:I$639,$A$5:$A$639,$A119,$C$5:$C$639,$C119-1,$D$5:$D$639,$D119)=0,I119*SUMIFS(I$5:I$639,$A$5:$A$639,$A119,$C$5:$C$639,$C119-1,$D$5:$D$639,$D119)&lt;0),"n.s.",ABS(I119)/ABS(SUMIFS(I$5:I$639,$A$5:$A$639,$A119,$C$5:$C$639,$C119-1,$D$5:$D$639,$D119))-1)))</f>
        <v/>
      </c>
      <c r="R119" s="16">
        <f>IF(OR($A119="",J119="",$C119=""),"",IF(COUNTIFS($A$5:$A$639,$A119,$C$5:$C$639,$C119-1,$D$5:$D$639,$D119,J$5:J$639,"&lt;&gt;")=0,"",IF(OR(SUMIFS(J$5:J$639,$A$5:$A$639,$A119,$C$5:$C$639,$C119-1,$D$5:$D$639,$D119)=0,J119*SUMIFS(J$5:J$639,$A$5:$A$639,$A119,$C$5:$C$639,$C119-1,$D$5:$D$639,$D119)&lt;0),"n.s.",ABS(J119)/ABS(SUMIFS(J$5:J$639,$A$5:$A$639,$A119,$C$5:$C$639,$C119-1,$D$5:$D$639,$D119))-1)))</f>
        <v/>
      </c>
      <c r="S119" s="16">
        <f>IF(OR($A119="",K119="",$C119=""),"",IF(COUNTIFS($A$5:$A$639,$A119,$C$5:$C$639,$C119-1,$D$5:$D$639,$D119,K$5:K$639,"&lt;&gt;")=0,"",IF(OR(SUMIFS(K$5:K$639,$A$5:$A$639,$A119,$C$5:$C$639,$C119-1,$D$5:$D$639,$D119)=0,K119*SUMIFS(K$5:K$639,$A$5:$A$639,$A119,$C$5:$C$639,$C119-1,$D$5:$D$639,$D119)&lt;0),"n.s.",ABS(K119)/ABS(SUMIFS(K$5:K$639,$A$5:$A$639,$A119,$C$5:$C$639,$C119-1,$D$5:$D$639,$D119))-1)))</f>
        <v/>
      </c>
      <c r="T119" s="16">
        <f>IF(OR($A119="",L119="",$C119=""),"",IF(COUNTIFS($A$5:$A$639,$A119,$C$5:$C$639,$C119-1,$D$5:$D$639,$D119,L$5:L$639,"&lt;&gt;")=0,"",IF(OR(SUMIFS(L$5:L$639,$A$5:$A$639,$A119,$C$5:$C$639,$C119-1,$D$5:$D$639,$D119)=0,L119*SUMIFS(L$5:L$639,$A$5:$A$639,$A119,$C$5:$C$639,$C119-1,$D$5:$D$639,$D119)&lt;0),"n.s.",ABS(L119)/ABS(SUMIFS(L$5:L$639,$A$5:$A$639,$A119,$C$5:$C$639,$C119-1,$D$5:$D$639,$D119))-1)))</f>
        <v/>
      </c>
      <c r="U119" s="16">
        <f>IF(OR($A119="",M119="",$C119=""),"",IF(COUNTIFS($A$5:$A$639,$A119,$C$5:$C$639,$C119-1,$D$5:$D$639,$D119,M$5:M$639,"&lt;&gt;")=0,"",IF(OR(SUMIFS(M$5:M$639,$A$5:$A$639,$A119,$C$5:$C$639,$C119-1,$D$5:$D$639,$D119)=0,M119*SUMIFS(M$5:M$639,$A$5:$A$639,$A119,$C$5:$C$639,$C119-1,$D$5:$D$639,$D119)&lt;0),"n.s.",ABS(M119)/ABS(SUMIFS(M$5:M$639,$A$5:$A$639,$A119,$C$5:$C$639,$C119-1,$D$5:$D$639,$D119))-1)))</f>
        <v/>
      </c>
    </row>
    <row r="120">
      <c r="A120" s="9" t="inlineStr">
        <is>
          <t>SPHC</t>
        </is>
      </c>
      <c r="B120" s="10">
        <f>IF(A120="","",IFERROR(VLOOKUP(A120,Titres!$A$2:$B$400,2,FALSE),"Ticker inconnu"))</f>
        <v/>
      </c>
      <c r="C120" s="11" t="n">
        <v>2023</v>
      </c>
      <c r="D120" s="11" t="inlineStr">
        <is>
          <t>S1</t>
        </is>
      </c>
      <c r="E120" s="9" t="n"/>
      <c r="F120" s="12" t="n"/>
      <c r="G120" s="9" t="n"/>
      <c r="H120" s="13" t="n"/>
      <c r="I120" s="13" t="n"/>
      <c r="J120" s="13" t="n"/>
      <c r="K120" s="13" t="n"/>
      <c r="L120" s="13" t="n"/>
      <c r="M120" s="13" t="n"/>
      <c r="N120" s="14">
        <f>IF(A120="","",COUNT(H120:M120)/6)</f>
        <v/>
      </c>
      <c r="O120" s="15">
        <f>IF(COUNT(H120:M120)=0,"",IF(LEN(IF(COUNT(I120,J120)=2,IF(J120&gt;I120+1,"EBE &gt; VA ",""),"")&amp;IF(COUNT(H120,M120)=2,IF(ABS(M120)&gt;ABS(H120),"RN &gt; CA ",""),"")&amp;IF(COUNT(H120,K120)=2,IF(ABS(K120)&gt;ABS(H120),"RE &gt; CA ",""),""))=0,"OK",IF(COUNT(I120,J120)=2,IF(J120&gt;I120+1,"EBE &gt; VA ",""),"")&amp;IF(COUNT(H120,M120)=2,IF(ABS(M120)&gt;ABS(H120),"RN &gt; CA ",""),"")&amp;IF(COUNT(H120,K120)=2,IF(ABS(K120)&gt;ABS(H120),"RE &gt; CA ",""),"")))</f>
        <v/>
      </c>
      <c r="P120" s="16">
        <f>IF(OR($A120="",H120="",$C120=""),"",IF(COUNTIFS($A$5:$A$639,$A120,$C$5:$C$639,$C120-1,$D$5:$D$639,$D120,H$5:H$639,"&lt;&gt;")=0,"",IF(OR(SUMIFS(H$5:H$639,$A$5:$A$639,$A120,$C$5:$C$639,$C120-1,$D$5:$D$639,$D120)=0,H120*SUMIFS(H$5:H$639,$A$5:$A$639,$A120,$C$5:$C$639,$C120-1,$D$5:$D$639,$D120)&lt;0),"n.s.",ABS(H120)/ABS(SUMIFS(H$5:H$639,$A$5:$A$639,$A120,$C$5:$C$639,$C120-1,$D$5:$D$639,$D120))-1)))</f>
        <v/>
      </c>
      <c r="Q120" s="16">
        <f>IF(OR($A120="",I120="",$C120=""),"",IF(COUNTIFS($A$5:$A$639,$A120,$C$5:$C$639,$C120-1,$D$5:$D$639,$D120,I$5:I$639,"&lt;&gt;")=0,"",IF(OR(SUMIFS(I$5:I$639,$A$5:$A$639,$A120,$C$5:$C$639,$C120-1,$D$5:$D$639,$D120)=0,I120*SUMIFS(I$5:I$639,$A$5:$A$639,$A120,$C$5:$C$639,$C120-1,$D$5:$D$639,$D120)&lt;0),"n.s.",ABS(I120)/ABS(SUMIFS(I$5:I$639,$A$5:$A$639,$A120,$C$5:$C$639,$C120-1,$D$5:$D$639,$D120))-1)))</f>
        <v/>
      </c>
      <c r="R120" s="16">
        <f>IF(OR($A120="",J120="",$C120=""),"",IF(COUNTIFS($A$5:$A$639,$A120,$C$5:$C$639,$C120-1,$D$5:$D$639,$D120,J$5:J$639,"&lt;&gt;")=0,"",IF(OR(SUMIFS(J$5:J$639,$A$5:$A$639,$A120,$C$5:$C$639,$C120-1,$D$5:$D$639,$D120)=0,J120*SUMIFS(J$5:J$639,$A$5:$A$639,$A120,$C$5:$C$639,$C120-1,$D$5:$D$639,$D120)&lt;0),"n.s.",ABS(J120)/ABS(SUMIFS(J$5:J$639,$A$5:$A$639,$A120,$C$5:$C$639,$C120-1,$D$5:$D$639,$D120))-1)))</f>
        <v/>
      </c>
      <c r="S120" s="16">
        <f>IF(OR($A120="",K120="",$C120=""),"",IF(COUNTIFS($A$5:$A$639,$A120,$C$5:$C$639,$C120-1,$D$5:$D$639,$D120,K$5:K$639,"&lt;&gt;")=0,"",IF(OR(SUMIFS(K$5:K$639,$A$5:$A$639,$A120,$C$5:$C$639,$C120-1,$D$5:$D$639,$D120)=0,K120*SUMIFS(K$5:K$639,$A$5:$A$639,$A120,$C$5:$C$639,$C120-1,$D$5:$D$639,$D120)&lt;0),"n.s.",ABS(K120)/ABS(SUMIFS(K$5:K$639,$A$5:$A$639,$A120,$C$5:$C$639,$C120-1,$D$5:$D$639,$D120))-1)))</f>
        <v/>
      </c>
      <c r="T120" s="16">
        <f>IF(OR($A120="",L120="",$C120=""),"",IF(COUNTIFS($A$5:$A$639,$A120,$C$5:$C$639,$C120-1,$D$5:$D$639,$D120,L$5:L$639,"&lt;&gt;")=0,"",IF(OR(SUMIFS(L$5:L$639,$A$5:$A$639,$A120,$C$5:$C$639,$C120-1,$D$5:$D$639,$D120)=0,L120*SUMIFS(L$5:L$639,$A$5:$A$639,$A120,$C$5:$C$639,$C120-1,$D$5:$D$639,$D120)&lt;0),"n.s.",ABS(L120)/ABS(SUMIFS(L$5:L$639,$A$5:$A$639,$A120,$C$5:$C$639,$C120-1,$D$5:$D$639,$D120))-1)))</f>
        <v/>
      </c>
      <c r="U120" s="16">
        <f>IF(OR($A120="",M120="",$C120=""),"",IF(COUNTIFS($A$5:$A$639,$A120,$C$5:$C$639,$C120-1,$D$5:$D$639,$D120,M$5:M$639,"&lt;&gt;")=0,"",IF(OR(SUMIFS(M$5:M$639,$A$5:$A$639,$A120,$C$5:$C$639,$C120-1,$D$5:$D$639,$D120)=0,M120*SUMIFS(M$5:M$639,$A$5:$A$639,$A120,$C$5:$C$639,$C120-1,$D$5:$D$639,$D120)&lt;0),"n.s.",ABS(M120)/ABS(SUMIFS(M$5:M$639,$A$5:$A$639,$A120,$C$5:$C$639,$C120-1,$D$5:$D$639,$D120))-1)))</f>
        <v/>
      </c>
    </row>
    <row r="121">
      <c r="A121" s="9" t="inlineStr">
        <is>
          <t>SPHC</t>
        </is>
      </c>
      <c r="B121" s="10">
        <f>IF(A121="","",IFERROR(VLOOKUP(A121,Titres!$A$2:$B$400,2,FALSE),"Ticker inconnu"))</f>
        <v/>
      </c>
      <c r="C121" s="11" t="n">
        <v>2023</v>
      </c>
      <c r="D121" s="11" t="inlineStr">
        <is>
          <t>T3</t>
        </is>
      </c>
      <c r="E121" s="9" t="n"/>
      <c r="F121" s="12" t="n"/>
      <c r="G121" s="9" t="n"/>
      <c r="H121" s="13" t="n"/>
      <c r="I121" s="13" t="n"/>
      <c r="J121" s="13" t="n"/>
      <c r="K121" s="13" t="n"/>
      <c r="L121" s="13" t="n"/>
      <c r="M121" s="13" t="n"/>
      <c r="N121" s="14">
        <f>IF(A121="","",COUNT(H121:M121)/6)</f>
        <v/>
      </c>
      <c r="O121" s="15">
        <f>IF(COUNT(H121:M121)=0,"",IF(LEN(IF(COUNT(I121,J121)=2,IF(J121&gt;I121+1,"EBE &gt; VA ",""),"")&amp;IF(COUNT(H121,M121)=2,IF(ABS(M121)&gt;ABS(H121),"RN &gt; CA ",""),"")&amp;IF(COUNT(H121,K121)=2,IF(ABS(K121)&gt;ABS(H121),"RE &gt; CA ",""),""))=0,"OK",IF(COUNT(I121,J121)=2,IF(J121&gt;I121+1,"EBE &gt; VA ",""),"")&amp;IF(COUNT(H121,M121)=2,IF(ABS(M121)&gt;ABS(H121),"RN &gt; CA ",""),"")&amp;IF(COUNT(H121,K121)=2,IF(ABS(K121)&gt;ABS(H121),"RE &gt; CA ",""),"")))</f>
        <v/>
      </c>
      <c r="P121" s="16">
        <f>IF(OR($A121="",H121="",$C121=""),"",IF(COUNTIFS($A$5:$A$639,$A121,$C$5:$C$639,$C121-1,$D$5:$D$639,$D121,H$5:H$639,"&lt;&gt;")=0,"",IF(OR(SUMIFS(H$5:H$639,$A$5:$A$639,$A121,$C$5:$C$639,$C121-1,$D$5:$D$639,$D121)=0,H121*SUMIFS(H$5:H$639,$A$5:$A$639,$A121,$C$5:$C$639,$C121-1,$D$5:$D$639,$D121)&lt;0),"n.s.",ABS(H121)/ABS(SUMIFS(H$5:H$639,$A$5:$A$639,$A121,$C$5:$C$639,$C121-1,$D$5:$D$639,$D121))-1)))</f>
        <v/>
      </c>
      <c r="Q121" s="16">
        <f>IF(OR($A121="",I121="",$C121=""),"",IF(COUNTIFS($A$5:$A$639,$A121,$C$5:$C$639,$C121-1,$D$5:$D$639,$D121,I$5:I$639,"&lt;&gt;")=0,"",IF(OR(SUMIFS(I$5:I$639,$A$5:$A$639,$A121,$C$5:$C$639,$C121-1,$D$5:$D$639,$D121)=0,I121*SUMIFS(I$5:I$639,$A$5:$A$639,$A121,$C$5:$C$639,$C121-1,$D$5:$D$639,$D121)&lt;0),"n.s.",ABS(I121)/ABS(SUMIFS(I$5:I$639,$A$5:$A$639,$A121,$C$5:$C$639,$C121-1,$D$5:$D$639,$D121))-1)))</f>
        <v/>
      </c>
      <c r="R121" s="16">
        <f>IF(OR($A121="",J121="",$C121=""),"",IF(COUNTIFS($A$5:$A$639,$A121,$C$5:$C$639,$C121-1,$D$5:$D$639,$D121,J$5:J$639,"&lt;&gt;")=0,"",IF(OR(SUMIFS(J$5:J$639,$A$5:$A$639,$A121,$C$5:$C$639,$C121-1,$D$5:$D$639,$D121)=0,J121*SUMIFS(J$5:J$639,$A$5:$A$639,$A121,$C$5:$C$639,$C121-1,$D$5:$D$639,$D121)&lt;0),"n.s.",ABS(J121)/ABS(SUMIFS(J$5:J$639,$A$5:$A$639,$A121,$C$5:$C$639,$C121-1,$D$5:$D$639,$D121))-1)))</f>
        <v/>
      </c>
      <c r="S121" s="16">
        <f>IF(OR($A121="",K121="",$C121=""),"",IF(COUNTIFS($A$5:$A$639,$A121,$C$5:$C$639,$C121-1,$D$5:$D$639,$D121,K$5:K$639,"&lt;&gt;")=0,"",IF(OR(SUMIFS(K$5:K$639,$A$5:$A$639,$A121,$C$5:$C$639,$C121-1,$D$5:$D$639,$D121)=0,K121*SUMIFS(K$5:K$639,$A$5:$A$639,$A121,$C$5:$C$639,$C121-1,$D$5:$D$639,$D121)&lt;0),"n.s.",ABS(K121)/ABS(SUMIFS(K$5:K$639,$A$5:$A$639,$A121,$C$5:$C$639,$C121-1,$D$5:$D$639,$D121))-1)))</f>
        <v/>
      </c>
      <c r="T121" s="16">
        <f>IF(OR($A121="",L121="",$C121=""),"",IF(COUNTIFS($A$5:$A$639,$A121,$C$5:$C$639,$C121-1,$D$5:$D$639,$D121,L$5:L$639,"&lt;&gt;")=0,"",IF(OR(SUMIFS(L$5:L$639,$A$5:$A$639,$A121,$C$5:$C$639,$C121-1,$D$5:$D$639,$D121)=0,L121*SUMIFS(L$5:L$639,$A$5:$A$639,$A121,$C$5:$C$639,$C121-1,$D$5:$D$639,$D121)&lt;0),"n.s.",ABS(L121)/ABS(SUMIFS(L$5:L$639,$A$5:$A$639,$A121,$C$5:$C$639,$C121-1,$D$5:$D$639,$D121))-1)))</f>
        <v/>
      </c>
      <c r="U121" s="16">
        <f>IF(OR($A121="",M121="",$C121=""),"",IF(COUNTIFS($A$5:$A$639,$A121,$C$5:$C$639,$C121-1,$D$5:$D$639,$D121,M$5:M$639,"&lt;&gt;")=0,"",IF(OR(SUMIFS(M$5:M$639,$A$5:$A$639,$A121,$C$5:$C$639,$C121-1,$D$5:$D$639,$D121)=0,M121*SUMIFS(M$5:M$639,$A$5:$A$639,$A121,$C$5:$C$639,$C121-1,$D$5:$D$639,$D121)&lt;0),"n.s.",ABS(M121)/ABS(SUMIFS(M$5:M$639,$A$5:$A$639,$A121,$C$5:$C$639,$C121-1,$D$5:$D$639,$D121))-1)))</f>
        <v/>
      </c>
    </row>
    <row r="122">
      <c r="A122" s="9" t="inlineStr">
        <is>
          <t>SPHC</t>
        </is>
      </c>
      <c r="B122" s="10">
        <f>IF(A122="","",IFERROR(VLOOKUP(A122,Titres!$A$2:$B$400,2,FALSE),"Ticker inconnu"))</f>
        <v/>
      </c>
      <c r="C122" s="11" t="n">
        <v>2024</v>
      </c>
      <c r="D122" s="11" t="inlineStr">
        <is>
          <t>T1</t>
        </is>
      </c>
      <c r="E122" s="9" t="n"/>
      <c r="F122" s="12" t="n"/>
      <c r="G122" s="9" t="n"/>
      <c r="H122" s="13" t="n"/>
      <c r="I122" s="13" t="n"/>
      <c r="J122" s="13" t="n"/>
      <c r="K122" s="13" t="n"/>
      <c r="L122" s="13" t="n"/>
      <c r="M122" s="13" t="n"/>
      <c r="N122" s="14">
        <f>IF(A122="","",COUNT(H122:M122)/6)</f>
        <v/>
      </c>
      <c r="O122" s="15">
        <f>IF(COUNT(H122:M122)=0,"",IF(LEN(IF(COUNT(I122,J122)=2,IF(J122&gt;I122+1,"EBE &gt; VA ",""),"")&amp;IF(COUNT(H122,M122)=2,IF(ABS(M122)&gt;ABS(H122),"RN &gt; CA ",""),"")&amp;IF(COUNT(H122,K122)=2,IF(ABS(K122)&gt;ABS(H122),"RE &gt; CA ",""),""))=0,"OK",IF(COUNT(I122,J122)=2,IF(J122&gt;I122+1,"EBE &gt; VA ",""),"")&amp;IF(COUNT(H122,M122)=2,IF(ABS(M122)&gt;ABS(H122),"RN &gt; CA ",""),"")&amp;IF(COUNT(H122,K122)=2,IF(ABS(K122)&gt;ABS(H122),"RE &gt; CA ",""),"")))</f>
        <v/>
      </c>
      <c r="P122" s="16">
        <f>IF(OR($A122="",H122="",$C122=""),"",IF(COUNTIFS($A$5:$A$639,$A122,$C$5:$C$639,$C122-1,$D$5:$D$639,$D122,H$5:H$639,"&lt;&gt;")=0,"",IF(OR(SUMIFS(H$5:H$639,$A$5:$A$639,$A122,$C$5:$C$639,$C122-1,$D$5:$D$639,$D122)=0,H122*SUMIFS(H$5:H$639,$A$5:$A$639,$A122,$C$5:$C$639,$C122-1,$D$5:$D$639,$D122)&lt;0),"n.s.",ABS(H122)/ABS(SUMIFS(H$5:H$639,$A$5:$A$639,$A122,$C$5:$C$639,$C122-1,$D$5:$D$639,$D122))-1)))</f>
        <v/>
      </c>
      <c r="Q122" s="16">
        <f>IF(OR($A122="",I122="",$C122=""),"",IF(COUNTIFS($A$5:$A$639,$A122,$C$5:$C$639,$C122-1,$D$5:$D$639,$D122,I$5:I$639,"&lt;&gt;")=0,"",IF(OR(SUMIFS(I$5:I$639,$A$5:$A$639,$A122,$C$5:$C$639,$C122-1,$D$5:$D$639,$D122)=0,I122*SUMIFS(I$5:I$639,$A$5:$A$639,$A122,$C$5:$C$639,$C122-1,$D$5:$D$639,$D122)&lt;0),"n.s.",ABS(I122)/ABS(SUMIFS(I$5:I$639,$A$5:$A$639,$A122,$C$5:$C$639,$C122-1,$D$5:$D$639,$D122))-1)))</f>
        <v/>
      </c>
      <c r="R122" s="16">
        <f>IF(OR($A122="",J122="",$C122=""),"",IF(COUNTIFS($A$5:$A$639,$A122,$C$5:$C$639,$C122-1,$D$5:$D$639,$D122,J$5:J$639,"&lt;&gt;")=0,"",IF(OR(SUMIFS(J$5:J$639,$A$5:$A$639,$A122,$C$5:$C$639,$C122-1,$D$5:$D$639,$D122)=0,J122*SUMIFS(J$5:J$639,$A$5:$A$639,$A122,$C$5:$C$639,$C122-1,$D$5:$D$639,$D122)&lt;0),"n.s.",ABS(J122)/ABS(SUMIFS(J$5:J$639,$A$5:$A$639,$A122,$C$5:$C$639,$C122-1,$D$5:$D$639,$D122))-1)))</f>
        <v/>
      </c>
      <c r="S122" s="16">
        <f>IF(OR($A122="",K122="",$C122=""),"",IF(COUNTIFS($A$5:$A$639,$A122,$C$5:$C$639,$C122-1,$D$5:$D$639,$D122,K$5:K$639,"&lt;&gt;")=0,"",IF(OR(SUMIFS(K$5:K$639,$A$5:$A$639,$A122,$C$5:$C$639,$C122-1,$D$5:$D$639,$D122)=0,K122*SUMIFS(K$5:K$639,$A$5:$A$639,$A122,$C$5:$C$639,$C122-1,$D$5:$D$639,$D122)&lt;0),"n.s.",ABS(K122)/ABS(SUMIFS(K$5:K$639,$A$5:$A$639,$A122,$C$5:$C$639,$C122-1,$D$5:$D$639,$D122))-1)))</f>
        <v/>
      </c>
      <c r="T122" s="16">
        <f>IF(OR($A122="",L122="",$C122=""),"",IF(COUNTIFS($A$5:$A$639,$A122,$C$5:$C$639,$C122-1,$D$5:$D$639,$D122,L$5:L$639,"&lt;&gt;")=0,"",IF(OR(SUMIFS(L$5:L$639,$A$5:$A$639,$A122,$C$5:$C$639,$C122-1,$D$5:$D$639,$D122)=0,L122*SUMIFS(L$5:L$639,$A$5:$A$639,$A122,$C$5:$C$639,$C122-1,$D$5:$D$639,$D122)&lt;0),"n.s.",ABS(L122)/ABS(SUMIFS(L$5:L$639,$A$5:$A$639,$A122,$C$5:$C$639,$C122-1,$D$5:$D$639,$D122))-1)))</f>
        <v/>
      </c>
      <c r="U122" s="16">
        <f>IF(OR($A122="",M122="",$C122=""),"",IF(COUNTIFS($A$5:$A$639,$A122,$C$5:$C$639,$C122-1,$D$5:$D$639,$D122,M$5:M$639,"&lt;&gt;")=0,"",IF(OR(SUMIFS(M$5:M$639,$A$5:$A$639,$A122,$C$5:$C$639,$C122-1,$D$5:$D$639,$D122)=0,M122*SUMIFS(M$5:M$639,$A$5:$A$639,$A122,$C$5:$C$639,$C122-1,$D$5:$D$639,$D122)&lt;0),"n.s.",ABS(M122)/ABS(SUMIFS(M$5:M$639,$A$5:$A$639,$A122,$C$5:$C$639,$C122-1,$D$5:$D$639,$D122))-1)))</f>
        <v/>
      </c>
    </row>
    <row r="123">
      <c r="A123" s="9" t="inlineStr">
        <is>
          <t>SPHC</t>
        </is>
      </c>
      <c r="B123" s="10">
        <f>IF(A123="","",IFERROR(VLOOKUP(A123,Titres!$A$2:$B$400,2,FALSE),"Ticker inconnu"))</f>
        <v/>
      </c>
      <c r="C123" s="11" t="n">
        <v>2024</v>
      </c>
      <c r="D123" s="11" t="inlineStr">
        <is>
          <t>S1</t>
        </is>
      </c>
      <c r="E123" s="9" t="n"/>
      <c r="F123" s="12" t="n"/>
      <c r="G123" s="9" t="n"/>
      <c r="H123" s="13" t="n"/>
      <c r="I123" s="13" t="n"/>
      <c r="J123" s="13" t="n"/>
      <c r="K123" s="13" t="n"/>
      <c r="L123" s="13" t="n"/>
      <c r="M123" s="13" t="n"/>
      <c r="N123" s="14">
        <f>IF(A123="","",COUNT(H123:M123)/6)</f>
        <v/>
      </c>
      <c r="O123" s="15">
        <f>IF(COUNT(H123:M123)=0,"",IF(LEN(IF(COUNT(I123,J123)=2,IF(J123&gt;I123+1,"EBE &gt; VA ",""),"")&amp;IF(COUNT(H123,M123)=2,IF(ABS(M123)&gt;ABS(H123),"RN &gt; CA ",""),"")&amp;IF(COUNT(H123,K123)=2,IF(ABS(K123)&gt;ABS(H123),"RE &gt; CA ",""),""))=0,"OK",IF(COUNT(I123,J123)=2,IF(J123&gt;I123+1,"EBE &gt; VA ",""),"")&amp;IF(COUNT(H123,M123)=2,IF(ABS(M123)&gt;ABS(H123),"RN &gt; CA ",""),"")&amp;IF(COUNT(H123,K123)=2,IF(ABS(K123)&gt;ABS(H123),"RE &gt; CA ",""),"")))</f>
        <v/>
      </c>
      <c r="P123" s="16">
        <f>IF(OR($A123="",H123="",$C123=""),"",IF(COUNTIFS($A$5:$A$639,$A123,$C$5:$C$639,$C123-1,$D$5:$D$639,$D123,H$5:H$639,"&lt;&gt;")=0,"",IF(OR(SUMIFS(H$5:H$639,$A$5:$A$639,$A123,$C$5:$C$639,$C123-1,$D$5:$D$639,$D123)=0,H123*SUMIFS(H$5:H$639,$A$5:$A$639,$A123,$C$5:$C$639,$C123-1,$D$5:$D$639,$D123)&lt;0),"n.s.",ABS(H123)/ABS(SUMIFS(H$5:H$639,$A$5:$A$639,$A123,$C$5:$C$639,$C123-1,$D$5:$D$639,$D123))-1)))</f>
        <v/>
      </c>
      <c r="Q123" s="16">
        <f>IF(OR($A123="",I123="",$C123=""),"",IF(COUNTIFS($A$5:$A$639,$A123,$C$5:$C$639,$C123-1,$D$5:$D$639,$D123,I$5:I$639,"&lt;&gt;")=0,"",IF(OR(SUMIFS(I$5:I$639,$A$5:$A$639,$A123,$C$5:$C$639,$C123-1,$D$5:$D$639,$D123)=0,I123*SUMIFS(I$5:I$639,$A$5:$A$639,$A123,$C$5:$C$639,$C123-1,$D$5:$D$639,$D123)&lt;0),"n.s.",ABS(I123)/ABS(SUMIFS(I$5:I$639,$A$5:$A$639,$A123,$C$5:$C$639,$C123-1,$D$5:$D$639,$D123))-1)))</f>
        <v/>
      </c>
      <c r="R123" s="16">
        <f>IF(OR($A123="",J123="",$C123=""),"",IF(COUNTIFS($A$5:$A$639,$A123,$C$5:$C$639,$C123-1,$D$5:$D$639,$D123,J$5:J$639,"&lt;&gt;")=0,"",IF(OR(SUMIFS(J$5:J$639,$A$5:$A$639,$A123,$C$5:$C$639,$C123-1,$D$5:$D$639,$D123)=0,J123*SUMIFS(J$5:J$639,$A$5:$A$639,$A123,$C$5:$C$639,$C123-1,$D$5:$D$639,$D123)&lt;0),"n.s.",ABS(J123)/ABS(SUMIFS(J$5:J$639,$A$5:$A$639,$A123,$C$5:$C$639,$C123-1,$D$5:$D$639,$D123))-1)))</f>
        <v/>
      </c>
      <c r="S123" s="16">
        <f>IF(OR($A123="",K123="",$C123=""),"",IF(COUNTIFS($A$5:$A$639,$A123,$C$5:$C$639,$C123-1,$D$5:$D$639,$D123,K$5:K$639,"&lt;&gt;")=0,"",IF(OR(SUMIFS(K$5:K$639,$A$5:$A$639,$A123,$C$5:$C$639,$C123-1,$D$5:$D$639,$D123)=0,K123*SUMIFS(K$5:K$639,$A$5:$A$639,$A123,$C$5:$C$639,$C123-1,$D$5:$D$639,$D123)&lt;0),"n.s.",ABS(K123)/ABS(SUMIFS(K$5:K$639,$A$5:$A$639,$A123,$C$5:$C$639,$C123-1,$D$5:$D$639,$D123))-1)))</f>
        <v/>
      </c>
      <c r="T123" s="16">
        <f>IF(OR($A123="",L123="",$C123=""),"",IF(COUNTIFS($A$5:$A$639,$A123,$C$5:$C$639,$C123-1,$D$5:$D$639,$D123,L$5:L$639,"&lt;&gt;")=0,"",IF(OR(SUMIFS(L$5:L$639,$A$5:$A$639,$A123,$C$5:$C$639,$C123-1,$D$5:$D$639,$D123)=0,L123*SUMIFS(L$5:L$639,$A$5:$A$639,$A123,$C$5:$C$639,$C123-1,$D$5:$D$639,$D123)&lt;0),"n.s.",ABS(L123)/ABS(SUMIFS(L$5:L$639,$A$5:$A$639,$A123,$C$5:$C$639,$C123-1,$D$5:$D$639,$D123))-1)))</f>
        <v/>
      </c>
      <c r="U123" s="16">
        <f>IF(OR($A123="",M123="",$C123=""),"",IF(COUNTIFS($A$5:$A$639,$A123,$C$5:$C$639,$C123-1,$D$5:$D$639,$D123,M$5:M$639,"&lt;&gt;")=0,"",IF(OR(SUMIFS(M$5:M$639,$A$5:$A$639,$A123,$C$5:$C$639,$C123-1,$D$5:$D$639,$D123)=0,M123*SUMIFS(M$5:M$639,$A$5:$A$639,$A123,$C$5:$C$639,$C123-1,$D$5:$D$639,$D123)&lt;0),"n.s.",ABS(M123)/ABS(SUMIFS(M$5:M$639,$A$5:$A$639,$A123,$C$5:$C$639,$C123-1,$D$5:$D$639,$D123))-1)))</f>
        <v/>
      </c>
    </row>
    <row r="124">
      <c r="A124" s="9" t="inlineStr">
        <is>
          <t>SPHC</t>
        </is>
      </c>
      <c r="B124" s="10">
        <f>IF(A124="","",IFERROR(VLOOKUP(A124,Titres!$A$2:$B$400,2,FALSE),"Ticker inconnu"))</f>
        <v/>
      </c>
      <c r="C124" s="11" t="n">
        <v>2024</v>
      </c>
      <c r="D124" s="11" t="inlineStr">
        <is>
          <t>T3</t>
        </is>
      </c>
      <c r="E124" s="9" t="n"/>
      <c r="F124" s="12" t="n"/>
      <c r="G124" s="9" t="n"/>
      <c r="H124" s="13" t="n"/>
      <c r="I124" s="13" t="n"/>
      <c r="J124" s="13" t="n"/>
      <c r="K124" s="13" t="n"/>
      <c r="L124" s="13" t="n"/>
      <c r="M124" s="13" t="n"/>
      <c r="N124" s="14">
        <f>IF(A124="","",COUNT(H124:M124)/6)</f>
        <v/>
      </c>
      <c r="O124" s="15">
        <f>IF(COUNT(H124:M124)=0,"",IF(LEN(IF(COUNT(I124,J124)=2,IF(J124&gt;I124+1,"EBE &gt; VA ",""),"")&amp;IF(COUNT(H124,M124)=2,IF(ABS(M124)&gt;ABS(H124),"RN &gt; CA ",""),"")&amp;IF(COUNT(H124,K124)=2,IF(ABS(K124)&gt;ABS(H124),"RE &gt; CA ",""),""))=0,"OK",IF(COUNT(I124,J124)=2,IF(J124&gt;I124+1,"EBE &gt; VA ",""),"")&amp;IF(COUNT(H124,M124)=2,IF(ABS(M124)&gt;ABS(H124),"RN &gt; CA ",""),"")&amp;IF(COUNT(H124,K124)=2,IF(ABS(K124)&gt;ABS(H124),"RE &gt; CA ",""),"")))</f>
        <v/>
      </c>
      <c r="P124" s="16">
        <f>IF(OR($A124="",H124="",$C124=""),"",IF(COUNTIFS($A$5:$A$639,$A124,$C$5:$C$639,$C124-1,$D$5:$D$639,$D124,H$5:H$639,"&lt;&gt;")=0,"",IF(OR(SUMIFS(H$5:H$639,$A$5:$A$639,$A124,$C$5:$C$639,$C124-1,$D$5:$D$639,$D124)=0,H124*SUMIFS(H$5:H$639,$A$5:$A$639,$A124,$C$5:$C$639,$C124-1,$D$5:$D$639,$D124)&lt;0),"n.s.",ABS(H124)/ABS(SUMIFS(H$5:H$639,$A$5:$A$639,$A124,$C$5:$C$639,$C124-1,$D$5:$D$639,$D124))-1)))</f>
        <v/>
      </c>
      <c r="Q124" s="16">
        <f>IF(OR($A124="",I124="",$C124=""),"",IF(COUNTIFS($A$5:$A$639,$A124,$C$5:$C$639,$C124-1,$D$5:$D$639,$D124,I$5:I$639,"&lt;&gt;")=0,"",IF(OR(SUMIFS(I$5:I$639,$A$5:$A$639,$A124,$C$5:$C$639,$C124-1,$D$5:$D$639,$D124)=0,I124*SUMIFS(I$5:I$639,$A$5:$A$639,$A124,$C$5:$C$639,$C124-1,$D$5:$D$639,$D124)&lt;0),"n.s.",ABS(I124)/ABS(SUMIFS(I$5:I$639,$A$5:$A$639,$A124,$C$5:$C$639,$C124-1,$D$5:$D$639,$D124))-1)))</f>
        <v/>
      </c>
      <c r="R124" s="16">
        <f>IF(OR($A124="",J124="",$C124=""),"",IF(COUNTIFS($A$5:$A$639,$A124,$C$5:$C$639,$C124-1,$D$5:$D$639,$D124,J$5:J$639,"&lt;&gt;")=0,"",IF(OR(SUMIFS(J$5:J$639,$A$5:$A$639,$A124,$C$5:$C$639,$C124-1,$D$5:$D$639,$D124)=0,J124*SUMIFS(J$5:J$639,$A$5:$A$639,$A124,$C$5:$C$639,$C124-1,$D$5:$D$639,$D124)&lt;0),"n.s.",ABS(J124)/ABS(SUMIFS(J$5:J$639,$A$5:$A$639,$A124,$C$5:$C$639,$C124-1,$D$5:$D$639,$D124))-1)))</f>
        <v/>
      </c>
      <c r="S124" s="16">
        <f>IF(OR($A124="",K124="",$C124=""),"",IF(COUNTIFS($A$5:$A$639,$A124,$C$5:$C$639,$C124-1,$D$5:$D$639,$D124,K$5:K$639,"&lt;&gt;")=0,"",IF(OR(SUMIFS(K$5:K$639,$A$5:$A$639,$A124,$C$5:$C$639,$C124-1,$D$5:$D$639,$D124)=0,K124*SUMIFS(K$5:K$639,$A$5:$A$639,$A124,$C$5:$C$639,$C124-1,$D$5:$D$639,$D124)&lt;0),"n.s.",ABS(K124)/ABS(SUMIFS(K$5:K$639,$A$5:$A$639,$A124,$C$5:$C$639,$C124-1,$D$5:$D$639,$D124))-1)))</f>
        <v/>
      </c>
      <c r="T124" s="16">
        <f>IF(OR($A124="",L124="",$C124=""),"",IF(COUNTIFS($A$5:$A$639,$A124,$C$5:$C$639,$C124-1,$D$5:$D$639,$D124,L$5:L$639,"&lt;&gt;")=0,"",IF(OR(SUMIFS(L$5:L$639,$A$5:$A$639,$A124,$C$5:$C$639,$C124-1,$D$5:$D$639,$D124)=0,L124*SUMIFS(L$5:L$639,$A$5:$A$639,$A124,$C$5:$C$639,$C124-1,$D$5:$D$639,$D124)&lt;0),"n.s.",ABS(L124)/ABS(SUMIFS(L$5:L$639,$A$5:$A$639,$A124,$C$5:$C$639,$C124-1,$D$5:$D$639,$D124))-1)))</f>
        <v/>
      </c>
      <c r="U124" s="16">
        <f>IF(OR($A124="",M124="",$C124=""),"",IF(COUNTIFS($A$5:$A$639,$A124,$C$5:$C$639,$C124-1,$D$5:$D$639,$D124,M$5:M$639,"&lt;&gt;")=0,"",IF(OR(SUMIFS(M$5:M$639,$A$5:$A$639,$A124,$C$5:$C$639,$C124-1,$D$5:$D$639,$D124)=0,M124*SUMIFS(M$5:M$639,$A$5:$A$639,$A124,$C$5:$C$639,$C124-1,$D$5:$D$639,$D124)&lt;0),"n.s.",ABS(M124)/ABS(SUMIFS(M$5:M$639,$A$5:$A$639,$A124,$C$5:$C$639,$C124-1,$D$5:$D$639,$D124))-1)))</f>
        <v/>
      </c>
    </row>
    <row r="125">
      <c r="A125" s="9" t="inlineStr">
        <is>
          <t>SPHC</t>
        </is>
      </c>
      <c r="B125" s="10">
        <f>IF(A125="","",IFERROR(VLOOKUP(A125,Titres!$A$2:$B$400,2,FALSE),"Ticker inconnu"))</f>
        <v/>
      </c>
      <c r="C125" s="11" t="n">
        <v>2025</v>
      </c>
      <c r="D125" s="11" t="inlineStr">
        <is>
          <t>T1</t>
        </is>
      </c>
      <c r="E125" s="9" t="inlineStr">
        <is>
          <t>Publié</t>
        </is>
      </c>
      <c r="F125" s="12" t="n">
        <v>46141</v>
      </c>
      <c r="G125" s="9" t="inlineStr">
        <is>
          <t>https://www.richbourse.com/common/actualite/afficher-fichier/29-04-2026-saph-ci-rapport-dactivites-1er-trimestre-2026 (comparatif N-1)</t>
        </is>
      </c>
      <c r="H125" s="13" t="n">
        <v>94319</v>
      </c>
      <c r="I125" s="13" t="n"/>
      <c r="J125" s="13" t="n"/>
      <c r="K125" s="13" t="n">
        <v>16772</v>
      </c>
      <c r="L125" s="13" t="n">
        <v>15763</v>
      </c>
      <c r="M125" s="13" t="n">
        <v>11804</v>
      </c>
      <c r="N125" s="14">
        <f>IF(A125="","",COUNT(H125:M125)/6)</f>
        <v/>
      </c>
      <c r="O125" s="15">
        <f>IF(COUNT(H125:M125)=0,"",IF(LEN(IF(COUNT(I125,J125)=2,IF(J125&gt;I125+1,"EBE &gt; VA ",""),"")&amp;IF(COUNT(H125,M125)=2,IF(ABS(M125)&gt;ABS(H125),"RN &gt; CA ",""),"")&amp;IF(COUNT(H125,K125)=2,IF(ABS(K125)&gt;ABS(H125),"RE &gt; CA ",""),""))=0,"OK",IF(COUNT(I125,J125)=2,IF(J125&gt;I125+1,"EBE &gt; VA ",""),"")&amp;IF(COUNT(H125,M125)=2,IF(ABS(M125)&gt;ABS(H125),"RN &gt; CA ",""),"")&amp;IF(COUNT(H125,K125)=2,IF(ABS(K125)&gt;ABS(H125),"RE &gt; CA ",""),"")))</f>
        <v/>
      </c>
      <c r="P125" s="16">
        <f>IF(OR($A125="",H125="",$C125=""),"",IF(COUNTIFS($A$5:$A$639,$A125,$C$5:$C$639,$C125-1,$D$5:$D$639,$D125,H$5:H$639,"&lt;&gt;")=0,"",IF(OR(SUMIFS(H$5:H$639,$A$5:$A$639,$A125,$C$5:$C$639,$C125-1,$D$5:$D$639,$D125)=0,H125*SUMIFS(H$5:H$639,$A$5:$A$639,$A125,$C$5:$C$639,$C125-1,$D$5:$D$639,$D125)&lt;0),"n.s.",ABS(H125)/ABS(SUMIFS(H$5:H$639,$A$5:$A$639,$A125,$C$5:$C$639,$C125-1,$D$5:$D$639,$D125))-1)))</f>
        <v/>
      </c>
      <c r="Q125" s="16">
        <f>IF(OR($A125="",I125="",$C125=""),"",IF(COUNTIFS($A$5:$A$639,$A125,$C$5:$C$639,$C125-1,$D$5:$D$639,$D125,I$5:I$639,"&lt;&gt;")=0,"",IF(OR(SUMIFS(I$5:I$639,$A$5:$A$639,$A125,$C$5:$C$639,$C125-1,$D$5:$D$639,$D125)=0,I125*SUMIFS(I$5:I$639,$A$5:$A$639,$A125,$C$5:$C$639,$C125-1,$D$5:$D$639,$D125)&lt;0),"n.s.",ABS(I125)/ABS(SUMIFS(I$5:I$639,$A$5:$A$639,$A125,$C$5:$C$639,$C125-1,$D$5:$D$639,$D125))-1)))</f>
        <v/>
      </c>
      <c r="R125" s="16">
        <f>IF(OR($A125="",J125="",$C125=""),"",IF(COUNTIFS($A$5:$A$639,$A125,$C$5:$C$639,$C125-1,$D$5:$D$639,$D125,J$5:J$639,"&lt;&gt;")=0,"",IF(OR(SUMIFS(J$5:J$639,$A$5:$A$639,$A125,$C$5:$C$639,$C125-1,$D$5:$D$639,$D125)=0,J125*SUMIFS(J$5:J$639,$A$5:$A$639,$A125,$C$5:$C$639,$C125-1,$D$5:$D$639,$D125)&lt;0),"n.s.",ABS(J125)/ABS(SUMIFS(J$5:J$639,$A$5:$A$639,$A125,$C$5:$C$639,$C125-1,$D$5:$D$639,$D125))-1)))</f>
        <v/>
      </c>
      <c r="S125" s="16">
        <f>IF(OR($A125="",K125="",$C125=""),"",IF(COUNTIFS($A$5:$A$639,$A125,$C$5:$C$639,$C125-1,$D$5:$D$639,$D125,K$5:K$639,"&lt;&gt;")=0,"",IF(OR(SUMIFS(K$5:K$639,$A$5:$A$639,$A125,$C$5:$C$639,$C125-1,$D$5:$D$639,$D125)=0,K125*SUMIFS(K$5:K$639,$A$5:$A$639,$A125,$C$5:$C$639,$C125-1,$D$5:$D$639,$D125)&lt;0),"n.s.",ABS(K125)/ABS(SUMIFS(K$5:K$639,$A$5:$A$639,$A125,$C$5:$C$639,$C125-1,$D$5:$D$639,$D125))-1)))</f>
        <v/>
      </c>
      <c r="T125" s="16">
        <f>IF(OR($A125="",L125="",$C125=""),"",IF(COUNTIFS($A$5:$A$639,$A125,$C$5:$C$639,$C125-1,$D$5:$D$639,$D125,L$5:L$639,"&lt;&gt;")=0,"",IF(OR(SUMIFS(L$5:L$639,$A$5:$A$639,$A125,$C$5:$C$639,$C125-1,$D$5:$D$639,$D125)=0,L125*SUMIFS(L$5:L$639,$A$5:$A$639,$A125,$C$5:$C$639,$C125-1,$D$5:$D$639,$D125)&lt;0),"n.s.",ABS(L125)/ABS(SUMIFS(L$5:L$639,$A$5:$A$639,$A125,$C$5:$C$639,$C125-1,$D$5:$D$639,$D125))-1)))</f>
        <v/>
      </c>
      <c r="U125" s="16">
        <f>IF(OR($A125="",M125="",$C125=""),"",IF(COUNTIFS($A$5:$A$639,$A125,$C$5:$C$639,$C125-1,$D$5:$D$639,$D125,M$5:M$639,"&lt;&gt;")=0,"",IF(OR(SUMIFS(M$5:M$639,$A$5:$A$639,$A125,$C$5:$C$639,$C125-1,$D$5:$D$639,$D125)=0,M125*SUMIFS(M$5:M$639,$A$5:$A$639,$A125,$C$5:$C$639,$C125-1,$D$5:$D$639,$D125)&lt;0),"n.s.",ABS(M125)/ABS(SUMIFS(M$5:M$639,$A$5:$A$639,$A125,$C$5:$C$639,$C125-1,$D$5:$D$639,$D125))-1)))</f>
        <v/>
      </c>
    </row>
    <row r="126">
      <c r="A126" s="9" t="inlineStr">
        <is>
          <t>SPHC</t>
        </is>
      </c>
      <c r="B126" s="10">
        <f>IF(A126="","",IFERROR(VLOOKUP(A126,Titres!$A$2:$B$400,2,FALSE),"Ticker inconnu"))</f>
        <v/>
      </c>
      <c r="C126" s="11" t="n">
        <v>2025</v>
      </c>
      <c r="D126" s="11" t="inlineStr">
        <is>
          <t>S1</t>
        </is>
      </c>
      <c r="E126" s="9" t="n"/>
      <c r="F126" s="12" t="n"/>
      <c r="G126" s="9" t="n"/>
      <c r="H126" s="13" t="n"/>
      <c r="I126" s="13" t="n"/>
      <c r="J126" s="13" t="n"/>
      <c r="K126" s="13" t="n"/>
      <c r="L126" s="13" t="n"/>
      <c r="M126" s="13" t="n"/>
      <c r="N126" s="14">
        <f>IF(A126="","",COUNT(H126:M126)/6)</f>
        <v/>
      </c>
      <c r="O126" s="15">
        <f>IF(COUNT(H126:M126)=0,"",IF(LEN(IF(COUNT(I126,J126)=2,IF(J126&gt;I126+1,"EBE &gt; VA ",""),"")&amp;IF(COUNT(H126,M126)=2,IF(ABS(M126)&gt;ABS(H126),"RN &gt; CA ",""),"")&amp;IF(COUNT(H126,K126)=2,IF(ABS(K126)&gt;ABS(H126),"RE &gt; CA ",""),""))=0,"OK",IF(COUNT(I126,J126)=2,IF(J126&gt;I126+1,"EBE &gt; VA ",""),"")&amp;IF(COUNT(H126,M126)=2,IF(ABS(M126)&gt;ABS(H126),"RN &gt; CA ",""),"")&amp;IF(COUNT(H126,K126)=2,IF(ABS(K126)&gt;ABS(H126),"RE &gt; CA ",""),"")))</f>
        <v/>
      </c>
      <c r="P126" s="16">
        <f>IF(OR($A126="",H126="",$C126=""),"",IF(COUNTIFS($A$5:$A$639,$A126,$C$5:$C$639,$C126-1,$D$5:$D$639,$D126,H$5:H$639,"&lt;&gt;")=0,"",IF(OR(SUMIFS(H$5:H$639,$A$5:$A$639,$A126,$C$5:$C$639,$C126-1,$D$5:$D$639,$D126)=0,H126*SUMIFS(H$5:H$639,$A$5:$A$639,$A126,$C$5:$C$639,$C126-1,$D$5:$D$639,$D126)&lt;0),"n.s.",ABS(H126)/ABS(SUMIFS(H$5:H$639,$A$5:$A$639,$A126,$C$5:$C$639,$C126-1,$D$5:$D$639,$D126))-1)))</f>
        <v/>
      </c>
      <c r="Q126" s="16">
        <f>IF(OR($A126="",I126="",$C126=""),"",IF(COUNTIFS($A$5:$A$639,$A126,$C$5:$C$639,$C126-1,$D$5:$D$639,$D126,I$5:I$639,"&lt;&gt;")=0,"",IF(OR(SUMIFS(I$5:I$639,$A$5:$A$639,$A126,$C$5:$C$639,$C126-1,$D$5:$D$639,$D126)=0,I126*SUMIFS(I$5:I$639,$A$5:$A$639,$A126,$C$5:$C$639,$C126-1,$D$5:$D$639,$D126)&lt;0),"n.s.",ABS(I126)/ABS(SUMIFS(I$5:I$639,$A$5:$A$639,$A126,$C$5:$C$639,$C126-1,$D$5:$D$639,$D126))-1)))</f>
        <v/>
      </c>
      <c r="R126" s="16">
        <f>IF(OR($A126="",J126="",$C126=""),"",IF(COUNTIFS($A$5:$A$639,$A126,$C$5:$C$639,$C126-1,$D$5:$D$639,$D126,J$5:J$639,"&lt;&gt;")=0,"",IF(OR(SUMIFS(J$5:J$639,$A$5:$A$639,$A126,$C$5:$C$639,$C126-1,$D$5:$D$639,$D126)=0,J126*SUMIFS(J$5:J$639,$A$5:$A$639,$A126,$C$5:$C$639,$C126-1,$D$5:$D$639,$D126)&lt;0),"n.s.",ABS(J126)/ABS(SUMIFS(J$5:J$639,$A$5:$A$639,$A126,$C$5:$C$639,$C126-1,$D$5:$D$639,$D126))-1)))</f>
        <v/>
      </c>
      <c r="S126" s="16">
        <f>IF(OR($A126="",K126="",$C126=""),"",IF(COUNTIFS($A$5:$A$639,$A126,$C$5:$C$639,$C126-1,$D$5:$D$639,$D126,K$5:K$639,"&lt;&gt;")=0,"",IF(OR(SUMIFS(K$5:K$639,$A$5:$A$639,$A126,$C$5:$C$639,$C126-1,$D$5:$D$639,$D126)=0,K126*SUMIFS(K$5:K$639,$A$5:$A$639,$A126,$C$5:$C$639,$C126-1,$D$5:$D$639,$D126)&lt;0),"n.s.",ABS(K126)/ABS(SUMIFS(K$5:K$639,$A$5:$A$639,$A126,$C$5:$C$639,$C126-1,$D$5:$D$639,$D126))-1)))</f>
        <v/>
      </c>
      <c r="T126" s="16">
        <f>IF(OR($A126="",L126="",$C126=""),"",IF(COUNTIFS($A$5:$A$639,$A126,$C$5:$C$639,$C126-1,$D$5:$D$639,$D126,L$5:L$639,"&lt;&gt;")=0,"",IF(OR(SUMIFS(L$5:L$639,$A$5:$A$639,$A126,$C$5:$C$639,$C126-1,$D$5:$D$639,$D126)=0,L126*SUMIFS(L$5:L$639,$A$5:$A$639,$A126,$C$5:$C$639,$C126-1,$D$5:$D$639,$D126)&lt;0),"n.s.",ABS(L126)/ABS(SUMIFS(L$5:L$639,$A$5:$A$639,$A126,$C$5:$C$639,$C126-1,$D$5:$D$639,$D126))-1)))</f>
        <v/>
      </c>
      <c r="U126" s="16">
        <f>IF(OR($A126="",M126="",$C126=""),"",IF(COUNTIFS($A$5:$A$639,$A126,$C$5:$C$639,$C126-1,$D$5:$D$639,$D126,M$5:M$639,"&lt;&gt;")=0,"",IF(OR(SUMIFS(M$5:M$639,$A$5:$A$639,$A126,$C$5:$C$639,$C126-1,$D$5:$D$639,$D126)=0,M126*SUMIFS(M$5:M$639,$A$5:$A$639,$A126,$C$5:$C$639,$C126-1,$D$5:$D$639,$D126)&lt;0),"n.s.",ABS(M126)/ABS(SUMIFS(M$5:M$639,$A$5:$A$639,$A126,$C$5:$C$639,$C126-1,$D$5:$D$639,$D126))-1)))</f>
        <v/>
      </c>
    </row>
    <row r="127">
      <c r="A127" s="9" t="inlineStr">
        <is>
          <t>SPHC</t>
        </is>
      </c>
      <c r="B127" s="10">
        <f>IF(A127="","",IFERROR(VLOOKUP(A127,Titres!$A$2:$B$400,2,FALSE),"Ticker inconnu"))</f>
        <v/>
      </c>
      <c r="C127" s="11" t="n">
        <v>2025</v>
      </c>
      <c r="D127" s="11" t="inlineStr">
        <is>
          <t>T3</t>
        </is>
      </c>
      <c r="E127" s="9" t="n"/>
      <c r="F127" s="12" t="n"/>
      <c r="G127" s="9" t="n"/>
      <c r="H127" s="13" t="n"/>
      <c r="I127" s="13" t="n"/>
      <c r="J127" s="13" t="n"/>
      <c r="K127" s="13" t="n"/>
      <c r="L127" s="13" t="n"/>
      <c r="M127" s="13" t="n"/>
      <c r="N127" s="14">
        <f>IF(A127="","",COUNT(H127:M127)/6)</f>
        <v/>
      </c>
      <c r="O127" s="15">
        <f>IF(COUNT(H127:M127)=0,"",IF(LEN(IF(COUNT(I127,J127)=2,IF(J127&gt;I127+1,"EBE &gt; VA ",""),"")&amp;IF(COUNT(H127,M127)=2,IF(ABS(M127)&gt;ABS(H127),"RN &gt; CA ",""),"")&amp;IF(COUNT(H127,K127)=2,IF(ABS(K127)&gt;ABS(H127),"RE &gt; CA ",""),""))=0,"OK",IF(COUNT(I127,J127)=2,IF(J127&gt;I127+1,"EBE &gt; VA ",""),"")&amp;IF(COUNT(H127,M127)=2,IF(ABS(M127)&gt;ABS(H127),"RN &gt; CA ",""),"")&amp;IF(COUNT(H127,K127)=2,IF(ABS(K127)&gt;ABS(H127),"RE &gt; CA ",""),"")))</f>
        <v/>
      </c>
      <c r="P127" s="16">
        <f>IF(OR($A127="",H127="",$C127=""),"",IF(COUNTIFS($A$5:$A$639,$A127,$C$5:$C$639,$C127-1,$D$5:$D$639,$D127,H$5:H$639,"&lt;&gt;")=0,"",IF(OR(SUMIFS(H$5:H$639,$A$5:$A$639,$A127,$C$5:$C$639,$C127-1,$D$5:$D$639,$D127)=0,H127*SUMIFS(H$5:H$639,$A$5:$A$639,$A127,$C$5:$C$639,$C127-1,$D$5:$D$639,$D127)&lt;0),"n.s.",ABS(H127)/ABS(SUMIFS(H$5:H$639,$A$5:$A$639,$A127,$C$5:$C$639,$C127-1,$D$5:$D$639,$D127))-1)))</f>
        <v/>
      </c>
      <c r="Q127" s="16">
        <f>IF(OR($A127="",I127="",$C127=""),"",IF(COUNTIFS($A$5:$A$639,$A127,$C$5:$C$639,$C127-1,$D$5:$D$639,$D127,I$5:I$639,"&lt;&gt;")=0,"",IF(OR(SUMIFS(I$5:I$639,$A$5:$A$639,$A127,$C$5:$C$639,$C127-1,$D$5:$D$639,$D127)=0,I127*SUMIFS(I$5:I$639,$A$5:$A$639,$A127,$C$5:$C$639,$C127-1,$D$5:$D$639,$D127)&lt;0),"n.s.",ABS(I127)/ABS(SUMIFS(I$5:I$639,$A$5:$A$639,$A127,$C$5:$C$639,$C127-1,$D$5:$D$639,$D127))-1)))</f>
        <v/>
      </c>
      <c r="R127" s="16">
        <f>IF(OR($A127="",J127="",$C127=""),"",IF(COUNTIFS($A$5:$A$639,$A127,$C$5:$C$639,$C127-1,$D$5:$D$639,$D127,J$5:J$639,"&lt;&gt;")=0,"",IF(OR(SUMIFS(J$5:J$639,$A$5:$A$639,$A127,$C$5:$C$639,$C127-1,$D$5:$D$639,$D127)=0,J127*SUMIFS(J$5:J$639,$A$5:$A$639,$A127,$C$5:$C$639,$C127-1,$D$5:$D$639,$D127)&lt;0),"n.s.",ABS(J127)/ABS(SUMIFS(J$5:J$639,$A$5:$A$639,$A127,$C$5:$C$639,$C127-1,$D$5:$D$639,$D127))-1)))</f>
        <v/>
      </c>
      <c r="S127" s="16">
        <f>IF(OR($A127="",K127="",$C127=""),"",IF(COUNTIFS($A$5:$A$639,$A127,$C$5:$C$639,$C127-1,$D$5:$D$639,$D127,K$5:K$639,"&lt;&gt;")=0,"",IF(OR(SUMIFS(K$5:K$639,$A$5:$A$639,$A127,$C$5:$C$639,$C127-1,$D$5:$D$639,$D127)=0,K127*SUMIFS(K$5:K$639,$A$5:$A$639,$A127,$C$5:$C$639,$C127-1,$D$5:$D$639,$D127)&lt;0),"n.s.",ABS(K127)/ABS(SUMIFS(K$5:K$639,$A$5:$A$639,$A127,$C$5:$C$639,$C127-1,$D$5:$D$639,$D127))-1)))</f>
        <v/>
      </c>
      <c r="T127" s="16">
        <f>IF(OR($A127="",L127="",$C127=""),"",IF(COUNTIFS($A$5:$A$639,$A127,$C$5:$C$639,$C127-1,$D$5:$D$639,$D127,L$5:L$639,"&lt;&gt;")=0,"",IF(OR(SUMIFS(L$5:L$639,$A$5:$A$639,$A127,$C$5:$C$639,$C127-1,$D$5:$D$639,$D127)=0,L127*SUMIFS(L$5:L$639,$A$5:$A$639,$A127,$C$5:$C$639,$C127-1,$D$5:$D$639,$D127)&lt;0),"n.s.",ABS(L127)/ABS(SUMIFS(L$5:L$639,$A$5:$A$639,$A127,$C$5:$C$639,$C127-1,$D$5:$D$639,$D127))-1)))</f>
        <v/>
      </c>
      <c r="U127" s="16">
        <f>IF(OR($A127="",M127="",$C127=""),"",IF(COUNTIFS($A$5:$A$639,$A127,$C$5:$C$639,$C127-1,$D$5:$D$639,$D127,M$5:M$639,"&lt;&gt;")=0,"",IF(OR(SUMIFS(M$5:M$639,$A$5:$A$639,$A127,$C$5:$C$639,$C127-1,$D$5:$D$639,$D127)=0,M127*SUMIFS(M$5:M$639,$A$5:$A$639,$A127,$C$5:$C$639,$C127-1,$D$5:$D$639,$D127)&lt;0),"n.s.",ABS(M127)/ABS(SUMIFS(M$5:M$639,$A$5:$A$639,$A127,$C$5:$C$639,$C127-1,$D$5:$D$639,$D127))-1)))</f>
        <v/>
      </c>
    </row>
    <row r="128">
      <c r="A128" s="9" t="inlineStr">
        <is>
          <t>SPHC</t>
        </is>
      </c>
      <c r="B128" s="10">
        <f>IF(A128="","",IFERROR(VLOOKUP(A128,Titres!$A$2:$B$400,2,FALSE),"Ticker inconnu"))</f>
        <v/>
      </c>
      <c r="C128" s="11" t="n">
        <v>2026</v>
      </c>
      <c r="D128" s="11" t="inlineStr">
        <is>
          <t>T1</t>
        </is>
      </c>
      <c r="E128" s="9" t="inlineStr">
        <is>
          <t>Publié</t>
        </is>
      </c>
      <c r="F128" s="12" t="n">
        <v>46141</v>
      </c>
      <c r="G128" s="9" t="inlineStr">
        <is>
          <t>https://www.richbourse.com/common/actualite/afficher-fichier/29-04-2026-saph-ci-rapport-dactivites-1er-trimestre-2026</t>
        </is>
      </c>
      <c r="H128" s="13" t="n">
        <v>71772</v>
      </c>
      <c r="I128" s="13" t="n"/>
      <c r="J128" s="13" t="n"/>
      <c r="K128" s="13" t="n">
        <v>4456</v>
      </c>
      <c r="L128" s="13" t="n">
        <v>3575</v>
      </c>
      <c r="M128" s="13" t="n">
        <v>2633</v>
      </c>
      <c r="N128" s="14">
        <f>IF(A128="","",COUNT(H128:M128)/6)</f>
        <v/>
      </c>
      <c r="O128" s="15">
        <f>IF(COUNT(H128:M128)=0,"",IF(LEN(IF(COUNT(I128,J128)=2,IF(J128&gt;I128+1,"EBE &gt; VA ",""),"")&amp;IF(COUNT(H128,M128)=2,IF(ABS(M128)&gt;ABS(H128),"RN &gt; CA ",""),"")&amp;IF(COUNT(H128,K128)=2,IF(ABS(K128)&gt;ABS(H128),"RE &gt; CA ",""),""))=0,"OK",IF(COUNT(I128,J128)=2,IF(J128&gt;I128+1,"EBE &gt; VA ",""),"")&amp;IF(COUNT(H128,M128)=2,IF(ABS(M128)&gt;ABS(H128),"RN &gt; CA ",""),"")&amp;IF(COUNT(H128,K128)=2,IF(ABS(K128)&gt;ABS(H128),"RE &gt; CA ",""),"")))</f>
        <v/>
      </c>
      <c r="P128" s="16">
        <f>IF(OR($A128="",H128="",$C128=""),"",IF(COUNTIFS($A$5:$A$639,$A128,$C$5:$C$639,$C128-1,$D$5:$D$639,$D128,H$5:H$639,"&lt;&gt;")=0,"",IF(OR(SUMIFS(H$5:H$639,$A$5:$A$639,$A128,$C$5:$C$639,$C128-1,$D$5:$D$639,$D128)=0,H128*SUMIFS(H$5:H$639,$A$5:$A$639,$A128,$C$5:$C$639,$C128-1,$D$5:$D$639,$D128)&lt;0),"n.s.",ABS(H128)/ABS(SUMIFS(H$5:H$639,$A$5:$A$639,$A128,$C$5:$C$639,$C128-1,$D$5:$D$639,$D128))-1)))</f>
        <v/>
      </c>
      <c r="Q128" s="16">
        <f>IF(OR($A128="",I128="",$C128=""),"",IF(COUNTIFS($A$5:$A$639,$A128,$C$5:$C$639,$C128-1,$D$5:$D$639,$D128,I$5:I$639,"&lt;&gt;")=0,"",IF(OR(SUMIFS(I$5:I$639,$A$5:$A$639,$A128,$C$5:$C$639,$C128-1,$D$5:$D$639,$D128)=0,I128*SUMIFS(I$5:I$639,$A$5:$A$639,$A128,$C$5:$C$639,$C128-1,$D$5:$D$639,$D128)&lt;0),"n.s.",ABS(I128)/ABS(SUMIFS(I$5:I$639,$A$5:$A$639,$A128,$C$5:$C$639,$C128-1,$D$5:$D$639,$D128))-1)))</f>
        <v/>
      </c>
      <c r="R128" s="16">
        <f>IF(OR($A128="",J128="",$C128=""),"",IF(COUNTIFS($A$5:$A$639,$A128,$C$5:$C$639,$C128-1,$D$5:$D$639,$D128,J$5:J$639,"&lt;&gt;")=0,"",IF(OR(SUMIFS(J$5:J$639,$A$5:$A$639,$A128,$C$5:$C$639,$C128-1,$D$5:$D$639,$D128)=0,J128*SUMIFS(J$5:J$639,$A$5:$A$639,$A128,$C$5:$C$639,$C128-1,$D$5:$D$639,$D128)&lt;0),"n.s.",ABS(J128)/ABS(SUMIFS(J$5:J$639,$A$5:$A$639,$A128,$C$5:$C$639,$C128-1,$D$5:$D$639,$D128))-1)))</f>
        <v/>
      </c>
      <c r="S128" s="16">
        <f>IF(OR($A128="",K128="",$C128=""),"",IF(COUNTIFS($A$5:$A$639,$A128,$C$5:$C$639,$C128-1,$D$5:$D$639,$D128,K$5:K$639,"&lt;&gt;")=0,"",IF(OR(SUMIFS(K$5:K$639,$A$5:$A$639,$A128,$C$5:$C$639,$C128-1,$D$5:$D$639,$D128)=0,K128*SUMIFS(K$5:K$639,$A$5:$A$639,$A128,$C$5:$C$639,$C128-1,$D$5:$D$639,$D128)&lt;0),"n.s.",ABS(K128)/ABS(SUMIFS(K$5:K$639,$A$5:$A$639,$A128,$C$5:$C$639,$C128-1,$D$5:$D$639,$D128))-1)))</f>
        <v/>
      </c>
      <c r="T128" s="16">
        <f>IF(OR($A128="",L128="",$C128=""),"",IF(COUNTIFS($A$5:$A$639,$A128,$C$5:$C$639,$C128-1,$D$5:$D$639,$D128,L$5:L$639,"&lt;&gt;")=0,"",IF(OR(SUMIFS(L$5:L$639,$A$5:$A$639,$A128,$C$5:$C$639,$C128-1,$D$5:$D$639,$D128)=0,L128*SUMIFS(L$5:L$639,$A$5:$A$639,$A128,$C$5:$C$639,$C128-1,$D$5:$D$639,$D128)&lt;0),"n.s.",ABS(L128)/ABS(SUMIFS(L$5:L$639,$A$5:$A$639,$A128,$C$5:$C$639,$C128-1,$D$5:$D$639,$D128))-1)))</f>
        <v/>
      </c>
      <c r="U128" s="16">
        <f>IF(OR($A128="",M128="",$C128=""),"",IF(COUNTIFS($A$5:$A$639,$A128,$C$5:$C$639,$C128-1,$D$5:$D$639,$D128,M$5:M$639,"&lt;&gt;")=0,"",IF(OR(SUMIFS(M$5:M$639,$A$5:$A$639,$A128,$C$5:$C$639,$C128-1,$D$5:$D$639,$D128)=0,M128*SUMIFS(M$5:M$639,$A$5:$A$639,$A128,$C$5:$C$639,$C128-1,$D$5:$D$639,$D128)&lt;0),"n.s.",ABS(M128)/ABS(SUMIFS(M$5:M$639,$A$5:$A$639,$A128,$C$5:$C$639,$C128-1,$D$5:$D$639,$D128))-1)))</f>
        <v/>
      </c>
    </row>
    <row r="129">
      <c r="A129" s="9" t="inlineStr">
        <is>
          <t>SPHC</t>
        </is>
      </c>
      <c r="B129" s="10">
        <f>IF(A129="","",IFERROR(VLOOKUP(A129,Titres!$A$2:$B$400,2,FALSE),"Ticker inconnu"))</f>
        <v/>
      </c>
      <c r="C129" s="11" t="n">
        <v>2026</v>
      </c>
      <c r="D129" s="11" t="inlineStr">
        <is>
          <t>S1</t>
        </is>
      </c>
      <c r="E129" s="9" t="n"/>
      <c r="F129" s="12" t="n"/>
      <c r="G129" s="9" t="n"/>
      <c r="H129" s="13" t="n"/>
      <c r="I129" s="13" t="n"/>
      <c r="J129" s="13" t="n"/>
      <c r="K129" s="13" t="n"/>
      <c r="L129" s="13" t="n"/>
      <c r="M129" s="13" t="n"/>
      <c r="N129" s="14">
        <f>IF(A129="","",COUNT(H129:M129)/6)</f>
        <v/>
      </c>
      <c r="O129" s="15">
        <f>IF(COUNT(H129:M129)=0,"",IF(LEN(IF(COUNT(I129,J129)=2,IF(J129&gt;I129+1,"EBE &gt; VA ",""),"")&amp;IF(COUNT(H129,M129)=2,IF(ABS(M129)&gt;ABS(H129),"RN &gt; CA ",""),"")&amp;IF(COUNT(H129,K129)=2,IF(ABS(K129)&gt;ABS(H129),"RE &gt; CA ",""),""))=0,"OK",IF(COUNT(I129,J129)=2,IF(J129&gt;I129+1,"EBE &gt; VA ",""),"")&amp;IF(COUNT(H129,M129)=2,IF(ABS(M129)&gt;ABS(H129),"RN &gt; CA ",""),"")&amp;IF(COUNT(H129,K129)=2,IF(ABS(K129)&gt;ABS(H129),"RE &gt; CA ",""),"")))</f>
        <v/>
      </c>
      <c r="P129" s="16">
        <f>IF(OR($A129="",H129="",$C129=""),"",IF(COUNTIFS($A$5:$A$639,$A129,$C$5:$C$639,$C129-1,$D$5:$D$639,$D129,H$5:H$639,"&lt;&gt;")=0,"",IF(OR(SUMIFS(H$5:H$639,$A$5:$A$639,$A129,$C$5:$C$639,$C129-1,$D$5:$D$639,$D129)=0,H129*SUMIFS(H$5:H$639,$A$5:$A$639,$A129,$C$5:$C$639,$C129-1,$D$5:$D$639,$D129)&lt;0),"n.s.",ABS(H129)/ABS(SUMIFS(H$5:H$639,$A$5:$A$639,$A129,$C$5:$C$639,$C129-1,$D$5:$D$639,$D129))-1)))</f>
        <v/>
      </c>
      <c r="Q129" s="16">
        <f>IF(OR($A129="",I129="",$C129=""),"",IF(COUNTIFS($A$5:$A$639,$A129,$C$5:$C$639,$C129-1,$D$5:$D$639,$D129,I$5:I$639,"&lt;&gt;")=0,"",IF(OR(SUMIFS(I$5:I$639,$A$5:$A$639,$A129,$C$5:$C$639,$C129-1,$D$5:$D$639,$D129)=0,I129*SUMIFS(I$5:I$639,$A$5:$A$639,$A129,$C$5:$C$639,$C129-1,$D$5:$D$639,$D129)&lt;0),"n.s.",ABS(I129)/ABS(SUMIFS(I$5:I$639,$A$5:$A$639,$A129,$C$5:$C$639,$C129-1,$D$5:$D$639,$D129))-1)))</f>
        <v/>
      </c>
      <c r="R129" s="16">
        <f>IF(OR($A129="",J129="",$C129=""),"",IF(COUNTIFS($A$5:$A$639,$A129,$C$5:$C$639,$C129-1,$D$5:$D$639,$D129,J$5:J$639,"&lt;&gt;")=0,"",IF(OR(SUMIFS(J$5:J$639,$A$5:$A$639,$A129,$C$5:$C$639,$C129-1,$D$5:$D$639,$D129)=0,J129*SUMIFS(J$5:J$639,$A$5:$A$639,$A129,$C$5:$C$639,$C129-1,$D$5:$D$639,$D129)&lt;0),"n.s.",ABS(J129)/ABS(SUMIFS(J$5:J$639,$A$5:$A$639,$A129,$C$5:$C$639,$C129-1,$D$5:$D$639,$D129))-1)))</f>
        <v/>
      </c>
      <c r="S129" s="16">
        <f>IF(OR($A129="",K129="",$C129=""),"",IF(COUNTIFS($A$5:$A$639,$A129,$C$5:$C$639,$C129-1,$D$5:$D$639,$D129,K$5:K$639,"&lt;&gt;")=0,"",IF(OR(SUMIFS(K$5:K$639,$A$5:$A$639,$A129,$C$5:$C$639,$C129-1,$D$5:$D$639,$D129)=0,K129*SUMIFS(K$5:K$639,$A$5:$A$639,$A129,$C$5:$C$639,$C129-1,$D$5:$D$639,$D129)&lt;0),"n.s.",ABS(K129)/ABS(SUMIFS(K$5:K$639,$A$5:$A$639,$A129,$C$5:$C$639,$C129-1,$D$5:$D$639,$D129))-1)))</f>
        <v/>
      </c>
      <c r="T129" s="16">
        <f>IF(OR($A129="",L129="",$C129=""),"",IF(COUNTIFS($A$5:$A$639,$A129,$C$5:$C$639,$C129-1,$D$5:$D$639,$D129,L$5:L$639,"&lt;&gt;")=0,"",IF(OR(SUMIFS(L$5:L$639,$A$5:$A$639,$A129,$C$5:$C$639,$C129-1,$D$5:$D$639,$D129)=0,L129*SUMIFS(L$5:L$639,$A$5:$A$639,$A129,$C$5:$C$639,$C129-1,$D$5:$D$639,$D129)&lt;0),"n.s.",ABS(L129)/ABS(SUMIFS(L$5:L$639,$A$5:$A$639,$A129,$C$5:$C$639,$C129-1,$D$5:$D$639,$D129))-1)))</f>
        <v/>
      </c>
      <c r="U129" s="16">
        <f>IF(OR($A129="",M129="",$C129=""),"",IF(COUNTIFS($A$5:$A$639,$A129,$C$5:$C$639,$C129-1,$D$5:$D$639,$D129,M$5:M$639,"&lt;&gt;")=0,"",IF(OR(SUMIFS(M$5:M$639,$A$5:$A$639,$A129,$C$5:$C$639,$C129-1,$D$5:$D$639,$D129)=0,M129*SUMIFS(M$5:M$639,$A$5:$A$639,$A129,$C$5:$C$639,$C129-1,$D$5:$D$639,$D129)&lt;0),"n.s.",ABS(M129)/ABS(SUMIFS(M$5:M$639,$A$5:$A$639,$A129,$C$5:$C$639,$C129-1,$D$5:$D$639,$D129))-1)))</f>
        <v/>
      </c>
    </row>
    <row r="130">
      <c r="A130" s="9" t="inlineStr">
        <is>
          <t>SPHC</t>
        </is>
      </c>
      <c r="B130" s="10">
        <f>IF(A130="","",IFERROR(VLOOKUP(A130,Titres!$A$2:$B$400,2,FALSE),"Ticker inconnu"))</f>
        <v/>
      </c>
      <c r="C130" s="11" t="n">
        <v>2026</v>
      </c>
      <c r="D130" s="11" t="inlineStr">
        <is>
          <t>T3</t>
        </is>
      </c>
      <c r="E130" s="9" t="n"/>
      <c r="F130" s="12" t="n"/>
      <c r="G130" s="9" t="n"/>
      <c r="H130" s="13" t="n"/>
      <c r="I130" s="13" t="n"/>
      <c r="J130" s="13" t="n"/>
      <c r="K130" s="13" t="n"/>
      <c r="L130" s="13" t="n"/>
      <c r="M130" s="13" t="n"/>
      <c r="N130" s="14">
        <f>IF(A130="","",COUNT(H130:M130)/6)</f>
        <v/>
      </c>
      <c r="O130" s="15">
        <f>IF(COUNT(H130:M130)=0,"",IF(LEN(IF(COUNT(I130,J130)=2,IF(J130&gt;I130+1,"EBE &gt; VA ",""),"")&amp;IF(COUNT(H130,M130)=2,IF(ABS(M130)&gt;ABS(H130),"RN &gt; CA ",""),"")&amp;IF(COUNT(H130,K130)=2,IF(ABS(K130)&gt;ABS(H130),"RE &gt; CA ",""),""))=0,"OK",IF(COUNT(I130,J130)=2,IF(J130&gt;I130+1,"EBE &gt; VA ",""),"")&amp;IF(COUNT(H130,M130)=2,IF(ABS(M130)&gt;ABS(H130),"RN &gt; CA ",""),"")&amp;IF(COUNT(H130,K130)=2,IF(ABS(K130)&gt;ABS(H130),"RE &gt; CA ",""),"")))</f>
        <v/>
      </c>
      <c r="P130" s="16">
        <f>IF(OR($A130="",H130="",$C130=""),"",IF(COUNTIFS($A$5:$A$639,$A130,$C$5:$C$639,$C130-1,$D$5:$D$639,$D130,H$5:H$639,"&lt;&gt;")=0,"",IF(OR(SUMIFS(H$5:H$639,$A$5:$A$639,$A130,$C$5:$C$639,$C130-1,$D$5:$D$639,$D130)=0,H130*SUMIFS(H$5:H$639,$A$5:$A$639,$A130,$C$5:$C$639,$C130-1,$D$5:$D$639,$D130)&lt;0),"n.s.",ABS(H130)/ABS(SUMIFS(H$5:H$639,$A$5:$A$639,$A130,$C$5:$C$639,$C130-1,$D$5:$D$639,$D130))-1)))</f>
        <v/>
      </c>
      <c r="Q130" s="16">
        <f>IF(OR($A130="",I130="",$C130=""),"",IF(COUNTIFS($A$5:$A$639,$A130,$C$5:$C$639,$C130-1,$D$5:$D$639,$D130,I$5:I$639,"&lt;&gt;")=0,"",IF(OR(SUMIFS(I$5:I$639,$A$5:$A$639,$A130,$C$5:$C$639,$C130-1,$D$5:$D$639,$D130)=0,I130*SUMIFS(I$5:I$639,$A$5:$A$639,$A130,$C$5:$C$639,$C130-1,$D$5:$D$639,$D130)&lt;0),"n.s.",ABS(I130)/ABS(SUMIFS(I$5:I$639,$A$5:$A$639,$A130,$C$5:$C$639,$C130-1,$D$5:$D$639,$D130))-1)))</f>
        <v/>
      </c>
      <c r="R130" s="16">
        <f>IF(OR($A130="",J130="",$C130=""),"",IF(COUNTIFS($A$5:$A$639,$A130,$C$5:$C$639,$C130-1,$D$5:$D$639,$D130,J$5:J$639,"&lt;&gt;")=0,"",IF(OR(SUMIFS(J$5:J$639,$A$5:$A$639,$A130,$C$5:$C$639,$C130-1,$D$5:$D$639,$D130)=0,J130*SUMIFS(J$5:J$639,$A$5:$A$639,$A130,$C$5:$C$639,$C130-1,$D$5:$D$639,$D130)&lt;0),"n.s.",ABS(J130)/ABS(SUMIFS(J$5:J$639,$A$5:$A$639,$A130,$C$5:$C$639,$C130-1,$D$5:$D$639,$D130))-1)))</f>
        <v/>
      </c>
      <c r="S130" s="16">
        <f>IF(OR($A130="",K130="",$C130=""),"",IF(COUNTIFS($A$5:$A$639,$A130,$C$5:$C$639,$C130-1,$D$5:$D$639,$D130,K$5:K$639,"&lt;&gt;")=0,"",IF(OR(SUMIFS(K$5:K$639,$A$5:$A$639,$A130,$C$5:$C$639,$C130-1,$D$5:$D$639,$D130)=0,K130*SUMIFS(K$5:K$639,$A$5:$A$639,$A130,$C$5:$C$639,$C130-1,$D$5:$D$639,$D130)&lt;0),"n.s.",ABS(K130)/ABS(SUMIFS(K$5:K$639,$A$5:$A$639,$A130,$C$5:$C$639,$C130-1,$D$5:$D$639,$D130))-1)))</f>
        <v/>
      </c>
      <c r="T130" s="16">
        <f>IF(OR($A130="",L130="",$C130=""),"",IF(COUNTIFS($A$5:$A$639,$A130,$C$5:$C$639,$C130-1,$D$5:$D$639,$D130,L$5:L$639,"&lt;&gt;")=0,"",IF(OR(SUMIFS(L$5:L$639,$A$5:$A$639,$A130,$C$5:$C$639,$C130-1,$D$5:$D$639,$D130)=0,L130*SUMIFS(L$5:L$639,$A$5:$A$639,$A130,$C$5:$C$639,$C130-1,$D$5:$D$639,$D130)&lt;0),"n.s.",ABS(L130)/ABS(SUMIFS(L$5:L$639,$A$5:$A$639,$A130,$C$5:$C$639,$C130-1,$D$5:$D$639,$D130))-1)))</f>
        <v/>
      </c>
      <c r="U130" s="16">
        <f>IF(OR($A130="",M130="",$C130=""),"",IF(COUNTIFS($A$5:$A$639,$A130,$C$5:$C$639,$C130-1,$D$5:$D$639,$D130,M$5:M$639,"&lt;&gt;")=0,"",IF(OR(SUMIFS(M$5:M$639,$A$5:$A$639,$A130,$C$5:$C$639,$C130-1,$D$5:$D$639,$D130)=0,M130*SUMIFS(M$5:M$639,$A$5:$A$639,$A130,$C$5:$C$639,$C130-1,$D$5:$D$639,$D130)&lt;0),"n.s.",ABS(M130)/ABS(SUMIFS(M$5:M$639,$A$5:$A$639,$A130,$C$5:$C$639,$C130-1,$D$5:$D$639,$D130))-1)))</f>
        <v/>
      </c>
    </row>
    <row r="131">
      <c r="A131" s="9" t="inlineStr">
        <is>
          <t>STBC</t>
        </is>
      </c>
      <c r="B131" s="10">
        <f>IF(A131="","",IFERROR(VLOOKUP(A131,Titres!$A$2:$B$400,2,FALSE),"Ticker inconnu"))</f>
        <v/>
      </c>
      <c r="C131" s="11" t="n">
        <v>2021</v>
      </c>
      <c r="D131" s="11" t="inlineStr">
        <is>
          <t>T1</t>
        </is>
      </c>
      <c r="E131" s="9" t="n"/>
      <c r="F131" s="12" t="n"/>
      <c r="G131" s="9" t="n"/>
      <c r="H131" s="13" t="n"/>
      <c r="I131" s="13" t="n"/>
      <c r="J131" s="13" t="n"/>
      <c r="K131" s="13" t="n"/>
      <c r="L131" s="13" t="n"/>
      <c r="M131" s="13" t="n"/>
      <c r="N131" s="14">
        <f>IF(A131="","",COUNT(H131:M131)/6)</f>
        <v/>
      </c>
      <c r="O131" s="15">
        <f>IF(COUNT(H131:M131)=0,"",IF(LEN(IF(COUNT(I131,J131)=2,IF(J131&gt;I131+1,"EBE &gt; VA ",""),"")&amp;IF(COUNT(H131,M131)=2,IF(ABS(M131)&gt;ABS(H131),"RN &gt; CA ",""),"")&amp;IF(COUNT(H131,K131)=2,IF(ABS(K131)&gt;ABS(H131),"RE &gt; CA ",""),""))=0,"OK",IF(COUNT(I131,J131)=2,IF(J131&gt;I131+1,"EBE &gt; VA ",""),"")&amp;IF(COUNT(H131,M131)=2,IF(ABS(M131)&gt;ABS(H131),"RN &gt; CA ",""),"")&amp;IF(COUNT(H131,K131)=2,IF(ABS(K131)&gt;ABS(H131),"RE &gt; CA ",""),"")))</f>
        <v/>
      </c>
      <c r="P131" s="16">
        <f>IF(OR($A131="",H131="",$C131=""),"",IF(COUNTIFS($A$5:$A$639,$A131,$C$5:$C$639,$C131-1,$D$5:$D$639,$D131,H$5:H$639,"&lt;&gt;")=0,"",IF(OR(SUMIFS(H$5:H$639,$A$5:$A$639,$A131,$C$5:$C$639,$C131-1,$D$5:$D$639,$D131)=0,H131*SUMIFS(H$5:H$639,$A$5:$A$639,$A131,$C$5:$C$639,$C131-1,$D$5:$D$639,$D131)&lt;0),"n.s.",ABS(H131)/ABS(SUMIFS(H$5:H$639,$A$5:$A$639,$A131,$C$5:$C$639,$C131-1,$D$5:$D$639,$D131))-1)))</f>
        <v/>
      </c>
      <c r="Q131" s="16">
        <f>IF(OR($A131="",I131="",$C131=""),"",IF(COUNTIFS($A$5:$A$639,$A131,$C$5:$C$639,$C131-1,$D$5:$D$639,$D131,I$5:I$639,"&lt;&gt;")=0,"",IF(OR(SUMIFS(I$5:I$639,$A$5:$A$639,$A131,$C$5:$C$639,$C131-1,$D$5:$D$639,$D131)=0,I131*SUMIFS(I$5:I$639,$A$5:$A$639,$A131,$C$5:$C$639,$C131-1,$D$5:$D$639,$D131)&lt;0),"n.s.",ABS(I131)/ABS(SUMIFS(I$5:I$639,$A$5:$A$639,$A131,$C$5:$C$639,$C131-1,$D$5:$D$639,$D131))-1)))</f>
        <v/>
      </c>
      <c r="R131" s="16">
        <f>IF(OR($A131="",J131="",$C131=""),"",IF(COUNTIFS($A$5:$A$639,$A131,$C$5:$C$639,$C131-1,$D$5:$D$639,$D131,J$5:J$639,"&lt;&gt;")=0,"",IF(OR(SUMIFS(J$5:J$639,$A$5:$A$639,$A131,$C$5:$C$639,$C131-1,$D$5:$D$639,$D131)=0,J131*SUMIFS(J$5:J$639,$A$5:$A$639,$A131,$C$5:$C$639,$C131-1,$D$5:$D$639,$D131)&lt;0),"n.s.",ABS(J131)/ABS(SUMIFS(J$5:J$639,$A$5:$A$639,$A131,$C$5:$C$639,$C131-1,$D$5:$D$639,$D131))-1)))</f>
        <v/>
      </c>
      <c r="S131" s="16">
        <f>IF(OR($A131="",K131="",$C131=""),"",IF(COUNTIFS($A$5:$A$639,$A131,$C$5:$C$639,$C131-1,$D$5:$D$639,$D131,K$5:K$639,"&lt;&gt;")=0,"",IF(OR(SUMIFS(K$5:K$639,$A$5:$A$639,$A131,$C$5:$C$639,$C131-1,$D$5:$D$639,$D131)=0,K131*SUMIFS(K$5:K$639,$A$5:$A$639,$A131,$C$5:$C$639,$C131-1,$D$5:$D$639,$D131)&lt;0),"n.s.",ABS(K131)/ABS(SUMIFS(K$5:K$639,$A$5:$A$639,$A131,$C$5:$C$639,$C131-1,$D$5:$D$639,$D131))-1)))</f>
        <v/>
      </c>
      <c r="T131" s="16">
        <f>IF(OR($A131="",L131="",$C131=""),"",IF(COUNTIFS($A$5:$A$639,$A131,$C$5:$C$639,$C131-1,$D$5:$D$639,$D131,L$5:L$639,"&lt;&gt;")=0,"",IF(OR(SUMIFS(L$5:L$639,$A$5:$A$639,$A131,$C$5:$C$639,$C131-1,$D$5:$D$639,$D131)=0,L131*SUMIFS(L$5:L$639,$A$5:$A$639,$A131,$C$5:$C$639,$C131-1,$D$5:$D$639,$D131)&lt;0),"n.s.",ABS(L131)/ABS(SUMIFS(L$5:L$639,$A$5:$A$639,$A131,$C$5:$C$639,$C131-1,$D$5:$D$639,$D131))-1)))</f>
        <v/>
      </c>
      <c r="U131" s="16">
        <f>IF(OR($A131="",M131="",$C131=""),"",IF(COUNTIFS($A$5:$A$639,$A131,$C$5:$C$639,$C131-1,$D$5:$D$639,$D131,M$5:M$639,"&lt;&gt;")=0,"",IF(OR(SUMIFS(M$5:M$639,$A$5:$A$639,$A131,$C$5:$C$639,$C131-1,$D$5:$D$639,$D131)=0,M131*SUMIFS(M$5:M$639,$A$5:$A$639,$A131,$C$5:$C$639,$C131-1,$D$5:$D$639,$D131)&lt;0),"n.s.",ABS(M131)/ABS(SUMIFS(M$5:M$639,$A$5:$A$639,$A131,$C$5:$C$639,$C131-1,$D$5:$D$639,$D131))-1)))</f>
        <v/>
      </c>
    </row>
    <row r="132">
      <c r="A132" s="9" t="inlineStr">
        <is>
          <t>STBC</t>
        </is>
      </c>
      <c r="B132" s="10">
        <f>IF(A132="","",IFERROR(VLOOKUP(A132,Titres!$A$2:$B$400,2,FALSE),"Ticker inconnu"))</f>
        <v/>
      </c>
      <c r="C132" s="11" t="n">
        <v>2021</v>
      </c>
      <c r="D132" s="11" t="inlineStr">
        <is>
          <t>S1</t>
        </is>
      </c>
      <c r="E132" s="9" t="n"/>
      <c r="F132" s="12" t="n"/>
      <c r="G132" s="9" t="n"/>
      <c r="H132" s="13" t="n"/>
      <c r="I132" s="13" t="n"/>
      <c r="J132" s="13" t="n"/>
      <c r="K132" s="13" t="n"/>
      <c r="L132" s="13" t="n"/>
      <c r="M132" s="13" t="n"/>
      <c r="N132" s="14">
        <f>IF(A132="","",COUNT(H132:M132)/6)</f>
        <v/>
      </c>
      <c r="O132" s="15">
        <f>IF(COUNT(H132:M132)=0,"",IF(LEN(IF(COUNT(I132,J132)=2,IF(J132&gt;I132+1,"EBE &gt; VA ",""),"")&amp;IF(COUNT(H132,M132)=2,IF(ABS(M132)&gt;ABS(H132),"RN &gt; CA ",""),"")&amp;IF(COUNT(H132,K132)=2,IF(ABS(K132)&gt;ABS(H132),"RE &gt; CA ",""),""))=0,"OK",IF(COUNT(I132,J132)=2,IF(J132&gt;I132+1,"EBE &gt; VA ",""),"")&amp;IF(COUNT(H132,M132)=2,IF(ABS(M132)&gt;ABS(H132),"RN &gt; CA ",""),"")&amp;IF(COUNT(H132,K132)=2,IF(ABS(K132)&gt;ABS(H132),"RE &gt; CA ",""),"")))</f>
        <v/>
      </c>
      <c r="P132" s="16">
        <f>IF(OR($A132="",H132="",$C132=""),"",IF(COUNTIFS($A$5:$A$639,$A132,$C$5:$C$639,$C132-1,$D$5:$D$639,$D132,H$5:H$639,"&lt;&gt;")=0,"",IF(OR(SUMIFS(H$5:H$639,$A$5:$A$639,$A132,$C$5:$C$639,$C132-1,$D$5:$D$639,$D132)=0,H132*SUMIFS(H$5:H$639,$A$5:$A$639,$A132,$C$5:$C$639,$C132-1,$D$5:$D$639,$D132)&lt;0),"n.s.",ABS(H132)/ABS(SUMIFS(H$5:H$639,$A$5:$A$639,$A132,$C$5:$C$639,$C132-1,$D$5:$D$639,$D132))-1)))</f>
        <v/>
      </c>
      <c r="Q132" s="16">
        <f>IF(OR($A132="",I132="",$C132=""),"",IF(COUNTIFS($A$5:$A$639,$A132,$C$5:$C$639,$C132-1,$D$5:$D$639,$D132,I$5:I$639,"&lt;&gt;")=0,"",IF(OR(SUMIFS(I$5:I$639,$A$5:$A$639,$A132,$C$5:$C$639,$C132-1,$D$5:$D$639,$D132)=0,I132*SUMIFS(I$5:I$639,$A$5:$A$639,$A132,$C$5:$C$639,$C132-1,$D$5:$D$639,$D132)&lt;0),"n.s.",ABS(I132)/ABS(SUMIFS(I$5:I$639,$A$5:$A$639,$A132,$C$5:$C$639,$C132-1,$D$5:$D$639,$D132))-1)))</f>
        <v/>
      </c>
      <c r="R132" s="16">
        <f>IF(OR($A132="",J132="",$C132=""),"",IF(COUNTIFS($A$5:$A$639,$A132,$C$5:$C$639,$C132-1,$D$5:$D$639,$D132,J$5:J$639,"&lt;&gt;")=0,"",IF(OR(SUMIFS(J$5:J$639,$A$5:$A$639,$A132,$C$5:$C$639,$C132-1,$D$5:$D$639,$D132)=0,J132*SUMIFS(J$5:J$639,$A$5:$A$639,$A132,$C$5:$C$639,$C132-1,$D$5:$D$639,$D132)&lt;0),"n.s.",ABS(J132)/ABS(SUMIFS(J$5:J$639,$A$5:$A$639,$A132,$C$5:$C$639,$C132-1,$D$5:$D$639,$D132))-1)))</f>
        <v/>
      </c>
      <c r="S132" s="16">
        <f>IF(OR($A132="",K132="",$C132=""),"",IF(COUNTIFS($A$5:$A$639,$A132,$C$5:$C$639,$C132-1,$D$5:$D$639,$D132,K$5:K$639,"&lt;&gt;")=0,"",IF(OR(SUMIFS(K$5:K$639,$A$5:$A$639,$A132,$C$5:$C$639,$C132-1,$D$5:$D$639,$D132)=0,K132*SUMIFS(K$5:K$639,$A$5:$A$639,$A132,$C$5:$C$639,$C132-1,$D$5:$D$639,$D132)&lt;0),"n.s.",ABS(K132)/ABS(SUMIFS(K$5:K$639,$A$5:$A$639,$A132,$C$5:$C$639,$C132-1,$D$5:$D$639,$D132))-1)))</f>
        <v/>
      </c>
      <c r="T132" s="16">
        <f>IF(OR($A132="",L132="",$C132=""),"",IF(COUNTIFS($A$5:$A$639,$A132,$C$5:$C$639,$C132-1,$D$5:$D$639,$D132,L$5:L$639,"&lt;&gt;")=0,"",IF(OR(SUMIFS(L$5:L$639,$A$5:$A$639,$A132,$C$5:$C$639,$C132-1,$D$5:$D$639,$D132)=0,L132*SUMIFS(L$5:L$639,$A$5:$A$639,$A132,$C$5:$C$639,$C132-1,$D$5:$D$639,$D132)&lt;0),"n.s.",ABS(L132)/ABS(SUMIFS(L$5:L$639,$A$5:$A$639,$A132,$C$5:$C$639,$C132-1,$D$5:$D$639,$D132))-1)))</f>
        <v/>
      </c>
      <c r="U132" s="16">
        <f>IF(OR($A132="",M132="",$C132=""),"",IF(COUNTIFS($A$5:$A$639,$A132,$C$5:$C$639,$C132-1,$D$5:$D$639,$D132,M$5:M$639,"&lt;&gt;")=0,"",IF(OR(SUMIFS(M$5:M$639,$A$5:$A$639,$A132,$C$5:$C$639,$C132-1,$D$5:$D$639,$D132)=0,M132*SUMIFS(M$5:M$639,$A$5:$A$639,$A132,$C$5:$C$639,$C132-1,$D$5:$D$639,$D132)&lt;0),"n.s.",ABS(M132)/ABS(SUMIFS(M$5:M$639,$A$5:$A$639,$A132,$C$5:$C$639,$C132-1,$D$5:$D$639,$D132))-1)))</f>
        <v/>
      </c>
    </row>
    <row r="133">
      <c r="A133" s="9" t="inlineStr">
        <is>
          <t>STBC</t>
        </is>
      </c>
      <c r="B133" s="10">
        <f>IF(A133="","",IFERROR(VLOOKUP(A133,Titres!$A$2:$B$400,2,FALSE),"Ticker inconnu"))</f>
        <v/>
      </c>
      <c r="C133" s="11" t="n">
        <v>2021</v>
      </c>
      <c r="D133" s="11" t="inlineStr">
        <is>
          <t>T3</t>
        </is>
      </c>
      <c r="E133" s="9" t="n"/>
      <c r="F133" s="12" t="n"/>
      <c r="G133" s="9" t="n"/>
      <c r="H133" s="13" t="n"/>
      <c r="I133" s="13" t="n"/>
      <c r="J133" s="13" t="n"/>
      <c r="K133" s="13" t="n"/>
      <c r="L133" s="13" t="n"/>
      <c r="M133" s="13" t="n"/>
      <c r="N133" s="14">
        <f>IF(A133="","",COUNT(H133:M133)/6)</f>
        <v/>
      </c>
      <c r="O133" s="15">
        <f>IF(COUNT(H133:M133)=0,"",IF(LEN(IF(COUNT(I133,J133)=2,IF(J133&gt;I133+1,"EBE &gt; VA ",""),"")&amp;IF(COUNT(H133,M133)=2,IF(ABS(M133)&gt;ABS(H133),"RN &gt; CA ",""),"")&amp;IF(COUNT(H133,K133)=2,IF(ABS(K133)&gt;ABS(H133),"RE &gt; CA ",""),""))=0,"OK",IF(COUNT(I133,J133)=2,IF(J133&gt;I133+1,"EBE &gt; VA ",""),"")&amp;IF(COUNT(H133,M133)=2,IF(ABS(M133)&gt;ABS(H133),"RN &gt; CA ",""),"")&amp;IF(COUNT(H133,K133)=2,IF(ABS(K133)&gt;ABS(H133),"RE &gt; CA ",""),"")))</f>
        <v/>
      </c>
      <c r="P133" s="16">
        <f>IF(OR($A133="",H133="",$C133=""),"",IF(COUNTIFS($A$5:$A$639,$A133,$C$5:$C$639,$C133-1,$D$5:$D$639,$D133,H$5:H$639,"&lt;&gt;")=0,"",IF(OR(SUMIFS(H$5:H$639,$A$5:$A$639,$A133,$C$5:$C$639,$C133-1,$D$5:$D$639,$D133)=0,H133*SUMIFS(H$5:H$639,$A$5:$A$639,$A133,$C$5:$C$639,$C133-1,$D$5:$D$639,$D133)&lt;0),"n.s.",ABS(H133)/ABS(SUMIFS(H$5:H$639,$A$5:$A$639,$A133,$C$5:$C$639,$C133-1,$D$5:$D$639,$D133))-1)))</f>
        <v/>
      </c>
      <c r="Q133" s="16">
        <f>IF(OR($A133="",I133="",$C133=""),"",IF(COUNTIFS($A$5:$A$639,$A133,$C$5:$C$639,$C133-1,$D$5:$D$639,$D133,I$5:I$639,"&lt;&gt;")=0,"",IF(OR(SUMIFS(I$5:I$639,$A$5:$A$639,$A133,$C$5:$C$639,$C133-1,$D$5:$D$639,$D133)=0,I133*SUMIFS(I$5:I$639,$A$5:$A$639,$A133,$C$5:$C$639,$C133-1,$D$5:$D$639,$D133)&lt;0),"n.s.",ABS(I133)/ABS(SUMIFS(I$5:I$639,$A$5:$A$639,$A133,$C$5:$C$639,$C133-1,$D$5:$D$639,$D133))-1)))</f>
        <v/>
      </c>
      <c r="R133" s="16">
        <f>IF(OR($A133="",J133="",$C133=""),"",IF(COUNTIFS($A$5:$A$639,$A133,$C$5:$C$639,$C133-1,$D$5:$D$639,$D133,J$5:J$639,"&lt;&gt;")=0,"",IF(OR(SUMIFS(J$5:J$639,$A$5:$A$639,$A133,$C$5:$C$639,$C133-1,$D$5:$D$639,$D133)=0,J133*SUMIFS(J$5:J$639,$A$5:$A$639,$A133,$C$5:$C$639,$C133-1,$D$5:$D$639,$D133)&lt;0),"n.s.",ABS(J133)/ABS(SUMIFS(J$5:J$639,$A$5:$A$639,$A133,$C$5:$C$639,$C133-1,$D$5:$D$639,$D133))-1)))</f>
        <v/>
      </c>
      <c r="S133" s="16">
        <f>IF(OR($A133="",K133="",$C133=""),"",IF(COUNTIFS($A$5:$A$639,$A133,$C$5:$C$639,$C133-1,$D$5:$D$639,$D133,K$5:K$639,"&lt;&gt;")=0,"",IF(OR(SUMIFS(K$5:K$639,$A$5:$A$639,$A133,$C$5:$C$639,$C133-1,$D$5:$D$639,$D133)=0,K133*SUMIFS(K$5:K$639,$A$5:$A$639,$A133,$C$5:$C$639,$C133-1,$D$5:$D$639,$D133)&lt;0),"n.s.",ABS(K133)/ABS(SUMIFS(K$5:K$639,$A$5:$A$639,$A133,$C$5:$C$639,$C133-1,$D$5:$D$639,$D133))-1)))</f>
        <v/>
      </c>
      <c r="T133" s="16">
        <f>IF(OR($A133="",L133="",$C133=""),"",IF(COUNTIFS($A$5:$A$639,$A133,$C$5:$C$639,$C133-1,$D$5:$D$639,$D133,L$5:L$639,"&lt;&gt;")=0,"",IF(OR(SUMIFS(L$5:L$639,$A$5:$A$639,$A133,$C$5:$C$639,$C133-1,$D$5:$D$639,$D133)=0,L133*SUMIFS(L$5:L$639,$A$5:$A$639,$A133,$C$5:$C$639,$C133-1,$D$5:$D$639,$D133)&lt;0),"n.s.",ABS(L133)/ABS(SUMIFS(L$5:L$639,$A$5:$A$639,$A133,$C$5:$C$639,$C133-1,$D$5:$D$639,$D133))-1)))</f>
        <v/>
      </c>
      <c r="U133" s="16">
        <f>IF(OR($A133="",M133="",$C133=""),"",IF(COUNTIFS($A$5:$A$639,$A133,$C$5:$C$639,$C133-1,$D$5:$D$639,$D133,M$5:M$639,"&lt;&gt;")=0,"",IF(OR(SUMIFS(M$5:M$639,$A$5:$A$639,$A133,$C$5:$C$639,$C133-1,$D$5:$D$639,$D133)=0,M133*SUMIFS(M$5:M$639,$A$5:$A$639,$A133,$C$5:$C$639,$C133-1,$D$5:$D$639,$D133)&lt;0),"n.s.",ABS(M133)/ABS(SUMIFS(M$5:M$639,$A$5:$A$639,$A133,$C$5:$C$639,$C133-1,$D$5:$D$639,$D133))-1)))</f>
        <v/>
      </c>
    </row>
    <row r="134">
      <c r="A134" s="9" t="inlineStr">
        <is>
          <t>STBC</t>
        </is>
      </c>
      <c r="B134" s="10">
        <f>IF(A134="","",IFERROR(VLOOKUP(A134,Titres!$A$2:$B$400,2,FALSE),"Ticker inconnu"))</f>
        <v/>
      </c>
      <c r="C134" s="11" t="n">
        <v>2022</v>
      </c>
      <c r="D134" s="11" t="inlineStr">
        <is>
          <t>T1</t>
        </is>
      </c>
      <c r="E134" s="9" t="n"/>
      <c r="F134" s="12" t="n"/>
      <c r="G134" s="9" t="n"/>
      <c r="H134" s="13" t="n"/>
      <c r="I134" s="13" t="n"/>
      <c r="J134" s="13" t="n"/>
      <c r="K134" s="13" t="n"/>
      <c r="L134" s="13" t="n"/>
      <c r="M134" s="13" t="n"/>
      <c r="N134" s="14">
        <f>IF(A134="","",COUNT(H134:M134)/6)</f>
        <v/>
      </c>
      <c r="O134" s="15">
        <f>IF(COUNT(H134:M134)=0,"",IF(LEN(IF(COUNT(I134,J134)=2,IF(J134&gt;I134+1,"EBE &gt; VA ",""),"")&amp;IF(COUNT(H134,M134)=2,IF(ABS(M134)&gt;ABS(H134),"RN &gt; CA ",""),"")&amp;IF(COUNT(H134,K134)=2,IF(ABS(K134)&gt;ABS(H134),"RE &gt; CA ",""),""))=0,"OK",IF(COUNT(I134,J134)=2,IF(J134&gt;I134+1,"EBE &gt; VA ",""),"")&amp;IF(COUNT(H134,M134)=2,IF(ABS(M134)&gt;ABS(H134),"RN &gt; CA ",""),"")&amp;IF(COUNT(H134,K134)=2,IF(ABS(K134)&gt;ABS(H134),"RE &gt; CA ",""),"")))</f>
        <v/>
      </c>
      <c r="P134" s="16">
        <f>IF(OR($A134="",H134="",$C134=""),"",IF(COUNTIFS($A$5:$A$639,$A134,$C$5:$C$639,$C134-1,$D$5:$D$639,$D134,H$5:H$639,"&lt;&gt;")=0,"",IF(OR(SUMIFS(H$5:H$639,$A$5:$A$639,$A134,$C$5:$C$639,$C134-1,$D$5:$D$639,$D134)=0,H134*SUMIFS(H$5:H$639,$A$5:$A$639,$A134,$C$5:$C$639,$C134-1,$D$5:$D$639,$D134)&lt;0),"n.s.",ABS(H134)/ABS(SUMIFS(H$5:H$639,$A$5:$A$639,$A134,$C$5:$C$639,$C134-1,$D$5:$D$639,$D134))-1)))</f>
        <v/>
      </c>
      <c r="Q134" s="16">
        <f>IF(OR($A134="",I134="",$C134=""),"",IF(COUNTIFS($A$5:$A$639,$A134,$C$5:$C$639,$C134-1,$D$5:$D$639,$D134,I$5:I$639,"&lt;&gt;")=0,"",IF(OR(SUMIFS(I$5:I$639,$A$5:$A$639,$A134,$C$5:$C$639,$C134-1,$D$5:$D$639,$D134)=0,I134*SUMIFS(I$5:I$639,$A$5:$A$639,$A134,$C$5:$C$639,$C134-1,$D$5:$D$639,$D134)&lt;0),"n.s.",ABS(I134)/ABS(SUMIFS(I$5:I$639,$A$5:$A$639,$A134,$C$5:$C$639,$C134-1,$D$5:$D$639,$D134))-1)))</f>
        <v/>
      </c>
      <c r="R134" s="16">
        <f>IF(OR($A134="",J134="",$C134=""),"",IF(COUNTIFS($A$5:$A$639,$A134,$C$5:$C$639,$C134-1,$D$5:$D$639,$D134,J$5:J$639,"&lt;&gt;")=0,"",IF(OR(SUMIFS(J$5:J$639,$A$5:$A$639,$A134,$C$5:$C$639,$C134-1,$D$5:$D$639,$D134)=0,J134*SUMIFS(J$5:J$639,$A$5:$A$639,$A134,$C$5:$C$639,$C134-1,$D$5:$D$639,$D134)&lt;0),"n.s.",ABS(J134)/ABS(SUMIFS(J$5:J$639,$A$5:$A$639,$A134,$C$5:$C$639,$C134-1,$D$5:$D$639,$D134))-1)))</f>
        <v/>
      </c>
      <c r="S134" s="16">
        <f>IF(OR($A134="",K134="",$C134=""),"",IF(COUNTIFS($A$5:$A$639,$A134,$C$5:$C$639,$C134-1,$D$5:$D$639,$D134,K$5:K$639,"&lt;&gt;")=0,"",IF(OR(SUMIFS(K$5:K$639,$A$5:$A$639,$A134,$C$5:$C$639,$C134-1,$D$5:$D$639,$D134)=0,K134*SUMIFS(K$5:K$639,$A$5:$A$639,$A134,$C$5:$C$639,$C134-1,$D$5:$D$639,$D134)&lt;0),"n.s.",ABS(K134)/ABS(SUMIFS(K$5:K$639,$A$5:$A$639,$A134,$C$5:$C$639,$C134-1,$D$5:$D$639,$D134))-1)))</f>
        <v/>
      </c>
      <c r="T134" s="16">
        <f>IF(OR($A134="",L134="",$C134=""),"",IF(COUNTIFS($A$5:$A$639,$A134,$C$5:$C$639,$C134-1,$D$5:$D$639,$D134,L$5:L$639,"&lt;&gt;")=0,"",IF(OR(SUMIFS(L$5:L$639,$A$5:$A$639,$A134,$C$5:$C$639,$C134-1,$D$5:$D$639,$D134)=0,L134*SUMIFS(L$5:L$639,$A$5:$A$639,$A134,$C$5:$C$639,$C134-1,$D$5:$D$639,$D134)&lt;0),"n.s.",ABS(L134)/ABS(SUMIFS(L$5:L$639,$A$5:$A$639,$A134,$C$5:$C$639,$C134-1,$D$5:$D$639,$D134))-1)))</f>
        <v/>
      </c>
      <c r="U134" s="16">
        <f>IF(OR($A134="",M134="",$C134=""),"",IF(COUNTIFS($A$5:$A$639,$A134,$C$5:$C$639,$C134-1,$D$5:$D$639,$D134,M$5:M$639,"&lt;&gt;")=0,"",IF(OR(SUMIFS(M$5:M$639,$A$5:$A$639,$A134,$C$5:$C$639,$C134-1,$D$5:$D$639,$D134)=0,M134*SUMIFS(M$5:M$639,$A$5:$A$639,$A134,$C$5:$C$639,$C134-1,$D$5:$D$639,$D134)&lt;0),"n.s.",ABS(M134)/ABS(SUMIFS(M$5:M$639,$A$5:$A$639,$A134,$C$5:$C$639,$C134-1,$D$5:$D$639,$D134))-1)))</f>
        <v/>
      </c>
    </row>
    <row r="135">
      <c r="A135" s="9" t="inlineStr">
        <is>
          <t>STBC</t>
        </is>
      </c>
      <c r="B135" s="10">
        <f>IF(A135="","",IFERROR(VLOOKUP(A135,Titres!$A$2:$B$400,2,FALSE),"Ticker inconnu"))</f>
        <v/>
      </c>
      <c r="C135" s="11" t="n">
        <v>2022</v>
      </c>
      <c r="D135" s="11" t="inlineStr">
        <is>
          <t>S1</t>
        </is>
      </c>
      <c r="E135" s="9" t="n"/>
      <c r="F135" s="12" t="n"/>
      <c r="G135" s="9" t="n"/>
      <c r="H135" s="13" t="n"/>
      <c r="I135" s="13" t="n"/>
      <c r="J135" s="13" t="n"/>
      <c r="K135" s="13" t="n"/>
      <c r="L135" s="13" t="n"/>
      <c r="M135" s="13" t="n"/>
      <c r="N135" s="14">
        <f>IF(A135="","",COUNT(H135:M135)/6)</f>
        <v/>
      </c>
      <c r="O135" s="15">
        <f>IF(COUNT(H135:M135)=0,"",IF(LEN(IF(COUNT(I135,J135)=2,IF(J135&gt;I135+1,"EBE &gt; VA ",""),"")&amp;IF(COUNT(H135,M135)=2,IF(ABS(M135)&gt;ABS(H135),"RN &gt; CA ",""),"")&amp;IF(COUNT(H135,K135)=2,IF(ABS(K135)&gt;ABS(H135),"RE &gt; CA ",""),""))=0,"OK",IF(COUNT(I135,J135)=2,IF(J135&gt;I135+1,"EBE &gt; VA ",""),"")&amp;IF(COUNT(H135,M135)=2,IF(ABS(M135)&gt;ABS(H135),"RN &gt; CA ",""),"")&amp;IF(COUNT(H135,K135)=2,IF(ABS(K135)&gt;ABS(H135),"RE &gt; CA ",""),"")))</f>
        <v/>
      </c>
      <c r="P135" s="16">
        <f>IF(OR($A135="",H135="",$C135=""),"",IF(COUNTIFS($A$5:$A$639,$A135,$C$5:$C$639,$C135-1,$D$5:$D$639,$D135,H$5:H$639,"&lt;&gt;")=0,"",IF(OR(SUMIFS(H$5:H$639,$A$5:$A$639,$A135,$C$5:$C$639,$C135-1,$D$5:$D$639,$D135)=0,H135*SUMIFS(H$5:H$639,$A$5:$A$639,$A135,$C$5:$C$639,$C135-1,$D$5:$D$639,$D135)&lt;0),"n.s.",ABS(H135)/ABS(SUMIFS(H$5:H$639,$A$5:$A$639,$A135,$C$5:$C$639,$C135-1,$D$5:$D$639,$D135))-1)))</f>
        <v/>
      </c>
      <c r="Q135" s="16">
        <f>IF(OR($A135="",I135="",$C135=""),"",IF(COUNTIFS($A$5:$A$639,$A135,$C$5:$C$639,$C135-1,$D$5:$D$639,$D135,I$5:I$639,"&lt;&gt;")=0,"",IF(OR(SUMIFS(I$5:I$639,$A$5:$A$639,$A135,$C$5:$C$639,$C135-1,$D$5:$D$639,$D135)=0,I135*SUMIFS(I$5:I$639,$A$5:$A$639,$A135,$C$5:$C$639,$C135-1,$D$5:$D$639,$D135)&lt;0),"n.s.",ABS(I135)/ABS(SUMIFS(I$5:I$639,$A$5:$A$639,$A135,$C$5:$C$639,$C135-1,$D$5:$D$639,$D135))-1)))</f>
        <v/>
      </c>
      <c r="R135" s="16">
        <f>IF(OR($A135="",J135="",$C135=""),"",IF(COUNTIFS($A$5:$A$639,$A135,$C$5:$C$639,$C135-1,$D$5:$D$639,$D135,J$5:J$639,"&lt;&gt;")=0,"",IF(OR(SUMIFS(J$5:J$639,$A$5:$A$639,$A135,$C$5:$C$639,$C135-1,$D$5:$D$639,$D135)=0,J135*SUMIFS(J$5:J$639,$A$5:$A$639,$A135,$C$5:$C$639,$C135-1,$D$5:$D$639,$D135)&lt;0),"n.s.",ABS(J135)/ABS(SUMIFS(J$5:J$639,$A$5:$A$639,$A135,$C$5:$C$639,$C135-1,$D$5:$D$639,$D135))-1)))</f>
        <v/>
      </c>
      <c r="S135" s="16">
        <f>IF(OR($A135="",K135="",$C135=""),"",IF(COUNTIFS($A$5:$A$639,$A135,$C$5:$C$639,$C135-1,$D$5:$D$639,$D135,K$5:K$639,"&lt;&gt;")=0,"",IF(OR(SUMIFS(K$5:K$639,$A$5:$A$639,$A135,$C$5:$C$639,$C135-1,$D$5:$D$639,$D135)=0,K135*SUMIFS(K$5:K$639,$A$5:$A$639,$A135,$C$5:$C$639,$C135-1,$D$5:$D$639,$D135)&lt;0),"n.s.",ABS(K135)/ABS(SUMIFS(K$5:K$639,$A$5:$A$639,$A135,$C$5:$C$639,$C135-1,$D$5:$D$639,$D135))-1)))</f>
        <v/>
      </c>
      <c r="T135" s="16">
        <f>IF(OR($A135="",L135="",$C135=""),"",IF(COUNTIFS($A$5:$A$639,$A135,$C$5:$C$639,$C135-1,$D$5:$D$639,$D135,L$5:L$639,"&lt;&gt;")=0,"",IF(OR(SUMIFS(L$5:L$639,$A$5:$A$639,$A135,$C$5:$C$639,$C135-1,$D$5:$D$639,$D135)=0,L135*SUMIFS(L$5:L$639,$A$5:$A$639,$A135,$C$5:$C$639,$C135-1,$D$5:$D$639,$D135)&lt;0),"n.s.",ABS(L135)/ABS(SUMIFS(L$5:L$639,$A$5:$A$639,$A135,$C$5:$C$639,$C135-1,$D$5:$D$639,$D135))-1)))</f>
        <v/>
      </c>
      <c r="U135" s="16">
        <f>IF(OR($A135="",M135="",$C135=""),"",IF(COUNTIFS($A$5:$A$639,$A135,$C$5:$C$639,$C135-1,$D$5:$D$639,$D135,M$5:M$639,"&lt;&gt;")=0,"",IF(OR(SUMIFS(M$5:M$639,$A$5:$A$639,$A135,$C$5:$C$639,$C135-1,$D$5:$D$639,$D135)=0,M135*SUMIFS(M$5:M$639,$A$5:$A$639,$A135,$C$5:$C$639,$C135-1,$D$5:$D$639,$D135)&lt;0),"n.s.",ABS(M135)/ABS(SUMIFS(M$5:M$639,$A$5:$A$639,$A135,$C$5:$C$639,$C135-1,$D$5:$D$639,$D135))-1)))</f>
        <v/>
      </c>
    </row>
    <row r="136">
      <c r="A136" s="9" t="inlineStr">
        <is>
          <t>STBC</t>
        </is>
      </c>
      <c r="B136" s="10">
        <f>IF(A136="","",IFERROR(VLOOKUP(A136,Titres!$A$2:$B$400,2,FALSE),"Ticker inconnu"))</f>
        <v/>
      </c>
      <c r="C136" s="11" t="n">
        <v>2022</v>
      </c>
      <c r="D136" s="11" t="inlineStr">
        <is>
          <t>T3</t>
        </is>
      </c>
      <c r="E136" s="9" t="n"/>
      <c r="F136" s="12" t="n"/>
      <c r="G136" s="9" t="n"/>
      <c r="H136" s="13" t="n"/>
      <c r="I136" s="13" t="n"/>
      <c r="J136" s="13" t="n"/>
      <c r="K136" s="13" t="n"/>
      <c r="L136" s="13" t="n"/>
      <c r="M136" s="13" t="n"/>
      <c r="N136" s="14">
        <f>IF(A136="","",COUNT(H136:M136)/6)</f>
        <v/>
      </c>
      <c r="O136" s="15">
        <f>IF(COUNT(H136:M136)=0,"",IF(LEN(IF(COUNT(I136,J136)=2,IF(J136&gt;I136+1,"EBE &gt; VA ",""),"")&amp;IF(COUNT(H136,M136)=2,IF(ABS(M136)&gt;ABS(H136),"RN &gt; CA ",""),"")&amp;IF(COUNT(H136,K136)=2,IF(ABS(K136)&gt;ABS(H136),"RE &gt; CA ",""),""))=0,"OK",IF(COUNT(I136,J136)=2,IF(J136&gt;I136+1,"EBE &gt; VA ",""),"")&amp;IF(COUNT(H136,M136)=2,IF(ABS(M136)&gt;ABS(H136),"RN &gt; CA ",""),"")&amp;IF(COUNT(H136,K136)=2,IF(ABS(K136)&gt;ABS(H136),"RE &gt; CA ",""),"")))</f>
        <v/>
      </c>
      <c r="P136" s="16">
        <f>IF(OR($A136="",H136="",$C136=""),"",IF(COUNTIFS($A$5:$A$639,$A136,$C$5:$C$639,$C136-1,$D$5:$D$639,$D136,H$5:H$639,"&lt;&gt;")=0,"",IF(OR(SUMIFS(H$5:H$639,$A$5:$A$639,$A136,$C$5:$C$639,$C136-1,$D$5:$D$639,$D136)=0,H136*SUMIFS(H$5:H$639,$A$5:$A$639,$A136,$C$5:$C$639,$C136-1,$D$5:$D$639,$D136)&lt;0),"n.s.",ABS(H136)/ABS(SUMIFS(H$5:H$639,$A$5:$A$639,$A136,$C$5:$C$639,$C136-1,$D$5:$D$639,$D136))-1)))</f>
        <v/>
      </c>
      <c r="Q136" s="16">
        <f>IF(OR($A136="",I136="",$C136=""),"",IF(COUNTIFS($A$5:$A$639,$A136,$C$5:$C$639,$C136-1,$D$5:$D$639,$D136,I$5:I$639,"&lt;&gt;")=0,"",IF(OR(SUMIFS(I$5:I$639,$A$5:$A$639,$A136,$C$5:$C$639,$C136-1,$D$5:$D$639,$D136)=0,I136*SUMIFS(I$5:I$639,$A$5:$A$639,$A136,$C$5:$C$639,$C136-1,$D$5:$D$639,$D136)&lt;0),"n.s.",ABS(I136)/ABS(SUMIFS(I$5:I$639,$A$5:$A$639,$A136,$C$5:$C$639,$C136-1,$D$5:$D$639,$D136))-1)))</f>
        <v/>
      </c>
      <c r="R136" s="16">
        <f>IF(OR($A136="",J136="",$C136=""),"",IF(COUNTIFS($A$5:$A$639,$A136,$C$5:$C$639,$C136-1,$D$5:$D$639,$D136,J$5:J$639,"&lt;&gt;")=0,"",IF(OR(SUMIFS(J$5:J$639,$A$5:$A$639,$A136,$C$5:$C$639,$C136-1,$D$5:$D$639,$D136)=0,J136*SUMIFS(J$5:J$639,$A$5:$A$639,$A136,$C$5:$C$639,$C136-1,$D$5:$D$639,$D136)&lt;0),"n.s.",ABS(J136)/ABS(SUMIFS(J$5:J$639,$A$5:$A$639,$A136,$C$5:$C$639,$C136-1,$D$5:$D$639,$D136))-1)))</f>
        <v/>
      </c>
      <c r="S136" s="16">
        <f>IF(OR($A136="",K136="",$C136=""),"",IF(COUNTIFS($A$5:$A$639,$A136,$C$5:$C$639,$C136-1,$D$5:$D$639,$D136,K$5:K$639,"&lt;&gt;")=0,"",IF(OR(SUMIFS(K$5:K$639,$A$5:$A$639,$A136,$C$5:$C$639,$C136-1,$D$5:$D$639,$D136)=0,K136*SUMIFS(K$5:K$639,$A$5:$A$639,$A136,$C$5:$C$639,$C136-1,$D$5:$D$639,$D136)&lt;0),"n.s.",ABS(K136)/ABS(SUMIFS(K$5:K$639,$A$5:$A$639,$A136,$C$5:$C$639,$C136-1,$D$5:$D$639,$D136))-1)))</f>
        <v/>
      </c>
      <c r="T136" s="16">
        <f>IF(OR($A136="",L136="",$C136=""),"",IF(COUNTIFS($A$5:$A$639,$A136,$C$5:$C$639,$C136-1,$D$5:$D$639,$D136,L$5:L$639,"&lt;&gt;")=0,"",IF(OR(SUMIFS(L$5:L$639,$A$5:$A$639,$A136,$C$5:$C$639,$C136-1,$D$5:$D$639,$D136)=0,L136*SUMIFS(L$5:L$639,$A$5:$A$639,$A136,$C$5:$C$639,$C136-1,$D$5:$D$639,$D136)&lt;0),"n.s.",ABS(L136)/ABS(SUMIFS(L$5:L$639,$A$5:$A$639,$A136,$C$5:$C$639,$C136-1,$D$5:$D$639,$D136))-1)))</f>
        <v/>
      </c>
      <c r="U136" s="16">
        <f>IF(OR($A136="",M136="",$C136=""),"",IF(COUNTIFS($A$5:$A$639,$A136,$C$5:$C$639,$C136-1,$D$5:$D$639,$D136,M$5:M$639,"&lt;&gt;")=0,"",IF(OR(SUMIFS(M$5:M$639,$A$5:$A$639,$A136,$C$5:$C$639,$C136-1,$D$5:$D$639,$D136)=0,M136*SUMIFS(M$5:M$639,$A$5:$A$639,$A136,$C$5:$C$639,$C136-1,$D$5:$D$639,$D136)&lt;0),"n.s.",ABS(M136)/ABS(SUMIFS(M$5:M$639,$A$5:$A$639,$A136,$C$5:$C$639,$C136-1,$D$5:$D$639,$D136))-1)))</f>
        <v/>
      </c>
    </row>
    <row r="137">
      <c r="A137" s="9" t="inlineStr">
        <is>
          <t>STBC</t>
        </is>
      </c>
      <c r="B137" s="10">
        <f>IF(A137="","",IFERROR(VLOOKUP(A137,Titres!$A$2:$B$400,2,FALSE),"Ticker inconnu"))</f>
        <v/>
      </c>
      <c r="C137" s="11" t="n">
        <v>2023</v>
      </c>
      <c r="D137" s="11" t="inlineStr">
        <is>
          <t>T1</t>
        </is>
      </c>
      <c r="E137" s="9" t="n"/>
      <c r="F137" s="12" t="n"/>
      <c r="G137" s="9" t="n"/>
      <c r="H137" s="13" t="n"/>
      <c r="I137" s="13" t="n"/>
      <c r="J137" s="13" t="n"/>
      <c r="K137" s="13" t="n"/>
      <c r="L137" s="13" t="n"/>
      <c r="M137" s="13" t="n"/>
      <c r="N137" s="14">
        <f>IF(A137="","",COUNT(H137:M137)/6)</f>
        <v/>
      </c>
      <c r="O137" s="15">
        <f>IF(COUNT(H137:M137)=0,"",IF(LEN(IF(COUNT(I137,J137)=2,IF(J137&gt;I137+1,"EBE &gt; VA ",""),"")&amp;IF(COUNT(H137,M137)=2,IF(ABS(M137)&gt;ABS(H137),"RN &gt; CA ",""),"")&amp;IF(COUNT(H137,K137)=2,IF(ABS(K137)&gt;ABS(H137),"RE &gt; CA ",""),""))=0,"OK",IF(COUNT(I137,J137)=2,IF(J137&gt;I137+1,"EBE &gt; VA ",""),"")&amp;IF(COUNT(H137,M137)=2,IF(ABS(M137)&gt;ABS(H137),"RN &gt; CA ",""),"")&amp;IF(COUNT(H137,K137)=2,IF(ABS(K137)&gt;ABS(H137),"RE &gt; CA ",""),"")))</f>
        <v/>
      </c>
      <c r="P137" s="16">
        <f>IF(OR($A137="",H137="",$C137=""),"",IF(COUNTIFS($A$5:$A$639,$A137,$C$5:$C$639,$C137-1,$D$5:$D$639,$D137,H$5:H$639,"&lt;&gt;")=0,"",IF(OR(SUMIFS(H$5:H$639,$A$5:$A$639,$A137,$C$5:$C$639,$C137-1,$D$5:$D$639,$D137)=0,H137*SUMIFS(H$5:H$639,$A$5:$A$639,$A137,$C$5:$C$639,$C137-1,$D$5:$D$639,$D137)&lt;0),"n.s.",ABS(H137)/ABS(SUMIFS(H$5:H$639,$A$5:$A$639,$A137,$C$5:$C$639,$C137-1,$D$5:$D$639,$D137))-1)))</f>
        <v/>
      </c>
      <c r="Q137" s="16">
        <f>IF(OR($A137="",I137="",$C137=""),"",IF(COUNTIFS($A$5:$A$639,$A137,$C$5:$C$639,$C137-1,$D$5:$D$639,$D137,I$5:I$639,"&lt;&gt;")=0,"",IF(OR(SUMIFS(I$5:I$639,$A$5:$A$639,$A137,$C$5:$C$639,$C137-1,$D$5:$D$639,$D137)=0,I137*SUMIFS(I$5:I$639,$A$5:$A$639,$A137,$C$5:$C$639,$C137-1,$D$5:$D$639,$D137)&lt;0),"n.s.",ABS(I137)/ABS(SUMIFS(I$5:I$639,$A$5:$A$639,$A137,$C$5:$C$639,$C137-1,$D$5:$D$639,$D137))-1)))</f>
        <v/>
      </c>
      <c r="R137" s="16">
        <f>IF(OR($A137="",J137="",$C137=""),"",IF(COUNTIFS($A$5:$A$639,$A137,$C$5:$C$639,$C137-1,$D$5:$D$639,$D137,J$5:J$639,"&lt;&gt;")=0,"",IF(OR(SUMIFS(J$5:J$639,$A$5:$A$639,$A137,$C$5:$C$639,$C137-1,$D$5:$D$639,$D137)=0,J137*SUMIFS(J$5:J$639,$A$5:$A$639,$A137,$C$5:$C$639,$C137-1,$D$5:$D$639,$D137)&lt;0),"n.s.",ABS(J137)/ABS(SUMIFS(J$5:J$639,$A$5:$A$639,$A137,$C$5:$C$639,$C137-1,$D$5:$D$639,$D137))-1)))</f>
        <v/>
      </c>
      <c r="S137" s="16">
        <f>IF(OR($A137="",K137="",$C137=""),"",IF(COUNTIFS($A$5:$A$639,$A137,$C$5:$C$639,$C137-1,$D$5:$D$639,$D137,K$5:K$639,"&lt;&gt;")=0,"",IF(OR(SUMIFS(K$5:K$639,$A$5:$A$639,$A137,$C$5:$C$639,$C137-1,$D$5:$D$639,$D137)=0,K137*SUMIFS(K$5:K$639,$A$5:$A$639,$A137,$C$5:$C$639,$C137-1,$D$5:$D$639,$D137)&lt;0),"n.s.",ABS(K137)/ABS(SUMIFS(K$5:K$639,$A$5:$A$639,$A137,$C$5:$C$639,$C137-1,$D$5:$D$639,$D137))-1)))</f>
        <v/>
      </c>
      <c r="T137" s="16">
        <f>IF(OR($A137="",L137="",$C137=""),"",IF(COUNTIFS($A$5:$A$639,$A137,$C$5:$C$639,$C137-1,$D$5:$D$639,$D137,L$5:L$639,"&lt;&gt;")=0,"",IF(OR(SUMIFS(L$5:L$639,$A$5:$A$639,$A137,$C$5:$C$639,$C137-1,$D$5:$D$639,$D137)=0,L137*SUMIFS(L$5:L$639,$A$5:$A$639,$A137,$C$5:$C$639,$C137-1,$D$5:$D$639,$D137)&lt;0),"n.s.",ABS(L137)/ABS(SUMIFS(L$5:L$639,$A$5:$A$639,$A137,$C$5:$C$639,$C137-1,$D$5:$D$639,$D137))-1)))</f>
        <v/>
      </c>
      <c r="U137" s="16">
        <f>IF(OR($A137="",M137="",$C137=""),"",IF(COUNTIFS($A$5:$A$639,$A137,$C$5:$C$639,$C137-1,$D$5:$D$639,$D137,M$5:M$639,"&lt;&gt;")=0,"",IF(OR(SUMIFS(M$5:M$639,$A$5:$A$639,$A137,$C$5:$C$639,$C137-1,$D$5:$D$639,$D137)=0,M137*SUMIFS(M$5:M$639,$A$5:$A$639,$A137,$C$5:$C$639,$C137-1,$D$5:$D$639,$D137)&lt;0),"n.s.",ABS(M137)/ABS(SUMIFS(M$5:M$639,$A$5:$A$639,$A137,$C$5:$C$639,$C137-1,$D$5:$D$639,$D137))-1)))</f>
        <v/>
      </c>
    </row>
    <row r="138">
      <c r="A138" s="9" t="inlineStr">
        <is>
          <t>STBC</t>
        </is>
      </c>
      <c r="B138" s="10">
        <f>IF(A138="","",IFERROR(VLOOKUP(A138,Titres!$A$2:$B$400,2,FALSE),"Ticker inconnu"))</f>
        <v/>
      </c>
      <c r="C138" s="11" t="n">
        <v>2023</v>
      </c>
      <c r="D138" s="11" t="inlineStr">
        <is>
          <t>S1</t>
        </is>
      </c>
      <c r="E138" s="9" t="n"/>
      <c r="F138" s="12" t="n"/>
      <c r="G138" s="9" t="n"/>
      <c r="H138" s="13" t="n"/>
      <c r="I138" s="13" t="n"/>
      <c r="J138" s="13" t="n"/>
      <c r="K138" s="13" t="n"/>
      <c r="L138" s="13" t="n"/>
      <c r="M138" s="13" t="n"/>
      <c r="N138" s="14">
        <f>IF(A138="","",COUNT(H138:M138)/6)</f>
        <v/>
      </c>
      <c r="O138" s="15">
        <f>IF(COUNT(H138:M138)=0,"",IF(LEN(IF(COUNT(I138,J138)=2,IF(J138&gt;I138+1,"EBE &gt; VA ",""),"")&amp;IF(COUNT(H138,M138)=2,IF(ABS(M138)&gt;ABS(H138),"RN &gt; CA ",""),"")&amp;IF(COUNT(H138,K138)=2,IF(ABS(K138)&gt;ABS(H138),"RE &gt; CA ",""),""))=0,"OK",IF(COUNT(I138,J138)=2,IF(J138&gt;I138+1,"EBE &gt; VA ",""),"")&amp;IF(COUNT(H138,M138)=2,IF(ABS(M138)&gt;ABS(H138),"RN &gt; CA ",""),"")&amp;IF(COUNT(H138,K138)=2,IF(ABS(K138)&gt;ABS(H138),"RE &gt; CA ",""),"")))</f>
        <v/>
      </c>
      <c r="P138" s="16">
        <f>IF(OR($A138="",H138="",$C138=""),"",IF(COUNTIFS($A$5:$A$639,$A138,$C$5:$C$639,$C138-1,$D$5:$D$639,$D138,H$5:H$639,"&lt;&gt;")=0,"",IF(OR(SUMIFS(H$5:H$639,$A$5:$A$639,$A138,$C$5:$C$639,$C138-1,$D$5:$D$639,$D138)=0,H138*SUMIFS(H$5:H$639,$A$5:$A$639,$A138,$C$5:$C$639,$C138-1,$D$5:$D$639,$D138)&lt;0),"n.s.",ABS(H138)/ABS(SUMIFS(H$5:H$639,$A$5:$A$639,$A138,$C$5:$C$639,$C138-1,$D$5:$D$639,$D138))-1)))</f>
        <v/>
      </c>
      <c r="Q138" s="16">
        <f>IF(OR($A138="",I138="",$C138=""),"",IF(COUNTIFS($A$5:$A$639,$A138,$C$5:$C$639,$C138-1,$D$5:$D$639,$D138,I$5:I$639,"&lt;&gt;")=0,"",IF(OR(SUMIFS(I$5:I$639,$A$5:$A$639,$A138,$C$5:$C$639,$C138-1,$D$5:$D$639,$D138)=0,I138*SUMIFS(I$5:I$639,$A$5:$A$639,$A138,$C$5:$C$639,$C138-1,$D$5:$D$639,$D138)&lt;0),"n.s.",ABS(I138)/ABS(SUMIFS(I$5:I$639,$A$5:$A$639,$A138,$C$5:$C$639,$C138-1,$D$5:$D$639,$D138))-1)))</f>
        <v/>
      </c>
      <c r="R138" s="16">
        <f>IF(OR($A138="",J138="",$C138=""),"",IF(COUNTIFS($A$5:$A$639,$A138,$C$5:$C$639,$C138-1,$D$5:$D$639,$D138,J$5:J$639,"&lt;&gt;")=0,"",IF(OR(SUMIFS(J$5:J$639,$A$5:$A$639,$A138,$C$5:$C$639,$C138-1,$D$5:$D$639,$D138)=0,J138*SUMIFS(J$5:J$639,$A$5:$A$639,$A138,$C$5:$C$639,$C138-1,$D$5:$D$639,$D138)&lt;0),"n.s.",ABS(J138)/ABS(SUMIFS(J$5:J$639,$A$5:$A$639,$A138,$C$5:$C$639,$C138-1,$D$5:$D$639,$D138))-1)))</f>
        <v/>
      </c>
      <c r="S138" s="16">
        <f>IF(OR($A138="",K138="",$C138=""),"",IF(COUNTIFS($A$5:$A$639,$A138,$C$5:$C$639,$C138-1,$D$5:$D$639,$D138,K$5:K$639,"&lt;&gt;")=0,"",IF(OR(SUMIFS(K$5:K$639,$A$5:$A$639,$A138,$C$5:$C$639,$C138-1,$D$5:$D$639,$D138)=0,K138*SUMIFS(K$5:K$639,$A$5:$A$639,$A138,$C$5:$C$639,$C138-1,$D$5:$D$639,$D138)&lt;0),"n.s.",ABS(K138)/ABS(SUMIFS(K$5:K$639,$A$5:$A$639,$A138,$C$5:$C$639,$C138-1,$D$5:$D$639,$D138))-1)))</f>
        <v/>
      </c>
      <c r="T138" s="16">
        <f>IF(OR($A138="",L138="",$C138=""),"",IF(COUNTIFS($A$5:$A$639,$A138,$C$5:$C$639,$C138-1,$D$5:$D$639,$D138,L$5:L$639,"&lt;&gt;")=0,"",IF(OR(SUMIFS(L$5:L$639,$A$5:$A$639,$A138,$C$5:$C$639,$C138-1,$D$5:$D$639,$D138)=0,L138*SUMIFS(L$5:L$639,$A$5:$A$639,$A138,$C$5:$C$639,$C138-1,$D$5:$D$639,$D138)&lt;0),"n.s.",ABS(L138)/ABS(SUMIFS(L$5:L$639,$A$5:$A$639,$A138,$C$5:$C$639,$C138-1,$D$5:$D$639,$D138))-1)))</f>
        <v/>
      </c>
      <c r="U138" s="16">
        <f>IF(OR($A138="",M138="",$C138=""),"",IF(COUNTIFS($A$5:$A$639,$A138,$C$5:$C$639,$C138-1,$D$5:$D$639,$D138,M$5:M$639,"&lt;&gt;")=0,"",IF(OR(SUMIFS(M$5:M$639,$A$5:$A$639,$A138,$C$5:$C$639,$C138-1,$D$5:$D$639,$D138)=0,M138*SUMIFS(M$5:M$639,$A$5:$A$639,$A138,$C$5:$C$639,$C138-1,$D$5:$D$639,$D138)&lt;0),"n.s.",ABS(M138)/ABS(SUMIFS(M$5:M$639,$A$5:$A$639,$A138,$C$5:$C$639,$C138-1,$D$5:$D$639,$D138))-1)))</f>
        <v/>
      </c>
    </row>
    <row r="139">
      <c r="A139" s="9" t="inlineStr">
        <is>
          <t>STBC</t>
        </is>
      </c>
      <c r="B139" s="10">
        <f>IF(A139="","",IFERROR(VLOOKUP(A139,Titres!$A$2:$B$400,2,FALSE),"Ticker inconnu"))</f>
        <v/>
      </c>
      <c r="C139" s="11" t="n">
        <v>2023</v>
      </c>
      <c r="D139" s="11" t="inlineStr">
        <is>
          <t>T3</t>
        </is>
      </c>
      <c r="E139" s="9" t="n"/>
      <c r="F139" s="12" t="n"/>
      <c r="G139" s="9" t="n"/>
      <c r="H139" s="13" t="n"/>
      <c r="I139" s="13" t="n"/>
      <c r="J139" s="13" t="n"/>
      <c r="K139" s="13" t="n"/>
      <c r="L139" s="13" t="n"/>
      <c r="M139" s="13" t="n"/>
      <c r="N139" s="14">
        <f>IF(A139="","",COUNT(H139:M139)/6)</f>
        <v/>
      </c>
      <c r="O139" s="15">
        <f>IF(COUNT(H139:M139)=0,"",IF(LEN(IF(COUNT(I139,J139)=2,IF(J139&gt;I139+1,"EBE &gt; VA ",""),"")&amp;IF(COUNT(H139,M139)=2,IF(ABS(M139)&gt;ABS(H139),"RN &gt; CA ",""),"")&amp;IF(COUNT(H139,K139)=2,IF(ABS(K139)&gt;ABS(H139),"RE &gt; CA ",""),""))=0,"OK",IF(COUNT(I139,J139)=2,IF(J139&gt;I139+1,"EBE &gt; VA ",""),"")&amp;IF(COUNT(H139,M139)=2,IF(ABS(M139)&gt;ABS(H139),"RN &gt; CA ",""),"")&amp;IF(COUNT(H139,K139)=2,IF(ABS(K139)&gt;ABS(H139),"RE &gt; CA ",""),"")))</f>
        <v/>
      </c>
      <c r="P139" s="16">
        <f>IF(OR($A139="",H139="",$C139=""),"",IF(COUNTIFS($A$5:$A$639,$A139,$C$5:$C$639,$C139-1,$D$5:$D$639,$D139,H$5:H$639,"&lt;&gt;")=0,"",IF(OR(SUMIFS(H$5:H$639,$A$5:$A$639,$A139,$C$5:$C$639,$C139-1,$D$5:$D$639,$D139)=0,H139*SUMIFS(H$5:H$639,$A$5:$A$639,$A139,$C$5:$C$639,$C139-1,$D$5:$D$639,$D139)&lt;0),"n.s.",ABS(H139)/ABS(SUMIFS(H$5:H$639,$A$5:$A$639,$A139,$C$5:$C$639,$C139-1,$D$5:$D$639,$D139))-1)))</f>
        <v/>
      </c>
      <c r="Q139" s="16">
        <f>IF(OR($A139="",I139="",$C139=""),"",IF(COUNTIFS($A$5:$A$639,$A139,$C$5:$C$639,$C139-1,$D$5:$D$639,$D139,I$5:I$639,"&lt;&gt;")=0,"",IF(OR(SUMIFS(I$5:I$639,$A$5:$A$639,$A139,$C$5:$C$639,$C139-1,$D$5:$D$639,$D139)=0,I139*SUMIFS(I$5:I$639,$A$5:$A$639,$A139,$C$5:$C$639,$C139-1,$D$5:$D$639,$D139)&lt;0),"n.s.",ABS(I139)/ABS(SUMIFS(I$5:I$639,$A$5:$A$639,$A139,$C$5:$C$639,$C139-1,$D$5:$D$639,$D139))-1)))</f>
        <v/>
      </c>
      <c r="R139" s="16">
        <f>IF(OR($A139="",J139="",$C139=""),"",IF(COUNTIFS($A$5:$A$639,$A139,$C$5:$C$639,$C139-1,$D$5:$D$639,$D139,J$5:J$639,"&lt;&gt;")=0,"",IF(OR(SUMIFS(J$5:J$639,$A$5:$A$639,$A139,$C$5:$C$639,$C139-1,$D$5:$D$639,$D139)=0,J139*SUMIFS(J$5:J$639,$A$5:$A$639,$A139,$C$5:$C$639,$C139-1,$D$5:$D$639,$D139)&lt;0),"n.s.",ABS(J139)/ABS(SUMIFS(J$5:J$639,$A$5:$A$639,$A139,$C$5:$C$639,$C139-1,$D$5:$D$639,$D139))-1)))</f>
        <v/>
      </c>
      <c r="S139" s="16">
        <f>IF(OR($A139="",K139="",$C139=""),"",IF(COUNTIFS($A$5:$A$639,$A139,$C$5:$C$639,$C139-1,$D$5:$D$639,$D139,K$5:K$639,"&lt;&gt;")=0,"",IF(OR(SUMIFS(K$5:K$639,$A$5:$A$639,$A139,$C$5:$C$639,$C139-1,$D$5:$D$639,$D139)=0,K139*SUMIFS(K$5:K$639,$A$5:$A$639,$A139,$C$5:$C$639,$C139-1,$D$5:$D$639,$D139)&lt;0),"n.s.",ABS(K139)/ABS(SUMIFS(K$5:K$639,$A$5:$A$639,$A139,$C$5:$C$639,$C139-1,$D$5:$D$639,$D139))-1)))</f>
        <v/>
      </c>
      <c r="T139" s="16">
        <f>IF(OR($A139="",L139="",$C139=""),"",IF(COUNTIFS($A$5:$A$639,$A139,$C$5:$C$639,$C139-1,$D$5:$D$639,$D139,L$5:L$639,"&lt;&gt;")=0,"",IF(OR(SUMIFS(L$5:L$639,$A$5:$A$639,$A139,$C$5:$C$639,$C139-1,$D$5:$D$639,$D139)=0,L139*SUMIFS(L$5:L$639,$A$5:$A$639,$A139,$C$5:$C$639,$C139-1,$D$5:$D$639,$D139)&lt;0),"n.s.",ABS(L139)/ABS(SUMIFS(L$5:L$639,$A$5:$A$639,$A139,$C$5:$C$639,$C139-1,$D$5:$D$639,$D139))-1)))</f>
        <v/>
      </c>
      <c r="U139" s="16">
        <f>IF(OR($A139="",M139="",$C139=""),"",IF(COUNTIFS($A$5:$A$639,$A139,$C$5:$C$639,$C139-1,$D$5:$D$639,$D139,M$5:M$639,"&lt;&gt;")=0,"",IF(OR(SUMIFS(M$5:M$639,$A$5:$A$639,$A139,$C$5:$C$639,$C139-1,$D$5:$D$639,$D139)=0,M139*SUMIFS(M$5:M$639,$A$5:$A$639,$A139,$C$5:$C$639,$C139-1,$D$5:$D$639,$D139)&lt;0),"n.s.",ABS(M139)/ABS(SUMIFS(M$5:M$639,$A$5:$A$639,$A139,$C$5:$C$639,$C139-1,$D$5:$D$639,$D139))-1)))</f>
        <v/>
      </c>
    </row>
    <row r="140">
      <c r="A140" s="9" t="inlineStr">
        <is>
          <t>STBC</t>
        </is>
      </c>
      <c r="B140" s="10">
        <f>IF(A140="","",IFERROR(VLOOKUP(A140,Titres!$A$2:$B$400,2,FALSE),"Ticker inconnu"))</f>
        <v/>
      </c>
      <c r="C140" s="11" t="n">
        <v>2024</v>
      </c>
      <c r="D140" s="11" t="inlineStr">
        <is>
          <t>T1</t>
        </is>
      </c>
      <c r="E140" s="9" t="n"/>
      <c r="F140" s="12" t="n"/>
      <c r="G140" s="9" t="n"/>
      <c r="H140" s="13" t="n"/>
      <c r="I140" s="13" t="n"/>
      <c r="J140" s="13" t="n"/>
      <c r="K140" s="13" t="n"/>
      <c r="L140" s="13" t="n"/>
      <c r="M140" s="13" t="n"/>
      <c r="N140" s="14">
        <f>IF(A140="","",COUNT(H140:M140)/6)</f>
        <v/>
      </c>
      <c r="O140" s="15">
        <f>IF(COUNT(H140:M140)=0,"",IF(LEN(IF(COUNT(I140,J140)=2,IF(J140&gt;I140+1,"EBE &gt; VA ",""),"")&amp;IF(COUNT(H140,M140)=2,IF(ABS(M140)&gt;ABS(H140),"RN &gt; CA ",""),"")&amp;IF(COUNT(H140,K140)=2,IF(ABS(K140)&gt;ABS(H140),"RE &gt; CA ",""),""))=0,"OK",IF(COUNT(I140,J140)=2,IF(J140&gt;I140+1,"EBE &gt; VA ",""),"")&amp;IF(COUNT(H140,M140)=2,IF(ABS(M140)&gt;ABS(H140),"RN &gt; CA ",""),"")&amp;IF(COUNT(H140,K140)=2,IF(ABS(K140)&gt;ABS(H140),"RE &gt; CA ",""),"")))</f>
        <v/>
      </c>
      <c r="P140" s="16">
        <f>IF(OR($A140="",H140="",$C140=""),"",IF(COUNTIFS($A$5:$A$639,$A140,$C$5:$C$639,$C140-1,$D$5:$D$639,$D140,H$5:H$639,"&lt;&gt;")=0,"",IF(OR(SUMIFS(H$5:H$639,$A$5:$A$639,$A140,$C$5:$C$639,$C140-1,$D$5:$D$639,$D140)=0,H140*SUMIFS(H$5:H$639,$A$5:$A$639,$A140,$C$5:$C$639,$C140-1,$D$5:$D$639,$D140)&lt;0),"n.s.",ABS(H140)/ABS(SUMIFS(H$5:H$639,$A$5:$A$639,$A140,$C$5:$C$639,$C140-1,$D$5:$D$639,$D140))-1)))</f>
        <v/>
      </c>
      <c r="Q140" s="16">
        <f>IF(OR($A140="",I140="",$C140=""),"",IF(COUNTIFS($A$5:$A$639,$A140,$C$5:$C$639,$C140-1,$D$5:$D$639,$D140,I$5:I$639,"&lt;&gt;")=0,"",IF(OR(SUMIFS(I$5:I$639,$A$5:$A$639,$A140,$C$5:$C$639,$C140-1,$D$5:$D$639,$D140)=0,I140*SUMIFS(I$5:I$639,$A$5:$A$639,$A140,$C$5:$C$639,$C140-1,$D$5:$D$639,$D140)&lt;0),"n.s.",ABS(I140)/ABS(SUMIFS(I$5:I$639,$A$5:$A$639,$A140,$C$5:$C$639,$C140-1,$D$5:$D$639,$D140))-1)))</f>
        <v/>
      </c>
      <c r="R140" s="16">
        <f>IF(OR($A140="",J140="",$C140=""),"",IF(COUNTIFS($A$5:$A$639,$A140,$C$5:$C$639,$C140-1,$D$5:$D$639,$D140,J$5:J$639,"&lt;&gt;")=0,"",IF(OR(SUMIFS(J$5:J$639,$A$5:$A$639,$A140,$C$5:$C$639,$C140-1,$D$5:$D$639,$D140)=0,J140*SUMIFS(J$5:J$639,$A$5:$A$639,$A140,$C$5:$C$639,$C140-1,$D$5:$D$639,$D140)&lt;0),"n.s.",ABS(J140)/ABS(SUMIFS(J$5:J$639,$A$5:$A$639,$A140,$C$5:$C$639,$C140-1,$D$5:$D$639,$D140))-1)))</f>
        <v/>
      </c>
      <c r="S140" s="16">
        <f>IF(OR($A140="",K140="",$C140=""),"",IF(COUNTIFS($A$5:$A$639,$A140,$C$5:$C$639,$C140-1,$D$5:$D$639,$D140,K$5:K$639,"&lt;&gt;")=0,"",IF(OR(SUMIFS(K$5:K$639,$A$5:$A$639,$A140,$C$5:$C$639,$C140-1,$D$5:$D$639,$D140)=0,K140*SUMIFS(K$5:K$639,$A$5:$A$639,$A140,$C$5:$C$639,$C140-1,$D$5:$D$639,$D140)&lt;0),"n.s.",ABS(K140)/ABS(SUMIFS(K$5:K$639,$A$5:$A$639,$A140,$C$5:$C$639,$C140-1,$D$5:$D$639,$D140))-1)))</f>
        <v/>
      </c>
      <c r="T140" s="16">
        <f>IF(OR($A140="",L140="",$C140=""),"",IF(COUNTIFS($A$5:$A$639,$A140,$C$5:$C$639,$C140-1,$D$5:$D$639,$D140,L$5:L$639,"&lt;&gt;")=0,"",IF(OR(SUMIFS(L$5:L$639,$A$5:$A$639,$A140,$C$5:$C$639,$C140-1,$D$5:$D$639,$D140)=0,L140*SUMIFS(L$5:L$639,$A$5:$A$639,$A140,$C$5:$C$639,$C140-1,$D$5:$D$639,$D140)&lt;0),"n.s.",ABS(L140)/ABS(SUMIFS(L$5:L$639,$A$5:$A$639,$A140,$C$5:$C$639,$C140-1,$D$5:$D$639,$D140))-1)))</f>
        <v/>
      </c>
      <c r="U140" s="16">
        <f>IF(OR($A140="",M140="",$C140=""),"",IF(COUNTIFS($A$5:$A$639,$A140,$C$5:$C$639,$C140-1,$D$5:$D$639,$D140,M$5:M$639,"&lt;&gt;")=0,"",IF(OR(SUMIFS(M$5:M$639,$A$5:$A$639,$A140,$C$5:$C$639,$C140-1,$D$5:$D$639,$D140)=0,M140*SUMIFS(M$5:M$639,$A$5:$A$639,$A140,$C$5:$C$639,$C140-1,$D$5:$D$639,$D140)&lt;0),"n.s.",ABS(M140)/ABS(SUMIFS(M$5:M$639,$A$5:$A$639,$A140,$C$5:$C$639,$C140-1,$D$5:$D$639,$D140))-1)))</f>
        <v/>
      </c>
    </row>
    <row r="141">
      <c r="A141" s="9" t="inlineStr">
        <is>
          <t>STBC</t>
        </is>
      </c>
      <c r="B141" s="10">
        <f>IF(A141="","",IFERROR(VLOOKUP(A141,Titres!$A$2:$B$400,2,FALSE),"Ticker inconnu"))</f>
        <v/>
      </c>
      <c r="C141" s="11" t="n">
        <v>2024</v>
      </c>
      <c r="D141" s="11" t="inlineStr">
        <is>
          <t>S1</t>
        </is>
      </c>
      <c r="E141" s="9" t="n"/>
      <c r="F141" s="12" t="n"/>
      <c r="G141" s="9" t="n"/>
      <c r="H141" s="13" t="n"/>
      <c r="I141" s="13" t="n"/>
      <c r="J141" s="13" t="n"/>
      <c r="K141" s="13" t="n"/>
      <c r="L141" s="13" t="n"/>
      <c r="M141" s="13" t="n"/>
      <c r="N141" s="14">
        <f>IF(A141="","",COUNT(H141:M141)/6)</f>
        <v/>
      </c>
      <c r="O141" s="15">
        <f>IF(COUNT(H141:M141)=0,"",IF(LEN(IF(COUNT(I141,J141)=2,IF(J141&gt;I141+1,"EBE &gt; VA ",""),"")&amp;IF(COUNT(H141,M141)=2,IF(ABS(M141)&gt;ABS(H141),"RN &gt; CA ",""),"")&amp;IF(COUNT(H141,K141)=2,IF(ABS(K141)&gt;ABS(H141),"RE &gt; CA ",""),""))=0,"OK",IF(COUNT(I141,J141)=2,IF(J141&gt;I141+1,"EBE &gt; VA ",""),"")&amp;IF(COUNT(H141,M141)=2,IF(ABS(M141)&gt;ABS(H141),"RN &gt; CA ",""),"")&amp;IF(COUNT(H141,K141)=2,IF(ABS(K141)&gt;ABS(H141),"RE &gt; CA ",""),"")))</f>
        <v/>
      </c>
      <c r="P141" s="16">
        <f>IF(OR($A141="",H141="",$C141=""),"",IF(COUNTIFS($A$5:$A$639,$A141,$C$5:$C$639,$C141-1,$D$5:$D$639,$D141,H$5:H$639,"&lt;&gt;")=0,"",IF(OR(SUMIFS(H$5:H$639,$A$5:$A$639,$A141,$C$5:$C$639,$C141-1,$D$5:$D$639,$D141)=0,H141*SUMIFS(H$5:H$639,$A$5:$A$639,$A141,$C$5:$C$639,$C141-1,$D$5:$D$639,$D141)&lt;0),"n.s.",ABS(H141)/ABS(SUMIFS(H$5:H$639,$A$5:$A$639,$A141,$C$5:$C$639,$C141-1,$D$5:$D$639,$D141))-1)))</f>
        <v/>
      </c>
      <c r="Q141" s="16">
        <f>IF(OR($A141="",I141="",$C141=""),"",IF(COUNTIFS($A$5:$A$639,$A141,$C$5:$C$639,$C141-1,$D$5:$D$639,$D141,I$5:I$639,"&lt;&gt;")=0,"",IF(OR(SUMIFS(I$5:I$639,$A$5:$A$639,$A141,$C$5:$C$639,$C141-1,$D$5:$D$639,$D141)=0,I141*SUMIFS(I$5:I$639,$A$5:$A$639,$A141,$C$5:$C$639,$C141-1,$D$5:$D$639,$D141)&lt;0),"n.s.",ABS(I141)/ABS(SUMIFS(I$5:I$639,$A$5:$A$639,$A141,$C$5:$C$639,$C141-1,$D$5:$D$639,$D141))-1)))</f>
        <v/>
      </c>
      <c r="R141" s="16">
        <f>IF(OR($A141="",J141="",$C141=""),"",IF(COUNTIFS($A$5:$A$639,$A141,$C$5:$C$639,$C141-1,$D$5:$D$639,$D141,J$5:J$639,"&lt;&gt;")=0,"",IF(OR(SUMIFS(J$5:J$639,$A$5:$A$639,$A141,$C$5:$C$639,$C141-1,$D$5:$D$639,$D141)=0,J141*SUMIFS(J$5:J$639,$A$5:$A$639,$A141,$C$5:$C$639,$C141-1,$D$5:$D$639,$D141)&lt;0),"n.s.",ABS(J141)/ABS(SUMIFS(J$5:J$639,$A$5:$A$639,$A141,$C$5:$C$639,$C141-1,$D$5:$D$639,$D141))-1)))</f>
        <v/>
      </c>
      <c r="S141" s="16">
        <f>IF(OR($A141="",K141="",$C141=""),"",IF(COUNTIFS($A$5:$A$639,$A141,$C$5:$C$639,$C141-1,$D$5:$D$639,$D141,K$5:K$639,"&lt;&gt;")=0,"",IF(OR(SUMIFS(K$5:K$639,$A$5:$A$639,$A141,$C$5:$C$639,$C141-1,$D$5:$D$639,$D141)=0,K141*SUMIFS(K$5:K$639,$A$5:$A$639,$A141,$C$5:$C$639,$C141-1,$D$5:$D$639,$D141)&lt;0),"n.s.",ABS(K141)/ABS(SUMIFS(K$5:K$639,$A$5:$A$639,$A141,$C$5:$C$639,$C141-1,$D$5:$D$639,$D141))-1)))</f>
        <v/>
      </c>
      <c r="T141" s="16">
        <f>IF(OR($A141="",L141="",$C141=""),"",IF(COUNTIFS($A$5:$A$639,$A141,$C$5:$C$639,$C141-1,$D$5:$D$639,$D141,L$5:L$639,"&lt;&gt;")=0,"",IF(OR(SUMIFS(L$5:L$639,$A$5:$A$639,$A141,$C$5:$C$639,$C141-1,$D$5:$D$639,$D141)=0,L141*SUMIFS(L$5:L$639,$A$5:$A$639,$A141,$C$5:$C$639,$C141-1,$D$5:$D$639,$D141)&lt;0),"n.s.",ABS(L141)/ABS(SUMIFS(L$5:L$639,$A$5:$A$639,$A141,$C$5:$C$639,$C141-1,$D$5:$D$639,$D141))-1)))</f>
        <v/>
      </c>
      <c r="U141" s="16">
        <f>IF(OR($A141="",M141="",$C141=""),"",IF(COUNTIFS($A$5:$A$639,$A141,$C$5:$C$639,$C141-1,$D$5:$D$639,$D141,M$5:M$639,"&lt;&gt;")=0,"",IF(OR(SUMIFS(M$5:M$639,$A$5:$A$639,$A141,$C$5:$C$639,$C141-1,$D$5:$D$639,$D141)=0,M141*SUMIFS(M$5:M$639,$A$5:$A$639,$A141,$C$5:$C$639,$C141-1,$D$5:$D$639,$D141)&lt;0),"n.s.",ABS(M141)/ABS(SUMIFS(M$5:M$639,$A$5:$A$639,$A141,$C$5:$C$639,$C141-1,$D$5:$D$639,$D141))-1)))</f>
        <v/>
      </c>
    </row>
    <row r="142">
      <c r="A142" s="9" t="inlineStr">
        <is>
          <t>STBC</t>
        </is>
      </c>
      <c r="B142" s="10">
        <f>IF(A142="","",IFERROR(VLOOKUP(A142,Titres!$A$2:$B$400,2,FALSE),"Ticker inconnu"))</f>
        <v/>
      </c>
      <c r="C142" s="11" t="n">
        <v>2024</v>
      </c>
      <c r="D142" s="11" t="inlineStr">
        <is>
          <t>T3</t>
        </is>
      </c>
      <c r="E142" s="9" t="n"/>
      <c r="F142" s="12" t="n"/>
      <c r="G142" s="9" t="n"/>
      <c r="H142" s="13" t="n"/>
      <c r="I142" s="13" t="n"/>
      <c r="J142" s="13" t="n"/>
      <c r="K142" s="13" t="n"/>
      <c r="L142" s="13" t="n"/>
      <c r="M142" s="13" t="n"/>
      <c r="N142" s="14">
        <f>IF(A142="","",COUNT(H142:M142)/6)</f>
        <v/>
      </c>
      <c r="O142" s="15">
        <f>IF(COUNT(H142:M142)=0,"",IF(LEN(IF(COUNT(I142,J142)=2,IF(J142&gt;I142+1,"EBE &gt; VA ",""),"")&amp;IF(COUNT(H142,M142)=2,IF(ABS(M142)&gt;ABS(H142),"RN &gt; CA ",""),"")&amp;IF(COUNT(H142,K142)=2,IF(ABS(K142)&gt;ABS(H142),"RE &gt; CA ",""),""))=0,"OK",IF(COUNT(I142,J142)=2,IF(J142&gt;I142+1,"EBE &gt; VA ",""),"")&amp;IF(COUNT(H142,M142)=2,IF(ABS(M142)&gt;ABS(H142),"RN &gt; CA ",""),"")&amp;IF(COUNT(H142,K142)=2,IF(ABS(K142)&gt;ABS(H142),"RE &gt; CA ",""),"")))</f>
        <v/>
      </c>
      <c r="P142" s="16">
        <f>IF(OR($A142="",H142="",$C142=""),"",IF(COUNTIFS($A$5:$A$639,$A142,$C$5:$C$639,$C142-1,$D$5:$D$639,$D142,H$5:H$639,"&lt;&gt;")=0,"",IF(OR(SUMIFS(H$5:H$639,$A$5:$A$639,$A142,$C$5:$C$639,$C142-1,$D$5:$D$639,$D142)=0,H142*SUMIFS(H$5:H$639,$A$5:$A$639,$A142,$C$5:$C$639,$C142-1,$D$5:$D$639,$D142)&lt;0),"n.s.",ABS(H142)/ABS(SUMIFS(H$5:H$639,$A$5:$A$639,$A142,$C$5:$C$639,$C142-1,$D$5:$D$639,$D142))-1)))</f>
        <v/>
      </c>
      <c r="Q142" s="16">
        <f>IF(OR($A142="",I142="",$C142=""),"",IF(COUNTIFS($A$5:$A$639,$A142,$C$5:$C$639,$C142-1,$D$5:$D$639,$D142,I$5:I$639,"&lt;&gt;")=0,"",IF(OR(SUMIFS(I$5:I$639,$A$5:$A$639,$A142,$C$5:$C$639,$C142-1,$D$5:$D$639,$D142)=0,I142*SUMIFS(I$5:I$639,$A$5:$A$639,$A142,$C$5:$C$639,$C142-1,$D$5:$D$639,$D142)&lt;0),"n.s.",ABS(I142)/ABS(SUMIFS(I$5:I$639,$A$5:$A$639,$A142,$C$5:$C$639,$C142-1,$D$5:$D$639,$D142))-1)))</f>
        <v/>
      </c>
      <c r="R142" s="16">
        <f>IF(OR($A142="",J142="",$C142=""),"",IF(COUNTIFS($A$5:$A$639,$A142,$C$5:$C$639,$C142-1,$D$5:$D$639,$D142,J$5:J$639,"&lt;&gt;")=0,"",IF(OR(SUMIFS(J$5:J$639,$A$5:$A$639,$A142,$C$5:$C$639,$C142-1,$D$5:$D$639,$D142)=0,J142*SUMIFS(J$5:J$639,$A$5:$A$639,$A142,$C$5:$C$639,$C142-1,$D$5:$D$639,$D142)&lt;0),"n.s.",ABS(J142)/ABS(SUMIFS(J$5:J$639,$A$5:$A$639,$A142,$C$5:$C$639,$C142-1,$D$5:$D$639,$D142))-1)))</f>
        <v/>
      </c>
      <c r="S142" s="16">
        <f>IF(OR($A142="",K142="",$C142=""),"",IF(COUNTIFS($A$5:$A$639,$A142,$C$5:$C$639,$C142-1,$D$5:$D$639,$D142,K$5:K$639,"&lt;&gt;")=0,"",IF(OR(SUMIFS(K$5:K$639,$A$5:$A$639,$A142,$C$5:$C$639,$C142-1,$D$5:$D$639,$D142)=0,K142*SUMIFS(K$5:K$639,$A$5:$A$639,$A142,$C$5:$C$639,$C142-1,$D$5:$D$639,$D142)&lt;0),"n.s.",ABS(K142)/ABS(SUMIFS(K$5:K$639,$A$5:$A$639,$A142,$C$5:$C$639,$C142-1,$D$5:$D$639,$D142))-1)))</f>
        <v/>
      </c>
      <c r="T142" s="16">
        <f>IF(OR($A142="",L142="",$C142=""),"",IF(COUNTIFS($A$5:$A$639,$A142,$C$5:$C$639,$C142-1,$D$5:$D$639,$D142,L$5:L$639,"&lt;&gt;")=0,"",IF(OR(SUMIFS(L$5:L$639,$A$5:$A$639,$A142,$C$5:$C$639,$C142-1,$D$5:$D$639,$D142)=0,L142*SUMIFS(L$5:L$639,$A$5:$A$639,$A142,$C$5:$C$639,$C142-1,$D$5:$D$639,$D142)&lt;0),"n.s.",ABS(L142)/ABS(SUMIFS(L$5:L$639,$A$5:$A$639,$A142,$C$5:$C$639,$C142-1,$D$5:$D$639,$D142))-1)))</f>
        <v/>
      </c>
      <c r="U142" s="16">
        <f>IF(OR($A142="",M142="",$C142=""),"",IF(COUNTIFS($A$5:$A$639,$A142,$C$5:$C$639,$C142-1,$D$5:$D$639,$D142,M$5:M$639,"&lt;&gt;")=0,"",IF(OR(SUMIFS(M$5:M$639,$A$5:$A$639,$A142,$C$5:$C$639,$C142-1,$D$5:$D$639,$D142)=0,M142*SUMIFS(M$5:M$639,$A$5:$A$639,$A142,$C$5:$C$639,$C142-1,$D$5:$D$639,$D142)&lt;0),"n.s.",ABS(M142)/ABS(SUMIFS(M$5:M$639,$A$5:$A$639,$A142,$C$5:$C$639,$C142-1,$D$5:$D$639,$D142))-1)))</f>
        <v/>
      </c>
    </row>
    <row r="143">
      <c r="A143" s="9" t="inlineStr">
        <is>
          <t>STBC</t>
        </is>
      </c>
      <c r="B143" s="10">
        <f>IF(A143="","",IFERROR(VLOOKUP(A143,Titres!$A$2:$B$400,2,FALSE),"Ticker inconnu"))</f>
        <v/>
      </c>
      <c r="C143" s="11" t="n">
        <v>2025</v>
      </c>
      <c r="D143" s="11" t="inlineStr">
        <is>
          <t>T1</t>
        </is>
      </c>
      <c r="E143" s="9" t="n"/>
      <c r="F143" s="12" t="n"/>
      <c r="G143" s="9" t="n"/>
      <c r="H143" s="13" t="n"/>
      <c r="I143" s="13" t="n"/>
      <c r="J143" s="13" t="n"/>
      <c r="K143" s="13" t="n"/>
      <c r="L143" s="13" t="n"/>
      <c r="M143" s="13" t="n"/>
      <c r="N143" s="14">
        <f>IF(A143="","",COUNT(H143:M143)/6)</f>
        <v/>
      </c>
      <c r="O143" s="15">
        <f>IF(COUNT(H143:M143)=0,"",IF(LEN(IF(COUNT(I143,J143)=2,IF(J143&gt;I143+1,"EBE &gt; VA ",""),"")&amp;IF(COUNT(H143,M143)=2,IF(ABS(M143)&gt;ABS(H143),"RN &gt; CA ",""),"")&amp;IF(COUNT(H143,K143)=2,IF(ABS(K143)&gt;ABS(H143),"RE &gt; CA ",""),""))=0,"OK",IF(COUNT(I143,J143)=2,IF(J143&gt;I143+1,"EBE &gt; VA ",""),"")&amp;IF(COUNT(H143,M143)=2,IF(ABS(M143)&gt;ABS(H143),"RN &gt; CA ",""),"")&amp;IF(COUNT(H143,K143)=2,IF(ABS(K143)&gt;ABS(H143),"RE &gt; CA ",""),"")))</f>
        <v/>
      </c>
      <c r="P143" s="16">
        <f>IF(OR($A143="",H143="",$C143=""),"",IF(COUNTIFS($A$5:$A$639,$A143,$C$5:$C$639,$C143-1,$D$5:$D$639,$D143,H$5:H$639,"&lt;&gt;")=0,"",IF(OR(SUMIFS(H$5:H$639,$A$5:$A$639,$A143,$C$5:$C$639,$C143-1,$D$5:$D$639,$D143)=0,H143*SUMIFS(H$5:H$639,$A$5:$A$639,$A143,$C$5:$C$639,$C143-1,$D$5:$D$639,$D143)&lt;0),"n.s.",ABS(H143)/ABS(SUMIFS(H$5:H$639,$A$5:$A$639,$A143,$C$5:$C$639,$C143-1,$D$5:$D$639,$D143))-1)))</f>
        <v/>
      </c>
      <c r="Q143" s="16">
        <f>IF(OR($A143="",I143="",$C143=""),"",IF(COUNTIFS($A$5:$A$639,$A143,$C$5:$C$639,$C143-1,$D$5:$D$639,$D143,I$5:I$639,"&lt;&gt;")=0,"",IF(OR(SUMIFS(I$5:I$639,$A$5:$A$639,$A143,$C$5:$C$639,$C143-1,$D$5:$D$639,$D143)=0,I143*SUMIFS(I$5:I$639,$A$5:$A$639,$A143,$C$5:$C$639,$C143-1,$D$5:$D$639,$D143)&lt;0),"n.s.",ABS(I143)/ABS(SUMIFS(I$5:I$639,$A$5:$A$639,$A143,$C$5:$C$639,$C143-1,$D$5:$D$639,$D143))-1)))</f>
        <v/>
      </c>
      <c r="R143" s="16">
        <f>IF(OR($A143="",J143="",$C143=""),"",IF(COUNTIFS($A$5:$A$639,$A143,$C$5:$C$639,$C143-1,$D$5:$D$639,$D143,J$5:J$639,"&lt;&gt;")=0,"",IF(OR(SUMIFS(J$5:J$639,$A$5:$A$639,$A143,$C$5:$C$639,$C143-1,$D$5:$D$639,$D143)=0,J143*SUMIFS(J$5:J$639,$A$5:$A$639,$A143,$C$5:$C$639,$C143-1,$D$5:$D$639,$D143)&lt;0),"n.s.",ABS(J143)/ABS(SUMIFS(J$5:J$639,$A$5:$A$639,$A143,$C$5:$C$639,$C143-1,$D$5:$D$639,$D143))-1)))</f>
        <v/>
      </c>
      <c r="S143" s="16">
        <f>IF(OR($A143="",K143="",$C143=""),"",IF(COUNTIFS($A$5:$A$639,$A143,$C$5:$C$639,$C143-1,$D$5:$D$639,$D143,K$5:K$639,"&lt;&gt;")=0,"",IF(OR(SUMIFS(K$5:K$639,$A$5:$A$639,$A143,$C$5:$C$639,$C143-1,$D$5:$D$639,$D143)=0,K143*SUMIFS(K$5:K$639,$A$5:$A$639,$A143,$C$5:$C$639,$C143-1,$D$5:$D$639,$D143)&lt;0),"n.s.",ABS(K143)/ABS(SUMIFS(K$5:K$639,$A$5:$A$639,$A143,$C$5:$C$639,$C143-1,$D$5:$D$639,$D143))-1)))</f>
        <v/>
      </c>
      <c r="T143" s="16">
        <f>IF(OR($A143="",L143="",$C143=""),"",IF(COUNTIFS($A$5:$A$639,$A143,$C$5:$C$639,$C143-1,$D$5:$D$639,$D143,L$5:L$639,"&lt;&gt;")=0,"",IF(OR(SUMIFS(L$5:L$639,$A$5:$A$639,$A143,$C$5:$C$639,$C143-1,$D$5:$D$639,$D143)=0,L143*SUMIFS(L$5:L$639,$A$5:$A$639,$A143,$C$5:$C$639,$C143-1,$D$5:$D$639,$D143)&lt;0),"n.s.",ABS(L143)/ABS(SUMIFS(L$5:L$639,$A$5:$A$639,$A143,$C$5:$C$639,$C143-1,$D$5:$D$639,$D143))-1)))</f>
        <v/>
      </c>
      <c r="U143" s="16">
        <f>IF(OR($A143="",M143="",$C143=""),"",IF(COUNTIFS($A$5:$A$639,$A143,$C$5:$C$639,$C143-1,$D$5:$D$639,$D143,M$5:M$639,"&lt;&gt;")=0,"",IF(OR(SUMIFS(M$5:M$639,$A$5:$A$639,$A143,$C$5:$C$639,$C143-1,$D$5:$D$639,$D143)=0,M143*SUMIFS(M$5:M$639,$A$5:$A$639,$A143,$C$5:$C$639,$C143-1,$D$5:$D$639,$D143)&lt;0),"n.s.",ABS(M143)/ABS(SUMIFS(M$5:M$639,$A$5:$A$639,$A143,$C$5:$C$639,$C143-1,$D$5:$D$639,$D143))-1)))</f>
        <v/>
      </c>
    </row>
    <row r="144">
      <c r="A144" s="9" t="inlineStr">
        <is>
          <t>STBC</t>
        </is>
      </c>
      <c r="B144" s="10">
        <f>IF(A144="","",IFERROR(VLOOKUP(A144,Titres!$A$2:$B$400,2,FALSE),"Ticker inconnu"))</f>
        <v/>
      </c>
      <c r="C144" s="11" t="n">
        <v>2025</v>
      </c>
      <c r="D144" s="11" t="inlineStr">
        <is>
          <t>S1</t>
        </is>
      </c>
      <c r="E144" s="9" t="n"/>
      <c r="F144" s="12" t="n"/>
      <c r="G144" s="9" t="n"/>
      <c r="H144" s="13" t="n"/>
      <c r="I144" s="13" t="n"/>
      <c r="J144" s="13" t="n"/>
      <c r="K144" s="13" t="n"/>
      <c r="L144" s="13" t="n"/>
      <c r="M144" s="13" t="n"/>
      <c r="N144" s="14">
        <f>IF(A144="","",COUNT(H144:M144)/6)</f>
        <v/>
      </c>
      <c r="O144" s="15">
        <f>IF(COUNT(H144:M144)=0,"",IF(LEN(IF(COUNT(I144,J144)=2,IF(J144&gt;I144+1,"EBE &gt; VA ",""),"")&amp;IF(COUNT(H144,M144)=2,IF(ABS(M144)&gt;ABS(H144),"RN &gt; CA ",""),"")&amp;IF(COUNT(H144,K144)=2,IF(ABS(K144)&gt;ABS(H144),"RE &gt; CA ",""),""))=0,"OK",IF(COUNT(I144,J144)=2,IF(J144&gt;I144+1,"EBE &gt; VA ",""),"")&amp;IF(COUNT(H144,M144)=2,IF(ABS(M144)&gt;ABS(H144),"RN &gt; CA ",""),"")&amp;IF(COUNT(H144,K144)=2,IF(ABS(K144)&gt;ABS(H144),"RE &gt; CA ",""),"")))</f>
        <v/>
      </c>
      <c r="P144" s="16">
        <f>IF(OR($A144="",H144="",$C144=""),"",IF(COUNTIFS($A$5:$A$639,$A144,$C$5:$C$639,$C144-1,$D$5:$D$639,$D144,H$5:H$639,"&lt;&gt;")=0,"",IF(OR(SUMIFS(H$5:H$639,$A$5:$A$639,$A144,$C$5:$C$639,$C144-1,$D$5:$D$639,$D144)=0,H144*SUMIFS(H$5:H$639,$A$5:$A$639,$A144,$C$5:$C$639,$C144-1,$D$5:$D$639,$D144)&lt;0),"n.s.",ABS(H144)/ABS(SUMIFS(H$5:H$639,$A$5:$A$639,$A144,$C$5:$C$639,$C144-1,$D$5:$D$639,$D144))-1)))</f>
        <v/>
      </c>
      <c r="Q144" s="16">
        <f>IF(OR($A144="",I144="",$C144=""),"",IF(COUNTIFS($A$5:$A$639,$A144,$C$5:$C$639,$C144-1,$D$5:$D$639,$D144,I$5:I$639,"&lt;&gt;")=0,"",IF(OR(SUMIFS(I$5:I$639,$A$5:$A$639,$A144,$C$5:$C$639,$C144-1,$D$5:$D$639,$D144)=0,I144*SUMIFS(I$5:I$639,$A$5:$A$639,$A144,$C$5:$C$639,$C144-1,$D$5:$D$639,$D144)&lt;0),"n.s.",ABS(I144)/ABS(SUMIFS(I$5:I$639,$A$5:$A$639,$A144,$C$5:$C$639,$C144-1,$D$5:$D$639,$D144))-1)))</f>
        <v/>
      </c>
      <c r="R144" s="16">
        <f>IF(OR($A144="",J144="",$C144=""),"",IF(COUNTIFS($A$5:$A$639,$A144,$C$5:$C$639,$C144-1,$D$5:$D$639,$D144,J$5:J$639,"&lt;&gt;")=0,"",IF(OR(SUMIFS(J$5:J$639,$A$5:$A$639,$A144,$C$5:$C$639,$C144-1,$D$5:$D$639,$D144)=0,J144*SUMIFS(J$5:J$639,$A$5:$A$639,$A144,$C$5:$C$639,$C144-1,$D$5:$D$639,$D144)&lt;0),"n.s.",ABS(J144)/ABS(SUMIFS(J$5:J$639,$A$5:$A$639,$A144,$C$5:$C$639,$C144-1,$D$5:$D$639,$D144))-1)))</f>
        <v/>
      </c>
      <c r="S144" s="16">
        <f>IF(OR($A144="",K144="",$C144=""),"",IF(COUNTIFS($A$5:$A$639,$A144,$C$5:$C$639,$C144-1,$D$5:$D$639,$D144,K$5:K$639,"&lt;&gt;")=0,"",IF(OR(SUMIFS(K$5:K$639,$A$5:$A$639,$A144,$C$5:$C$639,$C144-1,$D$5:$D$639,$D144)=0,K144*SUMIFS(K$5:K$639,$A$5:$A$639,$A144,$C$5:$C$639,$C144-1,$D$5:$D$639,$D144)&lt;0),"n.s.",ABS(K144)/ABS(SUMIFS(K$5:K$639,$A$5:$A$639,$A144,$C$5:$C$639,$C144-1,$D$5:$D$639,$D144))-1)))</f>
        <v/>
      </c>
      <c r="T144" s="16">
        <f>IF(OR($A144="",L144="",$C144=""),"",IF(COUNTIFS($A$5:$A$639,$A144,$C$5:$C$639,$C144-1,$D$5:$D$639,$D144,L$5:L$639,"&lt;&gt;")=0,"",IF(OR(SUMIFS(L$5:L$639,$A$5:$A$639,$A144,$C$5:$C$639,$C144-1,$D$5:$D$639,$D144)=0,L144*SUMIFS(L$5:L$639,$A$5:$A$639,$A144,$C$5:$C$639,$C144-1,$D$5:$D$639,$D144)&lt;0),"n.s.",ABS(L144)/ABS(SUMIFS(L$5:L$639,$A$5:$A$639,$A144,$C$5:$C$639,$C144-1,$D$5:$D$639,$D144))-1)))</f>
        <v/>
      </c>
      <c r="U144" s="16">
        <f>IF(OR($A144="",M144="",$C144=""),"",IF(COUNTIFS($A$5:$A$639,$A144,$C$5:$C$639,$C144-1,$D$5:$D$639,$D144,M$5:M$639,"&lt;&gt;")=0,"",IF(OR(SUMIFS(M$5:M$639,$A$5:$A$639,$A144,$C$5:$C$639,$C144-1,$D$5:$D$639,$D144)=0,M144*SUMIFS(M$5:M$639,$A$5:$A$639,$A144,$C$5:$C$639,$C144-1,$D$5:$D$639,$D144)&lt;0),"n.s.",ABS(M144)/ABS(SUMIFS(M$5:M$639,$A$5:$A$639,$A144,$C$5:$C$639,$C144-1,$D$5:$D$639,$D144))-1)))</f>
        <v/>
      </c>
    </row>
    <row r="145">
      <c r="A145" s="9" t="inlineStr">
        <is>
          <t>STBC</t>
        </is>
      </c>
      <c r="B145" s="10">
        <f>IF(A145="","",IFERROR(VLOOKUP(A145,Titres!$A$2:$B$400,2,FALSE),"Ticker inconnu"))</f>
        <v/>
      </c>
      <c r="C145" s="11" t="n">
        <v>2025</v>
      </c>
      <c r="D145" s="11" t="inlineStr">
        <is>
          <t>T3</t>
        </is>
      </c>
      <c r="E145" s="9" t="n"/>
      <c r="F145" s="12" t="n"/>
      <c r="G145" s="9" t="n"/>
      <c r="H145" s="13" t="n"/>
      <c r="I145" s="13" t="n"/>
      <c r="J145" s="13" t="n"/>
      <c r="K145" s="13" t="n"/>
      <c r="L145" s="13" t="n"/>
      <c r="M145" s="13" t="n"/>
      <c r="N145" s="14">
        <f>IF(A145="","",COUNT(H145:M145)/6)</f>
        <v/>
      </c>
      <c r="O145" s="15">
        <f>IF(COUNT(H145:M145)=0,"",IF(LEN(IF(COUNT(I145,J145)=2,IF(J145&gt;I145+1,"EBE &gt; VA ",""),"")&amp;IF(COUNT(H145,M145)=2,IF(ABS(M145)&gt;ABS(H145),"RN &gt; CA ",""),"")&amp;IF(COUNT(H145,K145)=2,IF(ABS(K145)&gt;ABS(H145),"RE &gt; CA ",""),""))=0,"OK",IF(COUNT(I145,J145)=2,IF(J145&gt;I145+1,"EBE &gt; VA ",""),"")&amp;IF(COUNT(H145,M145)=2,IF(ABS(M145)&gt;ABS(H145),"RN &gt; CA ",""),"")&amp;IF(COUNT(H145,K145)=2,IF(ABS(K145)&gt;ABS(H145),"RE &gt; CA ",""),"")))</f>
        <v/>
      </c>
      <c r="P145" s="16">
        <f>IF(OR($A145="",H145="",$C145=""),"",IF(COUNTIFS($A$5:$A$639,$A145,$C$5:$C$639,$C145-1,$D$5:$D$639,$D145,H$5:H$639,"&lt;&gt;")=0,"",IF(OR(SUMIFS(H$5:H$639,$A$5:$A$639,$A145,$C$5:$C$639,$C145-1,$D$5:$D$639,$D145)=0,H145*SUMIFS(H$5:H$639,$A$5:$A$639,$A145,$C$5:$C$639,$C145-1,$D$5:$D$639,$D145)&lt;0),"n.s.",ABS(H145)/ABS(SUMIFS(H$5:H$639,$A$5:$A$639,$A145,$C$5:$C$639,$C145-1,$D$5:$D$639,$D145))-1)))</f>
        <v/>
      </c>
      <c r="Q145" s="16">
        <f>IF(OR($A145="",I145="",$C145=""),"",IF(COUNTIFS($A$5:$A$639,$A145,$C$5:$C$639,$C145-1,$D$5:$D$639,$D145,I$5:I$639,"&lt;&gt;")=0,"",IF(OR(SUMIFS(I$5:I$639,$A$5:$A$639,$A145,$C$5:$C$639,$C145-1,$D$5:$D$639,$D145)=0,I145*SUMIFS(I$5:I$639,$A$5:$A$639,$A145,$C$5:$C$639,$C145-1,$D$5:$D$639,$D145)&lt;0),"n.s.",ABS(I145)/ABS(SUMIFS(I$5:I$639,$A$5:$A$639,$A145,$C$5:$C$639,$C145-1,$D$5:$D$639,$D145))-1)))</f>
        <v/>
      </c>
      <c r="R145" s="16">
        <f>IF(OR($A145="",J145="",$C145=""),"",IF(COUNTIFS($A$5:$A$639,$A145,$C$5:$C$639,$C145-1,$D$5:$D$639,$D145,J$5:J$639,"&lt;&gt;")=0,"",IF(OR(SUMIFS(J$5:J$639,$A$5:$A$639,$A145,$C$5:$C$639,$C145-1,$D$5:$D$639,$D145)=0,J145*SUMIFS(J$5:J$639,$A$5:$A$639,$A145,$C$5:$C$639,$C145-1,$D$5:$D$639,$D145)&lt;0),"n.s.",ABS(J145)/ABS(SUMIFS(J$5:J$639,$A$5:$A$639,$A145,$C$5:$C$639,$C145-1,$D$5:$D$639,$D145))-1)))</f>
        <v/>
      </c>
      <c r="S145" s="16">
        <f>IF(OR($A145="",K145="",$C145=""),"",IF(COUNTIFS($A$5:$A$639,$A145,$C$5:$C$639,$C145-1,$D$5:$D$639,$D145,K$5:K$639,"&lt;&gt;")=0,"",IF(OR(SUMIFS(K$5:K$639,$A$5:$A$639,$A145,$C$5:$C$639,$C145-1,$D$5:$D$639,$D145)=0,K145*SUMIFS(K$5:K$639,$A$5:$A$639,$A145,$C$5:$C$639,$C145-1,$D$5:$D$639,$D145)&lt;0),"n.s.",ABS(K145)/ABS(SUMIFS(K$5:K$639,$A$5:$A$639,$A145,$C$5:$C$639,$C145-1,$D$5:$D$639,$D145))-1)))</f>
        <v/>
      </c>
      <c r="T145" s="16">
        <f>IF(OR($A145="",L145="",$C145=""),"",IF(COUNTIFS($A$5:$A$639,$A145,$C$5:$C$639,$C145-1,$D$5:$D$639,$D145,L$5:L$639,"&lt;&gt;")=0,"",IF(OR(SUMIFS(L$5:L$639,$A$5:$A$639,$A145,$C$5:$C$639,$C145-1,$D$5:$D$639,$D145)=0,L145*SUMIFS(L$5:L$639,$A$5:$A$639,$A145,$C$5:$C$639,$C145-1,$D$5:$D$639,$D145)&lt;0),"n.s.",ABS(L145)/ABS(SUMIFS(L$5:L$639,$A$5:$A$639,$A145,$C$5:$C$639,$C145-1,$D$5:$D$639,$D145))-1)))</f>
        <v/>
      </c>
      <c r="U145" s="16">
        <f>IF(OR($A145="",M145="",$C145=""),"",IF(COUNTIFS($A$5:$A$639,$A145,$C$5:$C$639,$C145-1,$D$5:$D$639,$D145,M$5:M$639,"&lt;&gt;")=0,"",IF(OR(SUMIFS(M$5:M$639,$A$5:$A$639,$A145,$C$5:$C$639,$C145-1,$D$5:$D$639,$D145)=0,M145*SUMIFS(M$5:M$639,$A$5:$A$639,$A145,$C$5:$C$639,$C145-1,$D$5:$D$639,$D145)&lt;0),"n.s.",ABS(M145)/ABS(SUMIFS(M$5:M$639,$A$5:$A$639,$A145,$C$5:$C$639,$C145-1,$D$5:$D$639,$D145))-1)))</f>
        <v/>
      </c>
    </row>
    <row r="146">
      <c r="A146" s="9" t="inlineStr">
        <is>
          <t>STBC</t>
        </is>
      </c>
      <c r="B146" s="10">
        <f>IF(A146="","",IFERROR(VLOOKUP(A146,Titres!$A$2:$B$400,2,FALSE),"Ticker inconnu"))</f>
        <v/>
      </c>
      <c r="C146" s="11" t="n">
        <v>2026</v>
      </c>
      <c r="D146" s="11" t="inlineStr">
        <is>
          <t>T1</t>
        </is>
      </c>
      <c r="E146" s="9" t="n"/>
      <c r="F146" s="12" t="n"/>
      <c r="G146" s="9" t="n"/>
      <c r="H146" s="13" t="n"/>
      <c r="I146" s="13" t="n"/>
      <c r="J146" s="13" t="n"/>
      <c r="K146" s="13" t="n"/>
      <c r="L146" s="13" t="n"/>
      <c r="M146" s="13" t="n"/>
      <c r="N146" s="14">
        <f>IF(A146="","",COUNT(H146:M146)/6)</f>
        <v/>
      </c>
      <c r="O146" s="15">
        <f>IF(COUNT(H146:M146)=0,"",IF(LEN(IF(COUNT(I146,J146)=2,IF(J146&gt;I146+1,"EBE &gt; VA ",""),"")&amp;IF(COUNT(H146,M146)=2,IF(ABS(M146)&gt;ABS(H146),"RN &gt; CA ",""),"")&amp;IF(COUNT(H146,K146)=2,IF(ABS(K146)&gt;ABS(H146),"RE &gt; CA ",""),""))=0,"OK",IF(COUNT(I146,J146)=2,IF(J146&gt;I146+1,"EBE &gt; VA ",""),"")&amp;IF(COUNT(H146,M146)=2,IF(ABS(M146)&gt;ABS(H146),"RN &gt; CA ",""),"")&amp;IF(COUNT(H146,K146)=2,IF(ABS(K146)&gt;ABS(H146),"RE &gt; CA ",""),"")))</f>
        <v/>
      </c>
      <c r="P146" s="16">
        <f>IF(OR($A146="",H146="",$C146=""),"",IF(COUNTIFS($A$5:$A$639,$A146,$C$5:$C$639,$C146-1,$D$5:$D$639,$D146,H$5:H$639,"&lt;&gt;")=0,"",IF(OR(SUMIFS(H$5:H$639,$A$5:$A$639,$A146,$C$5:$C$639,$C146-1,$D$5:$D$639,$D146)=0,H146*SUMIFS(H$5:H$639,$A$5:$A$639,$A146,$C$5:$C$639,$C146-1,$D$5:$D$639,$D146)&lt;0),"n.s.",ABS(H146)/ABS(SUMIFS(H$5:H$639,$A$5:$A$639,$A146,$C$5:$C$639,$C146-1,$D$5:$D$639,$D146))-1)))</f>
        <v/>
      </c>
      <c r="Q146" s="16">
        <f>IF(OR($A146="",I146="",$C146=""),"",IF(COUNTIFS($A$5:$A$639,$A146,$C$5:$C$639,$C146-1,$D$5:$D$639,$D146,I$5:I$639,"&lt;&gt;")=0,"",IF(OR(SUMIFS(I$5:I$639,$A$5:$A$639,$A146,$C$5:$C$639,$C146-1,$D$5:$D$639,$D146)=0,I146*SUMIFS(I$5:I$639,$A$5:$A$639,$A146,$C$5:$C$639,$C146-1,$D$5:$D$639,$D146)&lt;0),"n.s.",ABS(I146)/ABS(SUMIFS(I$5:I$639,$A$5:$A$639,$A146,$C$5:$C$639,$C146-1,$D$5:$D$639,$D146))-1)))</f>
        <v/>
      </c>
      <c r="R146" s="16">
        <f>IF(OR($A146="",J146="",$C146=""),"",IF(COUNTIFS($A$5:$A$639,$A146,$C$5:$C$639,$C146-1,$D$5:$D$639,$D146,J$5:J$639,"&lt;&gt;")=0,"",IF(OR(SUMIFS(J$5:J$639,$A$5:$A$639,$A146,$C$5:$C$639,$C146-1,$D$5:$D$639,$D146)=0,J146*SUMIFS(J$5:J$639,$A$5:$A$639,$A146,$C$5:$C$639,$C146-1,$D$5:$D$639,$D146)&lt;0),"n.s.",ABS(J146)/ABS(SUMIFS(J$5:J$639,$A$5:$A$639,$A146,$C$5:$C$639,$C146-1,$D$5:$D$639,$D146))-1)))</f>
        <v/>
      </c>
      <c r="S146" s="16">
        <f>IF(OR($A146="",K146="",$C146=""),"",IF(COUNTIFS($A$5:$A$639,$A146,$C$5:$C$639,$C146-1,$D$5:$D$639,$D146,K$5:K$639,"&lt;&gt;")=0,"",IF(OR(SUMIFS(K$5:K$639,$A$5:$A$639,$A146,$C$5:$C$639,$C146-1,$D$5:$D$639,$D146)=0,K146*SUMIFS(K$5:K$639,$A$5:$A$639,$A146,$C$5:$C$639,$C146-1,$D$5:$D$639,$D146)&lt;0),"n.s.",ABS(K146)/ABS(SUMIFS(K$5:K$639,$A$5:$A$639,$A146,$C$5:$C$639,$C146-1,$D$5:$D$639,$D146))-1)))</f>
        <v/>
      </c>
      <c r="T146" s="16">
        <f>IF(OR($A146="",L146="",$C146=""),"",IF(COUNTIFS($A$5:$A$639,$A146,$C$5:$C$639,$C146-1,$D$5:$D$639,$D146,L$5:L$639,"&lt;&gt;")=0,"",IF(OR(SUMIFS(L$5:L$639,$A$5:$A$639,$A146,$C$5:$C$639,$C146-1,$D$5:$D$639,$D146)=0,L146*SUMIFS(L$5:L$639,$A$5:$A$639,$A146,$C$5:$C$639,$C146-1,$D$5:$D$639,$D146)&lt;0),"n.s.",ABS(L146)/ABS(SUMIFS(L$5:L$639,$A$5:$A$639,$A146,$C$5:$C$639,$C146-1,$D$5:$D$639,$D146))-1)))</f>
        <v/>
      </c>
      <c r="U146" s="16">
        <f>IF(OR($A146="",M146="",$C146=""),"",IF(COUNTIFS($A$5:$A$639,$A146,$C$5:$C$639,$C146-1,$D$5:$D$639,$D146,M$5:M$639,"&lt;&gt;")=0,"",IF(OR(SUMIFS(M$5:M$639,$A$5:$A$639,$A146,$C$5:$C$639,$C146-1,$D$5:$D$639,$D146)=0,M146*SUMIFS(M$5:M$639,$A$5:$A$639,$A146,$C$5:$C$639,$C146-1,$D$5:$D$639,$D146)&lt;0),"n.s.",ABS(M146)/ABS(SUMIFS(M$5:M$639,$A$5:$A$639,$A146,$C$5:$C$639,$C146-1,$D$5:$D$639,$D146))-1)))</f>
        <v/>
      </c>
    </row>
    <row r="147">
      <c r="A147" s="9" t="inlineStr">
        <is>
          <t>STBC</t>
        </is>
      </c>
      <c r="B147" s="10">
        <f>IF(A147="","",IFERROR(VLOOKUP(A147,Titres!$A$2:$B$400,2,FALSE),"Ticker inconnu"))</f>
        <v/>
      </c>
      <c r="C147" s="11" t="n">
        <v>2026</v>
      </c>
      <c r="D147" s="11" t="inlineStr">
        <is>
          <t>S1</t>
        </is>
      </c>
      <c r="E147" s="9" t="n"/>
      <c r="F147" s="12" t="n"/>
      <c r="G147" s="9" t="n"/>
      <c r="H147" s="13" t="n"/>
      <c r="I147" s="13" t="n"/>
      <c r="J147" s="13" t="n"/>
      <c r="K147" s="13" t="n"/>
      <c r="L147" s="13" t="n"/>
      <c r="M147" s="13" t="n"/>
      <c r="N147" s="14">
        <f>IF(A147="","",COUNT(H147:M147)/6)</f>
        <v/>
      </c>
      <c r="O147" s="15">
        <f>IF(COUNT(H147:M147)=0,"",IF(LEN(IF(COUNT(I147,J147)=2,IF(J147&gt;I147+1,"EBE &gt; VA ",""),"")&amp;IF(COUNT(H147,M147)=2,IF(ABS(M147)&gt;ABS(H147),"RN &gt; CA ",""),"")&amp;IF(COUNT(H147,K147)=2,IF(ABS(K147)&gt;ABS(H147),"RE &gt; CA ",""),""))=0,"OK",IF(COUNT(I147,J147)=2,IF(J147&gt;I147+1,"EBE &gt; VA ",""),"")&amp;IF(COUNT(H147,M147)=2,IF(ABS(M147)&gt;ABS(H147),"RN &gt; CA ",""),"")&amp;IF(COUNT(H147,K147)=2,IF(ABS(K147)&gt;ABS(H147),"RE &gt; CA ",""),"")))</f>
        <v/>
      </c>
      <c r="P147" s="16">
        <f>IF(OR($A147="",H147="",$C147=""),"",IF(COUNTIFS($A$5:$A$639,$A147,$C$5:$C$639,$C147-1,$D$5:$D$639,$D147,H$5:H$639,"&lt;&gt;")=0,"",IF(OR(SUMIFS(H$5:H$639,$A$5:$A$639,$A147,$C$5:$C$639,$C147-1,$D$5:$D$639,$D147)=0,H147*SUMIFS(H$5:H$639,$A$5:$A$639,$A147,$C$5:$C$639,$C147-1,$D$5:$D$639,$D147)&lt;0),"n.s.",ABS(H147)/ABS(SUMIFS(H$5:H$639,$A$5:$A$639,$A147,$C$5:$C$639,$C147-1,$D$5:$D$639,$D147))-1)))</f>
        <v/>
      </c>
      <c r="Q147" s="16">
        <f>IF(OR($A147="",I147="",$C147=""),"",IF(COUNTIFS($A$5:$A$639,$A147,$C$5:$C$639,$C147-1,$D$5:$D$639,$D147,I$5:I$639,"&lt;&gt;")=0,"",IF(OR(SUMIFS(I$5:I$639,$A$5:$A$639,$A147,$C$5:$C$639,$C147-1,$D$5:$D$639,$D147)=0,I147*SUMIFS(I$5:I$639,$A$5:$A$639,$A147,$C$5:$C$639,$C147-1,$D$5:$D$639,$D147)&lt;0),"n.s.",ABS(I147)/ABS(SUMIFS(I$5:I$639,$A$5:$A$639,$A147,$C$5:$C$639,$C147-1,$D$5:$D$639,$D147))-1)))</f>
        <v/>
      </c>
      <c r="R147" s="16">
        <f>IF(OR($A147="",J147="",$C147=""),"",IF(COUNTIFS($A$5:$A$639,$A147,$C$5:$C$639,$C147-1,$D$5:$D$639,$D147,J$5:J$639,"&lt;&gt;")=0,"",IF(OR(SUMIFS(J$5:J$639,$A$5:$A$639,$A147,$C$5:$C$639,$C147-1,$D$5:$D$639,$D147)=0,J147*SUMIFS(J$5:J$639,$A$5:$A$639,$A147,$C$5:$C$639,$C147-1,$D$5:$D$639,$D147)&lt;0),"n.s.",ABS(J147)/ABS(SUMIFS(J$5:J$639,$A$5:$A$639,$A147,$C$5:$C$639,$C147-1,$D$5:$D$639,$D147))-1)))</f>
        <v/>
      </c>
      <c r="S147" s="16">
        <f>IF(OR($A147="",K147="",$C147=""),"",IF(COUNTIFS($A$5:$A$639,$A147,$C$5:$C$639,$C147-1,$D$5:$D$639,$D147,K$5:K$639,"&lt;&gt;")=0,"",IF(OR(SUMIFS(K$5:K$639,$A$5:$A$639,$A147,$C$5:$C$639,$C147-1,$D$5:$D$639,$D147)=0,K147*SUMIFS(K$5:K$639,$A$5:$A$639,$A147,$C$5:$C$639,$C147-1,$D$5:$D$639,$D147)&lt;0),"n.s.",ABS(K147)/ABS(SUMIFS(K$5:K$639,$A$5:$A$639,$A147,$C$5:$C$639,$C147-1,$D$5:$D$639,$D147))-1)))</f>
        <v/>
      </c>
      <c r="T147" s="16">
        <f>IF(OR($A147="",L147="",$C147=""),"",IF(COUNTIFS($A$5:$A$639,$A147,$C$5:$C$639,$C147-1,$D$5:$D$639,$D147,L$5:L$639,"&lt;&gt;")=0,"",IF(OR(SUMIFS(L$5:L$639,$A$5:$A$639,$A147,$C$5:$C$639,$C147-1,$D$5:$D$639,$D147)=0,L147*SUMIFS(L$5:L$639,$A$5:$A$639,$A147,$C$5:$C$639,$C147-1,$D$5:$D$639,$D147)&lt;0),"n.s.",ABS(L147)/ABS(SUMIFS(L$5:L$639,$A$5:$A$639,$A147,$C$5:$C$639,$C147-1,$D$5:$D$639,$D147))-1)))</f>
        <v/>
      </c>
      <c r="U147" s="16">
        <f>IF(OR($A147="",M147="",$C147=""),"",IF(COUNTIFS($A$5:$A$639,$A147,$C$5:$C$639,$C147-1,$D$5:$D$639,$D147,M$5:M$639,"&lt;&gt;")=0,"",IF(OR(SUMIFS(M$5:M$639,$A$5:$A$639,$A147,$C$5:$C$639,$C147-1,$D$5:$D$639,$D147)=0,M147*SUMIFS(M$5:M$639,$A$5:$A$639,$A147,$C$5:$C$639,$C147-1,$D$5:$D$639,$D147)&lt;0),"n.s.",ABS(M147)/ABS(SUMIFS(M$5:M$639,$A$5:$A$639,$A147,$C$5:$C$639,$C147-1,$D$5:$D$639,$D147))-1)))</f>
        <v/>
      </c>
    </row>
    <row r="148">
      <c r="A148" s="9" t="inlineStr">
        <is>
          <t>STBC</t>
        </is>
      </c>
      <c r="B148" s="10">
        <f>IF(A148="","",IFERROR(VLOOKUP(A148,Titres!$A$2:$B$400,2,FALSE),"Ticker inconnu"))</f>
        <v/>
      </c>
      <c r="C148" s="11" t="n">
        <v>2026</v>
      </c>
      <c r="D148" s="11" t="inlineStr">
        <is>
          <t>T3</t>
        </is>
      </c>
      <c r="E148" s="9" t="n"/>
      <c r="F148" s="12" t="n"/>
      <c r="G148" s="9" t="n"/>
      <c r="H148" s="13" t="n"/>
      <c r="I148" s="13" t="n"/>
      <c r="J148" s="13" t="n"/>
      <c r="K148" s="13" t="n"/>
      <c r="L148" s="13" t="n"/>
      <c r="M148" s="13" t="n"/>
      <c r="N148" s="14">
        <f>IF(A148="","",COUNT(H148:M148)/6)</f>
        <v/>
      </c>
      <c r="O148" s="15">
        <f>IF(COUNT(H148:M148)=0,"",IF(LEN(IF(COUNT(I148,J148)=2,IF(J148&gt;I148+1,"EBE &gt; VA ",""),"")&amp;IF(COUNT(H148,M148)=2,IF(ABS(M148)&gt;ABS(H148),"RN &gt; CA ",""),"")&amp;IF(COUNT(H148,K148)=2,IF(ABS(K148)&gt;ABS(H148),"RE &gt; CA ",""),""))=0,"OK",IF(COUNT(I148,J148)=2,IF(J148&gt;I148+1,"EBE &gt; VA ",""),"")&amp;IF(COUNT(H148,M148)=2,IF(ABS(M148)&gt;ABS(H148),"RN &gt; CA ",""),"")&amp;IF(COUNT(H148,K148)=2,IF(ABS(K148)&gt;ABS(H148),"RE &gt; CA ",""),"")))</f>
        <v/>
      </c>
      <c r="P148" s="16">
        <f>IF(OR($A148="",H148="",$C148=""),"",IF(COUNTIFS($A$5:$A$639,$A148,$C$5:$C$639,$C148-1,$D$5:$D$639,$D148,H$5:H$639,"&lt;&gt;")=0,"",IF(OR(SUMIFS(H$5:H$639,$A$5:$A$639,$A148,$C$5:$C$639,$C148-1,$D$5:$D$639,$D148)=0,H148*SUMIFS(H$5:H$639,$A$5:$A$639,$A148,$C$5:$C$639,$C148-1,$D$5:$D$639,$D148)&lt;0),"n.s.",ABS(H148)/ABS(SUMIFS(H$5:H$639,$A$5:$A$639,$A148,$C$5:$C$639,$C148-1,$D$5:$D$639,$D148))-1)))</f>
        <v/>
      </c>
      <c r="Q148" s="16">
        <f>IF(OR($A148="",I148="",$C148=""),"",IF(COUNTIFS($A$5:$A$639,$A148,$C$5:$C$639,$C148-1,$D$5:$D$639,$D148,I$5:I$639,"&lt;&gt;")=0,"",IF(OR(SUMIFS(I$5:I$639,$A$5:$A$639,$A148,$C$5:$C$639,$C148-1,$D$5:$D$639,$D148)=0,I148*SUMIFS(I$5:I$639,$A$5:$A$639,$A148,$C$5:$C$639,$C148-1,$D$5:$D$639,$D148)&lt;0),"n.s.",ABS(I148)/ABS(SUMIFS(I$5:I$639,$A$5:$A$639,$A148,$C$5:$C$639,$C148-1,$D$5:$D$639,$D148))-1)))</f>
        <v/>
      </c>
      <c r="R148" s="16">
        <f>IF(OR($A148="",J148="",$C148=""),"",IF(COUNTIFS($A$5:$A$639,$A148,$C$5:$C$639,$C148-1,$D$5:$D$639,$D148,J$5:J$639,"&lt;&gt;")=0,"",IF(OR(SUMIFS(J$5:J$639,$A$5:$A$639,$A148,$C$5:$C$639,$C148-1,$D$5:$D$639,$D148)=0,J148*SUMIFS(J$5:J$639,$A$5:$A$639,$A148,$C$5:$C$639,$C148-1,$D$5:$D$639,$D148)&lt;0),"n.s.",ABS(J148)/ABS(SUMIFS(J$5:J$639,$A$5:$A$639,$A148,$C$5:$C$639,$C148-1,$D$5:$D$639,$D148))-1)))</f>
        <v/>
      </c>
      <c r="S148" s="16">
        <f>IF(OR($A148="",K148="",$C148=""),"",IF(COUNTIFS($A$5:$A$639,$A148,$C$5:$C$639,$C148-1,$D$5:$D$639,$D148,K$5:K$639,"&lt;&gt;")=0,"",IF(OR(SUMIFS(K$5:K$639,$A$5:$A$639,$A148,$C$5:$C$639,$C148-1,$D$5:$D$639,$D148)=0,K148*SUMIFS(K$5:K$639,$A$5:$A$639,$A148,$C$5:$C$639,$C148-1,$D$5:$D$639,$D148)&lt;0),"n.s.",ABS(K148)/ABS(SUMIFS(K$5:K$639,$A$5:$A$639,$A148,$C$5:$C$639,$C148-1,$D$5:$D$639,$D148))-1)))</f>
        <v/>
      </c>
      <c r="T148" s="16">
        <f>IF(OR($A148="",L148="",$C148=""),"",IF(COUNTIFS($A$5:$A$639,$A148,$C$5:$C$639,$C148-1,$D$5:$D$639,$D148,L$5:L$639,"&lt;&gt;")=0,"",IF(OR(SUMIFS(L$5:L$639,$A$5:$A$639,$A148,$C$5:$C$639,$C148-1,$D$5:$D$639,$D148)=0,L148*SUMIFS(L$5:L$639,$A$5:$A$639,$A148,$C$5:$C$639,$C148-1,$D$5:$D$639,$D148)&lt;0),"n.s.",ABS(L148)/ABS(SUMIFS(L$5:L$639,$A$5:$A$639,$A148,$C$5:$C$639,$C148-1,$D$5:$D$639,$D148))-1)))</f>
        <v/>
      </c>
      <c r="U148" s="16">
        <f>IF(OR($A148="",M148="",$C148=""),"",IF(COUNTIFS($A$5:$A$639,$A148,$C$5:$C$639,$C148-1,$D$5:$D$639,$D148,M$5:M$639,"&lt;&gt;")=0,"",IF(OR(SUMIFS(M$5:M$639,$A$5:$A$639,$A148,$C$5:$C$639,$C148-1,$D$5:$D$639,$D148)=0,M148*SUMIFS(M$5:M$639,$A$5:$A$639,$A148,$C$5:$C$639,$C148-1,$D$5:$D$639,$D148)&lt;0),"n.s.",ABS(M148)/ABS(SUMIFS(M$5:M$639,$A$5:$A$639,$A148,$C$5:$C$639,$C148-1,$D$5:$D$639,$D148))-1)))</f>
        <v/>
      </c>
    </row>
    <row r="149">
      <c r="A149" s="9" t="inlineStr">
        <is>
          <t>UNLC</t>
        </is>
      </c>
      <c r="B149" s="10">
        <f>IF(A149="","",IFERROR(VLOOKUP(A149,Titres!$A$2:$B$400,2,FALSE),"Ticker inconnu"))</f>
        <v/>
      </c>
      <c r="C149" s="11" t="n">
        <v>2021</v>
      </c>
      <c r="D149" s="11" t="inlineStr">
        <is>
          <t>T1</t>
        </is>
      </c>
      <c r="E149" s="9" t="n"/>
      <c r="F149" s="12" t="n"/>
      <c r="G149" s="9" t="n"/>
      <c r="H149" s="13" t="n"/>
      <c r="I149" s="13" t="n"/>
      <c r="J149" s="13" t="n"/>
      <c r="K149" s="13" t="n"/>
      <c r="L149" s="13" t="n"/>
      <c r="M149" s="13" t="n"/>
      <c r="N149" s="14">
        <f>IF(A149="","",COUNT(H149:M149)/6)</f>
        <v/>
      </c>
      <c r="O149" s="15">
        <f>IF(COUNT(H149:M149)=0,"",IF(LEN(IF(COUNT(I149,J149)=2,IF(J149&gt;I149+1,"EBE &gt; VA ",""),"")&amp;IF(COUNT(H149,M149)=2,IF(ABS(M149)&gt;ABS(H149),"RN &gt; CA ",""),"")&amp;IF(COUNT(H149,K149)=2,IF(ABS(K149)&gt;ABS(H149),"RE &gt; CA ",""),""))=0,"OK",IF(COUNT(I149,J149)=2,IF(J149&gt;I149+1,"EBE &gt; VA ",""),"")&amp;IF(COUNT(H149,M149)=2,IF(ABS(M149)&gt;ABS(H149),"RN &gt; CA ",""),"")&amp;IF(COUNT(H149,K149)=2,IF(ABS(K149)&gt;ABS(H149),"RE &gt; CA ",""),"")))</f>
        <v/>
      </c>
      <c r="P149" s="16">
        <f>IF(OR($A149="",H149="",$C149=""),"",IF(COUNTIFS($A$5:$A$639,$A149,$C$5:$C$639,$C149-1,$D$5:$D$639,$D149,H$5:H$639,"&lt;&gt;")=0,"",IF(OR(SUMIFS(H$5:H$639,$A$5:$A$639,$A149,$C$5:$C$639,$C149-1,$D$5:$D$639,$D149)=0,H149*SUMIFS(H$5:H$639,$A$5:$A$639,$A149,$C$5:$C$639,$C149-1,$D$5:$D$639,$D149)&lt;0),"n.s.",ABS(H149)/ABS(SUMIFS(H$5:H$639,$A$5:$A$639,$A149,$C$5:$C$639,$C149-1,$D$5:$D$639,$D149))-1)))</f>
        <v/>
      </c>
      <c r="Q149" s="16">
        <f>IF(OR($A149="",I149="",$C149=""),"",IF(COUNTIFS($A$5:$A$639,$A149,$C$5:$C$639,$C149-1,$D$5:$D$639,$D149,I$5:I$639,"&lt;&gt;")=0,"",IF(OR(SUMIFS(I$5:I$639,$A$5:$A$639,$A149,$C$5:$C$639,$C149-1,$D$5:$D$639,$D149)=0,I149*SUMIFS(I$5:I$639,$A$5:$A$639,$A149,$C$5:$C$639,$C149-1,$D$5:$D$639,$D149)&lt;0),"n.s.",ABS(I149)/ABS(SUMIFS(I$5:I$639,$A$5:$A$639,$A149,$C$5:$C$639,$C149-1,$D$5:$D$639,$D149))-1)))</f>
        <v/>
      </c>
      <c r="R149" s="16">
        <f>IF(OR($A149="",J149="",$C149=""),"",IF(COUNTIFS($A$5:$A$639,$A149,$C$5:$C$639,$C149-1,$D$5:$D$639,$D149,J$5:J$639,"&lt;&gt;")=0,"",IF(OR(SUMIFS(J$5:J$639,$A$5:$A$639,$A149,$C$5:$C$639,$C149-1,$D$5:$D$639,$D149)=0,J149*SUMIFS(J$5:J$639,$A$5:$A$639,$A149,$C$5:$C$639,$C149-1,$D$5:$D$639,$D149)&lt;0),"n.s.",ABS(J149)/ABS(SUMIFS(J$5:J$639,$A$5:$A$639,$A149,$C$5:$C$639,$C149-1,$D$5:$D$639,$D149))-1)))</f>
        <v/>
      </c>
      <c r="S149" s="16">
        <f>IF(OR($A149="",K149="",$C149=""),"",IF(COUNTIFS($A$5:$A$639,$A149,$C$5:$C$639,$C149-1,$D$5:$D$639,$D149,K$5:K$639,"&lt;&gt;")=0,"",IF(OR(SUMIFS(K$5:K$639,$A$5:$A$639,$A149,$C$5:$C$639,$C149-1,$D$5:$D$639,$D149)=0,K149*SUMIFS(K$5:K$639,$A$5:$A$639,$A149,$C$5:$C$639,$C149-1,$D$5:$D$639,$D149)&lt;0),"n.s.",ABS(K149)/ABS(SUMIFS(K$5:K$639,$A$5:$A$639,$A149,$C$5:$C$639,$C149-1,$D$5:$D$639,$D149))-1)))</f>
        <v/>
      </c>
      <c r="T149" s="16">
        <f>IF(OR($A149="",L149="",$C149=""),"",IF(COUNTIFS($A$5:$A$639,$A149,$C$5:$C$639,$C149-1,$D$5:$D$639,$D149,L$5:L$639,"&lt;&gt;")=0,"",IF(OR(SUMIFS(L$5:L$639,$A$5:$A$639,$A149,$C$5:$C$639,$C149-1,$D$5:$D$639,$D149)=0,L149*SUMIFS(L$5:L$639,$A$5:$A$639,$A149,$C$5:$C$639,$C149-1,$D$5:$D$639,$D149)&lt;0),"n.s.",ABS(L149)/ABS(SUMIFS(L$5:L$639,$A$5:$A$639,$A149,$C$5:$C$639,$C149-1,$D$5:$D$639,$D149))-1)))</f>
        <v/>
      </c>
      <c r="U149" s="16">
        <f>IF(OR($A149="",M149="",$C149=""),"",IF(COUNTIFS($A$5:$A$639,$A149,$C$5:$C$639,$C149-1,$D$5:$D$639,$D149,M$5:M$639,"&lt;&gt;")=0,"",IF(OR(SUMIFS(M$5:M$639,$A$5:$A$639,$A149,$C$5:$C$639,$C149-1,$D$5:$D$639,$D149)=0,M149*SUMIFS(M$5:M$639,$A$5:$A$639,$A149,$C$5:$C$639,$C149-1,$D$5:$D$639,$D149)&lt;0),"n.s.",ABS(M149)/ABS(SUMIFS(M$5:M$639,$A$5:$A$639,$A149,$C$5:$C$639,$C149-1,$D$5:$D$639,$D149))-1)))</f>
        <v/>
      </c>
    </row>
    <row r="150">
      <c r="A150" s="9" t="inlineStr">
        <is>
          <t>UNLC</t>
        </is>
      </c>
      <c r="B150" s="10">
        <f>IF(A150="","",IFERROR(VLOOKUP(A150,Titres!$A$2:$B$400,2,FALSE),"Ticker inconnu"))</f>
        <v/>
      </c>
      <c r="C150" s="11" t="n">
        <v>2021</v>
      </c>
      <c r="D150" s="11" t="inlineStr">
        <is>
          <t>S1</t>
        </is>
      </c>
      <c r="E150" s="9" t="n"/>
      <c r="F150" s="12" t="n"/>
      <c r="G150" s="9" t="n"/>
      <c r="H150" s="13" t="n"/>
      <c r="I150" s="13" t="n"/>
      <c r="J150" s="13" t="n"/>
      <c r="K150" s="13" t="n"/>
      <c r="L150" s="13" t="n"/>
      <c r="M150" s="13" t="n"/>
      <c r="N150" s="14">
        <f>IF(A150="","",COUNT(H150:M150)/6)</f>
        <v/>
      </c>
      <c r="O150" s="15">
        <f>IF(COUNT(H150:M150)=0,"",IF(LEN(IF(COUNT(I150,J150)=2,IF(J150&gt;I150+1,"EBE &gt; VA ",""),"")&amp;IF(COUNT(H150,M150)=2,IF(ABS(M150)&gt;ABS(H150),"RN &gt; CA ",""),"")&amp;IF(COUNT(H150,K150)=2,IF(ABS(K150)&gt;ABS(H150),"RE &gt; CA ",""),""))=0,"OK",IF(COUNT(I150,J150)=2,IF(J150&gt;I150+1,"EBE &gt; VA ",""),"")&amp;IF(COUNT(H150,M150)=2,IF(ABS(M150)&gt;ABS(H150),"RN &gt; CA ",""),"")&amp;IF(COUNT(H150,K150)=2,IF(ABS(K150)&gt;ABS(H150),"RE &gt; CA ",""),"")))</f>
        <v/>
      </c>
      <c r="P150" s="16">
        <f>IF(OR($A150="",H150="",$C150=""),"",IF(COUNTIFS($A$5:$A$639,$A150,$C$5:$C$639,$C150-1,$D$5:$D$639,$D150,H$5:H$639,"&lt;&gt;")=0,"",IF(OR(SUMIFS(H$5:H$639,$A$5:$A$639,$A150,$C$5:$C$639,$C150-1,$D$5:$D$639,$D150)=0,H150*SUMIFS(H$5:H$639,$A$5:$A$639,$A150,$C$5:$C$639,$C150-1,$D$5:$D$639,$D150)&lt;0),"n.s.",ABS(H150)/ABS(SUMIFS(H$5:H$639,$A$5:$A$639,$A150,$C$5:$C$639,$C150-1,$D$5:$D$639,$D150))-1)))</f>
        <v/>
      </c>
      <c r="Q150" s="16">
        <f>IF(OR($A150="",I150="",$C150=""),"",IF(COUNTIFS($A$5:$A$639,$A150,$C$5:$C$639,$C150-1,$D$5:$D$639,$D150,I$5:I$639,"&lt;&gt;")=0,"",IF(OR(SUMIFS(I$5:I$639,$A$5:$A$639,$A150,$C$5:$C$639,$C150-1,$D$5:$D$639,$D150)=0,I150*SUMIFS(I$5:I$639,$A$5:$A$639,$A150,$C$5:$C$639,$C150-1,$D$5:$D$639,$D150)&lt;0),"n.s.",ABS(I150)/ABS(SUMIFS(I$5:I$639,$A$5:$A$639,$A150,$C$5:$C$639,$C150-1,$D$5:$D$639,$D150))-1)))</f>
        <v/>
      </c>
      <c r="R150" s="16">
        <f>IF(OR($A150="",J150="",$C150=""),"",IF(COUNTIFS($A$5:$A$639,$A150,$C$5:$C$639,$C150-1,$D$5:$D$639,$D150,J$5:J$639,"&lt;&gt;")=0,"",IF(OR(SUMIFS(J$5:J$639,$A$5:$A$639,$A150,$C$5:$C$639,$C150-1,$D$5:$D$639,$D150)=0,J150*SUMIFS(J$5:J$639,$A$5:$A$639,$A150,$C$5:$C$639,$C150-1,$D$5:$D$639,$D150)&lt;0),"n.s.",ABS(J150)/ABS(SUMIFS(J$5:J$639,$A$5:$A$639,$A150,$C$5:$C$639,$C150-1,$D$5:$D$639,$D150))-1)))</f>
        <v/>
      </c>
      <c r="S150" s="16">
        <f>IF(OR($A150="",K150="",$C150=""),"",IF(COUNTIFS($A$5:$A$639,$A150,$C$5:$C$639,$C150-1,$D$5:$D$639,$D150,K$5:K$639,"&lt;&gt;")=0,"",IF(OR(SUMIFS(K$5:K$639,$A$5:$A$639,$A150,$C$5:$C$639,$C150-1,$D$5:$D$639,$D150)=0,K150*SUMIFS(K$5:K$639,$A$5:$A$639,$A150,$C$5:$C$639,$C150-1,$D$5:$D$639,$D150)&lt;0),"n.s.",ABS(K150)/ABS(SUMIFS(K$5:K$639,$A$5:$A$639,$A150,$C$5:$C$639,$C150-1,$D$5:$D$639,$D150))-1)))</f>
        <v/>
      </c>
      <c r="T150" s="16">
        <f>IF(OR($A150="",L150="",$C150=""),"",IF(COUNTIFS($A$5:$A$639,$A150,$C$5:$C$639,$C150-1,$D$5:$D$639,$D150,L$5:L$639,"&lt;&gt;")=0,"",IF(OR(SUMIFS(L$5:L$639,$A$5:$A$639,$A150,$C$5:$C$639,$C150-1,$D$5:$D$639,$D150)=0,L150*SUMIFS(L$5:L$639,$A$5:$A$639,$A150,$C$5:$C$639,$C150-1,$D$5:$D$639,$D150)&lt;0),"n.s.",ABS(L150)/ABS(SUMIFS(L$5:L$639,$A$5:$A$639,$A150,$C$5:$C$639,$C150-1,$D$5:$D$639,$D150))-1)))</f>
        <v/>
      </c>
      <c r="U150" s="16">
        <f>IF(OR($A150="",M150="",$C150=""),"",IF(COUNTIFS($A$5:$A$639,$A150,$C$5:$C$639,$C150-1,$D$5:$D$639,$D150,M$5:M$639,"&lt;&gt;")=0,"",IF(OR(SUMIFS(M$5:M$639,$A$5:$A$639,$A150,$C$5:$C$639,$C150-1,$D$5:$D$639,$D150)=0,M150*SUMIFS(M$5:M$639,$A$5:$A$639,$A150,$C$5:$C$639,$C150-1,$D$5:$D$639,$D150)&lt;0),"n.s.",ABS(M150)/ABS(SUMIFS(M$5:M$639,$A$5:$A$639,$A150,$C$5:$C$639,$C150-1,$D$5:$D$639,$D150))-1)))</f>
        <v/>
      </c>
    </row>
    <row r="151">
      <c r="A151" s="9" t="inlineStr">
        <is>
          <t>UNLC</t>
        </is>
      </c>
      <c r="B151" s="10">
        <f>IF(A151="","",IFERROR(VLOOKUP(A151,Titres!$A$2:$B$400,2,FALSE),"Ticker inconnu"))</f>
        <v/>
      </c>
      <c r="C151" s="11" t="n">
        <v>2021</v>
      </c>
      <c r="D151" s="11" t="inlineStr">
        <is>
          <t>T3</t>
        </is>
      </c>
      <c r="E151" s="9" t="n"/>
      <c r="F151" s="12" t="n"/>
      <c r="G151" s="9" t="n"/>
      <c r="H151" s="13" t="n"/>
      <c r="I151" s="13" t="n"/>
      <c r="J151" s="13" t="n"/>
      <c r="K151" s="13" t="n"/>
      <c r="L151" s="13" t="n"/>
      <c r="M151" s="13" t="n"/>
      <c r="N151" s="14">
        <f>IF(A151="","",COUNT(H151:M151)/6)</f>
        <v/>
      </c>
      <c r="O151" s="15">
        <f>IF(COUNT(H151:M151)=0,"",IF(LEN(IF(COUNT(I151,J151)=2,IF(J151&gt;I151+1,"EBE &gt; VA ",""),"")&amp;IF(COUNT(H151,M151)=2,IF(ABS(M151)&gt;ABS(H151),"RN &gt; CA ",""),"")&amp;IF(COUNT(H151,K151)=2,IF(ABS(K151)&gt;ABS(H151),"RE &gt; CA ",""),""))=0,"OK",IF(COUNT(I151,J151)=2,IF(J151&gt;I151+1,"EBE &gt; VA ",""),"")&amp;IF(COUNT(H151,M151)=2,IF(ABS(M151)&gt;ABS(H151),"RN &gt; CA ",""),"")&amp;IF(COUNT(H151,K151)=2,IF(ABS(K151)&gt;ABS(H151),"RE &gt; CA ",""),"")))</f>
        <v/>
      </c>
      <c r="P151" s="16">
        <f>IF(OR($A151="",H151="",$C151=""),"",IF(COUNTIFS($A$5:$A$639,$A151,$C$5:$C$639,$C151-1,$D$5:$D$639,$D151,H$5:H$639,"&lt;&gt;")=0,"",IF(OR(SUMIFS(H$5:H$639,$A$5:$A$639,$A151,$C$5:$C$639,$C151-1,$D$5:$D$639,$D151)=0,H151*SUMIFS(H$5:H$639,$A$5:$A$639,$A151,$C$5:$C$639,$C151-1,$D$5:$D$639,$D151)&lt;0),"n.s.",ABS(H151)/ABS(SUMIFS(H$5:H$639,$A$5:$A$639,$A151,$C$5:$C$639,$C151-1,$D$5:$D$639,$D151))-1)))</f>
        <v/>
      </c>
      <c r="Q151" s="16">
        <f>IF(OR($A151="",I151="",$C151=""),"",IF(COUNTIFS($A$5:$A$639,$A151,$C$5:$C$639,$C151-1,$D$5:$D$639,$D151,I$5:I$639,"&lt;&gt;")=0,"",IF(OR(SUMIFS(I$5:I$639,$A$5:$A$639,$A151,$C$5:$C$639,$C151-1,$D$5:$D$639,$D151)=0,I151*SUMIFS(I$5:I$639,$A$5:$A$639,$A151,$C$5:$C$639,$C151-1,$D$5:$D$639,$D151)&lt;0),"n.s.",ABS(I151)/ABS(SUMIFS(I$5:I$639,$A$5:$A$639,$A151,$C$5:$C$639,$C151-1,$D$5:$D$639,$D151))-1)))</f>
        <v/>
      </c>
      <c r="R151" s="16">
        <f>IF(OR($A151="",J151="",$C151=""),"",IF(COUNTIFS($A$5:$A$639,$A151,$C$5:$C$639,$C151-1,$D$5:$D$639,$D151,J$5:J$639,"&lt;&gt;")=0,"",IF(OR(SUMIFS(J$5:J$639,$A$5:$A$639,$A151,$C$5:$C$639,$C151-1,$D$5:$D$639,$D151)=0,J151*SUMIFS(J$5:J$639,$A$5:$A$639,$A151,$C$5:$C$639,$C151-1,$D$5:$D$639,$D151)&lt;0),"n.s.",ABS(J151)/ABS(SUMIFS(J$5:J$639,$A$5:$A$639,$A151,$C$5:$C$639,$C151-1,$D$5:$D$639,$D151))-1)))</f>
        <v/>
      </c>
      <c r="S151" s="16">
        <f>IF(OR($A151="",K151="",$C151=""),"",IF(COUNTIFS($A$5:$A$639,$A151,$C$5:$C$639,$C151-1,$D$5:$D$639,$D151,K$5:K$639,"&lt;&gt;")=0,"",IF(OR(SUMIFS(K$5:K$639,$A$5:$A$639,$A151,$C$5:$C$639,$C151-1,$D$5:$D$639,$D151)=0,K151*SUMIFS(K$5:K$639,$A$5:$A$639,$A151,$C$5:$C$639,$C151-1,$D$5:$D$639,$D151)&lt;0),"n.s.",ABS(K151)/ABS(SUMIFS(K$5:K$639,$A$5:$A$639,$A151,$C$5:$C$639,$C151-1,$D$5:$D$639,$D151))-1)))</f>
        <v/>
      </c>
      <c r="T151" s="16">
        <f>IF(OR($A151="",L151="",$C151=""),"",IF(COUNTIFS($A$5:$A$639,$A151,$C$5:$C$639,$C151-1,$D$5:$D$639,$D151,L$5:L$639,"&lt;&gt;")=0,"",IF(OR(SUMIFS(L$5:L$639,$A$5:$A$639,$A151,$C$5:$C$639,$C151-1,$D$5:$D$639,$D151)=0,L151*SUMIFS(L$5:L$639,$A$5:$A$639,$A151,$C$5:$C$639,$C151-1,$D$5:$D$639,$D151)&lt;0),"n.s.",ABS(L151)/ABS(SUMIFS(L$5:L$639,$A$5:$A$639,$A151,$C$5:$C$639,$C151-1,$D$5:$D$639,$D151))-1)))</f>
        <v/>
      </c>
      <c r="U151" s="16">
        <f>IF(OR($A151="",M151="",$C151=""),"",IF(COUNTIFS($A$5:$A$639,$A151,$C$5:$C$639,$C151-1,$D$5:$D$639,$D151,M$5:M$639,"&lt;&gt;")=0,"",IF(OR(SUMIFS(M$5:M$639,$A$5:$A$639,$A151,$C$5:$C$639,$C151-1,$D$5:$D$639,$D151)=0,M151*SUMIFS(M$5:M$639,$A$5:$A$639,$A151,$C$5:$C$639,$C151-1,$D$5:$D$639,$D151)&lt;0),"n.s.",ABS(M151)/ABS(SUMIFS(M$5:M$639,$A$5:$A$639,$A151,$C$5:$C$639,$C151-1,$D$5:$D$639,$D151))-1)))</f>
        <v/>
      </c>
    </row>
    <row r="152">
      <c r="A152" s="9" t="inlineStr">
        <is>
          <t>UNLC</t>
        </is>
      </c>
      <c r="B152" s="10">
        <f>IF(A152="","",IFERROR(VLOOKUP(A152,Titres!$A$2:$B$400,2,FALSE),"Ticker inconnu"))</f>
        <v/>
      </c>
      <c r="C152" s="11" t="n">
        <v>2022</v>
      </c>
      <c r="D152" s="11" t="inlineStr">
        <is>
          <t>T1</t>
        </is>
      </c>
      <c r="E152" s="9" t="n"/>
      <c r="F152" s="12" t="n"/>
      <c r="G152" s="9" t="n"/>
      <c r="H152" s="13" t="n"/>
      <c r="I152" s="13" t="n"/>
      <c r="J152" s="13" t="n"/>
      <c r="K152" s="13" t="n"/>
      <c r="L152" s="13" t="n"/>
      <c r="M152" s="13" t="n"/>
      <c r="N152" s="14">
        <f>IF(A152="","",COUNT(H152:M152)/6)</f>
        <v/>
      </c>
      <c r="O152" s="15">
        <f>IF(COUNT(H152:M152)=0,"",IF(LEN(IF(COUNT(I152,J152)=2,IF(J152&gt;I152+1,"EBE &gt; VA ",""),"")&amp;IF(COUNT(H152,M152)=2,IF(ABS(M152)&gt;ABS(H152),"RN &gt; CA ",""),"")&amp;IF(COUNT(H152,K152)=2,IF(ABS(K152)&gt;ABS(H152),"RE &gt; CA ",""),""))=0,"OK",IF(COUNT(I152,J152)=2,IF(J152&gt;I152+1,"EBE &gt; VA ",""),"")&amp;IF(COUNT(H152,M152)=2,IF(ABS(M152)&gt;ABS(H152),"RN &gt; CA ",""),"")&amp;IF(COUNT(H152,K152)=2,IF(ABS(K152)&gt;ABS(H152),"RE &gt; CA ",""),"")))</f>
        <v/>
      </c>
      <c r="P152" s="16">
        <f>IF(OR($A152="",H152="",$C152=""),"",IF(COUNTIFS($A$5:$A$639,$A152,$C$5:$C$639,$C152-1,$D$5:$D$639,$D152,H$5:H$639,"&lt;&gt;")=0,"",IF(OR(SUMIFS(H$5:H$639,$A$5:$A$639,$A152,$C$5:$C$639,$C152-1,$D$5:$D$639,$D152)=0,H152*SUMIFS(H$5:H$639,$A$5:$A$639,$A152,$C$5:$C$639,$C152-1,$D$5:$D$639,$D152)&lt;0),"n.s.",ABS(H152)/ABS(SUMIFS(H$5:H$639,$A$5:$A$639,$A152,$C$5:$C$639,$C152-1,$D$5:$D$639,$D152))-1)))</f>
        <v/>
      </c>
      <c r="Q152" s="16">
        <f>IF(OR($A152="",I152="",$C152=""),"",IF(COUNTIFS($A$5:$A$639,$A152,$C$5:$C$639,$C152-1,$D$5:$D$639,$D152,I$5:I$639,"&lt;&gt;")=0,"",IF(OR(SUMIFS(I$5:I$639,$A$5:$A$639,$A152,$C$5:$C$639,$C152-1,$D$5:$D$639,$D152)=0,I152*SUMIFS(I$5:I$639,$A$5:$A$639,$A152,$C$5:$C$639,$C152-1,$D$5:$D$639,$D152)&lt;0),"n.s.",ABS(I152)/ABS(SUMIFS(I$5:I$639,$A$5:$A$639,$A152,$C$5:$C$639,$C152-1,$D$5:$D$639,$D152))-1)))</f>
        <v/>
      </c>
      <c r="R152" s="16">
        <f>IF(OR($A152="",J152="",$C152=""),"",IF(COUNTIFS($A$5:$A$639,$A152,$C$5:$C$639,$C152-1,$D$5:$D$639,$D152,J$5:J$639,"&lt;&gt;")=0,"",IF(OR(SUMIFS(J$5:J$639,$A$5:$A$639,$A152,$C$5:$C$639,$C152-1,$D$5:$D$639,$D152)=0,J152*SUMIFS(J$5:J$639,$A$5:$A$639,$A152,$C$5:$C$639,$C152-1,$D$5:$D$639,$D152)&lt;0),"n.s.",ABS(J152)/ABS(SUMIFS(J$5:J$639,$A$5:$A$639,$A152,$C$5:$C$639,$C152-1,$D$5:$D$639,$D152))-1)))</f>
        <v/>
      </c>
      <c r="S152" s="16">
        <f>IF(OR($A152="",K152="",$C152=""),"",IF(COUNTIFS($A$5:$A$639,$A152,$C$5:$C$639,$C152-1,$D$5:$D$639,$D152,K$5:K$639,"&lt;&gt;")=0,"",IF(OR(SUMIFS(K$5:K$639,$A$5:$A$639,$A152,$C$5:$C$639,$C152-1,$D$5:$D$639,$D152)=0,K152*SUMIFS(K$5:K$639,$A$5:$A$639,$A152,$C$5:$C$639,$C152-1,$D$5:$D$639,$D152)&lt;0),"n.s.",ABS(K152)/ABS(SUMIFS(K$5:K$639,$A$5:$A$639,$A152,$C$5:$C$639,$C152-1,$D$5:$D$639,$D152))-1)))</f>
        <v/>
      </c>
      <c r="T152" s="16">
        <f>IF(OR($A152="",L152="",$C152=""),"",IF(COUNTIFS($A$5:$A$639,$A152,$C$5:$C$639,$C152-1,$D$5:$D$639,$D152,L$5:L$639,"&lt;&gt;")=0,"",IF(OR(SUMIFS(L$5:L$639,$A$5:$A$639,$A152,$C$5:$C$639,$C152-1,$D$5:$D$639,$D152)=0,L152*SUMIFS(L$5:L$639,$A$5:$A$639,$A152,$C$5:$C$639,$C152-1,$D$5:$D$639,$D152)&lt;0),"n.s.",ABS(L152)/ABS(SUMIFS(L$5:L$639,$A$5:$A$639,$A152,$C$5:$C$639,$C152-1,$D$5:$D$639,$D152))-1)))</f>
        <v/>
      </c>
      <c r="U152" s="16">
        <f>IF(OR($A152="",M152="",$C152=""),"",IF(COUNTIFS($A$5:$A$639,$A152,$C$5:$C$639,$C152-1,$D$5:$D$639,$D152,M$5:M$639,"&lt;&gt;")=0,"",IF(OR(SUMIFS(M$5:M$639,$A$5:$A$639,$A152,$C$5:$C$639,$C152-1,$D$5:$D$639,$D152)=0,M152*SUMIFS(M$5:M$639,$A$5:$A$639,$A152,$C$5:$C$639,$C152-1,$D$5:$D$639,$D152)&lt;0),"n.s.",ABS(M152)/ABS(SUMIFS(M$5:M$639,$A$5:$A$639,$A152,$C$5:$C$639,$C152-1,$D$5:$D$639,$D152))-1)))</f>
        <v/>
      </c>
    </row>
    <row r="153">
      <c r="A153" s="9" t="inlineStr">
        <is>
          <t>UNLC</t>
        </is>
      </c>
      <c r="B153" s="10">
        <f>IF(A153="","",IFERROR(VLOOKUP(A153,Titres!$A$2:$B$400,2,FALSE),"Ticker inconnu"))</f>
        <v/>
      </c>
      <c r="C153" s="11" t="n">
        <v>2022</v>
      </c>
      <c r="D153" s="11" t="inlineStr">
        <is>
          <t>S1</t>
        </is>
      </c>
      <c r="E153" s="9" t="n"/>
      <c r="F153" s="12" t="n"/>
      <c r="G153" s="9" t="n"/>
      <c r="H153" s="13" t="n"/>
      <c r="I153" s="13" t="n"/>
      <c r="J153" s="13" t="n"/>
      <c r="K153" s="13" t="n"/>
      <c r="L153" s="13" t="n"/>
      <c r="M153" s="13" t="n"/>
      <c r="N153" s="14">
        <f>IF(A153="","",COUNT(H153:M153)/6)</f>
        <v/>
      </c>
      <c r="O153" s="15">
        <f>IF(COUNT(H153:M153)=0,"",IF(LEN(IF(COUNT(I153,J153)=2,IF(J153&gt;I153+1,"EBE &gt; VA ",""),"")&amp;IF(COUNT(H153,M153)=2,IF(ABS(M153)&gt;ABS(H153),"RN &gt; CA ",""),"")&amp;IF(COUNT(H153,K153)=2,IF(ABS(K153)&gt;ABS(H153),"RE &gt; CA ",""),""))=0,"OK",IF(COUNT(I153,J153)=2,IF(J153&gt;I153+1,"EBE &gt; VA ",""),"")&amp;IF(COUNT(H153,M153)=2,IF(ABS(M153)&gt;ABS(H153),"RN &gt; CA ",""),"")&amp;IF(COUNT(H153,K153)=2,IF(ABS(K153)&gt;ABS(H153),"RE &gt; CA ",""),"")))</f>
        <v/>
      </c>
      <c r="P153" s="16">
        <f>IF(OR($A153="",H153="",$C153=""),"",IF(COUNTIFS($A$5:$A$639,$A153,$C$5:$C$639,$C153-1,$D$5:$D$639,$D153,H$5:H$639,"&lt;&gt;")=0,"",IF(OR(SUMIFS(H$5:H$639,$A$5:$A$639,$A153,$C$5:$C$639,$C153-1,$D$5:$D$639,$D153)=0,H153*SUMIFS(H$5:H$639,$A$5:$A$639,$A153,$C$5:$C$639,$C153-1,$D$5:$D$639,$D153)&lt;0),"n.s.",ABS(H153)/ABS(SUMIFS(H$5:H$639,$A$5:$A$639,$A153,$C$5:$C$639,$C153-1,$D$5:$D$639,$D153))-1)))</f>
        <v/>
      </c>
      <c r="Q153" s="16">
        <f>IF(OR($A153="",I153="",$C153=""),"",IF(COUNTIFS($A$5:$A$639,$A153,$C$5:$C$639,$C153-1,$D$5:$D$639,$D153,I$5:I$639,"&lt;&gt;")=0,"",IF(OR(SUMIFS(I$5:I$639,$A$5:$A$639,$A153,$C$5:$C$639,$C153-1,$D$5:$D$639,$D153)=0,I153*SUMIFS(I$5:I$639,$A$5:$A$639,$A153,$C$5:$C$639,$C153-1,$D$5:$D$639,$D153)&lt;0),"n.s.",ABS(I153)/ABS(SUMIFS(I$5:I$639,$A$5:$A$639,$A153,$C$5:$C$639,$C153-1,$D$5:$D$639,$D153))-1)))</f>
        <v/>
      </c>
      <c r="R153" s="16">
        <f>IF(OR($A153="",J153="",$C153=""),"",IF(COUNTIFS($A$5:$A$639,$A153,$C$5:$C$639,$C153-1,$D$5:$D$639,$D153,J$5:J$639,"&lt;&gt;")=0,"",IF(OR(SUMIFS(J$5:J$639,$A$5:$A$639,$A153,$C$5:$C$639,$C153-1,$D$5:$D$639,$D153)=0,J153*SUMIFS(J$5:J$639,$A$5:$A$639,$A153,$C$5:$C$639,$C153-1,$D$5:$D$639,$D153)&lt;0),"n.s.",ABS(J153)/ABS(SUMIFS(J$5:J$639,$A$5:$A$639,$A153,$C$5:$C$639,$C153-1,$D$5:$D$639,$D153))-1)))</f>
        <v/>
      </c>
      <c r="S153" s="16">
        <f>IF(OR($A153="",K153="",$C153=""),"",IF(COUNTIFS($A$5:$A$639,$A153,$C$5:$C$639,$C153-1,$D$5:$D$639,$D153,K$5:K$639,"&lt;&gt;")=0,"",IF(OR(SUMIFS(K$5:K$639,$A$5:$A$639,$A153,$C$5:$C$639,$C153-1,$D$5:$D$639,$D153)=0,K153*SUMIFS(K$5:K$639,$A$5:$A$639,$A153,$C$5:$C$639,$C153-1,$D$5:$D$639,$D153)&lt;0),"n.s.",ABS(K153)/ABS(SUMIFS(K$5:K$639,$A$5:$A$639,$A153,$C$5:$C$639,$C153-1,$D$5:$D$639,$D153))-1)))</f>
        <v/>
      </c>
      <c r="T153" s="16">
        <f>IF(OR($A153="",L153="",$C153=""),"",IF(COUNTIFS($A$5:$A$639,$A153,$C$5:$C$639,$C153-1,$D$5:$D$639,$D153,L$5:L$639,"&lt;&gt;")=0,"",IF(OR(SUMIFS(L$5:L$639,$A$5:$A$639,$A153,$C$5:$C$639,$C153-1,$D$5:$D$639,$D153)=0,L153*SUMIFS(L$5:L$639,$A$5:$A$639,$A153,$C$5:$C$639,$C153-1,$D$5:$D$639,$D153)&lt;0),"n.s.",ABS(L153)/ABS(SUMIFS(L$5:L$639,$A$5:$A$639,$A153,$C$5:$C$639,$C153-1,$D$5:$D$639,$D153))-1)))</f>
        <v/>
      </c>
      <c r="U153" s="16">
        <f>IF(OR($A153="",M153="",$C153=""),"",IF(COUNTIFS($A$5:$A$639,$A153,$C$5:$C$639,$C153-1,$D$5:$D$639,$D153,M$5:M$639,"&lt;&gt;")=0,"",IF(OR(SUMIFS(M$5:M$639,$A$5:$A$639,$A153,$C$5:$C$639,$C153-1,$D$5:$D$639,$D153)=0,M153*SUMIFS(M$5:M$639,$A$5:$A$639,$A153,$C$5:$C$639,$C153-1,$D$5:$D$639,$D153)&lt;0),"n.s.",ABS(M153)/ABS(SUMIFS(M$5:M$639,$A$5:$A$639,$A153,$C$5:$C$639,$C153-1,$D$5:$D$639,$D153))-1)))</f>
        <v/>
      </c>
    </row>
    <row r="154">
      <c r="A154" s="9" t="inlineStr">
        <is>
          <t>UNLC</t>
        </is>
      </c>
      <c r="B154" s="10">
        <f>IF(A154="","",IFERROR(VLOOKUP(A154,Titres!$A$2:$B$400,2,FALSE),"Ticker inconnu"))</f>
        <v/>
      </c>
      <c r="C154" s="11" t="n">
        <v>2022</v>
      </c>
      <c r="D154" s="11" t="inlineStr">
        <is>
          <t>T3</t>
        </is>
      </c>
      <c r="E154" s="9" t="n"/>
      <c r="F154" s="12" t="n"/>
      <c r="G154" s="9" t="n"/>
      <c r="H154" s="13" t="n"/>
      <c r="I154" s="13" t="n"/>
      <c r="J154" s="13" t="n"/>
      <c r="K154" s="13" t="n"/>
      <c r="L154" s="13" t="n"/>
      <c r="M154" s="13" t="n"/>
      <c r="N154" s="14">
        <f>IF(A154="","",COUNT(H154:M154)/6)</f>
        <v/>
      </c>
      <c r="O154" s="15">
        <f>IF(COUNT(H154:M154)=0,"",IF(LEN(IF(COUNT(I154,J154)=2,IF(J154&gt;I154+1,"EBE &gt; VA ",""),"")&amp;IF(COUNT(H154,M154)=2,IF(ABS(M154)&gt;ABS(H154),"RN &gt; CA ",""),"")&amp;IF(COUNT(H154,K154)=2,IF(ABS(K154)&gt;ABS(H154),"RE &gt; CA ",""),""))=0,"OK",IF(COUNT(I154,J154)=2,IF(J154&gt;I154+1,"EBE &gt; VA ",""),"")&amp;IF(COUNT(H154,M154)=2,IF(ABS(M154)&gt;ABS(H154),"RN &gt; CA ",""),"")&amp;IF(COUNT(H154,K154)=2,IF(ABS(K154)&gt;ABS(H154),"RE &gt; CA ",""),"")))</f>
        <v/>
      </c>
      <c r="P154" s="16">
        <f>IF(OR($A154="",H154="",$C154=""),"",IF(COUNTIFS($A$5:$A$639,$A154,$C$5:$C$639,$C154-1,$D$5:$D$639,$D154,H$5:H$639,"&lt;&gt;")=0,"",IF(OR(SUMIFS(H$5:H$639,$A$5:$A$639,$A154,$C$5:$C$639,$C154-1,$D$5:$D$639,$D154)=0,H154*SUMIFS(H$5:H$639,$A$5:$A$639,$A154,$C$5:$C$639,$C154-1,$D$5:$D$639,$D154)&lt;0),"n.s.",ABS(H154)/ABS(SUMIFS(H$5:H$639,$A$5:$A$639,$A154,$C$5:$C$639,$C154-1,$D$5:$D$639,$D154))-1)))</f>
        <v/>
      </c>
      <c r="Q154" s="16">
        <f>IF(OR($A154="",I154="",$C154=""),"",IF(COUNTIFS($A$5:$A$639,$A154,$C$5:$C$639,$C154-1,$D$5:$D$639,$D154,I$5:I$639,"&lt;&gt;")=0,"",IF(OR(SUMIFS(I$5:I$639,$A$5:$A$639,$A154,$C$5:$C$639,$C154-1,$D$5:$D$639,$D154)=0,I154*SUMIFS(I$5:I$639,$A$5:$A$639,$A154,$C$5:$C$639,$C154-1,$D$5:$D$639,$D154)&lt;0),"n.s.",ABS(I154)/ABS(SUMIFS(I$5:I$639,$A$5:$A$639,$A154,$C$5:$C$639,$C154-1,$D$5:$D$639,$D154))-1)))</f>
        <v/>
      </c>
      <c r="R154" s="16">
        <f>IF(OR($A154="",J154="",$C154=""),"",IF(COUNTIFS($A$5:$A$639,$A154,$C$5:$C$639,$C154-1,$D$5:$D$639,$D154,J$5:J$639,"&lt;&gt;")=0,"",IF(OR(SUMIFS(J$5:J$639,$A$5:$A$639,$A154,$C$5:$C$639,$C154-1,$D$5:$D$639,$D154)=0,J154*SUMIFS(J$5:J$639,$A$5:$A$639,$A154,$C$5:$C$639,$C154-1,$D$5:$D$639,$D154)&lt;0),"n.s.",ABS(J154)/ABS(SUMIFS(J$5:J$639,$A$5:$A$639,$A154,$C$5:$C$639,$C154-1,$D$5:$D$639,$D154))-1)))</f>
        <v/>
      </c>
      <c r="S154" s="16">
        <f>IF(OR($A154="",K154="",$C154=""),"",IF(COUNTIFS($A$5:$A$639,$A154,$C$5:$C$639,$C154-1,$D$5:$D$639,$D154,K$5:K$639,"&lt;&gt;")=0,"",IF(OR(SUMIFS(K$5:K$639,$A$5:$A$639,$A154,$C$5:$C$639,$C154-1,$D$5:$D$639,$D154)=0,K154*SUMIFS(K$5:K$639,$A$5:$A$639,$A154,$C$5:$C$639,$C154-1,$D$5:$D$639,$D154)&lt;0),"n.s.",ABS(K154)/ABS(SUMIFS(K$5:K$639,$A$5:$A$639,$A154,$C$5:$C$639,$C154-1,$D$5:$D$639,$D154))-1)))</f>
        <v/>
      </c>
      <c r="T154" s="16">
        <f>IF(OR($A154="",L154="",$C154=""),"",IF(COUNTIFS($A$5:$A$639,$A154,$C$5:$C$639,$C154-1,$D$5:$D$639,$D154,L$5:L$639,"&lt;&gt;")=0,"",IF(OR(SUMIFS(L$5:L$639,$A$5:$A$639,$A154,$C$5:$C$639,$C154-1,$D$5:$D$639,$D154)=0,L154*SUMIFS(L$5:L$639,$A$5:$A$639,$A154,$C$5:$C$639,$C154-1,$D$5:$D$639,$D154)&lt;0),"n.s.",ABS(L154)/ABS(SUMIFS(L$5:L$639,$A$5:$A$639,$A154,$C$5:$C$639,$C154-1,$D$5:$D$639,$D154))-1)))</f>
        <v/>
      </c>
      <c r="U154" s="16">
        <f>IF(OR($A154="",M154="",$C154=""),"",IF(COUNTIFS($A$5:$A$639,$A154,$C$5:$C$639,$C154-1,$D$5:$D$639,$D154,M$5:M$639,"&lt;&gt;")=0,"",IF(OR(SUMIFS(M$5:M$639,$A$5:$A$639,$A154,$C$5:$C$639,$C154-1,$D$5:$D$639,$D154)=0,M154*SUMIFS(M$5:M$639,$A$5:$A$639,$A154,$C$5:$C$639,$C154-1,$D$5:$D$639,$D154)&lt;0),"n.s.",ABS(M154)/ABS(SUMIFS(M$5:M$639,$A$5:$A$639,$A154,$C$5:$C$639,$C154-1,$D$5:$D$639,$D154))-1)))</f>
        <v/>
      </c>
    </row>
    <row r="155">
      <c r="A155" s="9" t="inlineStr">
        <is>
          <t>UNLC</t>
        </is>
      </c>
      <c r="B155" s="10">
        <f>IF(A155="","",IFERROR(VLOOKUP(A155,Titres!$A$2:$B$400,2,FALSE),"Ticker inconnu"))</f>
        <v/>
      </c>
      <c r="C155" s="11" t="n">
        <v>2023</v>
      </c>
      <c r="D155" s="11" t="inlineStr">
        <is>
          <t>T1</t>
        </is>
      </c>
      <c r="E155" s="9" t="n"/>
      <c r="F155" s="12" t="n"/>
      <c r="G155" s="9" t="n"/>
      <c r="H155" s="13" t="n"/>
      <c r="I155" s="13" t="n"/>
      <c r="J155" s="13" t="n"/>
      <c r="K155" s="13" t="n"/>
      <c r="L155" s="13" t="n"/>
      <c r="M155" s="13" t="n"/>
      <c r="N155" s="14">
        <f>IF(A155="","",COUNT(H155:M155)/6)</f>
        <v/>
      </c>
      <c r="O155" s="15">
        <f>IF(COUNT(H155:M155)=0,"",IF(LEN(IF(COUNT(I155,J155)=2,IF(J155&gt;I155+1,"EBE &gt; VA ",""),"")&amp;IF(COUNT(H155,M155)=2,IF(ABS(M155)&gt;ABS(H155),"RN &gt; CA ",""),"")&amp;IF(COUNT(H155,K155)=2,IF(ABS(K155)&gt;ABS(H155),"RE &gt; CA ",""),""))=0,"OK",IF(COUNT(I155,J155)=2,IF(J155&gt;I155+1,"EBE &gt; VA ",""),"")&amp;IF(COUNT(H155,M155)=2,IF(ABS(M155)&gt;ABS(H155),"RN &gt; CA ",""),"")&amp;IF(COUNT(H155,K155)=2,IF(ABS(K155)&gt;ABS(H155),"RE &gt; CA ",""),"")))</f>
        <v/>
      </c>
      <c r="P155" s="16">
        <f>IF(OR($A155="",H155="",$C155=""),"",IF(COUNTIFS($A$5:$A$639,$A155,$C$5:$C$639,$C155-1,$D$5:$D$639,$D155,H$5:H$639,"&lt;&gt;")=0,"",IF(OR(SUMIFS(H$5:H$639,$A$5:$A$639,$A155,$C$5:$C$639,$C155-1,$D$5:$D$639,$D155)=0,H155*SUMIFS(H$5:H$639,$A$5:$A$639,$A155,$C$5:$C$639,$C155-1,$D$5:$D$639,$D155)&lt;0),"n.s.",ABS(H155)/ABS(SUMIFS(H$5:H$639,$A$5:$A$639,$A155,$C$5:$C$639,$C155-1,$D$5:$D$639,$D155))-1)))</f>
        <v/>
      </c>
      <c r="Q155" s="16">
        <f>IF(OR($A155="",I155="",$C155=""),"",IF(COUNTIFS($A$5:$A$639,$A155,$C$5:$C$639,$C155-1,$D$5:$D$639,$D155,I$5:I$639,"&lt;&gt;")=0,"",IF(OR(SUMIFS(I$5:I$639,$A$5:$A$639,$A155,$C$5:$C$639,$C155-1,$D$5:$D$639,$D155)=0,I155*SUMIFS(I$5:I$639,$A$5:$A$639,$A155,$C$5:$C$639,$C155-1,$D$5:$D$639,$D155)&lt;0),"n.s.",ABS(I155)/ABS(SUMIFS(I$5:I$639,$A$5:$A$639,$A155,$C$5:$C$639,$C155-1,$D$5:$D$639,$D155))-1)))</f>
        <v/>
      </c>
      <c r="R155" s="16">
        <f>IF(OR($A155="",J155="",$C155=""),"",IF(COUNTIFS($A$5:$A$639,$A155,$C$5:$C$639,$C155-1,$D$5:$D$639,$D155,J$5:J$639,"&lt;&gt;")=0,"",IF(OR(SUMIFS(J$5:J$639,$A$5:$A$639,$A155,$C$5:$C$639,$C155-1,$D$5:$D$639,$D155)=0,J155*SUMIFS(J$5:J$639,$A$5:$A$639,$A155,$C$5:$C$639,$C155-1,$D$5:$D$639,$D155)&lt;0),"n.s.",ABS(J155)/ABS(SUMIFS(J$5:J$639,$A$5:$A$639,$A155,$C$5:$C$639,$C155-1,$D$5:$D$639,$D155))-1)))</f>
        <v/>
      </c>
      <c r="S155" s="16">
        <f>IF(OR($A155="",K155="",$C155=""),"",IF(COUNTIFS($A$5:$A$639,$A155,$C$5:$C$639,$C155-1,$D$5:$D$639,$D155,K$5:K$639,"&lt;&gt;")=0,"",IF(OR(SUMIFS(K$5:K$639,$A$5:$A$639,$A155,$C$5:$C$639,$C155-1,$D$5:$D$639,$D155)=0,K155*SUMIFS(K$5:K$639,$A$5:$A$639,$A155,$C$5:$C$639,$C155-1,$D$5:$D$639,$D155)&lt;0),"n.s.",ABS(K155)/ABS(SUMIFS(K$5:K$639,$A$5:$A$639,$A155,$C$5:$C$639,$C155-1,$D$5:$D$639,$D155))-1)))</f>
        <v/>
      </c>
      <c r="T155" s="16">
        <f>IF(OR($A155="",L155="",$C155=""),"",IF(COUNTIFS($A$5:$A$639,$A155,$C$5:$C$639,$C155-1,$D$5:$D$639,$D155,L$5:L$639,"&lt;&gt;")=0,"",IF(OR(SUMIFS(L$5:L$639,$A$5:$A$639,$A155,$C$5:$C$639,$C155-1,$D$5:$D$639,$D155)=0,L155*SUMIFS(L$5:L$639,$A$5:$A$639,$A155,$C$5:$C$639,$C155-1,$D$5:$D$639,$D155)&lt;0),"n.s.",ABS(L155)/ABS(SUMIFS(L$5:L$639,$A$5:$A$639,$A155,$C$5:$C$639,$C155-1,$D$5:$D$639,$D155))-1)))</f>
        <v/>
      </c>
      <c r="U155" s="16">
        <f>IF(OR($A155="",M155="",$C155=""),"",IF(COUNTIFS($A$5:$A$639,$A155,$C$5:$C$639,$C155-1,$D$5:$D$639,$D155,M$5:M$639,"&lt;&gt;")=0,"",IF(OR(SUMIFS(M$5:M$639,$A$5:$A$639,$A155,$C$5:$C$639,$C155-1,$D$5:$D$639,$D155)=0,M155*SUMIFS(M$5:M$639,$A$5:$A$639,$A155,$C$5:$C$639,$C155-1,$D$5:$D$639,$D155)&lt;0),"n.s.",ABS(M155)/ABS(SUMIFS(M$5:M$639,$A$5:$A$639,$A155,$C$5:$C$639,$C155-1,$D$5:$D$639,$D155))-1)))</f>
        <v/>
      </c>
    </row>
    <row r="156">
      <c r="A156" s="9" t="inlineStr">
        <is>
          <t>UNLC</t>
        </is>
      </c>
      <c r="B156" s="10">
        <f>IF(A156="","",IFERROR(VLOOKUP(A156,Titres!$A$2:$B$400,2,FALSE),"Ticker inconnu"))</f>
        <v/>
      </c>
      <c r="C156" s="11" t="n">
        <v>2023</v>
      </c>
      <c r="D156" s="11" t="inlineStr">
        <is>
          <t>S1</t>
        </is>
      </c>
      <c r="E156" s="9" t="n"/>
      <c r="F156" s="12" t="n"/>
      <c r="G156" s="9" t="n"/>
      <c r="H156" s="13" t="n"/>
      <c r="I156" s="13" t="n"/>
      <c r="J156" s="13" t="n"/>
      <c r="K156" s="13" t="n"/>
      <c r="L156" s="13" t="n"/>
      <c r="M156" s="13" t="n"/>
      <c r="N156" s="14">
        <f>IF(A156="","",COUNT(H156:M156)/6)</f>
        <v/>
      </c>
      <c r="O156" s="15">
        <f>IF(COUNT(H156:M156)=0,"",IF(LEN(IF(COUNT(I156,J156)=2,IF(J156&gt;I156+1,"EBE &gt; VA ",""),"")&amp;IF(COUNT(H156,M156)=2,IF(ABS(M156)&gt;ABS(H156),"RN &gt; CA ",""),"")&amp;IF(COUNT(H156,K156)=2,IF(ABS(K156)&gt;ABS(H156),"RE &gt; CA ",""),""))=0,"OK",IF(COUNT(I156,J156)=2,IF(J156&gt;I156+1,"EBE &gt; VA ",""),"")&amp;IF(COUNT(H156,M156)=2,IF(ABS(M156)&gt;ABS(H156),"RN &gt; CA ",""),"")&amp;IF(COUNT(H156,K156)=2,IF(ABS(K156)&gt;ABS(H156),"RE &gt; CA ",""),"")))</f>
        <v/>
      </c>
      <c r="P156" s="16">
        <f>IF(OR($A156="",H156="",$C156=""),"",IF(COUNTIFS($A$5:$A$639,$A156,$C$5:$C$639,$C156-1,$D$5:$D$639,$D156,H$5:H$639,"&lt;&gt;")=0,"",IF(OR(SUMIFS(H$5:H$639,$A$5:$A$639,$A156,$C$5:$C$639,$C156-1,$D$5:$D$639,$D156)=0,H156*SUMIFS(H$5:H$639,$A$5:$A$639,$A156,$C$5:$C$639,$C156-1,$D$5:$D$639,$D156)&lt;0),"n.s.",ABS(H156)/ABS(SUMIFS(H$5:H$639,$A$5:$A$639,$A156,$C$5:$C$639,$C156-1,$D$5:$D$639,$D156))-1)))</f>
        <v/>
      </c>
      <c r="Q156" s="16">
        <f>IF(OR($A156="",I156="",$C156=""),"",IF(COUNTIFS($A$5:$A$639,$A156,$C$5:$C$639,$C156-1,$D$5:$D$639,$D156,I$5:I$639,"&lt;&gt;")=0,"",IF(OR(SUMIFS(I$5:I$639,$A$5:$A$639,$A156,$C$5:$C$639,$C156-1,$D$5:$D$639,$D156)=0,I156*SUMIFS(I$5:I$639,$A$5:$A$639,$A156,$C$5:$C$639,$C156-1,$D$5:$D$639,$D156)&lt;0),"n.s.",ABS(I156)/ABS(SUMIFS(I$5:I$639,$A$5:$A$639,$A156,$C$5:$C$639,$C156-1,$D$5:$D$639,$D156))-1)))</f>
        <v/>
      </c>
      <c r="R156" s="16">
        <f>IF(OR($A156="",J156="",$C156=""),"",IF(COUNTIFS($A$5:$A$639,$A156,$C$5:$C$639,$C156-1,$D$5:$D$639,$D156,J$5:J$639,"&lt;&gt;")=0,"",IF(OR(SUMIFS(J$5:J$639,$A$5:$A$639,$A156,$C$5:$C$639,$C156-1,$D$5:$D$639,$D156)=0,J156*SUMIFS(J$5:J$639,$A$5:$A$639,$A156,$C$5:$C$639,$C156-1,$D$5:$D$639,$D156)&lt;0),"n.s.",ABS(J156)/ABS(SUMIFS(J$5:J$639,$A$5:$A$639,$A156,$C$5:$C$639,$C156-1,$D$5:$D$639,$D156))-1)))</f>
        <v/>
      </c>
      <c r="S156" s="16">
        <f>IF(OR($A156="",K156="",$C156=""),"",IF(COUNTIFS($A$5:$A$639,$A156,$C$5:$C$639,$C156-1,$D$5:$D$639,$D156,K$5:K$639,"&lt;&gt;")=0,"",IF(OR(SUMIFS(K$5:K$639,$A$5:$A$639,$A156,$C$5:$C$639,$C156-1,$D$5:$D$639,$D156)=0,K156*SUMIFS(K$5:K$639,$A$5:$A$639,$A156,$C$5:$C$639,$C156-1,$D$5:$D$639,$D156)&lt;0),"n.s.",ABS(K156)/ABS(SUMIFS(K$5:K$639,$A$5:$A$639,$A156,$C$5:$C$639,$C156-1,$D$5:$D$639,$D156))-1)))</f>
        <v/>
      </c>
      <c r="T156" s="16">
        <f>IF(OR($A156="",L156="",$C156=""),"",IF(COUNTIFS($A$5:$A$639,$A156,$C$5:$C$639,$C156-1,$D$5:$D$639,$D156,L$5:L$639,"&lt;&gt;")=0,"",IF(OR(SUMIFS(L$5:L$639,$A$5:$A$639,$A156,$C$5:$C$639,$C156-1,$D$5:$D$639,$D156)=0,L156*SUMIFS(L$5:L$639,$A$5:$A$639,$A156,$C$5:$C$639,$C156-1,$D$5:$D$639,$D156)&lt;0),"n.s.",ABS(L156)/ABS(SUMIFS(L$5:L$639,$A$5:$A$639,$A156,$C$5:$C$639,$C156-1,$D$5:$D$639,$D156))-1)))</f>
        <v/>
      </c>
      <c r="U156" s="16">
        <f>IF(OR($A156="",M156="",$C156=""),"",IF(COUNTIFS($A$5:$A$639,$A156,$C$5:$C$639,$C156-1,$D$5:$D$639,$D156,M$5:M$639,"&lt;&gt;")=0,"",IF(OR(SUMIFS(M$5:M$639,$A$5:$A$639,$A156,$C$5:$C$639,$C156-1,$D$5:$D$639,$D156)=0,M156*SUMIFS(M$5:M$639,$A$5:$A$639,$A156,$C$5:$C$639,$C156-1,$D$5:$D$639,$D156)&lt;0),"n.s.",ABS(M156)/ABS(SUMIFS(M$5:M$639,$A$5:$A$639,$A156,$C$5:$C$639,$C156-1,$D$5:$D$639,$D156))-1)))</f>
        <v/>
      </c>
    </row>
    <row r="157">
      <c r="A157" s="9" t="inlineStr">
        <is>
          <t>UNLC</t>
        </is>
      </c>
      <c r="B157" s="10">
        <f>IF(A157="","",IFERROR(VLOOKUP(A157,Titres!$A$2:$B$400,2,FALSE),"Ticker inconnu"))</f>
        <v/>
      </c>
      <c r="C157" s="11" t="n">
        <v>2023</v>
      </c>
      <c r="D157" s="11" t="inlineStr">
        <is>
          <t>T3</t>
        </is>
      </c>
      <c r="E157" s="9" t="n"/>
      <c r="F157" s="12" t="n"/>
      <c r="G157" s="9" t="n"/>
      <c r="H157" s="13" t="n"/>
      <c r="I157" s="13" t="n"/>
      <c r="J157" s="13" t="n"/>
      <c r="K157" s="13" t="n"/>
      <c r="L157" s="13" t="n"/>
      <c r="M157" s="13" t="n"/>
      <c r="N157" s="14">
        <f>IF(A157="","",COUNT(H157:M157)/6)</f>
        <v/>
      </c>
      <c r="O157" s="15">
        <f>IF(COUNT(H157:M157)=0,"",IF(LEN(IF(COUNT(I157,J157)=2,IF(J157&gt;I157+1,"EBE &gt; VA ",""),"")&amp;IF(COUNT(H157,M157)=2,IF(ABS(M157)&gt;ABS(H157),"RN &gt; CA ",""),"")&amp;IF(COUNT(H157,K157)=2,IF(ABS(K157)&gt;ABS(H157),"RE &gt; CA ",""),""))=0,"OK",IF(COUNT(I157,J157)=2,IF(J157&gt;I157+1,"EBE &gt; VA ",""),"")&amp;IF(COUNT(H157,M157)=2,IF(ABS(M157)&gt;ABS(H157),"RN &gt; CA ",""),"")&amp;IF(COUNT(H157,K157)=2,IF(ABS(K157)&gt;ABS(H157),"RE &gt; CA ",""),"")))</f>
        <v/>
      </c>
      <c r="P157" s="16">
        <f>IF(OR($A157="",H157="",$C157=""),"",IF(COUNTIFS($A$5:$A$639,$A157,$C$5:$C$639,$C157-1,$D$5:$D$639,$D157,H$5:H$639,"&lt;&gt;")=0,"",IF(OR(SUMIFS(H$5:H$639,$A$5:$A$639,$A157,$C$5:$C$639,$C157-1,$D$5:$D$639,$D157)=0,H157*SUMIFS(H$5:H$639,$A$5:$A$639,$A157,$C$5:$C$639,$C157-1,$D$5:$D$639,$D157)&lt;0),"n.s.",ABS(H157)/ABS(SUMIFS(H$5:H$639,$A$5:$A$639,$A157,$C$5:$C$639,$C157-1,$D$5:$D$639,$D157))-1)))</f>
        <v/>
      </c>
      <c r="Q157" s="16">
        <f>IF(OR($A157="",I157="",$C157=""),"",IF(COUNTIFS($A$5:$A$639,$A157,$C$5:$C$639,$C157-1,$D$5:$D$639,$D157,I$5:I$639,"&lt;&gt;")=0,"",IF(OR(SUMIFS(I$5:I$639,$A$5:$A$639,$A157,$C$5:$C$639,$C157-1,$D$5:$D$639,$D157)=0,I157*SUMIFS(I$5:I$639,$A$5:$A$639,$A157,$C$5:$C$639,$C157-1,$D$5:$D$639,$D157)&lt;0),"n.s.",ABS(I157)/ABS(SUMIFS(I$5:I$639,$A$5:$A$639,$A157,$C$5:$C$639,$C157-1,$D$5:$D$639,$D157))-1)))</f>
        <v/>
      </c>
      <c r="R157" s="16">
        <f>IF(OR($A157="",J157="",$C157=""),"",IF(COUNTIFS($A$5:$A$639,$A157,$C$5:$C$639,$C157-1,$D$5:$D$639,$D157,J$5:J$639,"&lt;&gt;")=0,"",IF(OR(SUMIFS(J$5:J$639,$A$5:$A$639,$A157,$C$5:$C$639,$C157-1,$D$5:$D$639,$D157)=0,J157*SUMIFS(J$5:J$639,$A$5:$A$639,$A157,$C$5:$C$639,$C157-1,$D$5:$D$639,$D157)&lt;0),"n.s.",ABS(J157)/ABS(SUMIFS(J$5:J$639,$A$5:$A$639,$A157,$C$5:$C$639,$C157-1,$D$5:$D$639,$D157))-1)))</f>
        <v/>
      </c>
      <c r="S157" s="16">
        <f>IF(OR($A157="",K157="",$C157=""),"",IF(COUNTIFS($A$5:$A$639,$A157,$C$5:$C$639,$C157-1,$D$5:$D$639,$D157,K$5:K$639,"&lt;&gt;")=0,"",IF(OR(SUMIFS(K$5:K$639,$A$5:$A$639,$A157,$C$5:$C$639,$C157-1,$D$5:$D$639,$D157)=0,K157*SUMIFS(K$5:K$639,$A$5:$A$639,$A157,$C$5:$C$639,$C157-1,$D$5:$D$639,$D157)&lt;0),"n.s.",ABS(K157)/ABS(SUMIFS(K$5:K$639,$A$5:$A$639,$A157,$C$5:$C$639,$C157-1,$D$5:$D$639,$D157))-1)))</f>
        <v/>
      </c>
      <c r="T157" s="16">
        <f>IF(OR($A157="",L157="",$C157=""),"",IF(COUNTIFS($A$5:$A$639,$A157,$C$5:$C$639,$C157-1,$D$5:$D$639,$D157,L$5:L$639,"&lt;&gt;")=0,"",IF(OR(SUMIFS(L$5:L$639,$A$5:$A$639,$A157,$C$5:$C$639,$C157-1,$D$5:$D$639,$D157)=0,L157*SUMIFS(L$5:L$639,$A$5:$A$639,$A157,$C$5:$C$639,$C157-1,$D$5:$D$639,$D157)&lt;0),"n.s.",ABS(L157)/ABS(SUMIFS(L$5:L$639,$A$5:$A$639,$A157,$C$5:$C$639,$C157-1,$D$5:$D$639,$D157))-1)))</f>
        <v/>
      </c>
      <c r="U157" s="16">
        <f>IF(OR($A157="",M157="",$C157=""),"",IF(COUNTIFS($A$5:$A$639,$A157,$C$5:$C$639,$C157-1,$D$5:$D$639,$D157,M$5:M$639,"&lt;&gt;")=0,"",IF(OR(SUMIFS(M$5:M$639,$A$5:$A$639,$A157,$C$5:$C$639,$C157-1,$D$5:$D$639,$D157)=0,M157*SUMIFS(M$5:M$639,$A$5:$A$639,$A157,$C$5:$C$639,$C157-1,$D$5:$D$639,$D157)&lt;0),"n.s.",ABS(M157)/ABS(SUMIFS(M$5:M$639,$A$5:$A$639,$A157,$C$5:$C$639,$C157-1,$D$5:$D$639,$D157))-1)))</f>
        <v/>
      </c>
    </row>
    <row r="158">
      <c r="A158" s="9" t="inlineStr">
        <is>
          <t>UNLC</t>
        </is>
      </c>
      <c r="B158" s="10">
        <f>IF(A158="","",IFERROR(VLOOKUP(A158,Titres!$A$2:$B$400,2,FALSE),"Ticker inconnu"))</f>
        <v/>
      </c>
      <c r="C158" s="11" t="n">
        <v>2024</v>
      </c>
      <c r="D158" s="11" t="inlineStr">
        <is>
          <t>T1</t>
        </is>
      </c>
      <c r="E158" s="9" t="n"/>
      <c r="F158" s="12" t="n"/>
      <c r="G158" s="9" t="n"/>
      <c r="H158" s="13" t="n"/>
      <c r="I158" s="13" t="n"/>
      <c r="J158" s="13" t="n"/>
      <c r="K158" s="13" t="n"/>
      <c r="L158" s="13" t="n"/>
      <c r="M158" s="13" t="n"/>
      <c r="N158" s="14">
        <f>IF(A158="","",COUNT(H158:M158)/6)</f>
        <v/>
      </c>
      <c r="O158" s="15">
        <f>IF(COUNT(H158:M158)=0,"",IF(LEN(IF(COUNT(I158,J158)=2,IF(J158&gt;I158+1,"EBE &gt; VA ",""),"")&amp;IF(COUNT(H158,M158)=2,IF(ABS(M158)&gt;ABS(H158),"RN &gt; CA ",""),"")&amp;IF(COUNT(H158,K158)=2,IF(ABS(K158)&gt;ABS(H158),"RE &gt; CA ",""),""))=0,"OK",IF(COUNT(I158,J158)=2,IF(J158&gt;I158+1,"EBE &gt; VA ",""),"")&amp;IF(COUNT(H158,M158)=2,IF(ABS(M158)&gt;ABS(H158),"RN &gt; CA ",""),"")&amp;IF(COUNT(H158,K158)=2,IF(ABS(K158)&gt;ABS(H158),"RE &gt; CA ",""),"")))</f>
        <v/>
      </c>
      <c r="P158" s="16">
        <f>IF(OR($A158="",H158="",$C158=""),"",IF(COUNTIFS($A$5:$A$639,$A158,$C$5:$C$639,$C158-1,$D$5:$D$639,$D158,H$5:H$639,"&lt;&gt;")=0,"",IF(OR(SUMIFS(H$5:H$639,$A$5:$A$639,$A158,$C$5:$C$639,$C158-1,$D$5:$D$639,$D158)=0,H158*SUMIFS(H$5:H$639,$A$5:$A$639,$A158,$C$5:$C$639,$C158-1,$D$5:$D$639,$D158)&lt;0),"n.s.",ABS(H158)/ABS(SUMIFS(H$5:H$639,$A$5:$A$639,$A158,$C$5:$C$639,$C158-1,$D$5:$D$639,$D158))-1)))</f>
        <v/>
      </c>
      <c r="Q158" s="16">
        <f>IF(OR($A158="",I158="",$C158=""),"",IF(COUNTIFS($A$5:$A$639,$A158,$C$5:$C$639,$C158-1,$D$5:$D$639,$D158,I$5:I$639,"&lt;&gt;")=0,"",IF(OR(SUMIFS(I$5:I$639,$A$5:$A$639,$A158,$C$5:$C$639,$C158-1,$D$5:$D$639,$D158)=0,I158*SUMIFS(I$5:I$639,$A$5:$A$639,$A158,$C$5:$C$639,$C158-1,$D$5:$D$639,$D158)&lt;0),"n.s.",ABS(I158)/ABS(SUMIFS(I$5:I$639,$A$5:$A$639,$A158,$C$5:$C$639,$C158-1,$D$5:$D$639,$D158))-1)))</f>
        <v/>
      </c>
      <c r="R158" s="16">
        <f>IF(OR($A158="",J158="",$C158=""),"",IF(COUNTIFS($A$5:$A$639,$A158,$C$5:$C$639,$C158-1,$D$5:$D$639,$D158,J$5:J$639,"&lt;&gt;")=0,"",IF(OR(SUMIFS(J$5:J$639,$A$5:$A$639,$A158,$C$5:$C$639,$C158-1,$D$5:$D$639,$D158)=0,J158*SUMIFS(J$5:J$639,$A$5:$A$639,$A158,$C$5:$C$639,$C158-1,$D$5:$D$639,$D158)&lt;0),"n.s.",ABS(J158)/ABS(SUMIFS(J$5:J$639,$A$5:$A$639,$A158,$C$5:$C$639,$C158-1,$D$5:$D$639,$D158))-1)))</f>
        <v/>
      </c>
      <c r="S158" s="16">
        <f>IF(OR($A158="",K158="",$C158=""),"",IF(COUNTIFS($A$5:$A$639,$A158,$C$5:$C$639,$C158-1,$D$5:$D$639,$D158,K$5:K$639,"&lt;&gt;")=0,"",IF(OR(SUMIFS(K$5:K$639,$A$5:$A$639,$A158,$C$5:$C$639,$C158-1,$D$5:$D$639,$D158)=0,K158*SUMIFS(K$5:K$639,$A$5:$A$639,$A158,$C$5:$C$639,$C158-1,$D$5:$D$639,$D158)&lt;0),"n.s.",ABS(K158)/ABS(SUMIFS(K$5:K$639,$A$5:$A$639,$A158,$C$5:$C$639,$C158-1,$D$5:$D$639,$D158))-1)))</f>
        <v/>
      </c>
      <c r="T158" s="16">
        <f>IF(OR($A158="",L158="",$C158=""),"",IF(COUNTIFS($A$5:$A$639,$A158,$C$5:$C$639,$C158-1,$D$5:$D$639,$D158,L$5:L$639,"&lt;&gt;")=0,"",IF(OR(SUMIFS(L$5:L$639,$A$5:$A$639,$A158,$C$5:$C$639,$C158-1,$D$5:$D$639,$D158)=0,L158*SUMIFS(L$5:L$639,$A$5:$A$639,$A158,$C$5:$C$639,$C158-1,$D$5:$D$639,$D158)&lt;0),"n.s.",ABS(L158)/ABS(SUMIFS(L$5:L$639,$A$5:$A$639,$A158,$C$5:$C$639,$C158-1,$D$5:$D$639,$D158))-1)))</f>
        <v/>
      </c>
      <c r="U158" s="16">
        <f>IF(OR($A158="",M158="",$C158=""),"",IF(COUNTIFS($A$5:$A$639,$A158,$C$5:$C$639,$C158-1,$D$5:$D$639,$D158,M$5:M$639,"&lt;&gt;")=0,"",IF(OR(SUMIFS(M$5:M$639,$A$5:$A$639,$A158,$C$5:$C$639,$C158-1,$D$5:$D$639,$D158)=0,M158*SUMIFS(M$5:M$639,$A$5:$A$639,$A158,$C$5:$C$639,$C158-1,$D$5:$D$639,$D158)&lt;0),"n.s.",ABS(M158)/ABS(SUMIFS(M$5:M$639,$A$5:$A$639,$A158,$C$5:$C$639,$C158-1,$D$5:$D$639,$D158))-1)))</f>
        <v/>
      </c>
    </row>
    <row r="159">
      <c r="A159" s="9" t="inlineStr">
        <is>
          <t>UNLC</t>
        </is>
      </c>
      <c r="B159" s="10">
        <f>IF(A159="","",IFERROR(VLOOKUP(A159,Titres!$A$2:$B$400,2,FALSE),"Ticker inconnu"))</f>
        <v/>
      </c>
      <c r="C159" s="11" t="n">
        <v>2024</v>
      </c>
      <c r="D159" s="11" t="inlineStr">
        <is>
          <t>S1</t>
        </is>
      </c>
      <c r="E159" s="9" t="n"/>
      <c r="F159" s="12" t="n"/>
      <c r="G159" s="9" t="n"/>
      <c r="H159" s="13" t="n"/>
      <c r="I159" s="13" t="n"/>
      <c r="J159" s="13" t="n"/>
      <c r="K159" s="13" t="n"/>
      <c r="L159" s="13" t="n"/>
      <c r="M159" s="13" t="n"/>
      <c r="N159" s="14">
        <f>IF(A159="","",COUNT(H159:M159)/6)</f>
        <v/>
      </c>
      <c r="O159" s="15">
        <f>IF(COUNT(H159:M159)=0,"",IF(LEN(IF(COUNT(I159,J159)=2,IF(J159&gt;I159+1,"EBE &gt; VA ",""),"")&amp;IF(COUNT(H159,M159)=2,IF(ABS(M159)&gt;ABS(H159),"RN &gt; CA ",""),"")&amp;IF(COUNT(H159,K159)=2,IF(ABS(K159)&gt;ABS(H159),"RE &gt; CA ",""),""))=0,"OK",IF(COUNT(I159,J159)=2,IF(J159&gt;I159+1,"EBE &gt; VA ",""),"")&amp;IF(COUNT(H159,M159)=2,IF(ABS(M159)&gt;ABS(H159),"RN &gt; CA ",""),"")&amp;IF(COUNT(H159,K159)=2,IF(ABS(K159)&gt;ABS(H159),"RE &gt; CA ",""),"")))</f>
        <v/>
      </c>
      <c r="P159" s="16">
        <f>IF(OR($A159="",H159="",$C159=""),"",IF(COUNTIFS($A$5:$A$639,$A159,$C$5:$C$639,$C159-1,$D$5:$D$639,$D159,H$5:H$639,"&lt;&gt;")=0,"",IF(OR(SUMIFS(H$5:H$639,$A$5:$A$639,$A159,$C$5:$C$639,$C159-1,$D$5:$D$639,$D159)=0,H159*SUMIFS(H$5:H$639,$A$5:$A$639,$A159,$C$5:$C$639,$C159-1,$D$5:$D$639,$D159)&lt;0),"n.s.",ABS(H159)/ABS(SUMIFS(H$5:H$639,$A$5:$A$639,$A159,$C$5:$C$639,$C159-1,$D$5:$D$639,$D159))-1)))</f>
        <v/>
      </c>
      <c r="Q159" s="16">
        <f>IF(OR($A159="",I159="",$C159=""),"",IF(COUNTIFS($A$5:$A$639,$A159,$C$5:$C$639,$C159-1,$D$5:$D$639,$D159,I$5:I$639,"&lt;&gt;")=0,"",IF(OR(SUMIFS(I$5:I$639,$A$5:$A$639,$A159,$C$5:$C$639,$C159-1,$D$5:$D$639,$D159)=0,I159*SUMIFS(I$5:I$639,$A$5:$A$639,$A159,$C$5:$C$639,$C159-1,$D$5:$D$639,$D159)&lt;0),"n.s.",ABS(I159)/ABS(SUMIFS(I$5:I$639,$A$5:$A$639,$A159,$C$5:$C$639,$C159-1,$D$5:$D$639,$D159))-1)))</f>
        <v/>
      </c>
      <c r="R159" s="16">
        <f>IF(OR($A159="",J159="",$C159=""),"",IF(COUNTIFS($A$5:$A$639,$A159,$C$5:$C$639,$C159-1,$D$5:$D$639,$D159,J$5:J$639,"&lt;&gt;")=0,"",IF(OR(SUMIFS(J$5:J$639,$A$5:$A$639,$A159,$C$5:$C$639,$C159-1,$D$5:$D$639,$D159)=0,J159*SUMIFS(J$5:J$639,$A$5:$A$639,$A159,$C$5:$C$639,$C159-1,$D$5:$D$639,$D159)&lt;0),"n.s.",ABS(J159)/ABS(SUMIFS(J$5:J$639,$A$5:$A$639,$A159,$C$5:$C$639,$C159-1,$D$5:$D$639,$D159))-1)))</f>
        <v/>
      </c>
      <c r="S159" s="16">
        <f>IF(OR($A159="",K159="",$C159=""),"",IF(COUNTIFS($A$5:$A$639,$A159,$C$5:$C$639,$C159-1,$D$5:$D$639,$D159,K$5:K$639,"&lt;&gt;")=0,"",IF(OR(SUMIFS(K$5:K$639,$A$5:$A$639,$A159,$C$5:$C$639,$C159-1,$D$5:$D$639,$D159)=0,K159*SUMIFS(K$5:K$639,$A$5:$A$639,$A159,$C$5:$C$639,$C159-1,$D$5:$D$639,$D159)&lt;0),"n.s.",ABS(K159)/ABS(SUMIFS(K$5:K$639,$A$5:$A$639,$A159,$C$5:$C$639,$C159-1,$D$5:$D$639,$D159))-1)))</f>
        <v/>
      </c>
      <c r="T159" s="16">
        <f>IF(OR($A159="",L159="",$C159=""),"",IF(COUNTIFS($A$5:$A$639,$A159,$C$5:$C$639,$C159-1,$D$5:$D$639,$D159,L$5:L$639,"&lt;&gt;")=0,"",IF(OR(SUMIFS(L$5:L$639,$A$5:$A$639,$A159,$C$5:$C$639,$C159-1,$D$5:$D$639,$D159)=0,L159*SUMIFS(L$5:L$639,$A$5:$A$639,$A159,$C$5:$C$639,$C159-1,$D$5:$D$639,$D159)&lt;0),"n.s.",ABS(L159)/ABS(SUMIFS(L$5:L$639,$A$5:$A$639,$A159,$C$5:$C$639,$C159-1,$D$5:$D$639,$D159))-1)))</f>
        <v/>
      </c>
      <c r="U159" s="16">
        <f>IF(OR($A159="",M159="",$C159=""),"",IF(COUNTIFS($A$5:$A$639,$A159,$C$5:$C$639,$C159-1,$D$5:$D$639,$D159,M$5:M$639,"&lt;&gt;")=0,"",IF(OR(SUMIFS(M$5:M$639,$A$5:$A$639,$A159,$C$5:$C$639,$C159-1,$D$5:$D$639,$D159)=0,M159*SUMIFS(M$5:M$639,$A$5:$A$639,$A159,$C$5:$C$639,$C159-1,$D$5:$D$639,$D159)&lt;0),"n.s.",ABS(M159)/ABS(SUMIFS(M$5:M$639,$A$5:$A$639,$A159,$C$5:$C$639,$C159-1,$D$5:$D$639,$D159))-1)))</f>
        <v/>
      </c>
    </row>
    <row r="160">
      <c r="A160" s="9" t="inlineStr">
        <is>
          <t>UNLC</t>
        </is>
      </c>
      <c r="B160" s="10">
        <f>IF(A160="","",IFERROR(VLOOKUP(A160,Titres!$A$2:$B$400,2,FALSE),"Ticker inconnu"))</f>
        <v/>
      </c>
      <c r="C160" s="11" t="n">
        <v>2024</v>
      </c>
      <c r="D160" s="11" t="inlineStr">
        <is>
          <t>T3</t>
        </is>
      </c>
      <c r="E160" s="9" t="n"/>
      <c r="F160" s="12" t="n"/>
      <c r="G160" s="9" t="n"/>
      <c r="H160" s="13" t="n"/>
      <c r="I160" s="13" t="n"/>
      <c r="J160" s="13" t="n"/>
      <c r="K160" s="13" t="n"/>
      <c r="L160" s="13" t="n"/>
      <c r="M160" s="13" t="n"/>
      <c r="N160" s="14">
        <f>IF(A160="","",COUNT(H160:M160)/6)</f>
        <v/>
      </c>
      <c r="O160" s="15">
        <f>IF(COUNT(H160:M160)=0,"",IF(LEN(IF(COUNT(I160,J160)=2,IF(J160&gt;I160+1,"EBE &gt; VA ",""),"")&amp;IF(COUNT(H160,M160)=2,IF(ABS(M160)&gt;ABS(H160),"RN &gt; CA ",""),"")&amp;IF(COUNT(H160,K160)=2,IF(ABS(K160)&gt;ABS(H160),"RE &gt; CA ",""),""))=0,"OK",IF(COUNT(I160,J160)=2,IF(J160&gt;I160+1,"EBE &gt; VA ",""),"")&amp;IF(COUNT(H160,M160)=2,IF(ABS(M160)&gt;ABS(H160),"RN &gt; CA ",""),"")&amp;IF(COUNT(H160,K160)=2,IF(ABS(K160)&gt;ABS(H160),"RE &gt; CA ",""),"")))</f>
        <v/>
      </c>
      <c r="P160" s="16">
        <f>IF(OR($A160="",H160="",$C160=""),"",IF(COUNTIFS($A$5:$A$639,$A160,$C$5:$C$639,$C160-1,$D$5:$D$639,$D160,H$5:H$639,"&lt;&gt;")=0,"",IF(OR(SUMIFS(H$5:H$639,$A$5:$A$639,$A160,$C$5:$C$639,$C160-1,$D$5:$D$639,$D160)=0,H160*SUMIFS(H$5:H$639,$A$5:$A$639,$A160,$C$5:$C$639,$C160-1,$D$5:$D$639,$D160)&lt;0),"n.s.",ABS(H160)/ABS(SUMIFS(H$5:H$639,$A$5:$A$639,$A160,$C$5:$C$639,$C160-1,$D$5:$D$639,$D160))-1)))</f>
        <v/>
      </c>
      <c r="Q160" s="16">
        <f>IF(OR($A160="",I160="",$C160=""),"",IF(COUNTIFS($A$5:$A$639,$A160,$C$5:$C$639,$C160-1,$D$5:$D$639,$D160,I$5:I$639,"&lt;&gt;")=0,"",IF(OR(SUMIFS(I$5:I$639,$A$5:$A$639,$A160,$C$5:$C$639,$C160-1,$D$5:$D$639,$D160)=0,I160*SUMIFS(I$5:I$639,$A$5:$A$639,$A160,$C$5:$C$639,$C160-1,$D$5:$D$639,$D160)&lt;0),"n.s.",ABS(I160)/ABS(SUMIFS(I$5:I$639,$A$5:$A$639,$A160,$C$5:$C$639,$C160-1,$D$5:$D$639,$D160))-1)))</f>
        <v/>
      </c>
      <c r="R160" s="16">
        <f>IF(OR($A160="",J160="",$C160=""),"",IF(COUNTIFS($A$5:$A$639,$A160,$C$5:$C$639,$C160-1,$D$5:$D$639,$D160,J$5:J$639,"&lt;&gt;")=0,"",IF(OR(SUMIFS(J$5:J$639,$A$5:$A$639,$A160,$C$5:$C$639,$C160-1,$D$5:$D$639,$D160)=0,J160*SUMIFS(J$5:J$639,$A$5:$A$639,$A160,$C$5:$C$639,$C160-1,$D$5:$D$639,$D160)&lt;0),"n.s.",ABS(J160)/ABS(SUMIFS(J$5:J$639,$A$5:$A$639,$A160,$C$5:$C$639,$C160-1,$D$5:$D$639,$D160))-1)))</f>
        <v/>
      </c>
      <c r="S160" s="16">
        <f>IF(OR($A160="",K160="",$C160=""),"",IF(COUNTIFS($A$5:$A$639,$A160,$C$5:$C$639,$C160-1,$D$5:$D$639,$D160,K$5:K$639,"&lt;&gt;")=0,"",IF(OR(SUMIFS(K$5:K$639,$A$5:$A$639,$A160,$C$5:$C$639,$C160-1,$D$5:$D$639,$D160)=0,K160*SUMIFS(K$5:K$639,$A$5:$A$639,$A160,$C$5:$C$639,$C160-1,$D$5:$D$639,$D160)&lt;0),"n.s.",ABS(K160)/ABS(SUMIFS(K$5:K$639,$A$5:$A$639,$A160,$C$5:$C$639,$C160-1,$D$5:$D$639,$D160))-1)))</f>
        <v/>
      </c>
      <c r="T160" s="16">
        <f>IF(OR($A160="",L160="",$C160=""),"",IF(COUNTIFS($A$5:$A$639,$A160,$C$5:$C$639,$C160-1,$D$5:$D$639,$D160,L$5:L$639,"&lt;&gt;")=0,"",IF(OR(SUMIFS(L$5:L$639,$A$5:$A$639,$A160,$C$5:$C$639,$C160-1,$D$5:$D$639,$D160)=0,L160*SUMIFS(L$5:L$639,$A$5:$A$639,$A160,$C$5:$C$639,$C160-1,$D$5:$D$639,$D160)&lt;0),"n.s.",ABS(L160)/ABS(SUMIFS(L$5:L$639,$A$5:$A$639,$A160,$C$5:$C$639,$C160-1,$D$5:$D$639,$D160))-1)))</f>
        <v/>
      </c>
      <c r="U160" s="16">
        <f>IF(OR($A160="",M160="",$C160=""),"",IF(COUNTIFS($A$5:$A$639,$A160,$C$5:$C$639,$C160-1,$D$5:$D$639,$D160,M$5:M$639,"&lt;&gt;")=0,"",IF(OR(SUMIFS(M$5:M$639,$A$5:$A$639,$A160,$C$5:$C$639,$C160-1,$D$5:$D$639,$D160)=0,M160*SUMIFS(M$5:M$639,$A$5:$A$639,$A160,$C$5:$C$639,$C160-1,$D$5:$D$639,$D160)&lt;0),"n.s.",ABS(M160)/ABS(SUMIFS(M$5:M$639,$A$5:$A$639,$A160,$C$5:$C$639,$C160-1,$D$5:$D$639,$D160))-1)))</f>
        <v/>
      </c>
    </row>
    <row r="161">
      <c r="A161" s="9" t="inlineStr">
        <is>
          <t>UNLC</t>
        </is>
      </c>
      <c r="B161" s="10">
        <f>IF(A161="","",IFERROR(VLOOKUP(A161,Titres!$A$2:$B$400,2,FALSE),"Ticker inconnu"))</f>
        <v/>
      </c>
      <c r="C161" s="11" t="n">
        <v>2025</v>
      </c>
      <c r="D161" s="11" t="inlineStr">
        <is>
          <t>T1</t>
        </is>
      </c>
      <c r="E161" s="9" t="n"/>
      <c r="F161" s="12" t="n"/>
      <c r="G161" s="9" t="n"/>
      <c r="H161" s="13" t="n"/>
      <c r="I161" s="13" t="n"/>
      <c r="J161" s="13" t="n"/>
      <c r="K161" s="13" t="n"/>
      <c r="L161" s="13" t="n"/>
      <c r="M161" s="13" t="n"/>
      <c r="N161" s="14">
        <f>IF(A161="","",COUNT(H161:M161)/6)</f>
        <v/>
      </c>
      <c r="O161" s="15">
        <f>IF(COUNT(H161:M161)=0,"",IF(LEN(IF(COUNT(I161,J161)=2,IF(J161&gt;I161+1,"EBE &gt; VA ",""),"")&amp;IF(COUNT(H161,M161)=2,IF(ABS(M161)&gt;ABS(H161),"RN &gt; CA ",""),"")&amp;IF(COUNT(H161,K161)=2,IF(ABS(K161)&gt;ABS(H161),"RE &gt; CA ",""),""))=0,"OK",IF(COUNT(I161,J161)=2,IF(J161&gt;I161+1,"EBE &gt; VA ",""),"")&amp;IF(COUNT(H161,M161)=2,IF(ABS(M161)&gt;ABS(H161),"RN &gt; CA ",""),"")&amp;IF(COUNT(H161,K161)=2,IF(ABS(K161)&gt;ABS(H161),"RE &gt; CA ",""),"")))</f>
        <v/>
      </c>
      <c r="P161" s="16">
        <f>IF(OR($A161="",H161="",$C161=""),"",IF(COUNTIFS($A$5:$A$639,$A161,$C$5:$C$639,$C161-1,$D$5:$D$639,$D161,H$5:H$639,"&lt;&gt;")=0,"",IF(OR(SUMIFS(H$5:H$639,$A$5:$A$639,$A161,$C$5:$C$639,$C161-1,$D$5:$D$639,$D161)=0,H161*SUMIFS(H$5:H$639,$A$5:$A$639,$A161,$C$5:$C$639,$C161-1,$D$5:$D$639,$D161)&lt;0),"n.s.",ABS(H161)/ABS(SUMIFS(H$5:H$639,$A$5:$A$639,$A161,$C$5:$C$639,$C161-1,$D$5:$D$639,$D161))-1)))</f>
        <v/>
      </c>
      <c r="Q161" s="16">
        <f>IF(OR($A161="",I161="",$C161=""),"",IF(COUNTIFS($A$5:$A$639,$A161,$C$5:$C$639,$C161-1,$D$5:$D$639,$D161,I$5:I$639,"&lt;&gt;")=0,"",IF(OR(SUMIFS(I$5:I$639,$A$5:$A$639,$A161,$C$5:$C$639,$C161-1,$D$5:$D$639,$D161)=0,I161*SUMIFS(I$5:I$639,$A$5:$A$639,$A161,$C$5:$C$639,$C161-1,$D$5:$D$639,$D161)&lt;0),"n.s.",ABS(I161)/ABS(SUMIFS(I$5:I$639,$A$5:$A$639,$A161,$C$5:$C$639,$C161-1,$D$5:$D$639,$D161))-1)))</f>
        <v/>
      </c>
      <c r="R161" s="16">
        <f>IF(OR($A161="",J161="",$C161=""),"",IF(COUNTIFS($A$5:$A$639,$A161,$C$5:$C$639,$C161-1,$D$5:$D$639,$D161,J$5:J$639,"&lt;&gt;")=0,"",IF(OR(SUMIFS(J$5:J$639,$A$5:$A$639,$A161,$C$5:$C$639,$C161-1,$D$5:$D$639,$D161)=0,J161*SUMIFS(J$5:J$639,$A$5:$A$639,$A161,$C$5:$C$639,$C161-1,$D$5:$D$639,$D161)&lt;0),"n.s.",ABS(J161)/ABS(SUMIFS(J$5:J$639,$A$5:$A$639,$A161,$C$5:$C$639,$C161-1,$D$5:$D$639,$D161))-1)))</f>
        <v/>
      </c>
      <c r="S161" s="16">
        <f>IF(OR($A161="",K161="",$C161=""),"",IF(COUNTIFS($A$5:$A$639,$A161,$C$5:$C$639,$C161-1,$D$5:$D$639,$D161,K$5:K$639,"&lt;&gt;")=0,"",IF(OR(SUMIFS(K$5:K$639,$A$5:$A$639,$A161,$C$5:$C$639,$C161-1,$D$5:$D$639,$D161)=0,K161*SUMIFS(K$5:K$639,$A$5:$A$639,$A161,$C$5:$C$639,$C161-1,$D$5:$D$639,$D161)&lt;0),"n.s.",ABS(K161)/ABS(SUMIFS(K$5:K$639,$A$5:$A$639,$A161,$C$5:$C$639,$C161-1,$D$5:$D$639,$D161))-1)))</f>
        <v/>
      </c>
      <c r="T161" s="16">
        <f>IF(OR($A161="",L161="",$C161=""),"",IF(COUNTIFS($A$5:$A$639,$A161,$C$5:$C$639,$C161-1,$D$5:$D$639,$D161,L$5:L$639,"&lt;&gt;")=0,"",IF(OR(SUMIFS(L$5:L$639,$A$5:$A$639,$A161,$C$5:$C$639,$C161-1,$D$5:$D$639,$D161)=0,L161*SUMIFS(L$5:L$639,$A$5:$A$639,$A161,$C$5:$C$639,$C161-1,$D$5:$D$639,$D161)&lt;0),"n.s.",ABS(L161)/ABS(SUMIFS(L$5:L$639,$A$5:$A$639,$A161,$C$5:$C$639,$C161-1,$D$5:$D$639,$D161))-1)))</f>
        <v/>
      </c>
      <c r="U161" s="16">
        <f>IF(OR($A161="",M161="",$C161=""),"",IF(COUNTIFS($A$5:$A$639,$A161,$C$5:$C$639,$C161-1,$D$5:$D$639,$D161,M$5:M$639,"&lt;&gt;")=0,"",IF(OR(SUMIFS(M$5:M$639,$A$5:$A$639,$A161,$C$5:$C$639,$C161-1,$D$5:$D$639,$D161)=0,M161*SUMIFS(M$5:M$639,$A$5:$A$639,$A161,$C$5:$C$639,$C161-1,$D$5:$D$639,$D161)&lt;0),"n.s.",ABS(M161)/ABS(SUMIFS(M$5:M$639,$A$5:$A$639,$A161,$C$5:$C$639,$C161-1,$D$5:$D$639,$D161))-1)))</f>
        <v/>
      </c>
    </row>
    <row r="162">
      <c r="A162" s="9" t="inlineStr">
        <is>
          <t>UNLC</t>
        </is>
      </c>
      <c r="B162" s="10">
        <f>IF(A162="","",IFERROR(VLOOKUP(A162,Titres!$A$2:$B$400,2,FALSE),"Ticker inconnu"))</f>
        <v/>
      </c>
      <c r="C162" s="11" t="n">
        <v>2025</v>
      </c>
      <c r="D162" s="11" t="inlineStr">
        <is>
          <t>S1</t>
        </is>
      </c>
      <c r="E162" s="9" t="n"/>
      <c r="F162" s="12" t="n"/>
      <c r="G162" s="9" t="n"/>
      <c r="H162" s="13" t="n"/>
      <c r="I162" s="13" t="n"/>
      <c r="J162" s="13" t="n"/>
      <c r="K162" s="13" t="n"/>
      <c r="L162" s="13" t="n"/>
      <c r="M162" s="13" t="n"/>
      <c r="N162" s="14">
        <f>IF(A162="","",COUNT(H162:M162)/6)</f>
        <v/>
      </c>
      <c r="O162" s="15">
        <f>IF(COUNT(H162:M162)=0,"",IF(LEN(IF(COUNT(I162,J162)=2,IF(J162&gt;I162+1,"EBE &gt; VA ",""),"")&amp;IF(COUNT(H162,M162)=2,IF(ABS(M162)&gt;ABS(H162),"RN &gt; CA ",""),"")&amp;IF(COUNT(H162,K162)=2,IF(ABS(K162)&gt;ABS(H162),"RE &gt; CA ",""),""))=0,"OK",IF(COUNT(I162,J162)=2,IF(J162&gt;I162+1,"EBE &gt; VA ",""),"")&amp;IF(COUNT(H162,M162)=2,IF(ABS(M162)&gt;ABS(H162),"RN &gt; CA ",""),"")&amp;IF(COUNT(H162,K162)=2,IF(ABS(K162)&gt;ABS(H162),"RE &gt; CA ",""),"")))</f>
        <v/>
      </c>
      <c r="P162" s="16">
        <f>IF(OR($A162="",H162="",$C162=""),"",IF(COUNTIFS($A$5:$A$639,$A162,$C$5:$C$639,$C162-1,$D$5:$D$639,$D162,H$5:H$639,"&lt;&gt;")=0,"",IF(OR(SUMIFS(H$5:H$639,$A$5:$A$639,$A162,$C$5:$C$639,$C162-1,$D$5:$D$639,$D162)=0,H162*SUMIFS(H$5:H$639,$A$5:$A$639,$A162,$C$5:$C$639,$C162-1,$D$5:$D$639,$D162)&lt;0),"n.s.",ABS(H162)/ABS(SUMIFS(H$5:H$639,$A$5:$A$639,$A162,$C$5:$C$639,$C162-1,$D$5:$D$639,$D162))-1)))</f>
        <v/>
      </c>
      <c r="Q162" s="16">
        <f>IF(OR($A162="",I162="",$C162=""),"",IF(COUNTIFS($A$5:$A$639,$A162,$C$5:$C$639,$C162-1,$D$5:$D$639,$D162,I$5:I$639,"&lt;&gt;")=0,"",IF(OR(SUMIFS(I$5:I$639,$A$5:$A$639,$A162,$C$5:$C$639,$C162-1,$D$5:$D$639,$D162)=0,I162*SUMIFS(I$5:I$639,$A$5:$A$639,$A162,$C$5:$C$639,$C162-1,$D$5:$D$639,$D162)&lt;0),"n.s.",ABS(I162)/ABS(SUMIFS(I$5:I$639,$A$5:$A$639,$A162,$C$5:$C$639,$C162-1,$D$5:$D$639,$D162))-1)))</f>
        <v/>
      </c>
      <c r="R162" s="16">
        <f>IF(OR($A162="",J162="",$C162=""),"",IF(COUNTIFS($A$5:$A$639,$A162,$C$5:$C$639,$C162-1,$D$5:$D$639,$D162,J$5:J$639,"&lt;&gt;")=0,"",IF(OR(SUMIFS(J$5:J$639,$A$5:$A$639,$A162,$C$5:$C$639,$C162-1,$D$5:$D$639,$D162)=0,J162*SUMIFS(J$5:J$639,$A$5:$A$639,$A162,$C$5:$C$639,$C162-1,$D$5:$D$639,$D162)&lt;0),"n.s.",ABS(J162)/ABS(SUMIFS(J$5:J$639,$A$5:$A$639,$A162,$C$5:$C$639,$C162-1,$D$5:$D$639,$D162))-1)))</f>
        <v/>
      </c>
      <c r="S162" s="16">
        <f>IF(OR($A162="",K162="",$C162=""),"",IF(COUNTIFS($A$5:$A$639,$A162,$C$5:$C$639,$C162-1,$D$5:$D$639,$D162,K$5:K$639,"&lt;&gt;")=0,"",IF(OR(SUMIFS(K$5:K$639,$A$5:$A$639,$A162,$C$5:$C$639,$C162-1,$D$5:$D$639,$D162)=0,K162*SUMIFS(K$5:K$639,$A$5:$A$639,$A162,$C$5:$C$639,$C162-1,$D$5:$D$639,$D162)&lt;0),"n.s.",ABS(K162)/ABS(SUMIFS(K$5:K$639,$A$5:$A$639,$A162,$C$5:$C$639,$C162-1,$D$5:$D$639,$D162))-1)))</f>
        <v/>
      </c>
      <c r="T162" s="16">
        <f>IF(OR($A162="",L162="",$C162=""),"",IF(COUNTIFS($A$5:$A$639,$A162,$C$5:$C$639,$C162-1,$D$5:$D$639,$D162,L$5:L$639,"&lt;&gt;")=0,"",IF(OR(SUMIFS(L$5:L$639,$A$5:$A$639,$A162,$C$5:$C$639,$C162-1,$D$5:$D$639,$D162)=0,L162*SUMIFS(L$5:L$639,$A$5:$A$639,$A162,$C$5:$C$639,$C162-1,$D$5:$D$639,$D162)&lt;0),"n.s.",ABS(L162)/ABS(SUMIFS(L$5:L$639,$A$5:$A$639,$A162,$C$5:$C$639,$C162-1,$D$5:$D$639,$D162))-1)))</f>
        <v/>
      </c>
      <c r="U162" s="16">
        <f>IF(OR($A162="",M162="",$C162=""),"",IF(COUNTIFS($A$5:$A$639,$A162,$C$5:$C$639,$C162-1,$D$5:$D$639,$D162,M$5:M$639,"&lt;&gt;")=0,"",IF(OR(SUMIFS(M$5:M$639,$A$5:$A$639,$A162,$C$5:$C$639,$C162-1,$D$5:$D$639,$D162)=0,M162*SUMIFS(M$5:M$639,$A$5:$A$639,$A162,$C$5:$C$639,$C162-1,$D$5:$D$639,$D162)&lt;0),"n.s.",ABS(M162)/ABS(SUMIFS(M$5:M$639,$A$5:$A$639,$A162,$C$5:$C$639,$C162-1,$D$5:$D$639,$D162))-1)))</f>
        <v/>
      </c>
    </row>
    <row r="163">
      <c r="A163" s="9" t="inlineStr">
        <is>
          <t>UNLC</t>
        </is>
      </c>
      <c r="B163" s="10">
        <f>IF(A163="","",IFERROR(VLOOKUP(A163,Titres!$A$2:$B$400,2,FALSE),"Ticker inconnu"))</f>
        <v/>
      </c>
      <c r="C163" s="11" t="n">
        <v>2025</v>
      </c>
      <c r="D163" s="11" t="inlineStr">
        <is>
          <t>T3</t>
        </is>
      </c>
      <c r="E163" s="9" t="n"/>
      <c r="F163" s="12" t="n"/>
      <c r="G163" s="9" t="n"/>
      <c r="H163" s="13" t="n"/>
      <c r="I163" s="13" t="n"/>
      <c r="J163" s="13" t="n"/>
      <c r="K163" s="13" t="n"/>
      <c r="L163" s="13" t="n"/>
      <c r="M163" s="13" t="n"/>
      <c r="N163" s="14">
        <f>IF(A163="","",COUNT(H163:M163)/6)</f>
        <v/>
      </c>
      <c r="O163" s="15">
        <f>IF(COUNT(H163:M163)=0,"",IF(LEN(IF(COUNT(I163,J163)=2,IF(J163&gt;I163+1,"EBE &gt; VA ",""),"")&amp;IF(COUNT(H163,M163)=2,IF(ABS(M163)&gt;ABS(H163),"RN &gt; CA ",""),"")&amp;IF(COUNT(H163,K163)=2,IF(ABS(K163)&gt;ABS(H163),"RE &gt; CA ",""),""))=0,"OK",IF(COUNT(I163,J163)=2,IF(J163&gt;I163+1,"EBE &gt; VA ",""),"")&amp;IF(COUNT(H163,M163)=2,IF(ABS(M163)&gt;ABS(H163),"RN &gt; CA ",""),"")&amp;IF(COUNT(H163,K163)=2,IF(ABS(K163)&gt;ABS(H163),"RE &gt; CA ",""),"")))</f>
        <v/>
      </c>
      <c r="P163" s="16">
        <f>IF(OR($A163="",H163="",$C163=""),"",IF(COUNTIFS($A$5:$A$639,$A163,$C$5:$C$639,$C163-1,$D$5:$D$639,$D163,H$5:H$639,"&lt;&gt;")=0,"",IF(OR(SUMIFS(H$5:H$639,$A$5:$A$639,$A163,$C$5:$C$639,$C163-1,$D$5:$D$639,$D163)=0,H163*SUMIFS(H$5:H$639,$A$5:$A$639,$A163,$C$5:$C$639,$C163-1,$D$5:$D$639,$D163)&lt;0),"n.s.",ABS(H163)/ABS(SUMIFS(H$5:H$639,$A$5:$A$639,$A163,$C$5:$C$639,$C163-1,$D$5:$D$639,$D163))-1)))</f>
        <v/>
      </c>
      <c r="Q163" s="16">
        <f>IF(OR($A163="",I163="",$C163=""),"",IF(COUNTIFS($A$5:$A$639,$A163,$C$5:$C$639,$C163-1,$D$5:$D$639,$D163,I$5:I$639,"&lt;&gt;")=0,"",IF(OR(SUMIFS(I$5:I$639,$A$5:$A$639,$A163,$C$5:$C$639,$C163-1,$D$5:$D$639,$D163)=0,I163*SUMIFS(I$5:I$639,$A$5:$A$639,$A163,$C$5:$C$639,$C163-1,$D$5:$D$639,$D163)&lt;0),"n.s.",ABS(I163)/ABS(SUMIFS(I$5:I$639,$A$5:$A$639,$A163,$C$5:$C$639,$C163-1,$D$5:$D$639,$D163))-1)))</f>
        <v/>
      </c>
      <c r="R163" s="16">
        <f>IF(OR($A163="",J163="",$C163=""),"",IF(COUNTIFS($A$5:$A$639,$A163,$C$5:$C$639,$C163-1,$D$5:$D$639,$D163,J$5:J$639,"&lt;&gt;")=0,"",IF(OR(SUMIFS(J$5:J$639,$A$5:$A$639,$A163,$C$5:$C$639,$C163-1,$D$5:$D$639,$D163)=0,J163*SUMIFS(J$5:J$639,$A$5:$A$639,$A163,$C$5:$C$639,$C163-1,$D$5:$D$639,$D163)&lt;0),"n.s.",ABS(J163)/ABS(SUMIFS(J$5:J$639,$A$5:$A$639,$A163,$C$5:$C$639,$C163-1,$D$5:$D$639,$D163))-1)))</f>
        <v/>
      </c>
      <c r="S163" s="16">
        <f>IF(OR($A163="",K163="",$C163=""),"",IF(COUNTIFS($A$5:$A$639,$A163,$C$5:$C$639,$C163-1,$D$5:$D$639,$D163,K$5:K$639,"&lt;&gt;")=0,"",IF(OR(SUMIFS(K$5:K$639,$A$5:$A$639,$A163,$C$5:$C$639,$C163-1,$D$5:$D$639,$D163)=0,K163*SUMIFS(K$5:K$639,$A$5:$A$639,$A163,$C$5:$C$639,$C163-1,$D$5:$D$639,$D163)&lt;0),"n.s.",ABS(K163)/ABS(SUMIFS(K$5:K$639,$A$5:$A$639,$A163,$C$5:$C$639,$C163-1,$D$5:$D$639,$D163))-1)))</f>
        <v/>
      </c>
      <c r="T163" s="16">
        <f>IF(OR($A163="",L163="",$C163=""),"",IF(COUNTIFS($A$5:$A$639,$A163,$C$5:$C$639,$C163-1,$D$5:$D$639,$D163,L$5:L$639,"&lt;&gt;")=0,"",IF(OR(SUMIFS(L$5:L$639,$A$5:$A$639,$A163,$C$5:$C$639,$C163-1,$D$5:$D$639,$D163)=0,L163*SUMIFS(L$5:L$639,$A$5:$A$639,$A163,$C$5:$C$639,$C163-1,$D$5:$D$639,$D163)&lt;0),"n.s.",ABS(L163)/ABS(SUMIFS(L$5:L$639,$A$5:$A$639,$A163,$C$5:$C$639,$C163-1,$D$5:$D$639,$D163))-1)))</f>
        <v/>
      </c>
      <c r="U163" s="16">
        <f>IF(OR($A163="",M163="",$C163=""),"",IF(COUNTIFS($A$5:$A$639,$A163,$C$5:$C$639,$C163-1,$D$5:$D$639,$D163,M$5:M$639,"&lt;&gt;")=0,"",IF(OR(SUMIFS(M$5:M$639,$A$5:$A$639,$A163,$C$5:$C$639,$C163-1,$D$5:$D$639,$D163)=0,M163*SUMIFS(M$5:M$639,$A$5:$A$639,$A163,$C$5:$C$639,$C163-1,$D$5:$D$639,$D163)&lt;0),"n.s.",ABS(M163)/ABS(SUMIFS(M$5:M$639,$A$5:$A$639,$A163,$C$5:$C$639,$C163-1,$D$5:$D$639,$D163))-1)))</f>
        <v/>
      </c>
    </row>
    <row r="164">
      <c r="A164" s="9" t="inlineStr">
        <is>
          <t>UNLC</t>
        </is>
      </c>
      <c r="B164" s="10">
        <f>IF(A164="","",IFERROR(VLOOKUP(A164,Titres!$A$2:$B$400,2,FALSE),"Ticker inconnu"))</f>
        <v/>
      </c>
      <c r="C164" s="11" t="n">
        <v>2026</v>
      </c>
      <c r="D164" s="11" t="inlineStr">
        <is>
          <t>T1</t>
        </is>
      </c>
      <c r="E164" s="9" t="n"/>
      <c r="F164" s="12" t="n"/>
      <c r="G164" s="9" t="n"/>
      <c r="H164" s="13" t="n"/>
      <c r="I164" s="13" t="n"/>
      <c r="J164" s="13" t="n"/>
      <c r="K164" s="13" t="n"/>
      <c r="L164" s="13" t="n"/>
      <c r="M164" s="13" t="n"/>
      <c r="N164" s="14">
        <f>IF(A164="","",COUNT(H164:M164)/6)</f>
        <v/>
      </c>
      <c r="O164" s="15">
        <f>IF(COUNT(H164:M164)=0,"",IF(LEN(IF(COUNT(I164,J164)=2,IF(J164&gt;I164+1,"EBE &gt; VA ",""),"")&amp;IF(COUNT(H164,M164)=2,IF(ABS(M164)&gt;ABS(H164),"RN &gt; CA ",""),"")&amp;IF(COUNT(H164,K164)=2,IF(ABS(K164)&gt;ABS(H164),"RE &gt; CA ",""),""))=0,"OK",IF(COUNT(I164,J164)=2,IF(J164&gt;I164+1,"EBE &gt; VA ",""),"")&amp;IF(COUNT(H164,M164)=2,IF(ABS(M164)&gt;ABS(H164),"RN &gt; CA ",""),"")&amp;IF(COUNT(H164,K164)=2,IF(ABS(K164)&gt;ABS(H164),"RE &gt; CA ",""),"")))</f>
        <v/>
      </c>
      <c r="P164" s="16">
        <f>IF(OR($A164="",H164="",$C164=""),"",IF(COUNTIFS($A$5:$A$639,$A164,$C$5:$C$639,$C164-1,$D$5:$D$639,$D164,H$5:H$639,"&lt;&gt;")=0,"",IF(OR(SUMIFS(H$5:H$639,$A$5:$A$639,$A164,$C$5:$C$639,$C164-1,$D$5:$D$639,$D164)=0,H164*SUMIFS(H$5:H$639,$A$5:$A$639,$A164,$C$5:$C$639,$C164-1,$D$5:$D$639,$D164)&lt;0),"n.s.",ABS(H164)/ABS(SUMIFS(H$5:H$639,$A$5:$A$639,$A164,$C$5:$C$639,$C164-1,$D$5:$D$639,$D164))-1)))</f>
        <v/>
      </c>
      <c r="Q164" s="16">
        <f>IF(OR($A164="",I164="",$C164=""),"",IF(COUNTIFS($A$5:$A$639,$A164,$C$5:$C$639,$C164-1,$D$5:$D$639,$D164,I$5:I$639,"&lt;&gt;")=0,"",IF(OR(SUMIFS(I$5:I$639,$A$5:$A$639,$A164,$C$5:$C$639,$C164-1,$D$5:$D$639,$D164)=0,I164*SUMIFS(I$5:I$639,$A$5:$A$639,$A164,$C$5:$C$639,$C164-1,$D$5:$D$639,$D164)&lt;0),"n.s.",ABS(I164)/ABS(SUMIFS(I$5:I$639,$A$5:$A$639,$A164,$C$5:$C$639,$C164-1,$D$5:$D$639,$D164))-1)))</f>
        <v/>
      </c>
      <c r="R164" s="16">
        <f>IF(OR($A164="",J164="",$C164=""),"",IF(COUNTIFS($A$5:$A$639,$A164,$C$5:$C$639,$C164-1,$D$5:$D$639,$D164,J$5:J$639,"&lt;&gt;")=0,"",IF(OR(SUMIFS(J$5:J$639,$A$5:$A$639,$A164,$C$5:$C$639,$C164-1,$D$5:$D$639,$D164)=0,J164*SUMIFS(J$5:J$639,$A$5:$A$639,$A164,$C$5:$C$639,$C164-1,$D$5:$D$639,$D164)&lt;0),"n.s.",ABS(J164)/ABS(SUMIFS(J$5:J$639,$A$5:$A$639,$A164,$C$5:$C$639,$C164-1,$D$5:$D$639,$D164))-1)))</f>
        <v/>
      </c>
      <c r="S164" s="16">
        <f>IF(OR($A164="",K164="",$C164=""),"",IF(COUNTIFS($A$5:$A$639,$A164,$C$5:$C$639,$C164-1,$D$5:$D$639,$D164,K$5:K$639,"&lt;&gt;")=0,"",IF(OR(SUMIFS(K$5:K$639,$A$5:$A$639,$A164,$C$5:$C$639,$C164-1,$D$5:$D$639,$D164)=0,K164*SUMIFS(K$5:K$639,$A$5:$A$639,$A164,$C$5:$C$639,$C164-1,$D$5:$D$639,$D164)&lt;0),"n.s.",ABS(K164)/ABS(SUMIFS(K$5:K$639,$A$5:$A$639,$A164,$C$5:$C$639,$C164-1,$D$5:$D$639,$D164))-1)))</f>
        <v/>
      </c>
      <c r="T164" s="16">
        <f>IF(OR($A164="",L164="",$C164=""),"",IF(COUNTIFS($A$5:$A$639,$A164,$C$5:$C$639,$C164-1,$D$5:$D$639,$D164,L$5:L$639,"&lt;&gt;")=0,"",IF(OR(SUMIFS(L$5:L$639,$A$5:$A$639,$A164,$C$5:$C$639,$C164-1,$D$5:$D$639,$D164)=0,L164*SUMIFS(L$5:L$639,$A$5:$A$639,$A164,$C$5:$C$639,$C164-1,$D$5:$D$639,$D164)&lt;0),"n.s.",ABS(L164)/ABS(SUMIFS(L$5:L$639,$A$5:$A$639,$A164,$C$5:$C$639,$C164-1,$D$5:$D$639,$D164))-1)))</f>
        <v/>
      </c>
      <c r="U164" s="16">
        <f>IF(OR($A164="",M164="",$C164=""),"",IF(COUNTIFS($A$5:$A$639,$A164,$C$5:$C$639,$C164-1,$D$5:$D$639,$D164,M$5:M$639,"&lt;&gt;")=0,"",IF(OR(SUMIFS(M$5:M$639,$A$5:$A$639,$A164,$C$5:$C$639,$C164-1,$D$5:$D$639,$D164)=0,M164*SUMIFS(M$5:M$639,$A$5:$A$639,$A164,$C$5:$C$639,$C164-1,$D$5:$D$639,$D164)&lt;0),"n.s.",ABS(M164)/ABS(SUMIFS(M$5:M$639,$A$5:$A$639,$A164,$C$5:$C$639,$C164-1,$D$5:$D$639,$D164))-1)))</f>
        <v/>
      </c>
    </row>
    <row r="165">
      <c r="A165" s="9" t="inlineStr">
        <is>
          <t>UNLC</t>
        </is>
      </c>
      <c r="B165" s="10">
        <f>IF(A165="","",IFERROR(VLOOKUP(A165,Titres!$A$2:$B$400,2,FALSE),"Ticker inconnu"))</f>
        <v/>
      </c>
      <c r="C165" s="11" t="n">
        <v>2026</v>
      </c>
      <c r="D165" s="11" t="inlineStr">
        <is>
          <t>S1</t>
        </is>
      </c>
      <c r="E165" s="9" t="n"/>
      <c r="F165" s="12" t="n"/>
      <c r="G165" s="9" t="n"/>
      <c r="H165" s="13" t="n"/>
      <c r="I165" s="13" t="n"/>
      <c r="J165" s="13" t="n"/>
      <c r="K165" s="13" t="n"/>
      <c r="L165" s="13" t="n"/>
      <c r="M165" s="13" t="n"/>
      <c r="N165" s="14">
        <f>IF(A165="","",COUNT(H165:M165)/6)</f>
        <v/>
      </c>
      <c r="O165" s="15">
        <f>IF(COUNT(H165:M165)=0,"",IF(LEN(IF(COUNT(I165,J165)=2,IF(J165&gt;I165+1,"EBE &gt; VA ",""),"")&amp;IF(COUNT(H165,M165)=2,IF(ABS(M165)&gt;ABS(H165),"RN &gt; CA ",""),"")&amp;IF(COUNT(H165,K165)=2,IF(ABS(K165)&gt;ABS(H165),"RE &gt; CA ",""),""))=0,"OK",IF(COUNT(I165,J165)=2,IF(J165&gt;I165+1,"EBE &gt; VA ",""),"")&amp;IF(COUNT(H165,M165)=2,IF(ABS(M165)&gt;ABS(H165),"RN &gt; CA ",""),"")&amp;IF(COUNT(H165,K165)=2,IF(ABS(K165)&gt;ABS(H165),"RE &gt; CA ",""),"")))</f>
        <v/>
      </c>
      <c r="P165" s="16">
        <f>IF(OR($A165="",H165="",$C165=""),"",IF(COUNTIFS($A$5:$A$639,$A165,$C$5:$C$639,$C165-1,$D$5:$D$639,$D165,H$5:H$639,"&lt;&gt;")=0,"",IF(OR(SUMIFS(H$5:H$639,$A$5:$A$639,$A165,$C$5:$C$639,$C165-1,$D$5:$D$639,$D165)=0,H165*SUMIFS(H$5:H$639,$A$5:$A$639,$A165,$C$5:$C$639,$C165-1,$D$5:$D$639,$D165)&lt;0),"n.s.",ABS(H165)/ABS(SUMIFS(H$5:H$639,$A$5:$A$639,$A165,$C$5:$C$639,$C165-1,$D$5:$D$639,$D165))-1)))</f>
        <v/>
      </c>
      <c r="Q165" s="16">
        <f>IF(OR($A165="",I165="",$C165=""),"",IF(COUNTIFS($A$5:$A$639,$A165,$C$5:$C$639,$C165-1,$D$5:$D$639,$D165,I$5:I$639,"&lt;&gt;")=0,"",IF(OR(SUMIFS(I$5:I$639,$A$5:$A$639,$A165,$C$5:$C$639,$C165-1,$D$5:$D$639,$D165)=0,I165*SUMIFS(I$5:I$639,$A$5:$A$639,$A165,$C$5:$C$639,$C165-1,$D$5:$D$639,$D165)&lt;0),"n.s.",ABS(I165)/ABS(SUMIFS(I$5:I$639,$A$5:$A$639,$A165,$C$5:$C$639,$C165-1,$D$5:$D$639,$D165))-1)))</f>
        <v/>
      </c>
      <c r="R165" s="16">
        <f>IF(OR($A165="",J165="",$C165=""),"",IF(COUNTIFS($A$5:$A$639,$A165,$C$5:$C$639,$C165-1,$D$5:$D$639,$D165,J$5:J$639,"&lt;&gt;")=0,"",IF(OR(SUMIFS(J$5:J$639,$A$5:$A$639,$A165,$C$5:$C$639,$C165-1,$D$5:$D$639,$D165)=0,J165*SUMIFS(J$5:J$639,$A$5:$A$639,$A165,$C$5:$C$639,$C165-1,$D$5:$D$639,$D165)&lt;0),"n.s.",ABS(J165)/ABS(SUMIFS(J$5:J$639,$A$5:$A$639,$A165,$C$5:$C$639,$C165-1,$D$5:$D$639,$D165))-1)))</f>
        <v/>
      </c>
      <c r="S165" s="16">
        <f>IF(OR($A165="",K165="",$C165=""),"",IF(COUNTIFS($A$5:$A$639,$A165,$C$5:$C$639,$C165-1,$D$5:$D$639,$D165,K$5:K$639,"&lt;&gt;")=0,"",IF(OR(SUMIFS(K$5:K$639,$A$5:$A$639,$A165,$C$5:$C$639,$C165-1,$D$5:$D$639,$D165)=0,K165*SUMIFS(K$5:K$639,$A$5:$A$639,$A165,$C$5:$C$639,$C165-1,$D$5:$D$639,$D165)&lt;0),"n.s.",ABS(K165)/ABS(SUMIFS(K$5:K$639,$A$5:$A$639,$A165,$C$5:$C$639,$C165-1,$D$5:$D$639,$D165))-1)))</f>
        <v/>
      </c>
      <c r="T165" s="16">
        <f>IF(OR($A165="",L165="",$C165=""),"",IF(COUNTIFS($A$5:$A$639,$A165,$C$5:$C$639,$C165-1,$D$5:$D$639,$D165,L$5:L$639,"&lt;&gt;")=0,"",IF(OR(SUMIFS(L$5:L$639,$A$5:$A$639,$A165,$C$5:$C$639,$C165-1,$D$5:$D$639,$D165)=0,L165*SUMIFS(L$5:L$639,$A$5:$A$639,$A165,$C$5:$C$639,$C165-1,$D$5:$D$639,$D165)&lt;0),"n.s.",ABS(L165)/ABS(SUMIFS(L$5:L$639,$A$5:$A$639,$A165,$C$5:$C$639,$C165-1,$D$5:$D$639,$D165))-1)))</f>
        <v/>
      </c>
      <c r="U165" s="16">
        <f>IF(OR($A165="",M165="",$C165=""),"",IF(COUNTIFS($A$5:$A$639,$A165,$C$5:$C$639,$C165-1,$D$5:$D$639,$D165,M$5:M$639,"&lt;&gt;")=0,"",IF(OR(SUMIFS(M$5:M$639,$A$5:$A$639,$A165,$C$5:$C$639,$C165-1,$D$5:$D$639,$D165)=0,M165*SUMIFS(M$5:M$639,$A$5:$A$639,$A165,$C$5:$C$639,$C165-1,$D$5:$D$639,$D165)&lt;0),"n.s.",ABS(M165)/ABS(SUMIFS(M$5:M$639,$A$5:$A$639,$A165,$C$5:$C$639,$C165-1,$D$5:$D$639,$D165))-1)))</f>
        <v/>
      </c>
    </row>
    <row r="166">
      <c r="A166" s="9" t="inlineStr">
        <is>
          <t>UNLC</t>
        </is>
      </c>
      <c r="B166" s="10">
        <f>IF(A166="","",IFERROR(VLOOKUP(A166,Titres!$A$2:$B$400,2,FALSE),"Ticker inconnu"))</f>
        <v/>
      </c>
      <c r="C166" s="11" t="n">
        <v>2026</v>
      </c>
      <c r="D166" s="11" t="inlineStr">
        <is>
          <t>T3</t>
        </is>
      </c>
      <c r="E166" s="9" t="n"/>
      <c r="F166" s="12" t="n"/>
      <c r="G166" s="9" t="n"/>
      <c r="H166" s="13" t="n"/>
      <c r="I166" s="13" t="n"/>
      <c r="J166" s="13" t="n"/>
      <c r="K166" s="13" t="n"/>
      <c r="L166" s="13" t="n"/>
      <c r="M166" s="13" t="n"/>
      <c r="N166" s="14">
        <f>IF(A166="","",COUNT(H166:M166)/6)</f>
        <v/>
      </c>
      <c r="O166" s="15">
        <f>IF(COUNT(H166:M166)=0,"",IF(LEN(IF(COUNT(I166,J166)=2,IF(J166&gt;I166+1,"EBE &gt; VA ",""),"")&amp;IF(COUNT(H166,M166)=2,IF(ABS(M166)&gt;ABS(H166),"RN &gt; CA ",""),"")&amp;IF(COUNT(H166,K166)=2,IF(ABS(K166)&gt;ABS(H166),"RE &gt; CA ",""),""))=0,"OK",IF(COUNT(I166,J166)=2,IF(J166&gt;I166+1,"EBE &gt; VA ",""),"")&amp;IF(COUNT(H166,M166)=2,IF(ABS(M166)&gt;ABS(H166),"RN &gt; CA ",""),"")&amp;IF(COUNT(H166,K166)=2,IF(ABS(K166)&gt;ABS(H166),"RE &gt; CA ",""),"")))</f>
        <v/>
      </c>
      <c r="P166" s="16">
        <f>IF(OR($A166="",H166="",$C166=""),"",IF(COUNTIFS($A$5:$A$639,$A166,$C$5:$C$639,$C166-1,$D$5:$D$639,$D166,H$5:H$639,"&lt;&gt;")=0,"",IF(OR(SUMIFS(H$5:H$639,$A$5:$A$639,$A166,$C$5:$C$639,$C166-1,$D$5:$D$639,$D166)=0,H166*SUMIFS(H$5:H$639,$A$5:$A$639,$A166,$C$5:$C$639,$C166-1,$D$5:$D$639,$D166)&lt;0),"n.s.",ABS(H166)/ABS(SUMIFS(H$5:H$639,$A$5:$A$639,$A166,$C$5:$C$639,$C166-1,$D$5:$D$639,$D166))-1)))</f>
        <v/>
      </c>
      <c r="Q166" s="16">
        <f>IF(OR($A166="",I166="",$C166=""),"",IF(COUNTIFS($A$5:$A$639,$A166,$C$5:$C$639,$C166-1,$D$5:$D$639,$D166,I$5:I$639,"&lt;&gt;")=0,"",IF(OR(SUMIFS(I$5:I$639,$A$5:$A$639,$A166,$C$5:$C$639,$C166-1,$D$5:$D$639,$D166)=0,I166*SUMIFS(I$5:I$639,$A$5:$A$639,$A166,$C$5:$C$639,$C166-1,$D$5:$D$639,$D166)&lt;0),"n.s.",ABS(I166)/ABS(SUMIFS(I$5:I$639,$A$5:$A$639,$A166,$C$5:$C$639,$C166-1,$D$5:$D$639,$D166))-1)))</f>
        <v/>
      </c>
      <c r="R166" s="16">
        <f>IF(OR($A166="",J166="",$C166=""),"",IF(COUNTIFS($A$5:$A$639,$A166,$C$5:$C$639,$C166-1,$D$5:$D$639,$D166,J$5:J$639,"&lt;&gt;")=0,"",IF(OR(SUMIFS(J$5:J$639,$A$5:$A$639,$A166,$C$5:$C$639,$C166-1,$D$5:$D$639,$D166)=0,J166*SUMIFS(J$5:J$639,$A$5:$A$639,$A166,$C$5:$C$639,$C166-1,$D$5:$D$639,$D166)&lt;0),"n.s.",ABS(J166)/ABS(SUMIFS(J$5:J$639,$A$5:$A$639,$A166,$C$5:$C$639,$C166-1,$D$5:$D$639,$D166))-1)))</f>
        <v/>
      </c>
      <c r="S166" s="16">
        <f>IF(OR($A166="",K166="",$C166=""),"",IF(COUNTIFS($A$5:$A$639,$A166,$C$5:$C$639,$C166-1,$D$5:$D$639,$D166,K$5:K$639,"&lt;&gt;")=0,"",IF(OR(SUMIFS(K$5:K$639,$A$5:$A$639,$A166,$C$5:$C$639,$C166-1,$D$5:$D$639,$D166)=0,K166*SUMIFS(K$5:K$639,$A$5:$A$639,$A166,$C$5:$C$639,$C166-1,$D$5:$D$639,$D166)&lt;0),"n.s.",ABS(K166)/ABS(SUMIFS(K$5:K$639,$A$5:$A$639,$A166,$C$5:$C$639,$C166-1,$D$5:$D$639,$D166))-1)))</f>
        <v/>
      </c>
      <c r="T166" s="16">
        <f>IF(OR($A166="",L166="",$C166=""),"",IF(COUNTIFS($A$5:$A$639,$A166,$C$5:$C$639,$C166-1,$D$5:$D$639,$D166,L$5:L$639,"&lt;&gt;")=0,"",IF(OR(SUMIFS(L$5:L$639,$A$5:$A$639,$A166,$C$5:$C$639,$C166-1,$D$5:$D$639,$D166)=0,L166*SUMIFS(L$5:L$639,$A$5:$A$639,$A166,$C$5:$C$639,$C166-1,$D$5:$D$639,$D166)&lt;0),"n.s.",ABS(L166)/ABS(SUMIFS(L$5:L$639,$A$5:$A$639,$A166,$C$5:$C$639,$C166-1,$D$5:$D$639,$D166))-1)))</f>
        <v/>
      </c>
      <c r="U166" s="16">
        <f>IF(OR($A166="",M166="",$C166=""),"",IF(COUNTIFS($A$5:$A$639,$A166,$C$5:$C$639,$C166-1,$D$5:$D$639,$D166,M$5:M$639,"&lt;&gt;")=0,"",IF(OR(SUMIFS(M$5:M$639,$A$5:$A$639,$A166,$C$5:$C$639,$C166-1,$D$5:$D$639,$D166)=0,M166*SUMIFS(M$5:M$639,$A$5:$A$639,$A166,$C$5:$C$639,$C166-1,$D$5:$D$639,$D166)&lt;0),"n.s.",ABS(M166)/ABS(SUMIFS(M$5:M$639,$A$5:$A$639,$A166,$C$5:$C$639,$C166-1,$D$5:$D$639,$D166))-1)))</f>
        <v/>
      </c>
    </row>
    <row r="167">
      <c r="A167" s="9" t="inlineStr">
        <is>
          <t>ABJC</t>
        </is>
      </c>
      <c r="B167" s="10">
        <f>IF(A167="","",IFERROR(VLOOKUP(A167,Titres!$A$2:$B$400,2,FALSE),"Ticker inconnu"))</f>
        <v/>
      </c>
      <c r="C167" s="11" t="n">
        <v>2021</v>
      </c>
      <c r="D167" s="11" t="inlineStr">
        <is>
          <t>T1</t>
        </is>
      </c>
      <c r="E167" s="9" t="n"/>
      <c r="F167" s="12" t="n"/>
      <c r="G167" s="9" t="n"/>
      <c r="H167" s="13" t="n"/>
      <c r="I167" s="13" t="n"/>
      <c r="J167" s="13" t="n"/>
      <c r="K167" s="13" t="n"/>
      <c r="L167" s="13" t="n"/>
      <c r="M167" s="13" t="n"/>
      <c r="N167" s="14">
        <f>IF(A167="","",COUNT(H167:M167)/6)</f>
        <v/>
      </c>
      <c r="O167" s="15">
        <f>IF(COUNT(H167:M167)=0,"",IF(LEN(IF(COUNT(I167,J167)=2,IF(J167&gt;I167+1,"EBE &gt; VA ",""),"")&amp;IF(COUNT(H167,M167)=2,IF(ABS(M167)&gt;ABS(H167),"RN &gt; CA ",""),"")&amp;IF(COUNT(H167,K167)=2,IF(ABS(K167)&gt;ABS(H167),"RE &gt; CA ",""),""))=0,"OK",IF(COUNT(I167,J167)=2,IF(J167&gt;I167+1,"EBE &gt; VA ",""),"")&amp;IF(COUNT(H167,M167)=2,IF(ABS(M167)&gt;ABS(H167),"RN &gt; CA ",""),"")&amp;IF(COUNT(H167,K167)=2,IF(ABS(K167)&gt;ABS(H167),"RE &gt; CA ",""),"")))</f>
        <v/>
      </c>
      <c r="P167" s="16">
        <f>IF(OR($A167="",H167="",$C167=""),"",IF(COUNTIFS($A$5:$A$639,$A167,$C$5:$C$639,$C167-1,$D$5:$D$639,$D167,H$5:H$639,"&lt;&gt;")=0,"",IF(OR(SUMIFS(H$5:H$639,$A$5:$A$639,$A167,$C$5:$C$639,$C167-1,$D$5:$D$639,$D167)=0,H167*SUMIFS(H$5:H$639,$A$5:$A$639,$A167,$C$5:$C$639,$C167-1,$D$5:$D$639,$D167)&lt;0),"n.s.",ABS(H167)/ABS(SUMIFS(H$5:H$639,$A$5:$A$639,$A167,$C$5:$C$639,$C167-1,$D$5:$D$639,$D167))-1)))</f>
        <v/>
      </c>
      <c r="Q167" s="16">
        <f>IF(OR($A167="",I167="",$C167=""),"",IF(COUNTIFS($A$5:$A$639,$A167,$C$5:$C$639,$C167-1,$D$5:$D$639,$D167,I$5:I$639,"&lt;&gt;")=0,"",IF(OR(SUMIFS(I$5:I$639,$A$5:$A$639,$A167,$C$5:$C$639,$C167-1,$D$5:$D$639,$D167)=0,I167*SUMIFS(I$5:I$639,$A$5:$A$639,$A167,$C$5:$C$639,$C167-1,$D$5:$D$639,$D167)&lt;0),"n.s.",ABS(I167)/ABS(SUMIFS(I$5:I$639,$A$5:$A$639,$A167,$C$5:$C$639,$C167-1,$D$5:$D$639,$D167))-1)))</f>
        <v/>
      </c>
      <c r="R167" s="16">
        <f>IF(OR($A167="",J167="",$C167=""),"",IF(COUNTIFS($A$5:$A$639,$A167,$C$5:$C$639,$C167-1,$D$5:$D$639,$D167,J$5:J$639,"&lt;&gt;")=0,"",IF(OR(SUMIFS(J$5:J$639,$A$5:$A$639,$A167,$C$5:$C$639,$C167-1,$D$5:$D$639,$D167)=0,J167*SUMIFS(J$5:J$639,$A$5:$A$639,$A167,$C$5:$C$639,$C167-1,$D$5:$D$639,$D167)&lt;0),"n.s.",ABS(J167)/ABS(SUMIFS(J$5:J$639,$A$5:$A$639,$A167,$C$5:$C$639,$C167-1,$D$5:$D$639,$D167))-1)))</f>
        <v/>
      </c>
      <c r="S167" s="16">
        <f>IF(OR($A167="",K167="",$C167=""),"",IF(COUNTIFS($A$5:$A$639,$A167,$C$5:$C$639,$C167-1,$D$5:$D$639,$D167,K$5:K$639,"&lt;&gt;")=0,"",IF(OR(SUMIFS(K$5:K$639,$A$5:$A$639,$A167,$C$5:$C$639,$C167-1,$D$5:$D$639,$D167)=0,K167*SUMIFS(K$5:K$639,$A$5:$A$639,$A167,$C$5:$C$639,$C167-1,$D$5:$D$639,$D167)&lt;0),"n.s.",ABS(K167)/ABS(SUMIFS(K$5:K$639,$A$5:$A$639,$A167,$C$5:$C$639,$C167-1,$D$5:$D$639,$D167))-1)))</f>
        <v/>
      </c>
      <c r="T167" s="16">
        <f>IF(OR($A167="",L167="",$C167=""),"",IF(COUNTIFS($A$5:$A$639,$A167,$C$5:$C$639,$C167-1,$D$5:$D$639,$D167,L$5:L$639,"&lt;&gt;")=0,"",IF(OR(SUMIFS(L$5:L$639,$A$5:$A$639,$A167,$C$5:$C$639,$C167-1,$D$5:$D$639,$D167)=0,L167*SUMIFS(L$5:L$639,$A$5:$A$639,$A167,$C$5:$C$639,$C167-1,$D$5:$D$639,$D167)&lt;0),"n.s.",ABS(L167)/ABS(SUMIFS(L$5:L$639,$A$5:$A$639,$A167,$C$5:$C$639,$C167-1,$D$5:$D$639,$D167))-1)))</f>
        <v/>
      </c>
      <c r="U167" s="16">
        <f>IF(OR($A167="",M167="",$C167=""),"",IF(COUNTIFS($A$5:$A$639,$A167,$C$5:$C$639,$C167-1,$D$5:$D$639,$D167,M$5:M$639,"&lt;&gt;")=0,"",IF(OR(SUMIFS(M$5:M$639,$A$5:$A$639,$A167,$C$5:$C$639,$C167-1,$D$5:$D$639,$D167)=0,M167*SUMIFS(M$5:M$639,$A$5:$A$639,$A167,$C$5:$C$639,$C167-1,$D$5:$D$639,$D167)&lt;0),"n.s.",ABS(M167)/ABS(SUMIFS(M$5:M$639,$A$5:$A$639,$A167,$C$5:$C$639,$C167-1,$D$5:$D$639,$D167))-1)))</f>
        <v/>
      </c>
    </row>
    <row r="168">
      <c r="A168" s="9" t="inlineStr">
        <is>
          <t>ABJC</t>
        </is>
      </c>
      <c r="B168" s="10">
        <f>IF(A168="","",IFERROR(VLOOKUP(A168,Titres!$A$2:$B$400,2,FALSE),"Ticker inconnu"))</f>
        <v/>
      </c>
      <c r="C168" s="11" t="n">
        <v>2021</v>
      </c>
      <c r="D168" s="11" t="inlineStr">
        <is>
          <t>S1</t>
        </is>
      </c>
      <c r="E168" s="9" t="n"/>
      <c r="F168" s="12" t="n"/>
      <c r="G168" s="9" t="n"/>
      <c r="H168" s="13" t="n"/>
      <c r="I168" s="13" t="n"/>
      <c r="J168" s="13" t="n"/>
      <c r="K168" s="13" t="n"/>
      <c r="L168" s="13" t="n"/>
      <c r="M168" s="13" t="n"/>
      <c r="N168" s="14">
        <f>IF(A168="","",COUNT(H168:M168)/6)</f>
        <v/>
      </c>
      <c r="O168" s="15">
        <f>IF(COUNT(H168:M168)=0,"",IF(LEN(IF(COUNT(I168,J168)=2,IF(J168&gt;I168+1,"EBE &gt; VA ",""),"")&amp;IF(COUNT(H168,M168)=2,IF(ABS(M168)&gt;ABS(H168),"RN &gt; CA ",""),"")&amp;IF(COUNT(H168,K168)=2,IF(ABS(K168)&gt;ABS(H168),"RE &gt; CA ",""),""))=0,"OK",IF(COUNT(I168,J168)=2,IF(J168&gt;I168+1,"EBE &gt; VA ",""),"")&amp;IF(COUNT(H168,M168)=2,IF(ABS(M168)&gt;ABS(H168),"RN &gt; CA ",""),"")&amp;IF(COUNT(H168,K168)=2,IF(ABS(K168)&gt;ABS(H168),"RE &gt; CA ",""),"")))</f>
        <v/>
      </c>
      <c r="P168" s="16">
        <f>IF(OR($A168="",H168="",$C168=""),"",IF(COUNTIFS($A$5:$A$639,$A168,$C$5:$C$639,$C168-1,$D$5:$D$639,$D168,H$5:H$639,"&lt;&gt;")=0,"",IF(OR(SUMIFS(H$5:H$639,$A$5:$A$639,$A168,$C$5:$C$639,$C168-1,$D$5:$D$639,$D168)=0,H168*SUMIFS(H$5:H$639,$A$5:$A$639,$A168,$C$5:$C$639,$C168-1,$D$5:$D$639,$D168)&lt;0),"n.s.",ABS(H168)/ABS(SUMIFS(H$5:H$639,$A$5:$A$639,$A168,$C$5:$C$639,$C168-1,$D$5:$D$639,$D168))-1)))</f>
        <v/>
      </c>
      <c r="Q168" s="16">
        <f>IF(OR($A168="",I168="",$C168=""),"",IF(COUNTIFS($A$5:$A$639,$A168,$C$5:$C$639,$C168-1,$D$5:$D$639,$D168,I$5:I$639,"&lt;&gt;")=0,"",IF(OR(SUMIFS(I$5:I$639,$A$5:$A$639,$A168,$C$5:$C$639,$C168-1,$D$5:$D$639,$D168)=0,I168*SUMIFS(I$5:I$639,$A$5:$A$639,$A168,$C$5:$C$639,$C168-1,$D$5:$D$639,$D168)&lt;0),"n.s.",ABS(I168)/ABS(SUMIFS(I$5:I$639,$A$5:$A$639,$A168,$C$5:$C$639,$C168-1,$D$5:$D$639,$D168))-1)))</f>
        <v/>
      </c>
      <c r="R168" s="16">
        <f>IF(OR($A168="",J168="",$C168=""),"",IF(COUNTIFS($A$5:$A$639,$A168,$C$5:$C$639,$C168-1,$D$5:$D$639,$D168,J$5:J$639,"&lt;&gt;")=0,"",IF(OR(SUMIFS(J$5:J$639,$A$5:$A$639,$A168,$C$5:$C$639,$C168-1,$D$5:$D$639,$D168)=0,J168*SUMIFS(J$5:J$639,$A$5:$A$639,$A168,$C$5:$C$639,$C168-1,$D$5:$D$639,$D168)&lt;0),"n.s.",ABS(J168)/ABS(SUMIFS(J$5:J$639,$A$5:$A$639,$A168,$C$5:$C$639,$C168-1,$D$5:$D$639,$D168))-1)))</f>
        <v/>
      </c>
      <c r="S168" s="16">
        <f>IF(OR($A168="",K168="",$C168=""),"",IF(COUNTIFS($A$5:$A$639,$A168,$C$5:$C$639,$C168-1,$D$5:$D$639,$D168,K$5:K$639,"&lt;&gt;")=0,"",IF(OR(SUMIFS(K$5:K$639,$A$5:$A$639,$A168,$C$5:$C$639,$C168-1,$D$5:$D$639,$D168)=0,K168*SUMIFS(K$5:K$639,$A$5:$A$639,$A168,$C$5:$C$639,$C168-1,$D$5:$D$639,$D168)&lt;0),"n.s.",ABS(K168)/ABS(SUMIFS(K$5:K$639,$A$5:$A$639,$A168,$C$5:$C$639,$C168-1,$D$5:$D$639,$D168))-1)))</f>
        <v/>
      </c>
      <c r="T168" s="16">
        <f>IF(OR($A168="",L168="",$C168=""),"",IF(COUNTIFS($A$5:$A$639,$A168,$C$5:$C$639,$C168-1,$D$5:$D$639,$D168,L$5:L$639,"&lt;&gt;")=0,"",IF(OR(SUMIFS(L$5:L$639,$A$5:$A$639,$A168,$C$5:$C$639,$C168-1,$D$5:$D$639,$D168)=0,L168*SUMIFS(L$5:L$639,$A$5:$A$639,$A168,$C$5:$C$639,$C168-1,$D$5:$D$639,$D168)&lt;0),"n.s.",ABS(L168)/ABS(SUMIFS(L$5:L$639,$A$5:$A$639,$A168,$C$5:$C$639,$C168-1,$D$5:$D$639,$D168))-1)))</f>
        <v/>
      </c>
      <c r="U168" s="16">
        <f>IF(OR($A168="",M168="",$C168=""),"",IF(COUNTIFS($A$5:$A$639,$A168,$C$5:$C$639,$C168-1,$D$5:$D$639,$D168,M$5:M$639,"&lt;&gt;")=0,"",IF(OR(SUMIFS(M$5:M$639,$A$5:$A$639,$A168,$C$5:$C$639,$C168-1,$D$5:$D$639,$D168)=0,M168*SUMIFS(M$5:M$639,$A$5:$A$639,$A168,$C$5:$C$639,$C168-1,$D$5:$D$639,$D168)&lt;0),"n.s.",ABS(M168)/ABS(SUMIFS(M$5:M$639,$A$5:$A$639,$A168,$C$5:$C$639,$C168-1,$D$5:$D$639,$D168))-1)))</f>
        <v/>
      </c>
    </row>
    <row r="169">
      <c r="A169" s="9" t="inlineStr">
        <is>
          <t>ABJC</t>
        </is>
      </c>
      <c r="B169" s="10">
        <f>IF(A169="","",IFERROR(VLOOKUP(A169,Titres!$A$2:$B$400,2,FALSE),"Ticker inconnu"))</f>
        <v/>
      </c>
      <c r="C169" s="11" t="n">
        <v>2021</v>
      </c>
      <c r="D169" s="11" t="inlineStr">
        <is>
          <t>T3</t>
        </is>
      </c>
      <c r="E169" s="9" t="n"/>
      <c r="F169" s="12" t="n"/>
      <c r="G169" s="9" t="n"/>
      <c r="H169" s="13" t="n"/>
      <c r="I169" s="13" t="n"/>
      <c r="J169" s="13" t="n"/>
      <c r="K169" s="13" t="n"/>
      <c r="L169" s="13" t="n"/>
      <c r="M169" s="13" t="n"/>
      <c r="N169" s="14">
        <f>IF(A169="","",COUNT(H169:M169)/6)</f>
        <v/>
      </c>
      <c r="O169" s="15">
        <f>IF(COUNT(H169:M169)=0,"",IF(LEN(IF(COUNT(I169,J169)=2,IF(J169&gt;I169+1,"EBE &gt; VA ",""),"")&amp;IF(COUNT(H169,M169)=2,IF(ABS(M169)&gt;ABS(H169),"RN &gt; CA ",""),"")&amp;IF(COUNT(H169,K169)=2,IF(ABS(K169)&gt;ABS(H169),"RE &gt; CA ",""),""))=0,"OK",IF(COUNT(I169,J169)=2,IF(J169&gt;I169+1,"EBE &gt; VA ",""),"")&amp;IF(COUNT(H169,M169)=2,IF(ABS(M169)&gt;ABS(H169),"RN &gt; CA ",""),"")&amp;IF(COUNT(H169,K169)=2,IF(ABS(K169)&gt;ABS(H169),"RE &gt; CA ",""),"")))</f>
        <v/>
      </c>
      <c r="P169" s="16">
        <f>IF(OR($A169="",H169="",$C169=""),"",IF(COUNTIFS($A$5:$A$639,$A169,$C$5:$C$639,$C169-1,$D$5:$D$639,$D169,H$5:H$639,"&lt;&gt;")=0,"",IF(OR(SUMIFS(H$5:H$639,$A$5:$A$639,$A169,$C$5:$C$639,$C169-1,$D$5:$D$639,$D169)=0,H169*SUMIFS(H$5:H$639,$A$5:$A$639,$A169,$C$5:$C$639,$C169-1,$D$5:$D$639,$D169)&lt;0),"n.s.",ABS(H169)/ABS(SUMIFS(H$5:H$639,$A$5:$A$639,$A169,$C$5:$C$639,$C169-1,$D$5:$D$639,$D169))-1)))</f>
        <v/>
      </c>
      <c r="Q169" s="16">
        <f>IF(OR($A169="",I169="",$C169=""),"",IF(COUNTIFS($A$5:$A$639,$A169,$C$5:$C$639,$C169-1,$D$5:$D$639,$D169,I$5:I$639,"&lt;&gt;")=0,"",IF(OR(SUMIFS(I$5:I$639,$A$5:$A$639,$A169,$C$5:$C$639,$C169-1,$D$5:$D$639,$D169)=0,I169*SUMIFS(I$5:I$639,$A$5:$A$639,$A169,$C$5:$C$639,$C169-1,$D$5:$D$639,$D169)&lt;0),"n.s.",ABS(I169)/ABS(SUMIFS(I$5:I$639,$A$5:$A$639,$A169,$C$5:$C$639,$C169-1,$D$5:$D$639,$D169))-1)))</f>
        <v/>
      </c>
      <c r="R169" s="16">
        <f>IF(OR($A169="",J169="",$C169=""),"",IF(COUNTIFS($A$5:$A$639,$A169,$C$5:$C$639,$C169-1,$D$5:$D$639,$D169,J$5:J$639,"&lt;&gt;")=0,"",IF(OR(SUMIFS(J$5:J$639,$A$5:$A$639,$A169,$C$5:$C$639,$C169-1,$D$5:$D$639,$D169)=0,J169*SUMIFS(J$5:J$639,$A$5:$A$639,$A169,$C$5:$C$639,$C169-1,$D$5:$D$639,$D169)&lt;0),"n.s.",ABS(J169)/ABS(SUMIFS(J$5:J$639,$A$5:$A$639,$A169,$C$5:$C$639,$C169-1,$D$5:$D$639,$D169))-1)))</f>
        <v/>
      </c>
      <c r="S169" s="16">
        <f>IF(OR($A169="",K169="",$C169=""),"",IF(COUNTIFS($A$5:$A$639,$A169,$C$5:$C$639,$C169-1,$D$5:$D$639,$D169,K$5:K$639,"&lt;&gt;")=0,"",IF(OR(SUMIFS(K$5:K$639,$A$5:$A$639,$A169,$C$5:$C$639,$C169-1,$D$5:$D$639,$D169)=0,K169*SUMIFS(K$5:K$639,$A$5:$A$639,$A169,$C$5:$C$639,$C169-1,$D$5:$D$639,$D169)&lt;0),"n.s.",ABS(K169)/ABS(SUMIFS(K$5:K$639,$A$5:$A$639,$A169,$C$5:$C$639,$C169-1,$D$5:$D$639,$D169))-1)))</f>
        <v/>
      </c>
      <c r="T169" s="16">
        <f>IF(OR($A169="",L169="",$C169=""),"",IF(COUNTIFS($A$5:$A$639,$A169,$C$5:$C$639,$C169-1,$D$5:$D$639,$D169,L$5:L$639,"&lt;&gt;")=0,"",IF(OR(SUMIFS(L$5:L$639,$A$5:$A$639,$A169,$C$5:$C$639,$C169-1,$D$5:$D$639,$D169)=0,L169*SUMIFS(L$5:L$639,$A$5:$A$639,$A169,$C$5:$C$639,$C169-1,$D$5:$D$639,$D169)&lt;0),"n.s.",ABS(L169)/ABS(SUMIFS(L$5:L$639,$A$5:$A$639,$A169,$C$5:$C$639,$C169-1,$D$5:$D$639,$D169))-1)))</f>
        <v/>
      </c>
      <c r="U169" s="16">
        <f>IF(OR($A169="",M169="",$C169=""),"",IF(COUNTIFS($A$5:$A$639,$A169,$C$5:$C$639,$C169-1,$D$5:$D$639,$D169,M$5:M$639,"&lt;&gt;")=0,"",IF(OR(SUMIFS(M$5:M$639,$A$5:$A$639,$A169,$C$5:$C$639,$C169-1,$D$5:$D$639,$D169)=0,M169*SUMIFS(M$5:M$639,$A$5:$A$639,$A169,$C$5:$C$639,$C169-1,$D$5:$D$639,$D169)&lt;0),"n.s.",ABS(M169)/ABS(SUMIFS(M$5:M$639,$A$5:$A$639,$A169,$C$5:$C$639,$C169-1,$D$5:$D$639,$D169))-1)))</f>
        <v/>
      </c>
    </row>
    <row r="170">
      <c r="A170" s="9" t="inlineStr">
        <is>
          <t>ABJC</t>
        </is>
      </c>
      <c r="B170" s="10">
        <f>IF(A170="","",IFERROR(VLOOKUP(A170,Titres!$A$2:$B$400,2,FALSE),"Ticker inconnu"))</f>
        <v/>
      </c>
      <c r="C170" s="11" t="n">
        <v>2022</v>
      </c>
      <c r="D170" s="11" t="inlineStr">
        <is>
          <t>T1</t>
        </is>
      </c>
      <c r="E170" s="9" t="n"/>
      <c r="F170" s="12" t="n"/>
      <c r="G170" s="9" t="n"/>
      <c r="H170" s="13" t="n"/>
      <c r="I170" s="13" t="n"/>
      <c r="J170" s="13" t="n"/>
      <c r="K170" s="13" t="n"/>
      <c r="L170" s="13" t="n"/>
      <c r="M170" s="13" t="n"/>
      <c r="N170" s="14">
        <f>IF(A170="","",COUNT(H170:M170)/6)</f>
        <v/>
      </c>
      <c r="O170" s="15">
        <f>IF(COUNT(H170:M170)=0,"",IF(LEN(IF(COUNT(I170,J170)=2,IF(J170&gt;I170+1,"EBE &gt; VA ",""),"")&amp;IF(COUNT(H170,M170)=2,IF(ABS(M170)&gt;ABS(H170),"RN &gt; CA ",""),"")&amp;IF(COUNT(H170,K170)=2,IF(ABS(K170)&gt;ABS(H170),"RE &gt; CA ",""),""))=0,"OK",IF(COUNT(I170,J170)=2,IF(J170&gt;I170+1,"EBE &gt; VA ",""),"")&amp;IF(COUNT(H170,M170)=2,IF(ABS(M170)&gt;ABS(H170),"RN &gt; CA ",""),"")&amp;IF(COUNT(H170,K170)=2,IF(ABS(K170)&gt;ABS(H170),"RE &gt; CA ",""),"")))</f>
        <v/>
      </c>
      <c r="P170" s="16">
        <f>IF(OR($A170="",H170="",$C170=""),"",IF(COUNTIFS($A$5:$A$639,$A170,$C$5:$C$639,$C170-1,$D$5:$D$639,$D170,H$5:H$639,"&lt;&gt;")=0,"",IF(OR(SUMIFS(H$5:H$639,$A$5:$A$639,$A170,$C$5:$C$639,$C170-1,$D$5:$D$639,$D170)=0,H170*SUMIFS(H$5:H$639,$A$5:$A$639,$A170,$C$5:$C$639,$C170-1,$D$5:$D$639,$D170)&lt;0),"n.s.",ABS(H170)/ABS(SUMIFS(H$5:H$639,$A$5:$A$639,$A170,$C$5:$C$639,$C170-1,$D$5:$D$639,$D170))-1)))</f>
        <v/>
      </c>
      <c r="Q170" s="16">
        <f>IF(OR($A170="",I170="",$C170=""),"",IF(COUNTIFS($A$5:$A$639,$A170,$C$5:$C$639,$C170-1,$D$5:$D$639,$D170,I$5:I$639,"&lt;&gt;")=0,"",IF(OR(SUMIFS(I$5:I$639,$A$5:$A$639,$A170,$C$5:$C$639,$C170-1,$D$5:$D$639,$D170)=0,I170*SUMIFS(I$5:I$639,$A$5:$A$639,$A170,$C$5:$C$639,$C170-1,$D$5:$D$639,$D170)&lt;0),"n.s.",ABS(I170)/ABS(SUMIFS(I$5:I$639,$A$5:$A$639,$A170,$C$5:$C$639,$C170-1,$D$5:$D$639,$D170))-1)))</f>
        <v/>
      </c>
      <c r="R170" s="16">
        <f>IF(OR($A170="",J170="",$C170=""),"",IF(COUNTIFS($A$5:$A$639,$A170,$C$5:$C$639,$C170-1,$D$5:$D$639,$D170,J$5:J$639,"&lt;&gt;")=0,"",IF(OR(SUMIFS(J$5:J$639,$A$5:$A$639,$A170,$C$5:$C$639,$C170-1,$D$5:$D$639,$D170)=0,J170*SUMIFS(J$5:J$639,$A$5:$A$639,$A170,$C$5:$C$639,$C170-1,$D$5:$D$639,$D170)&lt;0),"n.s.",ABS(J170)/ABS(SUMIFS(J$5:J$639,$A$5:$A$639,$A170,$C$5:$C$639,$C170-1,$D$5:$D$639,$D170))-1)))</f>
        <v/>
      </c>
      <c r="S170" s="16">
        <f>IF(OR($A170="",K170="",$C170=""),"",IF(COUNTIFS($A$5:$A$639,$A170,$C$5:$C$639,$C170-1,$D$5:$D$639,$D170,K$5:K$639,"&lt;&gt;")=0,"",IF(OR(SUMIFS(K$5:K$639,$A$5:$A$639,$A170,$C$5:$C$639,$C170-1,$D$5:$D$639,$D170)=0,K170*SUMIFS(K$5:K$639,$A$5:$A$639,$A170,$C$5:$C$639,$C170-1,$D$5:$D$639,$D170)&lt;0),"n.s.",ABS(K170)/ABS(SUMIFS(K$5:K$639,$A$5:$A$639,$A170,$C$5:$C$639,$C170-1,$D$5:$D$639,$D170))-1)))</f>
        <v/>
      </c>
      <c r="T170" s="16">
        <f>IF(OR($A170="",L170="",$C170=""),"",IF(COUNTIFS($A$5:$A$639,$A170,$C$5:$C$639,$C170-1,$D$5:$D$639,$D170,L$5:L$639,"&lt;&gt;")=0,"",IF(OR(SUMIFS(L$5:L$639,$A$5:$A$639,$A170,$C$5:$C$639,$C170-1,$D$5:$D$639,$D170)=0,L170*SUMIFS(L$5:L$639,$A$5:$A$639,$A170,$C$5:$C$639,$C170-1,$D$5:$D$639,$D170)&lt;0),"n.s.",ABS(L170)/ABS(SUMIFS(L$5:L$639,$A$5:$A$639,$A170,$C$5:$C$639,$C170-1,$D$5:$D$639,$D170))-1)))</f>
        <v/>
      </c>
      <c r="U170" s="16">
        <f>IF(OR($A170="",M170="",$C170=""),"",IF(COUNTIFS($A$5:$A$639,$A170,$C$5:$C$639,$C170-1,$D$5:$D$639,$D170,M$5:M$639,"&lt;&gt;")=0,"",IF(OR(SUMIFS(M$5:M$639,$A$5:$A$639,$A170,$C$5:$C$639,$C170-1,$D$5:$D$639,$D170)=0,M170*SUMIFS(M$5:M$639,$A$5:$A$639,$A170,$C$5:$C$639,$C170-1,$D$5:$D$639,$D170)&lt;0),"n.s.",ABS(M170)/ABS(SUMIFS(M$5:M$639,$A$5:$A$639,$A170,$C$5:$C$639,$C170-1,$D$5:$D$639,$D170))-1)))</f>
        <v/>
      </c>
    </row>
    <row r="171">
      <c r="A171" s="9" t="inlineStr">
        <is>
          <t>ABJC</t>
        </is>
      </c>
      <c r="B171" s="10">
        <f>IF(A171="","",IFERROR(VLOOKUP(A171,Titres!$A$2:$B$400,2,FALSE),"Ticker inconnu"))</f>
        <v/>
      </c>
      <c r="C171" s="11" t="n">
        <v>2022</v>
      </c>
      <c r="D171" s="11" t="inlineStr">
        <is>
          <t>S1</t>
        </is>
      </c>
      <c r="E171" s="9" t="n"/>
      <c r="F171" s="12" t="n"/>
      <c r="G171" s="9" t="n"/>
      <c r="H171" s="13" t="n"/>
      <c r="I171" s="13" t="n"/>
      <c r="J171" s="13" t="n"/>
      <c r="K171" s="13" t="n"/>
      <c r="L171" s="13" t="n"/>
      <c r="M171" s="13" t="n"/>
      <c r="N171" s="14">
        <f>IF(A171="","",COUNT(H171:M171)/6)</f>
        <v/>
      </c>
      <c r="O171" s="15">
        <f>IF(COUNT(H171:M171)=0,"",IF(LEN(IF(COUNT(I171,J171)=2,IF(J171&gt;I171+1,"EBE &gt; VA ",""),"")&amp;IF(COUNT(H171,M171)=2,IF(ABS(M171)&gt;ABS(H171),"RN &gt; CA ",""),"")&amp;IF(COUNT(H171,K171)=2,IF(ABS(K171)&gt;ABS(H171),"RE &gt; CA ",""),""))=0,"OK",IF(COUNT(I171,J171)=2,IF(J171&gt;I171+1,"EBE &gt; VA ",""),"")&amp;IF(COUNT(H171,M171)=2,IF(ABS(M171)&gt;ABS(H171),"RN &gt; CA ",""),"")&amp;IF(COUNT(H171,K171)=2,IF(ABS(K171)&gt;ABS(H171),"RE &gt; CA ",""),"")))</f>
        <v/>
      </c>
      <c r="P171" s="16">
        <f>IF(OR($A171="",H171="",$C171=""),"",IF(COUNTIFS($A$5:$A$639,$A171,$C$5:$C$639,$C171-1,$D$5:$D$639,$D171,H$5:H$639,"&lt;&gt;")=0,"",IF(OR(SUMIFS(H$5:H$639,$A$5:$A$639,$A171,$C$5:$C$639,$C171-1,$D$5:$D$639,$D171)=0,H171*SUMIFS(H$5:H$639,$A$5:$A$639,$A171,$C$5:$C$639,$C171-1,$D$5:$D$639,$D171)&lt;0),"n.s.",ABS(H171)/ABS(SUMIFS(H$5:H$639,$A$5:$A$639,$A171,$C$5:$C$639,$C171-1,$D$5:$D$639,$D171))-1)))</f>
        <v/>
      </c>
      <c r="Q171" s="16">
        <f>IF(OR($A171="",I171="",$C171=""),"",IF(COUNTIFS($A$5:$A$639,$A171,$C$5:$C$639,$C171-1,$D$5:$D$639,$D171,I$5:I$639,"&lt;&gt;")=0,"",IF(OR(SUMIFS(I$5:I$639,$A$5:$A$639,$A171,$C$5:$C$639,$C171-1,$D$5:$D$639,$D171)=0,I171*SUMIFS(I$5:I$639,$A$5:$A$639,$A171,$C$5:$C$639,$C171-1,$D$5:$D$639,$D171)&lt;0),"n.s.",ABS(I171)/ABS(SUMIFS(I$5:I$639,$A$5:$A$639,$A171,$C$5:$C$639,$C171-1,$D$5:$D$639,$D171))-1)))</f>
        <v/>
      </c>
      <c r="R171" s="16">
        <f>IF(OR($A171="",J171="",$C171=""),"",IF(COUNTIFS($A$5:$A$639,$A171,$C$5:$C$639,$C171-1,$D$5:$D$639,$D171,J$5:J$639,"&lt;&gt;")=0,"",IF(OR(SUMIFS(J$5:J$639,$A$5:$A$639,$A171,$C$5:$C$639,$C171-1,$D$5:$D$639,$D171)=0,J171*SUMIFS(J$5:J$639,$A$5:$A$639,$A171,$C$5:$C$639,$C171-1,$D$5:$D$639,$D171)&lt;0),"n.s.",ABS(J171)/ABS(SUMIFS(J$5:J$639,$A$5:$A$639,$A171,$C$5:$C$639,$C171-1,$D$5:$D$639,$D171))-1)))</f>
        <v/>
      </c>
      <c r="S171" s="16">
        <f>IF(OR($A171="",K171="",$C171=""),"",IF(COUNTIFS($A$5:$A$639,$A171,$C$5:$C$639,$C171-1,$D$5:$D$639,$D171,K$5:K$639,"&lt;&gt;")=0,"",IF(OR(SUMIFS(K$5:K$639,$A$5:$A$639,$A171,$C$5:$C$639,$C171-1,$D$5:$D$639,$D171)=0,K171*SUMIFS(K$5:K$639,$A$5:$A$639,$A171,$C$5:$C$639,$C171-1,$D$5:$D$639,$D171)&lt;0),"n.s.",ABS(K171)/ABS(SUMIFS(K$5:K$639,$A$5:$A$639,$A171,$C$5:$C$639,$C171-1,$D$5:$D$639,$D171))-1)))</f>
        <v/>
      </c>
      <c r="T171" s="16">
        <f>IF(OR($A171="",L171="",$C171=""),"",IF(COUNTIFS($A$5:$A$639,$A171,$C$5:$C$639,$C171-1,$D$5:$D$639,$D171,L$5:L$639,"&lt;&gt;")=0,"",IF(OR(SUMIFS(L$5:L$639,$A$5:$A$639,$A171,$C$5:$C$639,$C171-1,$D$5:$D$639,$D171)=0,L171*SUMIFS(L$5:L$639,$A$5:$A$639,$A171,$C$5:$C$639,$C171-1,$D$5:$D$639,$D171)&lt;0),"n.s.",ABS(L171)/ABS(SUMIFS(L$5:L$639,$A$5:$A$639,$A171,$C$5:$C$639,$C171-1,$D$5:$D$639,$D171))-1)))</f>
        <v/>
      </c>
      <c r="U171" s="16">
        <f>IF(OR($A171="",M171="",$C171=""),"",IF(COUNTIFS($A$5:$A$639,$A171,$C$5:$C$639,$C171-1,$D$5:$D$639,$D171,M$5:M$639,"&lt;&gt;")=0,"",IF(OR(SUMIFS(M$5:M$639,$A$5:$A$639,$A171,$C$5:$C$639,$C171-1,$D$5:$D$639,$D171)=0,M171*SUMIFS(M$5:M$639,$A$5:$A$639,$A171,$C$5:$C$639,$C171-1,$D$5:$D$639,$D171)&lt;0),"n.s.",ABS(M171)/ABS(SUMIFS(M$5:M$639,$A$5:$A$639,$A171,$C$5:$C$639,$C171-1,$D$5:$D$639,$D171))-1)))</f>
        <v/>
      </c>
    </row>
    <row r="172">
      <c r="A172" s="9" t="inlineStr">
        <is>
          <t>ABJC</t>
        </is>
      </c>
      <c r="B172" s="10">
        <f>IF(A172="","",IFERROR(VLOOKUP(A172,Titres!$A$2:$B$400,2,FALSE),"Ticker inconnu"))</f>
        <v/>
      </c>
      <c r="C172" s="11" t="n">
        <v>2022</v>
      </c>
      <c r="D172" s="11" t="inlineStr">
        <is>
          <t>T3</t>
        </is>
      </c>
      <c r="E172" s="9" t="n"/>
      <c r="F172" s="12" t="n"/>
      <c r="G172" s="9" t="n"/>
      <c r="H172" s="13" t="n"/>
      <c r="I172" s="13" t="n"/>
      <c r="J172" s="13" t="n"/>
      <c r="K172" s="13" t="n"/>
      <c r="L172" s="13" t="n"/>
      <c r="M172" s="13" t="n"/>
      <c r="N172" s="14">
        <f>IF(A172="","",COUNT(H172:M172)/6)</f>
        <v/>
      </c>
      <c r="O172" s="15">
        <f>IF(COUNT(H172:M172)=0,"",IF(LEN(IF(COUNT(I172,J172)=2,IF(J172&gt;I172+1,"EBE &gt; VA ",""),"")&amp;IF(COUNT(H172,M172)=2,IF(ABS(M172)&gt;ABS(H172),"RN &gt; CA ",""),"")&amp;IF(COUNT(H172,K172)=2,IF(ABS(K172)&gt;ABS(H172),"RE &gt; CA ",""),""))=0,"OK",IF(COUNT(I172,J172)=2,IF(J172&gt;I172+1,"EBE &gt; VA ",""),"")&amp;IF(COUNT(H172,M172)=2,IF(ABS(M172)&gt;ABS(H172),"RN &gt; CA ",""),"")&amp;IF(COUNT(H172,K172)=2,IF(ABS(K172)&gt;ABS(H172),"RE &gt; CA ",""),"")))</f>
        <v/>
      </c>
      <c r="P172" s="16">
        <f>IF(OR($A172="",H172="",$C172=""),"",IF(COUNTIFS($A$5:$A$639,$A172,$C$5:$C$639,$C172-1,$D$5:$D$639,$D172,H$5:H$639,"&lt;&gt;")=0,"",IF(OR(SUMIFS(H$5:H$639,$A$5:$A$639,$A172,$C$5:$C$639,$C172-1,$D$5:$D$639,$D172)=0,H172*SUMIFS(H$5:H$639,$A$5:$A$639,$A172,$C$5:$C$639,$C172-1,$D$5:$D$639,$D172)&lt;0),"n.s.",ABS(H172)/ABS(SUMIFS(H$5:H$639,$A$5:$A$639,$A172,$C$5:$C$639,$C172-1,$D$5:$D$639,$D172))-1)))</f>
        <v/>
      </c>
      <c r="Q172" s="16">
        <f>IF(OR($A172="",I172="",$C172=""),"",IF(COUNTIFS($A$5:$A$639,$A172,$C$5:$C$639,$C172-1,$D$5:$D$639,$D172,I$5:I$639,"&lt;&gt;")=0,"",IF(OR(SUMIFS(I$5:I$639,$A$5:$A$639,$A172,$C$5:$C$639,$C172-1,$D$5:$D$639,$D172)=0,I172*SUMIFS(I$5:I$639,$A$5:$A$639,$A172,$C$5:$C$639,$C172-1,$D$5:$D$639,$D172)&lt;0),"n.s.",ABS(I172)/ABS(SUMIFS(I$5:I$639,$A$5:$A$639,$A172,$C$5:$C$639,$C172-1,$D$5:$D$639,$D172))-1)))</f>
        <v/>
      </c>
      <c r="R172" s="16">
        <f>IF(OR($A172="",J172="",$C172=""),"",IF(COUNTIFS($A$5:$A$639,$A172,$C$5:$C$639,$C172-1,$D$5:$D$639,$D172,J$5:J$639,"&lt;&gt;")=0,"",IF(OR(SUMIFS(J$5:J$639,$A$5:$A$639,$A172,$C$5:$C$639,$C172-1,$D$5:$D$639,$D172)=0,J172*SUMIFS(J$5:J$639,$A$5:$A$639,$A172,$C$5:$C$639,$C172-1,$D$5:$D$639,$D172)&lt;0),"n.s.",ABS(J172)/ABS(SUMIFS(J$5:J$639,$A$5:$A$639,$A172,$C$5:$C$639,$C172-1,$D$5:$D$639,$D172))-1)))</f>
        <v/>
      </c>
      <c r="S172" s="16">
        <f>IF(OR($A172="",K172="",$C172=""),"",IF(COUNTIFS($A$5:$A$639,$A172,$C$5:$C$639,$C172-1,$D$5:$D$639,$D172,K$5:K$639,"&lt;&gt;")=0,"",IF(OR(SUMIFS(K$5:K$639,$A$5:$A$639,$A172,$C$5:$C$639,$C172-1,$D$5:$D$639,$D172)=0,K172*SUMIFS(K$5:K$639,$A$5:$A$639,$A172,$C$5:$C$639,$C172-1,$D$5:$D$639,$D172)&lt;0),"n.s.",ABS(K172)/ABS(SUMIFS(K$5:K$639,$A$5:$A$639,$A172,$C$5:$C$639,$C172-1,$D$5:$D$639,$D172))-1)))</f>
        <v/>
      </c>
      <c r="T172" s="16">
        <f>IF(OR($A172="",L172="",$C172=""),"",IF(COUNTIFS($A$5:$A$639,$A172,$C$5:$C$639,$C172-1,$D$5:$D$639,$D172,L$5:L$639,"&lt;&gt;")=0,"",IF(OR(SUMIFS(L$5:L$639,$A$5:$A$639,$A172,$C$5:$C$639,$C172-1,$D$5:$D$639,$D172)=0,L172*SUMIFS(L$5:L$639,$A$5:$A$639,$A172,$C$5:$C$639,$C172-1,$D$5:$D$639,$D172)&lt;0),"n.s.",ABS(L172)/ABS(SUMIFS(L$5:L$639,$A$5:$A$639,$A172,$C$5:$C$639,$C172-1,$D$5:$D$639,$D172))-1)))</f>
        <v/>
      </c>
      <c r="U172" s="16">
        <f>IF(OR($A172="",M172="",$C172=""),"",IF(COUNTIFS($A$5:$A$639,$A172,$C$5:$C$639,$C172-1,$D$5:$D$639,$D172,M$5:M$639,"&lt;&gt;")=0,"",IF(OR(SUMIFS(M$5:M$639,$A$5:$A$639,$A172,$C$5:$C$639,$C172-1,$D$5:$D$639,$D172)=0,M172*SUMIFS(M$5:M$639,$A$5:$A$639,$A172,$C$5:$C$639,$C172-1,$D$5:$D$639,$D172)&lt;0),"n.s.",ABS(M172)/ABS(SUMIFS(M$5:M$639,$A$5:$A$639,$A172,$C$5:$C$639,$C172-1,$D$5:$D$639,$D172))-1)))</f>
        <v/>
      </c>
    </row>
    <row r="173">
      <c r="A173" s="9" t="inlineStr">
        <is>
          <t>ABJC</t>
        </is>
      </c>
      <c r="B173" s="10">
        <f>IF(A173="","",IFERROR(VLOOKUP(A173,Titres!$A$2:$B$400,2,FALSE),"Ticker inconnu"))</f>
        <v/>
      </c>
      <c r="C173" s="11" t="n">
        <v>2023</v>
      </c>
      <c r="D173" s="11" t="inlineStr">
        <is>
          <t>T1</t>
        </is>
      </c>
      <c r="E173" s="9" t="n"/>
      <c r="F173" s="12" t="n"/>
      <c r="G173" s="9" t="n"/>
      <c r="H173" s="13" t="n"/>
      <c r="I173" s="13" t="n"/>
      <c r="J173" s="13" t="n"/>
      <c r="K173" s="13" t="n"/>
      <c r="L173" s="13" t="n"/>
      <c r="M173" s="13" t="n"/>
      <c r="N173" s="14">
        <f>IF(A173="","",COUNT(H173:M173)/6)</f>
        <v/>
      </c>
      <c r="O173" s="15">
        <f>IF(COUNT(H173:M173)=0,"",IF(LEN(IF(COUNT(I173,J173)=2,IF(J173&gt;I173+1,"EBE &gt; VA ",""),"")&amp;IF(COUNT(H173,M173)=2,IF(ABS(M173)&gt;ABS(H173),"RN &gt; CA ",""),"")&amp;IF(COUNT(H173,K173)=2,IF(ABS(K173)&gt;ABS(H173),"RE &gt; CA ",""),""))=0,"OK",IF(COUNT(I173,J173)=2,IF(J173&gt;I173+1,"EBE &gt; VA ",""),"")&amp;IF(COUNT(H173,M173)=2,IF(ABS(M173)&gt;ABS(H173),"RN &gt; CA ",""),"")&amp;IF(COUNT(H173,K173)=2,IF(ABS(K173)&gt;ABS(H173),"RE &gt; CA ",""),"")))</f>
        <v/>
      </c>
      <c r="P173" s="16">
        <f>IF(OR($A173="",H173="",$C173=""),"",IF(COUNTIFS($A$5:$A$639,$A173,$C$5:$C$639,$C173-1,$D$5:$D$639,$D173,H$5:H$639,"&lt;&gt;")=0,"",IF(OR(SUMIFS(H$5:H$639,$A$5:$A$639,$A173,$C$5:$C$639,$C173-1,$D$5:$D$639,$D173)=0,H173*SUMIFS(H$5:H$639,$A$5:$A$639,$A173,$C$5:$C$639,$C173-1,$D$5:$D$639,$D173)&lt;0),"n.s.",ABS(H173)/ABS(SUMIFS(H$5:H$639,$A$5:$A$639,$A173,$C$5:$C$639,$C173-1,$D$5:$D$639,$D173))-1)))</f>
        <v/>
      </c>
      <c r="Q173" s="16">
        <f>IF(OR($A173="",I173="",$C173=""),"",IF(COUNTIFS($A$5:$A$639,$A173,$C$5:$C$639,$C173-1,$D$5:$D$639,$D173,I$5:I$639,"&lt;&gt;")=0,"",IF(OR(SUMIFS(I$5:I$639,$A$5:$A$639,$A173,$C$5:$C$639,$C173-1,$D$5:$D$639,$D173)=0,I173*SUMIFS(I$5:I$639,$A$5:$A$639,$A173,$C$5:$C$639,$C173-1,$D$5:$D$639,$D173)&lt;0),"n.s.",ABS(I173)/ABS(SUMIFS(I$5:I$639,$A$5:$A$639,$A173,$C$5:$C$639,$C173-1,$D$5:$D$639,$D173))-1)))</f>
        <v/>
      </c>
      <c r="R173" s="16">
        <f>IF(OR($A173="",J173="",$C173=""),"",IF(COUNTIFS($A$5:$A$639,$A173,$C$5:$C$639,$C173-1,$D$5:$D$639,$D173,J$5:J$639,"&lt;&gt;")=0,"",IF(OR(SUMIFS(J$5:J$639,$A$5:$A$639,$A173,$C$5:$C$639,$C173-1,$D$5:$D$639,$D173)=0,J173*SUMIFS(J$5:J$639,$A$5:$A$639,$A173,$C$5:$C$639,$C173-1,$D$5:$D$639,$D173)&lt;0),"n.s.",ABS(J173)/ABS(SUMIFS(J$5:J$639,$A$5:$A$639,$A173,$C$5:$C$639,$C173-1,$D$5:$D$639,$D173))-1)))</f>
        <v/>
      </c>
      <c r="S173" s="16">
        <f>IF(OR($A173="",K173="",$C173=""),"",IF(COUNTIFS($A$5:$A$639,$A173,$C$5:$C$639,$C173-1,$D$5:$D$639,$D173,K$5:K$639,"&lt;&gt;")=0,"",IF(OR(SUMIFS(K$5:K$639,$A$5:$A$639,$A173,$C$5:$C$639,$C173-1,$D$5:$D$639,$D173)=0,K173*SUMIFS(K$5:K$639,$A$5:$A$639,$A173,$C$5:$C$639,$C173-1,$D$5:$D$639,$D173)&lt;0),"n.s.",ABS(K173)/ABS(SUMIFS(K$5:K$639,$A$5:$A$639,$A173,$C$5:$C$639,$C173-1,$D$5:$D$639,$D173))-1)))</f>
        <v/>
      </c>
      <c r="T173" s="16">
        <f>IF(OR($A173="",L173="",$C173=""),"",IF(COUNTIFS($A$5:$A$639,$A173,$C$5:$C$639,$C173-1,$D$5:$D$639,$D173,L$5:L$639,"&lt;&gt;")=0,"",IF(OR(SUMIFS(L$5:L$639,$A$5:$A$639,$A173,$C$5:$C$639,$C173-1,$D$5:$D$639,$D173)=0,L173*SUMIFS(L$5:L$639,$A$5:$A$639,$A173,$C$5:$C$639,$C173-1,$D$5:$D$639,$D173)&lt;0),"n.s.",ABS(L173)/ABS(SUMIFS(L$5:L$639,$A$5:$A$639,$A173,$C$5:$C$639,$C173-1,$D$5:$D$639,$D173))-1)))</f>
        <v/>
      </c>
      <c r="U173" s="16">
        <f>IF(OR($A173="",M173="",$C173=""),"",IF(COUNTIFS($A$5:$A$639,$A173,$C$5:$C$639,$C173-1,$D$5:$D$639,$D173,M$5:M$639,"&lt;&gt;")=0,"",IF(OR(SUMIFS(M$5:M$639,$A$5:$A$639,$A173,$C$5:$C$639,$C173-1,$D$5:$D$639,$D173)=0,M173*SUMIFS(M$5:M$639,$A$5:$A$639,$A173,$C$5:$C$639,$C173-1,$D$5:$D$639,$D173)&lt;0),"n.s.",ABS(M173)/ABS(SUMIFS(M$5:M$639,$A$5:$A$639,$A173,$C$5:$C$639,$C173-1,$D$5:$D$639,$D173))-1)))</f>
        <v/>
      </c>
    </row>
    <row r="174">
      <c r="A174" s="9" t="inlineStr">
        <is>
          <t>ABJC</t>
        </is>
      </c>
      <c r="B174" s="10">
        <f>IF(A174="","",IFERROR(VLOOKUP(A174,Titres!$A$2:$B$400,2,FALSE),"Ticker inconnu"))</f>
        <v/>
      </c>
      <c r="C174" s="11" t="n">
        <v>2023</v>
      </c>
      <c r="D174" s="11" t="inlineStr">
        <is>
          <t>S1</t>
        </is>
      </c>
      <c r="E174" s="9" t="n"/>
      <c r="F174" s="12" t="n"/>
      <c r="G174" s="9" t="n"/>
      <c r="H174" s="13" t="n"/>
      <c r="I174" s="13" t="n"/>
      <c r="J174" s="13" t="n"/>
      <c r="K174" s="13" t="n"/>
      <c r="L174" s="13" t="n"/>
      <c r="M174" s="13" t="n"/>
      <c r="N174" s="14">
        <f>IF(A174="","",COUNT(H174:M174)/6)</f>
        <v/>
      </c>
      <c r="O174" s="15">
        <f>IF(COUNT(H174:M174)=0,"",IF(LEN(IF(COUNT(I174,J174)=2,IF(J174&gt;I174+1,"EBE &gt; VA ",""),"")&amp;IF(COUNT(H174,M174)=2,IF(ABS(M174)&gt;ABS(H174),"RN &gt; CA ",""),"")&amp;IF(COUNT(H174,K174)=2,IF(ABS(K174)&gt;ABS(H174),"RE &gt; CA ",""),""))=0,"OK",IF(COUNT(I174,J174)=2,IF(J174&gt;I174+1,"EBE &gt; VA ",""),"")&amp;IF(COUNT(H174,M174)=2,IF(ABS(M174)&gt;ABS(H174),"RN &gt; CA ",""),"")&amp;IF(COUNT(H174,K174)=2,IF(ABS(K174)&gt;ABS(H174),"RE &gt; CA ",""),"")))</f>
        <v/>
      </c>
      <c r="P174" s="16">
        <f>IF(OR($A174="",H174="",$C174=""),"",IF(COUNTIFS($A$5:$A$639,$A174,$C$5:$C$639,$C174-1,$D$5:$D$639,$D174,H$5:H$639,"&lt;&gt;")=0,"",IF(OR(SUMIFS(H$5:H$639,$A$5:$A$639,$A174,$C$5:$C$639,$C174-1,$D$5:$D$639,$D174)=0,H174*SUMIFS(H$5:H$639,$A$5:$A$639,$A174,$C$5:$C$639,$C174-1,$D$5:$D$639,$D174)&lt;0),"n.s.",ABS(H174)/ABS(SUMIFS(H$5:H$639,$A$5:$A$639,$A174,$C$5:$C$639,$C174-1,$D$5:$D$639,$D174))-1)))</f>
        <v/>
      </c>
      <c r="Q174" s="16">
        <f>IF(OR($A174="",I174="",$C174=""),"",IF(COUNTIFS($A$5:$A$639,$A174,$C$5:$C$639,$C174-1,$D$5:$D$639,$D174,I$5:I$639,"&lt;&gt;")=0,"",IF(OR(SUMIFS(I$5:I$639,$A$5:$A$639,$A174,$C$5:$C$639,$C174-1,$D$5:$D$639,$D174)=0,I174*SUMIFS(I$5:I$639,$A$5:$A$639,$A174,$C$5:$C$639,$C174-1,$D$5:$D$639,$D174)&lt;0),"n.s.",ABS(I174)/ABS(SUMIFS(I$5:I$639,$A$5:$A$639,$A174,$C$5:$C$639,$C174-1,$D$5:$D$639,$D174))-1)))</f>
        <v/>
      </c>
      <c r="R174" s="16">
        <f>IF(OR($A174="",J174="",$C174=""),"",IF(COUNTIFS($A$5:$A$639,$A174,$C$5:$C$639,$C174-1,$D$5:$D$639,$D174,J$5:J$639,"&lt;&gt;")=0,"",IF(OR(SUMIFS(J$5:J$639,$A$5:$A$639,$A174,$C$5:$C$639,$C174-1,$D$5:$D$639,$D174)=0,J174*SUMIFS(J$5:J$639,$A$5:$A$639,$A174,$C$5:$C$639,$C174-1,$D$5:$D$639,$D174)&lt;0),"n.s.",ABS(J174)/ABS(SUMIFS(J$5:J$639,$A$5:$A$639,$A174,$C$5:$C$639,$C174-1,$D$5:$D$639,$D174))-1)))</f>
        <v/>
      </c>
      <c r="S174" s="16">
        <f>IF(OR($A174="",K174="",$C174=""),"",IF(COUNTIFS($A$5:$A$639,$A174,$C$5:$C$639,$C174-1,$D$5:$D$639,$D174,K$5:K$639,"&lt;&gt;")=0,"",IF(OR(SUMIFS(K$5:K$639,$A$5:$A$639,$A174,$C$5:$C$639,$C174-1,$D$5:$D$639,$D174)=0,K174*SUMIFS(K$5:K$639,$A$5:$A$639,$A174,$C$5:$C$639,$C174-1,$D$5:$D$639,$D174)&lt;0),"n.s.",ABS(K174)/ABS(SUMIFS(K$5:K$639,$A$5:$A$639,$A174,$C$5:$C$639,$C174-1,$D$5:$D$639,$D174))-1)))</f>
        <v/>
      </c>
      <c r="T174" s="16">
        <f>IF(OR($A174="",L174="",$C174=""),"",IF(COUNTIFS($A$5:$A$639,$A174,$C$5:$C$639,$C174-1,$D$5:$D$639,$D174,L$5:L$639,"&lt;&gt;")=0,"",IF(OR(SUMIFS(L$5:L$639,$A$5:$A$639,$A174,$C$5:$C$639,$C174-1,$D$5:$D$639,$D174)=0,L174*SUMIFS(L$5:L$639,$A$5:$A$639,$A174,$C$5:$C$639,$C174-1,$D$5:$D$639,$D174)&lt;0),"n.s.",ABS(L174)/ABS(SUMIFS(L$5:L$639,$A$5:$A$639,$A174,$C$5:$C$639,$C174-1,$D$5:$D$639,$D174))-1)))</f>
        <v/>
      </c>
      <c r="U174" s="16">
        <f>IF(OR($A174="",M174="",$C174=""),"",IF(COUNTIFS($A$5:$A$639,$A174,$C$5:$C$639,$C174-1,$D$5:$D$639,$D174,M$5:M$639,"&lt;&gt;")=0,"",IF(OR(SUMIFS(M$5:M$639,$A$5:$A$639,$A174,$C$5:$C$639,$C174-1,$D$5:$D$639,$D174)=0,M174*SUMIFS(M$5:M$639,$A$5:$A$639,$A174,$C$5:$C$639,$C174-1,$D$5:$D$639,$D174)&lt;0),"n.s.",ABS(M174)/ABS(SUMIFS(M$5:M$639,$A$5:$A$639,$A174,$C$5:$C$639,$C174-1,$D$5:$D$639,$D174))-1)))</f>
        <v/>
      </c>
    </row>
    <row r="175">
      <c r="A175" s="9" t="inlineStr">
        <is>
          <t>ABJC</t>
        </is>
      </c>
      <c r="B175" s="10">
        <f>IF(A175="","",IFERROR(VLOOKUP(A175,Titres!$A$2:$B$400,2,FALSE),"Ticker inconnu"))</f>
        <v/>
      </c>
      <c r="C175" s="11" t="n">
        <v>2023</v>
      </c>
      <c r="D175" s="11" t="inlineStr">
        <is>
          <t>T3</t>
        </is>
      </c>
      <c r="E175" s="9" t="n"/>
      <c r="F175" s="12" t="n"/>
      <c r="G175" s="9" t="n"/>
      <c r="H175" s="13" t="n"/>
      <c r="I175" s="13" t="n"/>
      <c r="J175" s="13" t="n"/>
      <c r="K175" s="13" t="n"/>
      <c r="L175" s="13" t="n"/>
      <c r="M175" s="13" t="n"/>
      <c r="N175" s="14">
        <f>IF(A175="","",COUNT(H175:M175)/6)</f>
        <v/>
      </c>
      <c r="O175" s="15">
        <f>IF(COUNT(H175:M175)=0,"",IF(LEN(IF(COUNT(I175,J175)=2,IF(J175&gt;I175+1,"EBE &gt; VA ",""),"")&amp;IF(COUNT(H175,M175)=2,IF(ABS(M175)&gt;ABS(H175),"RN &gt; CA ",""),"")&amp;IF(COUNT(H175,K175)=2,IF(ABS(K175)&gt;ABS(H175),"RE &gt; CA ",""),""))=0,"OK",IF(COUNT(I175,J175)=2,IF(J175&gt;I175+1,"EBE &gt; VA ",""),"")&amp;IF(COUNT(H175,M175)=2,IF(ABS(M175)&gt;ABS(H175),"RN &gt; CA ",""),"")&amp;IF(COUNT(H175,K175)=2,IF(ABS(K175)&gt;ABS(H175),"RE &gt; CA ",""),"")))</f>
        <v/>
      </c>
      <c r="P175" s="16">
        <f>IF(OR($A175="",H175="",$C175=""),"",IF(COUNTIFS($A$5:$A$639,$A175,$C$5:$C$639,$C175-1,$D$5:$D$639,$D175,H$5:H$639,"&lt;&gt;")=0,"",IF(OR(SUMIFS(H$5:H$639,$A$5:$A$639,$A175,$C$5:$C$639,$C175-1,$D$5:$D$639,$D175)=0,H175*SUMIFS(H$5:H$639,$A$5:$A$639,$A175,$C$5:$C$639,$C175-1,$D$5:$D$639,$D175)&lt;0),"n.s.",ABS(H175)/ABS(SUMIFS(H$5:H$639,$A$5:$A$639,$A175,$C$5:$C$639,$C175-1,$D$5:$D$639,$D175))-1)))</f>
        <v/>
      </c>
      <c r="Q175" s="16">
        <f>IF(OR($A175="",I175="",$C175=""),"",IF(COUNTIFS($A$5:$A$639,$A175,$C$5:$C$639,$C175-1,$D$5:$D$639,$D175,I$5:I$639,"&lt;&gt;")=0,"",IF(OR(SUMIFS(I$5:I$639,$A$5:$A$639,$A175,$C$5:$C$639,$C175-1,$D$5:$D$639,$D175)=0,I175*SUMIFS(I$5:I$639,$A$5:$A$639,$A175,$C$5:$C$639,$C175-1,$D$5:$D$639,$D175)&lt;0),"n.s.",ABS(I175)/ABS(SUMIFS(I$5:I$639,$A$5:$A$639,$A175,$C$5:$C$639,$C175-1,$D$5:$D$639,$D175))-1)))</f>
        <v/>
      </c>
      <c r="R175" s="16">
        <f>IF(OR($A175="",J175="",$C175=""),"",IF(COUNTIFS($A$5:$A$639,$A175,$C$5:$C$639,$C175-1,$D$5:$D$639,$D175,J$5:J$639,"&lt;&gt;")=0,"",IF(OR(SUMIFS(J$5:J$639,$A$5:$A$639,$A175,$C$5:$C$639,$C175-1,$D$5:$D$639,$D175)=0,J175*SUMIFS(J$5:J$639,$A$5:$A$639,$A175,$C$5:$C$639,$C175-1,$D$5:$D$639,$D175)&lt;0),"n.s.",ABS(J175)/ABS(SUMIFS(J$5:J$639,$A$5:$A$639,$A175,$C$5:$C$639,$C175-1,$D$5:$D$639,$D175))-1)))</f>
        <v/>
      </c>
      <c r="S175" s="16">
        <f>IF(OR($A175="",K175="",$C175=""),"",IF(COUNTIFS($A$5:$A$639,$A175,$C$5:$C$639,$C175-1,$D$5:$D$639,$D175,K$5:K$639,"&lt;&gt;")=0,"",IF(OR(SUMIFS(K$5:K$639,$A$5:$A$639,$A175,$C$5:$C$639,$C175-1,$D$5:$D$639,$D175)=0,K175*SUMIFS(K$5:K$639,$A$5:$A$639,$A175,$C$5:$C$639,$C175-1,$D$5:$D$639,$D175)&lt;0),"n.s.",ABS(K175)/ABS(SUMIFS(K$5:K$639,$A$5:$A$639,$A175,$C$5:$C$639,$C175-1,$D$5:$D$639,$D175))-1)))</f>
        <v/>
      </c>
      <c r="T175" s="16">
        <f>IF(OR($A175="",L175="",$C175=""),"",IF(COUNTIFS($A$5:$A$639,$A175,$C$5:$C$639,$C175-1,$D$5:$D$639,$D175,L$5:L$639,"&lt;&gt;")=0,"",IF(OR(SUMIFS(L$5:L$639,$A$5:$A$639,$A175,$C$5:$C$639,$C175-1,$D$5:$D$639,$D175)=0,L175*SUMIFS(L$5:L$639,$A$5:$A$639,$A175,$C$5:$C$639,$C175-1,$D$5:$D$639,$D175)&lt;0),"n.s.",ABS(L175)/ABS(SUMIFS(L$5:L$639,$A$5:$A$639,$A175,$C$5:$C$639,$C175-1,$D$5:$D$639,$D175))-1)))</f>
        <v/>
      </c>
      <c r="U175" s="16">
        <f>IF(OR($A175="",M175="",$C175=""),"",IF(COUNTIFS($A$5:$A$639,$A175,$C$5:$C$639,$C175-1,$D$5:$D$639,$D175,M$5:M$639,"&lt;&gt;")=0,"",IF(OR(SUMIFS(M$5:M$639,$A$5:$A$639,$A175,$C$5:$C$639,$C175-1,$D$5:$D$639,$D175)=0,M175*SUMIFS(M$5:M$639,$A$5:$A$639,$A175,$C$5:$C$639,$C175-1,$D$5:$D$639,$D175)&lt;0),"n.s.",ABS(M175)/ABS(SUMIFS(M$5:M$639,$A$5:$A$639,$A175,$C$5:$C$639,$C175-1,$D$5:$D$639,$D175))-1)))</f>
        <v/>
      </c>
    </row>
    <row r="176">
      <c r="A176" s="9" t="inlineStr">
        <is>
          <t>ABJC</t>
        </is>
      </c>
      <c r="B176" s="10">
        <f>IF(A176="","",IFERROR(VLOOKUP(A176,Titres!$A$2:$B$400,2,FALSE),"Ticker inconnu"))</f>
        <v/>
      </c>
      <c r="C176" s="11" t="n">
        <v>2024</v>
      </c>
      <c r="D176" s="11" t="inlineStr">
        <is>
          <t>T1</t>
        </is>
      </c>
      <c r="E176" s="9" t="n"/>
      <c r="F176" s="12" t="n"/>
      <c r="G176" s="9" t="n"/>
      <c r="H176" s="13" t="n"/>
      <c r="I176" s="13" t="n"/>
      <c r="J176" s="13" t="n"/>
      <c r="K176" s="13" t="n"/>
      <c r="L176" s="13" t="n"/>
      <c r="M176" s="13" t="n"/>
      <c r="N176" s="14">
        <f>IF(A176="","",COUNT(H176:M176)/6)</f>
        <v/>
      </c>
      <c r="O176" s="15">
        <f>IF(COUNT(H176:M176)=0,"",IF(LEN(IF(COUNT(I176,J176)=2,IF(J176&gt;I176+1,"EBE &gt; VA ",""),"")&amp;IF(COUNT(H176,M176)=2,IF(ABS(M176)&gt;ABS(H176),"RN &gt; CA ",""),"")&amp;IF(COUNT(H176,K176)=2,IF(ABS(K176)&gt;ABS(H176),"RE &gt; CA ",""),""))=0,"OK",IF(COUNT(I176,J176)=2,IF(J176&gt;I176+1,"EBE &gt; VA ",""),"")&amp;IF(COUNT(H176,M176)=2,IF(ABS(M176)&gt;ABS(H176),"RN &gt; CA ",""),"")&amp;IF(COUNT(H176,K176)=2,IF(ABS(K176)&gt;ABS(H176),"RE &gt; CA ",""),"")))</f>
        <v/>
      </c>
      <c r="P176" s="16">
        <f>IF(OR($A176="",H176="",$C176=""),"",IF(COUNTIFS($A$5:$A$639,$A176,$C$5:$C$639,$C176-1,$D$5:$D$639,$D176,H$5:H$639,"&lt;&gt;")=0,"",IF(OR(SUMIFS(H$5:H$639,$A$5:$A$639,$A176,$C$5:$C$639,$C176-1,$D$5:$D$639,$D176)=0,H176*SUMIFS(H$5:H$639,$A$5:$A$639,$A176,$C$5:$C$639,$C176-1,$D$5:$D$639,$D176)&lt;0),"n.s.",ABS(H176)/ABS(SUMIFS(H$5:H$639,$A$5:$A$639,$A176,$C$5:$C$639,$C176-1,$D$5:$D$639,$D176))-1)))</f>
        <v/>
      </c>
      <c r="Q176" s="16">
        <f>IF(OR($A176="",I176="",$C176=""),"",IF(COUNTIFS($A$5:$A$639,$A176,$C$5:$C$639,$C176-1,$D$5:$D$639,$D176,I$5:I$639,"&lt;&gt;")=0,"",IF(OR(SUMIFS(I$5:I$639,$A$5:$A$639,$A176,$C$5:$C$639,$C176-1,$D$5:$D$639,$D176)=0,I176*SUMIFS(I$5:I$639,$A$5:$A$639,$A176,$C$5:$C$639,$C176-1,$D$5:$D$639,$D176)&lt;0),"n.s.",ABS(I176)/ABS(SUMIFS(I$5:I$639,$A$5:$A$639,$A176,$C$5:$C$639,$C176-1,$D$5:$D$639,$D176))-1)))</f>
        <v/>
      </c>
      <c r="R176" s="16">
        <f>IF(OR($A176="",J176="",$C176=""),"",IF(COUNTIFS($A$5:$A$639,$A176,$C$5:$C$639,$C176-1,$D$5:$D$639,$D176,J$5:J$639,"&lt;&gt;")=0,"",IF(OR(SUMIFS(J$5:J$639,$A$5:$A$639,$A176,$C$5:$C$639,$C176-1,$D$5:$D$639,$D176)=0,J176*SUMIFS(J$5:J$639,$A$5:$A$639,$A176,$C$5:$C$639,$C176-1,$D$5:$D$639,$D176)&lt;0),"n.s.",ABS(J176)/ABS(SUMIFS(J$5:J$639,$A$5:$A$639,$A176,$C$5:$C$639,$C176-1,$D$5:$D$639,$D176))-1)))</f>
        <v/>
      </c>
      <c r="S176" s="16">
        <f>IF(OR($A176="",K176="",$C176=""),"",IF(COUNTIFS($A$5:$A$639,$A176,$C$5:$C$639,$C176-1,$D$5:$D$639,$D176,K$5:K$639,"&lt;&gt;")=0,"",IF(OR(SUMIFS(K$5:K$639,$A$5:$A$639,$A176,$C$5:$C$639,$C176-1,$D$5:$D$639,$D176)=0,K176*SUMIFS(K$5:K$639,$A$5:$A$639,$A176,$C$5:$C$639,$C176-1,$D$5:$D$639,$D176)&lt;0),"n.s.",ABS(K176)/ABS(SUMIFS(K$5:K$639,$A$5:$A$639,$A176,$C$5:$C$639,$C176-1,$D$5:$D$639,$D176))-1)))</f>
        <v/>
      </c>
      <c r="T176" s="16">
        <f>IF(OR($A176="",L176="",$C176=""),"",IF(COUNTIFS($A$5:$A$639,$A176,$C$5:$C$639,$C176-1,$D$5:$D$639,$D176,L$5:L$639,"&lt;&gt;")=0,"",IF(OR(SUMIFS(L$5:L$639,$A$5:$A$639,$A176,$C$5:$C$639,$C176-1,$D$5:$D$639,$D176)=0,L176*SUMIFS(L$5:L$639,$A$5:$A$639,$A176,$C$5:$C$639,$C176-1,$D$5:$D$639,$D176)&lt;0),"n.s.",ABS(L176)/ABS(SUMIFS(L$5:L$639,$A$5:$A$639,$A176,$C$5:$C$639,$C176-1,$D$5:$D$639,$D176))-1)))</f>
        <v/>
      </c>
      <c r="U176" s="16">
        <f>IF(OR($A176="",M176="",$C176=""),"",IF(COUNTIFS($A$5:$A$639,$A176,$C$5:$C$639,$C176-1,$D$5:$D$639,$D176,M$5:M$639,"&lt;&gt;")=0,"",IF(OR(SUMIFS(M$5:M$639,$A$5:$A$639,$A176,$C$5:$C$639,$C176-1,$D$5:$D$639,$D176)=0,M176*SUMIFS(M$5:M$639,$A$5:$A$639,$A176,$C$5:$C$639,$C176-1,$D$5:$D$639,$D176)&lt;0),"n.s.",ABS(M176)/ABS(SUMIFS(M$5:M$639,$A$5:$A$639,$A176,$C$5:$C$639,$C176-1,$D$5:$D$639,$D176))-1)))</f>
        <v/>
      </c>
    </row>
    <row r="177">
      <c r="A177" s="9" t="inlineStr">
        <is>
          <t>ABJC</t>
        </is>
      </c>
      <c r="B177" s="10">
        <f>IF(A177="","",IFERROR(VLOOKUP(A177,Titres!$A$2:$B$400,2,FALSE),"Ticker inconnu"))</f>
        <v/>
      </c>
      <c r="C177" s="11" t="n">
        <v>2024</v>
      </c>
      <c r="D177" s="11" t="inlineStr">
        <is>
          <t>S1</t>
        </is>
      </c>
      <c r="E177" s="9" t="n"/>
      <c r="F177" s="12" t="n"/>
      <c r="G177" s="9" t="n"/>
      <c r="H177" s="13" t="n"/>
      <c r="I177" s="13" t="n"/>
      <c r="J177" s="13" t="n"/>
      <c r="K177" s="13" t="n"/>
      <c r="L177" s="13" t="n"/>
      <c r="M177" s="13" t="n"/>
      <c r="N177" s="14">
        <f>IF(A177="","",COUNT(H177:M177)/6)</f>
        <v/>
      </c>
      <c r="O177" s="15">
        <f>IF(COUNT(H177:M177)=0,"",IF(LEN(IF(COUNT(I177,J177)=2,IF(J177&gt;I177+1,"EBE &gt; VA ",""),"")&amp;IF(COUNT(H177,M177)=2,IF(ABS(M177)&gt;ABS(H177),"RN &gt; CA ",""),"")&amp;IF(COUNT(H177,K177)=2,IF(ABS(K177)&gt;ABS(H177),"RE &gt; CA ",""),""))=0,"OK",IF(COUNT(I177,J177)=2,IF(J177&gt;I177+1,"EBE &gt; VA ",""),"")&amp;IF(COUNT(H177,M177)=2,IF(ABS(M177)&gt;ABS(H177),"RN &gt; CA ",""),"")&amp;IF(COUNT(H177,K177)=2,IF(ABS(K177)&gt;ABS(H177),"RE &gt; CA ",""),"")))</f>
        <v/>
      </c>
      <c r="P177" s="16">
        <f>IF(OR($A177="",H177="",$C177=""),"",IF(COUNTIFS($A$5:$A$639,$A177,$C$5:$C$639,$C177-1,$D$5:$D$639,$D177,H$5:H$639,"&lt;&gt;")=0,"",IF(OR(SUMIFS(H$5:H$639,$A$5:$A$639,$A177,$C$5:$C$639,$C177-1,$D$5:$D$639,$D177)=0,H177*SUMIFS(H$5:H$639,$A$5:$A$639,$A177,$C$5:$C$639,$C177-1,$D$5:$D$639,$D177)&lt;0),"n.s.",ABS(H177)/ABS(SUMIFS(H$5:H$639,$A$5:$A$639,$A177,$C$5:$C$639,$C177-1,$D$5:$D$639,$D177))-1)))</f>
        <v/>
      </c>
      <c r="Q177" s="16">
        <f>IF(OR($A177="",I177="",$C177=""),"",IF(COUNTIFS($A$5:$A$639,$A177,$C$5:$C$639,$C177-1,$D$5:$D$639,$D177,I$5:I$639,"&lt;&gt;")=0,"",IF(OR(SUMIFS(I$5:I$639,$A$5:$A$639,$A177,$C$5:$C$639,$C177-1,$D$5:$D$639,$D177)=0,I177*SUMIFS(I$5:I$639,$A$5:$A$639,$A177,$C$5:$C$639,$C177-1,$D$5:$D$639,$D177)&lt;0),"n.s.",ABS(I177)/ABS(SUMIFS(I$5:I$639,$A$5:$A$639,$A177,$C$5:$C$639,$C177-1,$D$5:$D$639,$D177))-1)))</f>
        <v/>
      </c>
      <c r="R177" s="16">
        <f>IF(OR($A177="",J177="",$C177=""),"",IF(COUNTIFS($A$5:$A$639,$A177,$C$5:$C$639,$C177-1,$D$5:$D$639,$D177,J$5:J$639,"&lt;&gt;")=0,"",IF(OR(SUMIFS(J$5:J$639,$A$5:$A$639,$A177,$C$5:$C$639,$C177-1,$D$5:$D$639,$D177)=0,J177*SUMIFS(J$5:J$639,$A$5:$A$639,$A177,$C$5:$C$639,$C177-1,$D$5:$D$639,$D177)&lt;0),"n.s.",ABS(J177)/ABS(SUMIFS(J$5:J$639,$A$5:$A$639,$A177,$C$5:$C$639,$C177-1,$D$5:$D$639,$D177))-1)))</f>
        <v/>
      </c>
      <c r="S177" s="16">
        <f>IF(OR($A177="",K177="",$C177=""),"",IF(COUNTIFS($A$5:$A$639,$A177,$C$5:$C$639,$C177-1,$D$5:$D$639,$D177,K$5:K$639,"&lt;&gt;")=0,"",IF(OR(SUMIFS(K$5:K$639,$A$5:$A$639,$A177,$C$5:$C$639,$C177-1,$D$5:$D$639,$D177)=0,K177*SUMIFS(K$5:K$639,$A$5:$A$639,$A177,$C$5:$C$639,$C177-1,$D$5:$D$639,$D177)&lt;0),"n.s.",ABS(K177)/ABS(SUMIFS(K$5:K$639,$A$5:$A$639,$A177,$C$5:$C$639,$C177-1,$D$5:$D$639,$D177))-1)))</f>
        <v/>
      </c>
      <c r="T177" s="16">
        <f>IF(OR($A177="",L177="",$C177=""),"",IF(COUNTIFS($A$5:$A$639,$A177,$C$5:$C$639,$C177-1,$D$5:$D$639,$D177,L$5:L$639,"&lt;&gt;")=0,"",IF(OR(SUMIFS(L$5:L$639,$A$5:$A$639,$A177,$C$5:$C$639,$C177-1,$D$5:$D$639,$D177)=0,L177*SUMIFS(L$5:L$639,$A$5:$A$639,$A177,$C$5:$C$639,$C177-1,$D$5:$D$639,$D177)&lt;0),"n.s.",ABS(L177)/ABS(SUMIFS(L$5:L$639,$A$5:$A$639,$A177,$C$5:$C$639,$C177-1,$D$5:$D$639,$D177))-1)))</f>
        <v/>
      </c>
      <c r="U177" s="16">
        <f>IF(OR($A177="",M177="",$C177=""),"",IF(COUNTIFS($A$5:$A$639,$A177,$C$5:$C$639,$C177-1,$D$5:$D$639,$D177,M$5:M$639,"&lt;&gt;")=0,"",IF(OR(SUMIFS(M$5:M$639,$A$5:$A$639,$A177,$C$5:$C$639,$C177-1,$D$5:$D$639,$D177)=0,M177*SUMIFS(M$5:M$639,$A$5:$A$639,$A177,$C$5:$C$639,$C177-1,$D$5:$D$639,$D177)&lt;0),"n.s.",ABS(M177)/ABS(SUMIFS(M$5:M$639,$A$5:$A$639,$A177,$C$5:$C$639,$C177-1,$D$5:$D$639,$D177))-1)))</f>
        <v/>
      </c>
    </row>
    <row r="178">
      <c r="A178" s="9" t="inlineStr">
        <is>
          <t>ABJC</t>
        </is>
      </c>
      <c r="B178" s="10">
        <f>IF(A178="","",IFERROR(VLOOKUP(A178,Titres!$A$2:$B$400,2,FALSE),"Ticker inconnu"))</f>
        <v/>
      </c>
      <c r="C178" s="11" t="n">
        <v>2024</v>
      </c>
      <c r="D178" s="11" t="inlineStr">
        <is>
          <t>T3</t>
        </is>
      </c>
      <c r="E178" s="9" t="n"/>
      <c r="F178" s="12" t="n"/>
      <c r="G178" s="9" t="n"/>
      <c r="H178" s="13" t="n"/>
      <c r="I178" s="13" t="n"/>
      <c r="J178" s="13" t="n"/>
      <c r="K178" s="13" t="n"/>
      <c r="L178" s="13" t="n"/>
      <c r="M178" s="13" t="n"/>
      <c r="N178" s="14">
        <f>IF(A178="","",COUNT(H178:M178)/6)</f>
        <v/>
      </c>
      <c r="O178" s="15">
        <f>IF(COUNT(H178:M178)=0,"",IF(LEN(IF(COUNT(I178,J178)=2,IF(J178&gt;I178+1,"EBE &gt; VA ",""),"")&amp;IF(COUNT(H178,M178)=2,IF(ABS(M178)&gt;ABS(H178),"RN &gt; CA ",""),"")&amp;IF(COUNT(H178,K178)=2,IF(ABS(K178)&gt;ABS(H178),"RE &gt; CA ",""),""))=0,"OK",IF(COUNT(I178,J178)=2,IF(J178&gt;I178+1,"EBE &gt; VA ",""),"")&amp;IF(COUNT(H178,M178)=2,IF(ABS(M178)&gt;ABS(H178),"RN &gt; CA ",""),"")&amp;IF(COUNT(H178,K178)=2,IF(ABS(K178)&gt;ABS(H178),"RE &gt; CA ",""),"")))</f>
        <v/>
      </c>
      <c r="P178" s="16">
        <f>IF(OR($A178="",H178="",$C178=""),"",IF(COUNTIFS($A$5:$A$639,$A178,$C$5:$C$639,$C178-1,$D$5:$D$639,$D178,H$5:H$639,"&lt;&gt;")=0,"",IF(OR(SUMIFS(H$5:H$639,$A$5:$A$639,$A178,$C$5:$C$639,$C178-1,$D$5:$D$639,$D178)=0,H178*SUMIFS(H$5:H$639,$A$5:$A$639,$A178,$C$5:$C$639,$C178-1,$D$5:$D$639,$D178)&lt;0),"n.s.",ABS(H178)/ABS(SUMIFS(H$5:H$639,$A$5:$A$639,$A178,$C$5:$C$639,$C178-1,$D$5:$D$639,$D178))-1)))</f>
        <v/>
      </c>
      <c r="Q178" s="16">
        <f>IF(OR($A178="",I178="",$C178=""),"",IF(COUNTIFS($A$5:$A$639,$A178,$C$5:$C$639,$C178-1,$D$5:$D$639,$D178,I$5:I$639,"&lt;&gt;")=0,"",IF(OR(SUMIFS(I$5:I$639,$A$5:$A$639,$A178,$C$5:$C$639,$C178-1,$D$5:$D$639,$D178)=0,I178*SUMIFS(I$5:I$639,$A$5:$A$639,$A178,$C$5:$C$639,$C178-1,$D$5:$D$639,$D178)&lt;0),"n.s.",ABS(I178)/ABS(SUMIFS(I$5:I$639,$A$5:$A$639,$A178,$C$5:$C$639,$C178-1,$D$5:$D$639,$D178))-1)))</f>
        <v/>
      </c>
      <c r="R178" s="16">
        <f>IF(OR($A178="",J178="",$C178=""),"",IF(COUNTIFS($A$5:$A$639,$A178,$C$5:$C$639,$C178-1,$D$5:$D$639,$D178,J$5:J$639,"&lt;&gt;")=0,"",IF(OR(SUMIFS(J$5:J$639,$A$5:$A$639,$A178,$C$5:$C$639,$C178-1,$D$5:$D$639,$D178)=0,J178*SUMIFS(J$5:J$639,$A$5:$A$639,$A178,$C$5:$C$639,$C178-1,$D$5:$D$639,$D178)&lt;0),"n.s.",ABS(J178)/ABS(SUMIFS(J$5:J$639,$A$5:$A$639,$A178,$C$5:$C$639,$C178-1,$D$5:$D$639,$D178))-1)))</f>
        <v/>
      </c>
      <c r="S178" s="16">
        <f>IF(OR($A178="",K178="",$C178=""),"",IF(COUNTIFS($A$5:$A$639,$A178,$C$5:$C$639,$C178-1,$D$5:$D$639,$D178,K$5:K$639,"&lt;&gt;")=0,"",IF(OR(SUMIFS(K$5:K$639,$A$5:$A$639,$A178,$C$5:$C$639,$C178-1,$D$5:$D$639,$D178)=0,K178*SUMIFS(K$5:K$639,$A$5:$A$639,$A178,$C$5:$C$639,$C178-1,$D$5:$D$639,$D178)&lt;0),"n.s.",ABS(K178)/ABS(SUMIFS(K$5:K$639,$A$5:$A$639,$A178,$C$5:$C$639,$C178-1,$D$5:$D$639,$D178))-1)))</f>
        <v/>
      </c>
      <c r="T178" s="16">
        <f>IF(OR($A178="",L178="",$C178=""),"",IF(COUNTIFS($A$5:$A$639,$A178,$C$5:$C$639,$C178-1,$D$5:$D$639,$D178,L$5:L$639,"&lt;&gt;")=0,"",IF(OR(SUMIFS(L$5:L$639,$A$5:$A$639,$A178,$C$5:$C$639,$C178-1,$D$5:$D$639,$D178)=0,L178*SUMIFS(L$5:L$639,$A$5:$A$639,$A178,$C$5:$C$639,$C178-1,$D$5:$D$639,$D178)&lt;0),"n.s.",ABS(L178)/ABS(SUMIFS(L$5:L$639,$A$5:$A$639,$A178,$C$5:$C$639,$C178-1,$D$5:$D$639,$D178))-1)))</f>
        <v/>
      </c>
      <c r="U178" s="16">
        <f>IF(OR($A178="",M178="",$C178=""),"",IF(COUNTIFS($A$5:$A$639,$A178,$C$5:$C$639,$C178-1,$D$5:$D$639,$D178,M$5:M$639,"&lt;&gt;")=0,"",IF(OR(SUMIFS(M$5:M$639,$A$5:$A$639,$A178,$C$5:$C$639,$C178-1,$D$5:$D$639,$D178)=0,M178*SUMIFS(M$5:M$639,$A$5:$A$639,$A178,$C$5:$C$639,$C178-1,$D$5:$D$639,$D178)&lt;0),"n.s.",ABS(M178)/ABS(SUMIFS(M$5:M$639,$A$5:$A$639,$A178,$C$5:$C$639,$C178-1,$D$5:$D$639,$D178))-1)))</f>
        <v/>
      </c>
    </row>
    <row r="179">
      <c r="A179" s="9" t="inlineStr">
        <is>
          <t>ABJC</t>
        </is>
      </c>
      <c r="B179" s="10">
        <f>IF(A179="","",IFERROR(VLOOKUP(A179,Titres!$A$2:$B$400,2,FALSE),"Ticker inconnu"))</f>
        <v/>
      </c>
      <c r="C179" s="11" t="n">
        <v>2025</v>
      </c>
      <c r="D179" s="11" t="inlineStr">
        <is>
          <t>T1</t>
        </is>
      </c>
      <c r="E179" s="9" t="n"/>
      <c r="F179" s="12" t="n"/>
      <c r="G179" s="9" t="n"/>
      <c r="H179" s="13" t="n"/>
      <c r="I179" s="13" t="n"/>
      <c r="J179" s="13" t="n"/>
      <c r="K179" s="13" t="n"/>
      <c r="L179" s="13" t="n"/>
      <c r="M179" s="13" t="n"/>
      <c r="N179" s="14">
        <f>IF(A179="","",COUNT(H179:M179)/6)</f>
        <v/>
      </c>
      <c r="O179" s="15">
        <f>IF(COUNT(H179:M179)=0,"",IF(LEN(IF(COUNT(I179,J179)=2,IF(J179&gt;I179+1,"EBE &gt; VA ",""),"")&amp;IF(COUNT(H179,M179)=2,IF(ABS(M179)&gt;ABS(H179),"RN &gt; CA ",""),"")&amp;IF(COUNT(H179,K179)=2,IF(ABS(K179)&gt;ABS(H179),"RE &gt; CA ",""),""))=0,"OK",IF(COUNT(I179,J179)=2,IF(J179&gt;I179+1,"EBE &gt; VA ",""),"")&amp;IF(COUNT(H179,M179)=2,IF(ABS(M179)&gt;ABS(H179),"RN &gt; CA ",""),"")&amp;IF(COUNT(H179,K179)=2,IF(ABS(K179)&gt;ABS(H179),"RE &gt; CA ",""),"")))</f>
        <v/>
      </c>
      <c r="P179" s="16">
        <f>IF(OR($A179="",H179="",$C179=""),"",IF(COUNTIFS($A$5:$A$639,$A179,$C$5:$C$639,$C179-1,$D$5:$D$639,$D179,H$5:H$639,"&lt;&gt;")=0,"",IF(OR(SUMIFS(H$5:H$639,$A$5:$A$639,$A179,$C$5:$C$639,$C179-1,$D$5:$D$639,$D179)=0,H179*SUMIFS(H$5:H$639,$A$5:$A$639,$A179,$C$5:$C$639,$C179-1,$D$5:$D$639,$D179)&lt;0),"n.s.",ABS(H179)/ABS(SUMIFS(H$5:H$639,$A$5:$A$639,$A179,$C$5:$C$639,$C179-1,$D$5:$D$639,$D179))-1)))</f>
        <v/>
      </c>
      <c r="Q179" s="16">
        <f>IF(OR($A179="",I179="",$C179=""),"",IF(COUNTIFS($A$5:$A$639,$A179,$C$5:$C$639,$C179-1,$D$5:$D$639,$D179,I$5:I$639,"&lt;&gt;")=0,"",IF(OR(SUMIFS(I$5:I$639,$A$5:$A$639,$A179,$C$5:$C$639,$C179-1,$D$5:$D$639,$D179)=0,I179*SUMIFS(I$5:I$639,$A$5:$A$639,$A179,$C$5:$C$639,$C179-1,$D$5:$D$639,$D179)&lt;0),"n.s.",ABS(I179)/ABS(SUMIFS(I$5:I$639,$A$5:$A$639,$A179,$C$5:$C$639,$C179-1,$D$5:$D$639,$D179))-1)))</f>
        <v/>
      </c>
      <c r="R179" s="16">
        <f>IF(OR($A179="",J179="",$C179=""),"",IF(COUNTIFS($A$5:$A$639,$A179,$C$5:$C$639,$C179-1,$D$5:$D$639,$D179,J$5:J$639,"&lt;&gt;")=0,"",IF(OR(SUMIFS(J$5:J$639,$A$5:$A$639,$A179,$C$5:$C$639,$C179-1,$D$5:$D$639,$D179)=0,J179*SUMIFS(J$5:J$639,$A$5:$A$639,$A179,$C$5:$C$639,$C179-1,$D$5:$D$639,$D179)&lt;0),"n.s.",ABS(J179)/ABS(SUMIFS(J$5:J$639,$A$5:$A$639,$A179,$C$5:$C$639,$C179-1,$D$5:$D$639,$D179))-1)))</f>
        <v/>
      </c>
      <c r="S179" s="16">
        <f>IF(OR($A179="",K179="",$C179=""),"",IF(COUNTIFS($A$5:$A$639,$A179,$C$5:$C$639,$C179-1,$D$5:$D$639,$D179,K$5:K$639,"&lt;&gt;")=0,"",IF(OR(SUMIFS(K$5:K$639,$A$5:$A$639,$A179,$C$5:$C$639,$C179-1,$D$5:$D$639,$D179)=0,K179*SUMIFS(K$5:K$639,$A$5:$A$639,$A179,$C$5:$C$639,$C179-1,$D$5:$D$639,$D179)&lt;0),"n.s.",ABS(K179)/ABS(SUMIFS(K$5:K$639,$A$5:$A$639,$A179,$C$5:$C$639,$C179-1,$D$5:$D$639,$D179))-1)))</f>
        <v/>
      </c>
      <c r="T179" s="16">
        <f>IF(OR($A179="",L179="",$C179=""),"",IF(COUNTIFS($A$5:$A$639,$A179,$C$5:$C$639,$C179-1,$D$5:$D$639,$D179,L$5:L$639,"&lt;&gt;")=0,"",IF(OR(SUMIFS(L$5:L$639,$A$5:$A$639,$A179,$C$5:$C$639,$C179-1,$D$5:$D$639,$D179)=0,L179*SUMIFS(L$5:L$639,$A$5:$A$639,$A179,$C$5:$C$639,$C179-1,$D$5:$D$639,$D179)&lt;0),"n.s.",ABS(L179)/ABS(SUMIFS(L$5:L$639,$A$5:$A$639,$A179,$C$5:$C$639,$C179-1,$D$5:$D$639,$D179))-1)))</f>
        <v/>
      </c>
      <c r="U179" s="16">
        <f>IF(OR($A179="",M179="",$C179=""),"",IF(COUNTIFS($A$5:$A$639,$A179,$C$5:$C$639,$C179-1,$D$5:$D$639,$D179,M$5:M$639,"&lt;&gt;")=0,"",IF(OR(SUMIFS(M$5:M$639,$A$5:$A$639,$A179,$C$5:$C$639,$C179-1,$D$5:$D$639,$D179)=0,M179*SUMIFS(M$5:M$639,$A$5:$A$639,$A179,$C$5:$C$639,$C179-1,$D$5:$D$639,$D179)&lt;0),"n.s.",ABS(M179)/ABS(SUMIFS(M$5:M$639,$A$5:$A$639,$A179,$C$5:$C$639,$C179-1,$D$5:$D$639,$D179))-1)))</f>
        <v/>
      </c>
    </row>
    <row r="180">
      <c r="A180" s="9" t="inlineStr">
        <is>
          <t>ABJC</t>
        </is>
      </c>
      <c r="B180" s="10">
        <f>IF(A180="","",IFERROR(VLOOKUP(A180,Titres!$A$2:$B$400,2,FALSE),"Ticker inconnu"))</f>
        <v/>
      </c>
      <c r="C180" s="11" t="n">
        <v>2025</v>
      </c>
      <c r="D180" s="11" t="inlineStr">
        <is>
          <t>S1</t>
        </is>
      </c>
      <c r="E180" s="9" t="n"/>
      <c r="F180" s="12" t="n"/>
      <c r="G180" s="9" t="n"/>
      <c r="H180" s="13" t="n"/>
      <c r="I180" s="13" t="n"/>
      <c r="J180" s="13" t="n"/>
      <c r="K180" s="13" t="n"/>
      <c r="L180" s="13" t="n"/>
      <c r="M180" s="13" t="n"/>
      <c r="N180" s="14">
        <f>IF(A180="","",COUNT(H180:M180)/6)</f>
        <v/>
      </c>
      <c r="O180" s="15">
        <f>IF(COUNT(H180:M180)=0,"",IF(LEN(IF(COUNT(I180,J180)=2,IF(J180&gt;I180+1,"EBE &gt; VA ",""),"")&amp;IF(COUNT(H180,M180)=2,IF(ABS(M180)&gt;ABS(H180),"RN &gt; CA ",""),"")&amp;IF(COUNT(H180,K180)=2,IF(ABS(K180)&gt;ABS(H180),"RE &gt; CA ",""),""))=0,"OK",IF(COUNT(I180,J180)=2,IF(J180&gt;I180+1,"EBE &gt; VA ",""),"")&amp;IF(COUNT(H180,M180)=2,IF(ABS(M180)&gt;ABS(H180),"RN &gt; CA ",""),"")&amp;IF(COUNT(H180,K180)=2,IF(ABS(K180)&gt;ABS(H180),"RE &gt; CA ",""),"")))</f>
        <v/>
      </c>
      <c r="P180" s="16">
        <f>IF(OR($A180="",H180="",$C180=""),"",IF(COUNTIFS($A$5:$A$639,$A180,$C$5:$C$639,$C180-1,$D$5:$D$639,$D180,H$5:H$639,"&lt;&gt;")=0,"",IF(OR(SUMIFS(H$5:H$639,$A$5:$A$639,$A180,$C$5:$C$639,$C180-1,$D$5:$D$639,$D180)=0,H180*SUMIFS(H$5:H$639,$A$5:$A$639,$A180,$C$5:$C$639,$C180-1,$D$5:$D$639,$D180)&lt;0),"n.s.",ABS(H180)/ABS(SUMIFS(H$5:H$639,$A$5:$A$639,$A180,$C$5:$C$639,$C180-1,$D$5:$D$639,$D180))-1)))</f>
        <v/>
      </c>
      <c r="Q180" s="16">
        <f>IF(OR($A180="",I180="",$C180=""),"",IF(COUNTIFS($A$5:$A$639,$A180,$C$5:$C$639,$C180-1,$D$5:$D$639,$D180,I$5:I$639,"&lt;&gt;")=0,"",IF(OR(SUMIFS(I$5:I$639,$A$5:$A$639,$A180,$C$5:$C$639,$C180-1,$D$5:$D$639,$D180)=0,I180*SUMIFS(I$5:I$639,$A$5:$A$639,$A180,$C$5:$C$639,$C180-1,$D$5:$D$639,$D180)&lt;0),"n.s.",ABS(I180)/ABS(SUMIFS(I$5:I$639,$A$5:$A$639,$A180,$C$5:$C$639,$C180-1,$D$5:$D$639,$D180))-1)))</f>
        <v/>
      </c>
      <c r="R180" s="16">
        <f>IF(OR($A180="",J180="",$C180=""),"",IF(COUNTIFS($A$5:$A$639,$A180,$C$5:$C$639,$C180-1,$D$5:$D$639,$D180,J$5:J$639,"&lt;&gt;")=0,"",IF(OR(SUMIFS(J$5:J$639,$A$5:$A$639,$A180,$C$5:$C$639,$C180-1,$D$5:$D$639,$D180)=0,J180*SUMIFS(J$5:J$639,$A$5:$A$639,$A180,$C$5:$C$639,$C180-1,$D$5:$D$639,$D180)&lt;0),"n.s.",ABS(J180)/ABS(SUMIFS(J$5:J$639,$A$5:$A$639,$A180,$C$5:$C$639,$C180-1,$D$5:$D$639,$D180))-1)))</f>
        <v/>
      </c>
      <c r="S180" s="16">
        <f>IF(OR($A180="",K180="",$C180=""),"",IF(COUNTIFS($A$5:$A$639,$A180,$C$5:$C$639,$C180-1,$D$5:$D$639,$D180,K$5:K$639,"&lt;&gt;")=0,"",IF(OR(SUMIFS(K$5:K$639,$A$5:$A$639,$A180,$C$5:$C$639,$C180-1,$D$5:$D$639,$D180)=0,K180*SUMIFS(K$5:K$639,$A$5:$A$639,$A180,$C$5:$C$639,$C180-1,$D$5:$D$639,$D180)&lt;0),"n.s.",ABS(K180)/ABS(SUMIFS(K$5:K$639,$A$5:$A$639,$A180,$C$5:$C$639,$C180-1,$D$5:$D$639,$D180))-1)))</f>
        <v/>
      </c>
      <c r="T180" s="16">
        <f>IF(OR($A180="",L180="",$C180=""),"",IF(COUNTIFS($A$5:$A$639,$A180,$C$5:$C$639,$C180-1,$D$5:$D$639,$D180,L$5:L$639,"&lt;&gt;")=0,"",IF(OR(SUMIFS(L$5:L$639,$A$5:$A$639,$A180,$C$5:$C$639,$C180-1,$D$5:$D$639,$D180)=0,L180*SUMIFS(L$5:L$639,$A$5:$A$639,$A180,$C$5:$C$639,$C180-1,$D$5:$D$639,$D180)&lt;0),"n.s.",ABS(L180)/ABS(SUMIFS(L$5:L$639,$A$5:$A$639,$A180,$C$5:$C$639,$C180-1,$D$5:$D$639,$D180))-1)))</f>
        <v/>
      </c>
      <c r="U180" s="16">
        <f>IF(OR($A180="",M180="",$C180=""),"",IF(COUNTIFS($A$5:$A$639,$A180,$C$5:$C$639,$C180-1,$D$5:$D$639,$D180,M$5:M$639,"&lt;&gt;")=0,"",IF(OR(SUMIFS(M$5:M$639,$A$5:$A$639,$A180,$C$5:$C$639,$C180-1,$D$5:$D$639,$D180)=0,M180*SUMIFS(M$5:M$639,$A$5:$A$639,$A180,$C$5:$C$639,$C180-1,$D$5:$D$639,$D180)&lt;0),"n.s.",ABS(M180)/ABS(SUMIFS(M$5:M$639,$A$5:$A$639,$A180,$C$5:$C$639,$C180-1,$D$5:$D$639,$D180))-1)))</f>
        <v/>
      </c>
    </row>
    <row r="181">
      <c r="A181" s="9" t="inlineStr">
        <is>
          <t>ABJC</t>
        </is>
      </c>
      <c r="B181" s="10">
        <f>IF(A181="","",IFERROR(VLOOKUP(A181,Titres!$A$2:$B$400,2,FALSE),"Ticker inconnu"))</f>
        <v/>
      </c>
      <c r="C181" s="11" t="n">
        <v>2025</v>
      </c>
      <c r="D181" s="11" t="inlineStr">
        <is>
          <t>T3</t>
        </is>
      </c>
      <c r="E181" s="9" t="n"/>
      <c r="F181" s="12" t="n"/>
      <c r="G181" s="9" t="n"/>
      <c r="H181" s="13" t="n"/>
      <c r="I181" s="13" t="n"/>
      <c r="J181" s="13" t="n"/>
      <c r="K181" s="13" t="n"/>
      <c r="L181" s="13" t="n"/>
      <c r="M181" s="13" t="n"/>
      <c r="N181" s="14">
        <f>IF(A181="","",COUNT(H181:M181)/6)</f>
        <v/>
      </c>
      <c r="O181" s="15">
        <f>IF(COUNT(H181:M181)=0,"",IF(LEN(IF(COUNT(I181,J181)=2,IF(J181&gt;I181+1,"EBE &gt; VA ",""),"")&amp;IF(COUNT(H181,M181)=2,IF(ABS(M181)&gt;ABS(H181),"RN &gt; CA ",""),"")&amp;IF(COUNT(H181,K181)=2,IF(ABS(K181)&gt;ABS(H181),"RE &gt; CA ",""),""))=0,"OK",IF(COUNT(I181,J181)=2,IF(J181&gt;I181+1,"EBE &gt; VA ",""),"")&amp;IF(COUNT(H181,M181)=2,IF(ABS(M181)&gt;ABS(H181),"RN &gt; CA ",""),"")&amp;IF(COUNT(H181,K181)=2,IF(ABS(K181)&gt;ABS(H181),"RE &gt; CA ",""),"")))</f>
        <v/>
      </c>
      <c r="P181" s="16">
        <f>IF(OR($A181="",H181="",$C181=""),"",IF(COUNTIFS($A$5:$A$639,$A181,$C$5:$C$639,$C181-1,$D$5:$D$639,$D181,H$5:H$639,"&lt;&gt;")=0,"",IF(OR(SUMIFS(H$5:H$639,$A$5:$A$639,$A181,$C$5:$C$639,$C181-1,$D$5:$D$639,$D181)=0,H181*SUMIFS(H$5:H$639,$A$5:$A$639,$A181,$C$5:$C$639,$C181-1,$D$5:$D$639,$D181)&lt;0),"n.s.",ABS(H181)/ABS(SUMIFS(H$5:H$639,$A$5:$A$639,$A181,$C$5:$C$639,$C181-1,$D$5:$D$639,$D181))-1)))</f>
        <v/>
      </c>
      <c r="Q181" s="16">
        <f>IF(OR($A181="",I181="",$C181=""),"",IF(COUNTIFS($A$5:$A$639,$A181,$C$5:$C$639,$C181-1,$D$5:$D$639,$D181,I$5:I$639,"&lt;&gt;")=0,"",IF(OR(SUMIFS(I$5:I$639,$A$5:$A$639,$A181,$C$5:$C$639,$C181-1,$D$5:$D$639,$D181)=0,I181*SUMIFS(I$5:I$639,$A$5:$A$639,$A181,$C$5:$C$639,$C181-1,$D$5:$D$639,$D181)&lt;0),"n.s.",ABS(I181)/ABS(SUMIFS(I$5:I$639,$A$5:$A$639,$A181,$C$5:$C$639,$C181-1,$D$5:$D$639,$D181))-1)))</f>
        <v/>
      </c>
      <c r="R181" s="16">
        <f>IF(OR($A181="",J181="",$C181=""),"",IF(COUNTIFS($A$5:$A$639,$A181,$C$5:$C$639,$C181-1,$D$5:$D$639,$D181,J$5:J$639,"&lt;&gt;")=0,"",IF(OR(SUMIFS(J$5:J$639,$A$5:$A$639,$A181,$C$5:$C$639,$C181-1,$D$5:$D$639,$D181)=0,J181*SUMIFS(J$5:J$639,$A$5:$A$639,$A181,$C$5:$C$639,$C181-1,$D$5:$D$639,$D181)&lt;0),"n.s.",ABS(J181)/ABS(SUMIFS(J$5:J$639,$A$5:$A$639,$A181,$C$5:$C$639,$C181-1,$D$5:$D$639,$D181))-1)))</f>
        <v/>
      </c>
      <c r="S181" s="16">
        <f>IF(OR($A181="",K181="",$C181=""),"",IF(COUNTIFS($A$5:$A$639,$A181,$C$5:$C$639,$C181-1,$D$5:$D$639,$D181,K$5:K$639,"&lt;&gt;")=0,"",IF(OR(SUMIFS(K$5:K$639,$A$5:$A$639,$A181,$C$5:$C$639,$C181-1,$D$5:$D$639,$D181)=0,K181*SUMIFS(K$5:K$639,$A$5:$A$639,$A181,$C$5:$C$639,$C181-1,$D$5:$D$639,$D181)&lt;0),"n.s.",ABS(K181)/ABS(SUMIFS(K$5:K$639,$A$5:$A$639,$A181,$C$5:$C$639,$C181-1,$D$5:$D$639,$D181))-1)))</f>
        <v/>
      </c>
      <c r="T181" s="16">
        <f>IF(OR($A181="",L181="",$C181=""),"",IF(COUNTIFS($A$5:$A$639,$A181,$C$5:$C$639,$C181-1,$D$5:$D$639,$D181,L$5:L$639,"&lt;&gt;")=0,"",IF(OR(SUMIFS(L$5:L$639,$A$5:$A$639,$A181,$C$5:$C$639,$C181-1,$D$5:$D$639,$D181)=0,L181*SUMIFS(L$5:L$639,$A$5:$A$639,$A181,$C$5:$C$639,$C181-1,$D$5:$D$639,$D181)&lt;0),"n.s.",ABS(L181)/ABS(SUMIFS(L$5:L$639,$A$5:$A$639,$A181,$C$5:$C$639,$C181-1,$D$5:$D$639,$D181))-1)))</f>
        <v/>
      </c>
      <c r="U181" s="16">
        <f>IF(OR($A181="",M181="",$C181=""),"",IF(COUNTIFS($A$5:$A$639,$A181,$C$5:$C$639,$C181-1,$D$5:$D$639,$D181,M$5:M$639,"&lt;&gt;")=0,"",IF(OR(SUMIFS(M$5:M$639,$A$5:$A$639,$A181,$C$5:$C$639,$C181-1,$D$5:$D$639,$D181)=0,M181*SUMIFS(M$5:M$639,$A$5:$A$639,$A181,$C$5:$C$639,$C181-1,$D$5:$D$639,$D181)&lt;0),"n.s.",ABS(M181)/ABS(SUMIFS(M$5:M$639,$A$5:$A$639,$A181,$C$5:$C$639,$C181-1,$D$5:$D$639,$D181))-1)))</f>
        <v/>
      </c>
    </row>
    <row r="182">
      <c r="A182" s="9" t="inlineStr">
        <is>
          <t>ABJC</t>
        </is>
      </c>
      <c r="B182" s="10">
        <f>IF(A182="","",IFERROR(VLOOKUP(A182,Titres!$A$2:$B$400,2,FALSE),"Ticker inconnu"))</f>
        <v/>
      </c>
      <c r="C182" s="11" t="n">
        <v>2026</v>
      </c>
      <c r="D182" s="11" t="inlineStr">
        <is>
          <t>T1</t>
        </is>
      </c>
      <c r="E182" s="9" t="n"/>
      <c r="F182" s="12" t="n"/>
      <c r="G182" s="9" t="n"/>
      <c r="H182" s="13" t="n"/>
      <c r="I182" s="13" t="n"/>
      <c r="J182" s="13" t="n"/>
      <c r="K182" s="13" t="n"/>
      <c r="L182" s="13" t="n"/>
      <c r="M182" s="13" t="n"/>
      <c r="N182" s="14">
        <f>IF(A182="","",COUNT(H182:M182)/6)</f>
        <v/>
      </c>
      <c r="O182" s="15">
        <f>IF(COUNT(H182:M182)=0,"",IF(LEN(IF(COUNT(I182,J182)=2,IF(J182&gt;I182+1,"EBE &gt; VA ",""),"")&amp;IF(COUNT(H182,M182)=2,IF(ABS(M182)&gt;ABS(H182),"RN &gt; CA ",""),"")&amp;IF(COUNT(H182,K182)=2,IF(ABS(K182)&gt;ABS(H182),"RE &gt; CA ",""),""))=0,"OK",IF(COUNT(I182,J182)=2,IF(J182&gt;I182+1,"EBE &gt; VA ",""),"")&amp;IF(COUNT(H182,M182)=2,IF(ABS(M182)&gt;ABS(H182),"RN &gt; CA ",""),"")&amp;IF(COUNT(H182,K182)=2,IF(ABS(K182)&gt;ABS(H182),"RE &gt; CA ",""),"")))</f>
        <v/>
      </c>
      <c r="P182" s="16">
        <f>IF(OR($A182="",H182="",$C182=""),"",IF(COUNTIFS($A$5:$A$639,$A182,$C$5:$C$639,$C182-1,$D$5:$D$639,$D182,H$5:H$639,"&lt;&gt;")=0,"",IF(OR(SUMIFS(H$5:H$639,$A$5:$A$639,$A182,$C$5:$C$639,$C182-1,$D$5:$D$639,$D182)=0,H182*SUMIFS(H$5:H$639,$A$5:$A$639,$A182,$C$5:$C$639,$C182-1,$D$5:$D$639,$D182)&lt;0),"n.s.",ABS(H182)/ABS(SUMIFS(H$5:H$639,$A$5:$A$639,$A182,$C$5:$C$639,$C182-1,$D$5:$D$639,$D182))-1)))</f>
        <v/>
      </c>
      <c r="Q182" s="16">
        <f>IF(OR($A182="",I182="",$C182=""),"",IF(COUNTIFS($A$5:$A$639,$A182,$C$5:$C$639,$C182-1,$D$5:$D$639,$D182,I$5:I$639,"&lt;&gt;")=0,"",IF(OR(SUMIFS(I$5:I$639,$A$5:$A$639,$A182,$C$5:$C$639,$C182-1,$D$5:$D$639,$D182)=0,I182*SUMIFS(I$5:I$639,$A$5:$A$639,$A182,$C$5:$C$639,$C182-1,$D$5:$D$639,$D182)&lt;0),"n.s.",ABS(I182)/ABS(SUMIFS(I$5:I$639,$A$5:$A$639,$A182,$C$5:$C$639,$C182-1,$D$5:$D$639,$D182))-1)))</f>
        <v/>
      </c>
      <c r="R182" s="16">
        <f>IF(OR($A182="",J182="",$C182=""),"",IF(COUNTIFS($A$5:$A$639,$A182,$C$5:$C$639,$C182-1,$D$5:$D$639,$D182,J$5:J$639,"&lt;&gt;")=0,"",IF(OR(SUMIFS(J$5:J$639,$A$5:$A$639,$A182,$C$5:$C$639,$C182-1,$D$5:$D$639,$D182)=0,J182*SUMIFS(J$5:J$639,$A$5:$A$639,$A182,$C$5:$C$639,$C182-1,$D$5:$D$639,$D182)&lt;0),"n.s.",ABS(J182)/ABS(SUMIFS(J$5:J$639,$A$5:$A$639,$A182,$C$5:$C$639,$C182-1,$D$5:$D$639,$D182))-1)))</f>
        <v/>
      </c>
      <c r="S182" s="16">
        <f>IF(OR($A182="",K182="",$C182=""),"",IF(COUNTIFS($A$5:$A$639,$A182,$C$5:$C$639,$C182-1,$D$5:$D$639,$D182,K$5:K$639,"&lt;&gt;")=0,"",IF(OR(SUMIFS(K$5:K$639,$A$5:$A$639,$A182,$C$5:$C$639,$C182-1,$D$5:$D$639,$D182)=0,K182*SUMIFS(K$5:K$639,$A$5:$A$639,$A182,$C$5:$C$639,$C182-1,$D$5:$D$639,$D182)&lt;0),"n.s.",ABS(K182)/ABS(SUMIFS(K$5:K$639,$A$5:$A$639,$A182,$C$5:$C$639,$C182-1,$D$5:$D$639,$D182))-1)))</f>
        <v/>
      </c>
      <c r="T182" s="16">
        <f>IF(OR($A182="",L182="",$C182=""),"",IF(COUNTIFS($A$5:$A$639,$A182,$C$5:$C$639,$C182-1,$D$5:$D$639,$D182,L$5:L$639,"&lt;&gt;")=0,"",IF(OR(SUMIFS(L$5:L$639,$A$5:$A$639,$A182,$C$5:$C$639,$C182-1,$D$5:$D$639,$D182)=0,L182*SUMIFS(L$5:L$639,$A$5:$A$639,$A182,$C$5:$C$639,$C182-1,$D$5:$D$639,$D182)&lt;0),"n.s.",ABS(L182)/ABS(SUMIFS(L$5:L$639,$A$5:$A$639,$A182,$C$5:$C$639,$C182-1,$D$5:$D$639,$D182))-1)))</f>
        <v/>
      </c>
      <c r="U182" s="16">
        <f>IF(OR($A182="",M182="",$C182=""),"",IF(COUNTIFS($A$5:$A$639,$A182,$C$5:$C$639,$C182-1,$D$5:$D$639,$D182,M$5:M$639,"&lt;&gt;")=0,"",IF(OR(SUMIFS(M$5:M$639,$A$5:$A$639,$A182,$C$5:$C$639,$C182-1,$D$5:$D$639,$D182)=0,M182*SUMIFS(M$5:M$639,$A$5:$A$639,$A182,$C$5:$C$639,$C182-1,$D$5:$D$639,$D182)&lt;0),"n.s.",ABS(M182)/ABS(SUMIFS(M$5:M$639,$A$5:$A$639,$A182,$C$5:$C$639,$C182-1,$D$5:$D$639,$D182))-1)))</f>
        <v/>
      </c>
    </row>
    <row r="183">
      <c r="A183" s="9" t="inlineStr">
        <is>
          <t>ABJC</t>
        </is>
      </c>
      <c r="B183" s="10">
        <f>IF(A183="","",IFERROR(VLOOKUP(A183,Titres!$A$2:$B$400,2,FALSE),"Ticker inconnu"))</f>
        <v/>
      </c>
      <c r="C183" s="11" t="n">
        <v>2026</v>
      </c>
      <c r="D183" s="11" t="inlineStr">
        <is>
          <t>S1</t>
        </is>
      </c>
      <c r="E183" s="9" t="n"/>
      <c r="F183" s="12" t="n"/>
      <c r="G183" s="9" t="n"/>
      <c r="H183" s="13" t="n"/>
      <c r="I183" s="13" t="n"/>
      <c r="J183" s="13" t="n"/>
      <c r="K183" s="13" t="n"/>
      <c r="L183" s="13" t="n"/>
      <c r="M183" s="13" t="n"/>
      <c r="N183" s="14">
        <f>IF(A183="","",COUNT(H183:M183)/6)</f>
        <v/>
      </c>
      <c r="O183" s="15">
        <f>IF(COUNT(H183:M183)=0,"",IF(LEN(IF(COUNT(I183,J183)=2,IF(J183&gt;I183+1,"EBE &gt; VA ",""),"")&amp;IF(COUNT(H183,M183)=2,IF(ABS(M183)&gt;ABS(H183),"RN &gt; CA ",""),"")&amp;IF(COUNT(H183,K183)=2,IF(ABS(K183)&gt;ABS(H183),"RE &gt; CA ",""),""))=0,"OK",IF(COUNT(I183,J183)=2,IF(J183&gt;I183+1,"EBE &gt; VA ",""),"")&amp;IF(COUNT(H183,M183)=2,IF(ABS(M183)&gt;ABS(H183),"RN &gt; CA ",""),"")&amp;IF(COUNT(H183,K183)=2,IF(ABS(K183)&gt;ABS(H183),"RE &gt; CA ",""),"")))</f>
        <v/>
      </c>
      <c r="P183" s="16">
        <f>IF(OR($A183="",H183="",$C183=""),"",IF(COUNTIFS($A$5:$A$639,$A183,$C$5:$C$639,$C183-1,$D$5:$D$639,$D183,H$5:H$639,"&lt;&gt;")=0,"",IF(OR(SUMIFS(H$5:H$639,$A$5:$A$639,$A183,$C$5:$C$639,$C183-1,$D$5:$D$639,$D183)=0,H183*SUMIFS(H$5:H$639,$A$5:$A$639,$A183,$C$5:$C$639,$C183-1,$D$5:$D$639,$D183)&lt;0),"n.s.",ABS(H183)/ABS(SUMIFS(H$5:H$639,$A$5:$A$639,$A183,$C$5:$C$639,$C183-1,$D$5:$D$639,$D183))-1)))</f>
        <v/>
      </c>
      <c r="Q183" s="16">
        <f>IF(OR($A183="",I183="",$C183=""),"",IF(COUNTIFS($A$5:$A$639,$A183,$C$5:$C$639,$C183-1,$D$5:$D$639,$D183,I$5:I$639,"&lt;&gt;")=0,"",IF(OR(SUMIFS(I$5:I$639,$A$5:$A$639,$A183,$C$5:$C$639,$C183-1,$D$5:$D$639,$D183)=0,I183*SUMIFS(I$5:I$639,$A$5:$A$639,$A183,$C$5:$C$639,$C183-1,$D$5:$D$639,$D183)&lt;0),"n.s.",ABS(I183)/ABS(SUMIFS(I$5:I$639,$A$5:$A$639,$A183,$C$5:$C$639,$C183-1,$D$5:$D$639,$D183))-1)))</f>
        <v/>
      </c>
      <c r="R183" s="16">
        <f>IF(OR($A183="",J183="",$C183=""),"",IF(COUNTIFS($A$5:$A$639,$A183,$C$5:$C$639,$C183-1,$D$5:$D$639,$D183,J$5:J$639,"&lt;&gt;")=0,"",IF(OR(SUMIFS(J$5:J$639,$A$5:$A$639,$A183,$C$5:$C$639,$C183-1,$D$5:$D$639,$D183)=0,J183*SUMIFS(J$5:J$639,$A$5:$A$639,$A183,$C$5:$C$639,$C183-1,$D$5:$D$639,$D183)&lt;0),"n.s.",ABS(J183)/ABS(SUMIFS(J$5:J$639,$A$5:$A$639,$A183,$C$5:$C$639,$C183-1,$D$5:$D$639,$D183))-1)))</f>
        <v/>
      </c>
      <c r="S183" s="16">
        <f>IF(OR($A183="",K183="",$C183=""),"",IF(COUNTIFS($A$5:$A$639,$A183,$C$5:$C$639,$C183-1,$D$5:$D$639,$D183,K$5:K$639,"&lt;&gt;")=0,"",IF(OR(SUMIFS(K$5:K$639,$A$5:$A$639,$A183,$C$5:$C$639,$C183-1,$D$5:$D$639,$D183)=0,K183*SUMIFS(K$5:K$639,$A$5:$A$639,$A183,$C$5:$C$639,$C183-1,$D$5:$D$639,$D183)&lt;0),"n.s.",ABS(K183)/ABS(SUMIFS(K$5:K$639,$A$5:$A$639,$A183,$C$5:$C$639,$C183-1,$D$5:$D$639,$D183))-1)))</f>
        <v/>
      </c>
      <c r="T183" s="16">
        <f>IF(OR($A183="",L183="",$C183=""),"",IF(COUNTIFS($A$5:$A$639,$A183,$C$5:$C$639,$C183-1,$D$5:$D$639,$D183,L$5:L$639,"&lt;&gt;")=0,"",IF(OR(SUMIFS(L$5:L$639,$A$5:$A$639,$A183,$C$5:$C$639,$C183-1,$D$5:$D$639,$D183)=0,L183*SUMIFS(L$5:L$639,$A$5:$A$639,$A183,$C$5:$C$639,$C183-1,$D$5:$D$639,$D183)&lt;0),"n.s.",ABS(L183)/ABS(SUMIFS(L$5:L$639,$A$5:$A$639,$A183,$C$5:$C$639,$C183-1,$D$5:$D$639,$D183))-1)))</f>
        <v/>
      </c>
      <c r="U183" s="16">
        <f>IF(OR($A183="",M183="",$C183=""),"",IF(COUNTIFS($A$5:$A$639,$A183,$C$5:$C$639,$C183-1,$D$5:$D$639,$D183,M$5:M$639,"&lt;&gt;")=0,"",IF(OR(SUMIFS(M$5:M$639,$A$5:$A$639,$A183,$C$5:$C$639,$C183-1,$D$5:$D$639,$D183)=0,M183*SUMIFS(M$5:M$639,$A$5:$A$639,$A183,$C$5:$C$639,$C183-1,$D$5:$D$639,$D183)&lt;0),"n.s.",ABS(M183)/ABS(SUMIFS(M$5:M$639,$A$5:$A$639,$A183,$C$5:$C$639,$C183-1,$D$5:$D$639,$D183))-1)))</f>
        <v/>
      </c>
    </row>
    <row r="184">
      <c r="A184" s="9" t="inlineStr">
        <is>
          <t>ABJC</t>
        </is>
      </c>
      <c r="B184" s="10">
        <f>IF(A184="","",IFERROR(VLOOKUP(A184,Titres!$A$2:$B$400,2,FALSE),"Ticker inconnu"))</f>
        <v/>
      </c>
      <c r="C184" s="11" t="n">
        <v>2026</v>
      </c>
      <c r="D184" s="11" t="inlineStr">
        <is>
          <t>T3</t>
        </is>
      </c>
      <c r="E184" s="9" t="n"/>
      <c r="F184" s="12" t="n"/>
      <c r="G184" s="9" t="n"/>
      <c r="H184" s="13" t="n"/>
      <c r="I184" s="13" t="n"/>
      <c r="J184" s="13" t="n"/>
      <c r="K184" s="13" t="n"/>
      <c r="L184" s="13" t="n"/>
      <c r="M184" s="13" t="n"/>
      <c r="N184" s="14">
        <f>IF(A184="","",COUNT(H184:M184)/6)</f>
        <v/>
      </c>
      <c r="O184" s="15">
        <f>IF(COUNT(H184:M184)=0,"",IF(LEN(IF(COUNT(I184,J184)=2,IF(J184&gt;I184+1,"EBE &gt; VA ",""),"")&amp;IF(COUNT(H184,M184)=2,IF(ABS(M184)&gt;ABS(H184),"RN &gt; CA ",""),"")&amp;IF(COUNT(H184,K184)=2,IF(ABS(K184)&gt;ABS(H184),"RE &gt; CA ",""),""))=0,"OK",IF(COUNT(I184,J184)=2,IF(J184&gt;I184+1,"EBE &gt; VA ",""),"")&amp;IF(COUNT(H184,M184)=2,IF(ABS(M184)&gt;ABS(H184),"RN &gt; CA ",""),"")&amp;IF(COUNT(H184,K184)=2,IF(ABS(K184)&gt;ABS(H184),"RE &gt; CA ",""),"")))</f>
        <v/>
      </c>
      <c r="P184" s="16">
        <f>IF(OR($A184="",H184="",$C184=""),"",IF(COUNTIFS($A$5:$A$639,$A184,$C$5:$C$639,$C184-1,$D$5:$D$639,$D184,H$5:H$639,"&lt;&gt;")=0,"",IF(OR(SUMIFS(H$5:H$639,$A$5:$A$639,$A184,$C$5:$C$639,$C184-1,$D$5:$D$639,$D184)=0,H184*SUMIFS(H$5:H$639,$A$5:$A$639,$A184,$C$5:$C$639,$C184-1,$D$5:$D$639,$D184)&lt;0),"n.s.",ABS(H184)/ABS(SUMIFS(H$5:H$639,$A$5:$A$639,$A184,$C$5:$C$639,$C184-1,$D$5:$D$639,$D184))-1)))</f>
        <v/>
      </c>
      <c r="Q184" s="16">
        <f>IF(OR($A184="",I184="",$C184=""),"",IF(COUNTIFS($A$5:$A$639,$A184,$C$5:$C$639,$C184-1,$D$5:$D$639,$D184,I$5:I$639,"&lt;&gt;")=0,"",IF(OR(SUMIFS(I$5:I$639,$A$5:$A$639,$A184,$C$5:$C$639,$C184-1,$D$5:$D$639,$D184)=0,I184*SUMIFS(I$5:I$639,$A$5:$A$639,$A184,$C$5:$C$639,$C184-1,$D$5:$D$639,$D184)&lt;0),"n.s.",ABS(I184)/ABS(SUMIFS(I$5:I$639,$A$5:$A$639,$A184,$C$5:$C$639,$C184-1,$D$5:$D$639,$D184))-1)))</f>
        <v/>
      </c>
      <c r="R184" s="16">
        <f>IF(OR($A184="",J184="",$C184=""),"",IF(COUNTIFS($A$5:$A$639,$A184,$C$5:$C$639,$C184-1,$D$5:$D$639,$D184,J$5:J$639,"&lt;&gt;")=0,"",IF(OR(SUMIFS(J$5:J$639,$A$5:$A$639,$A184,$C$5:$C$639,$C184-1,$D$5:$D$639,$D184)=0,J184*SUMIFS(J$5:J$639,$A$5:$A$639,$A184,$C$5:$C$639,$C184-1,$D$5:$D$639,$D184)&lt;0),"n.s.",ABS(J184)/ABS(SUMIFS(J$5:J$639,$A$5:$A$639,$A184,$C$5:$C$639,$C184-1,$D$5:$D$639,$D184))-1)))</f>
        <v/>
      </c>
      <c r="S184" s="16">
        <f>IF(OR($A184="",K184="",$C184=""),"",IF(COUNTIFS($A$5:$A$639,$A184,$C$5:$C$639,$C184-1,$D$5:$D$639,$D184,K$5:K$639,"&lt;&gt;")=0,"",IF(OR(SUMIFS(K$5:K$639,$A$5:$A$639,$A184,$C$5:$C$639,$C184-1,$D$5:$D$639,$D184)=0,K184*SUMIFS(K$5:K$639,$A$5:$A$639,$A184,$C$5:$C$639,$C184-1,$D$5:$D$639,$D184)&lt;0),"n.s.",ABS(K184)/ABS(SUMIFS(K$5:K$639,$A$5:$A$639,$A184,$C$5:$C$639,$C184-1,$D$5:$D$639,$D184))-1)))</f>
        <v/>
      </c>
      <c r="T184" s="16">
        <f>IF(OR($A184="",L184="",$C184=""),"",IF(COUNTIFS($A$5:$A$639,$A184,$C$5:$C$639,$C184-1,$D$5:$D$639,$D184,L$5:L$639,"&lt;&gt;")=0,"",IF(OR(SUMIFS(L$5:L$639,$A$5:$A$639,$A184,$C$5:$C$639,$C184-1,$D$5:$D$639,$D184)=0,L184*SUMIFS(L$5:L$639,$A$5:$A$639,$A184,$C$5:$C$639,$C184-1,$D$5:$D$639,$D184)&lt;0),"n.s.",ABS(L184)/ABS(SUMIFS(L$5:L$639,$A$5:$A$639,$A184,$C$5:$C$639,$C184-1,$D$5:$D$639,$D184))-1)))</f>
        <v/>
      </c>
      <c r="U184" s="16">
        <f>IF(OR($A184="",M184="",$C184=""),"",IF(COUNTIFS($A$5:$A$639,$A184,$C$5:$C$639,$C184-1,$D$5:$D$639,$D184,M$5:M$639,"&lt;&gt;")=0,"",IF(OR(SUMIFS(M$5:M$639,$A$5:$A$639,$A184,$C$5:$C$639,$C184-1,$D$5:$D$639,$D184)=0,M184*SUMIFS(M$5:M$639,$A$5:$A$639,$A184,$C$5:$C$639,$C184-1,$D$5:$D$639,$D184)&lt;0),"n.s.",ABS(M184)/ABS(SUMIFS(M$5:M$639,$A$5:$A$639,$A184,$C$5:$C$639,$C184-1,$D$5:$D$639,$D184))-1)))</f>
        <v/>
      </c>
    </row>
    <row r="185">
      <c r="A185" s="9" t="inlineStr">
        <is>
          <t>BNBC</t>
        </is>
      </c>
      <c r="B185" s="10">
        <f>IF(A185="","",IFERROR(VLOOKUP(A185,Titres!$A$2:$B$400,2,FALSE),"Ticker inconnu"))</f>
        <v/>
      </c>
      <c r="C185" s="11" t="n">
        <v>2021</v>
      </c>
      <c r="D185" s="11" t="inlineStr">
        <is>
          <t>T1</t>
        </is>
      </c>
      <c r="E185" s="9" t="n"/>
      <c r="F185" s="12" t="n"/>
      <c r="G185" s="9" t="n"/>
      <c r="H185" s="13" t="n"/>
      <c r="I185" s="13" t="n"/>
      <c r="J185" s="13" t="n"/>
      <c r="K185" s="13" t="n"/>
      <c r="L185" s="13" t="n"/>
      <c r="M185" s="13" t="n"/>
      <c r="N185" s="14">
        <f>IF(A185="","",COUNT(H185:M185)/6)</f>
        <v/>
      </c>
      <c r="O185" s="15">
        <f>IF(COUNT(H185:M185)=0,"",IF(LEN(IF(COUNT(I185,J185)=2,IF(J185&gt;I185+1,"EBE &gt; VA ",""),"")&amp;IF(COUNT(H185,M185)=2,IF(ABS(M185)&gt;ABS(H185),"RN &gt; CA ",""),"")&amp;IF(COUNT(H185,K185)=2,IF(ABS(K185)&gt;ABS(H185),"RE &gt; CA ",""),""))=0,"OK",IF(COUNT(I185,J185)=2,IF(J185&gt;I185+1,"EBE &gt; VA ",""),"")&amp;IF(COUNT(H185,M185)=2,IF(ABS(M185)&gt;ABS(H185),"RN &gt; CA ",""),"")&amp;IF(COUNT(H185,K185)=2,IF(ABS(K185)&gt;ABS(H185),"RE &gt; CA ",""),"")))</f>
        <v/>
      </c>
      <c r="P185" s="16">
        <f>IF(OR($A185="",H185="",$C185=""),"",IF(COUNTIFS($A$5:$A$639,$A185,$C$5:$C$639,$C185-1,$D$5:$D$639,$D185,H$5:H$639,"&lt;&gt;")=0,"",IF(OR(SUMIFS(H$5:H$639,$A$5:$A$639,$A185,$C$5:$C$639,$C185-1,$D$5:$D$639,$D185)=0,H185*SUMIFS(H$5:H$639,$A$5:$A$639,$A185,$C$5:$C$639,$C185-1,$D$5:$D$639,$D185)&lt;0),"n.s.",ABS(H185)/ABS(SUMIFS(H$5:H$639,$A$5:$A$639,$A185,$C$5:$C$639,$C185-1,$D$5:$D$639,$D185))-1)))</f>
        <v/>
      </c>
      <c r="Q185" s="16">
        <f>IF(OR($A185="",I185="",$C185=""),"",IF(COUNTIFS($A$5:$A$639,$A185,$C$5:$C$639,$C185-1,$D$5:$D$639,$D185,I$5:I$639,"&lt;&gt;")=0,"",IF(OR(SUMIFS(I$5:I$639,$A$5:$A$639,$A185,$C$5:$C$639,$C185-1,$D$5:$D$639,$D185)=0,I185*SUMIFS(I$5:I$639,$A$5:$A$639,$A185,$C$5:$C$639,$C185-1,$D$5:$D$639,$D185)&lt;0),"n.s.",ABS(I185)/ABS(SUMIFS(I$5:I$639,$A$5:$A$639,$A185,$C$5:$C$639,$C185-1,$D$5:$D$639,$D185))-1)))</f>
        <v/>
      </c>
      <c r="R185" s="16">
        <f>IF(OR($A185="",J185="",$C185=""),"",IF(COUNTIFS($A$5:$A$639,$A185,$C$5:$C$639,$C185-1,$D$5:$D$639,$D185,J$5:J$639,"&lt;&gt;")=0,"",IF(OR(SUMIFS(J$5:J$639,$A$5:$A$639,$A185,$C$5:$C$639,$C185-1,$D$5:$D$639,$D185)=0,J185*SUMIFS(J$5:J$639,$A$5:$A$639,$A185,$C$5:$C$639,$C185-1,$D$5:$D$639,$D185)&lt;0),"n.s.",ABS(J185)/ABS(SUMIFS(J$5:J$639,$A$5:$A$639,$A185,$C$5:$C$639,$C185-1,$D$5:$D$639,$D185))-1)))</f>
        <v/>
      </c>
      <c r="S185" s="16">
        <f>IF(OR($A185="",K185="",$C185=""),"",IF(COUNTIFS($A$5:$A$639,$A185,$C$5:$C$639,$C185-1,$D$5:$D$639,$D185,K$5:K$639,"&lt;&gt;")=0,"",IF(OR(SUMIFS(K$5:K$639,$A$5:$A$639,$A185,$C$5:$C$639,$C185-1,$D$5:$D$639,$D185)=0,K185*SUMIFS(K$5:K$639,$A$5:$A$639,$A185,$C$5:$C$639,$C185-1,$D$5:$D$639,$D185)&lt;0),"n.s.",ABS(K185)/ABS(SUMIFS(K$5:K$639,$A$5:$A$639,$A185,$C$5:$C$639,$C185-1,$D$5:$D$639,$D185))-1)))</f>
        <v/>
      </c>
      <c r="T185" s="16">
        <f>IF(OR($A185="",L185="",$C185=""),"",IF(COUNTIFS($A$5:$A$639,$A185,$C$5:$C$639,$C185-1,$D$5:$D$639,$D185,L$5:L$639,"&lt;&gt;")=0,"",IF(OR(SUMIFS(L$5:L$639,$A$5:$A$639,$A185,$C$5:$C$639,$C185-1,$D$5:$D$639,$D185)=0,L185*SUMIFS(L$5:L$639,$A$5:$A$639,$A185,$C$5:$C$639,$C185-1,$D$5:$D$639,$D185)&lt;0),"n.s.",ABS(L185)/ABS(SUMIFS(L$5:L$639,$A$5:$A$639,$A185,$C$5:$C$639,$C185-1,$D$5:$D$639,$D185))-1)))</f>
        <v/>
      </c>
      <c r="U185" s="16">
        <f>IF(OR($A185="",M185="",$C185=""),"",IF(COUNTIFS($A$5:$A$639,$A185,$C$5:$C$639,$C185-1,$D$5:$D$639,$D185,M$5:M$639,"&lt;&gt;")=0,"",IF(OR(SUMIFS(M$5:M$639,$A$5:$A$639,$A185,$C$5:$C$639,$C185-1,$D$5:$D$639,$D185)=0,M185*SUMIFS(M$5:M$639,$A$5:$A$639,$A185,$C$5:$C$639,$C185-1,$D$5:$D$639,$D185)&lt;0),"n.s.",ABS(M185)/ABS(SUMIFS(M$5:M$639,$A$5:$A$639,$A185,$C$5:$C$639,$C185-1,$D$5:$D$639,$D185))-1)))</f>
        <v/>
      </c>
    </row>
    <row r="186">
      <c r="A186" s="9" t="inlineStr">
        <is>
          <t>BNBC</t>
        </is>
      </c>
      <c r="B186" s="10">
        <f>IF(A186="","",IFERROR(VLOOKUP(A186,Titres!$A$2:$B$400,2,FALSE),"Ticker inconnu"))</f>
        <v/>
      </c>
      <c r="C186" s="11" t="n">
        <v>2021</v>
      </c>
      <c r="D186" s="11" t="inlineStr">
        <is>
          <t>S1</t>
        </is>
      </c>
      <c r="E186" s="9" t="n"/>
      <c r="F186" s="12" t="n"/>
      <c r="G186" s="9" t="n"/>
      <c r="H186" s="13" t="n"/>
      <c r="I186" s="13" t="n"/>
      <c r="J186" s="13" t="n"/>
      <c r="K186" s="13" t="n"/>
      <c r="L186" s="13" t="n"/>
      <c r="M186" s="13" t="n"/>
      <c r="N186" s="14">
        <f>IF(A186="","",COUNT(H186:M186)/6)</f>
        <v/>
      </c>
      <c r="O186" s="15">
        <f>IF(COUNT(H186:M186)=0,"",IF(LEN(IF(COUNT(I186,J186)=2,IF(J186&gt;I186+1,"EBE &gt; VA ",""),"")&amp;IF(COUNT(H186,M186)=2,IF(ABS(M186)&gt;ABS(H186),"RN &gt; CA ",""),"")&amp;IF(COUNT(H186,K186)=2,IF(ABS(K186)&gt;ABS(H186),"RE &gt; CA ",""),""))=0,"OK",IF(COUNT(I186,J186)=2,IF(J186&gt;I186+1,"EBE &gt; VA ",""),"")&amp;IF(COUNT(H186,M186)=2,IF(ABS(M186)&gt;ABS(H186),"RN &gt; CA ",""),"")&amp;IF(COUNT(H186,K186)=2,IF(ABS(K186)&gt;ABS(H186),"RE &gt; CA ",""),"")))</f>
        <v/>
      </c>
      <c r="P186" s="16">
        <f>IF(OR($A186="",H186="",$C186=""),"",IF(COUNTIFS($A$5:$A$639,$A186,$C$5:$C$639,$C186-1,$D$5:$D$639,$D186,H$5:H$639,"&lt;&gt;")=0,"",IF(OR(SUMIFS(H$5:H$639,$A$5:$A$639,$A186,$C$5:$C$639,$C186-1,$D$5:$D$639,$D186)=0,H186*SUMIFS(H$5:H$639,$A$5:$A$639,$A186,$C$5:$C$639,$C186-1,$D$5:$D$639,$D186)&lt;0),"n.s.",ABS(H186)/ABS(SUMIFS(H$5:H$639,$A$5:$A$639,$A186,$C$5:$C$639,$C186-1,$D$5:$D$639,$D186))-1)))</f>
        <v/>
      </c>
      <c r="Q186" s="16">
        <f>IF(OR($A186="",I186="",$C186=""),"",IF(COUNTIFS($A$5:$A$639,$A186,$C$5:$C$639,$C186-1,$D$5:$D$639,$D186,I$5:I$639,"&lt;&gt;")=0,"",IF(OR(SUMIFS(I$5:I$639,$A$5:$A$639,$A186,$C$5:$C$639,$C186-1,$D$5:$D$639,$D186)=0,I186*SUMIFS(I$5:I$639,$A$5:$A$639,$A186,$C$5:$C$639,$C186-1,$D$5:$D$639,$D186)&lt;0),"n.s.",ABS(I186)/ABS(SUMIFS(I$5:I$639,$A$5:$A$639,$A186,$C$5:$C$639,$C186-1,$D$5:$D$639,$D186))-1)))</f>
        <v/>
      </c>
      <c r="R186" s="16">
        <f>IF(OR($A186="",J186="",$C186=""),"",IF(COUNTIFS($A$5:$A$639,$A186,$C$5:$C$639,$C186-1,$D$5:$D$639,$D186,J$5:J$639,"&lt;&gt;")=0,"",IF(OR(SUMIFS(J$5:J$639,$A$5:$A$639,$A186,$C$5:$C$639,$C186-1,$D$5:$D$639,$D186)=0,J186*SUMIFS(J$5:J$639,$A$5:$A$639,$A186,$C$5:$C$639,$C186-1,$D$5:$D$639,$D186)&lt;0),"n.s.",ABS(J186)/ABS(SUMIFS(J$5:J$639,$A$5:$A$639,$A186,$C$5:$C$639,$C186-1,$D$5:$D$639,$D186))-1)))</f>
        <v/>
      </c>
      <c r="S186" s="16">
        <f>IF(OR($A186="",K186="",$C186=""),"",IF(COUNTIFS($A$5:$A$639,$A186,$C$5:$C$639,$C186-1,$D$5:$D$639,$D186,K$5:K$639,"&lt;&gt;")=0,"",IF(OR(SUMIFS(K$5:K$639,$A$5:$A$639,$A186,$C$5:$C$639,$C186-1,$D$5:$D$639,$D186)=0,K186*SUMIFS(K$5:K$639,$A$5:$A$639,$A186,$C$5:$C$639,$C186-1,$D$5:$D$639,$D186)&lt;0),"n.s.",ABS(K186)/ABS(SUMIFS(K$5:K$639,$A$5:$A$639,$A186,$C$5:$C$639,$C186-1,$D$5:$D$639,$D186))-1)))</f>
        <v/>
      </c>
      <c r="T186" s="16">
        <f>IF(OR($A186="",L186="",$C186=""),"",IF(COUNTIFS($A$5:$A$639,$A186,$C$5:$C$639,$C186-1,$D$5:$D$639,$D186,L$5:L$639,"&lt;&gt;")=0,"",IF(OR(SUMIFS(L$5:L$639,$A$5:$A$639,$A186,$C$5:$C$639,$C186-1,$D$5:$D$639,$D186)=0,L186*SUMIFS(L$5:L$639,$A$5:$A$639,$A186,$C$5:$C$639,$C186-1,$D$5:$D$639,$D186)&lt;0),"n.s.",ABS(L186)/ABS(SUMIFS(L$5:L$639,$A$5:$A$639,$A186,$C$5:$C$639,$C186-1,$D$5:$D$639,$D186))-1)))</f>
        <v/>
      </c>
      <c r="U186" s="16">
        <f>IF(OR($A186="",M186="",$C186=""),"",IF(COUNTIFS($A$5:$A$639,$A186,$C$5:$C$639,$C186-1,$D$5:$D$639,$D186,M$5:M$639,"&lt;&gt;")=0,"",IF(OR(SUMIFS(M$5:M$639,$A$5:$A$639,$A186,$C$5:$C$639,$C186-1,$D$5:$D$639,$D186)=0,M186*SUMIFS(M$5:M$639,$A$5:$A$639,$A186,$C$5:$C$639,$C186-1,$D$5:$D$639,$D186)&lt;0),"n.s.",ABS(M186)/ABS(SUMIFS(M$5:M$639,$A$5:$A$639,$A186,$C$5:$C$639,$C186-1,$D$5:$D$639,$D186))-1)))</f>
        <v/>
      </c>
    </row>
    <row r="187">
      <c r="A187" s="9" t="inlineStr">
        <is>
          <t>BNBC</t>
        </is>
      </c>
      <c r="B187" s="10">
        <f>IF(A187="","",IFERROR(VLOOKUP(A187,Titres!$A$2:$B$400,2,FALSE),"Ticker inconnu"))</f>
        <v/>
      </c>
      <c r="C187" s="11" t="n">
        <v>2021</v>
      </c>
      <c r="D187" s="11" t="inlineStr">
        <is>
          <t>T3</t>
        </is>
      </c>
      <c r="E187" s="9" t="n"/>
      <c r="F187" s="12" t="n"/>
      <c r="G187" s="9" t="n"/>
      <c r="H187" s="13" t="n"/>
      <c r="I187" s="13" t="n"/>
      <c r="J187" s="13" t="n"/>
      <c r="K187" s="13" t="n"/>
      <c r="L187" s="13" t="n"/>
      <c r="M187" s="13" t="n"/>
      <c r="N187" s="14">
        <f>IF(A187="","",COUNT(H187:M187)/6)</f>
        <v/>
      </c>
      <c r="O187" s="15">
        <f>IF(COUNT(H187:M187)=0,"",IF(LEN(IF(COUNT(I187,J187)=2,IF(J187&gt;I187+1,"EBE &gt; VA ",""),"")&amp;IF(COUNT(H187,M187)=2,IF(ABS(M187)&gt;ABS(H187),"RN &gt; CA ",""),"")&amp;IF(COUNT(H187,K187)=2,IF(ABS(K187)&gt;ABS(H187),"RE &gt; CA ",""),""))=0,"OK",IF(COUNT(I187,J187)=2,IF(J187&gt;I187+1,"EBE &gt; VA ",""),"")&amp;IF(COUNT(H187,M187)=2,IF(ABS(M187)&gt;ABS(H187),"RN &gt; CA ",""),"")&amp;IF(COUNT(H187,K187)=2,IF(ABS(K187)&gt;ABS(H187),"RE &gt; CA ",""),"")))</f>
        <v/>
      </c>
      <c r="P187" s="16">
        <f>IF(OR($A187="",H187="",$C187=""),"",IF(COUNTIFS($A$5:$A$639,$A187,$C$5:$C$639,$C187-1,$D$5:$D$639,$D187,H$5:H$639,"&lt;&gt;")=0,"",IF(OR(SUMIFS(H$5:H$639,$A$5:$A$639,$A187,$C$5:$C$639,$C187-1,$D$5:$D$639,$D187)=0,H187*SUMIFS(H$5:H$639,$A$5:$A$639,$A187,$C$5:$C$639,$C187-1,$D$5:$D$639,$D187)&lt;0),"n.s.",ABS(H187)/ABS(SUMIFS(H$5:H$639,$A$5:$A$639,$A187,$C$5:$C$639,$C187-1,$D$5:$D$639,$D187))-1)))</f>
        <v/>
      </c>
      <c r="Q187" s="16">
        <f>IF(OR($A187="",I187="",$C187=""),"",IF(COUNTIFS($A$5:$A$639,$A187,$C$5:$C$639,$C187-1,$D$5:$D$639,$D187,I$5:I$639,"&lt;&gt;")=0,"",IF(OR(SUMIFS(I$5:I$639,$A$5:$A$639,$A187,$C$5:$C$639,$C187-1,$D$5:$D$639,$D187)=0,I187*SUMIFS(I$5:I$639,$A$5:$A$639,$A187,$C$5:$C$639,$C187-1,$D$5:$D$639,$D187)&lt;0),"n.s.",ABS(I187)/ABS(SUMIFS(I$5:I$639,$A$5:$A$639,$A187,$C$5:$C$639,$C187-1,$D$5:$D$639,$D187))-1)))</f>
        <v/>
      </c>
      <c r="R187" s="16">
        <f>IF(OR($A187="",J187="",$C187=""),"",IF(COUNTIFS($A$5:$A$639,$A187,$C$5:$C$639,$C187-1,$D$5:$D$639,$D187,J$5:J$639,"&lt;&gt;")=0,"",IF(OR(SUMIFS(J$5:J$639,$A$5:$A$639,$A187,$C$5:$C$639,$C187-1,$D$5:$D$639,$D187)=0,J187*SUMIFS(J$5:J$639,$A$5:$A$639,$A187,$C$5:$C$639,$C187-1,$D$5:$D$639,$D187)&lt;0),"n.s.",ABS(J187)/ABS(SUMIFS(J$5:J$639,$A$5:$A$639,$A187,$C$5:$C$639,$C187-1,$D$5:$D$639,$D187))-1)))</f>
        <v/>
      </c>
      <c r="S187" s="16">
        <f>IF(OR($A187="",K187="",$C187=""),"",IF(COUNTIFS($A$5:$A$639,$A187,$C$5:$C$639,$C187-1,$D$5:$D$639,$D187,K$5:K$639,"&lt;&gt;")=0,"",IF(OR(SUMIFS(K$5:K$639,$A$5:$A$639,$A187,$C$5:$C$639,$C187-1,$D$5:$D$639,$D187)=0,K187*SUMIFS(K$5:K$639,$A$5:$A$639,$A187,$C$5:$C$639,$C187-1,$D$5:$D$639,$D187)&lt;0),"n.s.",ABS(K187)/ABS(SUMIFS(K$5:K$639,$A$5:$A$639,$A187,$C$5:$C$639,$C187-1,$D$5:$D$639,$D187))-1)))</f>
        <v/>
      </c>
      <c r="T187" s="16">
        <f>IF(OR($A187="",L187="",$C187=""),"",IF(COUNTIFS($A$5:$A$639,$A187,$C$5:$C$639,$C187-1,$D$5:$D$639,$D187,L$5:L$639,"&lt;&gt;")=0,"",IF(OR(SUMIFS(L$5:L$639,$A$5:$A$639,$A187,$C$5:$C$639,$C187-1,$D$5:$D$639,$D187)=0,L187*SUMIFS(L$5:L$639,$A$5:$A$639,$A187,$C$5:$C$639,$C187-1,$D$5:$D$639,$D187)&lt;0),"n.s.",ABS(L187)/ABS(SUMIFS(L$5:L$639,$A$5:$A$639,$A187,$C$5:$C$639,$C187-1,$D$5:$D$639,$D187))-1)))</f>
        <v/>
      </c>
      <c r="U187" s="16">
        <f>IF(OR($A187="",M187="",$C187=""),"",IF(COUNTIFS($A$5:$A$639,$A187,$C$5:$C$639,$C187-1,$D$5:$D$639,$D187,M$5:M$639,"&lt;&gt;")=0,"",IF(OR(SUMIFS(M$5:M$639,$A$5:$A$639,$A187,$C$5:$C$639,$C187-1,$D$5:$D$639,$D187)=0,M187*SUMIFS(M$5:M$639,$A$5:$A$639,$A187,$C$5:$C$639,$C187-1,$D$5:$D$639,$D187)&lt;0),"n.s.",ABS(M187)/ABS(SUMIFS(M$5:M$639,$A$5:$A$639,$A187,$C$5:$C$639,$C187-1,$D$5:$D$639,$D187))-1)))</f>
        <v/>
      </c>
    </row>
    <row r="188">
      <c r="A188" s="9" t="inlineStr">
        <is>
          <t>BNBC</t>
        </is>
      </c>
      <c r="B188" s="10">
        <f>IF(A188="","",IFERROR(VLOOKUP(A188,Titres!$A$2:$B$400,2,FALSE),"Ticker inconnu"))</f>
        <v/>
      </c>
      <c r="C188" s="11" t="n">
        <v>2022</v>
      </c>
      <c r="D188" s="11" t="inlineStr">
        <is>
          <t>T1</t>
        </is>
      </c>
      <c r="E188" s="9" t="n"/>
      <c r="F188" s="12" t="n"/>
      <c r="G188" s="9" t="n"/>
      <c r="H188" s="13" t="n"/>
      <c r="I188" s="13" t="n"/>
      <c r="J188" s="13" t="n"/>
      <c r="K188" s="13" t="n"/>
      <c r="L188" s="13" t="n"/>
      <c r="M188" s="13" t="n"/>
      <c r="N188" s="14">
        <f>IF(A188="","",COUNT(H188:M188)/6)</f>
        <v/>
      </c>
      <c r="O188" s="15">
        <f>IF(COUNT(H188:M188)=0,"",IF(LEN(IF(COUNT(I188,J188)=2,IF(J188&gt;I188+1,"EBE &gt; VA ",""),"")&amp;IF(COUNT(H188,M188)=2,IF(ABS(M188)&gt;ABS(H188),"RN &gt; CA ",""),"")&amp;IF(COUNT(H188,K188)=2,IF(ABS(K188)&gt;ABS(H188),"RE &gt; CA ",""),""))=0,"OK",IF(COUNT(I188,J188)=2,IF(J188&gt;I188+1,"EBE &gt; VA ",""),"")&amp;IF(COUNT(H188,M188)=2,IF(ABS(M188)&gt;ABS(H188),"RN &gt; CA ",""),"")&amp;IF(COUNT(H188,K188)=2,IF(ABS(K188)&gt;ABS(H188),"RE &gt; CA ",""),"")))</f>
        <v/>
      </c>
      <c r="P188" s="16">
        <f>IF(OR($A188="",H188="",$C188=""),"",IF(COUNTIFS($A$5:$A$639,$A188,$C$5:$C$639,$C188-1,$D$5:$D$639,$D188,H$5:H$639,"&lt;&gt;")=0,"",IF(OR(SUMIFS(H$5:H$639,$A$5:$A$639,$A188,$C$5:$C$639,$C188-1,$D$5:$D$639,$D188)=0,H188*SUMIFS(H$5:H$639,$A$5:$A$639,$A188,$C$5:$C$639,$C188-1,$D$5:$D$639,$D188)&lt;0),"n.s.",ABS(H188)/ABS(SUMIFS(H$5:H$639,$A$5:$A$639,$A188,$C$5:$C$639,$C188-1,$D$5:$D$639,$D188))-1)))</f>
        <v/>
      </c>
      <c r="Q188" s="16">
        <f>IF(OR($A188="",I188="",$C188=""),"",IF(COUNTIFS($A$5:$A$639,$A188,$C$5:$C$639,$C188-1,$D$5:$D$639,$D188,I$5:I$639,"&lt;&gt;")=0,"",IF(OR(SUMIFS(I$5:I$639,$A$5:$A$639,$A188,$C$5:$C$639,$C188-1,$D$5:$D$639,$D188)=0,I188*SUMIFS(I$5:I$639,$A$5:$A$639,$A188,$C$5:$C$639,$C188-1,$D$5:$D$639,$D188)&lt;0),"n.s.",ABS(I188)/ABS(SUMIFS(I$5:I$639,$A$5:$A$639,$A188,$C$5:$C$639,$C188-1,$D$5:$D$639,$D188))-1)))</f>
        <v/>
      </c>
      <c r="R188" s="16">
        <f>IF(OR($A188="",J188="",$C188=""),"",IF(COUNTIFS($A$5:$A$639,$A188,$C$5:$C$639,$C188-1,$D$5:$D$639,$D188,J$5:J$639,"&lt;&gt;")=0,"",IF(OR(SUMIFS(J$5:J$639,$A$5:$A$639,$A188,$C$5:$C$639,$C188-1,$D$5:$D$639,$D188)=0,J188*SUMIFS(J$5:J$639,$A$5:$A$639,$A188,$C$5:$C$639,$C188-1,$D$5:$D$639,$D188)&lt;0),"n.s.",ABS(J188)/ABS(SUMIFS(J$5:J$639,$A$5:$A$639,$A188,$C$5:$C$639,$C188-1,$D$5:$D$639,$D188))-1)))</f>
        <v/>
      </c>
      <c r="S188" s="16">
        <f>IF(OR($A188="",K188="",$C188=""),"",IF(COUNTIFS($A$5:$A$639,$A188,$C$5:$C$639,$C188-1,$D$5:$D$639,$D188,K$5:K$639,"&lt;&gt;")=0,"",IF(OR(SUMIFS(K$5:K$639,$A$5:$A$639,$A188,$C$5:$C$639,$C188-1,$D$5:$D$639,$D188)=0,K188*SUMIFS(K$5:K$639,$A$5:$A$639,$A188,$C$5:$C$639,$C188-1,$D$5:$D$639,$D188)&lt;0),"n.s.",ABS(K188)/ABS(SUMIFS(K$5:K$639,$A$5:$A$639,$A188,$C$5:$C$639,$C188-1,$D$5:$D$639,$D188))-1)))</f>
        <v/>
      </c>
      <c r="T188" s="16">
        <f>IF(OR($A188="",L188="",$C188=""),"",IF(COUNTIFS($A$5:$A$639,$A188,$C$5:$C$639,$C188-1,$D$5:$D$639,$D188,L$5:L$639,"&lt;&gt;")=0,"",IF(OR(SUMIFS(L$5:L$639,$A$5:$A$639,$A188,$C$5:$C$639,$C188-1,$D$5:$D$639,$D188)=0,L188*SUMIFS(L$5:L$639,$A$5:$A$639,$A188,$C$5:$C$639,$C188-1,$D$5:$D$639,$D188)&lt;0),"n.s.",ABS(L188)/ABS(SUMIFS(L$5:L$639,$A$5:$A$639,$A188,$C$5:$C$639,$C188-1,$D$5:$D$639,$D188))-1)))</f>
        <v/>
      </c>
      <c r="U188" s="16">
        <f>IF(OR($A188="",M188="",$C188=""),"",IF(COUNTIFS($A$5:$A$639,$A188,$C$5:$C$639,$C188-1,$D$5:$D$639,$D188,M$5:M$639,"&lt;&gt;")=0,"",IF(OR(SUMIFS(M$5:M$639,$A$5:$A$639,$A188,$C$5:$C$639,$C188-1,$D$5:$D$639,$D188)=0,M188*SUMIFS(M$5:M$639,$A$5:$A$639,$A188,$C$5:$C$639,$C188-1,$D$5:$D$639,$D188)&lt;0),"n.s.",ABS(M188)/ABS(SUMIFS(M$5:M$639,$A$5:$A$639,$A188,$C$5:$C$639,$C188-1,$D$5:$D$639,$D188))-1)))</f>
        <v/>
      </c>
    </row>
    <row r="189">
      <c r="A189" s="9" t="inlineStr">
        <is>
          <t>BNBC</t>
        </is>
      </c>
      <c r="B189" s="10">
        <f>IF(A189="","",IFERROR(VLOOKUP(A189,Titres!$A$2:$B$400,2,FALSE),"Ticker inconnu"))</f>
        <v/>
      </c>
      <c r="C189" s="11" t="n">
        <v>2022</v>
      </c>
      <c r="D189" s="11" t="inlineStr">
        <is>
          <t>S1</t>
        </is>
      </c>
      <c r="E189" s="9" t="n"/>
      <c r="F189" s="12" t="n"/>
      <c r="G189" s="9" t="n"/>
      <c r="H189" s="13" t="n"/>
      <c r="I189" s="13" t="n"/>
      <c r="J189" s="13" t="n"/>
      <c r="K189" s="13" t="n"/>
      <c r="L189" s="13" t="n"/>
      <c r="M189" s="13" t="n"/>
      <c r="N189" s="14">
        <f>IF(A189="","",COUNT(H189:M189)/6)</f>
        <v/>
      </c>
      <c r="O189" s="15">
        <f>IF(COUNT(H189:M189)=0,"",IF(LEN(IF(COUNT(I189,J189)=2,IF(J189&gt;I189+1,"EBE &gt; VA ",""),"")&amp;IF(COUNT(H189,M189)=2,IF(ABS(M189)&gt;ABS(H189),"RN &gt; CA ",""),"")&amp;IF(COUNT(H189,K189)=2,IF(ABS(K189)&gt;ABS(H189),"RE &gt; CA ",""),""))=0,"OK",IF(COUNT(I189,J189)=2,IF(J189&gt;I189+1,"EBE &gt; VA ",""),"")&amp;IF(COUNT(H189,M189)=2,IF(ABS(M189)&gt;ABS(H189),"RN &gt; CA ",""),"")&amp;IF(COUNT(H189,K189)=2,IF(ABS(K189)&gt;ABS(H189),"RE &gt; CA ",""),"")))</f>
        <v/>
      </c>
      <c r="P189" s="16">
        <f>IF(OR($A189="",H189="",$C189=""),"",IF(COUNTIFS($A$5:$A$639,$A189,$C$5:$C$639,$C189-1,$D$5:$D$639,$D189,H$5:H$639,"&lt;&gt;")=0,"",IF(OR(SUMIFS(H$5:H$639,$A$5:$A$639,$A189,$C$5:$C$639,$C189-1,$D$5:$D$639,$D189)=0,H189*SUMIFS(H$5:H$639,$A$5:$A$639,$A189,$C$5:$C$639,$C189-1,$D$5:$D$639,$D189)&lt;0),"n.s.",ABS(H189)/ABS(SUMIFS(H$5:H$639,$A$5:$A$639,$A189,$C$5:$C$639,$C189-1,$D$5:$D$639,$D189))-1)))</f>
        <v/>
      </c>
      <c r="Q189" s="16">
        <f>IF(OR($A189="",I189="",$C189=""),"",IF(COUNTIFS($A$5:$A$639,$A189,$C$5:$C$639,$C189-1,$D$5:$D$639,$D189,I$5:I$639,"&lt;&gt;")=0,"",IF(OR(SUMIFS(I$5:I$639,$A$5:$A$639,$A189,$C$5:$C$639,$C189-1,$D$5:$D$639,$D189)=0,I189*SUMIFS(I$5:I$639,$A$5:$A$639,$A189,$C$5:$C$639,$C189-1,$D$5:$D$639,$D189)&lt;0),"n.s.",ABS(I189)/ABS(SUMIFS(I$5:I$639,$A$5:$A$639,$A189,$C$5:$C$639,$C189-1,$D$5:$D$639,$D189))-1)))</f>
        <v/>
      </c>
      <c r="R189" s="16">
        <f>IF(OR($A189="",J189="",$C189=""),"",IF(COUNTIFS($A$5:$A$639,$A189,$C$5:$C$639,$C189-1,$D$5:$D$639,$D189,J$5:J$639,"&lt;&gt;")=0,"",IF(OR(SUMIFS(J$5:J$639,$A$5:$A$639,$A189,$C$5:$C$639,$C189-1,$D$5:$D$639,$D189)=0,J189*SUMIFS(J$5:J$639,$A$5:$A$639,$A189,$C$5:$C$639,$C189-1,$D$5:$D$639,$D189)&lt;0),"n.s.",ABS(J189)/ABS(SUMIFS(J$5:J$639,$A$5:$A$639,$A189,$C$5:$C$639,$C189-1,$D$5:$D$639,$D189))-1)))</f>
        <v/>
      </c>
      <c r="S189" s="16">
        <f>IF(OR($A189="",K189="",$C189=""),"",IF(COUNTIFS($A$5:$A$639,$A189,$C$5:$C$639,$C189-1,$D$5:$D$639,$D189,K$5:K$639,"&lt;&gt;")=0,"",IF(OR(SUMIFS(K$5:K$639,$A$5:$A$639,$A189,$C$5:$C$639,$C189-1,$D$5:$D$639,$D189)=0,K189*SUMIFS(K$5:K$639,$A$5:$A$639,$A189,$C$5:$C$639,$C189-1,$D$5:$D$639,$D189)&lt;0),"n.s.",ABS(K189)/ABS(SUMIFS(K$5:K$639,$A$5:$A$639,$A189,$C$5:$C$639,$C189-1,$D$5:$D$639,$D189))-1)))</f>
        <v/>
      </c>
      <c r="T189" s="16">
        <f>IF(OR($A189="",L189="",$C189=""),"",IF(COUNTIFS($A$5:$A$639,$A189,$C$5:$C$639,$C189-1,$D$5:$D$639,$D189,L$5:L$639,"&lt;&gt;")=0,"",IF(OR(SUMIFS(L$5:L$639,$A$5:$A$639,$A189,$C$5:$C$639,$C189-1,$D$5:$D$639,$D189)=0,L189*SUMIFS(L$5:L$639,$A$5:$A$639,$A189,$C$5:$C$639,$C189-1,$D$5:$D$639,$D189)&lt;0),"n.s.",ABS(L189)/ABS(SUMIFS(L$5:L$639,$A$5:$A$639,$A189,$C$5:$C$639,$C189-1,$D$5:$D$639,$D189))-1)))</f>
        <v/>
      </c>
      <c r="U189" s="16">
        <f>IF(OR($A189="",M189="",$C189=""),"",IF(COUNTIFS($A$5:$A$639,$A189,$C$5:$C$639,$C189-1,$D$5:$D$639,$D189,M$5:M$639,"&lt;&gt;")=0,"",IF(OR(SUMIFS(M$5:M$639,$A$5:$A$639,$A189,$C$5:$C$639,$C189-1,$D$5:$D$639,$D189)=0,M189*SUMIFS(M$5:M$639,$A$5:$A$639,$A189,$C$5:$C$639,$C189-1,$D$5:$D$639,$D189)&lt;0),"n.s.",ABS(M189)/ABS(SUMIFS(M$5:M$639,$A$5:$A$639,$A189,$C$5:$C$639,$C189-1,$D$5:$D$639,$D189))-1)))</f>
        <v/>
      </c>
    </row>
    <row r="190">
      <c r="A190" s="9" t="inlineStr">
        <is>
          <t>BNBC</t>
        </is>
      </c>
      <c r="B190" s="10">
        <f>IF(A190="","",IFERROR(VLOOKUP(A190,Titres!$A$2:$B$400,2,FALSE),"Ticker inconnu"))</f>
        <v/>
      </c>
      <c r="C190" s="11" t="n">
        <v>2022</v>
      </c>
      <c r="D190" s="11" t="inlineStr">
        <is>
          <t>T3</t>
        </is>
      </c>
      <c r="E190" s="9" t="n"/>
      <c r="F190" s="12" t="n"/>
      <c r="G190" s="9" t="n"/>
      <c r="H190" s="13" t="n"/>
      <c r="I190" s="13" t="n"/>
      <c r="J190" s="13" t="n"/>
      <c r="K190" s="13" t="n"/>
      <c r="L190" s="13" t="n"/>
      <c r="M190" s="13" t="n"/>
      <c r="N190" s="14">
        <f>IF(A190="","",COUNT(H190:M190)/6)</f>
        <v/>
      </c>
      <c r="O190" s="15">
        <f>IF(COUNT(H190:M190)=0,"",IF(LEN(IF(COUNT(I190,J190)=2,IF(J190&gt;I190+1,"EBE &gt; VA ",""),"")&amp;IF(COUNT(H190,M190)=2,IF(ABS(M190)&gt;ABS(H190),"RN &gt; CA ",""),"")&amp;IF(COUNT(H190,K190)=2,IF(ABS(K190)&gt;ABS(H190),"RE &gt; CA ",""),""))=0,"OK",IF(COUNT(I190,J190)=2,IF(J190&gt;I190+1,"EBE &gt; VA ",""),"")&amp;IF(COUNT(H190,M190)=2,IF(ABS(M190)&gt;ABS(H190),"RN &gt; CA ",""),"")&amp;IF(COUNT(H190,K190)=2,IF(ABS(K190)&gt;ABS(H190),"RE &gt; CA ",""),"")))</f>
        <v/>
      </c>
      <c r="P190" s="16">
        <f>IF(OR($A190="",H190="",$C190=""),"",IF(COUNTIFS($A$5:$A$639,$A190,$C$5:$C$639,$C190-1,$D$5:$D$639,$D190,H$5:H$639,"&lt;&gt;")=0,"",IF(OR(SUMIFS(H$5:H$639,$A$5:$A$639,$A190,$C$5:$C$639,$C190-1,$D$5:$D$639,$D190)=0,H190*SUMIFS(H$5:H$639,$A$5:$A$639,$A190,$C$5:$C$639,$C190-1,$D$5:$D$639,$D190)&lt;0),"n.s.",ABS(H190)/ABS(SUMIFS(H$5:H$639,$A$5:$A$639,$A190,$C$5:$C$639,$C190-1,$D$5:$D$639,$D190))-1)))</f>
        <v/>
      </c>
      <c r="Q190" s="16">
        <f>IF(OR($A190="",I190="",$C190=""),"",IF(COUNTIFS($A$5:$A$639,$A190,$C$5:$C$639,$C190-1,$D$5:$D$639,$D190,I$5:I$639,"&lt;&gt;")=0,"",IF(OR(SUMIFS(I$5:I$639,$A$5:$A$639,$A190,$C$5:$C$639,$C190-1,$D$5:$D$639,$D190)=0,I190*SUMIFS(I$5:I$639,$A$5:$A$639,$A190,$C$5:$C$639,$C190-1,$D$5:$D$639,$D190)&lt;0),"n.s.",ABS(I190)/ABS(SUMIFS(I$5:I$639,$A$5:$A$639,$A190,$C$5:$C$639,$C190-1,$D$5:$D$639,$D190))-1)))</f>
        <v/>
      </c>
      <c r="R190" s="16">
        <f>IF(OR($A190="",J190="",$C190=""),"",IF(COUNTIFS($A$5:$A$639,$A190,$C$5:$C$639,$C190-1,$D$5:$D$639,$D190,J$5:J$639,"&lt;&gt;")=0,"",IF(OR(SUMIFS(J$5:J$639,$A$5:$A$639,$A190,$C$5:$C$639,$C190-1,$D$5:$D$639,$D190)=0,J190*SUMIFS(J$5:J$639,$A$5:$A$639,$A190,$C$5:$C$639,$C190-1,$D$5:$D$639,$D190)&lt;0),"n.s.",ABS(J190)/ABS(SUMIFS(J$5:J$639,$A$5:$A$639,$A190,$C$5:$C$639,$C190-1,$D$5:$D$639,$D190))-1)))</f>
        <v/>
      </c>
      <c r="S190" s="16">
        <f>IF(OR($A190="",K190="",$C190=""),"",IF(COUNTIFS($A$5:$A$639,$A190,$C$5:$C$639,$C190-1,$D$5:$D$639,$D190,K$5:K$639,"&lt;&gt;")=0,"",IF(OR(SUMIFS(K$5:K$639,$A$5:$A$639,$A190,$C$5:$C$639,$C190-1,$D$5:$D$639,$D190)=0,K190*SUMIFS(K$5:K$639,$A$5:$A$639,$A190,$C$5:$C$639,$C190-1,$D$5:$D$639,$D190)&lt;0),"n.s.",ABS(K190)/ABS(SUMIFS(K$5:K$639,$A$5:$A$639,$A190,$C$5:$C$639,$C190-1,$D$5:$D$639,$D190))-1)))</f>
        <v/>
      </c>
      <c r="T190" s="16">
        <f>IF(OR($A190="",L190="",$C190=""),"",IF(COUNTIFS($A$5:$A$639,$A190,$C$5:$C$639,$C190-1,$D$5:$D$639,$D190,L$5:L$639,"&lt;&gt;")=0,"",IF(OR(SUMIFS(L$5:L$639,$A$5:$A$639,$A190,$C$5:$C$639,$C190-1,$D$5:$D$639,$D190)=0,L190*SUMIFS(L$5:L$639,$A$5:$A$639,$A190,$C$5:$C$639,$C190-1,$D$5:$D$639,$D190)&lt;0),"n.s.",ABS(L190)/ABS(SUMIFS(L$5:L$639,$A$5:$A$639,$A190,$C$5:$C$639,$C190-1,$D$5:$D$639,$D190))-1)))</f>
        <v/>
      </c>
      <c r="U190" s="16">
        <f>IF(OR($A190="",M190="",$C190=""),"",IF(COUNTIFS($A$5:$A$639,$A190,$C$5:$C$639,$C190-1,$D$5:$D$639,$D190,M$5:M$639,"&lt;&gt;")=0,"",IF(OR(SUMIFS(M$5:M$639,$A$5:$A$639,$A190,$C$5:$C$639,$C190-1,$D$5:$D$639,$D190)=0,M190*SUMIFS(M$5:M$639,$A$5:$A$639,$A190,$C$5:$C$639,$C190-1,$D$5:$D$639,$D190)&lt;0),"n.s.",ABS(M190)/ABS(SUMIFS(M$5:M$639,$A$5:$A$639,$A190,$C$5:$C$639,$C190-1,$D$5:$D$639,$D190))-1)))</f>
        <v/>
      </c>
    </row>
    <row r="191">
      <c r="A191" s="9" t="inlineStr">
        <is>
          <t>BNBC</t>
        </is>
      </c>
      <c r="B191" s="10">
        <f>IF(A191="","",IFERROR(VLOOKUP(A191,Titres!$A$2:$B$400,2,FALSE),"Ticker inconnu"))</f>
        <v/>
      </c>
      <c r="C191" s="11" t="n">
        <v>2023</v>
      </c>
      <c r="D191" s="11" t="inlineStr">
        <is>
          <t>T1</t>
        </is>
      </c>
      <c r="E191" s="9" t="n"/>
      <c r="F191" s="12" t="n"/>
      <c r="G191" s="9" t="n"/>
      <c r="H191" s="13" t="n"/>
      <c r="I191" s="13" t="n"/>
      <c r="J191" s="13" t="n"/>
      <c r="K191" s="13" t="n"/>
      <c r="L191" s="13" t="n"/>
      <c r="M191" s="13" t="n"/>
      <c r="N191" s="14">
        <f>IF(A191="","",COUNT(H191:M191)/6)</f>
        <v/>
      </c>
      <c r="O191" s="15">
        <f>IF(COUNT(H191:M191)=0,"",IF(LEN(IF(COUNT(I191,J191)=2,IF(J191&gt;I191+1,"EBE &gt; VA ",""),"")&amp;IF(COUNT(H191,M191)=2,IF(ABS(M191)&gt;ABS(H191),"RN &gt; CA ",""),"")&amp;IF(COUNT(H191,K191)=2,IF(ABS(K191)&gt;ABS(H191),"RE &gt; CA ",""),""))=0,"OK",IF(COUNT(I191,J191)=2,IF(J191&gt;I191+1,"EBE &gt; VA ",""),"")&amp;IF(COUNT(H191,M191)=2,IF(ABS(M191)&gt;ABS(H191),"RN &gt; CA ",""),"")&amp;IF(COUNT(H191,K191)=2,IF(ABS(K191)&gt;ABS(H191),"RE &gt; CA ",""),"")))</f>
        <v/>
      </c>
      <c r="P191" s="16">
        <f>IF(OR($A191="",H191="",$C191=""),"",IF(COUNTIFS($A$5:$A$639,$A191,$C$5:$C$639,$C191-1,$D$5:$D$639,$D191,H$5:H$639,"&lt;&gt;")=0,"",IF(OR(SUMIFS(H$5:H$639,$A$5:$A$639,$A191,$C$5:$C$639,$C191-1,$D$5:$D$639,$D191)=0,H191*SUMIFS(H$5:H$639,$A$5:$A$639,$A191,$C$5:$C$639,$C191-1,$D$5:$D$639,$D191)&lt;0),"n.s.",ABS(H191)/ABS(SUMIFS(H$5:H$639,$A$5:$A$639,$A191,$C$5:$C$639,$C191-1,$D$5:$D$639,$D191))-1)))</f>
        <v/>
      </c>
      <c r="Q191" s="16">
        <f>IF(OR($A191="",I191="",$C191=""),"",IF(COUNTIFS($A$5:$A$639,$A191,$C$5:$C$639,$C191-1,$D$5:$D$639,$D191,I$5:I$639,"&lt;&gt;")=0,"",IF(OR(SUMIFS(I$5:I$639,$A$5:$A$639,$A191,$C$5:$C$639,$C191-1,$D$5:$D$639,$D191)=0,I191*SUMIFS(I$5:I$639,$A$5:$A$639,$A191,$C$5:$C$639,$C191-1,$D$5:$D$639,$D191)&lt;0),"n.s.",ABS(I191)/ABS(SUMIFS(I$5:I$639,$A$5:$A$639,$A191,$C$5:$C$639,$C191-1,$D$5:$D$639,$D191))-1)))</f>
        <v/>
      </c>
      <c r="R191" s="16">
        <f>IF(OR($A191="",J191="",$C191=""),"",IF(COUNTIFS($A$5:$A$639,$A191,$C$5:$C$639,$C191-1,$D$5:$D$639,$D191,J$5:J$639,"&lt;&gt;")=0,"",IF(OR(SUMIFS(J$5:J$639,$A$5:$A$639,$A191,$C$5:$C$639,$C191-1,$D$5:$D$639,$D191)=0,J191*SUMIFS(J$5:J$639,$A$5:$A$639,$A191,$C$5:$C$639,$C191-1,$D$5:$D$639,$D191)&lt;0),"n.s.",ABS(J191)/ABS(SUMIFS(J$5:J$639,$A$5:$A$639,$A191,$C$5:$C$639,$C191-1,$D$5:$D$639,$D191))-1)))</f>
        <v/>
      </c>
      <c r="S191" s="16">
        <f>IF(OR($A191="",K191="",$C191=""),"",IF(COUNTIFS($A$5:$A$639,$A191,$C$5:$C$639,$C191-1,$D$5:$D$639,$D191,K$5:K$639,"&lt;&gt;")=0,"",IF(OR(SUMIFS(K$5:K$639,$A$5:$A$639,$A191,$C$5:$C$639,$C191-1,$D$5:$D$639,$D191)=0,K191*SUMIFS(K$5:K$639,$A$5:$A$639,$A191,$C$5:$C$639,$C191-1,$D$5:$D$639,$D191)&lt;0),"n.s.",ABS(K191)/ABS(SUMIFS(K$5:K$639,$A$5:$A$639,$A191,$C$5:$C$639,$C191-1,$D$5:$D$639,$D191))-1)))</f>
        <v/>
      </c>
      <c r="T191" s="16">
        <f>IF(OR($A191="",L191="",$C191=""),"",IF(COUNTIFS($A$5:$A$639,$A191,$C$5:$C$639,$C191-1,$D$5:$D$639,$D191,L$5:L$639,"&lt;&gt;")=0,"",IF(OR(SUMIFS(L$5:L$639,$A$5:$A$639,$A191,$C$5:$C$639,$C191-1,$D$5:$D$639,$D191)=0,L191*SUMIFS(L$5:L$639,$A$5:$A$639,$A191,$C$5:$C$639,$C191-1,$D$5:$D$639,$D191)&lt;0),"n.s.",ABS(L191)/ABS(SUMIFS(L$5:L$639,$A$5:$A$639,$A191,$C$5:$C$639,$C191-1,$D$5:$D$639,$D191))-1)))</f>
        <v/>
      </c>
      <c r="U191" s="16">
        <f>IF(OR($A191="",M191="",$C191=""),"",IF(COUNTIFS($A$5:$A$639,$A191,$C$5:$C$639,$C191-1,$D$5:$D$639,$D191,M$5:M$639,"&lt;&gt;")=0,"",IF(OR(SUMIFS(M$5:M$639,$A$5:$A$639,$A191,$C$5:$C$639,$C191-1,$D$5:$D$639,$D191)=0,M191*SUMIFS(M$5:M$639,$A$5:$A$639,$A191,$C$5:$C$639,$C191-1,$D$5:$D$639,$D191)&lt;0),"n.s.",ABS(M191)/ABS(SUMIFS(M$5:M$639,$A$5:$A$639,$A191,$C$5:$C$639,$C191-1,$D$5:$D$639,$D191))-1)))</f>
        <v/>
      </c>
    </row>
    <row r="192">
      <c r="A192" s="9" t="inlineStr">
        <is>
          <t>BNBC</t>
        </is>
      </c>
      <c r="B192" s="10">
        <f>IF(A192="","",IFERROR(VLOOKUP(A192,Titres!$A$2:$B$400,2,FALSE),"Ticker inconnu"))</f>
        <v/>
      </c>
      <c r="C192" s="11" t="n">
        <v>2023</v>
      </c>
      <c r="D192" s="11" t="inlineStr">
        <is>
          <t>S1</t>
        </is>
      </c>
      <c r="E192" s="9" t="n"/>
      <c r="F192" s="12" t="n"/>
      <c r="G192" s="9" t="n"/>
      <c r="H192" s="13" t="n"/>
      <c r="I192" s="13" t="n"/>
      <c r="J192" s="13" t="n"/>
      <c r="K192" s="13" t="n"/>
      <c r="L192" s="13" t="n"/>
      <c r="M192" s="13" t="n"/>
      <c r="N192" s="14">
        <f>IF(A192="","",COUNT(H192:M192)/6)</f>
        <v/>
      </c>
      <c r="O192" s="15">
        <f>IF(COUNT(H192:M192)=0,"",IF(LEN(IF(COUNT(I192,J192)=2,IF(J192&gt;I192+1,"EBE &gt; VA ",""),"")&amp;IF(COUNT(H192,M192)=2,IF(ABS(M192)&gt;ABS(H192),"RN &gt; CA ",""),"")&amp;IF(COUNT(H192,K192)=2,IF(ABS(K192)&gt;ABS(H192),"RE &gt; CA ",""),""))=0,"OK",IF(COUNT(I192,J192)=2,IF(J192&gt;I192+1,"EBE &gt; VA ",""),"")&amp;IF(COUNT(H192,M192)=2,IF(ABS(M192)&gt;ABS(H192),"RN &gt; CA ",""),"")&amp;IF(COUNT(H192,K192)=2,IF(ABS(K192)&gt;ABS(H192),"RE &gt; CA ",""),"")))</f>
        <v/>
      </c>
      <c r="P192" s="16">
        <f>IF(OR($A192="",H192="",$C192=""),"",IF(COUNTIFS($A$5:$A$639,$A192,$C$5:$C$639,$C192-1,$D$5:$D$639,$D192,H$5:H$639,"&lt;&gt;")=0,"",IF(OR(SUMIFS(H$5:H$639,$A$5:$A$639,$A192,$C$5:$C$639,$C192-1,$D$5:$D$639,$D192)=0,H192*SUMIFS(H$5:H$639,$A$5:$A$639,$A192,$C$5:$C$639,$C192-1,$D$5:$D$639,$D192)&lt;0),"n.s.",ABS(H192)/ABS(SUMIFS(H$5:H$639,$A$5:$A$639,$A192,$C$5:$C$639,$C192-1,$D$5:$D$639,$D192))-1)))</f>
        <v/>
      </c>
      <c r="Q192" s="16">
        <f>IF(OR($A192="",I192="",$C192=""),"",IF(COUNTIFS($A$5:$A$639,$A192,$C$5:$C$639,$C192-1,$D$5:$D$639,$D192,I$5:I$639,"&lt;&gt;")=0,"",IF(OR(SUMIFS(I$5:I$639,$A$5:$A$639,$A192,$C$5:$C$639,$C192-1,$D$5:$D$639,$D192)=0,I192*SUMIFS(I$5:I$639,$A$5:$A$639,$A192,$C$5:$C$639,$C192-1,$D$5:$D$639,$D192)&lt;0),"n.s.",ABS(I192)/ABS(SUMIFS(I$5:I$639,$A$5:$A$639,$A192,$C$5:$C$639,$C192-1,$D$5:$D$639,$D192))-1)))</f>
        <v/>
      </c>
      <c r="R192" s="16">
        <f>IF(OR($A192="",J192="",$C192=""),"",IF(COUNTIFS($A$5:$A$639,$A192,$C$5:$C$639,$C192-1,$D$5:$D$639,$D192,J$5:J$639,"&lt;&gt;")=0,"",IF(OR(SUMIFS(J$5:J$639,$A$5:$A$639,$A192,$C$5:$C$639,$C192-1,$D$5:$D$639,$D192)=0,J192*SUMIFS(J$5:J$639,$A$5:$A$639,$A192,$C$5:$C$639,$C192-1,$D$5:$D$639,$D192)&lt;0),"n.s.",ABS(J192)/ABS(SUMIFS(J$5:J$639,$A$5:$A$639,$A192,$C$5:$C$639,$C192-1,$D$5:$D$639,$D192))-1)))</f>
        <v/>
      </c>
      <c r="S192" s="16">
        <f>IF(OR($A192="",K192="",$C192=""),"",IF(COUNTIFS($A$5:$A$639,$A192,$C$5:$C$639,$C192-1,$D$5:$D$639,$D192,K$5:K$639,"&lt;&gt;")=0,"",IF(OR(SUMIFS(K$5:K$639,$A$5:$A$639,$A192,$C$5:$C$639,$C192-1,$D$5:$D$639,$D192)=0,K192*SUMIFS(K$5:K$639,$A$5:$A$639,$A192,$C$5:$C$639,$C192-1,$D$5:$D$639,$D192)&lt;0),"n.s.",ABS(K192)/ABS(SUMIFS(K$5:K$639,$A$5:$A$639,$A192,$C$5:$C$639,$C192-1,$D$5:$D$639,$D192))-1)))</f>
        <v/>
      </c>
      <c r="T192" s="16">
        <f>IF(OR($A192="",L192="",$C192=""),"",IF(COUNTIFS($A$5:$A$639,$A192,$C$5:$C$639,$C192-1,$D$5:$D$639,$D192,L$5:L$639,"&lt;&gt;")=0,"",IF(OR(SUMIFS(L$5:L$639,$A$5:$A$639,$A192,$C$5:$C$639,$C192-1,$D$5:$D$639,$D192)=0,L192*SUMIFS(L$5:L$639,$A$5:$A$639,$A192,$C$5:$C$639,$C192-1,$D$5:$D$639,$D192)&lt;0),"n.s.",ABS(L192)/ABS(SUMIFS(L$5:L$639,$A$5:$A$639,$A192,$C$5:$C$639,$C192-1,$D$5:$D$639,$D192))-1)))</f>
        <v/>
      </c>
      <c r="U192" s="16">
        <f>IF(OR($A192="",M192="",$C192=""),"",IF(COUNTIFS($A$5:$A$639,$A192,$C$5:$C$639,$C192-1,$D$5:$D$639,$D192,M$5:M$639,"&lt;&gt;")=0,"",IF(OR(SUMIFS(M$5:M$639,$A$5:$A$639,$A192,$C$5:$C$639,$C192-1,$D$5:$D$639,$D192)=0,M192*SUMIFS(M$5:M$639,$A$5:$A$639,$A192,$C$5:$C$639,$C192-1,$D$5:$D$639,$D192)&lt;0),"n.s.",ABS(M192)/ABS(SUMIFS(M$5:M$639,$A$5:$A$639,$A192,$C$5:$C$639,$C192-1,$D$5:$D$639,$D192))-1)))</f>
        <v/>
      </c>
    </row>
    <row r="193">
      <c r="A193" s="9" t="inlineStr">
        <is>
          <t>BNBC</t>
        </is>
      </c>
      <c r="B193" s="10">
        <f>IF(A193="","",IFERROR(VLOOKUP(A193,Titres!$A$2:$B$400,2,FALSE),"Ticker inconnu"))</f>
        <v/>
      </c>
      <c r="C193" s="11" t="n">
        <v>2023</v>
      </c>
      <c r="D193" s="11" t="inlineStr">
        <is>
          <t>T3</t>
        </is>
      </c>
      <c r="E193" s="9" t="n"/>
      <c r="F193" s="12" t="n"/>
      <c r="G193" s="9" t="n"/>
      <c r="H193" s="13" t="n"/>
      <c r="I193" s="13" t="n"/>
      <c r="J193" s="13" t="n"/>
      <c r="K193" s="13" t="n"/>
      <c r="L193" s="13" t="n"/>
      <c r="M193" s="13" t="n"/>
      <c r="N193" s="14">
        <f>IF(A193="","",COUNT(H193:M193)/6)</f>
        <v/>
      </c>
      <c r="O193" s="15">
        <f>IF(COUNT(H193:M193)=0,"",IF(LEN(IF(COUNT(I193,J193)=2,IF(J193&gt;I193+1,"EBE &gt; VA ",""),"")&amp;IF(COUNT(H193,M193)=2,IF(ABS(M193)&gt;ABS(H193),"RN &gt; CA ",""),"")&amp;IF(COUNT(H193,K193)=2,IF(ABS(K193)&gt;ABS(H193),"RE &gt; CA ",""),""))=0,"OK",IF(COUNT(I193,J193)=2,IF(J193&gt;I193+1,"EBE &gt; VA ",""),"")&amp;IF(COUNT(H193,M193)=2,IF(ABS(M193)&gt;ABS(H193),"RN &gt; CA ",""),"")&amp;IF(COUNT(H193,K193)=2,IF(ABS(K193)&gt;ABS(H193),"RE &gt; CA ",""),"")))</f>
        <v/>
      </c>
      <c r="P193" s="16">
        <f>IF(OR($A193="",H193="",$C193=""),"",IF(COUNTIFS($A$5:$A$639,$A193,$C$5:$C$639,$C193-1,$D$5:$D$639,$D193,H$5:H$639,"&lt;&gt;")=0,"",IF(OR(SUMIFS(H$5:H$639,$A$5:$A$639,$A193,$C$5:$C$639,$C193-1,$D$5:$D$639,$D193)=0,H193*SUMIFS(H$5:H$639,$A$5:$A$639,$A193,$C$5:$C$639,$C193-1,$D$5:$D$639,$D193)&lt;0),"n.s.",ABS(H193)/ABS(SUMIFS(H$5:H$639,$A$5:$A$639,$A193,$C$5:$C$639,$C193-1,$D$5:$D$639,$D193))-1)))</f>
        <v/>
      </c>
      <c r="Q193" s="16">
        <f>IF(OR($A193="",I193="",$C193=""),"",IF(COUNTIFS($A$5:$A$639,$A193,$C$5:$C$639,$C193-1,$D$5:$D$639,$D193,I$5:I$639,"&lt;&gt;")=0,"",IF(OR(SUMIFS(I$5:I$639,$A$5:$A$639,$A193,$C$5:$C$639,$C193-1,$D$5:$D$639,$D193)=0,I193*SUMIFS(I$5:I$639,$A$5:$A$639,$A193,$C$5:$C$639,$C193-1,$D$5:$D$639,$D193)&lt;0),"n.s.",ABS(I193)/ABS(SUMIFS(I$5:I$639,$A$5:$A$639,$A193,$C$5:$C$639,$C193-1,$D$5:$D$639,$D193))-1)))</f>
        <v/>
      </c>
      <c r="R193" s="16">
        <f>IF(OR($A193="",J193="",$C193=""),"",IF(COUNTIFS($A$5:$A$639,$A193,$C$5:$C$639,$C193-1,$D$5:$D$639,$D193,J$5:J$639,"&lt;&gt;")=0,"",IF(OR(SUMIFS(J$5:J$639,$A$5:$A$639,$A193,$C$5:$C$639,$C193-1,$D$5:$D$639,$D193)=0,J193*SUMIFS(J$5:J$639,$A$5:$A$639,$A193,$C$5:$C$639,$C193-1,$D$5:$D$639,$D193)&lt;0),"n.s.",ABS(J193)/ABS(SUMIFS(J$5:J$639,$A$5:$A$639,$A193,$C$5:$C$639,$C193-1,$D$5:$D$639,$D193))-1)))</f>
        <v/>
      </c>
      <c r="S193" s="16">
        <f>IF(OR($A193="",K193="",$C193=""),"",IF(COUNTIFS($A$5:$A$639,$A193,$C$5:$C$639,$C193-1,$D$5:$D$639,$D193,K$5:K$639,"&lt;&gt;")=0,"",IF(OR(SUMIFS(K$5:K$639,$A$5:$A$639,$A193,$C$5:$C$639,$C193-1,$D$5:$D$639,$D193)=0,K193*SUMIFS(K$5:K$639,$A$5:$A$639,$A193,$C$5:$C$639,$C193-1,$D$5:$D$639,$D193)&lt;0),"n.s.",ABS(K193)/ABS(SUMIFS(K$5:K$639,$A$5:$A$639,$A193,$C$5:$C$639,$C193-1,$D$5:$D$639,$D193))-1)))</f>
        <v/>
      </c>
      <c r="T193" s="16">
        <f>IF(OR($A193="",L193="",$C193=""),"",IF(COUNTIFS($A$5:$A$639,$A193,$C$5:$C$639,$C193-1,$D$5:$D$639,$D193,L$5:L$639,"&lt;&gt;")=0,"",IF(OR(SUMIFS(L$5:L$639,$A$5:$A$639,$A193,$C$5:$C$639,$C193-1,$D$5:$D$639,$D193)=0,L193*SUMIFS(L$5:L$639,$A$5:$A$639,$A193,$C$5:$C$639,$C193-1,$D$5:$D$639,$D193)&lt;0),"n.s.",ABS(L193)/ABS(SUMIFS(L$5:L$639,$A$5:$A$639,$A193,$C$5:$C$639,$C193-1,$D$5:$D$639,$D193))-1)))</f>
        <v/>
      </c>
      <c r="U193" s="16">
        <f>IF(OR($A193="",M193="",$C193=""),"",IF(COUNTIFS($A$5:$A$639,$A193,$C$5:$C$639,$C193-1,$D$5:$D$639,$D193,M$5:M$639,"&lt;&gt;")=0,"",IF(OR(SUMIFS(M$5:M$639,$A$5:$A$639,$A193,$C$5:$C$639,$C193-1,$D$5:$D$639,$D193)=0,M193*SUMIFS(M$5:M$639,$A$5:$A$639,$A193,$C$5:$C$639,$C193-1,$D$5:$D$639,$D193)&lt;0),"n.s.",ABS(M193)/ABS(SUMIFS(M$5:M$639,$A$5:$A$639,$A193,$C$5:$C$639,$C193-1,$D$5:$D$639,$D193))-1)))</f>
        <v/>
      </c>
    </row>
    <row r="194">
      <c r="A194" s="9" t="inlineStr">
        <is>
          <t>BNBC</t>
        </is>
      </c>
      <c r="B194" s="10">
        <f>IF(A194="","",IFERROR(VLOOKUP(A194,Titres!$A$2:$B$400,2,FALSE),"Ticker inconnu"))</f>
        <v/>
      </c>
      <c r="C194" s="11" t="n">
        <v>2024</v>
      </c>
      <c r="D194" s="11" t="inlineStr">
        <is>
          <t>T1</t>
        </is>
      </c>
      <c r="E194" s="9" t="n"/>
      <c r="F194" s="12" t="n"/>
      <c r="G194" s="9" t="n"/>
      <c r="H194" s="13" t="n"/>
      <c r="I194" s="13" t="n"/>
      <c r="J194" s="13" t="n"/>
      <c r="K194" s="13" t="n"/>
      <c r="L194" s="13" t="n"/>
      <c r="M194" s="13" t="n"/>
      <c r="N194" s="14">
        <f>IF(A194="","",COUNT(H194:M194)/6)</f>
        <v/>
      </c>
      <c r="O194" s="15">
        <f>IF(COUNT(H194:M194)=0,"",IF(LEN(IF(COUNT(I194,J194)=2,IF(J194&gt;I194+1,"EBE &gt; VA ",""),"")&amp;IF(COUNT(H194,M194)=2,IF(ABS(M194)&gt;ABS(H194),"RN &gt; CA ",""),"")&amp;IF(COUNT(H194,K194)=2,IF(ABS(K194)&gt;ABS(H194),"RE &gt; CA ",""),""))=0,"OK",IF(COUNT(I194,J194)=2,IF(J194&gt;I194+1,"EBE &gt; VA ",""),"")&amp;IF(COUNT(H194,M194)=2,IF(ABS(M194)&gt;ABS(H194),"RN &gt; CA ",""),"")&amp;IF(COUNT(H194,K194)=2,IF(ABS(K194)&gt;ABS(H194),"RE &gt; CA ",""),"")))</f>
        <v/>
      </c>
      <c r="P194" s="16">
        <f>IF(OR($A194="",H194="",$C194=""),"",IF(COUNTIFS($A$5:$A$639,$A194,$C$5:$C$639,$C194-1,$D$5:$D$639,$D194,H$5:H$639,"&lt;&gt;")=0,"",IF(OR(SUMIFS(H$5:H$639,$A$5:$A$639,$A194,$C$5:$C$639,$C194-1,$D$5:$D$639,$D194)=0,H194*SUMIFS(H$5:H$639,$A$5:$A$639,$A194,$C$5:$C$639,$C194-1,$D$5:$D$639,$D194)&lt;0),"n.s.",ABS(H194)/ABS(SUMIFS(H$5:H$639,$A$5:$A$639,$A194,$C$5:$C$639,$C194-1,$D$5:$D$639,$D194))-1)))</f>
        <v/>
      </c>
      <c r="Q194" s="16">
        <f>IF(OR($A194="",I194="",$C194=""),"",IF(COUNTIFS($A$5:$A$639,$A194,$C$5:$C$639,$C194-1,$D$5:$D$639,$D194,I$5:I$639,"&lt;&gt;")=0,"",IF(OR(SUMIFS(I$5:I$639,$A$5:$A$639,$A194,$C$5:$C$639,$C194-1,$D$5:$D$639,$D194)=0,I194*SUMIFS(I$5:I$639,$A$5:$A$639,$A194,$C$5:$C$639,$C194-1,$D$5:$D$639,$D194)&lt;0),"n.s.",ABS(I194)/ABS(SUMIFS(I$5:I$639,$A$5:$A$639,$A194,$C$5:$C$639,$C194-1,$D$5:$D$639,$D194))-1)))</f>
        <v/>
      </c>
      <c r="R194" s="16">
        <f>IF(OR($A194="",J194="",$C194=""),"",IF(COUNTIFS($A$5:$A$639,$A194,$C$5:$C$639,$C194-1,$D$5:$D$639,$D194,J$5:J$639,"&lt;&gt;")=0,"",IF(OR(SUMIFS(J$5:J$639,$A$5:$A$639,$A194,$C$5:$C$639,$C194-1,$D$5:$D$639,$D194)=0,J194*SUMIFS(J$5:J$639,$A$5:$A$639,$A194,$C$5:$C$639,$C194-1,$D$5:$D$639,$D194)&lt;0),"n.s.",ABS(J194)/ABS(SUMIFS(J$5:J$639,$A$5:$A$639,$A194,$C$5:$C$639,$C194-1,$D$5:$D$639,$D194))-1)))</f>
        <v/>
      </c>
      <c r="S194" s="16">
        <f>IF(OR($A194="",K194="",$C194=""),"",IF(COUNTIFS($A$5:$A$639,$A194,$C$5:$C$639,$C194-1,$D$5:$D$639,$D194,K$5:K$639,"&lt;&gt;")=0,"",IF(OR(SUMIFS(K$5:K$639,$A$5:$A$639,$A194,$C$5:$C$639,$C194-1,$D$5:$D$639,$D194)=0,K194*SUMIFS(K$5:K$639,$A$5:$A$639,$A194,$C$5:$C$639,$C194-1,$D$5:$D$639,$D194)&lt;0),"n.s.",ABS(K194)/ABS(SUMIFS(K$5:K$639,$A$5:$A$639,$A194,$C$5:$C$639,$C194-1,$D$5:$D$639,$D194))-1)))</f>
        <v/>
      </c>
      <c r="T194" s="16">
        <f>IF(OR($A194="",L194="",$C194=""),"",IF(COUNTIFS($A$5:$A$639,$A194,$C$5:$C$639,$C194-1,$D$5:$D$639,$D194,L$5:L$639,"&lt;&gt;")=0,"",IF(OR(SUMIFS(L$5:L$639,$A$5:$A$639,$A194,$C$5:$C$639,$C194-1,$D$5:$D$639,$D194)=0,L194*SUMIFS(L$5:L$639,$A$5:$A$639,$A194,$C$5:$C$639,$C194-1,$D$5:$D$639,$D194)&lt;0),"n.s.",ABS(L194)/ABS(SUMIFS(L$5:L$639,$A$5:$A$639,$A194,$C$5:$C$639,$C194-1,$D$5:$D$639,$D194))-1)))</f>
        <v/>
      </c>
      <c r="U194" s="16">
        <f>IF(OR($A194="",M194="",$C194=""),"",IF(COUNTIFS($A$5:$A$639,$A194,$C$5:$C$639,$C194-1,$D$5:$D$639,$D194,M$5:M$639,"&lt;&gt;")=0,"",IF(OR(SUMIFS(M$5:M$639,$A$5:$A$639,$A194,$C$5:$C$639,$C194-1,$D$5:$D$639,$D194)=0,M194*SUMIFS(M$5:M$639,$A$5:$A$639,$A194,$C$5:$C$639,$C194-1,$D$5:$D$639,$D194)&lt;0),"n.s.",ABS(M194)/ABS(SUMIFS(M$5:M$639,$A$5:$A$639,$A194,$C$5:$C$639,$C194-1,$D$5:$D$639,$D194))-1)))</f>
        <v/>
      </c>
    </row>
    <row r="195">
      <c r="A195" s="9" t="inlineStr">
        <is>
          <t>BNBC</t>
        </is>
      </c>
      <c r="B195" s="10">
        <f>IF(A195="","",IFERROR(VLOOKUP(A195,Titres!$A$2:$B$400,2,FALSE),"Ticker inconnu"))</f>
        <v/>
      </c>
      <c r="C195" s="11" t="n">
        <v>2024</v>
      </c>
      <c r="D195" s="11" t="inlineStr">
        <is>
          <t>S1</t>
        </is>
      </c>
      <c r="E195" s="9" t="n"/>
      <c r="F195" s="12" t="n"/>
      <c r="G195" s="9" t="n"/>
      <c r="H195" s="13" t="n"/>
      <c r="I195" s="13" t="n"/>
      <c r="J195" s="13" t="n"/>
      <c r="K195" s="13" t="n"/>
      <c r="L195" s="13" t="n"/>
      <c r="M195" s="13" t="n"/>
      <c r="N195" s="14">
        <f>IF(A195="","",COUNT(H195:M195)/6)</f>
        <v/>
      </c>
      <c r="O195" s="15">
        <f>IF(COUNT(H195:M195)=0,"",IF(LEN(IF(COUNT(I195,J195)=2,IF(J195&gt;I195+1,"EBE &gt; VA ",""),"")&amp;IF(COUNT(H195,M195)=2,IF(ABS(M195)&gt;ABS(H195),"RN &gt; CA ",""),"")&amp;IF(COUNT(H195,K195)=2,IF(ABS(K195)&gt;ABS(H195),"RE &gt; CA ",""),""))=0,"OK",IF(COUNT(I195,J195)=2,IF(J195&gt;I195+1,"EBE &gt; VA ",""),"")&amp;IF(COUNT(H195,M195)=2,IF(ABS(M195)&gt;ABS(H195),"RN &gt; CA ",""),"")&amp;IF(COUNT(H195,K195)=2,IF(ABS(K195)&gt;ABS(H195),"RE &gt; CA ",""),"")))</f>
        <v/>
      </c>
      <c r="P195" s="16">
        <f>IF(OR($A195="",H195="",$C195=""),"",IF(COUNTIFS($A$5:$A$639,$A195,$C$5:$C$639,$C195-1,$D$5:$D$639,$D195,H$5:H$639,"&lt;&gt;")=0,"",IF(OR(SUMIFS(H$5:H$639,$A$5:$A$639,$A195,$C$5:$C$639,$C195-1,$D$5:$D$639,$D195)=0,H195*SUMIFS(H$5:H$639,$A$5:$A$639,$A195,$C$5:$C$639,$C195-1,$D$5:$D$639,$D195)&lt;0),"n.s.",ABS(H195)/ABS(SUMIFS(H$5:H$639,$A$5:$A$639,$A195,$C$5:$C$639,$C195-1,$D$5:$D$639,$D195))-1)))</f>
        <v/>
      </c>
      <c r="Q195" s="16">
        <f>IF(OR($A195="",I195="",$C195=""),"",IF(COUNTIFS($A$5:$A$639,$A195,$C$5:$C$639,$C195-1,$D$5:$D$639,$D195,I$5:I$639,"&lt;&gt;")=0,"",IF(OR(SUMIFS(I$5:I$639,$A$5:$A$639,$A195,$C$5:$C$639,$C195-1,$D$5:$D$639,$D195)=0,I195*SUMIFS(I$5:I$639,$A$5:$A$639,$A195,$C$5:$C$639,$C195-1,$D$5:$D$639,$D195)&lt;0),"n.s.",ABS(I195)/ABS(SUMIFS(I$5:I$639,$A$5:$A$639,$A195,$C$5:$C$639,$C195-1,$D$5:$D$639,$D195))-1)))</f>
        <v/>
      </c>
      <c r="R195" s="16">
        <f>IF(OR($A195="",J195="",$C195=""),"",IF(COUNTIFS($A$5:$A$639,$A195,$C$5:$C$639,$C195-1,$D$5:$D$639,$D195,J$5:J$639,"&lt;&gt;")=0,"",IF(OR(SUMIFS(J$5:J$639,$A$5:$A$639,$A195,$C$5:$C$639,$C195-1,$D$5:$D$639,$D195)=0,J195*SUMIFS(J$5:J$639,$A$5:$A$639,$A195,$C$5:$C$639,$C195-1,$D$5:$D$639,$D195)&lt;0),"n.s.",ABS(J195)/ABS(SUMIFS(J$5:J$639,$A$5:$A$639,$A195,$C$5:$C$639,$C195-1,$D$5:$D$639,$D195))-1)))</f>
        <v/>
      </c>
      <c r="S195" s="16">
        <f>IF(OR($A195="",K195="",$C195=""),"",IF(COUNTIFS($A$5:$A$639,$A195,$C$5:$C$639,$C195-1,$D$5:$D$639,$D195,K$5:K$639,"&lt;&gt;")=0,"",IF(OR(SUMIFS(K$5:K$639,$A$5:$A$639,$A195,$C$5:$C$639,$C195-1,$D$5:$D$639,$D195)=0,K195*SUMIFS(K$5:K$639,$A$5:$A$639,$A195,$C$5:$C$639,$C195-1,$D$5:$D$639,$D195)&lt;0),"n.s.",ABS(K195)/ABS(SUMIFS(K$5:K$639,$A$5:$A$639,$A195,$C$5:$C$639,$C195-1,$D$5:$D$639,$D195))-1)))</f>
        <v/>
      </c>
      <c r="T195" s="16">
        <f>IF(OR($A195="",L195="",$C195=""),"",IF(COUNTIFS($A$5:$A$639,$A195,$C$5:$C$639,$C195-1,$D$5:$D$639,$D195,L$5:L$639,"&lt;&gt;")=0,"",IF(OR(SUMIFS(L$5:L$639,$A$5:$A$639,$A195,$C$5:$C$639,$C195-1,$D$5:$D$639,$D195)=0,L195*SUMIFS(L$5:L$639,$A$5:$A$639,$A195,$C$5:$C$639,$C195-1,$D$5:$D$639,$D195)&lt;0),"n.s.",ABS(L195)/ABS(SUMIFS(L$5:L$639,$A$5:$A$639,$A195,$C$5:$C$639,$C195-1,$D$5:$D$639,$D195))-1)))</f>
        <v/>
      </c>
      <c r="U195" s="16">
        <f>IF(OR($A195="",M195="",$C195=""),"",IF(COUNTIFS($A$5:$A$639,$A195,$C$5:$C$639,$C195-1,$D$5:$D$639,$D195,M$5:M$639,"&lt;&gt;")=0,"",IF(OR(SUMIFS(M$5:M$639,$A$5:$A$639,$A195,$C$5:$C$639,$C195-1,$D$5:$D$639,$D195)=0,M195*SUMIFS(M$5:M$639,$A$5:$A$639,$A195,$C$5:$C$639,$C195-1,$D$5:$D$639,$D195)&lt;0),"n.s.",ABS(M195)/ABS(SUMIFS(M$5:M$639,$A$5:$A$639,$A195,$C$5:$C$639,$C195-1,$D$5:$D$639,$D195))-1)))</f>
        <v/>
      </c>
    </row>
    <row r="196">
      <c r="A196" s="9" t="inlineStr">
        <is>
          <t>BNBC</t>
        </is>
      </c>
      <c r="B196" s="10">
        <f>IF(A196="","",IFERROR(VLOOKUP(A196,Titres!$A$2:$B$400,2,FALSE),"Ticker inconnu"))</f>
        <v/>
      </c>
      <c r="C196" s="11" t="n">
        <v>2024</v>
      </c>
      <c r="D196" s="11" t="inlineStr">
        <is>
          <t>T3</t>
        </is>
      </c>
      <c r="E196" s="9" t="n"/>
      <c r="F196" s="12" t="n"/>
      <c r="G196" s="9" t="n"/>
      <c r="H196" s="13" t="n"/>
      <c r="I196" s="13" t="n"/>
      <c r="J196" s="13" t="n"/>
      <c r="K196" s="13" t="n"/>
      <c r="L196" s="13" t="n"/>
      <c r="M196" s="13" t="n"/>
      <c r="N196" s="14">
        <f>IF(A196="","",COUNT(H196:M196)/6)</f>
        <v/>
      </c>
      <c r="O196" s="15">
        <f>IF(COUNT(H196:M196)=0,"",IF(LEN(IF(COUNT(I196,J196)=2,IF(J196&gt;I196+1,"EBE &gt; VA ",""),"")&amp;IF(COUNT(H196,M196)=2,IF(ABS(M196)&gt;ABS(H196),"RN &gt; CA ",""),"")&amp;IF(COUNT(H196,K196)=2,IF(ABS(K196)&gt;ABS(H196),"RE &gt; CA ",""),""))=0,"OK",IF(COUNT(I196,J196)=2,IF(J196&gt;I196+1,"EBE &gt; VA ",""),"")&amp;IF(COUNT(H196,M196)=2,IF(ABS(M196)&gt;ABS(H196),"RN &gt; CA ",""),"")&amp;IF(COUNT(H196,K196)=2,IF(ABS(K196)&gt;ABS(H196),"RE &gt; CA ",""),"")))</f>
        <v/>
      </c>
      <c r="P196" s="16">
        <f>IF(OR($A196="",H196="",$C196=""),"",IF(COUNTIFS($A$5:$A$639,$A196,$C$5:$C$639,$C196-1,$D$5:$D$639,$D196,H$5:H$639,"&lt;&gt;")=0,"",IF(OR(SUMIFS(H$5:H$639,$A$5:$A$639,$A196,$C$5:$C$639,$C196-1,$D$5:$D$639,$D196)=0,H196*SUMIFS(H$5:H$639,$A$5:$A$639,$A196,$C$5:$C$639,$C196-1,$D$5:$D$639,$D196)&lt;0),"n.s.",ABS(H196)/ABS(SUMIFS(H$5:H$639,$A$5:$A$639,$A196,$C$5:$C$639,$C196-1,$D$5:$D$639,$D196))-1)))</f>
        <v/>
      </c>
      <c r="Q196" s="16">
        <f>IF(OR($A196="",I196="",$C196=""),"",IF(COUNTIFS($A$5:$A$639,$A196,$C$5:$C$639,$C196-1,$D$5:$D$639,$D196,I$5:I$639,"&lt;&gt;")=0,"",IF(OR(SUMIFS(I$5:I$639,$A$5:$A$639,$A196,$C$5:$C$639,$C196-1,$D$5:$D$639,$D196)=0,I196*SUMIFS(I$5:I$639,$A$5:$A$639,$A196,$C$5:$C$639,$C196-1,$D$5:$D$639,$D196)&lt;0),"n.s.",ABS(I196)/ABS(SUMIFS(I$5:I$639,$A$5:$A$639,$A196,$C$5:$C$639,$C196-1,$D$5:$D$639,$D196))-1)))</f>
        <v/>
      </c>
      <c r="R196" s="16">
        <f>IF(OR($A196="",J196="",$C196=""),"",IF(COUNTIFS($A$5:$A$639,$A196,$C$5:$C$639,$C196-1,$D$5:$D$639,$D196,J$5:J$639,"&lt;&gt;")=0,"",IF(OR(SUMIFS(J$5:J$639,$A$5:$A$639,$A196,$C$5:$C$639,$C196-1,$D$5:$D$639,$D196)=0,J196*SUMIFS(J$5:J$639,$A$5:$A$639,$A196,$C$5:$C$639,$C196-1,$D$5:$D$639,$D196)&lt;0),"n.s.",ABS(J196)/ABS(SUMIFS(J$5:J$639,$A$5:$A$639,$A196,$C$5:$C$639,$C196-1,$D$5:$D$639,$D196))-1)))</f>
        <v/>
      </c>
      <c r="S196" s="16">
        <f>IF(OR($A196="",K196="",$C196=""),"",IF(COUNTIFS($A$5:$A$639,$A196,$C$5:$C$639,$C196-1,$D$5:$D$639,$D196,K$5:K$639,"&lt;&gt;")=0,"",IF(OR(SUMIFS(K$5:K$639,$A$5:$A$639,$A196,$C$5:$C$639,$C196-1,$D$5:$D$639,$D196)=0,K196*SUMIFS(K$5:K$639,$A$5:$A$639,$A196,$C$5:$C$639,$C196-1,$D$5:$D$639,$D196)&lt;0),"n.s.",ABS(K196)/ABS(SUMIFS(K$5:K$639,$A$5:$A$639,$A196,$C$5:$C$639,$C196-1,$D$5:$D$639,$D196))-1)))</f>
        <v/>
      </c>
      <c r="T196" s="16">
        <f>IF(OR($A196="",L196="",$C196=""),"",IF(COUNTIFS($A$5:$A$639,$A196,$C$5:$C$639,$C196-1,$D$5:$D$639,$D196,L$5:L$639,"&lt;&gt;")=0,"",IF(OR(SUMIFS(L$5:L$639,$A$5:$A$639,$A196,$C$5:$C$639,$C196-1,$D$5:$D$639,$D196)=0,L196*SUMIFS(L$5:L$639,$A$5:$A$639,$A196,$C$5:$C$639,$C196-1,$D$5:$D$639,$D196)&lt;0),"n.s.",ABS(L196)/ABS(SUMIFS(L$5:L$639,$A$5:$A$639,$A196,$C$5:$C$639,$C196-1,$D$5:$D$639,$D196))-1)))</f>
        <v/>
      </c>
      <c r="U196" s="16">
        <f>IF(OR($A196="",M196="",$C196=""),"",IF(COUNTIFS($A$5:$A$639,$A196,$C$5:$C$639,$C196-1,$D$5:$D$639,$D196,M$5:M$639,"&lt;&gt;")=0,"",IF(OR(SUMIFS(M$5:M$639,$A$5:$A$639,$A196,$C$5:$C$639,$C196-1,$D$5:$D$639,$D196)=0,M196*SUMIFS(M$5:M$639,$A$5:$A$639,$A196,$C$5:$C$639,$C196-1,$D$5:$D$639,$D196)&lt;0),"n.s.",ABS(M196)/ABS(SUMIFS(M$5:M$639,$A$5:$A$639,$A196,$C$5:$C$639,$C196-1,$D$5:$D$639,$D196))-1)))</f>
        <v/>
      </c>
    </row>
    <row r="197">
      <c r="A197" s="9" t="inlineStr">
        <is>
          <t>BNBC</t>
        </is>
      </c>
      <c r="B197" s="10">
        <f>IF(A197="","",IFERROR(VLOOKUP(A197,Titres!$A$2:$B$400,2,FALSE),"Ticker inconnu"))</f>
        <v/>
      </c>
      <c r="C197" s="11" t="n">
        <v>2025</v>
      </c>
      <c r="D197" s="11" t="inlineStr">
        <is>
          <t>T1</t>
        </is>
      </c>
      <c r="E197" s="9" t="inlineStr">
        <is>
          <t>Publié</t>
        </is>
      </c>
      <c r="F197" s="12" t="n">
        <v>46142</v>
      </c>
      <c r="G197" s="9" t="inlineStr">
        <is>
          <t>https://www.richbourse.com/common/actualite/afficher-fichier/30-04-2026-bernabe-ci-rapport-dactivites-1er-trimestre-2026 (comparatif N-1)</t>
        </is>
      </c>
      <c r="H197" s="13" t="n">
        <v>11207.24</v>
      </c>
      <c r="I197" s="13" t="n"/>
      <c r="J197" s="13" t="n"/>
      <c r="K197" s="13" t="n"/>
      <c r="L197" s="13" t="n">
        <v>-21.53</v>
      </c>
      <c r="M197" s="13" t="n">
        <v>-16.147</v>
      </c>
      <c r="N197" s="14">
        <f>IF(A197="","",COUNT(H197:M197)/6)</f>
        <v/>
      </c>
      <c r="O197" s="15">
        <f>IF(COUNT(H197:M197)=0,"",IF(LEN(IF(COUNT(I197,J197)=2,IF(J197&gt;I197+1,"EBE &gt; VA ",""),"")&amp;IF(COUNT(H197,M197)=2,IF(ABS(M197)&gt;ABS(H197),"RN &gt; CA ",""),"")&amp;IF(COUNT(H197,K197)=2,IF(ABS(K197)&gt;ABS(H197),"RE &gt; CA ",""),""))=0,"OK",IF(COUNT(I197,J197)=2,IF(J197&gt;I197+1,"EBE &gt; VA ",""),"")&amp;IF(COUNT(H197,M197)=2,IF(ABS(M197)&gt;ABS(H197),"RN &gt; CA ",""),"")&amp;IF(COUNT(H197,K197)=2,IF(ABS(K197)&gt;ABS(H197),"RE &gt; CA ",""),"")))</f>
        <v/>
      </c>
      <c r="P197" s="16">
        <f>IF(OR($A197="",H197="",$C197=""),"",IF(COUNTIFS($A$5:$A$639,$A197,$C$5:$C$639,$C197-1,$D$5:$D$639,$D197,H$5:H$639,"&lt;&gt;")=0,"",IF(OR(SUMIFS(H$5:H$639,$A$5:$A$639,$A197,$C$5:$C$639,$C197-1,$D$5:$D$639,$D197)=0,H197*SUMIFS(H$5:H$639,$A$5:$A$639,$A197,$C$5:$C$639,$C197-1,$D$5:$D$639,$D197)&lt;0),"n.s.",ABS(H197)/ABS(SUMIFS(H$5:H$639,$A$5:$A$639,$A197,$C$5:$C$639,$C197-1,$D$5:$D$639,$D197))-1)))</f>
        <v/>
      </c>
      <c r="Q197" s="16">
        <f>IF(OR($A197="",I197="",$C197=""),"",IF(COUNTIFS($A$5:$A$639,$A197,$C$5:$C$639,$C197-1,$D$5:$D$639,$D197,I$5:I$639,"&lt;&gt;")=0,"",IF(OR(SUMIFS(I$5:I$639,$A$5:$A$639,$A197,$C$5:$C$639,$C197-1,$D$5:$D$639,$D197)=0,I197*SUMIFS(I$5:I$639,$A$5:$A$639,$A197,$C$5:$C$639,$C197-1,$D$5:$D$639,$D197)&lt;0),"n.s.",ABS(I197)/ABS(SUMIFS(I$5:I$639,$A$5:$A$639,$A197,$C$5:$C$639,$C197-1,$D$5:$D$639,$D197))-1)))</f>
        <v/>
      </c>
      <c r="R197" s="16">
        <f>IF(OR($A197="",J197="",$C197=""),"",IF(COUNTIFS($A$5:$A$639,$A197,$C$5:$C$639,$C197-1,$D$5:$D$639,$D197,J$5:J$639,"&lt;&gt;")=0,"",IF(OR(SUMIFS(J$5:J$639,$A$5:$A$639,$A197,$C$5:$C$639,$C197-1,$D$5:$D$639,$D197)=0,J197*SUMIFS(J$5:J$639,$A$5:$A$639,$A197,$C$5:$C$639,$C197-1,$D$5:$D$639,$D197)&lt;0),"n.s.",ABS(J197)/ABS(SUMIFS(J$5:J$639,$A$5:$A$639,$A197,$C$5:$C$639,$C197-1,$D$5:$D$639,$D197))-1)))</f>
        <v/>
      </c>
      <c r="S197" s="16">
        <f>IF(OR($A197="",K197="",$C197=""),"",IF(COUNTIFS($A$5:$A$639,$A197,$C$5:$C$639,$C197-1,$D$5:$D$639,$D197,K$5:K$639,"&lt;&gt;")=0,"",IF(OR(SUMIFS(K$5:K$639,$A$5:$A$639,$A197,$C$5:$C$639,$C197-1,$D$5:$D$639,$D197)=0,K197*SUMIFS(K$5:K$639,$A$5:$A$639,$A197,$C$5:$C$639,$C197-1,$D$5:$D$639,$D197)&lt;0),"n.s.",ABS(K197)/ABS(SUMIFS(K$5:K$639,$A$5:$A$639,$A197,$C$5:$C$639,$C197-1,$D$5:$D$639,$D197))-1)))</f>
        <v/>
      </c>
      <c r="T197" s="16">
        <f>IF(OR($A197="",L197="",$C197=""),"",IF(COUNTIFS($A$5:$A$639,$A197,$C$5:$C$639,$C197-1,$D$5:$D$639,$D197,L$5:L$639,"&lt;&gt;")=0,"",IF(OR(SUMIFS(L$5:L$639,$A$5:$A$639,$A197,$C$5:$C$639,$C197-1,$D$5:$D$639,$D197)=0,L197*SUMIFS(L$5:L$639,$A$5:$A$639,$A197,$C$5:$C$639,$C197-1,$D$5:$D$639,$D197)&lt;0),"n.s.",ABS(L197)/ABS(SUMIFS(L$5:L$639,$A$5:$A$639,$A197,$C$5:$C$639,$C197-1,$D$5:$D$639,$D197))-1)))</f>
        <v/>
      </c>
      <c r="U197" s="16">
        <f>IF(OR($A197="",M197="",$C197=""),"",IF(COUNTIFS($A$5:$A$639,$A197,$C$5:$C$639,$C197-1,$D$5:$D$639,$D197,M$5:M$639,"&lt;&gt;")=0,"",IF(OR(SUMIFS(M$5:M$639,$A$5:$A$639,$A197,$C$5:$C$639,$C197-1,$D$5:$D$639,$D197)=0,M197*SUMIFS(M$5:M$639,$A$5:$A$639,$A197,$C$5:$C$639,$C197-1,$D$5:$D$639,$D197)&lt;0),"n.s.",ABS(M197)/ABS(SUMIFS(M$5:M$639,$A$5:$A$639,$A197,$C$5:$C$639,$C197-1,$D$5:$D$639,$D197))-1)))</f>
        <v/>
      </c>
    </row>
    <row r="198">
      <c r="A198" s="9" t="inlineStr">
        <is>
          <t>BNBC</t>
        </is>
      </c>
      <c r="B198" s="10">
        <f>IF(A198="","",IFERROR(VLOOKUP(A198,Titres!$A$2:$B$400,2,FALSE),"Ticker inconnu"))</f>
        <v/>
      </c>
      <c r="C198" s="11" t="n">
        <v>2025</v>
      </c>
      <c r="D198" s="11" t="inlineStr">
        <is>
          <t>S1</t>
        </is>
      </c>
      <c r="E198" s="9" t="n"/>
      <c r="F198" s="12" t="n"/>
      <c r="G198" s="9" t="n"/>
      <c r="H198" s="13" t="n"/>
      <c r="I198" s="13" t="n"/>
      <c r="J198" s="13" t="n"/>
      <c r="K198" s="13" t="n"/>
      <c r="L198" s="13" t="n"/>
      <c r="M198" s="13" t="n"/>
      <c r="N198" s="14">
        <f>IF(A198="","",COUNT(H198:M198)/6)</f>
        <v/>
      </c>
      <c r="O198" s="15">
        <f>IF(COUNT(H198:M198)=0,"",IF(LEN(IF(COUNT(I198,J198)=2,IF(J198&gt;I198+1,"EBE &gt; VA ",""),"")&amp;IF(COUNT(H198,M198)=2,IF(ABS(M198)&gt;ABS(H198),"RN &gt; CA ",""),"")&amp;IF(COUNT(H198,K198)=2,IF(ABS(K198)&gt;ABS(H198),"RE &gt; CA ",""),""))=0,"OK",IF(COUNT(I198,J198)=2,IF(J198&gt;I198+1,"EBE &gt; VA ",""),"")&amp;IF(COUNT(H198,M198)=2,IF(ABS(M198)&gt;ABS(H198),"RN &gt; CA ",""),"")&amp;IF(COUNT(H198,K198)=2,IF(ABS(K198)&gt;ABS(H198),"RE &gt; CA ",""),"")))</f>
        <v/>
      </c>
      <c r="P198" s="16">
        <f>IF(OR($A198="",H198="",$C198=""),"",IF(COUNTIFS($A$5:$A$639,$A198,$C$5:$C$639,$C198-1,$D$5:$D$639,$D198,H$5:H$639,"&lt;&gt;")=0,"",IF(OR(SUMIFS(H$5:H$639,$A$5:$A$639,$A198,$C$5:$C$639,$C198-1,$D$5:$D$639,$D198)=0,H198*SUMIFS(H$5:H$639,$A$5:$A$639,$A198,$C$5:$C$639,$C198-1,$D$5:$D$639,$D198)&lt;0),"n.s.",ABS(H198)/ABS(SUMIFS(H$5:H$639,$A$5:$A$639,$A198,$C$5:$C$639,$C198-1,$D$5:$D$639,$D198))-1)))</f>
        <v/>
      </c>
      <c r="Q198" s="16">
        <f>IF(OR($A198="",I198="",$C198=""),"",IF(COUNTIFS($A$5:$A$639,$A198,$C$5:$C$639,$C198-1,$D$5:$D$639,$D198,I$5:I$639,"&lt;&gt;")=0,"",IF(OR(SUMIFS(I$5:I$639,$A$5:$A$639,$A198,$C$5:$C$639,$C198-1,$D$5:$D$639,$D198)=0,I198*SUMIFS(I$5:I$639,$A$5:$A$639,$A198,$C$5:$C$639,$C198-1,$D$5:$D$639,$D198)&lt;0),"n.s.",ABS(I198)/ABS(SUMIFS(I$5:I$639,$A$5:$A$639,$A198,$C$5:$C$639,$C198-1,$D$5:$D$639,$D198))-1)))</f>
        <v/>
      </c>
      <c r="R198" s="16">
        <f>IF(OR($A198="",J198="",$C198=""),"",IF(COUNTIFS($A$5:$A$639,$A198,$C$5:$C$639,$C198-1,$D$5:$D$639,$D198,J$5:J$639,"&lt;&gt;")=0,"",IF(OR(SUMIFS(J$5:J$639,$A$5:$A$639,$A198,$C$5:$C$639,$C198-1,$D$5:$D$639,$D198)=0,J198*SUMIFS(J$5:J$639,$A$5:$A$639,$A198,$C$5:$C$639,$C198-1,$D$5:$D$639,$D198)&lt;0),"n.s.",ABS(J198)/ABS(SUMIFS(J$5:J$639,$A$5:$A$639,$A198,$C$5:$C$639,$C198-1,$D$5:$D$639,$D198))-1)))</f>
        <v/>
      </c>
      <c r="S198" s="16">
        <f>IF(OR($A198="",K198="",$C198=""),"",IF(COUNTIFS($A$5:$A$639,$A198,$C$5:$C$639,$C198-1,$D$5:$D$639,$D198,K$5:K$639,"&lt;&gt;")=0,"",IF(OR(SUMIFS(K$5:K$639,$A$5:$A$639,$A198,$C$5:$C$639,$C198-1,$D$5:$D$639,$D198)=0,K198*SUMIFS(K$5:K$639,$A$5:$A$639,$A198,$C$5:$C$639,$C198-1,$D$5:$D$639,$D198)&lt;0),"n.s.",ABS(K198)/ABS(SUMIFS(K$5:K$639,$A$5:$A$639,$A198,$C$5:$C$639,$C198-1,$D$5:$D$639,$D198))-1)))</f>
        <v/>
      </c>
      <c r="T198" s="16">
        <f>IF(OR($A198="",L198="",$C198=""),"",IF(COUNTIFS($A$5:$A$639,$A198,$C$5:$C$639,$C198-1,$D$5:$D$639,$D198,L$5:L$639,"&lt;&gt;")=0,"",IF(OR(SUMIFS(L$5:L$639,$A$5:$A$639,$A198,$C$5:$C$639,$C198-1,$D$5:$D$639,$D198)=0,L198*SUMIFS(L$5:L$639,$A$5:$A$639,$A198,$C$5:$C$639,$C198-1,$D$5:$D$639,$D198)&lt;0),"n.s.",ABS(L198)/ABS(SUMIFS(L$5:L$639,$A$5:$A$639,$A198,$C$5:$C$639,$C198-1,$D$5:$D$639,$D198))-1)))</f>
        <v/>
      </c>
      <c r="U198" s="16">
        <f>IF(OR($A198="",M198="",$C198=""),"",IF(COUNTIFS($A$5:$A$639,$A198,$C$5:$C$639,$C198-1,$D$5:$D$639,$D198,M$5:M$639,"&lt;&gt;")=0,"",IF(OR(SUMIFS(M$5:M$639,$A$5:$A$639,$A198,$C$5:$C$639,$C198-1,$D$5:$D$639,$D198)=0,M198*SUMIFS(M$5:M$639,$A$5:$A$639,$A198,$C$5:$C$639,$C198-1,$D$5:$D$639,$D198)&lt;0),"n.s.",ABS(M198)/ABS(SUMIFS(M$5:M$639,$A$5:$A$639,$A198,$C$5:$C$639,$C198-1,$D$5:$D$639,$D198))-1)))</f>
        <v/>
      </c>
    </row>
    <row r="199">
      <c r="A199" s="9" t="inlineStr">
        <is>
          <t>BNBC</t>
        </is>
      </c>
      <c r="B199" s="10">
        <f>IF(A199="","",IFERROR(VLOOKUP(A199,Titres!$A$2:$B$400,2,FALSE),"Ticker inconnu"))</f>
        <v/>
      </c>
      <c r="C199" s="11" t="n">
        <v>2025</v>
      </c>
      <c r="D199" s="11" t="inlineStr">
        <is>
          <t>T3</t>
        </is>
      </c>
      <c r="E199" s="9" t="n"/>
      <c r="F199" s="12" t="n"/>
      <c r="G199" s="9" t="n"/>
      <c r="H199" s="13" t="n"/>
      <c r="I199" s="13" t="n"/>
      <c r="J199" s="13" t="n"/>
      <c r="K199" s="13" t="n"/>
      <c r="L199" s="13" t="n"/>
      <c r="M199" s="13" t="n"/>
      <c r="N199" s="14">
        <f>IF(A199="","",COUNT(H199:M199)/6)</f>
        <v/>
      </c>
      <c r="O199" s="15">
        <f>IF(COUNT(H199:M199)=0,"",IF(LEN(IF(COUNT(I199,J199)=2,IF(J199&gt;I199+1,"EBE &gt; VA ",""),"")&amp;IF(COUNT(H199,M199)=2,IF(ABS(M199)&gt;ABS(H199),"RN &gt; CA ",""),"")&amp;IF(COUNT(H199,K199)=2,IF(ABS(K199)&gt;ABS(H199),"RE &gt; CA ",""),""))=0,"OK",IF(COUNT(I199,J199)=2,IF(J199&gt;I199+1,"EBE &gt; VA ",""),"")&amp;IF(COUNT(H199,M199)=2,IF(ABS(M199)&gt;ABS(H199),"RN &gt; CA ",""),"")&amp;IF(COUNT(H199,K199)=2,IF(ABS(K199)&gt;ABS(H199),"RE &gt; CA ",""),"")))</f>
        <v/>
      </c>
      <c r="P199" s="16">
        <f>IF(OR($A199="",H199="",$C199=""),"",IF(COUNTIFS($A$5:$A$639,$A199,$C$5:$C$639,$C199-1,$D$5:$D$639,$D199,H$5:H$639,"&lt;&gt;")=0,"",IF(OR(SUMIFS(H$5:H$639,$A$5:$A$639,$A199,$C$5:$C$639,$C199-1,$D$5:$D$639,$D199)=0,H199*SUMIFS(H$5:H$639,$A$5:$A$639,$A199,$C$5:$C$639,$C199-1,$D$5:$D$639,$D199)&lt;0),"n.s.",ABS(H199)/ABS(SUMIFS(H$5:H$639,$A$5:$A$639,$A199,$C$5:$C$639,$C199-1,$D$5:$D$639,$D199))-1)))</f>
        <v/>
      </c>
      <c r="Q199" s="16">
        <f>IF(OR($A199="",I199="",$C199=""),"",IF(COUNTIFS($A$5:$A$639,$A199,$C$5:$C$639,$C199-1,$D$5:$D$639,$D199,I$5:I$639,"&lt;&gt;")=0,"",IF(OR(SUMIFS(I$5:I$639,$A$5:$A$639,$A199,$C$5:$C$639,$C199-1,$D$5:$D$639,$D199)=0,I199*SUMIFS(I$5:I$639,$A$5:$A$639,$A199,$C$5:$C$639,$C199-1,$D$5:$D$639,$D199)&lt;0),"n.s.",ABS(I199)/ABS(SUMIFS(I$5:I$639,$A$5:$A$639,$A199,$C$5:$C$639,$C199-1,$D$5:$D$639,$D199))-1)))</f>
        <v/>
      </c>
      <c r="R199" s="16">
        <f>IF(OR($A199="",J199="",$C199=""),"",IF(COUNTIFS($A$5:$A$639,$A199,$C$5:$C$639,$C199-1,$D$5:$D$639,$D199,J$5:J$639,"&lt;&gt;")=0,"",IF(OR(SUMIFS(J$5:J$639,$A$5:$A$639,$A199,$C$5:$C$639,$C199-1,$D$5:$D$639,$D199)=0,J199*SUMIFS(J$5:J$639,$A$5:$A$639,$A199,$C$5:$C$639,$C199-1,$D$5:$D$639,$D199)&lt;0),"n.s.",ABS(J199)/ABS(SUMIFS(J$5:J$639,$A$5:$A$639,$A199,$C$5:$C$639,$C199-1,$D$5:$D$639,$D199))-1)))</f>
        <v/>
      </c>
      <c r="S199" s="16">
        <f>IF(OR($A199="",K199="",$C199=""),"",IF(COUNTIFS($A$5:$A$639,$A199,$C$5:$C$639,$C199-1,$D$5:$D$639,$D199,K$5:K$639,"&lt;&gt;")=0,"",IF(OR(SUMIFS(K$5:K$639,$A$5:$A$639,$A199,$C$5:$C$639,$C199-1,$D$5:$D$639,$D199)=0,K199*SUMIFS(K$5:K$639,$A$5:$A$639,$A199,$C$5:$C$639,$C199-1,$D$5:$D$639,$D199)&lt;0),"n.s.",ABS(K199)/ABS(SUMIFS(K$5:K$639,$A$5:$A$639,$A199,$C$5:$C$639,$C199-1,$D$5:$D$639,$D199))-1)))</f>
        <v/>
      </c>
      <c r="T199" s="16">
        <f>IF(OR($A199="",L199="",$C199=""),"",IF(COUNTIFS($A$5:$A$639,$A199,$C$5:$C$639,$C199-1,$D$5:$D$639,$D199,L$5:L$639,"&lt;&gt;")=0,"",IF(OR(SUMIFS(L$5:L$639,$A$5:$A$639,$A199,$C$5:$C$639,$C199-1,$D$5:$D$639,$D199)=0,L199*SUMIFS(L$5:L$639,$A$5:$A$639,$A199,$C$5:$C$639,$C199-1,$D$5:$D$639,$D199)&lt;0),"n.s.",ABS(L199)/ABS(SUMIFS(L$5:L$639,$A$5:$A$639,$A199,$C$5:$C$639,$C199-1,$D$5:$D$639,$D199))-1)))</f>
        <v/>
      </c>
      <c r="U199" s="16">
        <f>IF(OR($A199="",M199="",$C199=""),"",IF(COUNTIFS($A$5:$A$639,$A199,$C$5:$C$639,$C199-1,$D$5:$D$639,$D199,M$5:M$639,"&lt;&gt;")=0,"",IF(OR(SUMIFS(M$5:M$639,$A$5:$A$639,$A199,$C$5:$C$639,$C199-1,$D$5:$D$639,$D199)=0,M199*SUMIFS(M$5:M$639,$A$5:$A$639,$A199,$C$5:$C$639,$C199-1,$D$5:$D$639,$D199)&lt;0),"n.s.",ABS(M199)/ABS(SUMIFS(M$5:M$639,$A$5:$A$639,$A199,$C$5:$C$639,$C199-1,$D$5:$D$639,$D199))-1)))</f>
        <v/>
      </c>
    </row>
    <row r="200">
      <c r="A200" s="9" t="inlineStr">
        <is>
          <t>BNBC</t>
        </is>
      </c>
      <c r="B200" s="10">
        <f>IF(A200="","",IFERROR(VLOOKUP(A200,Titres!$A$2:$B$400,2,FALSE),"Ticker inconnu"))</f>
        <v/>
      </c>
      <c r="C200" s="11" t="n">
        <v>2026</v>
      </c>
      <c r="D200" s="11" t="inlineStr">
        <is>
          <t>T1</t>
        </is>
      </c>
      <c r="E200" s="9" t="inlineStr">
        <is>
          <t>Publié</t>
        </is>
      </c>
      <c r="F200" s="12" t="n">
        <v>46142</v>
      </c>
      <c r="G200" s="9" t="inlineStr">
        <is>
          <t>https://www.richbourse.com/common/actualite/afficher-fichier/30-04-2026-bernabe-ci-rapport-dactivites-1er-trimestre-2026</t>
        </is>
      </c>
      <c r="H200" s="13" t="n">
        <v>11194.069</v>
      </c>
      <c r="I200" s="13" t="n"/>
      <c r="J200" s="13" t="n"/>
      <c r="K200" s="13" t="n"/>
      <c r="L200" s="13" t="n">
        <v>65.566</v>
      </c>
      <c r="M200" s="13" t="n">
        <v>65.566</v>
      </c>
      <c r="N200" s="14">
        <f>IF(A200="","",COUNT(H200:M200)/6)</f>
        <v/>
      </c>
      <c r="O200" s="15">
        <f>IF(COUNT(H200:M200)=0,"",IF(LEN(IF(COUNT(I200,J200)=2,IF(J200&gt;I200+1,"EBE &gt; VA ",""),"")&amp;IF(COUNT(H200,M200)=2,IF(ABS(M200)&gt;ABS(H200),"RN &gt; CA ",""),"")&amp;IF(COUNT(H200,K200)=2,IF(ABS(K200)&gt;ABS(H200),"RE &gt; CA ",""),""))=0,"OK",IF(COUNT(I200,J200)=2,IF(J200&gt;I200+1,"EBE &gt; VA ",""),"")&amp;IF(COUNT(H200,M200)=2,IF(ABS(M200)&gt;ABS(H200),"RN &gt; CA ",""),"")&amp;IF(COUNT(H200,K200)=2,IF(ABS(K200)&gt;ABS(H200),"RE &gt; CA ",""),"")))</f>
        <v/>
      </c>
      <c r="P200" s="16">
        <f>IF(OR($A200="",H200="",$C200=""),"",IF(COUNTIFS($A$5:$A$639,$A200,$C$5:$C$639,$C200-1,$D$5:$D$639,$D200,H$5:H$639,"&lt;&gt;")=0,"",IF(OR(SUMIFS(H$5:H$639,$A$5:$A$639,$A200,$C$5:$C$639,$C200-1,$D$5:$D$639,$D200)=0,H200*SUMIFS(H$5:H$639,$A$5:$A$639,$A200,$C$5:$C$639,$C200-1,$D$5:$D$639,$D200)&lt;0),"n.s.",ABS(H200)/ABS(SUMIFS(H$5:H$639,$A$5:$A$639,$A200,$C$5:$C$639,$C200-1,$D$5:$D$639,$D200))-1)))</f>
        <v/>
      </c>
      <c r="Q200" s="16">
        <f>IF(OR($A200="",I200="",$C200=""),"",IF(COUNTIFS($A$5:$A$639,$A200,$C$5:$C$639,$C200-1,$D$5:$D$639,$D200,I$5:I$639,"&lt;&gt;")=0,"",IF(OR(SUMIFS(I$5:I$639,$A$5:$A$639,$A200,$C$5:$C$639,$C200-1,$D$5:$D$639,$D200)=0,I200*SUMIFS(I$5:I$639,$A$5:$A$639,$A200,$C$5:$C$639,$C200-1,$D$5:$D$639,$D200)&lt;0),"n.s.",ABS(I200)/ABS(SUMIFS(I$5:I$639,$A$5:$A$639,$A200,$C$5:$C$639,$C200-1,$D$5:$D$639,$D200))-1)))</f>
        <v/>
      </c>
      <c r="R200" s="16">
        <f>IF(OR($A200="",J200="",$C200=""),"",IF(COUNTIFS($A$5:$A$639,$A200,$C$5:$C$639,$C200-1,$D$5:$D$639,$D200,J$5:J$639,"&lt;&gt;")=0,"",IF(OR(SUMIFS(J$5:J$639,$A$5:$A$639,$A200,$C$5:$C$639,$C200-1,$D$5:$D$639,$D200)=0,J200*SUMIFS(J$5:J$639,$A$5:$A$639,$A200,$C$5:$C$639,$C200-1,$D$5:$D$639,$D200)&lt;0),"n.s.",ABS(J200)/ABS(SUMIFS(J$5:J$639,$A$5:$A$639,$A200,$C$5:$C$639,$C200-1,$D$5:$D$639,$D200))-1)))</f>
        <v/>
      </c>
      <c r="S200" s="16">
        <f>IF(OR($A200="",K200="",$C200=""),"",IF(COUNTIFS($A$5:$A$639,$A200,$C$5:$C$639,$C200-1,$D$5:$D$639,$D200,K$5:K$639,"&lt;&gt;")=0,"",IF(OR(SUMIFS(K$5:K$639,$A$5:$A$639,$A200,$C$5:$C$639,$C200-1,$D$5:$D$639,$D200)=0,K200*SUMIFS(K$5:K$639,$A$5:$A$639,$A200,$C$5:$C$639,$C200-1,$D$5:$D$639,$D200)&lt;0),"n.s.",ABS(K200)/ABS(SUMIFS(K$5:K$639,$A$5:$A$639,$A200,$C$5:$C$639,$C200-1,$D$5:$D$639,$D200))-1)))</f>
        <v/>
      </c>
      <c r="T200" s="16">
        <f>IF(OR($A200="",L200="",$C200=""),"",IF(COUNTIFS($A$5:$A$639,$A200,$C$5:$C$639,$C200-1,$D$5:$D$639,$D200,L$5:L$639,"&lt;&gt;")=0,"",IF(OR(SUMIFS(L$5:L$639,$A$5:$A$639,$A200,$C$5:$C$639,$C200-1,$D$5:$D$639,$D200)=0,L200*SUMIFS(L$5:L$639,$A$5:$A$639,$A200,$C$5:$C$639,$C200-1,$D$5:$D$639,$D200)&lt;0),"n.s.",ABS(L200)/ABS(SUMIFS(L$5:L$639,$A$5:$A$639,$A200,$C$5:$C$639,$C200-1,$D$5:$D$639,$D200))-1)))</f>
        <v/>
      </c>
      <c r="U200" s="16">
        <f>IF(OR($A200="",M200="",$C200=""),"",IF(COUNTIFS($A$5:$A$639,$A200,$C$5:$C$639,$C200-1,$D$5:$D$639,$D200,M$5:M$639,"&lt;&gt;")=0,"",IF(OR(SUMIFS(M$5:M$639,$A$5:$A$639,$A200,$C$5:$C$639,$C200-1,$D$5:$D$639,$D200)=0,M200*SUMIFS(M$5:M$639,$A$5:$A$639,$A200,$C$5:$C$639,$C200-1,$D$5:$D$639,$D200)&lt;0),"n.s.",ABS(M200)/ABS(SUMIFS(M$5:M$639,$A$5:$A$639,$A200,$C$5:$C$639,$C200-1,$D$5:$D$639,$D200))-1)))</f>
        <v/>
      </c>
    </row>
    <row r="201">
      <c r="A201" s="9" t="inlineStr">
        <is>
          <t>BNBC</t>
        </is>
      </c>
      <c r="B201" s="10">
        <f>IF(A201="","",IFERROR(VLOOKUP(A201,Titres!$A$2:$B$400,2,FALSE),"Ticker inconnu"))</f>
        <v/>
      </c>
      <c r="C201" s="11" t="n">
        <v>2026</v>
      </c>
      <c r="D201" s="11" t="inlineStr">
        <is>
          <t>S1</t>
        </is>
      </c>
      <c r="E201" s="9" t="n"/>
      <c r="F201" s="12" t="n"/>
      <c r="G201" s="9" t="n"/>
      <c r="H201" s="13" t="n"/>
      <c r="I201" s="13" t="n"/>
      <c r="J201" s="13" t="n"/>
      <c r="K201" s="13" t="n"/>
      <c r="L201" s="13" t="n"/>
      <c r="M201" s="13" t="n"/>
      <c r="N201" s="14">
        <f>IF(A201="","",COUNT(H201:M201)/6)</f>
        <v/>
      </c>
      <c r="O201" s="15">
        <f>IF(COUNT(H201:M201)=0,"",IF(LEN(IF(COUNT(I201,J201)=2,IF(J201&gt;I201+1,"EBE &gt; VA ",""),"")&amp;IF(COUNT(H201,M201)=2,IF(ABS(M201)&gt;ABS(H201),"RN &gt; CA ",""),"")&amp;IF(COUNT(H201,K201)=2,IF(ABS(K201)&gt;ABS(H201),"RE &gt; CA ",""),""))=0,"OK",IF(COUNT(I201,J201)=2,IF(J201&gt;I201+1,"EBE &gt; VA ",""),"")&amp;IF(COUNT(H201,M201)=2,IF(ABS(M201)&gt;ABS(H201),"RN &gt; CA ",""),"")&amp;IF(COUNT(H201,K201)=2,IF(ABS(K201)&gt;ABS(H201),"RE &gt; CA ",""),"")))</f>
        <v/>
      </c>
      <c r="P201" s="16">
        <f>IF(OR($A201="",H201="",$C201=""),"",IF(COUNTIFS($A$5:$A$639,$A201,$C$5:$C$639,$C201-1,$D$5:$D$639,$D201,H$5:H$639,"&lt;&gt;")=0,"",IF(OR(SUMIFS(H$5:H$639,$A$5:$A$639,$A201,$C$5:$C$639,$C201-1,$D$5:$D$639,$D201)=0,H201*SUMIFS(H$5:H$639,$A$5:$A$639,$A201,$C$5:$C$639,$C201-1,$D$5:$D$639,$D201)&lt;0),"n.s.",ABS(H201)/ABS(SUMIFS(H$5:H$639,$A$5:$A$639,$A201,$C$5:$C$639,$C201-1,$D$5:$D$639,$D201))-1)))</f>
        <v/>
      </c>
      <c r="Q201" s="16">
        <f>IF(OR($A201="",I201="",$C201=""),"",IF(COUNTIFS($A$5:$A$639,$A201,$C$5:$C$639,$C201-1,$D$5:$D$639,$D201,I$5:I$639,"&lt;&gt;")=0,"",IF(OR(SUMIFS(I$5:I$639,$A$5:$A$639,$A201,$C$5:$C$639,$C201-1,$D$5:$D$639,$D201)=0,I201*SUMIFS(I$5:I$639,$A$5:$A$639,$A201,$C$5:$C$639,$C201-1,$D$5:$D$639,$D201)&lt;0),"n.s.",ABS(I201)/ABS(SUMIFS(I$5:I$639,$A$5:$A$639,$A201,$C$5:$C$639,$C201-1,$D$5:$D$639,$D201))-1)))</f>
        <v/>
      </c>
      <c r="R201" s="16">
        <f>IF(OR($A201="",J201="",$C201=""),"",IF(COUNTIFS($A$5:$A$639,$A201,$C$5:$C$639,$C201-1,$D$5:$D$639,$D201,J$5:J$639,"&lt;&gt;")=0,"",IF(OR(SUMIFS(J$5:J$639,$A$5:$A$639,$A201,$C$5:$C$639,$C201-1,$D$5:$D$639,$D201)=0,J201*SUMIFS(J$5:J$639,$A$5:$A$639,$A201,$C$5:$C$639,$C201-1,$D$5:$D$639,$D201)&lt;0),"n.s.",ABS(J201)/ABS(SUMIFS(J$5:J$639,$A$5:$A$639,$A201,$C$5:$C$639,$C201-1,$D$5:$D$639,$D201))-1)))</f>
        <v/>
      </c>
      <c r="S201" s="16">
        <f>IF(OR($A201="",K201="",$C201=""),"",IF(COUNTIFS($A$5:$A$639,$A201,$C$5:$C$639,$C201-1,$D$5:$D$639,$D201,K$5:K$639,"&lt;&gt;")=0,"",IF(OR(SUMIFS(K$5:K$639,$A$5:$A$639,$A201,$C$5:$C$639,$C201-1,$D$5:$D$639,$D201)=0,K201*SUMIFS(K$5:K$639,$A$5:$A$639,$A201,$C$5:$C$639,$C201-1,$D$5:$D$639,$D201)&lt;0),"n.s.",ABS(K201)/ABS(SUMIFS(K$5:K$639,$A$5:$A$639,$A201,$C$5:$C$639,$C201-1,$D$5:$D$639,$D201))-1)))</f>
        <v/>
      </c>
      <c r="T201" s="16">
        <f>IF(OR($A201="",L201="",$C201=""),"",IF(COUNTIFS($A$5:$A$639,$A201,$C$5:$C$639,$C201-1,$D$5:$D$639,$D201,L$5:L$639,"&lt;&gt;")=0,"",IF(OR(SUMIFS(L$5:L$639,$A$5:$A$639,$A201,$C$5:$C$639,$C201-1,$D$5:$D$639,$D201)=0,L201*SUMIFS(L$5:L$639,$A$5:$A$639,$A201,$C$5:$C$639,$C201-1,$D$5:$D$639,$D201)&lt;0),"n.s.",ABS(L201)/ABS(SUMIFS(L$5:L$639,$A$5:$A$639,$A201,$C$5:$C$639,$C201-1,$D$5:$D$639,$D201))-1)))</f>
        <v/>
      </c>
      <c r="U201" s="16">
        <f>IF(OR($A201="",M201="",$C201=""),"",IF(COUNTIFS($A$5:$A$639,$A201,$C$5:$C$639,$C201-1,$D$5:$D$639,$D201,M$5:M$639,"&lt;&gt;")=0,"",IF(OR(SUMIFS(M$5:M$639,$A$5:$A$639,$A201,$C$5:$C$639,$C201-1,$D$5:$D$639,$D201)=0,M201*SUMIFS(M$5:M$639,$A$5:$A$639,$A201,$C$5:$C$639,$C201-1,$D$5:$D$639,$D201)&lt;0),"n.s.",ABS(M201)/ABS(SUMIFS(M$5:M$639,$A$5:$A$639,$A201,$C$5:$C$639,$C201-1,$D$5:$D$639,$D201))-1)))</f>
        <v/>
      </c>
    </row>
    <row r="202">
      <c r="A202" s="9" t="inlineStr">
        <is>
          <t>BNBC</t>
        </is>
      </c>
      <c r="B202" s="10">
        <f>IF(A202="","",IFERROR(VLOOKUP(A202,Titres!$A$2:$B$400,2,FALSE),"Ticker inconnu"))</f>
        <v/>
      </c>
      <c r="C202" s="11" t="n">
        <v>2026</v>
      </c>
      <c r="D202" s="11" t="inlineStr">
        <is>
          <t>T3</t>
        </is>
      </c>
      <c r="E202" s="9" t="n"/>
      <c r="F202" s="12" t="n"/>
      <c r="G202" s="9" t="n"/>
      <c r="H202" s="13" t="n"/>
      <c r="I202" s="13" t="n"/>
      <c r="J202" s="13" t="n"/>
      <c r="K202" s="13" t="n"/>
      <c r="L202" s="13" t="n"/>
      <c r="M202" s="13" t="n"/>
      <c r="N202" s="14">
        <f>IF(A202="","",COUNT(H202:M202)/6)</f>
        <v/>
      </c>
      <c r="O202" s="15">
        <f>IF(COUNT(H202:M202)=0,"",IF(LEN(IF(COUNT(I202,J202)=2,IF(J202&gt;I202+1,"EBE &gt; VA ",""),"")&amp;IF(COUNT(H202,M202)=2,IF(ABS(M202)&gt;ABS(H202),"RN &gt; CA ",""),"")&amp;IF(COUNT(H202,K202)=2,IF(ABS(K202)&gt;ABS(H202),"RE &gt; CA ",""),""))=0,"OK",IF(COUNT(I202,J202)=2,IF(J202&gt;I202+1,"EBE &gt; VA ",""),"")&amp;IF(COUNT(H202,M202)=2,IF(ABS(M202)&gt;ABS(H202),"RN &gt; CA ",""),"")&amp;IF(COUNT(H202,K202)=2,IF(ABS(K202)&gt;ABS(H202),"RE &gt; CA ",""),"")))</f>
        <v/>
      </c>
      <c r="P202" s="16">
        <f>IF(OR($A202="",H202="",$C202=""),"",IF(COUNTIFS($A$5:$A$639,$A202,$C$5:$C$639,$C202-1,$D$5:$D$639,$D202,H$5:H$639,"&lt;&gt;")=0,"",IF(OR(SUMIFS(H$5:H$639,$A$5:$A$639,$A202,$C$5:$C$639,$C202-1,$D$5:$D$639,$D202)=0,H202*SUMIFS(H$5:H$639,$A$5:$A$639,$A202,$C$5:$C$639,$C202-1,$D$5:$D$639,$D202)&lt;0),"n.s.",ABS(H202)/ABS(SUMIFS(H$5:H$639,$A$5:$A$639,$A202,$C$5:$C$639,$C202-1,$D$5:$D$639,$D202))-1)))</f>
        <v/>
      </c>
      <c r="Q202" s="16">
        <f>IF(OR($A202="",I202="",$C202=""),"",IF(COUNTIFS($A$5:$A$639,$A202,$C$5:$C$639,$C202-1,$D$5:$D$639,$D202,I$5:I$639,"&lt;&gt;")=0,"",IF(OR(SUMIFS(I$5:I$639,$A$5:$A$639,$A202,$C$5:$C$639,$C202-1,$D$5:$D$639,$D202)=0,I202*SUMIFS(I$5:I$639,$A$5:$A$639,$A202,$C$5:$C$639,$C202-1,$D$5:$D$639,$D202)&lt;0),"n.s.",ABS(I202)/ABS(SUMIFS(I$5:I$639,$A$5:$A$639,$A202,$C$5:$C$639,$C202-1,$D$5:$D$639,$D202))-1)))</f>
        <v/>
      </c>
      <c r="R202" s="16">
        <f>IF(OR($A202="",J202="",$C202=""),"",IF(COUNTIFS($A$5:$A$639,$A202,$C$5:$C$639,$C202-1,$D$5:$D$639,$D202,J$5:J$639,"&lt;&gt;")=0,"",IF(OR(SUMIFS(J$5:J$639,$A$5:$A$639,$A202,$C$5:$C$639,$C202-1,$D$5:$D$639,$D202)=0,J202*SUMIFS(J$5:J$639,$A$5:$A$639,$A202,$C$5:$C$639,$C202-1,$D$5:$D$639,$D202)&lt;0),"n.s.",ABS(J202)/ABS(SUMIFS(J$5:J$639,$A$5:$A$639,$A202,$C$5:$C$639,$C202-1,$D$5:$D$639,$D202))-1)))</f>
        <v/>
      </c>
      <c r="S202" s="16">
        <f>IF(OR($A202="",K202="",$C202=""),"",IF(COUNTIFS($A$5:$A$639,$A202,$C$5:$C$639,$C202-1,$D$5:$D$639,$D202,K$5:K$639,"&lt;&gt;")=0,"",IF(OR(SUMIFS(K$5:K$639,$A$5:$A$639,$A202,$C$5:$C$639,$C202-1,$D$5:$D$639,$D202)=0,K202*SUMIFS(K$5:K$639,$A$5:$A$639,$A202,$C$5:$C$639,$C202-1,$D$5:$D$639,$D202)&lt;0),"n.s.",ABS(K202)/ABS(SUMIFS(K$5:K$639,$A$5:$A$639,$A202,$C$5:$C$639,$C202-1,$D$5:$D$639,$D202))-1)))</f>
        <v/>
      </c>
      <c r="T202" s="16">
        <f>IF(OR($A202="",L202="",$C202=""),"",IF(COUNTIFS($A$5:$A$639,$A202,$C$5:$C$639,$C202-1,$D$5:$D$639,$D202,L$5:L$639,"&lt;&gt;")=0,"",IF(OR(SUMIFS(L$5:L$639,$A$5:$A$639,$A202,$C$5:$C$639,$C202-1,$D$5:$D$639,$D202)=0,L202*SUMIFS(L$5:L$639,$A$5:$A$639,$A202,$C$5:$C$639,$C202-1,$D$5:$D$639,$D202)&lt;0),"n.s.",ABS(L202)/ABS(SUMIFS(L$5:L$639,$A$5:$A$639,$A202,$C$5:$C$639,$C202-1,$D$5:$D$639,$D202))-1)))</f>
        <v/>
      </c>
      <c r="U202" s="16">
        <f>IF(OR($A202="",M202="",$C202=""),"",IF(COUNTIFS($A$5:$A$639,$A202,$C$5:$C$639,$C202-1,$D$5:$D$639,$D202,M$5:M$639,"&lt;&gt;")=0,"",IF(OR(SUMIFS(M$5:M$639,$A$5:$A$639,$A202,$C$5:$C$639,$C202-1,$D$5:$D$639,$D202)=0,M202*SUMIFS(M$5:M$639,$A$5:$A$639,$A202,$C$5:$C$639,$C202-1,$D$5:$D$639,$D202)&lt;0),"n.s.",ABS(M202)/ABS(SUMIFS(M$5:M$639,$A$5:$A$639,$A202,$C$5:$C$639,$C202-1,$D$5:$D$639,$D202))-1)))</f>
        <v/>
      </c>
    </row>
    <row r="203">
      <c r="A203" s="9" t="inlineStr">
        <is>
          <t>CFAC</t>
        </is>
      </c>
      <c r="B203" s="10">
        <f>IF(A203="","",IFERROR(VLOOKUP(A203,Titres!$A$2:$B$400,2,FALSE),"Ticker inconnu"))</f>
        <v/>
      </c>
      <c r="C203" s="11" t="n">
        <v>2021</v>
      </c>
      <c r="D203" s="11" t="inlineStr">
        <is>
          <t>T1</t>
        </is>
      </c>
      <c r="E203" s="9" t="n"/>
      <c r="F203" s="12" t="n"/>
      <c r="G203" s="9" t="n"/>
      <c r="H203" s="13" t="n"/>
      <c r="I203" s="13" t="n"/>
      <c r="J203" s="13" t="n"/>
      <c r="K203" s="13" t="n"/>
      <c r="L203" s="13" t="n"/>
      <c r="M203" s="13" t="n"/>
      <c r="N203" s="14">
        <f>IF(A203="","",COUNT(H203:M203)/6)</f>
        <v/>
      </c>
      <c r="O203" s="15">
        <f>IF(COUNT(H203:M203)=0,"",IF(LEN(IF(COUNT(I203,J203)=2,IF(J203&gt;I203+1,"EBE &gt; VA ",""),"")&amp;IF(COUNT(H203,M203)=2,IF(ABS(M203)&gt;ABS(H203),"RN &gt; CA ",""),"")&amp;IF(COUNT(H203,K203)=2,IF(ABS(K203)&gt;ABS(H203),"RE &gt; CA ",""),""))=0,"OK",IF(COUNT(I203,J203)=2,IF(J203&gt;I203+1,"EBE &gt; VA ",""),"")&amp;IF(COUNT(H203,M203)=2,IF(ABS(M203)&gt;ABS(H203),"RN &gt; CA ",""),"")&amp;IF(COUNT(H203,K203)=2,IF(ABS(K203)&gt;ABS(H203),"RE &gt; CA ",""),"")))</f>
        <v/>
      </c>
      <c r="P203" s="16">
        <f>IF(OR($A203="",H203="",$C203=""),"",IF(COUNTIFS($A$5:$A$639,$A203,$C$5:$C$639,$C203-1,$D$5:$D$639,$D203,H$5:H$639,"&lt;&gt;")=0,"",IF(OR(SUMIFS(H$5:H$639,$A$5:$A$639,$A203,$C$5:$C$639,$C203-1,$D$5:$D$639,$D203)=0,H203*SUMIFS(H$5:H$639,$A$5:$A$639,$A203,$C$5:$C$639,$C203-1,$D$5:$D$639,$D203)&lt;0),"n.s.",ABS(H203)/ABS(SUMIFS(H$5:H$639,$A$5:$A$639,$A203,$C$5:$C$639,$C203-1,$D$5:$D$639,$D203))-1)))</f>
        <v/>
      </c>
      <c r="Q203" s="16">
        <f>IF(OR($A203="",I203="",$C203=""),"",IF(COUNTIFS($A$5:$A$639,$A203,$C$5:$C$639,$C203-1,$D$5:$D$639,$D203,I$5:I$639,"&lt;&gt;")=0,"",IF(OR(SUMIFS(I$5:I$639,$A$5:$A$639,$A203,$C$5:$C$639,$C203-1,$D$5:$D$639,$D203)=0,I203*SUMIFS(I$5:I$639,$A$5:$A$639,$A203,$C$5:$C$639,$C203-1,$D$5:$D$639,$D203)&lt;0),"n.s.",ABS(I203)/ABS(SUMIFS(I$5:I$639,$A$5:$A$639,$A203,$C$5:$C$639,$C203-1,$D$5:$D$639,$D203))-1)))</f>
        <v/>
      </c>
      <c r="R203" s="16">
        <f>IF(OR($A203="",J203="",$C203=""),"",IF(COUNTIFS($A$5:$A$639,$A203,$C$5:$C$639,$C203-1,$D$5:$D$639,$D203,J$5:J$639,"&lt;&gt;")=0,"",IF(OR(SUMIFS(J$5:J$639,$A$5:$A$639,$A203,$C$5:$C$639,$C203-1,$D$5:$D$639,$D203)=0,J203*SUMIFS(J$5:J$639,$A$5:$A$639,$A203,$C$5:$C$639,$C203-1,$D$5:$D$639,$D203)&lt;0),"n.s.",ABS(J203)/ABS(SUMIFS(J$5:J$639,$A$5:$A$639,$A203,$C$5:$C$639,$C203-1,$D$5:$D$639,$D203))-1)))</f>
        <v/>
      </c>
      <c r="S203" s="16">
        <f>IF(OR($A203="",K203="",$C203=""),"",IF(COUNTIFS($A$5:$A$639,$A203,$C$5:$C$639,$C203-1,$D$5:$D$639,$D203,K$5:K$639,"&lt;&gt;")=0,"",IF(OR(SUMIFS(K$5:K$639,$A$5:$A$639,$A203,$C$5:$C$639,$C203-1,$D$5:$D$639,$D203)=0,K203*SUMIFS(K$5:K$639,$A$5:$A$639,$A203,$C$5:$C$639,$C203-1,$D$5:$D$639,$D203)&lt;0),"n.s.",ABS(K203)/ABS(SUMIFS(K$5:K$639,$A$5:$A$639,$A203,$C$5:$C$639,$C203-1,$D$5:$D$639,$D203))-1)))</f>
        <v/>
      </c>
      <c r="T203" s="16">
        <f>IF(OR($A203="",L203="",$C203=""),"",IF(COUNTIFS($A$5:$A$639,$A203,$C$5:$C$639,$C203-1,$D$5:$D$639,$D203,L$5:L$639,"&lt;&gt;")=0,"",IF(OR(SUMIFS(L$5:L$639,$A$5:$A$639,$A203,$C$5:$C$639,$C203-1,$D$5:$D$639,$D203)=0,L203*SUMIFS(L$5:L$639,$A$5:$A$639,$A203,$C$5:$C$639,$C203-1,$D$5:$D$639,$D203)&lt;0),"n.s.",ABS(L203)/ABS(SUMIFS(L$5:L$639,$A$5:$A$639,$A203,$C$5:$C$639,$C203-1,$D$5:$D$639,$D203))-1)))</f>
        <v/>
      </c>
      <c r="U203" s="16">
        <f>IF(OR($A203="",M203="",$C203=""),"",IF(COUNTIFS($A$5:$A$639,$A203,$C$5:$C$639,$C203-1,$D$5:$D$639,$D203,M$5:M$639,"&lt;&gt;")=0,"",IF(OR(SUMIFS(M$5:M$639,$A$5:$A$639,$A203,$C$5:$C$639,$C203-1,$D$5:$D$639,$D203)=0,M203*SUMIFS(M$5:M$639,$A$5:$A$639,$A203,$C$5:$C$639,$C203-1,$D$5:$D$639,$D203)&lt;0),"n.s.",ABS(M203)/ABS(SUMIFS(M$5:M$639,$A$5:$A$639,$A203,$C$5:$C$639,$C203-1,$D$5:$D$639,$D203))-1)))</f>
        <v/>
      </c>
    </row>
    <row r="204">
      <c r="A204" s="9" t="inlineStr">
        <is>
          <t>CFAC</t>
        </is>
      </c>
      <c r="B204" s="10">
        <f>IF(A204="","",IFERROR(VLOOKUP(A204,Titres!$A$2:$B$400,2,FALSE),"Ticker inconnu"))</f>
        <v/>
      </c>
      <c r="C204" s="11" t="n">
        <v>2021</v>
      </c>
      <c r="D204" s="11" t="inlineStr">
        <is>
          <t>S1</t>
        </is>
      </c>
      <c r="E204" s="9" t="n"/>
      <c r="F204" s="12" t="n"/>
      <c r="G204" s="9" t="n"/>
      <c r="H204" s="13" t="n"/>
      <c r="I204" s="13" t="n"/>
      <c r="J204" s="13" t="n"/>
      <c r="K204" s="13" t="n"/>
      <c r="L204" s="13" t="n"/>
      <c r="M204" s="13" t="n"/>
      <c r="N204" s="14">
        <f>IF(A204="","",COUNT(H204:M204)/6)</f>
        <v/>
      </c>
      <c r="O204" s="15">
        <f>IF(COUNT(H204:M204)=0,"",IF(LEN(IF(COUNT(I204,J204)=2,IF(J204&gt;I204+1,"EBE &gt; VA ",""),"")&amp;IF(COUNT(H204,M204)=2,IF(ABS(M204)&gt;ABS(H204),"RN &gt; CA ",""),"")&amp;IF(COUNT(H204,K204)=2,IF(ABS(K204)&gt;ABS(H204),"RE &gt; CA ",""),""))=0,"OK",IF(COUNT(I204,J204)=2,IF(J204&gt;I204+1,"EBE &gt; VA ",""),"")&amp;IF(COUNT(H204,M204)=2,IF(ABS(M204)&gt;ABS(H204),"RN &gt; CA ",""),"")&amp;IF(COUNT(H204,K204)=2,IF(ABS(K204)&gt;ABS(H204),"RE &gt; CA ",""),"")))</f>
        <v/>
      </c>
      <c r="P204" s="16">
        <f>IF(OR($A204="",H204="",$C204=""),"",IF(COUNTIFS($A$5:$A$639,$A204,$C$5:$C$639,$C204-1,$D$5:$D$639,$D204,H$5:H$639,"&lt;&gt;")=0,"",IF(OR(SUMIFS(H$5:H$639,$A$5:$A$639,$A204,$C$5:$C$639,$C204-1,$D$5:$D$639,$D204)=0,H204*SUMIFS(H$5:H$639,$A$5:$A$639,$A204,$C$5:$C$639,$C204-1,$D$5:$D$639,$D204)&lt;0),"n.s.",ABS(H204)/ABS(SUMIFS(H$5:H$639,$A$5:$A$639,$A204,$C$5:$C$639,$C204-1,$D$5:$D$639,$D204))-1)))</f>
        <v/>
      </c>
      <c r="Q204" s="16">
        <f>IF(OR($A204="",I204="",$C204=""),"",IF(COUNTIFS($A$5:$A$639,$A204,$C$5:$C$639,$C204-1,$D$5:$D$639,$D204,I$5:I$639,"&lt;&gt;")=0,"",IF(OR(SUMIFS(I$5:I$639,$A$5:$A$639,$A204,$C$5:$C$639,$C204-1,$D$5:$D$639,$D204)=0,I204*SUMIFS(I$5:I$639,$A$5:$A$639,$A204,$C$5:$C$639,$C204-1,$D$5:$D$639,$D204)&lt;0),"n.s.",ABS(I204)/ABS(SUMIFS(I$5:I$639,$A$5:$A$639,$A204,$C$5:$C$639,$C204-1,$D$5:$D$639,$D204))-1)))</f>
        <v/>
      </c>
      <c r="R204" s="16">
        <f>IF(OR($A204="",J204="",$C204=""),"",IF(COUNTIFS($A$5:$A$639,$A204,$C$5:$C$639,$C204-1,$D$5:$D$639,$D204,J$5:J$639,"&lt;&gt;")=0,"",IF(OR(SUMIFS(J$5:J$639,$A$5:$A$639,$A204,$C$5:$C$639,$C204-1,$D$5:$D$639,$D204)=0,J204*SUMIFS(J$5:J$639,$A$5:$A$639,$A204,$C$5:$C$639,$C204-1,$D$5:$D$639,$D204)&lt;0),"n.s.",ABS(J204)/ABS(SUMIFS(J$5:J$639,$A$5:$A$639,$A204,$C$5:$C$639,$C204-1,$D$5:$D$639,$D204))-1)))</f>
        <v/>
      </c>
      <c r="S204" s="16">
        <f>IF(OR($A204="",K204="",$C204=""),"",IF(COUNTIFS($A$5:$A$639,$A204,$C$5:$C$639,$C204-1,$D$5:$D$639,$D204,K$5:K$639,"&lt;&gt;")=0,"",IF(OR(SUMIFS(K$5:K$639,$A$5:$A$639,$A204,$C$5:$C$639,$C204-1,$D$5:$D$639,$D204)=0,K204*SUMIFS(K$5:K$639,$A$5:$A$639,$A204,$C$5:$C$639,$C204-1,$D$5:$D$639,$D204)&lt;0),"n.s.",ABS(K204)/ABS(SUMIFS(K$5:K$639,$A$5:$A$639,$A204,$C$5:$C$639,$C204-1,$D$5:$D$639,$D204))-1)))</f>
        <v/>
      </c>
      <c r="T204" s="16">
        <f>IF(OR($A204="",L204="",$C204=""),"",IF(COUNTIFS($A$5:$A$639,$A204,$C$5:$C$639,$C204-1,$D$5:$D$639,$D204,L$5:L$639,"&lt;&gt;")=0,"",IF(OR(SUMIFS(L$5:L$639,$A$5:$A$639,$A204,$C$5:$C$639,$C204-1,$D$5:$D$639,$D204)=0,L204*SUMIFS(L$5:L$639,$A$5:$A$639,$A204,$C$5:$C$639,$C204-1,$D$5:$D$639,$D204)&lt;0),"n.s.",ABS(L204)/ABS(SUMIFS(L$5:L$639,$A$5:$A$639,$A204,$C$5:$C$639,$C204-1,$D$5:$D$639,$D204))-1)))</f>
        <v/>
      </c>
      <c r="U204" s="16">
        <f>IF(OR($A204="",M204="",$C204=""),"",IF(COUNTIFS($A$5:$A$639,$A204,$C$5:$C$639,$C204-1,$D$5:$D$639,$D204,M$5:M$639,"&lt;&gt;")=0,"",IF(OR(SUMIFS(M$5:M$639,$A$5:$A$639,$A204,$C$5:$C$639,$C204-1,$D$5:$D$639,$D204)=0,M204*SUMIFS(M$5:M$639,$A$5:$A$639,$A204,$C$5:$C$639,$C204-1,$D$5:$D$639,$D204)&lt;0),"n.s.",ABS(M204)/ABS(SUMIFS(M$5:M$639,$A$5:$A$639,$A204,$C$5:$C$639,$C204-1,$D$5:$D$639,$D204))-1)))</f>
        <v/>
      </c>
    </row>
    <row r="205">
      <c r="A205" s="9" t="inlineStr">
        <is>
          <t>CFAC</t>
        </is>
      </c>
      <c r="B205" s="10">
        <f>IF(A205="","",IFERROR(VLOOKUP(A205,Titres!$A$2:$B$400,2,FALSE),"Ticker inconnu"))</f>
        <v/>
      </c>
      <c r="C205" s="11" t="n">
        <v>2021</v>
      </c>
      <c r="D205" s="11" t="inlineStr">
        <is>
          <t>T3</t>
        </is>
      </c>
      <c r="E205" s="9" t="n"/>
      <c r="F205" s="12" t="n"/>
      <c r="G205" s="9" t="n"/>
      <c r="H205" s="13" t="n"/>
      <c r="I205" s="13" t="n"/>
      <c r="J205" s="13" t="n"/>
      <c r="K205" s="13" t="n"/>
      <c r="L205" s="13" t="n"/>
      <c r="M205" s="13" t="n"/>
      <c r="N205" s="14">
        <f>IF(A205="","",COUNT(H205:M205)/6)</f>
        <v/>
      </c>
      <c r="O205" s="15">
        <f>IF(COUNT(H205:M205)=0,"",IF(LEN(IF(COUNT(I205,J205)=2,IF(J205&gt;I205+1,"EBE &gt; VA ",""),"")&amp;IF(COUNT(H205,M205)=2,IF(ABS(M205)&gt;ABS(H205),"RN &gt; CA ",""),"")&amp;IF(COUNT(H205,K205)=2,IF(ABS(K205)&gt;ABS(H205),"RE &gt; CA ",""),""))=0,"OK",IF(COUNT(I205,J205)=2,IF(J205&gt;I205+1,"EBE &gt; VA ",""),"")&amp;IF(COUNT(H205,M205)=2,IF(ABS(M205)&gt;ABS(H205),"RN &gt; CA ",""),"")&amp;IF(COUNT(H205,K205)=2,IF(ABS(K205)&gt;ABS(H205),"RE &gt; CA ",""),"")))</f>
        <v/>
      </c>
      <c r="P205" s="16">
        <f>IF(OR($A205="",H205="",$C205=""),"",IF(COUNTIFS($A$5:$A$639,$A205,$C$5:$C$639,$C205-1,$D$5:$D$639,$D205,H$5:H$639,"&lt;&gt;")=0,"",IF(OR(SUMIFS(H$5:H$639,$A$5:$A$639,$A205,$C$5:$C$639,$C205-1,$D$5:$D$639,$D205)=0,H205*SUMIFS(H$5:H$639,$A$5:$A$639,$A205,$C$5:$C$639,$C205-1,$D$5:$D$639,$D205)&lt;0),"n.s.",ABS(H205)/ABS(SUMIFS(H$5:H$639,$A$5:$A$639,$A205,$C$5:$C$639,$C205-1,$D$5:$D$639,$D205))-1)))</f>
        <v/>
      </c>
      <c r="Q205" s="16">
        <f>IF(OR($A205="",I205="",$C205=""),"",IF(COUNTIFS($A$5:$A$639,$A205,$C$5:$C$639,$C205-1,$D$5:$D$639,$D205,I$5:I$639,"&lt;&gt;")=0,"",IF(OR(SUMIFS(I$5:I$639,$A$5:$A$639,$A205,$C$5:$C$639,$C205-1,$D$5:$D$639,$D205)=0,I205*SUMIFS(I$5:I$639,$A$5:$A$639,$A205,$C$5:$C$639,$C205-1,$D$5:$D$639,$D205)&lt;0),"n.s.",ABS(I205)/ABS(SUMIFS(I$5:I$639,$A$5:$A$639,$A205,$C$5:$C$639,$C205-1,$D$5:$D$639,$D205))-1)))</f>
        <v/>
      </c>
      <c r="R205" s="16">
        <f>IF(OR($A205="",J205="",$C205=""),"",IF(COUNTIFS($A$5:$A$639,$A205,$C$5:$C$639,$C205-1,$D$5:$D$639,$D205,J$5:J$639,"&lt;&gt;")=0,"",IF(OR(SUMIFS(J$5:J$639,$A$5:$A$639,$A205,$C$5:$C$639,$C205-1,$D$5:$D$639,$D205)=0,J205*SUMIFS(J$5:J$639,$A$5:$A$639,$A205,$C$5:$C$639,$C205-1,$D$5:$D$639,$D205)&lt;0),"n.s.",ABS(J205)/ABS(SUMIFS(J$5:J$639,$A$5:$A$639,$A205,$C$5:$C$639,$C205-1,$D$5:$D$639,$D205))-1)))</f>
        <v/>
      </c>
      <c r="S205" s="16">
        <f>IF(OR($A205="",K205="",$C205=""),"",IF(COUNTIFS($A$5:$A$639,$A205,$C$5:$C$639,$C205-1,$D$5:$D$639,$D205,K$5:K$639,"&lt;&gt;")=0,"",IF(OR(SUMIFS(K$5:K$639,$A$5:$A$639,$A205,$C$5:$C$639,$C205-1,$D$5:$D$639,$D205)=0,K205*SUMIFS(K$5:K$639,$A$5:$A$639,$A205,$C$5:$C$639,$C205-1,$D$5:$D$639,$D205)&lt;0),"n.s.",ABS(K205)/ABS(SUMIFS(K$5:K$639,$A$5:$A$639,$A205,$C$5:$C$639,$C205-1,$D$5:$D$639,$D205))-1)))</f>
        <v/>
      </c>
      <c r="T205" s="16">
        <f>IF(OR($A205="",L205="",$C205=""),"",IF(COUNTIFS($A$5:$A$639,$A205,$C$5:$C$639,$C205-1,$D$5:$D$639,$D205,L$5:L$639,"&lt;&gt;")=0,"",IF(OR(SUMIFS(L$5:L$639,$A$5:$A$639,$A205,$C$5:$C$639,$C205-1,$D$5:$D$639,$D205)=0,L205*SUMIFS(L$5:L$639,$A$5:$A$639,$A205,$C$5:$C$639,$C205-1,$D$5:$D$639,$D205)&lt;0),"n.s.",ABS(L205)/ABS(SUMIFS(L$5:L$639,$A$5:$A$639,$A205,$C$5:$C$639,$C205-1,$D$5:$D$639,$D205))-1)))</f>
        <v/>
      </c>
      <c r="U205" s="16">
        <f>IF(OR($A205="",M205="",$C205=""),"",IF(COUNTIFS($A$5:$A$639,$A205,$C$5:$C$639,$C205-1,$D$5:$D$639,$D205,M$5:M$639,"&lt;&gt;")=0,"",IF(OR(SUMIFS(M$5:M$639,$A$5:$A$639,$A205,$C$5:$C$639,$C205-1,$D$5:$D$639,$D205)=0,M205*SUMIFS(M$5:M$639,$A$5:$A$639,$A205,$C$5:$C$639,$C205-1,$D$5:$D$639,$D205)&lt;0),"n.s.",ABS(M205)/ABS(SUMIFS(M$5:M$639,$A$5:$A$639,$A205,$C$5:$C$639,$C205-1,$D$5:$D$639,$D205))-1)))</f>
        <v/>
      </c>
    </row>
    <row r="206">
      <c r="A206" s="9" t="inlineStr">
        <is>
          <t>CFAC</t>
        </is>
      </c>
      <c r="B206" s="10">
        <f>IF(A206="","",IFERROR(VLOOKUP(A206,Titres!$A$2:$B$400,2,FALSE),"Ticker inconnu"))</f>
        <v/>
      </c>
      <c r="C206" s="11" t="n">
        <v>2022</v>
      </c>
      <c r="D206" s="11" t="inlineStr">
        <is>
          <t>T1</t>
        </is>
      </c>
      <c r="E206" s="9" t="n"/>
      <c r="F206" s="12" t="n"/>
      <c r="G206" s="9" t="n"/>
      <c r="H206" s="13" t="n"/>
      <c r="I206" s="13" t="n"/>
      <c r="J206" s="13" t="n"/>
      <c r="K206" s="13" t="n"/>
      <c r="L206" s="13" t="n"/>
      <c r="M206" s="13" t="n"/>
      <c r="N206" s="14">
        <f>IF(A206="","",COUNT(H206:M206)/6)</f>
        <v/>
      </c>
      <c r="O206" s="15">
        <f>IF(COUNT(H206:M206)=0,"",IF(LEN(IF(COUNT(I206,J206)=2,IF(J206&gt;I206+1,"EBE &gt; VA ",""),"")&amp;IF(COUNT(H206,M206)=2,IF(ABS(M206)&gt;ABS(H206),"RN &gt; CA ",""),"")&amp;IF(COUNT(H206,K206)=2,IF(ABS(K206)&gt;ABS(H206),"RE &gt; CA ",""),""))=0,"OK",IF(COUNT(I206,J206)=2,IF(J206&gt;I206+1,"EBE &gt; VA ",""),"")&amp;IF(COUNT(H206,M206)=2,IF(ABS(M206)&gt;ABS(H206),"RN &gt; CA ",""),"")&amp;IF(COUNT(H206,K206)=2,IF(ABS(K206)&gt;ABS(H206),"RE &gt; CA ",""),"")))</f>
        <v/>
      </c>
      <c r="P206" s="16">
        <f>IF(OR($A206="",H206="",$C206=""),"",IF(COUNTIFS($A$5:$A$639,$A206,$C$5:$C$639,$C206-1,$D$5:$D$639,$D206,H$5:H$639,"&lt;&gt;")=0,"",IF(OR(SUMIFS(H$5:H$639,$A$5:$A$639,$A206,$C$5:$C$639,$C206-1,$D$5:$D$639,$D206)=0,H206*SUMIFS(H$5:H$639,$A$5:$A$639,$A206,$C$5:$C$639,$C206-1,$D$5:$D$639,$D206)&lt;0),"n.s.",ABS(H206)/ABS(SUMIFS(H$5:H$639,$A$5:$A$639,$A206,$C$5:$C$639,$C206-1,$D$5:$D$639,$D206))-1)))</f>
        <v/>
      </c>
      <c r="Q206" s="16">
        <f>IF(OR($A206="",I206="",$C206=""),"",IF(COUNTIFS($A$5:$A$639,$A206,$C$5:$C$639,$C206-1,$D$5:$D$639,$D206,I$5:I$639,"&lt;&gt;")=0,"",IF(OR(SUMIFS(I$5:I$639,$A$5:$A$639,$A206,$C$5:$C$639,$C206-1,$D$5:$D$639,$D206)=0,I206*SUMIFS(I$5:I$639,$A$5:$A$639,$A206,$C$5:$C$639,$C206-1,$D$5:$D$639,$D206)&lt;0),"n.s.",ABS(I206)/ABS(SUMIFS(I$5:I$639,$A$5:$A$639,$A206,$C$5:$C$639,$C206-1,$D$5:$D$639,$D206))-1)))</f>
        <v/>
      </c>
      <c r="R206" s="16">
        <f>IF(OR($A206="",J206="",$C206=""),"",IF(COUNTIFS($A$5:$A$639,$A206,$C$5:$C$639,$C206-1,$D$5:$D$639,$D206,J$5:J$639,"&lt;&gt;")=0,"",IF(OR(SUMIFS(J$5:J$639,$A$5:$A$639,$A206,$C$5:$C$639,$C206-1,$D$5:$D$639,$D206)=0,J206*SUMIFS(J$5:J$639,$A$5:$A$639,$A206,$C$5:$C$639,$C206-1,$D$5:$D$639,$D206)&lt;0),"n.s.",ABS(J206)/ABS(SUMIFS(J$5:J$639,$A$5:$A$639,$A206,$C$5:$C$639,$C206-1,$D$5:$D$639,$D206))-1)))</f>
        <v/>
      </c>
      <c r="S206" s="16">
        <f>IF(OR($A206="",K206="",$C206=""),"",IF(COUNTIFS($A$5:$A$639,$A206,$C$5:$C$639,$C206-1,$D$5:$D$639,$D206,K$5:K$639,"&lt;&gt;")=0,"",IF(OR(SUMIFS(K$5:K$639,$A$5:$A$639,$A206,$C$5:$C$639,$C206-1,$D$5:$D$639,$D206)=0,K206*SUMIFS(K$5:K$639,$A$5:$A$639,$A206,$C$5:$C$639,$C206-1,$D$5:$D$639,$D206)&lt;0),"n.s.",ABS(K206)/ABS(SUMIFS(K$5:K$639,$A$5:$A$639,$A206,$C$5:$C$639,$C206-1,$D$5:$D$639,$D206))-1)))</f>
        <v/>
      </c>
      <c r="T206" s="16">
        <f>IF(OR($A206="",L206="",$C206=""),"",IF(COUNTIFS($A$5:$A$639,$A206,$C$5:$C$639,$C206-1,$D$5:$D$639,$D206,L$5:L$639,"&lt;&gt;")=0,"",IF(OR(SUMIFS(L$5:L$639,$A$5:$A$639,$A206,$C$5:$C$639,$C206-1,$D$5:$D$639,$D206)=0,L206*SUMIFS(L$5:L$639,$A$5:$A$639,$A206,$C$5:$C$639,$C206-1,$D$5:$D$639,$D206)&lt;0),"n.s.",ABS(L206)/ABS(SUMIFS(L$5:L$639,$A$5:$A$639,$A206,$C$5:$C$639,$C206-1,$D$5:$D$639,$D206))-1)))</f>
        <v/>
      </c>
      <c r="U206" s="16">
        <f>IF(OR($A206="",M206="",$C206=""),"",IF(COUNTIFS($A$5:$A$639,$A206,$C$5:$C$639,$C206-1,$D$5:$D$639,$D206,M$5:M$639,"&lt;&gt;")=0,"",IF(OR(SUMIFS(M$5:M$639,$A$5:$A$639,$A206,$C$5:$C$639,$C206-1,$D$5:$D$639,$D206)=0,M206*SUMIFS(M$5:M$639,$A$5:$A$639,$A206,$C$5:$C$639,$C206-1,$D$5:$D$639,$D206)&lt;0),"n.s.",ABS(M206)/ABS(SUMIFS(M$5:M$639,$A$5:$A$639,$A206,$C$5:$C$639,$C206-1,$D$5:$D$639,$D206))-1)))</f>
        <v/>
      </c>
    </row>
    <row r="207">
      <c r="A207" s="9" t="inlineStr">
        <is>
          <t>CFAC</t>
        </is>
      </c>
      <c r="B207" s="10">
        <f>IF(A207="","",IFERROR(VLOOKUP(A207,Titres!$A$2:$B$400,2,FALSE),"Ticker inconnu"))</f>
        <v/>
      </c>
      <c r="C207" s="11" t="n">
        <v>2022</v>
      </c>
      <c r="D207" s="11" t="inlineStr">
        <is>
          <t>S1</t>
        </is>
      </c>
      <c r="E207" s="9" t="n"/>
      <c r="F207" s="12" t="n"/>
      <c r="G207" s="9" t="n"/>
      <c r="H207" s="13" t="n"/>
      <c r="I207" s="13" t="n"/>
      <c r="J207" s="13" t="n"/>
      <c r="K207" s="13" t="n"/>
      <c r="L207" s="13" t="n"/>
      <c r="M207" s="13" t="n"/>
      <c r="N207" s="14">
        <f>IF(A207="","",COUNT(H207:M207)/6)</f>
        <v/>
      </c>
      <c r="O207" s="15">
        <f>IF(COUNT(H207:M207)=0,"",IF(LEN(IF(COUNT(I207,J207)=2,IF(J207&gt;I207+1,"EBE &gt; VA ",""),"")&amp;IF(COUNT(H207,M207)=2,IF(ABS(M207)&gt;ABS(H207),"RN &gt; CA ",""),"")&amp;IF(COUNT(H207,K207)=2,IF(ABS(K207)&gt;ABS(H207),"RE &gt; CA ",""),""))=0,"OK",IF(COUNT(I207,J207)=2,IF(J207&gt;I207+1,"EBE &gt; VA ",""),"")&amp;IF(COUNT(H207,M207)=2,IF(ABS(M207)&gt;ABS(H207),"RN &gt; CA ",""),"")&amp;IF(COUNT(H207,K207)=2,IF(ABS(K207)&gt;ABS(H207),"RE &gt; CA ",""),"")))</f>
        <v/>
      </c>
      <c r="P207" s="16">
        <f>IF(OR($A207="",H207="",$C207=""),"",IF(COUNTIFS($A$5:$A$639,$A207,$C$5:$C$639,$C207-1,$D$5:$D$639,$D207,H$5:H$639,"&lt;&gt;")=0,"",IF(OR(SUMIFS(H$5:H$639,$A$5:$A$639,$A207,$C$5:$C$639,$C207-1,$D$5:$D$639,$D207)=0,H207*SUMIFS(H$5:H$639,$A$5:$A$639,$A207,$C$5:$C$639,$C207-1,$D$5:$D$639,$D207)&lt;0),"n.s.",ABS(H207)/ABS(SUMIFS(H$5:H$639,$A$5:$A$639,$A207,$C$5:$C$639,$C207-1,$D$5:$D$639,$D207))-1)))</f>
        <v/>
      </c>
      <c r="Q207" s="16">
        <f>IF(OR($A207="",I207="",$C207=""),"",IF(COUNTIFS($A$5:$A$639,$A207,$C$5:$C$639,$C207-1,$D$5:$D$639,$D207,I$5:I$639,"&lt;&gt;")=0,"",IF(OR(SUMIFS(I$5:I$639,$A$5:$A$639,$A207,$C$5:$C$639,$C207-1,$D$5:$D$639,$D207)=0,I207*SUMIFS(I$5:I$639,$A$5:$A$639,$A207,$C$5:$C$639,$C207-1,$D$5:$D$639,$D207)&lt;0),"n.s.",ABS(I207)/ABS(SUMIFS(I$5:I$639,$A$5:$A$639,$A207,$C$5:$C$639,$C207-1,$D$5:$D$639,$D207))-1)))</f>
        <v/>
      </c>
      <c r="R207" s="16">
        <f>IF(OR($A207="",J207="",$C207=""),"",IF(COUNTIFS($A$5:$A$639,$A207,$C$5:$C$639,$C207-1,$D$5:$D$639,$D207,J$5:J$639,"&lt;&gt;")=0,"",IF(OR(SUMIFS(J$5:J$639,$A$5:$A$639,$A207,$C$5:$C$639,$C207-1,$D$5:$D$639,$D207)=0,J207*SUMIFS(J$5:J$639,$A$5:$A$639,$A207,$C$5:$C$639,$C207-1,$D$5:$D$639,$D207)&lt;0),"n.s.",ABS(J207)/ABS(SUMIFS(J$5:J$639,$A$5:$A$639,$A207,$C$5:$C$639,$C207-1,$D$5:$D$639,$D207))-1)))</f>
        <v/>
      </c>
      <c r="S207" s="16">
        <f>IF(OR($A207="",K207="",$C207=""),"",IF(COUNTIFS($A$5:$A$639,$A207,$C$5:$C$639,$C207-1,$D$5:$D$639,$D207,K$5:K$639,"&lt;&gt;")=0,"",IF(OR(SUMIFS(K$5:K$639,$A$5:$A$639,$A207,$C$5:$C$639,$C207-1,$D$5:$D$639,$D207)=0,K207*SUMIFS(K$5:K$639,$A$5:$A$639,$A207,$C$5:$C$639,$C207-1,$D$5:$D$639,$D207)&lt;0),"n.s.",ABS(K207)/ABS(SUMIFS(K$5:K$639,$A$5:$A$639,$A207,$C$5:$C$639,$C207-1,$D$5:$D$639,$D207))-1)))</f>
        <v/>
      </c>
      <c r="T207" s="16">
        <f>IF(OR($A207="",L207="",$C207=""),"",IF(COUNTIFS($A$5:$A$639,$A207,$C$5:$C$639,$C207-1,$D$5:$D$639,$D207,L$5:L$639,"&lt;&gt;")=0,"",IF(OR(SUMIFS(L$5:L$639,$A$5:$A$639,$A207,$C$5:$C$639,$C207-1,$D$5:$D$639,$D207)=0,L207*SUMIFS(L$5:L$639,$A$5:$A$639,$A207,$C$5:$C$639,$C207-1,$D$5:$D$639,$D207)&lt;0),"n.s.",ABS(L207)/ABS(SUMIFS(L$5:L$639,$A$5:$A$639,$A207,$C$5:$C$639,$C207-1,$D$5:$D$639,$D207))-1)))</f>
        <v/>
      </c>
      <c r="U207" s="16">
        <f>IF(OR($A207="",M207="",$C207=""),"",IF(COUNTIFS($A$5:$A$639,$A207,$C$5:$C$639,$C207-1,$D$5:$D$639,$D207,M$5:M$639,"&lt;&gt;")=0,"",IF(OR(SUMIFS(M$5:M$639,$A$5:$A$639,$A207,$C$5:$C$639,$C207-1,$D$5:$D$639,$D207)=0,M207*SUMIFS(M$5:M$639,$A$5:$A$639,$A207,$C$5:$C$639,$C207-1,$D$5:$D$639,$D207)&lt;0),"n.s.",ABS(M207)/ABS(SUMIFS(M$5:M$639,$A$5:$A$639,$A207,$C$5:$C$639,$C207-1,$D$5:$D$639,$D207))-1)))</f>
        <v/>
      </c>
    </row>
    <row r="208">
      <c r="A208" s="9" t="inlineStr">
        <is>
          <t>CFAC</t>
        </is>
      </c>
      <c r="B208" s="10">
        <f>IF(A208="","",IFERROR(VLOOKUP(A208,Titres!$A$2:$B$400,2,FALSE),"Ticker inconnu"))</f>
        <v/>
      </c>
      <c r="C208" s="11" t="n">
        <v>2022</v>
      </c>
      <c r="D208" s="11" t="inlineStr">
        <is>
          <t>T3</t>
        </is>
      </c>
      <c r="E208" s="9" t="n"/>
      <c r="F208" s="12" t="n"/>
      <c r="G208" s="9" t="n"/>
      <c r="H208" s="13" t="n"/>
      <c r="I208" s="13" t="n"/>
      <c r="J208" s="13" t="n"/>
      <c r="K208" s="13" t="n"/>
      <c r="L208" s="13" t="n"/>
      <c r="M208" s="13" t="n"/>
      <c r="N208" s="14">
        <f>IF(A208="","",COUNT(H208:M208)/6)</f>
        <v/>
      </c>
      <c r="O208" s="15">
        <f>IF(COUNT(H208:M208)=0,"",IF(LEN(IF(COUNT(I208,J208)=2,IF(J208&gt;I208+1,"EBE &gt; VA ",""),"")&amp;IF(COUNT(H208,M208)=2,IF(ABS(M208)&gt;ABS(H208),"RN &gt; CA ",""),"")&amp;IF(COUNT(H208,K208)=2,IF(ABS(K208)&gt;ABS(H208),"RE &gt; CA ",""),""))=0,"OK",IF(COUNT(I208,J208)=2,IF(J208&gt;I208+1,"EBE &gt; VA ",""),"")&amp;IF(COUNT(H208,M208)=2,IF(ABS(M208)&gt;ABS(H208),"RN &gt; CA ",""),"")&amp;IF(COUNT(H208,K208)=2,IF(ABS(K208)&gt;ABS(H208),"RE &gt; CA ",""),"")))</f>
        <v/>
      </c>
      <c r="P208" s="16">
        <f>IF(OR($A208="",H208="",$C208=""),"",IF(COUNTIFS($A$5:$A$639,$A208,$C$5:$C$639,$C208-1,$D$5:$D$639,$D208,H$5:H$639,"&lt;&gt;")=0,"",IF(OR(SUMIFS(H$5:H$639,$A$5:$A$639,$A208,$C$5:$C$639,$C208-1,$D$5:$D$639,$D208)=0,H208*SUMIFS(H$5:H$639,$A$5:$A$639,$A208,$C$5:$C$639,$C208-1,$D$5:$D$639,$D208)&lt;0),"n.s.",ABS(H208)/ABS(SUMIFS(H$5:H$639,$A$5:$A$639,$A208,$C$5:$C$639,$C208-1,$D$5:$D$639,$D208))-1)))</f>
        <v/>
      </c>
      <c r="Q208" s="16">
        <f>IF(OR($A208="",I208="",$C208=""),"",IF(COUNTIFS($A$5:$A$639,$A208,$C$5:$C$639,$C208-1,$D$5:$D$639,$D208,I$5:I$639,"&lt;&gt;")=0,"",IF(OR(SUMIFS(I$5:I$639,$A$5:$A$639,$A208,$C$5:$C$639,$C208-1,$D$5:$D$639,$D208)=0,I208*SUMIFS(I$5:I$639,$A$5:$A$639,$A208,$C$5:$C$639,$C208-1,$D$5:$D$639,$D208)&lt;0),"n.s.",ABS(I208)/ABS(SUMIFS(I$5:I$639,$A$5:$A$639,$A208,$C$5:$C$639,$C208-1,$D$5:$D$639,$D208))-1)))</f>
        <v/>
      </c>
      <c r="R208" s="16">
        <f>IF(OR($A208="",J208="",$C208=""),"",IF(COUNTIFS($A$5:$A$639,$A208,$C$5:$C$639,$C208-1,$D$5:$D$639,$D208,J$5:J$639,"&lt;&gt;")=0,"",IF(OR(SUMIFS(J$5:J$639,$A$5:$A$639,$A208,$C$5:$C$639,$C208-1,$D$5:$D$639,$D208)=0,J208*SUMIFS(J$5:J$639,$A$5:$A$639,$A208,$C$5:$C$639,$C208-1,$D$5:$D$639,$D208)&lt;0),"n.s.",ABS(J208)/ABS(SUMIFS(J$5:J$639,$A$5:$A$639,$A208,$C$5:$C$639,$C208-1,$D$5:$D$639,$D208))-1)))</f>
        <v/>
      </c>
      <c r="S208" s="16">
        <f>IF(OR($A208="",K208="",$C208=""),"",IF(COUNTIFS($A$5:$A$639,$A208,$C$5:$C$639,$C208-1,$D$5:$D$639,$D208,K$5:K$639,"&lt;&gt;")=0,"",IF(OR(SUMIFS(K$5:K$639,$A$5:$A$639,$A208,$C$5:$C$639,$C208-1,$D$5:$D$639,$D208)=0,K208*SUMIFS(K$5:K$639,$A$5:$A$639,$A208,$C$5:$C$639,$C208-1,$D$5:$D$639,$D208)&lt;0),"n.s.",ABS(K208)/ABS(SUMIFS(K$5:K$639,$A$5:$A$639,$A208,$C$5:$C$639,$C208-1,$D$5:$D$639,$D208))-1)))</f>
        <v/>
      </c>
      <c r="T208" s="16">
        <f>IF(OR($A208="",L208="",$C208=""),"",IF(COUNTIFS($A$5:$A$639,$A208,$C$5:$C$639,$C208-1,$D$5:$D$639,$D208,L$5:L$639,"&lt;&gt;")=0,"",IF(OR(SUMIFS(L$5:L$639,$A$5:$A$639,$A208,$C$5:$C$639,$C208-1,$D$5:$D$639,$D208)=0,L208*SUMIFS(L$5:L$639,$A$5:$A$639,$A208,$C$5:$C$639,$C208-1,$D$5:$D$639,$D208)&lt;0),"n.s.",ABS(L208)/ABS(SUMIFS(L$5:L$639,$A$5:$A$639,$A208,$C$5:$C$639,$C208-1,$D$5:$D$639,$D208))-1)))</f>
        <v/>
      </c>
      <c r="U208" s="16">
        <f>IF(OR($A208="",M208="",$C208=""),"",IF(COUNTIFS($A$5:$A$639,$A208,$C$5:$C$639,$C208-1,$D$5:$D$639,$D208,M$5:M$639,"&lt;&gt;")=0,"",IF(OR(SUMIFS(M$5:M$639,$A$5:$A$639,$A208,$C$5:$C$639,$C208-1,$D$5:$D$639,$D208)=0,M208*SUMIFS(M$5:M$639,$A$5:$A$639,$A208,$C$5:$C$639,$C208-1,$D$5:$D$639,$D208)&lt;0),"n.s.",ABS(M208)/ABS(SUMIFS(M$5:M$639,$A$5:$A$639,$A208,$C$5:$C$639,$C208-1,$D$5:$D$639,$D208))-1)))</f>
        <v/>
      </c>
    </row>
    <row r="209">
      <c r="A209" s="9" t="inlineStr">
        <is>
          <t>CFAC</t>
        </is>
      </c>
      <c r="B209" s="10">
        <f>IF(A209="","",IFERROR(VLOOKUP(A209,Titres!$A$2:$B$400,2,FALSE),"Ticker inconnu"))</f>
        <v/>
      </c>
      <c r="C209" s="11" t="n">
        <v>2023</v>
      </c>
      <c r="D209" s="11" t="inlineStr">
        <is>
          <t>T1</t>
        </is>
      </c>
      <c r="E209" s="9" t="n"/>
      <c r="F209" s="12" t="n"/>
      <c r="G209" s="9" t="n"/>
      <c r="H209" s="13" t="n"/>
      <c r="I209" s="13" t="n"/>
      <c r="J209" s="13" t="n"/>
      <c r="K209" s="13" t="n"/>
      <c r="L209" s="13" t="n"/>
      <c r="M209" s="13" t="n"/>
      <c r="N209" s="14">
        <f>IF(A209="","",COUNT(H209:M209)/6)</f>
        <v/>
      </c>
      <c r="O209" s="15">
        <f>IF(COUNT(H209:M209)=0,"",IF(LEN(IF(COUNT(I209,J209)=2,IF(J209&gt;I209+1,"EBE &gt; VA ",""),"")&amp;IF(COUNT(H209,M209)=2,IF(ABS(M209)&gt;ABS(H209),"RN &gt; CA ",""),"")&amp;IF(COUNT(H209,K209)=2,IF(ABS(K209)&gt;ABS(H209),"RE &gt; CA ",""),""))=0,"OK",IF(COUNT(I209,J209)=2,IF(J209&gt;I209+1,"EBE &gt; VA ",""),"")&amp;IF(COUNT(H209,M209)=2,IF(ABS(M209)&gt;ABS(H209),"RN &gt; CA ",""),"")&amp;IF(COUNT(H209,K209)=2,IF(ABS(K209)&gt;ABS(H209),"RE &gt; CA ",""),"")))</f>
        <v/>
      </c>
      <c r="P209" s="16">
        <f>IF(OR($A209="",H209="",$C209=""),"",IF(COUNTIFS($A$5:$A$639,$A209,$C$5:$C$639,$C209-1,$D$5:$D$639,$D209,H$5:H$639,"&lt;&gt;")=0,"",IF(OR(SUMIFS(H$5:H$639,$A$5:$A$639,$A209,$C$5:$C$639,$C209-1,$D$5:$D$639,$D209)=0,H209*SUMIFS(H$5:H$639,$A$5:$A$639,$A209,$C$5:$C$639,$C209-1,$D$5:$D$639,$D209)&lt;0),"n.s.",ABS(H209)/ABS(SUMIFS(H$5:H$639,$A$5:$A$639,$A209,$C$5:$C$639,$C209-1,$D$5:$D$639,$D209))-1)))</f>
        <v/>
      </c>
      <c r="Q209" s="16">
        <f>IF(OR($A209="",I209="",$C209=""),"",IF(COUNTIFS($A$5:$A$639,$A209,$C$5:$C$639,$C209-1,$D$5:$D$639,$D209,I$5:I$639,"&lt;&gt;")=0,"",IF(OR(SUMIFS(I$5:I$639,$A$5:$A$639,$A209,$C$5:$C$639,$C209-1,$D$5:$D$639,$D209)=0,I209*SUMIFS(I$5:I$639,$A$5:$A$639,$A209,$C$5:$C$639,$C209-1,$D$5:$D$639,$D209)&lt;0),"n.s.",ABS(I209)/ABS(SUMIFS(I$5:I$639,$A$5:$A$639,$A209,$C$5:$C$639,$C209-1,$D$5:$D$639,$D209))-1)))</f>
        <v/>
      </c>
      <c r="R209" s="16">
        <f>IF(OR($A209="",J209="",$C209=""),"",IF(COUNTIFS($A$5:$A$639,$A209,$C$5:$C$639,$C209-1,$D$5:$D$639,$D209,J$5:J$639,"&lt;&gt;")=0,"",IF(OR(SUMIFS(J$5:J$639,$A$5:$A$639,$A209,$C$5:$C$639,$C209-1,$D$5:$D$639,$D209)=0,J209*SUMIFS(J$5:J$639,$A$5:$A$639,$A209,$C$5:$C$639,$C209-1,$D$5:$D$639,$D209)&lt;0),"n.s.",ABS(J209)/ABS(SUMIFS(J$5:J$639,$A$5:$A$639,$A209,$C$5:$C$639,$C209-1,$D$5:$D$639,$D209))-1)))</f>
        <v/>
      </c>
      <c r="S209" s="16">
        <f>IF(OR($A209="",K209="",$C209=""),"",IF(COUNTIFS($A$5:$A$639,$A209,$C$5:$C$639,$C209-1,$D$5:$D$639,$D209,K$5:K$639,"&lt;&gt;")=0,"",IF(OR(SUMIFS(K$5:K$639,$A$5:$A$639,$A209,$C$5:$C$639,$C209-1,$D$5:$D$639,$D209)=0,K209*SUMIFS(K$5:K$639,$A$5:$A$639,$A209,$C$5:$C$639,$C209-1,$D$5:$D$639,$D209)&lt;0),"n.s.",ABS(K209)/ABS(SUMIFS(K$5:K$639,$A$5:$A$639,$A209,$C$5:$C$639,$C209-1,$D$5:$D$639,$D209))-1)))</f>
        <v/>
      </c>
      <c r="T209" s="16">
        <f>IF(OR($A209="",L209="",$C209=""),"",IF(COUNTIFS($A$5:$A$639,$A209,$C$5:$C$639,$C209-1,$D$5:$D$639,$D209,L$5:L$639,"&lt;&gt;")=0,"",IF(OR(SUMIFS(L$5:L$639,$A$5:$A$639,$A209,$C$5:$C$639,$C209-1,$D$5:$D$639,$D209)=0,L209*SUMIFS(L$5:L$639,$A$5:$A$639,$A209,$C$5:$C$639,$C209-1,$D$5:$D$639,$D209)&lt;0),"n.s.",ABS(L209)/ABS(SUMIFS(L$5:L$639,$A$5:$A$639,$A209,$C$5:$C$639,$C209-1,$D$5:$D$639,$D209))-1)))</f>
        <v/>
      </c>
      <c r="U209" s="16">
        <f>IF(OR($A209="",M209="",$C209=""),"",IF(COUNTIFS($A$5:$A$639,$A209,$C$5:$C$639,$C209-1,$D$5:$D$639,$D209,M$5:M$639,"&lt;&gt;")=0,"",IF(OR(SUMIFS(M$5:M$639,$A$5:$A$639,$A209,$C$5:$C$639,$C209-1,$D$5:$D$639,$D209)=0,M209*SUMIFS(M$5:M$639,$A$5:$A$639,$A209,$C$5:$C$639,$C209-1,$D$5:$D$639,$D209)&lt;0),"n.s.",ABS(M209)/ABS(SUMIFS(M$5:M$639,$A$5:$A$639,$A209,$C$5:$C$639,$C209-1,$D$5:$D$639,$D209))-1)))</f>
        <v/>
      </c>
    </row>
    <row r="210">
      <c r="A210" s="9" t="inlineStr">
        <is>
          <t>CFAC</t>
        </is>
      </c>
      <c r="B210" s="10">
        <f>IF(A210="","",IFERROR(VLOOKUP(A210,Titres!$A$2:$B$400,2,FALSE),"Ticker inconnu"))</f>
        <v/>
      </c>
      <c r="C210" s="11" t="n">
        <v>2023</v>
      </c>
      <c r="D210" s="11" t="inlineStr">
        <is>
          <t>S1</t>
        </is>
      </c>
      <c r="E210" s="9" t="n"/>
      <c r="F210" s="12" t="n"/>
      <c r="G210" s="9" t="n"/>
      <c r="H210" s="13" t="n"/>
      <c r="I210" s="13" t="n"/>
      <c r="J210" s="13" t="n"/>
      <c r="K210" s="13" t="n"/>
      <c r="L210" s="13" t="n"/>
      <c r="M210" s="13" t="n"/>
      <c r="N210" s="14">
        <f>IF(A210="","",COUNT(H210:M210)/6)</f>
        <v/>
      </c>
      <c r="O210" s="15">
        <f>IF(COUNT(H210:M210)=0,"",IF(LEN(IF(COUNT(I210,J210)=2,IF(J210&gt;I210+1,"EBE &gt; VA ",""),"")&amp;IF(COUNT(H210,M210)=2,IF(ABS(M210)&gt;ABS(H210),"RN &gt; CA ",""),"")&amp;IF(COUNT(H210,K210)=2,IF(ABS(K210)&gt;ABS(H210),"RE &gt; CA ",""),""))=0,"OK",IF(COUNT(I210,J210)=2,IF(J210&gt;I210+1,"EBE &gt; VA ",""),"")&amp;IF(COUNT(H210,M210)=2,IF(ABS(M210)&gt;ABS(H210),"RN &gt; CA ",""),"")&amp;IF(COUNT(H210,K210)=2,IF(ABS(K210)&gt;ABS(H210),"RE &gt; CA ",""),"")))</f>
        <v/>
      </c>
      <c r="P210" s="16">
        <f>IF(OR($A210="",H210="",$C210=""),"",IF(COUNTIFS($A$5:$A$639,$A210,$C$5:$C$639,$C210-1,$D$5:$D$639,$D210,H$5:H$639,"&lt;&gt;")=0,"",IF(OR(SUMIFS(H$5:H$639,$A$5:$A$639,$A210,$C$5:$C$639,$C210-1,$D$5:$D$639,$D210)=0,H210*SUMIFS(H$5:H$639,$A$5:$A$639,$A210,$C$5:$C$639,$C210-1,$D$5:$D$639,$D210)&lt;0),"n.s.",ABS(H210)/ABS(SUMIFS(H$5:H$639,$A$5:$A$639,$A210,$C$5:$C$639,$C210-1,$D$5:$D$639,$D210))-1)))</f>
        <v/>
      </c>
      <c r="Q210" s="16">
        <f>IF(OR($A210="",I210="",$C210=""),"",IF(COUNTIFS($A$5:$A$639,$A210,$C$5:$C$639,$C210-1,$D$5:$D$639,$D210,I$5:I$639,"&lt;&gt;")=0,"",IF(OR(SUMIFS(I$5:I$639,$A$5:$A$639,$A210,$C$5:$C$639,$C210-1,$D$5:$D$639,$D210)=0,I210*SUMIFS(I$5:I$639,$A$5:$A$639,$A210,$C$5:$C$639,$C210-1,$D$5:$D$639,$D210)&lt;0),"n.s.",ABS(I210)/ABS(SUMIFS(I$5:I$639,$A$5:$A$639,$A210,$C$5:$C$639,$C210-1,$D$5:$D$639,$D210))-1)))</f>
        <v/>
      </c>
      <c r="R210" s="16">
        <f>IF(OR($A210="",J210="",$C210=""),"",IF(COUNTIFS($A$5:$A$639,$A210,$C$5:$C$639,$C210-1,$D$5:$D$639,$D210,J$5:J$639,"&lt;&gt;")=0,"",IF(OR(SUMIFS(J$5:J$639,$A$5:$A$639,$A210,$C$5:$C$639,$C210-1,$D$5:$D$639,$D210)=0,J210*SUMIFS(J$5:J$639,$A$5:$A$639,$A210,$C$5:$C$639,$C210-1,$D$5:$D$639,$D210)&lt;0),"n.s.",ABS(J210)/ABS(SUMIFS(J$5:J$639,$A$5:$A$639,$A210,$C$5:$C$639,$C210-1,$D$5:$D$639,$D210))-1)))</f>
        <v/>
      </c>
      <c r="S210" s="16">
        <f>IF(OR($A210="",K210="",$C210=""),"",IF(COUNTIFS($A$5:$A$639,$A210,$C$5:$C$639,$C210-1,$D$5:$D$639,$D210,K$5:K$639,"&lt;&gt;")=0,"",IF(OR(SUMIFS(K$5:K$639,$A$5:$A$639,$A210,$C$5:$C$639,$C210-1,$D$5:$D$639,$D210)=0,K210*SUMIFS(K$5:K$639,$A$5:$A$639,$A210,$C$5:$C$639,$C210-1,$D$5:$D$639,$D210)&lt;0),"n.s.",ABS(K210)/ABS(SUMIFS(K$5:K$639,$A$5:$A$639,$A210,$C$5:$C$639,$C210-1,$D$5:$D$639,$D210))-1)))</f>
        <v/>
      </c>
      <c r="T210" s="16">
        <f>IF(OR($A210="",L210="",$C210=""),"",IF(COUNTIFS($A$5:$A$639,$A210,$C$5:$C$639,$C210-1,$D$5:$D$639,$D210,L$5:L$639,"&lt;&gt;")=0,"",IF(OR(SUMIFS(L$5:L$639,$A$5:$A$639,$A210,$C$5:$C$639,$C210-1,$D$5:$D$639,$D210)=0,L210*SUMIFS(L$5:L$639,$A$5:$A$639,$A210,$C$5:$C$639,$C210-1,$D$5:$D$639,$D210)&lt;0),"n.s.",ABS(L210)/ABS(SUMIFS(L$5:L$639,$A$5:$A$639,$A210,$C$5:$C$639,$C210-1,$D$5:$D$639,$D210))-1)))</f>
        <v/>
      </c>
      <c r="U210" s="16">
        <f>IF(OR($A210="",M210="",$C210=""),"",IF(COUNTIFS($A$5:$A$639,$A210,$C$5:$C$639,$C210-1,$D$5:$D$639,$D210,M$5:M$639,"&lt;&gt;")=0,"",IF(OR(SUMIFS(M$5:M$639,$A$5:$A$639,$A210,$C$5:$C$639,$C210-1,$D$5:$D$639,$D210)=0,M210*SUMIFS(M$5:M$639,$A$5:$A$639,$A210,$C$5:$C$639,$C210-1,$D$5:$D$639,$D210)&lt;0),"n.s.",ABS(M210)/ABS(SUMIFS(M$5:M$639,$A$5:$A$639,$A210,$C$5:$C$639,$C210-1,$D$5:$D$639,$D210))-1)))</f>
        <v/>
      </c>
    </row>
    <row r="211">
      <c r="A211" s="9" t="inlineStr">
        <is>
          <t>CFAC</t>
        </is>
      </c>
      <c r="B211" s="10">
        <f>IF(A211="","",IFERROR(VLOOKUP(A211,Titres!$A$2:$B$400,2,FALSE),"Ticker inconnu"))</f>
        <v/>
      </c>
      <c r="C211" s="11" t="n">
        <v>2023</v>
      </c>
      <c r="D211" s="11" t="inlineStr">
        <is>
          <t>T3</t>
        </is>
      </c>
      <c r="E211" s="9" t="n"/>
      <c r="F211" s="12" t="n"/>
      <c r="G211" s="9" t="n"/>
      <c r="H211" s="13" t="n"/>
      <c r="I211" s="13" t="n"/>
      <c r="J211" s="13" t="n"/>
      <c r="K211" s="13" t="n"/>
      <c r="L211" s="13" t="n"/>
      <c r="M211" s="13" t="n"/>
      <c r="N211" s="14">
        <f>IF(A211="","",COUNT(H211:M211)/6)</f>
        <v/>
      </c>
      <c r="O211" s="15">
        <f>IF(COUNT(H211:M211)=0,"",IF(LEN(IF(COUNT(I211,J211)=2,IF(J211&gt;I211+1,"EBE &gt; VA ",""),"")&amp;IF(COUNT(H211,M211)=2,IF(ABS(M211)&gt;ABS(H211),"RN &gt; CA ",""),"")&amp;IF(COUNT(H211,K211)=2,IF(ABS(K211)&gt;ABS(H211),"RE &gt; CA ",""),""))=0,"OK",IF(COUNT(I211,J211)=2,IF(J211&gt;I211+1,"EBE &gt; VA ",""),"")&amp;IF(COUNT(H211,M211)=2,IF(ABS(M211)&gt;ABS(H211),"RN &gt; CA ",""),"")&amp;IF(COUNT(H211,K211)=2,IF(ABS(K211)&gt;ABS(H211),"RE &gt; CA ",""),"")))</f>
        <v/>
      </c>
      <c r="P211" s="16">
        <f>IF(OR($A211="",H211="",$C211=""),"",IF(COUNTIFS($A$5:$A$639,$A211,$C$5:$C$639,$C211-1,$D$5:$D$639,$D211,H$5:H$639,"&lt;&gt;")=0,"",IF(OR(SUMIFS(H$5:H$639,$A$5:$A$639,$A211,$C$5:$C$639,$C211-1,$D$5:$D$639,$D211)=0,H211*SUMIFS(H$5:H$639,$A$5:$A$639,$A211,$C$5:$C$639,$C211-1,$D$5:$D$639,$D211)&lt;0),"n.s.",ABS(H211)/ABS(SUMIFS(H$5:H$639,$A$5:$A$639,$A211,$C$5:$C$639,$C211-1,$D$5:$D$639,$D211))-1)))</f>
        <v/>
      </c>
      <c r="Q211" s="16">
        <f>IF(OR($A211="",I211="",$C211=""),"",IF(COUNTIFS($A$5:$A$639,$A211,$C$5:$C$639,$C211-1,$D$5:$D$639,$D211,I$5:I$639,"&lt;&gt;")=0,"",IF(OR(SUMIFS(I$5:I$639,$A$5:$A$639,$A211,$C$5:$C$639,$C211-1,$D$5:$D$639,$D211)=0,I211*SUMIFS(I$5:I$639,$A$5:$A$639,$A211,$C$5:$C$639,$C211-1,$D$5:$D$639,$D211)&lt;0),"n.s.",ABS(I211)/ABS(SUMIFS(I$5:I$639,$A$5:$A$639,$A211,$C$5:$C$639,$C211-1,$D$5:$D$639,$D211))-1)))</f>
        <v/>
      </c>
      <c r="R211" s="16">
        <f>IF(OR($A211="",J211="",$C211=""),"",IF(COUNTIFS($A$5:$A$639,$A211,$C$5:$C$639,$C211-1,$D$5:$D$639,$D211,J$5:J$639,"&lt;&gt;")=0,"",IF(OR(SUMIFS(J$5:J$639,$A$5:$A$639,$A211,$C$5:$C$639,$C211-1,$D$5:$D$639,$D211)=0,J211*SUMIFS(J$5:J$639,$A$5:$A$639,$A211,$C$5:$C$639,$C211-1,$D$5:$D$639,$D211)&lt;0),"n.s.",ABS(J211)/ABS(SUMIFS(J$5:J$639,$A$5:$A$639,$A211,$C$5:$C$639,$C211-1,$D$5:$D$639,$D211))-1)))</f>
        <v/>
      </c>
      <c r="S211" s="16">
        <f>IF(OR($A211="",K211="",$C211=""),"",IF(COUNTIFS($A$5:$A$639,$A211,$C$5:$C$639,$C211-1,$D$5:$D$639,$D211,K$5:K$639,"&lt;&gt;")=0,"",IF(OR(SUMIFS(K$5:K$639,$A$5:$A$639,$A211,$C$5:$C$639,$C211-1,$D$5:$D$639,$D211)=0,K211*SUMIFS(K$5:K$639,$A$5:$A$639,$A211,$C$5:$C$639,$C211-1,$D$5:$D$639,$D211)&lt;0),"n.s.",ABS(K211)/ABS(SUMIFS(K$5:K$639,$A$5:$A$639,$A211,$C$5:$C$639,$C211-1,$D$5:$D$639,$D211))-1)))</f>
        <v/>
      </c>
      <c r="T211" s="16">
        <f>IF(OR($A211="",L211="",$C211=""),"",IF(COUNTIFS($A$5:$A$639,$A211,$C$5:$C$639,$C211-1,$D$5:$D$639,$D211,L$5:L$639,"&lt;&gt;")=0,"",IF(OR(SUMIFS(L$5:L$639,$A$5:$A$639,$A211,$C$5:$C$639,$C211-1,$D$5:$D$639,$D211)=0,L211*SUMIFS(L$5:L$639,$A$5:$A$639,$A211,$C$5:$C$639,$C211-1,$D$5:$D$639,$D211)&lt;0),"n.s.",ABS(L211)/ABS(SUMIFS(L$5:L$639,$A$5:$A$639,$A211,$C$5:$C$639,$C211-1,$D$5:$D$639,$D211))-1)))</f>
        <v/>
      </c>
      <c r="U211" s="16">
        <f>IF(OR($A211="",M211="",$C211=""),"",IF(COUNTIFS($A$5:$A$639,$A211,$C$5:$C$639,$C211-1,$D$5:$D$639,$D211,M$5:M$639,"&lt;&gt;")=0,"",IF(OR(SUMIFS(M$5:M$639,$A$5:$A$639,$A211,$C$5:$C$639,$C211-1,$D$5:$D$639,$D211)=0,M211*SUMIFS(M$5:M$639,$A$5:$A$639,$A211,$C$5:$C$639,$C211-1,$D$5:$D$639,$D211)&lt;0),"n.s.",ABS(M211)/ABS(SUMIFS(M$5:M$639,$A$5:$A$639,$A211,$C$5:$C$639,$C211-1,$D$5:$D$639,$D211))-1)))</f>
        <v/>
      </c>
    </row>
    <row r="212">
      <c r="A212" s="9" t="inlineStr">
        <is>
          <t>CFAC</t>
        </is>
      </c>
      <c r="B212" s="10">
        <f>IF(A212="","",IFERROR(VLOOKUP(A212,Titres!$A$2:$B$400,2,FALSE),"Ticker inconnu"))</f>
        <v/>
      </c>
      <c r="C212" s="11" t="n">
        <v>2024</v>
      </c>
      <c r="D212" s="11" t="inlineStr">
        <is>
          <t>T1</t>
        </is>
      </c>
      <c r="E212" s="9" t="n"/>
      <c r="F212" s="12" t="n"/>
      <c r="G212" s="9" t="n"/>
      <c r="H212" s="13" t="n"/>
      <c r="I212" s="13" t="n"/>
      <c r="J212" s="13" t="n"/>
      <c r="K212" s="13" t="n"/>
      <c r="L212" s="13" t="n"/>
      <c r="M212" s="13" t="n"/>
      <c r="N212" s="14">
        <f>IF(A212="","",COUNT(H212:M212)/6)</f>
        <v/>
      </c>
      <c r="O212" s="15">
        <f>IF(COUNT(H212:M212)=0,"",IF(LEN(IF(COUNT(I212,J212)=2,IF(J212&gt;I212+1,"EBE &gt; VA ",""),"")&amp;IF(COUNT(H212,M212)=2,IF(ABS(M212)&gt;ABS(H212),"RN &gt; CA ",""),"")&amp;IF(COUNT(H212,K212)=2,IF(ABS(K212)&gt;ABS(H212),"RE &gt; CA ",""),""))=0,"OK",IF(COUNT(I212,J212)=2,IF(J212&gt;I212+1,"EBE &gt; VA ",""),"")&amp;IF(COUNT(H212,M212)=2,IF(ABS(M212)&gt;ABS(H212),"RN &gt; CA ",""),"")&amp;IF(COUNT(H212,K212)=2,IF(ABS(K212)&gt;ABS(H212),"RE &gt; CA ",""),"")))</f>
        <v/>
      </c>
      <c r="P212" s="16">
        <f>IF(OR($A212="",H212="",$C212=""),"",IF(COUNTIFS($A$5:$A$639,$A212,$C$5:$C$639,$C212-1,$D$5:$D$639,$D212,H$5:H$639,"&lt;&gt;")=0,"",IF(OR(SUMIFS(H$5:H$639,$A$5:$A$639,$A212,$C$5:$C$639,$C212-1,$D$5:$D$639,$D212)=0,H212*SUMIFS(H$5:H$639,$A$5:$A$639,$A212,$C$5:$C$639,$C212-1,$D$5:$D$639,$D212)&lt;0),"n.s.",ABS(H212)/ABS(SUMIFS(H$5:H$639,$A$5:$A$639,$A212,$C$5:$C$639,$C212-1,$D$5:$D$639,$D212))-1)))</f>
        <v/>
      </c>
      <c r="Q212" s="16">
        <f>IF(OR($A212="",I212="",$C212=""),"",IF(COUNTIFS($A$5:$A$639,$A212,$C$5:$C$639,$C212-1,$D$5:$D$639,$D212,I$5:I$639,"&lt;&gt;")=0,"",IF(OR(SUMIFS(I$5:I$639,$A$5:$A$639,$A212,$C$5:$C$639,$C212-1,$D$5:$D$639,$D212)=0,I212*SUMIFS(I$5:I$639,$A$5:$A$639,$A212,$C$5:$C$639,$C212-1,$D$5:$D$639,$D212)&lt;0),"n.s.",ABS(I212)/ABS(SUMIFS(I$5:I$639,$A$5:$A$639,$A212,$C$5:$C$639,$C212-1,$D$5:$D$639,$D212))-1)))</f>
        <v/>
      </c>
      <c r="R212" s="16">
        <f>IF(OR($A212="",J212="",$C212=""),"",IF(COUNTIFS($A$5:$A$639,$A212,$C$5:$C$639,$C212-1,$D$5:$D$639,$D212,J$5:J$639,"&lt;&gt;")=0,"",IF(OR(SUMIFS(J$5:J$639,$A$5:$A$639,$A212,$C$5:$C$639,$C212-1,$D$5:$D$639,$D212)=0,J212*SUMIFS(J$5:J$639,$A$5:$A$639,$A212,$C$5:$C$639,$C212-1,$D$5:$D$639,$D212)&lt;0),"n.s.",ABS(J212)/ABS(SUMIFS(J$5:J$639,$A$5:$A$639,$A212,$C$5:$C$639,$C212-1,$D$5:$D$639,$D212))-1)))</f>
        <v/>
      </c>
      <c r="S212" s="16">
        <f>IF(OR($A212="",K212="",$C212=""),"",IF(COUNTIFS($A$5:$A$639,$A212,$C$5:$C$639,$C212-1,$D$5:$D$639,$D212,K$5:K$639,"&lt;&gt;")=0,"",IF(OR(SUMIFS(K$5:K$639,$A$5:$A$639,$A212,$C$5:$C$639,$C212-1,$D$5:$D$639,$D212)=0,K212*SUMIFS(K$5:K$639,$A$5:$A$639,$A212,$C$5:$C$639,$C212-1,$D$5:$D$639,$D212)&lt;0),"n.s.",ABS(K212)/ABS(SUMIFS(K$5:K$639,$A$5:$A$639,$A212,$C$5:$C$639,$C212-1,$D$5:$D$639,$D212))-1)))</f>
        <v/>
      </c>
      <c r="T212" s="16">
        <f>IF(OR($A212="",L212="",$C212=""),"",IF(COUNTIFS($A$5:$A$639,$A212,$C$5:$C$639,$C212-1,$D$5:$D$639,$D212,L$5:L$639,"&lt;&gt;")=0,"",IF(OR(SUMIFS(L$5:L$639,$A$5:$A$639,$A212,$C$5:$C$639,$C212-1,$D$5:$D$639,$D212)=0,L212*SUMIFS(L$5:L$639,$A$5:$A$639,$A212,$C$5:$C$639,$C212-1,$D$5:$D$639,$D212)&lt;0),"n.s.",ABS(L212)/ABS(SUMIFS(L$5:L$639,$A$5:$A$639,$A212,$C$5:$C$639,$C212-1,$D$5:$D$639,$D212))-1)))</f>
        <v/>
      </c>
      <c r="U212" s="16">
        <f>IF(OR($A212="",M212="",$C212=""),"",IF(COUNTIFS($A$5:$A$639,$A212,$C$5:$C$639,$C212-1,$D$5:$D$639,$D212,M$5:M$639,"&lt;&gt;")=0,"",IF(OR(SUMIFS(M$5:M$639,$A$5:$A$639,$A212,$C$5:$C$639,$C212-1,$D$5:$D$639,$D212)=0,M212*SUMIFS(M$5:M$639,$A$5:$A$639,$A212,$C$5:$C$639,$C212-1,$D$5:$D$639,$D212)&lt;0),"n.s.",ABS(M212)/ABS(SUMIFS(M$5:M$639,$A$5:$A$639,$A212,$C$5:$C$639,$C212-1,$D$5:$D$639,$D212))-1)))</f>
        <v/>
      </c>
    </row>
    <row r="213">
      <c r="A213" s="9" t="inlineStr">
        <is>
          <t>CFAC</t>
        </is>
      </c>
      <c r="B213" s="10">
        <f>IF(A213="","",IFERROR(VLOOKUP(A213,Titres!$A$2:$B$400,2,FALSE),"Ticker inconnu"))</f>
        <v/>
      </c>
      <c r="C213" s="11" t="n">
        <v>2024</v>
      </c>
      <c r="D213" s="11" t="inlineStr">
        <is>
          <t>S1</t>
        </is>
      </c>
      <c r="E213" s="9" t="n"/>
      <c r="F213" s="12" t="n"/>
      <c r="G213" s="9" t="n"/>
      <c r="H213" s="13" t="n"/>
      <c r="I213" s="13" t="n"/>
      <c r="J213" s="13" t="n"/>
      <c r="K213" s="13" t="n"/>
      <c r="L213" s="13" t="n"/>
      <c r="M213" s="13" t="n"/>
      <c r="N213" s="14">
        <f>IF(A213="","",COUNT(H213:M213)/6)</f>
        <v/>
      </c>
      <c r="O213" s="15">
        <f>IF(COUNT(H213:M213)=0,"",IF(LEN(IF(COUNT(I213,J213)=2,IF(J213&gt;I213+1,"EBE &gt; VA ",""),"")&amp;IF(COUNT(H213,M213)=2,IF(ABS(M213)&gt;ABS(H213),"RN &gt; CA ",""),"")&amp;IF(COUNT(H213,K213)=2,IF(ABS(K213)&gt;ABS(H213),"RE &gt; CA ",""),""))=0,"OK",IF(COUNT(I213,J213)=2,IF(J213&gt;I213+1,"EBE &gt; VA ",""),"")&amp;IF(COUNT(H213,M213)=2,IF(ABS(M213)&gt;ABS(H213),"RN &gt; CA ",""),"")&amp;IF(COUNT(H213,K213)=2,IF(ABS(K213)&gt;ABS(H213),"RE &gt; CA ",""),"")))</f>
        <v/>
      </c>
      <c r="P213" s="16">
        <f>IF(OR($A213="",H213="",$C213=""),"",IF(COUNTIFS($A$5:$A$639,$A213,$C$5:$C$639,$C213-1,$D$5:$D$639,$D213,H$5:H$639,"&lt;&gt;")=0,"",IF(OR(SUMIFS(H$5:H$639,$A$5:$A$639,$A213,$C$5:$C$639,$C213-1,$D$5:$D$639,$D213)=0,H213*SUMIFS(H$5:H$639,$A$5:$A$639,$A213,$C$5:$C$639,$C213-1,$D$5:$D$639,$D213)&lt;0),"n.s.",ABS(H213)/ABS(SUMIFS(H$5:H$639,$A$5:$A$639,$A213,$C$5:$C$639,$C213-1,$D$5:$D$639,$D213))-1)))</f>
        <v/>
      </c>
      <c r="Q213" s="16">
        <f>IF(OR($A213="",I213="",$C213=""),"",IF(COUNTIFS($A$5:$A$639,$A213,$C$5:$C$639,$C213-1,$D$5:$D$639,$D213,I$5:I$639,"&lt;&gt;")=0,"",IF(OR(SUMIFS(I$5:I$639,$A$5:$A$639,$A213,$C$5:$C$639,$C213-1,$D$5:$D$639,$D213)=0,I213*SUMIFS(I$5:I$639,$A$5:$A$639,$A213,$C$5:$C$639,$C213-1,$D$5:$D$639,$D213)&lt;0),"n.s.",ABS(I213)/ABS(SUMIFS(I$5:I$639,$A$5:$A$639,$A213,$C$5:$C$639,$C213-1,$D$5:$D$639,$D213))-1)))</f>
        <v/>
      </c>
      <c r="R213" s="16">
        <f>IF(OR($A213="",J213="",$C213=""),"",IF(COUNTIFS($A$5:$A$639,$A213,$C$5:$C$639,$C213-1,$D$5:$D$639,$D213,J$5:J$639,"&lt;&gt;")=0,"",IF(OR(SUMIFS(J$5:J$639,$A$5:$A$639,$A213,$C$5:$C$639,$C213-1,$D$5:$D$639,$D213)=0,J213*SUMIFS(J$5:J$639,$A$5:$A$639,$A213,$C$5:$C$639,$C213-1,$D$5:$D$639,$D213)&lt;0),"n.s.",ABS(J213)/ABS(SUMIFS(J$5:J$639,$A$5:$A$639,$A213,$C$5:$C$639,$C213-1,$D$5:$D$639,$D213))-1)))</f>
        <v/>
      </c>
      <c r="S213" s="16">
        <f>IF(OR($A213="",K213="",$C213=""),"",IF(COUNTIFS($A$5:$A$639,$A213,$C$5:$C$639,$C213-1,$D$5:$D$639,$D213,K$5:K$639,"&lt;&gt;")=0,"",IF(OR(SUMIFS(K$5:K$639,$A$5:$A$639,$A213,$C$5:$C$639,$C213-1,$D$5:$D$639,$D213)=0,K213*SUMIFS(K$5:K$639,$A$5:$A$639,$A213,$C$5:$C$639,$C213-1,$D$5:$D$639,$D213)&lt;0),"n.s.",ABS(K213)/ABS(SUMIFS(K$5:K$639,$A$5:$A$639,$A213,$C$5:$C$639,$C213-1,$D$5:$D$639,$D213))-1)))</f>
        <v/>
      </c>
      <c r="T213" s="16">
        <f>IF(OR($A213="",L213="",$C213=""),"",IF(COUNTIFS($A$5:$A$639,$A213,$C$5:$C$639,$C213-1,$D$5:$D$639,$D213,L$5:L$639,"&lt;&gt;")=0,"",IF(OR(SUMIFS(L$5:L$639,$A$5:$A$639,$A213,$C$5:$C$639,$C213-1,$D$5:$D$639,$D213)=0,L213*SUMIFS(L$5:L$639,$A$5:$A$639,$A213,$C$5:$C$639,$C213-1,$D$5:$D$639,$D213)&lt;0),"n.s.",ABS(L213)/ABS(SUMIFS(L$5:L$639,$A$5:$A$639,$A213,$C$5:$C$639,$C213-1,$D$5:$D$639,$D213))-1)))</f>
        <v/>
      </c>
      <c r="U213" s="16">
        <f>IF(OR($A213="",M213="",$C213=""),"",IF(COUNTIFS($A$5:$A$639,$A213,$C$5:$C$639,$C213-1,$D$5:$D$639,$D213,M$5:M$639,"&lt;&gt;")=0,"",IF(OR(SUMIFS(M$5:M$639,$A$5:$A$639,$A213,$C$5:$C$639,$C213-1,$D$5:$D$639,$D213)=0,M213*SUMIFS(M$5:M$639,$A$5:$A$639,$A213,$C$5:$C$639,$C213-1,$D$5:$D$639,$D213)&lt;0),"n.s.",ABS(M213)/ABS(SUMIFS(M$5:M$639,$A$5:$A$639,$A213,$C$5:$C$639,$C213-1,$D$5:$D$639,$D213))-1)))</f>
        <v/>
      </c>
    </row>
    <row r="214">
      <c r="A214" s="9" t="inlineStr">
        <is>
          <t>CFAC</t>
        </is>
      </c>
      <c r="B214" s="10">
        <f>IF(A214="","",IFERROR(VLOOKUP(A214,Titres!$A$2:$B$400,2,FALSE),"Ticker inconnu"))</f>
        <v/>
      </c>
      <c r="C214" s="11" t="n">
        <v>2024</v>
      </c>
      <c r="D214" s="11" t="inlineStr">
        <is>
          <t>T3</t>
        </is>
      </c>
      <c r="E214" s="9" t="n"/>
      <c r="F214" s="12" t="n"/>
      <c r="G214" s="9" t="n"/>
      <c r="H214" s="13" t="n"/>
      <c r="I214" s="13" t="n"/>
      <c r="J214" s="13" t="n"/>
      <c r="K214" s="13" t="n"/>
      <c r="L214" s="13" t="n"/>
      <c r="M214" s="13" t="n"/>
      <c r="N214" s="14">
        <f>IF(A214="","",COUNT(H214:M214)/6)</f>
        <v/>
      </c>
      <c r="O214" s="15">
        <f>IF(COUNT(H214:M214)=0,"",IF(LEN(IF(COUNT(I214,J214)=2,IF(J214&gt;I214+1,"EBE &gt; VA ",""),"")&amp;IF(COUNT(H214,M214)=2,IF(ABS(M214)&gt;ABS(H214),"RN &gt; CA ",""),"")&amp;IF(COUNT(H214,K214)=2,IF(ABS(K214)&gt;ABS(H214),"RE &gt; CA ",""),""))=0,"OK",IF(COUNT(I214,J214)=2,IF(J214&gt;I214+1,"EBE &gt; VA ",""),"")&amp;IF(COUNT(H214,M214)=2,IF(ABS(M214)&gt;ABS(H214),"RN &gt; CA ",""),"")&amp;IF(COUNT(H214,K214)=2,IF(ABS(K214)&gt;ABS(H214),"RE &gt; CA ",""),"")))</f>
        <v/>
      </c>
      <c r="P214" s="16">
        <f>IF(OR($A214="",H214="",$C214=""),"",IF(COUNTIFS($A$5:$A$639,$A214,$C$5:$C$639,$C214-1,$D$5:$D$639,$D214,H$5:H$639,"&lt;&gt;")=0,"",IF(OR(SUMIFS(H$5:H$639,$A$5:$A$639,$A214,$C$5:$C$639,$C214-1,$D$5:$D$639,$D214)=0,H214*SUMIFS(H$5:H$639,$A$5:$A$639,$A214,$C$5:$C$639,$C214-1,$D$5:$D$639,$D214)&lt;0),"n.s.",ABS(H214)/ABS(SUMIFS(H$5:H$639,$A$5:$A$639,$A214,$C$5:$C$639,$C214-1,$D$5:$D$639,$D214))-1)))</f>
        <v/>
      </c>
      <c r="Q214" s="16">
        <f>IF(OR($A214="",I214="",$C214=""),"",IF(COUNTIFS($A$5:$A$639,$A214,$C$5:$C$639,$C214-1,$D$5:$D$639,$D214,I$5:I$639,"&lt;&gt;")=0,"",IF(OR(SUMIFS(I$5:I$639,$A$5:$A$639,$A214,$C$5:$C$639,$C214-1,$D$5:$D$639,$D214)=0,I214*SUMIFS(I$5:I$639,$A$5:$A$639,$A214,$C$5:$C$639,$C214-1,$D$5:$D$639,$D214)&lt;0),"n.s.",ABS(I214)/ABS(SUMIFS(I$5:I$639,$A$5:$A$639,$A214,$C$5:$C$639,$C214-1,$D$5:$D$639,$D214))-1)))</f>
        <v/>
      </c>
      <c r="R214" s="16">
        <f>IF(OR($A214="",J214="",$C214=""),"",IF(COUNTIFS($A$5:$A$639,$A214,$C$5:$C$639,$C214-1,$D$5:$D$639,$D214,J$5:J$639,"&lt;&gt;")=0,"",IF(OR(SUMIFS(J$5:J$639,$A$5:$A$639,$A214,$C$5:$C$639,$C214-1,$D$5:$D$639,$D214)=0,J214*SUMIFS(J$5:J$639,$A$5:$A$639,$A214,$C$5:$C$639,$C214-1,$D$5:$D$639,$D214)&lt;0),"n.s.",ABS(J214)/ABS(SUMIFS(J$5:J$639,$A$5:$A$639,$A214,$C$5:$C$639,$C214-1,$D$5:$D$639,$D214))-1)))</f>
        <v/>
      </c>
      <c r="S214" s="16">
        <f>IF(OR($A214="",K214="",$C214=""),"",IF(COUNTIFS($A$5:$A$639,$A214,$C$5:$C$639,$C214-1,$D$5:$D$639,$D214,K$5:K$639,"&lt;&gt;")=0,"",IF(OR(SUMIFS(K$5:K$639,$A$5:$A$639,$A214,$C$5:$C$639,$C214-1,$D$5:$D$639,$D214)=0,K214*SUMIFS(K$5:K$639,$A$5:$A$639,$A214,$C$5:$C$639,$C214-1,$D$5:$D$639,$D214)&lt;0),"n.s.",ABS(K214)/ABS(SUMIFS(K$5:K$639,$A$5:$A$639,$A214,$C$5:$C$639,$C214-1,$D$5:$D$639,$D214))-1)))</f>
        <v/>
      </c>
      <c r="T214" s="16">
        <f>IF(OR($A214="",L214="",$C214=""),"",IF(COUNTIFS($A$5:$A$639,$A214,$C$5:$C$639,$C214-1,$D$5:$D$639,$D214,L$5:L$639,"&lt;&gt;")=0,"",IF(OR(SUMIFS(L$5:L$639,$A$5:$A$639,$A214,$C$5:$C$639,$C214-1,$D$5:$D$639,$D214)=0,L214*SUMIFS(L$5:L$639,$A$5:$A$639,$A214,$C$5:$C$639,$C214-1,$D$5:$D$639,$D214)&lt;0),"n.s.",ABS(L214)/ABS(SUMIFS(L$5:L$639,$A$5:$A$639,$A214,$C$5:$C$639,$C214-1,$D$5:$D$639,$D214))-1)))</f>
        <v/>
      </c>
      <c r="U214" s="16">
        <f>IF(OR($A214="",M214="",$C214=""),"",IF(COUNTIFS($A$5:$A$639,$A214,$C$5:$C$639,$C214-1,$D$5:$D$639,$D214,M$5:M$639,"&lt;&gt;")=0,"",IF(OR(SUMIFS(M$5:M$639,$A$5:$A$639,$A214,$C$5:$C$639,$C214-1,$D$5:$D$639,$D214)=0,M214*SUMIFS(M$5:M$639,$A$5:$A$639,$A214,$C$5:$C$639,$C214-1,$D$5:$D$639,$D214)&lt;0),"n.s.",ABS(M214)/ABS(SUMIFS(M$5:M$639,$A$5:$A$639,$A214,$C$5:$C$639,$C214-1,$D$5:$D$639,$D214))-1)))</f>
        <v/>
      </c>
    </row>
    <row r="215">
      <c r="A215" s="9" t="inlineStr">
        <is>
          <t>CFAC</t>
        </is>
      </c>
      <c r="B215" s="10">
        <f>IF(A215="","",IFERROR(VLOOKUP(A215,Titres!$A$2:$B$400,2,FALSE),"Ticker inconnu"))</f>
        <v/>
      </c>
      <c r="C215" s="11" t="n">
        <v>2025</v>
      </c>
      <c r="D215" s="11" t="inlineStr">
        <is>
          <t>T1</t>
        </is>
      </c>
      <c r="E215" s="9" t="n"/>
      <c r="F215" s="12" t="n"/>
      <c r="G215" s="9" t="n"/>
      <c r="H215" s="13" t="n"/>
      <c r="I215" s="13" t="n"/>
      <c r="J215" s="13" t="n"/>
      <c r="K215" s="13" t="n"/>
      <c r="L215" s="13" t="n"/>
      <c r="M215" s="13" t="n"/>
      <c r="N215" s="14">
        <f>IF(A215="","",COUNT(H215:M215)/6)</f>
        <v/>
      </c>
      <c r="O215" s="15">
        <f>IF(COUNT(H215:M215)=0,"",IF(LEN(IF(COUNT(I215,J215)=2,IF(J215&gt;I215+1,"EBE &gt; VA ",""),"")&amp;IF(COUNT(H215,M215)=2,IF(ABS(M215)&gt;ABS(H215),"RN &gt; CA ",""),"")&amp;IF(COUNT(H215,K215)=2,IF(ABS(K215)&gt;ABS(H215),"RE &gt; CA ",""),""))=0,"OK",IF(COUNT(I215,J215)=2,IF(J215&gt;I215+1,"EBE &gt; VA ",""),"")&amp;IF(COUNT(H215,M215)=2,IF(ABS(M215)&gt;ABS(H215),"RN &gt; CA ",""),"")&amp;IF(COUNT(H215,K215)=2,IF(ABS(K215)&gt;ABS(H215),"RE &gt; CA ",""),"")))</f>
        <v/>
      </c>
      <c r="P215" s="16">
        <f>IF(OR($A215="",H215="",$C215=""),"",IF(COUNTIFS($A$5:$A$639,$A215,$C$5:$C$639,$C215-1,$D$5:$D$639,$D215,H$5:H$639,"&lt;&gt;")=0,"",IF(OR(SUMIFS(H$5:H$639,$A$5:$A$639,$A215,$C$5:$C$639,$C215-1,$D$5:$D$639,$D215)=0,H215*SUMIFS(H$5:H$639,$A$5:$A$639,$A215,$C$5:$C$639,$C215-1,$D$5:$D$639,$D215)&lt;0),"n.s.",ABS(H215)/ABS(SUMIFS(H$5:H$639,$A$5:$A$639,$A215,$C$5:$C$639,$C215-1,$D$5:$D$639,$D215))-1)))</f>
        <v/>
      </c>
      <c r="Q215" s="16">
        <f>IF(OR($A215="",I215="",$C215=""),"",IF(COUNTIFS($A$5:$A$639,$A215,$C$5:$C$639,$C215-1,$D$5:$D$639,$D215,I$5:I$639,"&lt;&gt;")=0,"",IF(OR(SUMIFS(I$5:I$639,$A$5:$A$639,$A215,$C$5:$C$639,$C215-1,$D$5:$D$639,$D215)=0,I215*SUMIFS(I$5:I$639,$A$5:$A$639,$A215,$C$5:$C$639,$C215-1,$D$5:$D$639,$D215)&lt;0),"n.s.",ABS(I215)/ABS(SUMIFS(I$5:I$639,$A$5:$A$639,$A215,$C$5:$C$639,$C215-1,$D$5:$D$639,$D215))-1)))</f>
        <v/>
      </c>
      <c r="R215" s="16">
        <f>IF(OR($A215="",J215="",$C215=""),"",IF(COUNTIFS($A$5:$A$639,$A215,$C$5:$C$639,$C215-1,$D$5:$D$639,$D215,J$5:J$639,"&lt;&gt;")=0,"",IF(OR(SUMIFS(J$5:J$639,$A$5:$A$639,$A215,$C$5:$C$639,$C215-1,$D$5:$D$639,$D215)=0,J215*SUMIFS(J$5:J$639,$A$5:$A$639,$A215,$C$5:$C$639,$C215-1,$D$5:$D$639,$D215)&lt;0),"n.s.",ABS(J215)/ABS(SUMIFS(J$5:J$639,$A$5:$A$639,$A215,$C$5:$C$639,$C215-1,$D$5:$D$639,$D215))-1)))</f>
        <v/>
      </c>
      <c r="S215" s="16">
        <f>IF(OR($A215="",K215="",$C215=""),"",IF(COUNTIFS($A$5:$A$639,$A215,$C$5:$C$639,$C215-1,$D$5:$D$639,$D215,K$5:K$639,"&lt;&gt;")=0,"",IF(OR(SUMIFS(K$5:K$639,$A$5:$A$639,$A215,$C$5:$C$639,$C215-1,$D$5:$D$639,$D215)=0,K215*SUMIFS(K$5:K$639,$A$5:$A$639,$A215,$C$5:$C$639,$C215-1,$D$5:$D$639,$D215)&lt;0),"n.s.",ABS(K215)/ABS(SUMIFS(K$5:K$639,$A$5:$A$639,$A215,$C$5:$C$639,$C215-1,$D$5:$D$639,$D215))-1)))</f>
        <v/>
      </c>
      <c r="T215" s="16">
        <f>IF(OR($A215="",L215="",$C215=""),"",IF(COUNTIFS($A$5:$A$639,$A215,$C$5:$C$639,$C215-1,$D$5:$D$639,$D215,L$5:L$639,"&lt;&gt;")=0,"",IF(OR(SUMIFS(L$5:L$639,$A$5:$A$639,$A215,$C$5:$C$639,$C215-1,$D$5:$D$639,$D215)=0,L215*SUMIFS(L$5:L$639,$A$5:$A$639,$A215,$C$5:$C$639,$C215-1,$D$5:$D$639,$D215)&lt;0),"n.s.",ABS(L215)/ABS(SUMIFS(L$5:L$639,$A$5:$A$639,$A215,$C$5:$C$639,$C215-1,$D$5:$D$639,$D215))-1)))</f>
        <v/>
      </c>
      <c r="U215" s="16">
        <f>IF(OR($A215="",M215="",$C215=""),"",IF(COUNTIFS($A$5:$A$639,$A215,$C$5:$C$639,$C215-1,$D$5:$D$639,$D215,M$5:M$639,"&lt;&gt;")=0,"",IF(OR(SUMIFS(M$5:M$639,$A$5:$A$639,$A215,$C$5:$C$639,$C215-1,$D$5:$D$639,$D215)=0,M215*SUMIFS(M$5:M$639,$A$5:$A$639,$A215,$C$5:$C$639,$C215-1,$D$5:$D$639,$D215)&lt;0),"n.s.",ABS(M215)/ABS(SUMIFS(M$5:M$639,$A$5:$A$639,$A215,$C$5:$C$639,$C215-1,$D$5:$D$639,$D215))-1)))</f>
        <v/>
      </c>
    </row>
    <row r="216">
      <c r="A216" s="9" t="inlineStr">
        <is>
          <t>CFAC</t>
        </is>
      </c>
      <c r="B216" s="10">
        <f>IF(A216="","",IFERROR(VLOOKUP(A216,Titres!$A$2:$B$400,2,FALSE),"Ticker inconnu"))</f>
        <v/>
      </c>
      <c r="C216" s="11" t="n">
        <v>2025</v>
      </c>
      <c r="D216" s="11" t="inlineStr">
        <is>
          <t>S1</t>
        </is>
      </c>
      <c r="E216" s="9" t="n"/>
      <c r="F216" s="12" t="n"/>
      <c r="G216" s="9" t="n"/>
      <c r="H216" s="13" t="n"/>
      <c r="I216" s="13" t="n"/>
      <c r="J216" s="13" t="n"/>
      <c r="K216" s="13" t="n"/>
      <c r="L216" s="13" t="n"/>
      <c r="M216" s="13" t="n"/>
      <c r="N216" s="14">
        <f>IF(A216="","",COUNT(H216:M216)/6)</f>
        <v/>
      </c>
      <c r="O216" s="15">
        <f>IF(COUNT(H216:M216)=0,"",IF(LEN(IF(COUNT(I216,J216)=2,IF(J216&gt;I216+1,"EBE &gt; VA ",""),"")&amp;IF(COUNT(H216,M216)=2,IF(ABS(M216)&gt;ABS(H216),"RN &gt; CA ",""),"")&amp;IF(COUNT(H216,K216)=2,IF(ABS(K216)&gt;ABS(H216),"RE &gt; CA ",""),""))=0,"OK",IF(COUNT(I216,J216)=2,IF(J216&gt;I216+1,"EBE &gt; VA ",""),"")&amp;IF(COUNT(H216,M216)=2,IF(ABS(M216)&gt;ABS(H216),"RN &gt; CA ",""),"")&amp;IF(COUNT(H216,K216)=2,IF(ABS(K216)&gt;ABS(H216),"RE &gt; CA ",""),"")))</f>
        <v/>
      </c>
      <c r="P216" s="16">
        <f>IF(OR($A216="",H216="",$C216=""),"",IF(COUNTIFS($A$5:$A$639,$A216,$C$5:$C$639,$C216-1,$D$5:$D$639,$D216,H$5:H$639,"&lt;&gt;")=0,"",IF(OR(SUMIFS(H$5:H$639,$A$5:$A$639,$A216,$C$5:$C$639,$C216-1,$D$5:$D$639,$D216)=0,H216*SUMIFS(H$5:H$639,$A$5:$A$639,$A216,$C$5:$C$639,$C216-1,$D$5:$D$639,$D216)&lt;0),"n.s.",ABS(H216)/ABS(SUMIFS(H$5:H$639,$A$5:$A$639,$A216,$C$5:$C$639,$C216-1,$D$5:$D$639,$D216))-1)))</f>
        <v/>
      </c>
      <c r="Q216" s="16">
        <f>IF(OR($A216="",I216="",$C216=""),"",IF(COUNTIFS($A$5:$A$639,$A216,$C$5:$C$639,$C216-1,$D$5:$D$639,$D216,I$5:I$639,"&lt;&gt;")=0,"",IF(OR(SUMIFS(I$5:I$639,$A$5:$A$639,$A216,$C$5:$C$639,$C216-1,$D$5:$D$639,$D216)=0,I216*SUMIFS(I$5:I$639,$A$5:$A$639,$A216,$C$5:$C$639,$C216-1,$D$5:$D$639,$D216)&lt;0),"n.s.",ABS(I216)/ABS(SUMIFS(I$5:I$639,$A$5:$A$639,$A216,$C$5:$C$639,$C216-1,$D$5:$D$639,$D216))-1)))</f>
        <v/>
      </c>
      <c r="R216" s="16">
        <f>IF(OR($A216="",J216="",$C216=""),"",IF(COUNTIFS($A$5:$A$639,$A216,$C$5:$C$639,$C216-1,$D$5:$D$639,$D216,J$5:J$639,"&lt;&gt;")=0,"",IF(OR(SUMIFS(J$5:J$639,$A$5:$A$639,$A216,$C$5:$C$639,$C216-1,$D$5:$D$639,$D216)=0,J216*SUMIFS(J$5:J$639,$A$5:$A$639,$A216,$C$5:$C$639,$C216-1,$D$5:$D$639,$D216)&lt;0),"n.s.",ABS(J216)/ABS(SUMIFS(J$5:J$639,$A$5:$A$639,$A216,$C$5:$C$639,$C216-1,$D$5:$D$639,$D216))-1)))</f>
        <v/>
      </c>
      <c r="S216" s="16">
        <f>IF(OR($A216="",K216="",$C216=""),"",IF(COUNTIFS($A$5:$A$639,$A216,$C$5:$C$639,$C216-1,$D$5:$D$639,$D216,K$5:K$639,"&lt;&gt;")=0,"",IF(OR(SUMIFS(K$5:K$639,$A$5:$A$639,$A216,$C$5:$C$639,$C216-1,$D$5:$D$639,$D216)=0,K216*SUMIFS(K$5:K$639,$A$5:$A$639,$A216,$C$5:$C$639,$C216-1,$D$5:$D$639,$D216)&lt;0),"n.s.",ABS(K216)/ABS(SUMIFS(K$5:K$639,$A$5:$A$639,$A216,$C$5:$C$639,$C216-1,$D$5:$D$639,$D216))-1)))</f>
        <v/>
      </c>
      <c r="T216" s="16">
        <f>IF(OR($A216="",L216="",$C216=""),"",IF(COUNTIFS($A$5:$A$639,$A216,$C$5:$C$639,$C216-1,$D$5:$D$639,$D216,L$5:L$639,"&lt;&gt;")=0,"",IF(OR(SUMIFS(L$5:L$639,$A$5:$A$639,$A216,$C$5:$C$639,$C216-1,$D$5:$D$639,$D216)=0,L216*SUMIFS(L$5:L$639,$A$5:$A$639,$A216,$C$5:$C$639,$C216-1,$D$5:$D$639,$D216)&lt;0),"n.s.",ABS(L216)/ABS(SUMIFS(L$5:L$639,$A$5:$A$639,$A216,$C$5:$C$639,$C216-1,$D$5:$D$639,$D216))-1)))</f>
        <v/>
      </c>
      <c r="U216" s="16">
        <f>IF(OR($A216="",M216="",$C216=""),"",IF(COUNTIFS($A$5:$A$639,$A216,$C$5:$C$639,$C216-1,$D$5:$D$639,$D216,M$5:M$639,"&lt;&gt;")=0,"",IF(OR(SUMIFS(M$5:M$639,$A$5:$A$639,$A216,$C$5:$C$639,$C216-1,$D$5:$D$639,$D216)=0,M216*SUMIFS(M$5:M$639,$A$5:$A$639,$A216,$C$5:$C$639,$C216-1,$D$5:$D$639,$D216)&lt;0),"n.s.",ABS(M216)/ABS(SUMIFS(M$5:M$639,$A$5:$A$639,$A216,$C$5:$C$639,$C216-1,$D$5:$D$639,$D216))-1)))</f>
        <v/>
      </c>
    </row>
    <row r="217">
      <c r="A217" s="9" t="inlineStr">
        <is>
          <t>CFAC</t>
        </is>
      </c>
      <c r="B217" s="10">
        <f>IF(A217="","",IFERROR(VLOOKUP(A217,Titres!$A$2:$B$400,2,FALSE),"Ticker inconnu"))</f>
        <v/>
      </c>
      <c r="C217" s="11" t="n">
        <v>2025</v>
      </c>
      <c r="D217" s="11" t="inlineStr">
        <is>
          <t>T3</t>
        </is>
      </c>
      <c r="E217" s="9" t="n"/>
      <c r="F217" s="12" t="n"/>
      <c r="G217" s="9" t="n"/>
      <c r="H217" s="13" t="n"/>
      <c r="I217" s="13" t="n"/>
      <c r="J217" s="13" t="n"/>
      <c r="K217" s="13" t="n"/>
      <c r="L217" s="13" t="n"/>
      <c r="M217" s="13" t="n"/>
      <c r="N217" s="14">
        <f>IF(A217="","",COUNT(H217:M217)/6)</f>
        <v/>
      </c>
      <c r="O217" s="15">
        <f>IF(COUNT(H217:M217)=0,"",IF(LEN(IF(COUNT(I217,J217)=2,IF(J217&gt;I217+1,"EBE &gt; VA ",""),"")&amp;IF(COUNT(H217,M217)=2,IF(ABS(M217)&gt;ABS(H217),"RN &gt; CA ",""),"")&amp;IF(COUNT(H217,K217)=2,IF(ABS(K217)&gt;ABS(H217),"RE &gt; CA ",""),""))=0,"OK",IF(COUNT(I217,J217)=2,IF(J217&gt;I217+1,"EBE &gt; VA ",""),"")&amp;IF(COUNT(H217,M217)=2,IF(ABS(M217)&gt;ABS(H217),"RN &gt; CA ",""),"")&amp;IF(COUNT(H217,K217)=2,IF(ABS(K217)&gt;ABS(H217),"RE &gt; CA ",""),"")))</f>
        <v/>
      </c>
      <c r="P217" s="16">
        <f>IF(OR($A217="",H217="",$C217=""),"",IF(COUNTIFS($A$5:$A$639,$A217,$C$5:$C$639,$C217-1,$D$5:$D$639,$D217,H$5:H$639,"&lt;&gt;")=0,"",IF(OR(SUMIFS(H$5:H$639,$A$5:$A$639,$A217,$C$5:$C$639,$C217-1,$D$5:$D$639,$D217)=0,H217*SUMIFS(H$5:H$639,$A$5:$A$639,$A217,$C$5:$C$639,$C217-1,$D$5:$D$639,$D217)&lt;0),"n.s.",ABS(H217)/ABS(SUMIFS(H$5:H$639,$A$5:$A$639,$A217,$C$5:$C$639,$C217-1,$D$5:$D$639,$D217))-1)))</f>
        <v/>
      </c>
      <c r="Q217" s="16">
        <f>IF(OR($A217="",I217="",$C217=""),"",IF(COUNTIFS($A$5:$A$639,$A217,$C$5:$C$639,$C217-1,$D$5:$D$639,$D217,I$5:I$639,"&lt;&gt;")=0,"",IF(OR(SUMIFS(I$5:I$639,$A$5:$A$639,$A217,$C$5:$C$639,$C217-1,$D$5:$D$639,$D217)=0,I217*SUMIFS(I$5:I$639,$A$5:$A$639,$A217,$C$5:$C$639,$C217-1,$D$5:$D$639,$D217)&lt;0),"n.s.",ABS(I217)/ABS(SUMIFS(I$5:I$639,$A$5:$A$639,$A217,$C$5:$C$639,$C217-1,$D$5:$D$639,$D217))-1)))</f>
        <v/>
      </c>
      <c r="R217" s="16">
        <f>IF(OR($A217="",J217="",$C217=""),"",IF(COUNTIFS($A$5:$A$639,$A217,$C$5:$C$639,$C217-1,$D$5:$D$639,$D217,J$5:J$639,"&lt;&gt;")=0,"",IF(OR(SUMIFS(J$5:J$639,$A$5:$A$639,$A217,$C$5:$C$639,$C217-1,$D$5:$D$639,$D217)=0,J217*SUMIFS(J$5:J$639,$A$5:$A$639,$A217,$C$5:$C$639,$C217-1,$D$5:$D$639,$D217)&lt;0),"n.s.",ABS(J217)/ABS(SUMIFS(J$5:J$639,$A$5:$A$639,$A217,$C$5:$C$639,$C217-1,$D$5:$D$639,$D217))-1)))</f>
        <v/>
      </c>
      <c r="S217" s="16">
        <f>IF(OR($A217="",K217="",$C217=""),"",IF(COUNTIFS($A$5:$A$639,$A217,$C$5:$C$639,$C217-1,$D$5:$D$639,$D217,K$5:K$639,"&lt;&gt;")=0,"",IF(OR(SUMIFS(K$5:K$639,$A$5:$A$639,$A217,$C$5:$C$639,$C217-1,$D$5:$D$639,$D217)=0,K217*SUMIFS(K$5:K$639,$A$5:$A$639,$A217,$C$5:$C$639,$C217-1,$D$5:$D$639,$D217)&lt;0),"n.s.",ABS(K217)/ABS(SUMIFS(K$5:K$639,$A$5:$A$639,$A217,$C$5:$C$639,$C217-1,$D$5:$D$639,$D217))-1)))</f>
        <v/>
      </c>
      <c r="T217" s="16">
        <f>IF(OR($A217="",L217="",$C217=""),"",IF(COUNTIFS($A$5:$A$639,$A217,$C$5:$C$639,$C217-1,$D$5:$D$639,$D217,L$5:L$639,"&lt;&gt;")=0,"",IF(OR(SUMIFS(L$5:L$639,$A$5:$A$639,$A217,$C$5:$C$639,$C217-1,$D$5:$D$639,$D217)=0,L217*SUMIFS(L$5:L$639,$A$5:$A$639,$A217,$C$5:$C$639,$C217-1,$D$5:$D$639,$D217)&lt;0),"n.s.",ABS(L217)/ABS(SUMIFS(L$5:L$639,$A$5:$A$639,$A217,$C$5:$C$639,$C217-1,$D$5:$D$639,$D217))-1)))</f>
        <v/>
      </c>
      <c r="U217" s="16">
        <f>IF(OR($A217="",M217="",$C217=""),"",IF(COUNTIFS($A$5:$A$639,$A217,$C$5:$C$639,$C217-1,$D$5:$D$639,$D217,M$5:M$639,"&lt;&gt;")=0,"",IF(OR(SUMIFS(M$5:M$639,$A$5:$A$639,$A217,$C$5:$C$639,$C217-1,$D$5:$D$639,$D217)=0,M217*SUMIFS(M$5:M$639,$A$5:$A$639,$A217,$C$5:$C$639,$C217-1,$D$5:$D$639,$D217)&lt;0),"n.s.",ABS(M217)/ABS(SUMIFS(M$5:M$639,$A$5:$A$639,$A217,$C$5:$C$639,$C217-1,$D$5:$D$639,$D217))-1)))</f>
        <v/>
      </c>
    </row>
    <row r="218">
      <c r="A218" s="9" t="inlineStr">
        <is>
          <t>CFAC</t>
        </is>
      </c>
      <c r="B218" s="10">
        <f>IF(A218="","",IFERROR(VLOOKUP(A218,Titres!$A$2:$B$400,2,FALSE),"Ticker inconnu"))</f>
        <v/>
      </c>
      <c r="C218" s="11" t="n">
        <v>2026</v>
      </c>
      <c r="D218" s="11" t="inlineStr">
        <is>
          <t>T1</t>
        </is>
      </c>
      <c r="E218" s="9" t="n"/>
      <c r="F218" s="12" t="n"/>
      <c r="G218" s="9" t="n"/>
      <c r="H218" s="13" t="n"/>
      <c r="I218" s="13" t="n"/>
      <c r="J218" s="13" t="n"/>
      <c r="K218" s="13" t="n"/>
      <c r="L218" s="13" t="n"/>
      <c r="M218" s="13" t="n"/>
      <c r="N218" s="14">
        <f>IF(A218="","",COUNT(H218:M218)/6)</f>
        <v/>
      </c>
      <c r="O218" s="15">
        <f>IF(COUNT(H218:M218)=0,"",IF(LEN(IF(COUNT(I218,J218)=2,IF(J218&gt;I218+1,"EBE &gt; VA ",""),"")&amp;IF(COUNT(H218,M218)=2,IF(ABS(M218)&gt;ABS(H218),"RN &gt; CA ",""),"")&amp;IF(COUNT(H218,K218)=2,IF(ABS(K218)&gt;ABS(H218),"RE &gt; CA ",""),""))=0,"OK",IF(COUNT(I218,J218)=2,IF(J218&gt;I218+1,"EBE &gt; VA ",""),"")&amp;IF(COUNT(H218,M218)=2,IF(ABS(M218)&gt;ABS(H218),"RN &gt; CA ",""),"")&amp;IF(COUNT(H218,K218)=2,IF(ABS(K218)&gt;ABS(H218),"RE &gt; CA ",""),"")))</f>
        <v/>
      </c>
      <c r="P218" s="16">
        <f>IF(OR($A218="",H218="",$C218=""),"",IF(COUNTIFS($A$5:$A$639,$A218,$C$5:$C$639,$C218-1,$D$5:$D$639,$D218,H$5:H$639,"&lt;&gt;")=0,"",IF(OR(SUMIFS(H$5:H$639,$A$5:$A$639,$A218,$C$5:$C$639,$C218-1,$D$5:$D$639,$D218)=0,H218*SUMIFS(H$5:H$639,$A$5:$A$639,$A218,$C$5:$C$639,$C218-1,$D$5:$D$639,$D218)&lt;0),"n.s.",ABS(H218)/ABS(SUMIFS(H$5:H$639,$A$5:$A$639,$A218,$C$5:$C$639,$C218-1,$D$5:$D$639,$D218))-1)))</f>
        <v/>
      </c>
      <c r="Q218" s="16">
        <f>IF(OR($A218="",I218="",$C218=""),"",IF(COUNTIFS($A$5:$A$639,$A218,$C$5:$C$639,$C218-1,$D$5:$D$639,$D218,I$5:I$639,"&lt;&gt;")=0,"",IF(OR(SUMIFS(I$5:I$639,$A$5:$A$639,$A218,$C$5:$C$639,$C218-1,$D$5:$D$639,$D218)=0,I218*SUMIFS(I$5:I$639,$A$5:$A$639,$A218,$C$5:$C$639,$C218-1,$D$5:$D$639,$D218)&lt;0),"n.s.",ABS(I218)/ABS(SUMIFS(I$5:I$639,$A$5:$A$639,$A218,$C$5:$C$639,$C218-1,$D$5:$D$639,$D218))-1)))</f>
        <v/>
      </c>
      <c r="R218" s="16">
        <f>IF(OR($A218="",J218="",$C218=""),"",IF(COUNTIFS($A$5:$A$639,$A218,$C$5:$C$639,$C218-1,$D$5:$D$639,$D218,J$5:J$639,"&lt;&gt;")=0,"",IF(OR(SUMIFS(J$5:J$639,$A$5:$A$639,$A218,$C$5:$C$639,$C218-1,$D$5:$D$639,$D218)=0,J218*SUMIFS(J$5:J$639,$A$5:$A$639,$A218,$C$5:$C$639,$C218-1,$D$5:$D$639,$D218)&lt;0),"n.s.",ABS(J218)/ABS(SUMIFS(J$5:J$639,$A$5:$A$639,$A218,$C$5:$C$639,$C218-1,$D$5:$D$639,$D218))-1)))</f>
        <v/>
      </c>
      <c r="S218" s="16">
        <f>IF(OR($A218="",K218="",$C218=""),"",IF(COUNTIFS($A$5:$A$639,$A218,$C$5:$C$639,$C218-1,$D$5:$D$639,$D218,K$5:K$639,"&lt;&gt;")=0,"",IF(OR(SUMIFS(K$5:K$639,$A$5:$A$639,$A218,$C$5:$C$639,$C218-1,$D$5:$D$639,$D218)=0,K218*SUMIFS(K$5:K$639,$A$5:$A$639,$A218,$C$5:$C$639,$C218-1,$D$5:$D$639,$D218)&lt;0),"n.s.",ABS(K218)/ABS(SUMIFS(K$5:K$639,$A$5:$A$639,$A218,$C$5:$C$639,$C218-1,$D$5:$D$639,$D218))-1)))</f>
        <v/>
      </c>
      <c r="T218" s="16">
        <f>IF(OR($A218="",L218="",$C218=""),"",IF(COUNTIFS($A$5:$A$639,$A218,$C$5:$C$639,$C218-1,$D$5:$D$639,$D218,L$5:L$639,"&lt;&gt;")=0,"",IF(OR(SUMIFS(L$5:L$639,$A$5:$A$639,$A218,$C$5:$C$639,$C218-1,$D$5:$D$639,$D218)=0,L218*SUMIFS(L$5:L$639,$A$5:$A$639,$A218,$C$5:$C$639,$C218-1,$D$5:$D$639,$D218)&lt;0),"n.s.",ABS(L218)/ABS(SUMIFS(L$5:L$639,$A$5:$A$639,$A218,$C$5:$C$639,$C218-1,$D$5:$D$639,$D218))-1)))</f>
        <v/>
      </c>
      <c r="U218" s="16">
        <f>IF(OR($A218="",M218="",$C218=""),"",IF(COUNTIFS($A$5:$A$639,$A218,$C$5:$C$639,$C218-1,$D$5:$D$639,$D218,M$5:M$639,"&lt;&gt;")=0,"",IF(OR(SUMIFS(M$5:M$639,$A$5:$A$639,$A218,$C$5:$C$639,$C218-1,$D$5:$D$639,$D218)=0,M218*SUMIFS(M$5:M$639,$A$5:$A$639,$A218,$C$5:$C$639,$C218-1,$D$5:$D$639,$D218)&lt;0),"n.s.",ABS(M218)/ABS(SUMIFS(M$5:M$639,$A$5:$A$639,$A218,$C$5:$C$639,$C218-1,$D$5:$D$639,$D218))-1)))</f>
        <v/>
      </c>
    </row>
    <row r="219">
      <c r="A219" s="9" t="inlineStr">
        <is>
          <t>CFAC</t>
        </is>
      </c>
      <c r="B219" s="10">
        <f>IF(A219="","",IFERROR(VLOOKUP(A219,Titres!$A$2:$B$400,2,FALSE),"Ticker inconnu"))</f>
        <v/>
      </c>
      <c r="C219" s="11" t="n">
        <v>2026</v>
      </c>
      <c r="D219" s="11" t="inlineStr">
        <is>
          <t>S1</t>
        </is>
      </c>
      <c r="E219" s="9" t="n"/>
      <c r="F219" s="12" t="n"/>
      <c r="G219" s="9" t="n"/>
      <c r="H219" s="13" t="n"/>
      <c r="I219" s="13" t="n"/>
      <c r="J219" s="13" t="n"/>
      <c r="K219" s="13" t="n"/>
      <c r="L219" s="13" t="n"/>
      <c r="M219" s="13" t="n"/>
      <c r="N219" s="14">
        <f>IF(A219="","",COUNT(H219:M219)/6)</f>
        <v/>
      </c>
      <c r="O219" s="15">
        <f>IF(COUNT(H219:M219)=0,"",IF(LEN(IF(COUNT(I219,J219)=2,IF(J219&gt;I219+1,"EBE &gt; VA ",""),"")&amp;IF(COUNT(H219,M219)=2,IF(ABS(M219)&gt;ABS(H219),"RN &gt; CA ",""),"")&amp;IF(COUNT(H219,K219)=2,IF(ABS(K219)&gt;ABS(H219),"RE &gt; CA ",""),""))=0,"OK",IF(COUNT(I219,J219)=2,IF(J219&gt;I219+1,"EBE &gt; VA ",""),"")&amp;IF(COUNT(H219,M219)=2,IF(ABS(M219)&gt;ABS(H219),"RN &gt; CA ",""),"")&amp;IF(COUNT(H219,K219)=2,IF(ABS(K219)&gt;ABS(H219),"RE &gt; CA ",""),"")))</f>
        <v/>
      </c>
      <c r="P219" s="16">
        <f>IF(OR($A219="",H219="",$C219=""),"",IF(COUNTIFS($A$5:$A$639,$A219,$C$5:$C$639,$C219-1,$D$5:$D$639,$D219,H$5:H$639,"&lt;&gt;")=0,"",IF(OR(SUMIFS(H$5:H$639,$A$5:$A$639,$A219,$C$5:$C$639,$C219-1,$D$5:$D$639,$D219)=0,H219*SUMIFS(H$5:H$639,$A$5:$A$639,$A219,$C$5:$C$639,$C219-1,$D$5:$D$639,$D219)&lt;0),"n.s.",ABS(H219)/ABS(SUMIFS(H$5:H$639,$A$5:$A$639,$A219,$C$5:$C$639,$C219-1,$D$5:$D$639,$D219))-1)))</f>
        <v/>
      </c>
      <c r="Q219" s="16">
        <f>IF(OR($A219="",I219="",$C219=""),"",IF(COUNTIFS($A$5:$A$639,$A219,$C$5:$C$639,$C219-1,$D$5:$D$639,$D219,I$5:I$639,"&lt;&gt;")=0,"",IF(OR(SUMIFS(I$5:I$639,$A$5:$A$639,$A219,$C$5:$C$639,$C219-1,$D$5:$D$639,$D219)=0,I219*SUMIFS(I$5:I$639,$A$5:$A$639,$A219,$C$5:$C$639,$C219-1,$D$5:$D$639,$D219)&lt;0),"n.s.",ABS(I219)/ABS(SUMIFS(I$5:I$639,$A$5:$A$639,$A219,$C$5:$C$639,$C219-1,$D$5:$D$639,$D219))-1)))</f>
        <v/>
      </c>
      <c r="R219" s="16">
        <f>IF(OR($A219="",J219="",$C219=""),"",IF(COUNTIFS($A$5:$A$639,$A219,$C$5:$C$639,$C219-1,$D$5:$D$639,$D219,J$5:J$639,"&lt;&gt;")=0,"",IF(OR(SUMIFS(J$5:J$639,$A$5:$A$639,$A219,$C$5:$C$639,$C219-1,$D$5:$D$639,$D219)=0,J219*SUMIFS(J$5:J$639,$A$5:$A$639,$A219,$C$5:$C$639,$C219-1,$D$5:$D$639,$D219)&lt;0),"n.s.",ABS(J219)/ABS(SUMIFS(J$5:J$639,$A$5:$A$639,$A219,$C$5:$C$639,$C219-1,$D$5:$D$639,$D219))-1)))</f>
        <v/>
      </c>
      <c r="S219" s="16">
        <f>IF(OR($A219="",K219="",$C219=""),"",IF(COUNTIFS($A$5:$A$639,$A219,$C$5:$C$639,$C219-1,$D$5:$D$639,$D219,K$5:K$639,"&lt;&gt;")=0,"",IF(OR(SUMIFS(K$5:K$639,$A$5:$A$639,$A219,$C$5:$C$639,$C219-1,$D$5:$D$639,$D219)=0,K219*SUMIFS(K$5:K$639,$A$5:$A$639,$A219,$C$5:$C$639,$C219-1,$D$5:$D$639,$D219)&lt;0),"n.s.",ABS(K219)/ABS(SUMIFS(K$5:K$639,$A$5:$A$639,$A219,$C$5:$C$639,$C219-1,$D$5:$D$639,$D219))-1)))</f>
        <v/>
      </c>
      <c r="T219" s="16">
        <f>IF(OR($A219="",L219="",$C219=""),"",IF(COUNTIFS($A$5:$A$639,$A219,$C$5:$C$639,$C219-1,$D$5:$D$639,$D219,L$5:L$639,"&lt;&gt;")=0,"",IF(OR(SUMIFS(L$5:L$639,$A$5:$A$639,$A219,$C$5:$C$639,$C219-1,$D$5:$D$639,$D219)=0,L219*SUMIFS(L$5:L$639,$A$5:$A$639,$A219,$C$5:$C$639,$C219-1,$D$5:$D$639,$D219)&lt;0),"n.s.",ABS(L219)/ABS(SUMIFS(L$5:L$639,$A$5:$A$639,$A219,$C$5:$C$639,$C219-1,$D$5:$D$639,$D219))-1)))</f>
        <v/>
      </c>
      <c r="U219" s="16">
        <f>IF(OR($A219="",M219="",$C219=""),"",IF(COUNTIFS($A$5:$A$639,$A219,$C$5:$C$639,$C219-1,$D$5:$D$639,$D219,M$5:M$639,"&lt;&gt;")=0,"",IF(OR(SUMIFS(M$5:M$639,$A$5:$A$639,$A219,$C$5:$C$639,$C219-1,$D$5:$D$639,$D219)=0,M219*SUMIFS(M$5:M$639,$A$5:$A$639,$A219,$C$5:$C$639,$C219-1,$D$5:$D$639,$D219)&lt;0),"n.s.",ABS(M219)/ABS(SUMIFS(M$5:M$639,$A$5:$A$639,$A219,$C$5:$C$639,$C219-1,$D$5:$D$639,$D219))-1)))</f>
        <v/>
      </c>
    </row>
    <row r="220">
      <c r="A220" s="9" t="inlineStr">
        <is>
          <t>CFAC</t>
        </is>
      </c>
      <c r="B220" s="10">
        <f>IF(A220="","",IFERROR(VLOOKUP(A220,Titres!$A$2:$B$400,2,FALSE),"Ticker inconnu"))</f>
        <v/>
      </c>
      <c r="C220" s="11" t="n">
        <v>2026</v>
      </c>
      <c r="D220" s="11" t="inlineStr">
        <is>
          <t>T3</t>
        </is>
      </c>
      <c r="E220" s="9" t="n"/>
      <c r="F220" s="12" t="n"/>
      <c r="G220" s="9" t="n"/>
      <c r="H220" s="13" t="n"/>
      <c r="I220" s="13" t="n"/>
      <c r="J220" s="13" t="n"/>
      <c r="K220" s="13" t="n"/>
      <c r="L220" s="13" t="n"/>
      <c r="M220" s="13" t="n"/>
      <c r="N220" s="14">
        <f>IF(A220="","",COUNT(H220:M220)/6)</f>
        <v/>
      </c>
      <c r="O220" s="15">
        <f>IF(COUNT(H220:M220)=0,"",IF(LEN(IF(COUNT(I220,J220)=2,IF(J220&gt;I220+1,"EBE &gt; VA ",""),"")&amp;IF(COUNT(H220,M220)=2,IF(ABS(M220)&gt;ABS(H220),"RN &gt; CA ",""),"")&amp;IF(COUNT(H220,K220)=2,IF(ABS(K220)&gt;ABS(H220),"RE &gt; CA ",""),""))=0,"OK",IF(COUNT(I220,J220)=2,IF(J220&gt;I220+1,"EBE &gt; VA ",""),"")&amp;IF(COUNT(H220,M220)=2,IF(ABS(M220)&gt;ABS(H220),"RN &gt; CA ",""),"")&amp;IF(COUNT(H220,K220)=2,IF(ABS(K220)&gt;ABS(H220),"RE &gt; CA ",""),"")))</f>
        <v/>
      </c>
      <c r="P220" s="16">
        <f>IF(OR($A220="",H220="",$C220=""),"",IF(COUNTIFS($A$5:$A$639,$A220,$C$5:$C$639,$C220-1,$D$5:$D$639,$D220,H$5:H$639,"&lt;&gt;")=0,"",IF(OR(SUMIFS(H$5:H$639,$A$5:$A$639,$A220,$C$5:$C$639,$C220-1,$D$5:$D$639,$D220)=0,H220*SUMIFS(H$5:H$639,$A$5:$A$639,$A220,$C$5:$C$639,$C220-1,$D$5:$D$639,$D220)&lt;0),"n.s.",ABS(H220)/ABS(SUMIFS(H$5:H$639,$A$5:$A$639,$A220,$C$5:$C$639,$C220-1,$D$5:$D$639,$D220))-1)))</f>
        <v/>
      </c>
      <c r="Q220" s="16">
        <f>IF(OR($A220="",I220="",$C220=""),"",IF(COUNTIFS($A$5:$A$639,$A220,$C$5:$C$639,$C220-1,$D$5:$D$639,$D220,I$5:I$639,"&lt;&gt;")=0,"",IF(OR(SUMIFS(I$5:I$639,$A$5:$A$639,$A220,$C$5:$C$639,$C220-1,$D$5:$D$639,$D220)=0,I220*SUMIFS(I$5:I$639,$A$5:$A$639,$A220,$C$5:$C$639,$C220-1,$D$5:$D$639,$D220)&lt;0),"n.s.",ABS(I220)/ABS(SUMIFS(I$5:I$639,$A$5:$A$639,$A220,$C$5:$C$639,$C220-1,$D$5:$D$639,$D220))-1)))</f>
        <v/>
      </c>
      <c r="R220" s="16">
        <f>IF(OR($A220="",J220="",$C220=""),"",IF(COUNTIFS($A$5:$A$639,$A220,$C$5:$C$639,$C220-1,$D$5:$D$639,$D220,J$5:J$639,"&lt;&gt;")=0,"",IF(OR(SUMIFS(J$5:J$639,$A$5:$A$639,$A220,$C$5:$C$639,$C220-1,$D$5:$D$639,$D220)=0,J220*SUMIFS(J$5:J$639,$A$5:$A$639,$A220,$C$5:$C$639,$C220-1,$D$5:$D$639,$D220)&lt;0),"n.s.",ABS(J220)/ABS(SUMIFS(J$5:J$639,$A$5:$A$639,$A220,$C$5:$C$639,$C220-1,$D$5:$D$639,$D220))-1)))</f>
        <v/>
      </c>
      <c r="S220" s="16">
        <f>IF(OR($A220="",K220="",$C220=""),"",IF(COUNTIFS($A$5:$A$639,$A220,$C$5:$C$639,$C220-1,$D$5:$D$639,$D220,K$5:K$639,"&lt;&gt;")=0,"",IF(OR(SUMIFS(K$5:K$639,$A$5:$A$639,$A220,$C$5:$C$639,$C220-1,$D$5:$D$639,$D220)=0,K220*SUMIFS(K$5:K$639,$A$5:$A$639,$A220,$C$5:$C$639,$C220-1,$D$5:$D$639,$D220)&lt;0),"n.s.",ABS(K220)/ABS(SUMIFS(K$5:K$639,$A$5:$A$639,$A220,$C$5:$C$639,$C220-1,$D$5:$D$639,$D220))-1)))</f>
        <v/>
      </c>
      <c r="T220" s="16">
        <f>IF(OR($A220="",L220="",$C220=""),"",IF(COUNTIFS($A$5:$A$639,$A220,$C$5:$C$639,$C220-1,$D$5:$D$639,$D220,L$5:L$639,"&lt;&gt;")=0,"",IF(OR(SUMIFS(L$5:L$639,$A$5:$A$639,$A220,$C$5:$C$639,$C220-1,$D$5:$D$639,$D220)=0,L220*SUMIFS(L$5:L$639,$A$5:$A$639,$A220,$C$5:$C$639,$C220-1,$D$5:$D$639,$D220)&lt;0),"n.s.",ABS(L220)/ABS(SUMIFS(L$5:L$639,$A$5:$A$639,$A220,$C$5:$C$639,$C220-1,$D$5:$D$639,$D220))-1)))</f>
        <v/>
      </c>
      <c r="U220" s="16">
        <f>IF(OR($A220="",M220="",$C220=""),"",IF(COUNTIFS($A$5:$A$639,$A220,$C$5:$C$639,$C220-1,$D$5:$D$639,$D220,M$5:M$639,"&lt;&gt;")=0,"",IF(OR(SUMIFS(M$5:M$639,$A$5:$A$639,$A220,$C$5:$C$639,$C220-1,$D$5:$D$639,$D220)=0,M220*SUMIFS(M$5:M$639,$A$5:$A$639,$A220,$C$5:$C$639,$C220-1,$D$5:$D$639,$D220)&lt;0),"n.s.",ABS(M220)/ABS(SUMIFS(M$5:M$639,$A$5:$A$639,$A220,$C$5:$C$639,$C220-1,$D$5:$D$639,$D220))-1)))</f>
        <v/>
      </c>
    </row>
    <row r="221">
      <c r="A221" s="9" t="inlineStr">
        <is>
          <t>LNBB</t>
        </is>
      </c>
      <c r="B221" s="10">
        <f>IF(A221="","",IFERROR(VLOOKUP(A221,Titres!$A$2:$B$400,2,FALSE),"Ticker inconnu"))</f>
        <v/>
      </c>
      <c r="C221" s="11" t="n">
        <v>2021</v>
      </c>
      <c r="D221" s="11" t="inlineStr">
        <is>
          <t>T1</t>
        </is>
      </c>
      <c r="E221" s="9" t="n"/>
      <c r="F221" s="12" t="n"/>
      <c r="G221" s="9" t="n"/>
      <c r="H221" s="13" t="n"/>
      <c r="I221" s="13" t="n"/>
      <c r="J221" s="13" t="n"/>
      <c r="K221" s="13" t="n"/>
      <c r="L221" s="13" t="n"/>
      <c r="M221" s="13" t="n"/>
      <c r="N221" s="14">
        <f>IF(A221="","",COUNT(H221:M221)/6)</f>
        <v/>
      </c>
      <c r="O221" s="15">
        <f>IF(COUNT(H221:M221)=0,"",IF(LEN(IF(COUNT(I221,J221)=2,IF(J221&gt;I221+1,"EBE &gt; VA ",""),"")&amp;IF(COUNT(H221,M221)=2,IF(ABS(M221)&gt;ABS(H221),"RN &gt; CA ",""),"")&amp;IF(COUNT(H221,K221)=2,IF(ABS(K221)&gt;ABS(H221),"RE &gt; CA ",""),""))=0,"OK",IF(COUNT(I221,J221)=2,IF(J221&gt;I221+1,"EBE &gt; VA ",""),"")&amp;IF(COUNT(H221,M221)=2,IF(ABS(M221)&gt;ABS(H221),"RN &gt; CA ",""),"")&amp;IF(COUNT(H221,K221)=2,IF(ABS(K221)&gt;ABS(H221),"RE &gt; CA ",""),"")))</f>
        <v/>
      </c>
      <c r="P221" s="16">
        <f>IF(OR($A221="",H221="",$C221=""),"",IF(COUNTIFS($A$5:$A$639,$A221,$C$5:$C$639,$C221-1,$D$5:$D$639,$D221,H$5:H$639,"&lt;&gt;")=0,"",IF(OR(SUMIFS(H$5:H$639,$A$5:$A$639,$A221,$C$5:$C$639,$C221-1,$D$5:$D$639,$D221)=0,H221*SUMIFS(H$5:H$639,$A$5:$A$639,$A221,$C$5:$C$639,$C221-1,$D$5:$D$639,$D221)&lt;0),"n.s.",ABS(H221)/ABS(SUMIFS(H$5:H$639,$A$5:$A$639,$A221,$C$5:$C$639,$C221-1,$D$5:$D$639,$D221))-1)))</f>
        <v/>
      </c>
      <c r="Q221" s="16">
        <f>IF(OR($A221="",I221="",$C221=""),"",IF(COUNTIFS($A$5:$A$639,$A221,$C$5:$C$639,$C221-1,$D$5:$D$639,$D221,I$5:I$639,"&lt;&gt;")=0,"",IF(OR(SUMIFS(I$5:I$639,$A$5:$A$639,$A221,$C$5:$C$639,$C221-1,$D$5:$D$639,$D221)=0,I221*SUMIFS(I$5:I$639,$A$5:$A$639,$A221,$C$5:$C$639,$C221-1,$D$5:$D$639,$D221)&lt;0),"n.s.",ABS(I221)/ABS(SUMIFS(I$5:I$639,$A$5:$A$639,$A221,$C$5:$C$639,$C221-1,$D$5:$D$639,$D221))-1)))</f>
        <v/>
      </c>
      <c r="R221" s="16">
        <f>IF(OR($A221="",J221="",$C221=""),"",IF(COUNTIFS($A$5:$A$639,$A221,$C$5:$C$639,$C221-1,$D$5:$D$639,$D221,J$5:J$639,"&lt;&gt;")=0,"",IF(OR(SUMIFS(J$5:J$639,$A$5:$A$639,$A221,$C$5:$C$639,$C221-1,$D$5:$D$639,$D221)=0,J221*SUMIFS(J$5:J$639,$A$5:$A$639,$A221,$C$5:$C$639,$C221-1,$D$5:$D$639,$D221)&lt;0),"n.s.",ABS(J221)/ABS(SUMIFS(J$5:J$639,$A$5:$A$639,$A221,$C$5:$C$639,$C221-1,$D$5:$D$639,$D221))-1)))</f>
        <v/>
      </c>
      <c r="S221" s="16">
        <f>IF(OR($A221="",K221="",$C221=""),"",IF(COUNTIFS($A$5:$A$639,$A221,$C$5:$C$639,$C221-1,$D$5:$D$639,$D221,K$5:K$639,"&lt;&gt;")=0,"",IF(OR(SUMIFS(K$5:K$639,$A$5:$A$639,$A221,$C$5:$C$639,$C221-1,$D$5:$D$639,$D221)=0,K221*SUMIFS(K$5:K$639,$A$5:$A$639,$A221,$C$5:$C$639,$C221-1,$D$5:$D$639,$D221)&lt;0),"n.s.",ABS(K221)/ABS(SUMIFS(K$5:K$639,$A$5:$A$639,$A221,$C$5:$C$639,$C221-1,$D$5:$D$639,$D221))-1)))</f>
        <v/>
      </c>
      <c r="T221" s="16">
        <f>IF(OR($A221="",L221="",$C221=""),"",IF(COUNTIFS($A$5:$A$639,$A221,$C$5:$C$639,$C221-1,$D$5:$D$639,$D221,L$5:L$639,"&lt;&gt;")=0,"",IF(OR(SUMIFS(L$5:L$639,$A$5:$A$639,$A221,$C$5:$C$639,$C221-1,$D$5:$D$639,$D221)=0,L221*SUMIFS(L$5:L$639,$A$5:$A$639,$A221,$C$5:$C$639,$C221-1,$D$5:$D$639,$D221)&lt;0),"n.s.",ABS(L221)/ABS(SUMIFS(L$5:L$639,$A$5:$A$639,$A221,$C$5:$C$639,$C221-1,$D$5:$D$639,$D221))-1)))</f>
        <v/>
      </c>
      <c r="U221" s="16">
        <f>IF(OR($A221="",M221="",$C221=""),"",IF(COUNTIFS($A$5:$A$639,$A221,$C$5:$C$639,$C221-1,$D$5:$D$639,$D221,M$5:M$639,"&lt;&gt;")=0,"",IF(OR(SUMIFS(M$5:M$639,$A$5:$A$639,$A221,$C$5:$C$639,$C221-1,$D$5:$D$639,$D221)=0,M221*SUMIFS(M$5:M$639,$A$5:$A$639,$A221,$C$5:$C$639,$C221-1,$D$5:$D$639,$D221)&lt;0),"n.s.",ABS(M221)/ABS(SUMIFS(M$5:M$639,$A$5:$A$639,$A221,$C$5:$C$639,$C221-1,$D$5:$D$639,$D221))-1)))</f>
        <v/>
      </c>
    </row>
    <row r="222">
      <c r="A222" s="9" t="inlineStr">
        <is>
          <t>LNBB</t>
        </is>
      </c>
      <c r="B222" s="10">
        <f>IF(A222="","",IFERROR(VLOOKUP(A222,Titres!$A$2:$B$400,2,FALSE),"Ticker inconnu"))</f>
        <v/>
      </c>
      <c r="C222" s="11" t="n">
        <v>2021</v>
      </c>
      <c r="D222" s="11" t="inlineStr">
        <is>
          <t>S1</t>
        </is>
      </c>
      <c r="E222" s="9" t="n"/>
      <c r="F222" s="12" t="n"/>
      <c r="G222" s="9" t="n"/>
      <c r="H222" s="13" t="n"/>
      <c r="I222" s="13" t="n"/>
      <c r="J222" s="13" t="n"/>
      <c r="K222" s="13" t="n"/>
      <c r="L222" s="13" t="n"/>
      <c r="M222" s="13" t="n"/>
      <c r="N222" s="14">
        <f>IF(A222="","",COUNT(H222:M222)/6)</f>
        <v/>
      </c>
      <c r="O222" s="15">
        <f>IF(COUNT(H222:M222)=0,"",IF(LEN(IF(COUNT(I222,J222)=2,IF(J222&gt;I222+1,"EBE &gt; VA ",""),"")&amp;IF(COUNT(H222,M222)=2,IF(ABS(M222)&gt;ABS(H222),"RN &gt; CA ",""),"")&amp;IF(COUNT(H222,K222)=2,IF(ABS(K222)&gt;ABS(H222),"RE &gt; CA ",""),""))=0,"OK",IF(COUNT(I222,J222)=2,IF(J222&gt;I222+1,"EBE &gt; VA ",""),"")&amp;IF(COUNT(H222,M222)=2,IF(ABS(M222)&gt;ABS(H222),"RN &gt; CA ",""),"")&amp;IF(COUNT(H222,K222)=2,IF(ABS(K222)&gt;ABS(H222),"RE &gt; CA ",""),"")))</f>
        <v/>
      </c>
      <c r="P222" s="16">
        <f>IF(OR($A222="",H222="",$C222=""),"",IF(COUNTIFS($A$5:$A$639,$A222,$C$5:$C$639,$C222-1,$D$5:$D$639,$D222,H$5:H$639,"&lt;&gt;")=0,"",IF(OR(SUMIFS(H$5:H$639,$A$5:$A$639,$A222,$C$5:$C$639,$C222-1,$D$5:$D$639,$D222)=0,H222*SUMIFS(H$5:H$639,$A$5:$A$639,$A222,$C$5:$C$639,$C222-1,$D$5:$D$639,$D222)&lt;0),"n.s.",ABS(H222)/ABS(SUMIFS(H$5:H$639,$A$5:$A$639,$A222,$C$5:$C$639,$C222-1,$D$5:$D$639,$D222))-1)))</f>
        <v/>
      </c>
      <c r="Q222" s="16">
        <f>IF(OR($A222="",I222="",$C222=""),"",IF(COUNTIFS($A$5:$A$639,$A222,$C$5:$C$639,$C222-1,$D$5:$D$639,$D222,I$5:I$639,"&lt;&gt;")=0,"",IF(OR(SUMIFS(I$5:I$639,$A$5:$A$639,$A222,$C$5:$C$639,$C222-1,$D$5:$D$639,$D222)=0,I222*SUMIFS(I$5:I$639,$A$5:$A$639,$A222,$C$5:$C$639,$C222-1,$D$5:$D$639,$D222)&lt;0),"n.s.",ABS(I222)/ABS(SUMIFS(I$5:I$639,$A$5:$A$639,$A222,$C$5:$C$639,$C222-1,$D$5:$D$639,$D222))-1)))</f>
        <v/>
      </c>
      <c r="R222" s="16">
        <f>IF(OR($A222="",J222="",$C222=""),"",IF(COUNTIFS($A$5:$A$639,$A222,$C$5:$C$639,$C222-1,$D$5:$D$639,$D222,J$5:J$639,"&lt;&gt;")=0,"",IF(OR(SUMIFS(J$5:J$639,$A$5:$A$639,$A222,$C$5:$C$639,$C222-1,$D$5:$D$639,$D222)=0,J222*SUMIFS(J$5:J$639,$A$5:$A$639,$A222,$C$5:$C$639,$C222-1,$D$5:$D$639,$D222)&lt;0),"n.s.",ABS(J222)/ABS(SUMIFS(J$5:J$639,$A$5:$A$639,$A222,$C$5:$C$639,$C222-1,$D$5:$D$639,$D222))-1)))</f>
        <v/>
      </c>
      <c r="S222" s="16">
        <f>IF(OR($A222="",K222="",$C222=""),"",IF(COUNTIFS($A$5:$A$639,$A222,$C$5:$C$639,$C222-1,$D$5:$D$639,$D222,K$5:K$639,"&lt;&gt;")=0,"",IF(OR(SUMIFS(K$5:K$639,$A$5:$A$639,$A222,$C$5:$C$639,$C222-1,$D$5:$D$639,$D222)=0,K222*SUMIFS(K$5:K$639,$A$5:$A$639,$A222,$C$5:$C$639,$C222-1,$D$5:$D$639,$D222)&lt;0),"n.s.",ABS(K222)/ABS(SUMIFS(K$5:K$639,$A$5:$A$639,$A222,$C$5:$C$639,$C222-1,$D$5:$D$639,$D222))-1)))</f>
        <v/>
      </c>
      <c r="T222" s="16">
        <f>IF(OR($A222="",L222="",$C222=""),"",IF(COUNTIFS($A$5:$A$639,$A222,$C$5:$C$639,$C222-1,$D$5:$D$639,$D222,L$5:L$639,"&lt;&gt;")=0,"",IF(OR(SUMIFS(L$5:L$639,$A$5:$A$639,$A222,$C$5:$C$639,$C222-1,$D$5:$D$639,$D222)=0,L222*SUMIFS(L$5:L$639,$A$5:$A$639,$A222,$C$5:$C$639,$C222-1,$D$5:$D$639,$D222)&lt;0),"n.s.",ABS(L222)/ABS(SUMIFS(L$5:L$639,$A$5:$A$639,$A222,$C$5:$C$639,$C222-1,$D$5:$D$639,$D222))-1)))</f>
        <v/>
      </c>
      <c r="U222" s="16">
        <f>IF(OR($A222="",M222="",$C222=""),"",IF(COUNTIFS($A$5:$A$639,$A222,$C$5:$C$639,$C222-1,$D$5:$D$639,$D222,M$5:M$639,"&lt;&gt;")=0,"",IF(OR(SUMIFS(M$5:M$639,$A$5:$A$639,$A222,$C$5:$C$639,$C222-1,$D$5:$D$639,$D222)=0,M222*SUMIFS(M$5:M$639,$A$5:$A$639,$A222,$C$5:$C$639,$C222-1,$D$5:$D$639,$D222)&lt;0),"n.s.",ABS(M222)/ABS(SUMIFS(M$5:M$639,$A$5:$A$639,$A222,$C$5:$C$639,$C222-1,$D$5:$D$639,$D222))-1)))</f>
        <v/>
      </c>
    </row>
    <row r="223">
      <c r="A223" s="9" t="inlineStr">
        <is>
          <t>LNBB</t>
        </is>
      </c>
      <c r="B223" s="10">
        <f>IF(A223="","",IFERROR(VLOOKUP(A223,Titres!$A$2:$B$400,2,FALSE),"Ticker inconnu"))</f>
        <v/>
      </c>
      <c r="C223" s="11" t="n">
        <v>2021</v>
      </c>
      <c r="D223" s="11" t="inlineStr">
        <is>
          <t>T3</t>
        </is>
      </c>
      <c r="E223" s="9" t="n"/>
      <c r="F223" s="12" t="n"/>
      <c r="G223" s="9" t="n"/>
      <c r="H223" s="13" t="n"/>
      <c r="I223" s="13" t="n"/>
      <c r="J223" s="13" t="n"/>
      <c r="K223" s="13" t="n"/>
      <c r="L223" s="13" t="n"/>
      <c r="M223" s="13" t="n"/>
      <c r="N223" s="14">
        <f>IF(A223="","",COUNT(H223:M223)/6)</f>
        <v/>
      </c>
      <c r="O223" s="15">
        <f>IF(COUNT(H223:M223)=0,"",IF(LEN(IF(COUNT(I223,J223)=2,IF(J223&gt;I223+1,"EBE &gt; VA ",""),"")&amp;IF(COUNT(H223,M223)=2,IF(ABS(M223)&gt;ABS(H223),"RN &gt; CA ",""),"")&amp;IF(COUNT(H223,K223)=2,IF(ABS(K223)&gt;ABS(H223),"RE &gt; CA ",""),""))=0,"OK",IF(COUNT(I223,J223)=2,IF(J223&gt;I223+1,"EBE &gt; VA ",""),"")&amp;IF(COUNT(H223,M223)=2,IF(ABS(M223)&gt;ABS(H223),"RN &gt; CA ",""),"")&amp;IF(COUNT(H223,K223)=2,IF(ABS(K223)&gt;ABS(H223),"RE &gt; CA ",""),"")))</f>
        <v/>
      </c>
      <c r="P223" s="16">
        <f>IF(OR($A223="",H223="",$C223=""),"",IF(COUNTIFS($A$5:$A$639,$A223,$C$5:$C$639,$C223-1,$D$5:$D$639,$D223,H$5:H$639,"&lt;&gt;")=0,"",IF(OR(SUMIFS(H$5:H$639,$A$5:$A$639,$A223,$C$5:$C$639,$C223-1,$D$5:$D$639,$D223)=0,H223*SUMIFS(H$5:H$639,$A$5:$A$639,$A223,$C$5:$C$639,$C223-1,$D$5:$D$639,$D223)&lt;0),"n.s.",ABS(H223)/ABS(SUMIFS(H$5:H$639,$A$5:$A$639,$A223,$C$5:$C$639,$C223-1,$D$5:$D$639,$D223))-1)))</f>
        <v/>
      </c>
      <c r="Q223" s="16">
        <f>IF(OR($A223="",I223="",$C223=""),"",IF(COUNTIFS($A$5:$A$639,$A223,$C$5:$C$639,$C223-1,$D$5:$D$639,$D223,I$5:I$639,"&lt;&gt;")=0,"",IF(OR(SUMIFS(I$5:I$639,$A$5:$A$639,$A223,$C$5:$C$639,$C223-1,$D$5:$D$639,$D223)=0,I223*SUMIFS(I$5:I$639,$A$5:$A$639,$A223,$C$5:$C$639,$C223-1,$D$5:$D$639,$D223)&lt;0),"n.s.",ABS(I223)/ABS(SUMIFS(I$5:I$639,$A$5:$A$639,$A223,$C$5:$C$639,$C223-1,$D$5:$D$639,$D223))-1)))</f>
        <v/>
      </c>
      <c r="R223" s="16">
        <f>IF(OR($A223="",J223="",$C223=""),"",IF(COUNTIFS($A$5:$A$639,$A223,$C$5:$C$639,$C223-1,$D$5:$D$639,$D223,J$5:J$639,"&lt;&gt;")=0,"",IF(OR(SUMIFS(J$5:J$639,$A$5:$A$639,$A223,$C$5:$C$639,$C223-1,$D$5:$D$639,$D223)=0,J223*SUMIFS(J$5:J$639,$A$5:$A$639,$A223,$C$5:$C$639,$C223-1,$D$5:$D$639,$D223)&lt;0),"n.s.",ABS(J223)/ABS(SUMIFS(J$5:J$639,$A$5:$A$639,$A223,$C$5:$C$639,$C223-1,$D$5:$D$639,$D223))-1)))</f>
        <v/>
      </c>
      <c r="S223" s="16">
        <f>IF(OR($A223="",K223="",$C223=""),"",IF(COUNTIFS($A$5:$A$639,$A223,$C$5:$C$639,$C223-1,$D$5:$D$639,$D223,K$5:K$639,"&lt;&gt;")=0,"",IF(OR(SUMIFS(K$5:K$639,$A$5:$A$639,$A223,$C$5:$C$639,$C223-1,$D$5:$D$639,$D223)=0,K223*SUMIFS(K$5:K$639,$A$5:$A$639,$A223,$C$5:$C$639,$C223-1,$D$5:$D$639,$D223)&lt;0),"n.s.",ABS(K223)/ABS(SUMIFS(K$5:K$639,$A$5:$A$639,$A223,$C$5:$C$639,$C223-1,$D$5:$D$639,$D223))-1)))</f>
        <v/>
      </c>
      <c r="T223" s="16">
        <f>IF(OR($A223="",L223="",$C223=""),"",IF(COUNTIFS($A$5:$A$639,$A223,$C$5:$C$639,$C223-1,$D$5:$D$639,$D223,L$5:L$639,"&lt;&gt;")=0,"",IF(OR(SUMIFS(L$5:L$639,$A$5:$A$639,$A223,$C$5:$C$639,$C223-1,$D$5:$D$639,$D223)=0,L223*SUMIFS(L$5:L$639,$A$5:$A$639,$A223,$C$5:$C$639,$C223-1,$D$5:$D$639,$D223)&lt;0),"n.s.",ABS(L223)/ABS(SUMIFS(L$5:L$639,$A$5:$A$639,$A223,$C$5:$C$639,$C223-1,$D$5:$D$639,$D223))-1)))</f>
        <v/>
      </c>
      <c r="U223" s="16">
        <f>IF(OR($A223="",M223="",$C223=""),"",IF(COUNTIFS($A$5:$A$639,$A223,$C$5:$C$639,$C223-1,$D$5:$D$639,$D223,M$5:M$639,"&lt;&gt;")=0,"",IF(OR(SUMIFS(M$5:M$639,$A$5:$A$639,$A223,$C$5:$C$639,$C223-1,$D$5:$D$639,$D223)=0,M223*SUMIFS(M$5:M$639,$A$5:$A$639,$A223,$C$5:$C$639,$C223-1,$D$5:$D$639,$D223)&lt;0),"n.s.",ABS(M223)/ABS(SUMIFS(M$5:M$639,$A$5:$A$639,$A223,$C$5:$C$639,$C223-1,$D$5:$D$639,$D223))-1)))</f>
        <v/>
      </c>
    </row>
    <row r="224">
      <c r="A224" s="9" t="inlineStr">
        <is>
          <t>LNBB</t>
        </is>
      </c>
      <c r="B224" s="10">
        <f>IF(A224="","",IFERROR(VLOOKUP(A224,Titres!$A$2:$B$400,2,FALSE),"Ticker inconnu"))</f>
        <v/>
      </c>
      <c r="C224" s="11" t="n">
        <v>2022</v>
      </c>
      <c r="D224" s="11" t="inlineStr">
        <is>
          <t>T1</t>
        </is>
      </c>
      <c r="E224" s="9" t="n"/>
      <c r="F224" s="12" t="n"/>
      <c r="G224" s="9" t="n"/>
      <c r="H224" s="13" t="n"/>
      <c r="I224" s="13" t="n"/>
      <c r="J224" s="13" t="n"/>
      <c r="K224" s="13" t="n"/>
      <c r="L224" s="13" t="n"/>
      <c r="M224" s="13" t="n"/>
      <c r="N224" s="14">
        <f>IF(A224="","",COUNT(H224:M224)/6)</f>
        <v/>
      </c>
      <c r="O224" s="15">
        <f>IF(COUNT(H224:M224)=0,"",IF(LEN(IF(COUNT(I224,J224)=2,IF(J224&gt;I224+1,"EBE &gt; VA ",""),"")&amp;IF(COUNT(H224,M224)=2,IF(ABS(M224)&gt;ABS(H224),"RN &gt; CA ",""),"")&amp;IF(COUNT(H224,K224)=2,IF(ABS(K224)&gt;ABS(H224),"RE &gt; CA ",""),""))=0,"OK",IF(COUNT(I224,J224)=2,IF(J224&gt;I224+1,"EBE &gt; VA ",""),"")&amp;IF(COUNT(H224,M224)=2,IF(ABS(M224)&gt;ABS(H224),"RN &gt; CA ",""),"")&amp;IF(COUNT(H224,K224)=2,IF(ABS(K224)&gt;ABS(H224),"RE &gt; CA ",""),"")))</f>
        <v/>
      </c>
      <c r="P224" s="16">
        <f>IF(OR($A224="",H224="",$C224=""),"",IF(COUNTIFS($A$5:$A$639,$A224,$C$5:$C$639,$C224-1,$D$5:$D$639,$D224,H$5:H$639,"&lt;&gt;")=0,"",IF(OR(SUMIFS(H$5:H$639,$A$5:$A$639,$A224,$C$5:$C$639,$C224-1,$D$5:$D$639,$D224)=0,H224*SUMIFS(H$5:H$639,$A$5:$A$639,$A224,$C$5:$C$639,$C224-1,$D$5:$D$639,$D224)&lt;0),"n.s.",ABS(H224)/ABS(SUMIFS(H$5:H$639,$A$5:$A$639,$A224,$C$5:$C$639,$C224-1,$D$5:$D$639,$D224))-1)))</f>
        <v/>
      </c>
      <c r="Q224" s="16">
        <f>IF(OR($A224="",I224="",$C224=""),"",IF(COUNTIFS($A$5:$A$639,$A224,$C$5:$C$639,$C224-1,$D$5:$D$639,$D224,I$5:I$639,"&lt;&gt;")=0,"",IF(OR(SUMIFS(I$5:I$639,$A$5:$A$639,$A224,$C$5:$C$639,$C224-1,$D$5:$D$639,$D224)=0,I224*SUMIFS(I$5:I$639,$A$5:$A$639,$A224,$C$5:$C$639,$C224-1,$D$5:$D$639,$D224)&lt;0),"n.s.",ABS(I224)/ABS(SUMIFS(I$5:I$639,$A$5:$A$639,$A224,$C$5:$C$639,$C224-1,$D$5:$D$639,$D224))-1)))</f>
        <v/>
      </c>
      <c r="R224" s="16">
        <f>IF(OR($A224="",J224="",$C224=""),"",IF(COUNTIFS($A$5:$A$639,$A224,$C$5:$C$639,$C224-1,$D$5:$D$639,$D224,J$5:J$639,"&lt;&gt;")=0,"",IF(OR(SUMIFS(J$5:J$639,$A$5:$A$639,$A224,$C$5:$C$639,$C224-1,$D$5:$D$639,$D224)=0,J224*SUMIFS(J$5:J$639,$A$5:$A$639,$A224,$C$5:$C$639,$C224-1,$D$5:$D$639,$D224)&lt;0),"n.s.",ABS(J224)/ABS(SUMIFS(J$5:J$639,$A$5:$A$639,$A224,$C$5:$C$639,$C224-1,$D$5:$D$639,$D224))-1)))</f>
        <v/>
      </c>
      <c r="S224" s="16">
        <f>IF(OR($A224="",K224="",$C224=""),"",IF(COUNTIFS($A$5:$A$639,$A224,$C$5:$C$639,$C224-1,$D$5:$D$639,$D224,K$5:K$639,"&lt;&gt;")=0,"",IF(OR(SUMIFS(K$5:K$639,$A$5:$A$639,$A224,$C$5:$C$639,$C224-1,$D$5:$D$639,$D224)=0,K224*SUMIFS(K$5:K$639,$A$5:$A$639,$A224,$C$5:$C$639,$C224-1,$D$5:$D$639,$D224)&lt;0),"n.s.",ABS(K224)/ABS(SUMIFS(K$5:K$639,$A$5:$A$639,$A224,$C$5:$C$639,$C224-1,$D$5:$D$639,$D224))-1)))</f>
        <v/>
      </c>
      <c r="T224" s="16">
        <f>IF(OR($A224="",L224="",$C224=""),"",IF(COUNTIFS($A$5:$A$639,$A224,$C$5:$C$639,$C224-1,$D$5:$D$639,$D224,L$5:L$639,"&lt;&gt;")=0,"",IF(OR(SUMIFS(L$5:L$639,$A$5:$A$639,$A224,$C$5:$C$639,$C224-1,$D$5:$D$639,$D224)=0,L224*SUMIFS(L$5:L$639,$A$5:$A$639,$A224,$C$5:$C$639,$C224-1,$D$5:$D$639,$D224)&lt;0),"n.s.",ABS(L224)/ABS(SUMIFS(L$5:L$639,$A$5:$A$639,$A224,$C$5:$C$639,$C224-1,$D$5:$D$639,$D224))-1)))</f>
        <v/>
      </c>
      <c r="U224" s="16">
        <f>IF(OR($A224="",M224="",$C224=""),"",IF(COUNTIFS($A$5:$A$639,$A224,$C$5:$C$639,$C224-1,$D$5:$D$639,$D224,M$5:M$639,"&lt;&gt;")=0,"",IF(OR(SUMIFS(M$5:M$639,$A$5:$A$639,$A224,$C$5:$C$639,$C224-1,$D$5:$D$639,$D224)=0,M224*SUMIFS(M$5:M$639,$A$5:$A$639,$A224,$C$5:$C$639,$C224-1,$D$5:$D$639,$D224)&lt;0),"n.s.",ABS(M224)/ABS(SUMIFS(M$5:M$639,$A$5:$A$639,$A224,$C$5:$C$639,$C224-1,$D$5:$D$639,$D224))-1)))</f>
        <v/>
      </c>
    </row>
    <row r="225">
      <c r="A225" s="9" t="inlineStr">
        <is>
          <t>LNBB</t>
        </is>
      </c>
      <c r="B225" s="10">
        <f>IF(A225="","",IFERROR(VLOOKUP(A225,Titres!$A$2:$B$400,2,FALSE),"Ticker inconnu"))</f>
        <v/>
      </c>
      <c r="C225" s="11" t="n">
        <v>2022</v>
      </c>
      <c r="D225" s="11" t="inlineStr">
        <is>
          <t>S1</t>
        </is>
      </c>
      <c r="E225" s="9" t="n"/>
      <c r="F225" s="12" t="n"/>
      <c r="G225" s="9" t="n"/>
      <c r="H225" s="13" t="n"/>
      <c r="I225" s="13" t="n"/>
      <c r="J225" s="13" t="n"/>
      <c r="K225" s="13" t="n"/>
      <c r="L225" s="13" t="n"/>
      <c r="M225" s="13" t="n"/>
      <c r="N225" s="14">
        <f>IF(A225="","",COUNT(H225:M225)/6)</f>
        <v/>
      </c>
      <c r="O225" s="15">
        <f>IF(COUNT(H225:M225)=0,"",IF(LEN(IF(COUNT(I225,J225)=2,IF(J225&gt;I225+1,"EBE &gt; VA ",""),"")&amp;IF(COUNT(H225,M225)=2,IF(ABS(M225)&gt;ABS(H225),"RN &gt; CA ",""),"")&amp;IF(COUNT(H225,K225)=2,IF(ABS(K225)&gt;ABS(H225),"RE &gt; CA ",""),""))=0,"OK",IF(COUNT(I225,J225)=2,IF(J225&gt;I225+1,"EBE &gt; VA ",""),"")&amp;IF(COUNT(H225,M225)=2,IF(ABS(M225)&gt;ABS(H225),"RN &gt; CA ",""),"")&amp;IF(COUNT(H225,K225)=2,IF(ABS(K225)&gt;ABS(H225),"RE &gt; CA ",""),"")))</f>
        <v/>
      </c>
      <c r="P225" s="16">
        <f>IF(OR($A225="",H225="",$C225=""),"",IF(COUNTIFS($A$5:$A$639,$A225,$C$5:$C$639,$C225-1,$D$5:$D$639,$D225,H$5:H$639,"&lt;&gt;")=0,"",IF(OR(SUMIFS(H$5:H$639,$A$5:$A$639,$A225,$C$5:$C$639,$C225-1,$D$5:$D$639,$D225)=0,H225*SUMIFS(H$5:H$639,$A$5:$A$639,$A225,$C$5:$C$639,$C225-1,$D$5:$D$639,$D225)&lt;0),"n.s.",ABS(H225)/ABS(SUMIFS(H$5:H$639,$A$5:$A$639,$A225,$C$5:$C$639,$C225-1,$D$5:$D$639,$D225))-1)))</f>
        <v/>
      </c>
      <c r="Q225" s="16">
        <f>IF(OR($A225="",I225="",$C225=""),"",IF(COUNTIFS($A$5:$A$639,$A225,$C$5:$C$639,$C225-1,$D$5:$D$639,$D225,I$5:I$639,"&lt;&gt;")=0,"",IF(OR(SUMIFS(I$5:I$639,$A$5:$A$639,$A225,$C$5:$C$639,$C225-1,$D$5:$D$639,$D225)=0,I225*SUMIFS(I$5:I$639,$A$5:$A$639,$A225,$C$5:$C$639,$C225-1,$D$5:$D$639,$D225)&lt;0),"n.s.",ABS(I225)/ABS(SUMIFS(I$5:I$639,$A$5:$A$639,$A225,$C$5:$C$639,$C225-1,$D$5:$D$639,$D225))-1)))</f>
        <v/>
      </c>
      <c r="R225" s="16">
        <f>IF(OR($A225="",J225="",$C225=""),"",IF(COUNTIFS($A$5:$A$639,$A225,$C$5:$C$639,$C225-1,$D$5:$D$639,$D225,J$5:J$639,"&lt;&gt;")=0,"",IF(OR(SUMIFS(J$5:J$639,$A$5:$A$639,$A225,$C$5:$C$639,$C225-1,$D$5:$D$639,$D225)=0,J225*SUMIFS(J$5:J$639,$A$5:$A$639,$A225,$C$5:$C$639,$C225-1,$D$5:$D$639,$D225)&lt;0),"n.s.",ABS(J225)/ABS(SUMIFS(J$5:J$639,$A$5:$A$639,$A225,$C$5:$C$639,$C225-1,$D$5:$D$639,$D225))-1)))</f>
        <v/>
      </c>
      <c r="S225" s="16">
        <f>IF(OR($A225="",K225="",$C225=""),"",IF(COUNTIFS($A$5:$A$639,$A225,$C$5:$C$639,$C225-1,$D$5:$D$639,$D225,K$5:K$639,"&lt;&gt;")=0,"",IF(OR(SUMIFS(K$5:K$639,$A$5:$A$639,$A225,$C$5:$C$639,$C225-1,$D$5:$D$639,$D225)=0,K225*SUMIFS(K$5:K$639,$A$5:$A$639,$A225,$C$5:$C$639,$C225-1,$D$5:$D$639,$D225)&lt;0),"n.s.",ABS(K225)/ABS(SUMIFS(K$5:K$639,$A$5:$A$639,$A225,$C$5:$C$639,$C225-1,$D$5:$D$639,$D225))-1)))</f>
        <v/>
      </c>
      <c r="T225" s="16">
        <f>IF(OR($A225="",L225="",$C225=""),"",IF(COUNTIFS($A$5:$A$639,$A225,$C$5:$C$639,$C225-1,$D$5:$D$639,$D225,L$5:L$639,"&lt;&gt;")=0,"",IF(OR(SUMIFS(L$5:L$639,$A$5:$A$639,$A225,$C$5:$C$639,$C225-1,$D$5:$D$639,$D225)=0,L225*SUMIFS(L$5:L$639,$A$5:$A$639,$A225,$C$5:$C$639,$C225-1,$D$5:$D$639,$D225)&lt;0),"n.s.",ABS(L225)/ABS(SUMIFS(L$5:L$639,$A$5:$A$639,$A225,$C$5:$C$639,$C225-1,$D$5:$D$639,$D225))-1)))</f>
        <v/>
      </c>
      <c r="U225" s="16">
        <f>IF(OR($A225="",M225="",$C225=""),"",IF(COUNTIFS($A$5:$A$639,$A225,$C$5:$C$639,$C225-1,$D$5:$D$639,$D225,M$5:M$639,"&lt;&gt;")=0,"",IF(OR(SUMIFS(M$5:M$639,$A$5:$A$639,$A225,$C$5:$C$639,$C225-1,$D$5:$D$639,$D225)=0,M225*SUMIFS(M$5:M$639,$A$5:$A$639,$A225,$C$5:$C$639,$C225-1,$D$5:$D$639,$D225)&lt;0),"n.s.",ABS(M225)/ABS(SUMIFS(M$5:M$639,$A$5:$A$639,$A225,$C$5:$C$639,$C225-1,$D$5:$D$639,$D225))-1)))</f>
        <v/>
      </c>
    </row>
    <row r="226">
      <c r="A226" s="9" t="inlineStr">
        <is>
          <t>LNBB</t>
        </is>
      </c>
      <c r="B226" s="10">
        <f>IF(A226="","",IFERROR(VLOOKUP(A226,Titres!$A$2:$B$400,2,FALSE),"Ticker inconnu"))</f>
        <v/>
      </c>
      <c r="C226" s="11" t="n">
        <v>2022</v>
      </c>
      <c r="D226" s="11" t="inlineStr">
        <is>
          <t>T3</t>
        </is>
      </c>
      <c r="E226" s="9" t="n"/>
      <c r="F226" s="12" t="n"/>
      <c r="G226" s="9" t="n"/>
      <c r="H226" s="13" t="n"/>
      <c r="I226" s="13" t="n"/>
      <c r="J226" s="13" t="n"/>
      <c r="K226" s="13" t="n"/>
      <c r="L226" s="13" t="n"/>
      <c r="M226" s="13" t="n"/>
      <c r="N226" s="14">
        <f>IF(A226="","",COUNT(H226:M226)/6)</f>
        <v/>
      </c>
      <c r="O226" s="15">
        <f>IF(COUNT(H226:M226)=0,"",IF(LEN(IF(COUNT(I226,J226)=2,IF(J226&gt;I226+1,"EBE &gt; VA ",""),"")&amp;IF(COUNT(H226,M226)=2,IF(ABS(M226)&gt;ABS(H226),"RN &gt; CA ",""),"")&amp;IF(COUNT(H226,K226)=2,IF(ABS(K226)&gt;ABS(H226),"RE &gt; CA ",""),""))=0,"OK",IF(COUNT(I226,J226)=2,IF(J226&gt;I226+1,"EBE &gt; VA ",""),"")&amp;IF(COUNT(H226,M226)=2,IF(ABS(M226)&gt;ABS(H226),"RN &gt; CA ",""),"")&amp;IF(COUNT(H226,K226)=2,IF(ABS(K226)&gt;ABS(H226),"RE &gt; CA ",""),"")))</f>
        <v/>
      </c>
      <c r="P226" s="16">
        <f>IF(OR($A226="",H226="",$C226=""),"",IF(COUNTIFS($A$5:$A$639,$A226,$C$5:$C$639,$C226-1,$D$5:$D$639,$D226,H$5:H$639,"&lt;&gt;")=0,"",IF(OR(SUMIFS(H$5:H$639,$A$5:$A$639,$A226,$C$5:$C$639,$C226-1,$D$5:$D$639,$D226)=0,H226*SUMIFS(H$5:H$639,$A$5:$A$639,$A226,$C$5:$C$639,$C226-1,$D$5:$D$639,$D226)&lt;0),"n.s.",ABS(H226)/ABS(SUMIFS(H$5:H$639,$A$5:$A$639,$A226,$C$5:$C$639,$C226-1,$D$5:$D$639,$D226))-1)))</f>
        <v/>
      </c>
      <c r="Q226" s="16">
        <f>IF(OR($A226="",I226="",$C226=""),"",IF(COUNTIFS($A$5:$A$639,$A226,$C$5:$C$639,$C226-1,$D$5:$D$639,$D226,I$5:I$639,"&lt;&gt;")=0,"",IF(OR(SUMIFS(I$5:I$639,$A$5:$A$639,$A226,$C$5:$C$639,$C226-1,$D$5:$D$639,$D226)=0,I226*SUMIFS(I$5:I$639,$A$5:$A$639,$A226,$C$5:$C$639,$C226-1,$D$5:$D$639,$D226)&lt;0),"n.s.",ABS(I226)/ABS(SUMIFS(I$5:I$639,$A$5:$A$639,$A226,$C$5:$C$639,$C226-1,$D$5:$D$639,$D226))-1)))</f>
        <v/>
      </c>
      <c r="R226" s="16">
        <f>IF(OR($A226="",J226="",$C226=""),"",IF(COUNTIFS($A$5:$A$639,$A226,$C$5:$C$639,$C226-1,$D$5:$D$639,$D226,J$5:J$639,"&lt;&gt;")=0,"",IF(OR(SUMIFS(J$5:J$639,$A$5:$A$639,$A226,$C$5:$C$639,$C226-1,$D$5:$D$639,$D226)=0,J226*SUMIFS(J$5:J$639,$A$5:$A$639,$A226,$C$5:$C$639,$C226-1,$D$5:$D$639,$D226)&lt;0),"n.s.",ABS(J226)/ABS(SUMIFS(J$5:J$639,$A$5:$A$639,$A226,$C$5:$C$639,$C226-1,$D$5:$D$639,$D226))-1)))</f>
        <v/>
      </c>
      <c r="S226" s="16">
        <f>IF(OR($A226="",K226="",$C226=""),"",IF(COUNTIFS($A$5:$A$639,$A226,$C$5:$C$639,$C226-1,$D$5:$D$639,$D226,K$5:K$639,"&lt;&gt;")=0,"",IF(OR(SUMIFS(K$5:K$639,$A$5:$A$639,$A226,$C$5:$C$639,$C226-1,$D$5:$D$639,$D226)=0,K226*SUMIFS(K$5:K$639,$A$5:$A$639,$A226,$C$5:$C$639,$C226-1,$D$5:$D$639,$D226)&lt;0),"n.s.",ABS(K226)/ABS(SUMIFS(K$5:K$639,$A$5:$A$639,$A226,$C$5:$C$639,$C226-1,$D$5:$D$639,$D226))-1)))</f>
        <v/>
      </c>
      <c r="T226" s="16">
        <f>IF(OR($A226="",L226="",$C226=""),"",IF(COUNTIFS($A$5:$A$639,$A226,$C$5:$C$639,$C226-1,$D$5:$D$639,$D226,L$5:L$639,"&lt;&gt;")=0,"",IF(OR(SUMIFS(L$5:L$639,$A$5:$A$639,$A226,$C$5:$C$639,$C226-1,$D$5:$D$639,$D226)=0,L226*SUMIFS(L$5:L$639,$A$5:$A$639,$A226,$C$5:$C$639,$C226-1,$D$5:$D$639,$D226)&lt;0),"n.s.",ABS(L226)/ABS(SUMIFS(L$5:L$639,$A$5:$A$639,$A226,$C$5:$C$639,$C226-1,$D$5:$D$639,$D226))-1)))</f>
        <v/>
      </c>
      <c r="U226" s="16">
        <f>IF(OR($A226="",M226="",$C226=""),"",IF(COUNTIFS($A$5:$A$639,$A226,$C$5:$C$639,$C226-1,$D$5:$D$639,$D226,M$5:M$639,"&lt;&gt;")=0,"",IF(OR(SUMIFS(M$5:M$639,$A$5:$A$639,$A226,$C$5:$C$639,$C226-1,$D$5:$D$639,$D226)=0,M226*SUMIFS(M$5:M$639,$A$5:$A$639,$A226,$C$5:$C$639,$C226-1,$D$5:$D$639,$D226)&lt;0),"n.s.",ABS(M226)/ABS(SUMIFS(M$5:M$639,$A$5:$A$639,$A226,$C$5:$C$639,$C226-1,$D$5:$D$639,$D226))-1)))</f>
        <v/>
      </c>
    </row>
    <row r="227">
      <c r="A227" s="9" t="inlineStr">
        <is>
          <t>LNBB</t>
        </is>
      </c>
      <c r="B227" s="10">
        <f>IF(A227="","",IFERROR(VLOOKUP(A227,Titres!$A$2:$B$400,2,FALSE),"Ticker inconnu"))</f>
        <v/>
      </c>
      <c r="C227" s="11" t="n">
        <v>2023</v>
      </c>
      <c r="D227" s="11" t="inlineStr">
        <is>
          <t>T1</t>
        </is>
      </c>
      <c r="E227" s="9" t="n"/>
      <c r="F227" s="12" t="n"/>
      <c r="G227" s="9" t="n"/>
      <c r="H227" s="13" t="n"/>
      <c r="I227" s="13" t="n"/>
      <c r="J227" s="13" t="n"/>
      <c r="K227" s="13" t="n"/>
      <c r="L227" s="13" t="n"/>
      <c r="M227" s="13" t="n"/>
      <c r="N227" s="14">
        <f>IF(A227="","",COUNT(H227:M227)/6)</f>
        <v/>
      </c>
      <c r="O227" s="15">
        <f>IF(COUNT(H227:M227)=0,"",IF(LEN(IF(COUNT(I227,J227)=2,IF(J227&gt;I227+1,"EBE &gt; VA ",""),"")&amp;IF(COUNT(H227,M227)=2,IF(ABS(M227)&gt;ABS(H227),"RN &gt; CA ",""),"")&amp;IF(COUNT(H227,K227)=2,IF(ABS(K227)&gt;ABS(H227),"RE &gt; CA ",""),""))=0,"OK",IF(COUNT(I227,J227)=2,IF(J227&gt;I227+1,"EBE &gt; VA ",""),"")&amp;IF(COUNT(H227,M227)=2,IF(ABS(M227)&gt;ABS(H227),"RN &gt; CA ",""),"")&amp;IF(COUNT(H227,K227)=2,IF(ABS(K227)&gt;ABS(H227),"RE &gt; CA ",""),"")))</f>
        <v/>
      </c>
      <c r="P227" s="16">
        <f>IF(OR($A227="",H227="",$C227=""),"",IF(COUNTIFS($A$5:$A$639,$A227,$C$5:$C$639,$C227-1,$D$5:$D$639,$D227,H$5:H$639,"&lt;&gt;")=0,"",IF(OR(SUMIFS(H$5:H$639,$A$5:$A$639,$A227,$C$5:$C$639,$C227-1,$D$5:$D$639,$D227)=0,H227*SUMIFS(H$5:H$639,$A$5:$A$639,$A227,$C$5:$C$639,$C227-1,$D$5:$D$639,$D227)&lt;0),"n.s.",ABS(H227)/ABS(SUMIFS(H$5:H$639,$A$5:$A$639,$A227,$C$5:$C$639,$C227-1,$D$5:$D$639,$D227))-1)))</f>
        <v/>
      </c>
      <c r="Q227" s="16">
        <f>IF(OR($A227="",I227="",$C227=""),"",IF(COUNTIFS($A$5:$A$639,$A227,$C$5:$C$639,$C227-1,$D$5:$D$639,$D227,I$5:I$639,"&lt;&gt;")=0,"",IF(OR(SUMIFS(I$5:I$639,$A$5:$A$639,$A227,$C$5:$C$639,$C227-1,$D$5:$D$639,$D227)=0,I227*SUMIFS(I$5:I$639,$A$5:$A$639,$A227,$C$5:$C$639,$C227-1,$D$5:$D$639,$D227)&lt;0),"n.s.",ABS(I227)/ABS(SUMIFS(I$5:I$639,$A$5:$A$639,$A227,$C$5:$C$639,$C227-1,$D$5:$D$639,$D227))-1)))</f>
        <v/>
      </c>
      <c r="R227" s="16">
        <f>IF(OR($A227="",J227="",$C227=""),"",IF(COUNTIFS($A$5:$A$639,$A227,$C$5:$C$639,$C227-1,$D$5:$D$639,$D227,J$5:J$639,"&lt;&gt;")=0,"",IF(OR(SUMIFS(J$5:J$639,$A$5:$A$639,$A227,$C$5:$C$639,$C227-1,$D$5:$D$639,$D227)=0,J227*SUMIFS(J$5:J$639,$A$5:$A$639,$A227,$C$5:$C$639,$C227-1,$D$5:$D$639,$D227)&lt;0),"n.s.",ABS(J227)/ABS(SUMIFS(J$5:J$639,$A$5:$A$639,$A227,$C$5:$C$639,$C227-1,$D$5:$D$639,$D227))-1)))</f>
        <v/>
      </c>
      <c r="S227" s="16">
        <f>IF(OR($A227="",K227="",$C227=""),"",IF(COUNTIFS($A$5:$A$639,$A227,$C$5:$C$639,$C227-1,$D$5:$D$639,$D227,K$5:K$639,"&lt;&gt;")=0,"",IF(OR(SUMIFS(K$5:K$639,$A$5:$A$639,$A227,$C$5:$C$639,$C227-1,$D$5:$D$639,$D227)=0,K227*SUMIFS(K$5:K$639,$A$5:$A$639,$A227,$C$5:$C$639,$C227-1,$D$5:$D$639,$D227)&lt;0),"n.s.",ABS(K227)/ABS(SUMIFS(K$5:K$639,$A$5:$A$639,$A227,$C$5:$C$639,$C227-1,$D$5:$D$639,$D227))-1)))</f>
        <v/>
      </c>
      <c r="T227" s="16">
        <f>IF(OR($A227="",L227="",$C227=""),"",IF(COUNTIFS($A$5:$A$639,$A227,$C$5:$C$639,$C227-1,$D$5:$D$639,$D227,L$5:L$639,"&lt;&gt;")=0,"",IF(OR(SUMIFS(L$5:L$639,$A$5:$A$639,$A227,$C$5:$C$639,$C227-1,$D$5:$D$639,$D227)=0,L227*SUMIFS(L$5:L$639,$A$5:$A$639,$A227,$C$5:$C$639,$C227-1,$D$5:$D$639,$D227)&lt;0),"n.s.",ABS(L227)/ABS(SUMIFS(L$5:L$639,$A$5:$A$639,$A227,$C$5:$C$639,$C227-1,$D$5:$D$639,$D227))-1)))</f>
        <v/>
      </c>
      <c r="U227" s="16">
        <f>IF(OR($A227="",M227="",$C227=""),"",IF(COUNTIFS($A$5:$A$639,$A227,$C$5:$C$639,$C227-1,$D$5:$D$639,$D227,M$5:M$639,"&lt;&gt;")=0,"",IF(OR(SUMIFS(M$5:M$639,$A$5:$A$639,$A227,$C$5:$C$639,$C227-1,$D$5:$D$639,$D227)=0,M227*SUMIFS(M$5:M$639,$A$5:$A$639,$A227,$C$5:$C$639,$C227-1,$D$5:$D$639,$D227)&lt;0),"n.s.",ABS(M227)/ABS(SUMIFS(M$5:M$639,$A$5:$A$639,$A227,$C$5:$C$639,$C227-1,$D$5:$D$639,$D227))-1)))</f>
        <v/>
      </c>
    </row>
    <row r="228">
      <c r="A228" s="9" t="inlineStr">
        <is>
          <t>LNBB</t>
        </is>
      </c>
      <c r="B228" s="10">
        <f>IF(A228="","",IFERROR(VLOOKUP(A228,Titres!$A$2:$B$400,2,FALSE),"Ticker inconnu"))</f>
        <v/>
      </c>
      <c r="C228" s="11" t="n">
        <v>2023</v>
      </c>
      <c r="D228" s="11" t="inlineStr">
        <is>
          <t>S1</t>
        </is>
      </c>
      <c r="E228" s="9" t="n"/>
      <c r="F228" s="12" t="n"/>
      <c r="G228" s="9" t="n"/>
      <c r="H228" s="13" t="n"/>
      <c r="I228" s="13" t="n"/>
      <c r="J228" s="13" t="n"/>
      <c r="K228" s="13" t="n"/>
      <c r="L228" s="13" t="n"/>
      <c r="M228" s="13" t="n"/>
      <c r="N228" s="14">
        <f>IF(A228="","",COUNT(H228:M228)/6)</f>
        <v/>
      </c>
      <c r="O228" s="15">
        <f>IF(COUNT(H228:M228)=0,"",IF(LEN(IF(COUNT(I228,J228)=2,IF(J228&gt;I228+1,"EBE &gt; VA ",""),"")&amp;IF(COUNT(H228,M228)=2,IF(ABS(M228)&gt;ABS(H228),"RN &gt; CA ",""),"")&amp;IF(COUNT(H228,K228)=2,IF(ABS(K228)&gt;ABS(H228),"RE &gt; CA ",""),""))=0,"OK",IF(COUNT(I228,J228)=2,IF(J228&gt;I228+1,"EBE &gt; VA ",""),"")&amp;IF(COUNT(H228,M228)=2,IF(ABS(M228)&gt;ABS(H228),"RN &gt; CA ",""),"")&amp;IF(COUNT(H228,K228)=2,IF(ABS(K228)&gt;ABS(H228),"RE &gt; CA ",""),"")))</f>
        <v/>
      </c>
      <c r="P228" s="16">
        <f>IF(OR($A228="",H228="",$C228=""),"",IF(COUNTIFS($A$5:$A$639,$A228,$C$5:$C$639,$C228-1,$D$5:$D$639,$D228,H$5:H$639,"&lt;&gt;")=0,"",IF(OR(SUMIFS(H$5:H$639,$A$5:$A$639,$A228,$C$5:$C$639,$C228-1,$D$5:$D$639,$D228)=0,H228*SUMIFS(H$5:H$639,$A$5:$A$639,$A228,$C$5:$C$639,$C228-1,$D$5:$D$639,$D228)&lt;0),"n.s.",ABS(H228)/ABS(SUMIFS(H$5:H$639,$A$5:$A$639,$A228,$C$5:$C$639,$C228-1,$D$5:$D$639,$D228))-1)))</f>
        <v/>
      </c>
      <c r="Q228" s="16">
        <f>IF(OR($A228="",I228="",$C228=""),"",IF(COUNTIFS($A$5:$A$639,$A228,$C$5:$C$639,$C228-1,$D$5:$D$639,$D228,I$5:I$639,"&lt;&gt;")=0,"",IF(OR(SUMIFS(I$5:I$639,$A$5:$A$639,$A228,$C$5:$C$639,$C228-1,$D$5:$D$639,$D228)=0,I228*SUMIFS(I$5:I$639,$A$5:$A$639,$A228,$C$5:$C$639,$C228-1,$D$5:$D$639,$D228)&lt;0),"n.s.",ABS(I228)/ABS(SUMIFS(I$5:I$639,$A$5:$A$639,$A228,$C$5:$C$639,$C228-1,$D$5:$D$639,$D228))-1)))</f>
        <v/>
      </c>
      <c r="R228" s="16">
        <f>IF(OR($A228="",J228="",$C228=""),"",IF(COUNTIFS($A$5:$A$639,$A228,$C$5:$C$639,$C228-1,$D$5:$D$639,$D228,J$5:J$639,"&lt;&gt;")=0,"",IF(OR(SUMIFS(J$5:J$639,$A$5:$A$639,$A228,$C$5:$C$639,$C228-1,$D$5:$D$639,$D228)=0,J228*SUMIFS(J$5:J$639,$A$5:$A$639,$A228,$C$5:$C$639,$C228-1,$D$5:$D$639,$D228)&lt;0),"n.s.",ABS(J228)/ABS(SUMIFS(J$5:J$639,$A$5:$A$639,$A228,$C$5:$C$639,$C228-1,$D$5:$D$639,$D228))-1)))</f>
        <v/>
      </c>
      <c r="S228" s="16">
        <f>IF(OR($A228="",K228="",$C228=""),"",IF(COUNTIFS($A$5:$A$639,$A228,$C$5:$C$639,$C228-1,$D$5:$D$639,$D228,K$5:K$639,"&lt;&gt;")=0,"",IF(OR(SUMIFS(K$5:K$639,$A$5:$A$639,$A228,$C$5:$C$639,$C228-1,$D$5:$D$639,$D228)=0,K228*SUMIFS(K$5:K$639,$A$5:$A$639,$A228,$C$5:$C$639,$C228-1,$D$5:$D$639,$D228)&lt;0),"n.s.",ABS(K228)/ABS(SUMIFS(K$5:K$639,$A$5:$A$639,$A228,$C$5:$C$639,$C228-1,$D$5:$D$639,$D228))-1)))</f>
        <v/>
      </c>
      <c r="T228" s="16">
        <f>IF(OR($A228="",L228="",$C228=""),"",IF(COUNTIFS($A$5:$A$639,$A228,$C$5:$C$639,$C228-1,$D$5:$D$639,$D228,L$5:L$639,"&lt;&gt;")=0,"",IF(OR(SUMIFS(L$5:L$639,$A$5:$A$639,$A228,$C$5:$C$639,$C228-1,$D$5:$D$639,$D228)=0,L228*SUMIFS(L$5:L$639,$A$5:$A$639,$A228,$C$5:$C$639,$C228-1,$D$5:$D$639,$D228)&lt;0),"n.s.",ABS(L228)/ABS(SUMIFS(L$5:L$639,$A$5:$A$639,$A228,$C$5:$C$639,$C228-1,$D$5:$D$639,$D228))-1)))</f>
        <v/>
      </c>
      <c r="U228" s="16">
        <f>IF(OR($A228="",M228="",$C228=""),"",IF(COUNTIFS($A$5:$A$639,$A228,$C$5:$C$639,$C228-1,$D$5:$D$639,$D228,M$5:M$639,"&lt;&gt;")=0,"",IF(OR(SUMIFS(M$5:M$639,$A$5:$A$639,$A228,$C$5:$C$639,$C228-1,$D$5:$D$639,$D228)=0,M228*SUMIFS(M$5:M$639,$A$5:$A$639,$A228,$C$5:$C$639,$C228-1,$D$5:$D$639,$D228)&lt;0),"n.s.",ABS(M228)/ABS(SUMIFS(M$5:M$639,$A$5:$A$639,$A228,$C$5:$C$639,$C228-1,$D$5:$D$639,$D228))-1)))</f>
        <v/>
      </c>
    </row>
    <row r="229">
      <c r="A229" s="9" t="inlineStr">
        <is>
          <t>LNBB</t>
        </is>
      </c>
      <c r="B229" s="10">
        <f>IF(A229="","",IFERROR(VLOOKUP(A229,Titres!$A$2:$B$400,2,FALSE),"Ticker inconnu"))</f>
        <v/>
      </c>
      <c r="C229" s="11" t="n">
        <v>2023</v>
      </c>
      <c r="D229" s="11" t="inlineStr">
        <is>
          <t>T3</t>
        </is>
      </c>
      <c r="E229" s="9" t="n"/>
      <c r="F229" s="12" t="n"/>
      <c r="G229" s="9" t="n"/>
      <c r="H229" s="13" t="n"/>
      <c r="I229" s="13" t="n"/>
      <c r="J229" s="13" t="n"/>
      <c r="K229" s="13" t="n"/>
      <c r="L229" s="13" t="n"/>
      <c r="M229" s="13" t="n"/>
      <c r="N229" s="14">
        <f>IF(A229="","",COUNT(H229:M229)/6)</f>
        <v/>
      </c>
      <c r="O229" s="15">
        <f>IF(COUNT(H229:M229)=0,"",IF(LEN(IF(COUNT(I229,J229)=2,IF(J229&gt;I229+1,"EBE &gt; VA ",""),"")&amp;IF(COUNT(H229,M229)=2,IF(ABS(M229)&gt;ABS(H229),"RN &gt; CA ",""),"")&amp;IF(COUNT(H229,K229)=2,IF(ABS(K229)&gt;ABS(H229),"RE &gt; CA ",""),""))=0,"OK",IF(COUNT(I229,J229)=2,IF(J229&gt;I229+1,"EBE &gt; VA ",""),"")&amp;IF(COUNT(H229,M229)=2,IF(ABS(M229)&gt;ABS(H229),"RN &gt; CA ",""),"")&amp;IF(COUNT(H229,K229)=2,IF(ABS(K229)&gt;ABS(H229),"RE &gt; CA ",""),"")))</f>
        <v/>
      </c>
      <c r="P229" s="16">
        <f>IF(OR($A229="",H229="",$C229=""),"",IF(COUNTIFS($A$5:$A$639,$A229,$C$5:$C$639,$C229-1,$D$5:$D$639,$D229,H$5:H$639,"&lt;&gt;")=0,"",IF(OR(SUMIFS(H$5:H$639,$A$5:$A$639,$A229,$C$5:$C$639,$C229-1,$D$5:$D$639,$D229)=0,H229*SUMIFS(H$5:H$639,$A$5:$A$639,$A229,$C$5:$C$639,$C229-1,$D$5:$D$639,$D229)&lt;0),"n.s.",ABS(H229)/ABS(SUMIFS(H$5:H$639,$A$5:$A$639,$A229,$C$5:$C$639,$C229-1,$D$5:$D$639,$D229))-1)))</f>
        <v/>
      </c>
      <c r="Q229" s="16">
        <f>IF(OR($A229="",I229="",$C229=""),"",IF(COUNTIFS($A$5:$A$639,$A229,$C$5:$C$639,$C229-1,$D$5:$D$639,$D229,I$5:I$639,"&lt;&gt;")=0,"",IF(OR(SUMIFS(I$5:I$639,$A$5:$A$639,$A229,$C$5:$C$639,$C229-1,$D$5:$D$639,$D229)=0,I229*SUMIFS(I$5:I$639,$A$5:$A$639,$A229,$C$5:$C$639,$C229-1,$D$5:$D$639,$D229)&lt;0),"n.s.",ABS(I229)/ABS(SUMIFS(I$5:I$639,$A$5:$A$639,$A229,$C$5:$C$639,$C229-1,$D$5:$D$639,$D229))-1)))</f>
        <v/>
      </c>
      <c r="R229" s="16">
        <f>IF(OR($A229="",J229="",$C229=""),"",IF(COUNTIFS($A$5:$A$639,$A229,$C$5:$C$639,$C229-1,$D$5:$D$639,$D229,J$5:J$639,"&lt;&gt;")=0,"",IF(OR(SUMIFS(J$5:J$639,$A$5:$A$639,$A229,$C$5:$C$639,$C229-1,$D$5:$D$639,$D229)=0,J229*SUMIFS(J$5:J$639,$A$5:$A$639,$A229,$C$5:$C$639,$C229-1,$D$5:$D$639,$D229)&lt;0),"n.s.",ABS(J229)/ABS(SUMIFS(J$5:J$639,$A$5:$A$639,$A229,$C$5:$C$639,$C229-1,$D$5:$D$639,$D229))-1)))</f>
        <v/>
      </c>
      <c r="S229" s="16">
        <f>IF(OR($A229="",K229="",$C229=""),"",IF(COUNTIFS($A$5:$A$639,$A229,$C$5:$C$639,$C229-1,$D$5:$D$639,$D229,K$5:K$639,"&lt;&gt;")=0,"",IF(OR(SUMIFS(K$5:K$639,$A$5:$A$639,$A229,$C$5:$C$639,$C229-1,$D$5:$D$639,$D229)=0,K229*SUMIFS(K$5:K$639,$A$5:$A$639,$A229,$C$5:$C$639,$C229-1,$D$5:$D$639,$D229)&lt;0),"n.s.",ABS(K229)/ABS(SUMIFS(K$5:K$639,$A$5:$A$639,$A229,$C$5:$C$639,$C229-1,$D$5:$D$639,$D229))-1)))</f>
        <v/>
      </c>
      <c r="T229" s="16">
        <f>IF(OR($A229="",L229="",$C229=""),"",IF(COUNTIFS($A$5:$A$639,$A229,$C$5:$C$639,$C229-1,$D$5:$D$639,$D229,L$5:L$639,"&lt;&gt;")=0,"",IF(OR(SUMIFS(L$5:L$639,$A$5:$A$639,$A229,$C$5:$C$639,$C229-1,$D$5:$D$639,$D229)=0,L229*SUMIFS(L$5:L$639,$A$5:$A$639,$A229,$C$5:$C$639,$C229-1,$D$5:$D$639,$D229)&lt;0),"n.s.",ABS(L229)/ABS(SUMIFS(L$5:L$639,$A$5:$A$639,$A229,$C$5:$C$639,$C229-1,$D$5:$D$639,$D229))-1)))</f>
        <v/>
      </c>
      <c r="U229" s="16">
        <f>IF(OR($A229="",M229="",$C229=""),"",IF(COUNTIFS($A$5:$A$639,$A229,$C$5:$C$639,$C229-1,$D$5:$D$639,$D229,M$5:M$639,"&lt;&gt;")=0,"",IF(OR(SUMIFS(M$5:M$639,$A$5:$A$639,$A229,$C$5:$C$639,$C229-1,$D$5:$D$639,$D229)=0,M229*SUMIFS(M$5:M$639,$A$5:$A$639,$A229,$C$5:$C$639,$C229-1,$D$5:$D$639,$D229)&lt;0),"n.s.",ABS(M229)/ABS(SUMIFS(M$5:M$639,$A$5:$A$639,$A229,$C$5:$C$639,$C229-1,$D$5:$D$639,$D229))-1)))</f>
        <v/>
      </c>
    </row>
    <row r="230">
      <c r="A230" s="9" t="inlineStr">
        <is>
          <t>LNBB</t>
        </is>
      </c>
      <c r="B230" s="10">
        <f>IF(A230="","",IFERROR(VLOOKUP(A230,Titres!$A$2:$B$400,2,FALSE),"Ticker inconnu"))</f>
        <v/>
      </c>
      <c r="C230" s="11" t="n">
        <v>2024</v>
      </c>
      <c r="D230" s="11" t="inlineStr">
        <is>
          <t>T1</t>
        </is>
      </c>
      <c r="E230" s="9" t="n"/>
      <c r="F230" s="12" t="n"/>
      <c r="G230" s="9" t="n"/>
      <c r="H230" s="13" t="n"/>
      <c r="I230" s="13" t="n"/>
      <c r="J230" s="13" t="n"/>
      <c r="K230" s="13" t="n"/>
      <c r="L230" s="13" t="n"/>
      <c r="M230" s="13" t="n"/>
      <c r="N230" s="14">
        <f>IF(A230="","",COUNT(H230:M230)/6)</f>
        <v/>
      </c>
      <c r="O230" s="15">
        <f>IF(COUNT(H230:M230)=0,"",IF(LEN(IF(COUNT(I230,J230)=2,IF(J230&gt;I230+1,"EBE &gt; VA ",""),"")&amp;IF(COUNT(H230,M230)=2,IF(ABS(M230)&gt;ABS(H230),"RN &gt; CA ",""),"")&amp;IF(COUNT(H230,K230)=2,IF(ABS(K230)&gt;ABS(H230),"RE &gt; CA ",""),""))=0,"OK",IF(COUNT(I230,J230)=2,IF(J230&gt;I230+1,"EBE &gt; VA ",""),"")&amp;IF(COUNT(H230,M230)=2,IF(ABS(M230)&gt;ABS(H230),"RN &gt; CA ",""),"")&amp;IF(COUNT(H230,K230)=2,IF(ABS(K230)&gt;ABS(H230),"RE &gt; CA ",""),"")))</f>
        <v/>
      </c>
      <c r="P230" s="16">
        <f>IF(OR($A230="",H230="",$C230=""),"",IF(COUNTIFS($A$5:$A$639,$A230,$C$5:$C$639,$C230-1,$D$5:$D$639,$D230,H$5:H$639,"&lt;&gt;")=0,"",IF(OR(SUMIFS(H$5:H$639,$A$5:$A$639,$A230,$C$5:$C$639,$C230-1,$D$5:$D$639,$D230)=0,H230*SUMIFS(H$5:H$639,$A$5:$A$639,$A230,$C$5:$C$639,$C230-1,$D$5:$D$639,$D230)&lt;0),"n.s.",ABS(H230)/ABS(SUMIFS(H$5:H$639,$A$5:$A$639,$A230,$C$5:$C$639,$C230-1,$D$5:$D$639,$D230))-1)))</f>
        <v/>
      </c>
      <c r="Q230" s="16">
        <f>IF(OR($A230="",I230="",$C230=""),"",IF(COUNTIFS($A$5:$A$639,$A230,$C$5:$C$639,$C230-1,$D$5:$D$639,$D230,I$5:I$639,"&lt;&gt;")=0,"",IF(OR(SUMIFS(I$5:I$639,$A$5:$A$639,$A230,$C$5:$C$639,$C230-1,$D$5:$D$639,$D230)=0,I230*SUMIFS(I$5:I$639,$A$5:$A$639,$A230,$C$5:$C$639,$C230-1,$D$5:$D$639,$D230)&lt;0),"n.s.",ABS(I230)/ABS(SUMIFS(I$5:I$639,$A$5:$A$639,$A230,$C$5:$C$639,$C230-1,$D$5:$D$639,$D230))-1)))</f>
        <v/>
      </c>
      <c r="R230" s="16">
        <f>IF(OR($A230="",J230="",$C230=""),"",IF(COUNTIFS($A$5:$A$639,$A230,$C$5:$C$639,$C230-1,$D$5:$D$639,$D230,J$5:J$639,"&lt;&gt;")=0,"",IF(OR(SUMIFS(J$5:J$639,$A$5:$A$639,$A230,$C$5:$C$639,$C230-1,$D$5:$D$639,$D230)=0,J230*SUMIFS(J$5:J$639,$A$5:$A$639,$A230,$C$5:$C$639,$C230-1,$D$5:$D$639,$D230)&lt;0),"n.s.",ABS(J230)/ABS(SUMIFS(J$5:J$639,$A$5:$A$639,$A230,$C$5:$C$639,$C230-1,$D$5:$D$639,$D230))-1)))</f>
        <v/>
      </c>
      <c r="S230" s="16">
        <f>IF(OR($A230="",K230="",$C230=""),"",IF(COUNTIFS($A$5:$A$639,$A230,$C$5:$C$639,$C230-1,$D$5:$D$639,$D230,K$5:K$639,"&lt;&gt;")=0,"",IF(OR(SUMIFS(K$5:K$639,$A$5:$A$639,$A230,$C$5:$C$639,$C230-1,$D$5:$D$639,$D230)=0,K230*SUMIFS(K$5:K$639,$A$5:$A$639,$A230,$C$5:$C$639,$C230-1,$D$5:$D$639,$D230)&lt;0),"n.s.",ABS(K230)/ABS(SUMIFS(K$5:K$639,$A$5:$A$639,$A230,$C$5:$C$639,$C230-1,$D$5:$D$639,$D230))-1)))</f>
        <v/>
      </c>
      <c r="T230" s="16">
        <f>IF(OR($A230="",L230="",$C230=""),"",IF(COUNTIFS($A$5:$A$639,$A230,$C$5:$C$639,$C230-1,$D$5:$D$639,$D230,L$5:L$639,"&lt;&gt;")=0,"",IF(OR(SUMIFS(L$5:L$639,$A$5:$A$639,$A230,$C$5:$C$639,$C230-1,$D$5:$D$639,$D230)=0,L230*SUMIFS(L$5:L$639,$A$5:$A$639,$A230,$C$5:$C$639,$C230-1,$D$5:$D$639,$D230)&lt;0),"n.s.",ABS(L230)/ABS(SUMIFS(L$5:L$639,$A$5:$A$639,$A230,$C$5:$C$639,$C230-1,$D$5:$D$639,$D230))-1)))</f>
        <v/>
      </c>
      <c r="U230" s="16">
        <f>IF(OR($A230="",M230="",$C230=""),"",IF(COUNTIFS($A$5:$A$639,$A230,$C$5:$C$639,$C230-1,$D$5:$D$639,$D230,M$5:M$639,"&lt;&gt;")=0,"",IF(OR(SUMIFS(M$5:M$639,$A$5:$A$639,$A230,$C$5:$C$639,$C230-1,$D$5:$D$639,$D230)=0,M230*SUMIFS(M$5:M$639,$A$5:$A$639,$A230,$C$5:$C$639,$C230-1,$D$5:$D$639,$D230)&lt;0),"n.s.",ABS(M230)/ABS(SUMIFS(M$5:M$639,$A$5:$A$639,$A230,$C$5:$C$639,$C230-1,$D$5:$D$639,$D230))-1)))</f>
        <v/>
      </c>
    </row>
    <row r="231">
      <c r="A231" s="9" t="inlineStr">
        <is>
          <t>LNBB</t>
        </is>
      </c>
      <c r="B231" s="10">
        <f>IF(A231="","",IFERROR(VLOOKUP(A231,Titres!$A$2:$B$400,2,FALSE),"Ticker inconnu"))</f>
        <v/>
      </c>
      <c r="C231" s="11" t="n">
        <v>2024</v>
      </c>
      <c r="D231" s="11" t="inlineStr">
        <is>
          <t>S1</t>
        </is>
      </c>
      <c r="E231" s="9" t="n"/>
      <c r="F231" s="12" t="n"/>
      <c r="G231" s="9" t="n"/>
      <c r="H231" s="13" t="n"/>
      <c r="I231" s="13" t="n"/>
      <c r="J231" s="13" t="n"/>
      <c r="K231" s="13" t="n"/>
      <c r="L231" s="13" t="n"/>
      <c r="M231" s="13" t="n"/>
      <c r="N231" s="14">
        <f>IF(A231="","",COUNT(H231:M231)/6)</f>
        <v/>
      </c>
      <c r="O231" s="15">
        <f>IF(COUNT(H231:M231)=0,"",IF(LEN(IF(COUNT(I231,J231)=2,IF(J231&gt;I231+1,"EBE &gt; VA ",""),"")&amp;IF(COUNT(H231,M231)=2,IF(ABS(M231)&gt;ABS(H231),"RN &gt; CA ",""),"")&amp;IF(COUNT(H231,K231)=2,IF(ABS(K231)&gt;ABS(H231),"RE &gt; CA ",""),""))=0,"OK",IF(COUNT(I231,J231)=2,IF(J231&gt;I231+1,"EBE &gt; VA ",""),"")&amp;IF(COUNT(H231,M231)=2,IF(ABS(M231)&gt;ABS(H231),"RN &gt; CA ",""),"")&amp;IF(COUNT(H231,K231)=2,IF(ABS(K231)&gt;ABS(H231),"RE &gt; CA ",""),"")))</f>
        <v/>
      </c>
      <c r="P231" s="16">
        <f>IF(OR($A231="",H231="",$C231=""),"",IF(COUNTIFS($A$5:$A$639,$A231,$C$5:$C$639,$C231-1,$D$5:$D$639,$D231,H$5:H$639,"&lt;&gt;")=0,"",IF(OR(SUMIFS(H$5:H$639,$A$5:$A$639,$A231,$C$5:$C$639,$C231-1,$D$5:$D$639,$D231)=0,H231*SUMIFS(H$5:H$639,$A$5:$A$639,$A231,$C$5:$C$639,$C231-1,$D$5:$D$639,$D231)&lt;0),"n.s.",ABS(H231)/ABS(SUMIFS(H$5:H$639,$A$5:$A$639,$A231,$C$5:$C$639,$C231-1,$D$5:$D$639,$D231))-1)))</f>
        <v/>
      </c>
      <c r="Q231" s="16">
        <f>IF(OR($A231="",I231="",$C231=""),"",IF(COUNTIFS($A$5:$A$639,$A231,$C$5:$C$639,$C231-1,$D$5:$D$639,$D231,I$5:I$639,"&lt;&gt;")=0,"",IF(OR(SUMIFS(I$5:I$639,$A$5:$A$639,$A231,$C$5:$C$639,$C231-1,$D$5:$D$639,$D231)=0,I231*SUMIFS(I$5:I$639,$A$5:$A$639,$A231,$C$5:$C$639,$C231-1,$D$5:$D$639,$D231)&lt;0),"n.s.",ABS(I231)/ABS(SUMIFS(I$5:I$639,$A$5:$A$639,$A231,$C$5:$C$639,$C231-1,$D$5:$D$639,$D231))-1)))</f>
        <v/>
      </c>
      <c r="R231" s="16">
        <f>IF(OR($A231="",J231="",$C231=""),"",IF(COUNTIFS($A$5:$A$639,$A231,$C$5:$C$639,$C231-1,$D$5:$D$639,$D231,J$5:J$639,"&lt;&gt;")=0,"",IF(OR(SUMIFS(J$5:J$639,$A$5:$A$639,$A231,$C$5:$C$639,$C231-1,$D$5:$D$639,$D231)=0,J231*SUMIFS(J$5:J$639,$A$5:$A$639,$A231,$C$5:$C$639,$C231-1,$D$5:$D$639,$D231)&lt;0),"n.s.",ABS(J231)/ABS(SUMIFS(J$5:J$639,$A$5:$A$639,$A231,$C$5:$C$639,$C231-1,$D$5:$D$639,$D231))-1)))</f>
        <v/>
      </c>
      <c r="S231" s="16">
        <f>IF(OR($A231="",K231="",$C231=""),"",IF(COUNTIFS($A$5:$A$639,$A231,$C$5:$C$639,$C231-1,$D$5:$D$639,$D231,K$5:K$639,"&lt;&gt;")=0,"",IF(OR(SUMIFS(K$5:K$639,$A$5:$A$639,$A231,$C$5:$C$639,$C231-1,$D$5:$D$639,$D231)=0,K231*SUMIFS(K$5:K$639,$A$5:$A$639,$A231,$C$5:$C$639,$C231-1,$D$5:$D$639,$D231)&lt;0),"n.s.",ABS(K231)/ABS(SUMIFS(K$5:K$639,$A$5:$A$639,$A231,$C$5:$C$639,$C231-1,$D$5:$D$639,$D231))-1)))</f>
        <v/>
      </c>
      <c r="T231" s="16">
        <f>IF(OR($A231="",L231="",$C231=""),"",IF(COUNTIFS($A$5:$A$639,$A231,$C$5:$C$639,$C231-1,$D$5:$D$639,$D231,L$5:L$639,"&lt;&gt;")=0,"",IF(OR(SUMIFS(L$5:L$639,$A$5:$A$639,$A231,$C$5:$C$639,$C231-1,$D$5:$D$639,$D231)=0,L231*SUMIFS(L$5:L$639,$A$5:$A$639,$A231,$C$5:$C$639,$C231-1,$D$5:$D$639,$D231)&lt;0),"n.s.",ABS(L231)/ABS(SUMIFS(L$5:L$639,$A$5:$A$639,$A231,$C$5:$C$639,$C231-1,$D$5:$D$639,$D231))-1)))</f>
        <v/>
      </c>
      <c r="U231" s="16">
        <f>IF(OR($A231="",M231="",$C231=""),"",IF(COUNTIFS($A$5:$A$639,$A231,$C$5:$C$639,$C231-1,$D$5:$D$639,$D231,M$5:M$639,"&lt;&gt;")=0,"",IF(OR(SUMIFS(M$5:M$639,$A$5:$A$639,$A231,$C$5:$C$639,$C231-1,$D$5:$D$639,$D231)=0,M231*SUMIFS(M$5:M$639,$A$5:$A$639,$A231,$C$5:$C$639,$C231-1,$D$5:$D$639,$D231)&lt;0),"n.s.",ABS(M231)/ABS(SUMIFS(M$5:M$639,$A$5:$A$639,$A231,$C$5:$C$639,$C231-1,$D$5:$D$639,$D231))-1)))</f>
        <v/>
      </c>
    </row>
    <row r="232">
      <c r="A232" s="9" t="inlineStr">
        <is>
          <t>LNBB</t>
        </is>
      </c>
      <c r="B232" s="10">
        <f>IF(A232="","",IFERROR(VLOOKUP(A232,Titres!$A$2:$B$400,2,FALSE),"Ticker inconnu"))</f>
        <v/>
      </c>
      <c r="C232" s="11" t="n">
        <v>2024</v>
      </c>
      <c r="D232" s="11" t="inlineStr">
        <is>
          <t>T3</t>
        </is>
      </c>
      <c r="E232" s="9" t="n"/>
      <c r="F232" s="12" t="n"/>
      <c r="G232" s="9" t="n"/>
      <c r="H232" s="13" t="n"/>
      <c r="I232" s="13" t="n"/>
      <c r="J232" s="13" t="n"/>
      <c r="K232" s="13" t="n"/>
      <c r="L232" s="13" t="n"/>
      <c r="M232" s="13" t="n"/>
      <c r="N232" s="14">
        <f>IF(A232="","",COUNT(H232:M232)/6)</f>
        <v/>
      </c>
      <c r="O232" s="15">
        <f>IF(COUNT(H232:M232)=0,"",IF(LEN(IF(COUNT(I232,J232)=2,IF(J232&gt;I232+1,"EBE &gt; VA ",""),"")&amp;IF(COUNT(H232,M232)=2,IF(ABS(M232)&gt;ABS(H232),"RN &gt; CA ",""),"")&amp;IF(COUNT(H232,K232)=2,IF(ABS(K232)&gt;ABS(H232),"RE &gt; CA ",""),""))=0,"OK",IF(COUNT(I232,J232)=2,IF(J232&gt;I232+1,"EBE &gt; VA ",""),"")&amp;IF(COUNT(H232,M232)=2,IF(ABS(M232)&gt;ABS(H232),"RN &gt; CA ",""),"")&amp;IF(COUNT(H232,K232)=2,IF(ABS(K232)&gt;ABS(H232),"RE &gt; CA ",""),"")))</f>
        <v/>
      </c>
      <c r="P232" s="16">
        <f>IF(OR($A232="",H232="",$C232=""),"",IF(COUNTIFS($A$5:$A$639,$A232,$C$5:$C$639,$C232-1,$D$5:$D$639,$D232,H$5:H$639,"&lt;&gt;")=0,"",IF(OR(SUMIFS(H$5:H$639,$A$5:$A$639,$A232,$C$5:$C$639,$C232-1,$D$5:$D$639,$D232)=0,H232*SUMIFS(H$5:H$639,$A$5:$A$639,$A232,$C$5:$C$639,$C232-1,$D$5:$D$639,$D232)&lt;0),"n.s.",ABS(H232)/ABS(SUMIFS(H$5:H$639,$A$5:$A$639,$A232,$C$5:$C$639,$C232-1,$D$5:$D$639,$D232))-1)))</f>
        <v/>
      </c>
      <c r="Q232" s="16">
        <f>IF(OR($A232="",I232="",$C232=""),"",IF(COUNTIFS($A$5:$A$639,$A232,$C$5:$C$639,$C232-1,$D$5:$D$639,$D232,I$5:I$639,"&lt;&gt;")=0,"",IF(OR(SUMIFS(I$5:I$639,$A$5:$A$639,$A232,$C$5:$C$639,$C232-1,$D$5:$D$639,$D232)=0,I232*SUMIFS(I$5:I$639,$A$5:$A$639,$A232,$C$5:$C$639,$C232-1,$D$5:$D$639,$D232)&lt;0),"n.s.",ABS(I232)/ABS(SUMIFS(I$5:I$639,$A$5:$A$639,$A232,$C$5:$C$639,$C232-1,$D$5:$D$639,$D232))-1)))</f>
        <v/>
      </c>
      <c r="R232" s="16">
        <f>IF(OR($A232="",J232="",$C232=""),"",IF(COUNTIFS($A$5:$A$639,$A232,$C$5:$C$639,$C232-1,$D$5:$D$639,$D232,J$5:J$639,"&lt;&gt;")=0,"",IF(OR(SUMIFS(J$5:J$639,$A$5:$A$639,$A232,$C$5:$C$639,$C232-1,$D$5:$D$639,$D232)=0,J232*SUMIFS(J$5:J$639,$A$5:$A$639,$A232,$C$5:$C$639,$C232-1,$D$5:$D$639,$D232)&lt;0),"n.s.",ABS(J232)/ABS(SUMIFS(J$5:J$639,$A$5:$A$639,$A232,$C$5:$C$639,$C232-1,$D$5:$D$639,$D232))-1)))</f>
        <v/>
      </c>
      <c r="S232" s="16">
        <f>IF(OR($A232="",K232="",$C232=""),"",IF(COUNTIFS($A$5:$A$639,$A232,$C$5:$C$639,$C232-1,$D$5:$D$639,$D232,K$5:K$639,"&lt;&gt;")=0,"",IF(OR(SUMIFS(K$5:K$639,$A$5:$A$639,$A232,$C$5:$C$639,$C232-1,$D$5:$D$639,$D232)=0,K232*SUMIFS(K$5:K$639,$A$5:$A$639,$A232,$C$5:$C$639,$C232-1,$D$5:$D$639,$D232)&lt;0),"n.s.",ABS(K232)/ABS(SUMIFS(K$5:K$639,$A$5:$A$639,$A232,$C$5:$C$639,$C232-1,$D$5:$D$639,$D232))-1)))</f>
        <v/>
      </c>
      <c r="T232" s="16">
        <f>IF(OR($A232="",L232="",$C232=""),"",IF(COUNTIFS($A$5:$A$639,$A232,$C$5:$C$639,$C232-1,$D$5:$D$639,$D232,L$5:L$639,"&lt;&gt;")=0,"",IF(OR(SUMIFS(L$5:L$639,$A$5:$A$639,$A232,$C$5:$C$639,$C232-1,$D$5:$D$639,$D232)=0,L232*SUMIFS(L$5:L$639,$A$5:$A$639,$A232,$C$5:$C$639,$C232-1,$D$5:$D$639,$D232)&lt;0),"n.s.",ABS(L232)/ABS(SUMIFS(L$5:L$639,$A$5:$A$639,$A232,$C$5:$C$639,$C232-1,$D$5:$D$639,$D232))-1)))</f>
        <v/>
      </c>
      <c r="U232" s="16">
        <f>IF(OR($A232="",M232="",$C232=""),"",IF(COUNTIFS($A$5:$A$639,$A232,$C$5:$C$639,$C232-1,$D$5:$D$639,$D232,M$5:M$639,"&lt;&gt;")=0,"",IF(OR(SUMIFS(M$5:M$639,$A$5:$A$639,$A232,$C$5:$C$639,$C232-1,$D$5:$D$639,$D232)=0,M232*SUMIFS(M$5:M$639,$A$5:$A$639,$A232,$C$5:$C$639,$C232-1,$D$5:$D$639,$D232)&lt;0),"n.s.",ABS(M232)/ABS(SUMIFS(M$5:M$639,$A$5:$A$639,$A232,$C$5:$C$639,$C232-1,$D$5:$D$639,$D232))-1)))</f>
        <v/>
      </c>
    </row>
    <row r="233">
      <c r="A233" s="9" t="inlineStr">
        <is>
          <t>LNBB</t>
        </is>
      </c>
      <c r="B233" s="10">
        <f>IF(A233="","",IFERROR(VLOOKUP(A233,Titres!$A$2:$B$400,2,FALSE),"Ticker inconnu"))</f>
        <v/>
      </c>
      <c r="C233" s="11" t="n">
        <v>2025</v>
      </c>
      <c r="D233" s="11" t="inlineStr">
        <is>
          <t>T1</t>
        </is>
      </c>
      <c r="E233" s="9" t="n"/>
      <c r="F233" s="12" t="n"/>
      <c r="G233" s="9" t="n"/>
      <c r="H233" s="13" t="n"/>
      <c r="I233" s="13" t="n"/>
      <c r="J233" s="13" t="n"/>
      <c r="K233" s="13" t="n"/>
      <c r="L233" s="13" t="n"/>
      <c r="M233" s="13" t="n"/>
      <c r="N233" s="14">
        <f>IF(A233="","",COUNT(H233:M233)/6)</f>
        <v/>
      </c>
      <c r="O233" s="15">
        <f>IF(COUNT(H233:M233)=0,"",IF(LEN(IF(COUNT(I233,J233)=2,IF(J233&gt;I233+1,"EBE &gt; VA ",""),"")&amp;IF(COUNT(H233,M233)=2,IF(ABS(M233)&gt;ABS(H233),"RN &gt; CA ",""),"")&amp;IF(COUNT(H233,K233)=2,IF(ABS(K233)&gt;ABS(H233),"RE &gt; CA ",""),""))=0,"OK",IF(COUNT(I233,J233)=2,IF(J233&gt;I233+1,"EBE &gt; VA ",""),"")&amp;IF(COUNT(H233,M233)=2,IF(ABS(M233)&gt;ABS(H233),"RN &gt; CA ",""),"")&amp;IF(COUNT(H233,K233)=2,IF(ABS(K233)&gt;ABS(H233),"RE &gt; CA ",""),"")))</f>
        <v/>
      </c>
      <c r="P233" s="16">
        <f>IF(OR($A233="",H233="",$C233=""),"",IF(COUNTIFS($A$5:$A$639,$A233,$C$5:$C$639,$C233-1,$D$5:$D$639,$D233,H$5:H$639,"&lt;&gt;")=0,"",IF(OR(SUMIFS(H$5:H$639,$A$5:$A$639,$A233,$C$5:$C$639,$C233-1,$D$5:$D$639,$D233)=0,H233*SUMIFS(H$5:H$639,$A$5:$A$639,$A233,$C$5:$C$639,$C233-1,$D$5:$D$639,$D233)&lt;0),"n.s.",ABS(H233)/ABS(SUMIFS(H$5:H$639,$A$5:$A$639,$A233,$C$5:$C$639,$C233-1,$D$5:$D$639,$D233))-1)))</f>
        <v/>
      </c>
      <c r="Q233" s="16">
        <f>IF(OR($A233="",I233="",$C233=""),"",IF(COUNTIFS($A$5:$A$639,$A233,$C$5:$C$639,$C233-1,$D$5:$D$639,$D233,I$5:I$639,"&lt;&gt;")=0,"",IF(OR(SUMIFS(I$5:I$639,$A$5:$A$639,$A233,$C$5:$C$639,$C233-1,$D$5:$D$639,$D233)=0,I233*SUMIFS(I$5:I$639,$A$5:$A$639,$A233,$C$5:$C$639,$C233-1,$D$5:$D$639,$D233)&lt;0),"n.s.",ABS(I233)/ABS(SUMIFS(I$5:I$639,$A$5:$A$639,$A233,$C$5:$C$639,$C233-1,$D$5:$D$639,$D233))-1)))</f>
        <v/>
      </c>
      <c r="R233" s="16">
        <f>IF(OR($A233="",J233="",$C233=""),"",IF(COUNTIFS($A$5:$A$639,$A233,$C$5:$C$639,$C233-1,$D$5:$D$639,$D233,J$5:J$639,"&lt;&gt;")=0,"",IF(OR(SUMIFS(J$5:J$639,$A$5:$A$639,$A233,$C$5:$C$639,$C233-1,$D$5:$D$639,$D233)=0,J233*SUMIFS(J$5:J$639,$A$5:$A$639,$A233,$C$5:$C$639,$C233-1,$D$5:$D$639,$D233)&lt;0),"n.s.",ABS(J233)/ABS(SUMIFS(J$5:J$639,$A$5:$A$639,$A233,$C$5:$C$639,$C233-1,$D$5:$D$639,$D233))-1)))</f>
        <v/>
      </c>
      <c r="S233" s="16">
        <f>IF(OR($A233="",K233="",$C233=""),"",IF(COUNTIFS($A$5:$A$639,$A233,$C$5:$C$639,$C233-1,$D$5:$D$639,$D233,K$5:K$639,"&lt;&gt;")=0,"",IF(OR(SUMIFS(K$5:K$639,$A$5:$A$639,$A233,$C$5:$C$639,$C233-1,$D$5:$D$639,$D233)=0,K233*SUMIFS(K$5:K$639,$A$5:$A$639,$A233,$C$5:$C$639,$C233-1,$D$5:$D$639,$D233)&lt;0),"n.s.",ABS(K233)/ABS(SUMIFS(K$5:K$639,$A$5:$A$639,$A233,$C$5:$C$639,$C233-1,$D$5:$D$639,$D233))-1)))</f>
        <v/>
      </c>
      <c r="T233" s="16">
        <f>IF(OR($A233="",L233="",$C233=""),"",IF(COUNTIFS($A$5:$A$639,$A233,$C$5:$C$639,$C233-1,$D$5:$D$639,$D233,L$5:L$639,"&lt;&gt;")=0,"",IF(OR(SUMIFS(L$5:L$639,$A$5:$A$639,$A233,$C$5:$C$639,$C233-1,$D$5:$D$639,$D233)=0,L233*SUMIFS(L$5:L$639,$A$5:$A$639,$A233,$C$5:$C$639,$C233-1,$D$5:$D$639,$D233)&lt;0),"n.s.",ABS(L233)/ABS(SUMIFS(L$5:L$639,$A$5:$A$639,$A233,$C$5:$C$639,$C233-1,$D$5:$D$639,$D233))-1)))</f>
        <v/>
      </c>
      <c r="U233" s="16">
        <f>IF(OR($A233="",M233="",$C233=""),"",IF(COUNTIFS($A$5:$A$639,$A233,$C$5:$C$639,$C233-1,$D$5:$D$639,$D233,M$5:M$639,"&lt;&gt;")=0,"",IF(OR(SUMIFS(M$5:M$639,$A$5:$A$639,$A233,$C$5:$C$639,$C233-1,$D$5:$D$639,$D233)=0,M233*SUMIFS(M$5:M$639,$A$5:$A$639,$A233,$C$5:$C$639,$C233-1,$D$5:$D$639,$D233)&lt;0),"n.s.",ABS(M233)/ABS(SUMIFS(M$5:M$639,$A$5:$A$639,$A233,$C$5:$C$639,$C233-1,$D$5:$D$639,$D233))-1)))</f>
        <v/>
      </c>
    </row>
    <row r="234">
      <c r="A234" s="9" t="inlineStr">
        <is>
          <t>LNBB</t>
        </is>
      </c>
      <c r="B234" s="10">
        <f>IF(A234="","",IFERROR(VLOOKUP(A234,Titres!$A$2:$B$400,2,FALSE),"Ticker inconnu"))</f>
        <v/>
      </c>
      <c r="C234" s="11" t="n">
        <v>2025</v>
      </c>
      <c r="D234" s="11" t="inlineStr">
        <is>
          <t>S1</t>
        </is>
      </c>
      <c r="E234" s="9" t="inlineStr">
        <is>
          <t>Publié</t>
        </is>
      </c>
      <c r="F234" s="12" t="n">
        <v>46234</v>
      </c>
      <c r="G234" s="9" t="inlineStr">
        <is>
          <t>https://www.richbourse.com/common/actualite/afficher-fichier/31-07-2026-lnb-bn-rapport-dactivites-et-rapport-dexamen-limite-des-commissaires-aux-comptes-1er-semestre-2026 (comparatif N-1)</t>
        </is>
      </c>
      <c r="H234" s="13" t="n">
        <v>48148</v>
      </c>
      <c r="I234" s="13" t="n"/>
      <c r="J234" s="13" t="n"/>
      <c r="K234" s="13" t="n">
        <v>1278</v>
      </c>
      <c r="L234" s="13" t="n"/>
      <c r="M234" s="13" t="n">
        <v>841</v>
      </c>
      <c r="N234" s="14">
        <f>IF(A234="","",COUNT(H234:M234)/6)</f>
        <v/>
      </c>
      <c r="O234" s="15">
        <f>IF(COUNT(H234:M234)=0,"",IF(LEN(IF(COUNT(I234,J234)=2,IF(J234&gt;I234+1,"EBE &gt; VA ",""),"")&amp;IF(COUNT(H234,M234)=2,IF(ABS(M234)&gt;ABS(H234),"RN &gt; CA ",""),"")&amp;IF(COUNT(H234,K234)=2,IF(ABS(K234)&gt;ABS(H234),"RE &gt; CA ",""),""))=0,"OK",IF(COUNT(I234,J234)=2,IF(J234&gt;I234+1,"EBE &gt; VA ",""),"")&amp;IF(COUNT(H234,M234)=2,IF(ABS(M234)&gt;ABS(H234),"RN &gt; CA ",""),"")&amp;IF(COUNT(H234,K234)=2,IF(ABS(K234)&gt;ABS(H234),"RE &gt; CA ",""),"")))</f>
        <v/>
      </c>
      <c r="P234" s="16">
        <f>IF(OR($A234="",H234="",$C234=""),"",IF(COUNTIFS($A$5:$A$639,$A234,$C$5:$C$639,$C234-1,$D$5:$D$639,$D234,H$5:H$639,"&lt;&gt;")=0,"",IF(OR(SUMIFS(H$5:H$639,$A$5:$A$639,$A234,$C$5:$C$639,$C234-1,$D$5:$D$639,$D234)=0,H234*SUMIFS(H$5:H$639,$A$5:$A$639,$A234,$C$5:$C$639,$C234-1,$D$5:$D$639,$D234)&lt;0),"n.s.",ABS(H234)/ABS(SUMIFS(H$5:H$639,$A$5:$A$639,$A234,$C$5:$C$639,$C234-1,$D$5:$D$639,$D234))-1)))</f>
        <v/>
      </c>
      <c r="Q234" s="16">
        <f>IF(OR($A234="",I234="",$C234=""),"",IF(COUNTIFS($A$5:$A$639,$A234,$C$5:$C$639,$C234-1,$D$5:$D$639,$D234,I$5:I$639,"&lt;&gt;")=0,"",IF(OR(SUMIFS(I$5:I$639,$A$5:$A$639,$A234,$C$5:$C$639,$C234-1,$D$5:$D$639,$D234)=0,I234*SUMIFS(I$5:I$639,$A$5:$A$639,$A234,$C$5:$C$639,$C234-1,$D$5:$D$639,$D234)&lt;0),"n.s.",ABS(I234)/ABS(SUMIFS(I$5:I$639,$A$5:$A$639,$A234,$C$5:$C$639,$C234-1,$D$5:$D$639,$D234))-1)))</f>
        <v/>
      </c>
      <c r="R234" s="16">
        <f>IF(OR($A234="",J234="",$C234=""),"",IF(COUNTIFS($A$5:$A$639,$A234,$C$5:$C$639,$C234-1,$D$5:$D$639,$D234,J$5:J$639,"&lt;&gt;")=0,"",IF(OR(SUMIFS(J$5:J$639,$A$5:$A$639,$A234,$C$5:$C$639,$C234-1,$D$5:$D$639,$D234)=0,J234*SUMIFS(J$5:J$639,$A$5:$A$639,$A234,$C$5:$C$639,$C234-1,$D$5:$D$639,$D234)&lt;0),"n.s.",ABS(J234)/ABS(SUMIFS(J$5:J$639,$A$5:$A$639,$A234,$C$5:$C$639,$C234-1,$D$5:$D$639,$D234))-1)))</f>
        <v/>
      </c>
      <c r="S234" s="16">
        <f>IF(OR($A234="",K234="",$C234=""),"",IF(COUNTIFS($A$5:$A$639,$A234,$C$5:$C$639,$C234-1,$D$5:$D$639,$D234,K$5:K$639,"&lt;&gt;")=0,"",IF(OR(SUMIFS(K$5:K$639,$A$5:$A$639,$A234,$C$5:$C$639,$C234-1,$D$5:$D$639,$D234)=0,K234*SUMIFS(K$5:K$639,$A$5:$A$639,$A234,$C$5:$C$639,$C234-1,$D$5:$D$639,$D234)&lt;0),"n.s.",ABS(K234)/ABS(SUMIFS(K$5:K$639,$A$5:$A$639,$A234,$C$5:$C$639,$C234-1,$D$5:$D$639,$D234))-1)))</f>
        <v/>
      </c>
      <c r="T234" s="16">
        <f>IF(OR($A234="",L234="",$C234=""),"",IF(COUNTIFS($A$5:$A$639,$A234,$C$5:$C$639,$C234-1,$D$5:$D$639,$D234,L$5:L$639,"&lt;&gt;")=0,"",IF(OR(SUMIFS(L$5:L$639,$A$5:$A$639,$A234,$C$5:$C$639,$C234-1,$D$5:$D$639,$D234)=0,L234*SUMIFS(L$5:L$639,$A$5:$A$639,$A234,$C$5:$C$639,$C234-1,$D$5:$D$639,$D234)&lt;0),"n.s.",ABS(L234)/ABS(SUMIFS(L$5:L$639,$A$5:$A$639,$A234,$C$5:$C$639,$C234-1,$D$5:$D$639,$D234))-1)))</f>
        <v/>
      </c>
      <c r="U234" s="16">
        <f>IF(OR($A234="",M234="",$C234=""),"",IF(COUNTIFS($A$5:$A$639,$A234,$C$5:$C$639,$C234-1,$D$5:$D$639,$D234,M$5:M$639,"&lt;&gt;")=0,"",IF(OR(SUMIFS(M$5:M$639,$A$5:$A$639,$A234,$C$5:$C$639,$C234-1,$D$5:$D$639,$D234)=0,M234*SUMIFS(M$5:M$639,$A$5:$A$639,$A234,$C$5:$C$639,$C234-1,$D$5:$D$639,$D234)&lt;0),"n.s.",ABS(M234)/ABS(SUMIFS(M$5:M$639,$A$5:$A$639,$A234,$C$5:$C$639,$C234-1,$D$5:$D$639,$D234))-1)))</f>
        <v/>
      </c>
    </row>
    <row r="235">
      <c r="A235" s="9" t="inlineStr">
        <is>
          <t>LNBB</t>
        </is>
      </c>
      <c r="B235" s="10">
        <f>IF(A235="","",IFERROR(VLOOKUP(A235,Titres!$A$2:$B$400,2,FALSE),"Ticker inconnu"))</f>
        <v/>
      </c>
      <c r="C235" s="11" t="n">
        <v>2025</v>
      </c>
      <c r="D235" s="11" t="inlineStr">
        <is>
          <t>T3</t>
        </is>
      </c>
      <c r="E235" s="9" t="n"/>
      <c r="F235" s="12" t="n"/>
      <c r="G235" s="9" t="n"/>
      <c r="H235" s="13" t="n"/>
      <c r="I235" s="13" t="n"/>
      <c r="J235" s="13" t="n"/>
      <c r="K235" s="13" t="n"/>
      <c r="L235" s="13" t="n"/>
      <c r="M235" s="13" t="n"/>
      <c r="N235" s="14">
        <f>IF(A235="","",COUNT(H235:M235)/6)</f>
        <v/>
      </c>
      <c r="O235" s="15">
        <f>IF(COUNT(H235:M235)=0,"",IF(LEN(IF(COUNT(I235,J235)=2,IF(J235&gt;I235+1,"EBE &gt; VA ",""),"")&amp;IF(COUNT(H235,M235)=2,IF(ABS(M235)&gt;ABS(H235),"RN &gt; CA ",""),"")&amp;IF(COUNT(H235,K235)=2,IF(ABS(K235)&gt;ABS(H235),"RE &gt; CA ",""),""))=0,"OK",IF(COUNT(I235,J235)=2,IF(J235&gt;I235+1,"EBE &gt; VA ",""),"")&amp;IF(COUNT(H235,M235)=2,IF(ABS(M235)&gt;ABS(H235),"RN &gt; CA ",""),"")&amp;IF(COUNT(H235,K235)=2,IF(ABS(K235)&gt;ABS(H235),"RE &gt; CA ",""),"")))</f>
        <v/>
      </c>
      <c r="P235" s="16">
        <f>IF(OR($A235="",H235="",$C235=""),"",IF(COUNTIFS($A$5:$A$639,$A235,$C$5:$C$639,$C235-1,$D$5:$D$639,$D235,H$5:H$639,"&lt;&gt;")=0,"",IF(OR(SUMIFS(H$5:H$639,$A$5:$A$639,$A235,$C$5:$C$639,$C235-1,$D$5:$D$639,$D235)=0,H235*SUMIFS(H$5:H$639,$A$5:$A$639,$A235,$C$5:$C$639,$C235-1,$D$5:$D$639,$D235)&lt;0),"n.s.",ABS(H235)/ABS(SUMIFS(H$5:H$639,$A$5:$A$639,$A235,$C$5:$C$639,$C235-1,$D$5:$D$639,$D235))-1)))</f>
        <v/>
      </c>
      <c r="Q235" s="16">
        <f>IF(OR($A235="",I235="",$C235=""),"",IF(COUNTIFS($A$5:$A$639,$A235,$C$5:$C$639,$C235-1,$D$5:$D$639,$D235,I$5:I$639,"&lt;&gt;")=0,"",IF(OR(SUMIFS(I$5:I$639,$A$5:$A$639,$A235,$C$5:$C$639,$C235-1,$D$5:$D$639,$D235)=0,I235*SUMIFS(I$5:I$639,$A$5:$A$639,$A235,$C$5:$C$639,$C235-1,$D$5:$D$639,$D235)&lt;0),"n.s.",ABS(I235)/ABS(SUMIFS(I$5:I$639,$A$5:$A$639,$A235,$C$5:$C$639,$C235-1,$D$5:$D$639,$D235))-1)))</f>
        <v/>
      </c>
      <c r="R235" s="16">
        <f>IF(OR($A235="",J235="",$C235=""),"",IF(COUNTIFS($A$5:$A$639,$A235,$C$5:$C$639,$C235-1,$D$5:$D$639,$D235,J$5:J$639,"&lt;&gt;")=0,"",IF(OR(SUMIFS(J$5:J$639,$A$5:$A$639,$A235,$C$5:$C$639,$C235-1,$D$5:$D$639,$D235)=0,J235*SUMIFS(J$5:J$639,$A$5:$A$639,$A235,$C$5:$C$639,$C235-1,$D$5:$D$639,$D235)&lt;0),"n.s.",ABS(J235)/ABS(SUMIFS(J$5:J$639,$A$5:$A$639,$A235,$C$5:$C$639,$C235-1,$D$5:$D$639,$D235))-1)))</f>
        <v/>
      </c>
      <c r="S235" s="16">
        <f>IF(OR($A235="",K235="",$C235=""),"",IF(COUNTIFS($A$5:$A$639,$A235,$C$5:$C$639,$C235-1,$D$5:$D$639,$D235,K$5:K$639,"&lt;&gt;")=0,"",IF(OR(SUMIFS(K$5:K$639,$A$5:$A$639,$A235,$C$5:$C$639,$C235-1,$D$5:$D$639,$D235)=0,K235*SUMIFS(K$5:K$639,$A$5:$A$639,$A235,$C$5:$C$639,$C235-1,$D$5:$D$639,$D235)&lt;0),"n.s.",ABS(K235)/ABS(SUMIFS(K$5:K$639,$A$5:$A$639,$A235,$C$5:$C$639,$C235-1,$D$5:$D$639,$D235))-1)))</f>
        <v/>
      </c>
      <c r="T235" s="16">
        <f>IF(OR($A235="",L235="",$C235=""),"",IF(COUNTIFS($A$5:$A$639,$A235,$C$5:$C$639,$C235-1,$D$5:$D$639,$D235,L$5:L$639,"&lt;&gt;")=0,"",IF(OR(SUMIFS(L$5:L$639,$A$5:$A$639,$A235,$C$5:$C$639,$C235-1,$D$5:$D$639,$D235)=0,L235*SUMIFS(L$5:L$639,$A$5:$A$639,$A235,$C$5:$C$639,$C235-1,$D$5:$D$639,$D235)&lt;0),"n.s.",ABS(L235)/ABS(SUMIFS(L$5:L$639,$A$5:$A$639,$A235,$C$5:$C$639,$C235-1,$D$5:$D$639,$D235))-1)))</f>
        <v/>
      </c>
      <c r="U235" s="16">
        <f>IF(OR($A235="",M235="",$C235=""),"",IF(COUNTIFS($A$5:$A$639,$A235,$C$5:$C$639,$C235-1,$D$5:$D$639,$D235,M$5:M$639,"&lt;&gt;")=0,"",IF(OR(SUMIFS(M$5:M$639,$A$5:$A$639,$A235,$C$5:$C$639,$C235-1,$D$5:$D$639,$D235)=0,M235*SUMIFS(M$5:M$639,$A$5:$A$639,$A235,$C$5:$C$639,$C235-1,$D$5:$D$639,$D235)&lt;0),"n.s.",ABS(M235)/ABS(SUMIFS(M$5:M$639,$A$5:$A$639,$A235,$C$5:$C$639,$C235-1,$D$5:$D$639,$D235))-1)))</f>
        <v/>
      </c>
    </row>
    <row r="236">
      <c r="A236" s="9" t="inlineStr">
        <is>
          <t>LNBB</t>
        </is>
      </c>
      <c r="B236" s="10">
        <f>IF(A236="","",IFERROR(VLOOKUP(A236,Titres!$A$2:$B$400,2,FALSE),"Ticker inconnu"))</f>
        <v/>
      </c>
      <c r="C236" s="11" t="n">
        <v>2026</v>
      </c>
      <c r="D236" s="11" t="inlineStr">
        <is>
          <t>T1</t>
        </is>
      </c>
      <c r="E236" s="9" t="n"/>
      <c r="F236" s="12" t="n"/>
      <c r="G236" s="9" t="n"/>
      <c r="H236" s="13" t="n"/>
      <c r="I236" s="13" t="n"/>
      <c r="J236" s="13" t="n"/>
      <c r="K236" s="13" t="n"/>
      <c r="L236" s="13" t="n"/>
      <c r="M236" s="13" t="n"/>
      <c r="N236" s="14">
        <f>IF(A236="","",COUNT(H236:M236)/6)</f>
        <v/>
      </c>
      <c r="O236" s="15">
        <f>IF(COUNT(H236:M236)=0,"",IF(LEN(IF(COUNT(I236,J236)=2,IF(J236&gt;I236+1,"EBE &gt; VA ",""),"")&amp;IF(COUNT(H236,M236)=2,IF(ABS(M236)&gt;ABS(H236),"RN &gt; CA ",""),"")&amp;IF(COUNT(H236,K236)=2,IF(ABS(K236)&gt;ABS(H236),"RE &gt; CA ",""),""))=0,"OK",IF(COUNT(I236,J236)=2,IF(J236&gt;I236+1,"EBE &gt; VA ",""),"")&amp;IF(COUNT(H236,M236)=2,IF(ABS(M236)&gt;ABS(H236),"RN &gt; CA ",""),"")&amp;IF(COUNT(H236,K236)=2,IF(ABS(K236)&gt;ABS(H236),"RE &gt; CA ",""),"")))</f>
        <v/>
      </c>
      <c r="P236" s="16">
        <f>IF(OR($A236="",H236="",$C236=""),"",IF(COUNTIFS($A$5:$A$639,$A236,$C$5:$C$639,$C236-1,$D$5:$D$639,$D236,H$5:H$639,"&lt;&gt;")=0,"",IF(OR(SUMIFS(H$5:H$639,$A$5:$A$639,$A236,$C$5:$C$639,$C236-1,$D$5:$D$639,$D236)=0,H236*SUMIFS(H$5:H$639,$A$5:$A$639,$A236,$C$5:$C$639,$C236-1,$D$5:$D$639,$D236)&lt;0),"n.s.",ABS(H236)/ABS(SUMIFS(H$5:H$639,$A$5:$A$639,$A236,$C$5:$C$639,$C236-1,$D$5:$D$639,$D236))-1)))</f>
        <v/>
      </c>
      <c r="Q236" s="16">
        <f>IF(OR($A236="",I236="",$C236=""),"",IF(COUNTIFS($A$5:$A$639,$A236,$C$5:$C$639,$C236-1,$D$5:$D$639,$D236,I$5:I$639,"&lt;&gt;")=0,"",IF(OR(SUMIFS(I$5:I$639,$A$5:$A$639,$A236,$C$5:$C$639,$C236-1,$D$5:$D$639,$D236)=0,I236*SUMIFS(I$5:I$639,$A$5:$A$639,$A236,$C$5:$C$639,$C236-1,$D$5:$D$639,$D236)&lt;0),"n.s.",ABS(I236)/ABS(SUMIFS(I$5:I$639,$A$5:$A$639,$A236,$C$5:$C$639,$C236-1,$D$5:$D$639,$D236))-1)))</f>
        <v/>
      </c>
      <c r="R236" s="16">
        <f>IF(OR($A236="",J236="",$C236=""),"",IF(COUNTIFS($A$5:$A$639,$A236,$C$5:$C$639,$C236-1,$D$5:$D$639,$D236,J$5:J$639,"&lt;&gt;")=0,"",IF(OR(SUMIFS(J$5:J$639,$A$5:$A$639,$A236,$C$5:$C$639,$C236-1,$D$5:$D$639,$D236)=0,J236*SUMIFS(J$5:J$639,$A$5:$A$639,$A236,$C$5:$C$639,$C236-1,$D$5:$D$639,$D236)&lt;0),"n.s.",ABS(J236)/ABS(SUMIFS(J$5:J$639,$A$5:$A$639,$A236,$C$5:$C$639,$C236-1,$D$5:$D$639,$D236))-1)))</f>
        <v/>
      </c>
      <c r="S236" s="16">
        <f>IF(OR($A236="",K236="",$C236=""),"",IF(COUNTIFS($A$5:$A$639,$A236,$C$5:$C$639,$C236-1,$D$5:$D$639,$D236,K$5:K$639,"&lt;&gt;")=0,"",IF(OR(SUMIFS(K$5:K$639,$A$5:$A$639,$A236,$C$5:$C$639,$C236-1,$D$5:$D$639,$D236)=0,K236*SUMIFS(K$5:K$639,$A$5:$A$639,$A236,$C$5:$C$639,$C236-1,$D$5:$D$639,$D236)&lt;0),"n.s.",ABS(K236)/ABS(SUMIFS(K$5:K$639,$A$5:$A$639,$A236,$C$5:$C$639,$C236-1,$D$5:$D$639,$D236))-1)))</f>
        <v/>
      </c>
      <c r="T236" s="16">
        <f>IF(OR($A236="",L236="",$C236=""),"",IF(COUNTIFS($A$5:$A$639,$A236,$C$5:$C$639,$C236-1,$D$5:$D$639,$D236,L$5:L$639,"&lt;&gt;")=0,"",IF(OR(SUMIFS(L$5:L$639,$A$5:$A$639,$A236,$C$5:$C$639,$C236-1,$D$5:$D$639,$D236)=0,L236*SUMIFS(L$5:L$639,$A$5:$A$639,$A236,$C$5:$C$639,$C236-1,$D$5:$D$639,$D236)&lt;0),"n.s.",ABS(L236)/ABS(SUMIFS(L$5:L$639,$A$5:$A$639,$A236,$C$5:$C$639,$C236-1,$D$5:$D$639,$D236))-1)))</f>
        <v/>
      </c>
      <c r="U236" s="16">
        <f>IF(OR($A236="",M236="",$C236=""),"",IF(COUNTIFS($A$5:$A$639,$A236,$C$5:$C$639,$C236-1,$D$5:$D$639,$D236,M$5:M$639,"&lt;&gt;")=0,"",IF(OR(SUMIFS(M$5:M$639,$A$5:$A$639,$A236,$C$5:$C$639,$C236-1,$D$5:$D$639,$D236)=0,M236*SUMIFS(M$5:M$639,$A$5:$A$639,$A236,$C$5:$C$639,$C236-1,$D$5:$D$639,$D236)&lt;0),"n.s.",ABS(M236)/ABS(SUMIFS(M$5:M$639,$A$5:$A$639,$A236,$C$5:$C$639,$C236-1,$D$5:$D$639,$D236))-1)))</f>
        <v/>
      </c>
    </row>
    <row r="237">
      <c r="A237" s="9" t="inlineStr">
        <is>
          <t>LNBB</t>
        </is>
      </c>
      <c r="B237" s="10">
        <f>IF(A237="","",IFERROR(VLOOKUP(A237,Titres!$A$2:$B$400,2,FALSE),"Ticker inconnu"))</f>
        <v/>
      </c>
      <c r="C237" s="11" t="n">
        <v>2026</v>
      </c>
      <c r="D237" s="11" t="inlineStr">
        <is>
          <t>S1</t>
        </is>
      </c>
      <c r="E237" s="9" t="inlineStr">
        <is>
          <t>Publié</t>
        </is>
      </c>
      <c r="F237" s="12" t="n">
        <v>46234</v>
      </c>
      <c r="G237" s="9" t="inlineStr">
        <is>
          <t>https://www.richbourse.com/common/actualite/afficher-fichier/31-07-2026-lnb-bn-rapport-dactivites-et-rapport-dexamen-limite-des-commissaires-aux-comptes-1er-semestre-2026</t>
        </is>
      </c>
      <c r="H237" s="13" t="n">
        <v>49937</v>
      </c>
      <c r="I237" s="13" t="n"/>
      <c r="J237" s="13" t="n"/>
      <c r="K237" s="13" t="n">
        <v>1783</v>
      </c>
      <c r="L237" s="13" t="n"/>
      <c r="M237" s="13" t="n">
        <v>1348</v>
      </c>
      <c r="N237" s="14">
        <f>IF(A237="","",COUNT(H237:M237)/6)</f>
        <v/>
      </c>
      <c r="O237" s="15">
        <f>IF(COUNT(H237:M237)=0,"",IF(LEN(IF(COUNT(I237,J237)=2,IF(J237&gt;I237+1,"EBE &gt; VA ",""),"")&amp;IF(COUNT(H237,M237)=2,IF(ABS(M237)&gt;ABS(H237),"RN &gt; CA ",""),"")&amp;IF(COUNT(H237,K237)=2,IF(ABS(K237)&gt;ABS(H237),"RE &gt; CA ",""),""))=0,"OK",IF(COUNT(I237,J237)=2,IF(J237&gt;I237+1,"EBE &gt; VA ",""),"")&amp;IF(COUNT(H237,M237)=2,IF(ABS(M237)&gt;ABS(H237),"RN &gt; CA ",""),"")&amp;IF(COUNT(H237,K237)=2,IF(ABS(K237)&gt;ABS(H237),"RE &gt; CA ",""),"")))</f>
        <v/>
      </c>
      <c r="P237" s="16">
        <f>IF(OR($A237="",H237="",$C237=""),"",IF(COUNTIFS($A$5:$A$639,$A237,$C$5:$C$639,$C237-1,$D$5:$D$639,$D237,H$5:H$639,"&lt;&gt;")=0,"",IF(OR(SUMIFS(H$5:H$639,$A$5:$A$639,$A237,$C$5:$C$639,$C237-1,$D$5:$D$639,$D237)=0,H237*SUMIFS(H$5:H$639,$A$5:$A$639,$A237,$C$5:$C$639,$C237-1,$D$5:$D$639,$D237)&lt;0),"n.s.",ABS(H237)/ABS(SUMIFS(H$5:H$639,$A$5:$A$639,$A237,$C$5:$C$639,$C237-1,$D$5:$D$639,$D237))-1)))</f>
        <v/>
      </c>
      <c r="Q237" s="16">
        <f>IF(OR($A237="",I237="",$C237=""),"",IF(COUNTIFS($A$5:$A$639,$A237,$C$5:$C$639,$C237-1,$D$5:$D$639,$D237,I$5:I$639,"&lt;&gt;")=0,"",IF(OR(SUMIFS(I$5:I$639,$A$5:$A$639,$A237,$C$5:$C$639,$C237-1,$D$5:$D$639,$D237)=0,I237*SUMIFS(I$5:I$639,$A$5:$A$639,$A237,$C$5:$C$639,$C237-1,$D$5:$D$639,$D237)&lt;0),"n.s.",ABS(I237)/ABS(SUMIFS(I$5:I$639,$A$5:$A$639,$A237,$C$5:$C$639,$C237-1,$D$5:$D$639,$D237))-1)))</f>
        <v/>
      </c>
      <c r="R237" s="16">
        <f>IF(OR($A237="",J237="",$C237=""),"",IF(COUNTIFS($A$5:$A$639,$A237,$C$5:$C$639,$C237-1,$D$5:$D$639,$D237,J$5:J$639,"&lt;&gt;")=0,"",IF(OR(SUMIFS(J$5:J$639,$A$5:$A$639,$A237,$C$5:$C$639,$C237-1,$D$5:$D$639,$D237)=0,J237*SUMIFS(J$5:J$639,$A$5:$A$639,$A237,$C$5:$C$639,$C237-1,$D$5:$D$639,$D237)&lt;0),"n.s.",ABS(J237)/ABS(SUMIFS(J$5:J$639,$A$5:$A$639,$A237,$C$5:$C$639,$C237-1,$D$5:$D$639,$D237))-1)))</f>
        <v/>
      </c>
      <c r="S237" s="16">
        <f>IF(OR($A237="",K237="",$C237=""),"",IF(COUNTIFS($A$5:$A$639,$A237,$C$5:$C$639,$C237-1,$D$5:$D$639,$D237,K$5:K$639,"&lt;&gt;")=0,"",IF(OR(SUMIFS(K$5:K$639,$A$5:$A$639,$A237,$C$5:$C$639,$C237-1,$D$5:$D$639,$D237)=0,K237*SUMIFS(K$5:K$639,$A$5:$A$639,$A237,$C$5:$C$639,$C237-1,$D$5:$D$639,$D237)&lt;0),"n.s.",ABS(K237)/ABS(SUMIFS(K$5:K$639,$A$5:$A$639,$A237,$C$5:$C$639,$C237-1,$D$5:$D$639,$D237))-1)))</f>
        <v/>
      </c>
      <c r="T237" s="16">
        <f>IF(OR($A237="",L237="",$C237=""),"",IF(COUNTIFS($A$5:$A$639,$A237,$C$5:$C$639,$C237-1,$D$5:$D$639,$D237,L$5:L$639,"&lt;&gt;")=0,"",IF(OR(SUMIFS(L$5:L$639,$A$5:$A$639,$A237,$C$5:$C$639,$C237-1,$D$5:$D$639,$D237)=0,L237*SUMIFS(L$5:L$639,$A$5:$A$639,$A237,$C$5:$C$639,$C237-1,$D$5:$D$639,$D237)&lt;0),"n.s.",ABS(L237)/ABS(SUMIFS(L$5:L$639,$A$5:$A$639,$A237,$C$5:$C$639,$C237-1,$D$5:$D$639,$D237))-1)))</f>
        <v/>
      </c>
      <c r="U237" s="16">
        <f>IF(OR($A237="",M237="",$C237=""),"",IF(COUNTIFS($A$5:$A$639,$A237,$C$5:$C$639,$C237-1,$D$5:$D$639,$D237,M$5:M$639,"&lt;&gt;")=0,"",IF(OR(SUMIFS(M$5:M$639,$A$5:$A$639,$A237,$C$5:$C$639,$C237-1,$D$5:$D$639,$D237)=0,M237*SUMIFS(M$5:M$639,$A$5:$A$639,$A237,$C$5:$C$639,$C237-1,$D$5:$D$639,$D237)&lt;0),"n.s.",ABS(M237)/ABS(SUMIFS(M$5:M$639,$A$5:$A$639,$A237,$C$5:$C$639,$C237-1,$D$5:$D$639,$D237))-1)))</f>
        <v/>
      </c>
    </row>
    <row r="238">
      <c r="A238" s="9" t="inlineStr">
        <is>
          <t>LNBB</t>
        </is>
      </c>
      <c r="B238" s="10">
        <f>IF(A238="","",IFERROR(VLOOKUP(A238,Titres!$A$2:$B$400,2,FALSE),"Ticker inconnu"))</f>
        <v/>
      </c>
      <c r="C238" s="11" t="n">
        <v>2026</v>
      </c>
      <c r="D238" s="11" t="inlineStr">
        <is>
          <t>T3</t>
        </is>
      </c>
      <c r="E238" s="9" t="n"/>
      <c r="F238" s="12" t="n"/>
      <c r="G238" s="9" t="n"/>
      <c r="H238" s="13" t="n"/>
      <c r="I238" s="13" t="n"/>
      <c r="J238" s="13" t="n"/>
      <c r="K238" s="13" t="n"/>
      <c r="L238" s="13" t="n"/>
      <c r="M238" s="13" t="n"/>
      <c r="N238" s="14">
        <f>IF(A238="","",COUNT(H238:M238)/6)</f>
        <v/>
      </c>
      <c r="O238" s="15">
        <f>IF(COUNT(H238:M238)=0,"",IF(LEN(IF(COUNT(I238,J238)=2,IF(J238&gt;I238+1,"EBE &gt; VA ",""),"")&amp;IF(COUNT(H238,M238)=2,IF(ABS(M238)&gt;ABS(H238),"RN &gt; CA ",""),"")&amp;IF(COUNT(H238,K238)=2,IF(ABS(K238)&gt;ABS(H238),"RE &gt; CA ",""),""))=0,"OK",IF(COUNT(I238,J238)=2,IF(J238&gt;I238+1,"EBE &gt; VA ",""),"")&amp;IF(COUNT(H238,M238)=2,IF(ABS(M238)&gt;ABS(H238),"RN &gt; CA ",""),"")&amp;IF(COUNT(H238,K238)=2,IF(ABS(K238)&gt;ABS(H238),"RE &gt; CA ",""),"")))</f>
        <v/>
      </c>
      <c r="P238" s="16">
        <f>IF(OR($A238="",H238="",$C238=""),"",IF(COUNTIFS($A$5:$A$639,$A238,$C$5:$C$639,$C238-1,$D$5:$D$639,$D238,H$5:H$639,"&lt;&gt;")=0,"",IF(OR(SUMIFS(H$5:H$639,$A$5:$A$639,$A238,$C$5:$C$639,$C238-1,$D$5:$D$639,$D238)=0,H238*SUMIFS(H$5:H$639,$A$5:$A$639,$A238,$C$5:$C$639,$C238-1,$D$5:$D$639,$D238)&lt;0),"n.s.",ABS(H238)/ABS(SUMIFS(H$5:H$639,$A$5:$A$639,$A238,$C$5:$C$639,$C238-1,$D$5:$D$639,$D238))-1)))</f>
        <v/>
      </c>
      <c r="Q238" s="16">
        <f>IF(OR($A238="",I238="",$C238=""),"",IF(COUNTIFS($A$5:$A$639,$A238,$C$5:$C$639,$C238-1,$D$5:$D$639,$D238,I$5:I$639,"&lt;&gt;")=0,"",IF(OR(SUMIFS(I$5:I$639,$A$5:$A$639,$A238,$C$5:$C$639,$C238-1,$D$5:$D$639,$D238)=0,I238*SUMIFS(I$5:I$639,$A$5:$A$639,$A238,$C$5:$C$639,$C238-1,$D$5:$D$639,$D238)&lt;0),"n.s.",ABS(I238)/ABS(SUMIFS(I$5:I$639,$A$5:$A$639,$A238,$C$5:$C$639,$C238-1,$D$5:$D$639,$D238))-1)))</f>
        <v/>
      </c>
      <c r="R238" s="16">
        <f>IF(OR($A238="",J238="",$C238=""),"",IF(COUNTIFS($A$5:$A$639,$A238,$C$5:$C$639,$C238-1,$D$5:$D$639,$D238,J$5:J$639,"&lt;&gt;")=0,"",IF(OR(SUMIFS(J$5:J$639,$A$5:$A$639,$A238,$C$5:$C$639,$C238-1,$D$5:$D$639,$D238)=0,J238*SUMIFS(J$5:J$639,$A$5:$A$639,$A238,$C$5:$C$639,$C238-1,$D$5:$D$639,$D238)&lt;0),"n.s.",ABS(J238)/ABS(SUMIFS(J$5:J$639,$A$5:$A$639,$A238,$C$5:$C$639,$C238-1,$D$5:$D$639,$D238))-1)))</f>
        <v/>
      </c>
      <c r="S238" s="16">
        <f>IF(OR($A238="",K238="",$C238=""),"",IF(COUNTIFS($A$5:$A$639,$A238,$C$5:$C$639,$C238-1,$D$5:$D$639,$D238,K$5:K$639,"&lt;&gt;")=0,"",IF(OR(SUMIFS(K$5:K$639,$A$5:$A$639,$A238,$C$5:$C$639,$C238-1,$D$5:$D$639,$D238)=0,K238*SUMIFS(K$5:K$639,$A$5:$A$639,$A238,$C$5:$C$639,$C238-1,$D$5:$D$639,$D238)&lt;0),"n.s.",ABS(K238)/ABS(SUMIFS(K$5:K$639,$A$5:$A$639,$A238,$C$5:$C$639,$C238-1,$D$5:$D$639,$D238))-1)))</f>
        <v/>
      </c>
      <c r="T238" s="16">
        <f>IF(OR($A238="",L238="",$C238=""),"",IF(COUNTIFS($A$5:$A$639,$A238,$C$5:$C$639,$C238-1,$D$5:$D$639,$D238,L$5:L$639,"&lt;&gt;")=0,"",IF(OR(SUMIFS(L$5:L$639,$A$5:$A$639,$A238,$C$5:$C$639,$C238-1,$D$5:$D$639,$D238)=0,L238*SUMIFS(L$5:L$639,$A$5:$A$639,$A238,$C$5:$C$639,$C238-1,$D$5:$D$639,$D238)&lt;0),"n.s.",ABS(L238)/ABS(SUMIFS(L$5:L$639,$A$5:$A$639,$A238,$C$5:$C$639,$C238-1,$D$5:$D$639,$D238))-1)))</f>
        <v/>
      </c>
      <c r="U238" s="16">
        <f>IF(OR($A238="",M238="",$C238=""),"",IF(COUNTIFS($A$5:$A$639,$A238,$C$5:$C$639,$C238-1,$D$5:$D$639,$D238,M$5:M$639,"&lt;&gt;")=0,"",IF(OR(SUMIFS(M$5:M$639,$A$5:$A$639,$A238,$C$5:$C$639,$C238-1,$D$5:$D$639,$D238)=0,M238*SUMIFS(M$5:M$639,$A$5:$A$639,$A238,$C$5:$C$639,$C238-1,$D$5:$D$639,$D238)&lt;0),"n.s.",ABS(M238)/ABS(SUMIFS(M$5:M$639,$A$5:$A$639,$A238,$C$5:$C$639,$C238-1,$D$5:$D$639,$D238))-1)))</f>
        <v/>
      </c>
    </row>
    <row r="239">
      <c r="A239" s="9" t="inlineStr">
        <is>
          <t>NEIC</t>
        </is>
      </c>
      <c r="B239" s="10">
        <f>IF(A239="","",IFERROR(VLOOKUP(A239,Titres!$A$2:$B$400,2,FALSE),"Ticker inconnu"))</f>
        <v/>
      </c>
      <c r="C239" s="11" t="n">
        <v>2021</v>
      </c>
      <c r="D239" s="11" t="inlineStr">
        <is>
          <t>T1</t>
        </is>
      </c>
      <c r="E239" s="9" t="n"/>
      <c r="F239" s="12" t="n"/>
      <c r="G239" s="9" t="n"/>
      <c r="H239" s="13" t="n"/>
      <c r="I239" s="13" t="n"/>
      <c r="J239" s="13" t="n"/>
      <c r="K239" s="13" t="n"/>
      <c r="L239" s="13" t="n"/>
      <c r="M239" s="13" t="n"/>
      <c r="N239" s="14">
        <f>IF(A239="","",COUNT(H239:M239)/6)</f>
        <v/>
      </c>
      <c r="O239" s="15">
        <f>IF(COUNT(H239:M239)=0,"",IF(LEN(IF(COUNT(I239,J239)=2,IF(J239&gt;I239+1,"EBE &gt; VA ",""),"")&amp;IF(COUNT(H239,M239)=2,IF(ABS(M239)&gt;ABS(H239),"RN &gt; CA ",""),"")&amp;IF(COUNT(H239,K239)=2,IF(ABS(K239)&gt;ABS(H239),"RE &gt; CA ",""),""))=0,"OK",IF(COUNT(I239,J239)=2,IF(J239&gt;I239+1,"EBE &gt; VA ",""),"")&amp;IF(COUNT(H239,M239)=2,IF(ABS(M239)&gt;ABS(H239),"RN &gt; CA ",""),"")&amp;IF(COUNT(H239,K239)=2,IF(ABS(K239)&gt;ABS(H239),"RE &gt; CA ",""),"")))</f>
        <v/>
      </c>
      <c r="P239" s="16">
        <f>IF(OR($A239="",H239="",$C239=""),"",IF(COUNTIFS($A$5:$A$639,$A239,$C$5:$C$639,$C239-1,$D$5:$D$639,$D239,H$5:H$639,"&lt;&gt;")=0,"",IF(OR(SUMIFS(H$5:H$639,$A$5:$A$639,$A239,$C$5:$C$639,$C239-1,$D$5:$D$639,$D239)=0,H239*SUMIFS(H$5:H$639,$A$5:$A$639,$A239,$C$5:$C$639,$C239-1,$D$5:$D$639,$D239)&lt;0),"n.s.",ABS(H239)/ABS(SUMIFS(H$5:H$639,$A$5:$A$639,$A239,$C$5:$C$639,$C239-1,$D$5:$D$639,$D239))-1)))</f>
        <v/>
      </c>
      <c r="Q239" s="16">
        <f>IF(OR($A239="",I239="",$C239=""),"",IF(COUNTIFS($A$5:$A$639,$A239,$C$5:$C$639,$C239-1,$D$5:$D$639,$D239,I$5:I$639,"&lt;&gt;")=0,"",IF(OR(SUMIFS(I$5:I$639,$A$5:$A$639,$A239,$C$5:$C$639,$C239-1,$D$5:$D$639,$D239)=0,I239*SUMIFS(I$5:I$639,$A$5:$A$639,$A239,$C$5:$C$639,$C239-1,$D$5:$D$639,$D239)&lt;0),"n.s.",ABS(I239)/ABS(SUMIFS(I$5:I$639,$A$5:$A$639,$A239,$C$5:$C$639,$C239-1,$D$5:$D$639,$D239))-1)))</f>
        <v/>
      </c>
      <c r="R239" s="16">
        <f>IF(OR($A239="",J239="",$C239=""),"",IF(COUNTIFS($A$5:$A$639,$A239,$C$5:$C$639,$C239-1,$D$5:$D$639,$D239,J$5:J$639,"&lt;&gt;")=0,"",IF(OR(SUMIFS(J$5:J$639,$A$5:$A$639,$A239,$C$5:$C$639,$C239-1,$D$5:$D$639,$D239)=0,J239*SUMIFS(J$5:J$639,$A$5:$A$639,$A239,$C$5:$C$639,$C239-1,$D$5:$D$639,$D239)&lt;0),"n.s.",ABS(J239)/ABS(SUMIFS(J$5:J$639,$A$5:$A$639,$A239,$C$5:$C$639,$C239-1,$D$5:$D$639,$D239))-1)))</f>
        <v/>
      </c>
      <c r="S239" s="16">
        <f>IF(OR($A239="",K239="",$C239=""),"",IF(COUNTIFS($A$5:$A$639,$A239,$C$5:$C$639,$C239-1,$D$5:$D$639,$D239,K$5:K$639,"&lt;&gt;")=0,"",IF(OR(SUMIFS(K$5:K$639,$A$5:$A$639,$A239,$C$5:$C$639,$C239-1,$D$5:$D$639,$D239)=0,K239*SUMIFS(K$5:K$639,$A$5:$A$639,$A239,$C$5:$C$639,$C239-1,$D$5:$D$639,$D239)&lt;0),"n.s.",ABS(K239)/ABS(SUMIFS(K$5:K$639,$A$5:$A$639,$A239,$C$5:$C$639,$C239-1,$D$5:$D$639,$D239))-1)))</f>
        <v/>
      </c>
      <c r="T239" s="16">
        <f>IF(OR($A239="",L239="",$C239=""),"",IF(COUNTIFS($A$5:$A$639,$A239,$C$5:$C$639,$C239-1,$D$5:$D$639,$D239,L$5:L$639,"&lt;&gt;")=0,"",IF(OR(SUMIFS(L$5:L$639,$A$5:$A$639,$A239,$C$5:$C$639,$C239-1,$D$5:$D$639,$D239)=0,L239*SUMIFS(L$5:L$639,$A$5:$A$639,$A239,$C$5:$C$639,$C239-1,$D$5:$D$639,$D239)&lt;0),"n.s.",ABS(L239)/ABS(SUMIFS(L$5:L$639,$A$5:$A$639,$A239,$C$5:$C$639,$C239-1,$D$5:$D$639,$D239))-1)))</f>
        <v/>
      </c>
      <c r="U239" s="16">
        <f>IF(OR($A239="",M239="",$C239=""),"",IF(COUNTIFS($A$5:$A$639,$A239,$C$5:$C$639,$C239-1,$D$5:$D$639,$D239,M$5:M$639,"&lt;&gt;")=0,"",IF(OR(SUMIFS(M$5:M$639,$A$5:$A$639,$A239,$C$5:$C$639,$C239-1,$D$5:$D$639,$D239)=0,M239*SUMIFS(M$5:M$639,$A$5:$A$639,$A239,$C$5:$C$639,$C239-1,$D$5:$D$639,$D239)&lt;0),"n.s.",ABS(M239)/ABS(SUMIFS(M$5:M$639,$A$5:$A$639,$A239,$C$5:$C$639,$C239-1,$D$5:$D$639,$D239))-1)))</f>
        <v/>
      </c>
    </row>
    <row r="240">
      <c r="A240" s="9" t="inlineStr">
        <is>
          <t>NEIC</t>
        </is>
      </c>
      <c r="B240" s="10">
        <f>IF(A240="","",IFERROR(VLOOKUP(A240,Titres!$A$2:$B$400,2,FALSE),"Ticker inconnu"))</f>
        <v/>
      </c>
      <c r="C240" s="11" t="n">
        <v>2021</v>
      </c>
      <c r="D240" s="11" t="inlineStr">
        <is>
          <t>S1</t>
        </is>
      </c>
      <c r="E240" s="9" t="n"/>
      <c r="F240" s="12" t="n"/>
      <c r="G240" s="9" t="n"/>
      <c r="H240" s="13" t="n"/>
      <c r="I240" s="13" t="n"/>
      <c r="J240" s="13" t="n"/>
      <c r="K240" s="13" t="n"/>
      <c r="L240" s="13" t="n"/>
      <c r="M240" s="13" t="n"/>
      <c r="N240" s="14">
        <f>IF(A240="","",COUNT(H240:M240)/6)</f>
        <v/>
      </c>
      <c r="O240" s="15">
        <f>IF(COUNT(H240:M240)=0,"",IF(LEN(IF(COUNT(I240,J240)=2,IF(J240&gt;I240+1,"EBE &gt; VA ",""),"")&amp;IF(COUNT(H240,M240)=2,IF(ABS(M240)&gt;ABS(H240),"RN &gt; CA ",""),"")&amp;IF(COUNT(H240,K240)=2,IF(ABS(K240)&gt;ABS(H240),"RE &gt; CA ",""),""))=0,"OK",IF(COUNT(I240,J240)=2,IF(J240&gt;I240+1,"EBE &gt; VA ",""),"")&amp;IF(COUNT(H240,M240)=2,IF(ABS(M240)&gt;ABS(H240),"RN &gt; CA ",""),"")&amp;IF(COUNT(H240,K240)=2,IF(ABS(K240)&gt;ABS(H240),"RE &gt; CA ",""),"")))</f>
        <v/>
      </c>
      <c r="P240" s="16">
        <f>IF(OR($A240="",H240="",$C240=""),"",IF(COUNTIFS($A$5:$A$639,$A240,$C$5:$C$639,$C240-1,$D$5:$D$639,$D240,H$5:H$639,"&lt;&gt;")=0,"",IF(OR(SUMIFS(H$5:H$639,$A$5:$A$639,$A240,$C$5:$C$639,$C240-1,$D$5:$D$639,$D240)=0,H240*SUMIFS(H$5:H$639,$A$5:$A$639,$A240,$C$5:$C$639,$C240-1,$D$5:$D$639,$D240)&lt;0),"n.s.",ABS(H240)/ABS(SUMIFS(H$5:H$639,$A$5:$A$639,$A240,$C$5:$C$639,$C240-1,$D$5:$D$639,$D240))-1)))</f>
        <v/>
      </c>
      <c r="Q240" s="16">
        <f>IF(OR($A240="",I240="",$C240=""),"",IF(COUNTIFS($A$5:$A$639,$A240,$C$5:$C$639,$C240-1,$D$5:$D$639,$D240,I$5:I$639,"&lt;&gt;")=0,"",IF(OR(SUMIFS(I$5:I$639,$A$5:$A$639,$A240,$C$5:$C$639,$C240-1,$D$5:$D$639,$D240)=0,I240*SUMIFS(I$5:I$639,$A$5:$A$639,$A240,$C$5:$C$639,$C240-1,$D$5:$D$639,$D240)&lt;0),"n.s.",ABS(I240)/ABS(SUMIFS(I$5:I$639,$A$5:$A$639,$A240,$C$5:$C$639,$C240-1,$D$5:$D$639,$D240))-1)))</f>
        <v/>
      </c>
      <c r="R240" s="16">
        <f>IF(OR($A240="",J240="",$C240=""),"",IF(COUNTIFS($A$5:$A$639,$A240,$C$5:$C$639,$C240-1,$D$5:$D$639,$D240,J$5:J$639,"&lt;&gt;")=0,"",IF(OR(SUMIFS(J$5:J$639,$A$5:$A$639,$A240,$C$5:$C$639,$C240-1,$D$5:$D$639,$D240)=0,J240*SUMIFS(J$5:J$639,$A$5:$A$639,$A240,$C$5:$C$639,$C240-1,$D$5:$D$639,$D240)&lt;0),"n.s.",ABS(J240)/ABS(SUMIFS(J$5:J$639,$A$5:$A$639,$A240,$C$5:$C$639,$C240-1,$D$5:$D$639,$D240))-1)))</f>
        <v/>
      </c>
      <c r="S240" s="16">
        <f>IF(OR($A240="",K240="",$C240=""),"",IF(COUNTIFS($A$5:$A$639,$A240,$C$5:$C$639,$C240-1,$D$5:$D$639,$D240,K$5:K$639,"&lt;&gt;")=0,"",IF(OR(SUMIFS(K$5:K$639,$A$5:$A$639,$A240,$C$5:$C$639,$C240-1,$D$5:$D$639,$D240)=0,K240*SUMIFS(K$5:K$639,$A$5:$A$639,$A240,$C$5:$C$639,$C240-1,$D$5:$D$639,$D240)&lt;0),"n.s.",ABS(K240)/ABS(SUMIFS(K$5:K$639,$A$5:$A$639,$A240,$C$5:$C$639,$C240-1,$D$5:$D$639,$D240))-1)))</f>
        <v/>
      </c>
      <c r="T240" s="16">
        <f>IF(OR($A240="",L240="",$C240=""),"",IF(COUNTIFS($A$5:$A$639,$A240,$C$5:$C$639,$C240-1,$D$5:$D$639,$D240,L$5:L$639,"&lt;&gt;")=0,"",IF(OR(SUMIFS(L$5:L$639,$A$5:$A$639,$A240,$C$5:$C$639,$C240-1,$D$5:$D$639,$D240)=0,L240*SUMIFS(L$5:L$639,$A$5:$A$639,$A240,$C$5:$C$639,$C240-1,$D$5:$D$639,$D240)&lt;0),"n.s.",ABS(L240)/ABS(SUMIFS(L$5:L$639,$A$5:$A$639,$A240,$C$5:$C$639,$C240-1,$D$5:$D$639,$D240))-1)))</f>
        <v/>
      </c>
      <c r="U240" s="16">
        <f>IF(OR($A240="",M240="",$C240=""),"",IF(COUNTIFS($A$5:$A$639,$A240,$C$5:$C$639,$C240-1,$D$5:$D$639,$D240,M$5:M$639,"&lt;&gt;")=0,"",IF(OR(SUMIFS(M$5:M$639,$A$5:$A$639,$A240,$C$5:$C$639,$C240-1,$D$5:$D$639,$D240)=0,M240*SUMIFS(M$5:M$639,$A$5:$A$639,$A240,$C$5:$C$639,$C240-1,$D$5:$D$639,$D240)&lt;0),"n.s.",ABS(M240)/ABS(SUMIFS(M$5:M$639,$A$5:$A$639,$A240,$C$5:$C$639,$C240-1,$D$5:$D$639,$D240))-1)))</f>
        <v/>
      </c>
    </row>
    <row r="241">
      <c r="A241" s="9" t="inlineStr">
        <is>
          <t>NEIC</t>
        </is>
      </c>
      <c r="B241" s="10">
        <f>IF(A241="","",IFERROR(VLOOKUP(A241,Titres!$A$2:$B$400,2,FALSE),"Ticker inconnu"))</f>
        <v/>
      </c>
      <c r="C241" s="11" t="n">
        <v>2021</v>
      </c>
      <c r="D241" s="11" t="inlineStr">
        <is>
          <t>T3</t>
        </is>
      </c>
      <c r="E241" s="9" t="n"/>
      <c r="F241" s="12" t="n"/>
      <c r="G241" s="9" t="n"/>
      <c r="H241" s="13" t="n"/>
      <c r="I241" s="13" t="n"/>
      <c r="J241" s="13" t="n"/>
      <c r="K241" s="13" t="n"/>
      <c r="L241" s="13" t="n"/>
      <c r="M241" s="13" t="n"/>
      <c r="N241" s="14">
        <f>IF(A241="","",COUNT(H241:M241)/6)</f>
        <v/>
      </c>
      <c r="O241" s="15">
        <f>IF(COUNT(H241:M241)=0,"",IF(LEN(IF(COUNT(I241,J241)=2,IF(J241&gt;I241+1,"EBE &gt; VA ",""),"")&amp;IF(COUNT(H241,M241)=2,IF(ABS(M241)&gt;ABS(H241),"RN &gt; CA ",""),"")&amp;IF(COUNT(H241,K241)=2,IF(ABS(K241)&gt;ABS(H241),"RE &gt; CA ",""),""))=0,"OK",IF(COUNT(I241,J241)=2,IF(J241&gt;I241+1,"EBE &gt; VA ",""),"")&amp;IF(COUNT(H241,M241)=2,IF(ABS(M241)&gt;ABS(H241),"RN &gt; CA ",""),"")&amp;IF(COUNT(H241,K241)=2,IF(ABS(K241)&gt;ABS(H241),"RE &gt; CA ",""),"")))</f>
        <v/>
      </c>
      <c r="P241" s="16">
        <f>IF(OR($A241="",H241="",$C241=""),"",IF(COUNTIFS($A$5:$A$639,$A241,$C$5:$C$639,$C241-1,$D$5:$D$639,$D241,H$5:H$639,"&lt;&gt;")=0,"",IF(OR(SUMIFS(H$5:H$639,$A$5:$A$639,$A241,$C$5:$C$639,$C241-1,$D$5:$D$639,$D241)=0,H241*SUMIFS(H$5:H$639,$A$5:$A$639,$A241,$C$5:$C$639,$C241-1,$D$5:$D$639,$D241)&lt;0),"n.s.",ABS(H241)/ABS(SUMIFS(H$5:H$639,$A$5:$A$639,$A241,$C$5:$C$639,$C241-1,$D$5:$D$639,$D241))-1)))</f>
        <v/>
      </c>
      <c r="Q241" s="16">
        <f>IF(OR($A241="",I241="",$C241=""),"",IF(COUNTIFS($A$5:$A$639,$A241,$C$5:$C$639,$C241-1,$D$5:$D$639,$D241,I$5:I$639,"&lt;&gt;")=0,"",IF(OR(SUMIFS(I$5:I$639,$A$5:$A$639,$A241,$C$5:$C$639,$C241-1,$D$5:$D$639,$D241)=0,I241*SUMIFS(I$5:I$639,$A$5:$A$639,$A241,$C$5:$C$639,$C241-1,$D$5:$D$639,$D241)&lt;0),"n.s.",ABS(I241)/ABS(SUMIFS(I$5:I$639,$A$5:$A$639,$A241,$C$5:$C$639,$C241-1,$D$5:$D$639,$D241))-1)))</f>
        <v/>
      </c>
      <c r="R241" s="16">
        <f>IF(OR($A241="",J241="",$C241=""),"",IF(COUNTIFS($A$5:$A$639,$A241,$C$5:$C$639,$C241-1,$D$5:$D$639,$D241,J$5:J$639,"&lt;&gt;")=0,"",IF(OR(SUMIFS(J$5:J$639,$A$5:$A$639,$A241,$C$5:$C$639,$C241-1,$D$5:$D$639,$D241)=0,J241*SUMIFS(J$5:J$639,$A$5:$A$639,$A241,$C$5:$C$639,$C241-1,$D$5:$D$639,$D241)&lt;0),"n.s.",ABS(J241)/ABS(SUMIFS(J$5:J$639,$A$5:$A$639,$A241,$C$5:$C$639,$C241-1,$D$5:$D$639,$D241))-1)))</f>
        <v/>
      </c>
      <c r="S241" s="16">
        <f>IF(OR($A241="",K241="",$C241=""),"",IF(COUNTIFS($A$5:$A$639,$A241,$C$5:$C$639,$C241-1,$D$5:$D$639,$D241,K$5:K$639,"&lt;&gt;")=0,"",IF(OR(SUMIFS(K$5:K$639,$A$5:$A$639,$A241,$C$5:$C$639,$C241-1,$D$5:$D$639,$D241)=0,K241*SUMIFS(K$5:K$639,$A$5:$A$639,$A241,$C$5:$C$639,$C241-1,$D$5:$D$639,$D241)&lt;0),"n.s.",ABS(K241)/ABS(SUMIFS(K$5:K$639,$A$5:$A$639,$A241,$C$5:$C$639,$C241-1,$D$5:$D$639,$D241))-1)))</f>
        <v/>
      </c>
      <c r="T241" s="16">
        <f>IF(OR($A241="",L241="",$C241=""),"",IF(COUNTIFS($A$5:$A$639,$A241,$C$5:$C$639,$C241-1,$D$5:$D$639,$D241,L$5:L$639,"&lt;&gt;")=0,"",IF(OR(SUMIFS(L$5:L$639,$A$5:$A$639,$A241,$C$5:$C$639,$C241-1,$D$5:$D$639,$D241)=0,L241*SUMIFS(L$5:L$639,$A$5:$A$639,$A241,$C$5:$C$639,$C241-1,$D$5:$D$639,$D241)&lt;0),"n.s.",ABS(L241)/ABS(SUMIFS(L$5:L$639,$A$5:$A$639,$A241,$C$5:$C$639,$C241-1,$D$5:$D$639,$D241))-1)))</f>
        <v/>
      </c>
      <c r="U241" s="16">
        <f>IF(OR($A241="",M241="",$C241=""),"",IF(COUNTIFS($A$5:$A$639,$A241,$C$5:$C$639,$C241-1,$D$5:$D$639,$D241,M$5:M$639,"&lt;&gt;")=0,"",IF(OR(SUMIFS(M$5:M$639,$A$5:$A$639,$A241,$C$5:$C$639,$C241-1,$D$5:$D$639,$D241)=0,M241*SUMIFS(M$5:M$639,$A$5:$A$639,$A241,$C$5:$C$639,$C241-1,$D$5:$D$639,$D241)&lt;0),"n.s.",ABS(M241)/ABS(SUMIFS(M$5:M$639,$A$5:$A$639,$A241,$C$5:$C$639,$C241-1,$D$5:$D$639,$D241))-1)))</f>
        <v/>
      </c>
    </row>
    <row r="242">
      <c r="A242" s="9" t="inlineStr">
        <is>
          <t>NEIC</t>
        </is>
      </c>
      <c r="B242" s="10">
        <f>IF(A242="","",IFERROR(VLOOKUP(A242,Titres!$A$2:$B$400,2,FALSE),"Ticker inconnu"))</f>
        <v/>
      </c>
      <c r="C242" s="11" t="n">
        <v>2022</v>
      </c>
      <c r="D242" s="11" t="inlineStr">
        <is>
          <t>T1</t>
        </is>
      </c>
      <c r="E242" s="9" t="n"/>
      <c r="F242" s="12" t="n"/>
      <c r="G242" s="9" t="n"/>
      <c r="H242" s="13" t="n"/>
      <c r="I242" s="13" t="n"/>
      <c r="J242" s="13" t="n"/>
      <c r="K242" s="13" t="n"/>
      <c r="L242" s="13" t="n"/>
      <c r="M242" s="13" t="n"/>
      <c r="N242" s="14">
        <f>IF(A242="","",COUNT(H242:M242)/6)</f>
        <v/>
      </c>
      <c r="O242" s="15">
        <f>IF(COUNT(H242:M242)=0,"",IF(LEN(IF(COUNT(I242,J242)=2,IF(J242&gt;I242+1,"EBE &gt; VA ",""),"")&amp;IF(COUNT(H242,M242)=2,IF(ABS(M242)&gt;ABS(H242),"RN &gt; CA ",""),"")&amp;IF(COUNT(H242,K242)=2,IF(ABS(K242)&gt;ABS(H242),"RE &gt; CA ",""),""))=0,"OK",IF(COUNT(I242,J242)=2,IF(J242&gt;I242+1,"EBE &gt; VA ",""),"")&amp;IF(COUNT(H242,M242)=2,IF(ABS(M242)&gt;ABS(H242),"RN &gt; CA ",""),"")&amp;IF(COUNT(H242,K242)=2,IF(ABS(K242)&gt;ABS(H242),"RE &gt; CA ",""),"")))</f>
        <v/>
      </c>
      <c r="P242" s="16">
        <f>IF(OR($A242="",H242="",$C242=""),"",IF(COUNTIFS($A$5:$A$639,$A242,$C$5:$C$639,$C242-1,$D$5:$D$639,$D242,H$5:H$639,"&lt;&gt;")=0,"",IF(OR(SUMIFS(H$5:H$639,$A$5:$A$639,$A242,$C$5:$C$639,$C242-1,$D$5:$D$639,$D242)=0,H242*SUMIFS(H$5:H$639,$A$5:$A$639,$A242,$C$5:$C$639,$C242-1,$D$5:$D$639,$D242)&lt;0),"n.s.",ABS(H242)/ABS(SUMIFS(H$5:H$639,$A$5:$A$639,$A242,$C$5:$C$639,$C242-1,$D$5:$D$639,$D242))-1)))</f>
        <v/>
      </c>
      <c r="Q242" s="16">
        <f>IF(OR($A242="",I242="",$C242=""),"",IF(COUNTIFS($A$5:$A$639,$A242,$C$5:$C$639,$C242-1,$D$5:$D$639,$D242,I$5:I$639,"&lt;&gt;")=0,"",IF(OR(SUMIFS(I$5:I$639,$A$5:$A$639,$A242,$C$5:$C$639,$C242-1,$D$5:$D$639,$D242)=0,I242*SUMIFS(I$5:I$639,$A$5:$A$639,$A242,$C$5:$C$639,$C242-1,$D$5:$D$639,$D242)&lt;0),"n.s.",ABS(I242)/ABS(SUMIFS(I$5:I$639,$A$5:$A$639,$A242,$C$5:$C$639,$C242-1,$D$5:$D$639,$D242))-1)))</f>
        <v/>
      </c>
      <c r="R242" s="16">
        <f>IF(OR($A242="",J242="",$C242=""),"",IF(COUNTIFS($A$5:$A$639,$A242,$C$5:$C$639,$C242-1,$D$5:$D$639,$D242,J$5:J$639,"&lt;&gt;")=0,"",IF(OR(SUMIFS(J$5:J$639,$A$5:$A$639,$A242,$C$5:$C$639,$C242-1,$D$5:$D$639,$D242)=0,J242*SUMIFS(J$5:J$639,$A$5:$A$639,$A242,$C$5:$C$639,$C242-1,$D$5:$D$639,$D242)&lt;0),"n.s.",ABS(J242)/ABS(SUMIFS(J$5:J$639,$A$5:$A$639,$A242,$C$5:$C$639,$C242-1,$D$5:$D$639,$D242))-1)))</f>
        <v/>
      </c>
      <c r="S242" s="16">
        <f>IF(OR($A242="",K242="",$C242=""),"",IF(COUNTIFS($A$5:$A$639,$A242,$C$5:$C$639,$C242-1,$D$5:$D$639,$D242,K$5:K$639,"&lt;&gt;")=0,"",IF(OR(SUMIFS(K$5:K$639,$A$5:$A$639,$A242,$C$5:$C$639,$C242-1,$D$5:$D$639,$D242)=0,K242*SUMIFS(K$5:K$639,$A$5:$A$639,$A242,$C$5:$C$639,$C242-1,$D$5:$D$639,$D242)&lt;0),"n.s.",ABS(K242)/ABS(SUMIFS(K$5:K$639,$A$5:$A$639,$A242,$C$5:$C$639,$C242-1,$D$5:$D$639,$D242))-1)))</f>
        <v/>
      </c>
      <c r="T242" s="16">
        <f>IF(OR($A242="",L242="",$C242=""),"",IF(COUNTIFS($A$5:$A$639,$A242,$C$5:$C$639,$C242-1,$D$5:$D$639,$D242,L$5:L$639,"&lt;&gt;")=0,"",IF(OR(SUMIFS(L$5:L$639,$A$5:$A$639,$A242,$C$5:$C$639,$C242-1,$D$5:$D$639,$D242)=0,L242*SUMIFS(L$5:L$639,$A$5:$A$639,$A242,$C$5:$C$639,$C242-1,$D$5:$D$639,$D242)&lt;0),"n.s.",ABS(L242)/ABS(SUMIFS(L$5:L$639,$A$5:$A$639,$A242,$C$5:$C$639,$C242-1,$D$5:$D$639,$D242))-1)))</f>
        <v/>
      </c>
      <c r="U242" s="16">
        <f>IF(OR($A242="",M242="",$C242=""),"",IF(COUNTIFS($A$5:$A$639,$A242,$C$5:$C$639,$C242-1,$D$5:$D$639,$D242,M$5:M$639,"&lt;&gt;")=0,"",IF(OR(SUMIFS(M$5:M$639,$A$5:$A$639,$A242,$C$5:$C$639,$C242-1,$D$5:$D$639,$D242)=0,M242*SUMIFS(M$5:M$639,$A$5:$A$639,$A242,$C$5:$C$639,$C242-1,$D$5:$D$639,$D242)&lt;0),"n.s.",ABS(M242)/ABS(SUMIFS(M$5:M$639,$A$5:$A$639,$A242,$C$5:$C$639,$C242-1,$D$5:$D$639,$D242))-1)))</f>
        <v/>
      </c>
    </row>
    <row r="243">
      <c r="A243" s="9" t="inlineStr">
        <is>
          <t>NEIC</t>
        </is>
      </c>
      <c r="B243" s="10">
        <f>IF(A243="","",IFERROR(VLOOKUP(A243,Titres!$A$2:$B$400,2,FALSE),"Ticker inconnu"))</f>
        <v/>
      </c>
      <c r="C243" s="11" t="n">
        <v>2022</v>
      </c>
      <c r="D243" s="11" t="inlineStr">
        <is>
          <t>S1</t>
        </is>
      </c>
      <c r="E243" s="9" t="n"/>
      <c r="F243" s="12" t="n"/>
      <c r="G243" s="9" t="n"/>
      <c r="H243" s="13" t="n"/>
      <c r="I243" s="13" t="n"/>
      <c r="J243" s="13" t="n"/>
      <c r="K243" s="13" t="n"/>
      <c r="L243" s="13" t="n"/>
      <c r="M243" s="13" t="n"/>
      <c r="N243" s="14">
        <f>IF(A243="","",COUNT(H243:M243)/6)</f>
        <v/>
      </c>
      <c r="O243" s="15">
        <f>IF(COUNT(H243:M243)=0,"",IF(LEN(IF(COUNT(I243,J243)=2,IF(J243&gt;I243+1,"EBE &gt; VA ",""),"")&amp;IF(COUNT(H243,M243)=2,IF(ABS(M243)&gt;ABS(H243),"RN &gt; CA ",""),"")&amp;IF(COUNT(H243,K243)=2,IF(ABS(K243)&gt;ABS(H243),"RE &gt; CA ",""),""))=0,"OK",IF(COUNT(I243,J243)=2,IF(J243&gt;I243+1,"EBE &gt; VA ",""),"")&amp;IF(COUNT(H243,M243)=2,IF(ABS(M243)&gt;ABS(H243),"RN &gt; CA ",""),"")&amp;IF(COUNT(H243,K243)=2,IF(ABS(K243)&gt;ABS(H243),"RE &gt; CA ",""),"")))</f>
        <v/>
      </c>
      <c r="P243" s="16">
        <f>IF(OR($A243="",H243="",$C243=""),"",IF(COUNTIFS($A$5:$A$639,$A243,$C$5:$C$639,$C243-1,$D$5:$D$639,$D243,H$5:H$639,"&lt;&gt;")=0,"",IF(OR(SUMIFS(H$5:H$639,$A$5:$A$639,$A243,$C$5:$C$639,$C243-1,$D$5:$D$639,$D243)=0,H243*SUMIFS(H$5:H$639,$A$5:$A$639,$A243,$C$5:$C$639,$C243-1,$D$5:$D$639,$D243)&lt;0),"n.s.",ABS(H243)/ABS(SUMIFS(H$5:H$639,$A$5:$A$639,$A243,$C$5:$C$639,$C243-1,$D$5:$D$639,$D243))-1)))</f>
        <v/>
      </c>
      <c r="Q243" s="16">
        <f>IF(OR($A243="",I243="",$C243=""),"",IF(COUNTIFS($A$5:$A$639,$A243,$C$5:$C$639,$C243-1,$D$5:$D$639,$D243,I$5:I$639,"&lt;&gt;")=0,"",IF(OR(SUMIFS(I$5:I$639,$A$5:$A$639,$A243,$C$5:$C$639,$C243-1,$D$5:$D$639,$D243)=0,I243*SUMIFS(I$5:I$639,$A$5:$A$639,$A243,$C$5:$C$639,$C243-1,$D$5:$D$639,$D243)&lt;0),"n.s.",ABS(I243)/ABS(SUMIFS(I$5:I$639,$A$5:$A$639,$A243,$C$5:$C$639,$C243-1,$D$5:$D$639,$D243))-1)))</f>
        <v/>
      </c>
      <c r="R243" s="16">
        <f>IF(OR($A243="",J243="",$C243=""),"",IF(COUNTIFS($A$5:$A$639,$A243,$C$5:$C$639,$C243-1,$D$5:$D$639,$D243,J$5:J$639,"&lt;&gt;")=0,"",IF(OR(SUMIFS(J$5:J$639,$A$5:$A$639,$A243,$C$5:$C$639,$C243-1,$D$5:$D$639,$D243)=0,J243*SUMIFS(J$5:J$639,$A$5:$A$639,$A243,$C$5:$C$639,$C243-1,$D$5:$D$639,$D243)&lt;0),"n.s.",ABS(J243)/ABS(SUMIFS(J$5:J$639,$A$5:$A$639,$A243,$C$5:$C$639,$C243-1,$D$5:$D$639,$D243))-1)))</f>
        <v/>
      </c>
      <c r="S243" s="16">
        <f>IF(OR($A243="",K243="",$C243=""),"",IF(COUNTIFS($A$5:$A$639,$A243,$C$5:$C$639,$C243-1,$D$5:$D$639,$D243,K$5:K$639,"&lt;&gt;")=0,"",IF(OR(SUMIFS(K$5:K$639,$A$5:$A$639,$A243,$C$5:$C$639,$C243-1,$D$5:$D$639,$D243)=0,K243*SUMIFS(K$5:K$639,$A$5:$A$639,$A243,$C$5:$C$639,$C243-1,$D$5:$D$639,$D243)&lt;0),"n.s.",ABS(K243)/ABS(SUMIFS(K$5:K$639,$A$5:$A$639,$A243,$C$5:$C$639,$C243-1,$D$5:$D$639,$D243))-1)))</f>
        <v/>
      </c>
      <c r="T243" s="16">
        <f>IF(OR($A243="",L243="",$C243=""),"",IF(COUNTIFS($A$5:$A$639,$A243,$C$5:$C$639,$C243-1,$D$5:$D$639,$D243,L$5:L$639,"&lt;&gt;")=0,"",IF(OR(SUMIFS(L$5:L$639,$A$5:$A$639,$A243,$C$5:$C$639,$C243-1,$D$5:$D$639,$D243)=0,L243*SUMIFS(L$5:L$639,$A$5:$A$639,$A243,$C$5:$C$639,$C243-1,$D$5:$D$639,$D243)&lt;0),"n.s.",ABS(L243)/ABS(SUMIFS(L$5:L$639,$A$5:$A$639,$A243,$C$5:$C$639,$C243-1,$D$5:$D$639,$D243))-1)))</f>
        <v/>
      </c>
      <c r="U243" s="16">
        <f>IF(OR($A243="",M243="",$C243=""),"",IF(COUNTIFS($A$5:$A$639,$A243,$C$5:$C$639,$C243-1,$D$5:$D$639,$D243,M$5:M$639,"&lt;&gt;")=0,"",IF(OR(SUMIFS(M$5:M$639,$A$5:$A$639,$A243,$C$5:$C$639,$C243-1,$D$5:$D$639,$D243)=0,M243*SUMIFS(M$5:M$639,$A$5:$A$639,$A243,$C$5:$C$639,$C243-1,$D$5:$D$639,$D243)&lt;0),"n.s.",ABS(M243)/ABS(SUMIFS(M$5:M$639,$A$5:$A$639,$A243,$C$5:$C$639,$C243-1,$D$5:$D$639,$D243))-1)))</f>
        <v/>
      </c>
    </row>
    <row r="244">
      <c r="A244" s="9" t="inlineStr">
        <is>
          <t>NEIC</t>
        </is>
      </c>
      <c r="B244" s="10">
        <f>IF(A244="","",IFERROR(VLOOKUP(A244,Titres!$A$2:$B$400,2,FALSE),"Ticker inconnu"))</f>
        <v/>
      </c>
      <c r="C244" s="11" t="n">
        <v>2022</v>
      </c>
      <c r="D244" s="11" t="inlineStr">
        <is>
          <t>T3</t>
        </is>
      </c>
      <c r="E244" s="9" t="n"/>
      <c r="F244" s="12" t="n"/>
      <c r="G244" s="9" t="n"/>
      <c r="H244" s="13" t="n"/>
      <c r="I244" s="13" t="n"/>
      <c r="J244" s="13" t="n"/>
      <c r="K244" s="13" t="n"/>
      <c r="L244" s="13" t="n"/>
      <c r="M244" s="13" t="n"/>
      <c r="N244" s="14">
        <f>IF(A244="","",COUNT(H244:M244)/6)</f>
        <v/>
      </c>
      <c r="O244" s="15">
        <f>IF(COUNT(H244:M244)=0,"",IF(LEN(IF(COUNT(I244,J244)=2,IF(J244&gt;I244+1,"EBE &gt; VA ",""),"")&amp;IF(COUNT(H244,M244)=2,IF(ABS(M244)&gt;ABS(H244),"RN &gt; CA ",""),"")&amp;IF(COUNT(H244,K244)=2,IF(ABS(K244)&gt;ABS(H244),"RE &gt; CA ",""),""))=0,"OK",IF(COUNT(I244,J244)=2,IF(J244&gt;I244+1,"EBE &gt; VA ",""),"")&amp;IF(COUNT(H244,M244)=2,IF(ABS(M244)&gt;ABS(H244),"RN &gt; CA ",""),"")&amp;IF(COUNT(H244,K244)=2,IF(ABS(K244)&gt;ABS(H244),"RE &gt; CA ",""),"")))</f>
        <v/>
      </c>
      <c r="P244" s="16">
        <f>IF(OR($A244="",H244="",$C244=""),"",IF(COUNTIFS($A$5:$A$639,$A244,$C$5:$C$639,$C244-1,$D$5:$D$639,$D244,H$5:H$639,"&lt;&gt;")=0,"",IF(OR(SUMIFS(H$5:H$639,$A$5:$A$639,$A244,$C$5:$C$639,$C244-1,$D$5:$D$639,$D244)=0,H244*SUMIFS(H$5:H$639,$A$5:$A$639,$A244,$C$5:$C$639,$C244-1,$D$5:$D$639,$D244)&lt;0),"n.s.",ABS(H244)/ABS(SUMIFS(H$5:H$639,$A$5:$A$639,$A244,$C$5:$C$639,$C244-1,$D$5:$D$639,$D244))-1)))</f>
        <v/>
      </c>
      <c r="Q244" s="16">
        <f>IF(OR($A244="",I244="",$C244=""),"",IF(COUNTIFS($A$5:$A$639,$A244,$C$5:$C$639,$C244-1,$D$5:$D$639,$D244,I$5:I$639,"&lt;&gt;")=0,"",IF(OR(SUMIFS(I$5:I$639,$A$5:$A$639,$A244,$C$5:$C$639,$C244-1,$D$5:$D$639,$D244)=0,I244*SUMIFS(I$5:I$639,$A$5:$A$639,$A244,$C$5:$C$639,$C244-1,$D$5:$D$639,$D244)&lt;0),"n.s.",ABS(I244)/ABS(SUMIFS(I$5:I$639,$A$5:$A$639,$A244,$C$5:$C$639,$C244-1,$D$5:$D$639,$D244))-1)))</f>
        <v/>
      </c>
      <c r="R244" s="16">
        <f>IF(OR($A244="",J244="",$C244=""),"",IF(COUNTIFS($A$5:$A$639,$A244,$C$5:$C$639,$C244-1,$D$5:$D$639,$D244,J$5:J$639,"&lt;&gt;")=0,"",IF(OR(SUMIFS(J$5:J$639,$A$5:$A$639,$A244,$C$5:$C$639,$C244-1,$D$5:$D$639,$D244)=0,J244*SUMIFS(J$5:J$639,$A$5:$A$639,$A244,$C$5:$C$639,$C244-1,$D$5:$D$639,$D244)&lt;0),"n.s.",ABS(J244)/ABS(SUMIFS(J$5:J$639,$A$5:$A$639,$A244,$C$5:$C$639,$C244-1,$D$5:$D$639,$D244))-1)))</f>
        <v/>
      </c>
      <c r="S244" s="16">
        <f>IF(OR($A244="",K244="",$C244=""),"",IF(COUNTIFS($A$5:$A$639,$A244,$C$5:$C$639,$C244-1,$D$5:$D$639,$D244,K$5:K$639,"&lt;&gt;")=0,"",IF(OR(SUMIFS(K$5:K$639,$A$5:$A$639,$A244,$C$5:$C$639,$C244-1,$D$5:$D$639,$D244)=0,K244*SUMIFS(K$5:K$639,$A$5:$A$639,$A244,$C$5:$C$639,$C244-1,$D$5:$D$639,$D244)&lt;0),"n.s.",ABS(K244)/ABS(SUMIFS(K$5:K$639,$A$5:$A$639,$A244,$C$5:$C$639,$C244-1,$D$5:$D$639,$D244))-1)))</f>
        <v/>
      </c>
      <c r="T244" s="16">
        <f>IF(OR($A244="",L244="",$C244=""),"",IF(COUNTIFS($A$5:$A$639,$A244,$C$5:$C$639,$C244-1,$D$5:$D$639,$D244,L$5:L$639,"&lt;&gt;")=0,"",IF(OR(SUMIFS(L$5:L$639,$A$5:$A$639,$A244,$C$5:$C$639,$C244-1,$D$5:$D$639,$D244)=0,L244*SUMIFS(L$5:L$639,$A$5:$A$639,$A244,$C$5:$C$639,$C244-1,$D$5:$D$639,$D244)&lt;0),"n.s.",ABS(L244)/ABS(SUMIFS(L$5:L$639,$A$5:$A$639,$A244,$C$5:$C$639,$C244-1,$D$5:$D$639,$D244))-1)))</f>
        <v/>
      </c>
      <c r="U244" s="16">
        <f>IF(OR($A244="",M244="",$C244=""),"",IF(COUNTIFS($A$5:$A$639,$A244,$C$5:$C$639,$C244-1,$D$5:$D$639,$D244,M$5:M$639,"&lt;&gt;")=0,"",IF(OR(SUMIFS(M$5:M$639,$A$5:$A$639,$A244,$C$5:$C$639,$C244-1,$D$5:$D$639,$D244)=0,M244*SUMIFS(M$5:M$639,$A$5:$A$639,$A244,$C$5:$C$639,$C244-1,$D$5:$D$639,$D244)&lt;0),"n.s.",ABS(M244)/ABS(SUMIFS(M$5:M$639,$A$5:$A$639,$A244,$C$5:$C$639,$C244-1,$D$5:$D$639,$D244))-1)))</f>
        <v/>
      </c>
    </row>
    <row r="245">
      <c r="A245" s="9" t="inlineStr">
        <is>
          <t>NEIC</t>
        </is>
      </c>
      <c r="B245" s="10">
        <f>IF(A245="","",IFERROR(VLOOKUP(A245,Titres!$A$2:$B$400,2,FALSE),"Ticker inconnu"))</f>
        <v/>
      </c>
      <c r="C245" s="11" t="n">
        <v>2023</v>
      </c>
      <c r="D245" s="11" t="inlineStr">
        <is>
          <t>T1</t>
        </is>
      </c>
      <c r="E245" s="9" t="n"/>
      <c r="F245" s="12" t="n"/>
      <c r="G245" s="9" t="n"/>
      <c r="H245" s="13" t="n"/>
      <c r="I245" s="13" t="n"/>
      <c r="J245" s="13" t="n"/>
      <c r="K245" s="13" t="n"/>
      <c r="L245" s="13" t="n"/>
      <c r="M245" s="13" t="n"/>
      <c r="N245" s="14">
        <f>IF(A245="","",COUNT(H245:M245)/6)</f>
        <v/>
      </c>
      <c r="O245" s="15">
        <f>IF(COUNT(H245:M245)=0,"",IF(LEN(IF(COUNT(I245,J245)=2,IF(J245&gt;I245+1,"EBE &gt; VA ",""),"")&amp;IF(COUNT(H245,M245)=2,IF(ABS(M245)&gt;ABS(H245),"RN &gt; CA ",""),"")&amp;IF(COUNT(H245,K245)=2,IF(ABS(K245)&gt;ABS(H245),"RE &gt; CA ",""),""))=0,"OK",IF(COUNT(I245,J245)=2,IF(J245&gt;I245+1,"EBE &gt; VA ",""),"")&amp;IF(COUNT(H245,M245)=2,IF(ABS(M245)&gt;ABS(H245),"RN &gt; CA ",""),"")&amp;IF(COUNT(H245,K245)=2,IF(ABS(K245)&gt;ABS(H245),"RE &gt; CA ",""),"")))</f>
        <v/>
      </c>
      <c r="P245" s="16">
        <f>IF(OR($A245="",H245="",$C245=""),"",IF(COUNTIFS($A$5:$A$639,$A245,$C$5:$C$639,$C245-1,$D$5:$D$639,$D245,H$5:H$639,"&lt;&gt;")=0,"",IF(OR(SUMIFS(H$5:H$639,$A$5:$A$639,$A245,$C$5:$C$639,$C245-1,$D$5:$D$639,$D245)=0,H245*SUMIFS(H$5:H$639,$A$5:$A$639,$A245,$C$5:$C$639,$C245-1,$D$5:$D$639,$D245)&lt;0),"n.s.",ABS(H245)/ABS(SUMIFS(H$5:H$639,$A$5:$A$639,$A245,$C$5:$C$639,$C245-1,$D$5:$D$639,$D245))-1)))</f>
        <v/>
      </c>
      <c r="Q245" s="16">
        <f>IF(OR($A245="",I245="",$C245=""),"",IF(COUNTIFS($A$5:$A$639,$A245,$C$5:$C$639,$C245-1,$D$5:$D$639,$D245,I$5:I$639,"&lt;&gt;")=0,"",IF(OR(SUMIFS(I$5:I$639,$A$5:$A$639,$A245,$C$5:$C$639,$C245-1,$D$5:$D$639,$D245)=0,I245*SUMIFS(I$5:I$639,$A$5:$A$639,$A245,$C$5:$C$639,$C245-1,$D$5:$D$639,$D245)&lt;0),"n.s.",ABS(I245)/ABS(SUMIFS(I$5:I$639,$A$5:$A$639,$A245,$C$5:$C$639,$C245-1,$D$5:$D$639,$D245))-1)))</f>
        <v/>
      </c>
      <c r="R245" s="16">
        <f>IF(OR($A245="",J245="",$C245=""),"",IF(COUNTIFS($A$5:$A$639,$A245,$C$5:$C$639,$C245-1,$D$5:$D$639,$D245,J$5:J$639,"&lt;&gt;")=0,"",IF(OR(SUMIFS(J$5:J$639,$A$5:$A$639,$A245,$C$5:$C$639,$C245-1,$D$5:$D$639,$D245)=0,J245*SUMIFS(J$5:J$639,$A$5:$A$639,$A245,$C$5:$C$639,$C245-1,$D$5:$D$639,$D245)&lt;0),"n.s.",ABS(J245)/ABS(SUMIFS(J$5:J$639,$A$5:$A$639,$A245,$C$5:$C$639,$C245-1,$D$5:$D$639,$D245))-1)))</f>
        <v/>
      </c>
      <c r="S245" s="16">
        <f>IF(OR($A245="",K245="",$C245=""),"",IF(COUNTIFS($A$5:$A$639,$A245,$C$5:$C$639,$C245-1,$D$5:$D$639,$D245,K$5:K$639,"&lt;&gt;")=0,"",IF(OR(SUMIFS(K$5:K$639,$A$5:$A$639,$A245,$C$5:$C$639,$C245-1,$D$5:$D$639,$D245)=0,K245*SUMIFS(K$5:K$639,$A$5:$A$639,$A245,$C$5:$C$639,$C245-1,$D$5:$D$639,$D245)&lt;0),"n.s.",ABS(K245)/ABS(SUMIFS(K$5:K$639,$A$5:$A$639,$A245,$C$5:$C$639,$C245-1,$D$5:$D$639,$D245))-1)))</f>
        <v/>
      </c>
      <c r="T245" s="16">
        <f>IF(OR($A245="",L245="",$C245=""),"",IF(COUNTIFS($A$5:$A$639,$A245,$C$5:$C$639,$C245-1,$D$5:$D$639,$D245,L$5:L$639,"&lt;&gt;")=0,"",IF(OR(SUMIFS(L$5:L$639,$A$5:$A$639,$A245,$C$5:$C$639,$C245-1,$D$5:$D$639,$D245)=0,L245*SUMIFS(L$5:L$639,$A$5:$A$639,$A245,$C$5:$C$639,$C245-1,$D$5:$D$639,$D245)&lt;0),"n.s.",ABS(L245)/ABS(SUMIFS(L$5:L$639,$A$5:$A$639,$A245,$C$5:$C$639,$C245-1,$D$5:$D$639,$D245))-1)))</f>
        <v/>
      </c>
      <c r="U245" s="16">
        <f>IF(OR($A245="",M245="",$C245=""),"",IF(COUNTIFS($A$5:$A$639,$A245,$C$5:$C$639,$C245-1,$D$5:$D$639,$D245,M$5:M$639,"&lt;&gt;")=0,"",IF(OR(SUMIFS(M$5:M$639,$A$5:$A$639,$A245,$C$5:$C$639,$C245-1,$D$5:$D$639,$D245)=0,M245*SUMIFS(M$5:M$639,$A$5:$A$639,$A245,$C$5:$C$639,$C245-1,$D$5:$D$639,$D245)&lt;0),"n.s.",ABS(M245)/ABS(SUMIFS(M$5:M$639,$A$5:$A$639,$A245,$C$5:$C$639,$C245-1,$D$5:$D$639,$D245))-1)))</f>
        <v/>
      </c>
    </row>
    <row r="246">
      <c r="A246" s="9" t="inlineStr">
        <is>
          <t>NEIC</t>
        </is>
      </c>
      <c r="B246" s="10">
        <f>IF(A246="","",IFERROR(VLOOKUP(A246,Titres!$A$2:$B$400,2,FALSE),"Ticker inconnu"))</f>
        <v/>
      </c>
      <c r="C246" s="11" t="n">
        <v>2023</v>
      </c>
      <c r="D246" s="11" t="inlineStr">
        <is>
          <t>S1</t>
        </is>
      </c>
      <c r="E246" s="9" t="n"/>
      <c r="F246" s="12" t="n"/>
      <c r="G246" s="9" t="n"/>
      <c r="H246" s="13" t="n"/>
      <c r="I246" s="13" t="n"/>
      <c r="J246" s="13" t="n"/>
      <c r="K246" s="13" t="n"/>
      <c r="L246" s="13" t="n"/>
      <c r="M246" s="13" t="n"/>
      <c r="N246" s="14">
        <f>IF(A246="","",COUNT(H246:M246)/6)</f>
        <v/>
      </c>
      <c r="O246" s="15">
        <f>IF(COUNT(H246:M246)=0,"",IF(LEN(IF(COUNT(I246,J246)=2,IF(J246&gt;I246+1,"EBE &gt; VA ",""),"")&amp;IF(COUNT(H246,M246)=2,IF(ABS(M246)&gt;ABS(H246),"RN &gt; CA ",""),"")&amp;IF(COUNT(H246,K246)=2,IF(ABS(K246)&gt;ABS(H246),"RE &gt; CA ",""),""))=0,"OK",IF(COUNT(I246,J246)=2,IF(J246&gt;I246+1,"EBE &gt; VA ",""),"")&amp;IF(COUNT(H246,M246)=2,IF(ABS(M246)&gt;ABS(H246),"RN &gt; CA ",""),"")&amp;IF(COUNT(H246,K246)=2,IF(ABS(K246)&gt;ABS(H246),"RE &gt; CA ",""),"")))</f>
        <v/>
      </c>
      <c r="P246" s="16">
        <f>IF(OR($A246="",H246="",$C246=""),"",IF(COUNTIFS($A$5:$A$639,$A246,$C$5:$C$639,$C246-1,$D$5:$D$639,$D246,H$5:H$639,"&lt;&gt;")=0,"",IF(OR(SUMIFS(H$5:H$639,$A$5:$A$639,$A246,$C$5:$C$639,$C246-1,$D$5:$D$639,$D246)=0,H246*SUMIFS(H$5:H$639,$A$5:$A$639,$A246,$C$5:$C$639,$C246-1,$D$5:$D$639,$D246)&lt;0),"n.s.",ABS(H246)/ABS(SUMIFS(H$5:H$639,$A$5:$A$639,$A246,$C$5:$C$639,$C246-1,$D$5:$D$639,$D246))-1)))</f>
        <v/>
      </c>
      <c r="Q246" s="16">
        <f>IF(OR($A246="",I246="",$C246=""),"",IF(COUNTIFS($A$5:$A$639,$A246,$C$5:$C$639,$C246-1,$D$5:$D$639,$D246,I$5:I$639,"&lt;&gt;")=0,"",IF(OR(SUMIFS(I$5:I$639,$A$5:$A$639,$A246,$C$5:$C$639,$C246-1,$D$5:$D$639,$D246)=0,I246*SUMIFS(I$5:I$639,$A$5:$A$639,$A246,$C$5:$C$639,$C246-1,$D$5:$D$639,$D246)&lt;0),"n.s.",ABS(I246)/ABS(SUMIFS(I$5:I$639,$A$5:$A$639,$A246,$C$5:$C$639,$C246-1,$D$5:$D$639,$D246))-1)))</f>
        <v/>
      </c>
      <c r="R246" s="16">
        <f>IF(OR($A246="",J246="",$C246=""),"",IF(COUNTIFS($A$5:$A$639,$A246,$C$5:$C$639,$C246-1,$D$5:$D$639,$D246,J$5:J$639,"&lt;&gt;")=0,"",IF(OR(SUMIFS(J$5:J$639,$A$5:$A$639,$A246,$C$5:$C$639,$C246-1,$D$5:$D$639,$D246)=0,J246*SUMIFS(J$5:J$639,$A$5:$A$639,$A246,$C$5:$C$639,$C246-1,$D$5:$D$639,$D246)&lt;0),"n.s.",ABS(J246)/ABS(SUMIFS(J$5:J$639,$A$5:$A$639,$A246,$C$5:$C$639,$C246-1,$D$5:$D$639,$D246))-1)))</f>
        <v/>
      </c>
      <c r="S246" s="16">
        <f>IF(OR($A246="",K246="",$C246=""),"",IF(COUNTIFS($A$5:$A$639,$A246,$C$5:$C$639,$C246-1,$D$5:$D$639,$D246,K$5:K$639,"&lt;&gt;")=0,"",IF(OR(SUMIFS(K$5:K$639,$A$5:$A$639,$A246,$C$5:$C$639,$C246-1,$D$5:$D$639,$D246)=0,K246*SUMIFS(K$5:K$639,$A$5:$A$639,$A246,$C$5:$C$639,$C246-1,$D$5:$D$639,$D246)&lt;0),"n.s.",ABS(K246)/ABS(SUMIFS(K$5:K$639,$A$5:$A$639,$A246,$C$5:$C$639,$C246-1,$D$5:$D$639,$D246))-1)))</f>
        <v/>
      </c>
      <c r="T246" s="16">
        <f>IF(OR($A246="",L246="",$C246=""),"",IF(COUNTIFS($A$5:$A$639,$A246,$C$5:$C$639,$C246-1,$D$5:$D$639,$D246,L$5:L$639,"&lt;&gt;")=0,"",IF(OR(SUMIFS(L$5:L$639,$A$5:$A$639,$A246,$C$5:$C$639,$C246-1,$D$5:$D$639,$D246)=0,L246*SUMIFS(L$5:L$639,$A$5:$A$639,$A246,$C$5:$C$639,$C246-1,$D$5:$D$639,$D246)&lt;0),"n.s.",ABS(L246)/ABS(SUMIFS(L$5:L$639,$A$5:$A$639,$A246,$C$5:$C$639,$C246-1,$D$5:$D$639,$D246))-1)))</f>
        <v/>
      </c>
      <c r="U246" s="16">
        <f>IF(OR($A246="",M246="",$C246=""),"",IF(COUNTIFS($A$5:$A$639,$A246,$C$5:$C$639,$C246-1,$D$5:$D$639,$D246,M$5:M$639,"&lt;&gt;")=0,"",IF(OR(SUMIFS(M$5:M$639,$A$5:$A$639,$A246,$C$5:$C$639,$C246-1,$D$5:$D$639,$D246)=0,M246*SUMIFS(M$5:M$639,$A$5:$A$639,$A246,$C$5:$C$639,$C246-1,$D$5:$D$639,$D246)&lt;0),"n.s.",ABS(M246)/ABS(SUMIFS(M$5:M$639,$A$5:$A$639,$A246,$C$5:$C$639,$C246-1,$D$5:$D$639,$D246))-1)))</f>
        <v/>
      </c>
    </row>
    <row r="247">
      <c r="A247" s="9" t="inlineStr">
        <is>
          <t>NEIC</t>
        </is>
      </c>
      <c r="B247" s="10">
        <f>IF(A247="","",IFERROR(VLOOKUP(A247,Titres!$A$2:$B$400,2,FALSE),"Ticker inconnu"))</f>
        <v/>
      </c>
      <c r="C247" s="11" t="n">
        <v>2023</v>
      </c>
      <c r="D247" s="11" t="inlineStr">
        <is>
          <t>T3</t>
        </is>
      </c>
      <c r="E247" s="9" t="n"/>
      <c r="F247" s="12" t="n"/>
      <c r="G247" s="9" t="n"/>
      <c r="H247" s="13" t="n"/>
      <c r="I247" s="13" t="n"/>
      <c r="J247" s="13" t="n"/>
      <c r="K247" s="13" t="n"/>
      <c r="L247" s="13" t="n"/>
      <c r="M247" s="13" t="n"/>
      <c r="N247" s="14">
        <f>IF(A247="","",COUNT(H247:M247)/6)</f>
        <v/>
      </c>
      <c r="O247" s="15">
        <f>IF(COUNT(H247:M247)=0,"",IF(LEN(IF(COUNT(I247,J247)=2,IF(J247&gt;I247+1,"EBE &gt; VA ",""),"")&amp;IF(COUNT(H247,M247)=2,IF(ABS(M247)&gt;ABS(H247),"RN &gt; CA ",""),"")&amp;IF(COUNT(H247,K247)=2,IF(ABS(K247)&gt;ABS(H247),"RE &gt; CA ",""),""))=0,"OK",IF(COUNT(I247,J247)=2,IF(J247&gt;I247+1,"EBE &gt; VA ",""),"")&amp;IF(COUNT(H247,M247)=2,IF(ABS(M247)&gt;ABS(H247),"RN &gt; CA ",""),"")&amp;IF(COUNT(H247,K247)=2,IF(ABS(K247)&gt;ABS(H247),"RE &gt; CA ",""),"")))</f>
        <v/>
      </c>
      <c r="P247" s="16">
        <f>IF(OR($A247="",H247="",$C247=""),"",IF(COUNTIFS($A$5:$A$639,$A247,$C$5:$C$639,$C247-1,$D$5:$D$639,$D247,H$5:H$639,"&lt;&gt;")=0,"",IF(OR(SUMIFS(H$5:H$639,$A$5:$A$639,$A247,$C$5:$C$639,$C247-1,$D$5:$D$639,$D247)=0,H247*SUMIFS(H$5:H$639,$A$5:$A$639,$A247,$C$5:$C$639,$C247-1,$D$5:$D$639,$D247)&lt;0),"n.s.",ABS(H247)/ABS(SUMIFS(H$5:H$639,$A$5:$A$639,$A247,$C$5:$C$639,$C247-1,$D$5:$D$639,$D247))-1)))</f>
        <v/>
      </c>
      <c r="Q247" s="16">
        <f>IF(OR($A247="",I247="",$C247=""),"",IF(COUNTIFS($A$5:$A$639,$A247,$C$5:$C$639,$C247-1,$D$5:$D$639,$D247,I$5:I$639,"&lt;&gt;")=0,"",IF(OR(SUMIFS(I$5:I$639,$A$5:$A$639,$A247,$C$5:$C$639,$C247-1,$D$5:$D$639,$D247)=0,I247*SUMIFS(I$5:I$639,$A$5:$A$639,$A247,$C$5:$C$639,$C247-1,$D$5:$D$639,$D247)&lt;0),"n.s.",ABS(I247)/ABS(SUMIFS(I$5:I$639,$A$5:$A$639,$A247,$C$5:$C$639,$C247-1,$D$5:$D$639,$D247))-1)))</f>
        <v/>
      </c>
      <c r="R247" s="16">
        <f>IF(OR($A247="",J247="",$C247=""),"",IF(COUNTIFS($A$5:$A$639,$A247,$C$5:$C$639,$C247-1,$D$5:$D$639,$D247,J$5:J$639,"&lt;&gt;")=0,"",IF(OR(SUMIFS(J$5:J$639,$A$5:$A$639,$A247,$C$5:$C$639,$C247-1,$D$5:$D$639,$D247)=0,J247*SUMIFS(J$5:J$639,$A$5:$A$639,$A247,$C$5:$C$639,$C247-1,$D$5:$D$639,$D247)&lt;0),"n.s.",ABS(J247)/ABS(SUMIFS(J$5:J$639,$A$5:$A$639,$A247,$C$5:$C$639,$C247-1,$D$5:$D$639,$D247))-1)))</f>
        <v/>
      </c>
      <c r="S247" s="16">
        <f>IF(OR($A247="",K247="",$C247=""),"",IF(COUNTIFS($A$5:$A$639,$A247,$C$5:$C$639,$C247-1,$D$5:$D$639,$D247,K$5:K$639,"&lt;&gt;")=0,"",IF(OR(SUMIFS(K$5:K$639,$A$5:$A$639,$A247,$C$5:$C$639,$C247-1,$D$5:$D$639,$D247)=0,K247*SUMIFS(K$5:K$639,$A$5:$A$639,$A247,$C$5:$C$639,$C247-1,$D$5:$D$639,$D247)&lt;0),"n.s.",ABS(K247)/ABS(SUMIFS(K$5:K$639,$A$5:$A$639,$A247,$C$5:$C$639,$C247-1,$D$5:$D$639,$D247))-1)))</f>
        <v/>
      </c>
      <c r="T247" s="16">
        <f>IF(OR($A247="",L247="",$C247=""),"",IF(COUNTIFS($A$5:$A$639,$A247,$C$5:$C$639,$C247-1,$D$5:$D$639,$D247,L$5:L$639,"&lt;&gt;")=0,"",IF(OR(SUMIFS(L$5:L$639,$A$5:$A$639,$A247,$C$5:$C$639,$C247-1,$D$5:$D$639,$D247)=0,L247*SUMIFS(L$5:L$639,$A$5:$A$639,$A247,$C$5:$C$639,$C247-1,$D$5:$D$639,$D247)&lt;0),"n.s.",ABS(L247)/ABS(SUMIFS(L$5:L$639,$A$5:$A$639,$A247,$C$5:$C$639,$C247-1,$D$5:$D$639,$D247))-1)))</f>
        <v/>
      </c>
      <c r="U247" s="16">
        <f>IF(OR($A247="",M247="",$C247=""),"",IF(COUNTIFS($A$5:$A$639,$A247,$C$5:$C$639,$C247-1,$D$5:$D$639,$D247,M$5:M$639,"&lt;&gt;")=0,"",IF(OR(SUMIFS(M$5:M$639,$A$5:$A$639,$A247,$C$5:$C$639,$C247-1,$D$5:$D$639,$D247)=0,M247*SUMIFS(M$5:M$639,$A$5:$A$639,$A247,$C$5:$C$639,$C247-1,$D$5:$D$639,$D247)&lt;0),"n.s.",ABS(M247)/ABS(SUMIFS(M$5:M$639,$A$5:$A$639,$A247,$C$5:$C$639,$C247-1,$D$5:$D$639,$D247))-1)))</f>
        <v/>
      </c>
    </row>
    <row r="248">
      <c r="A248" s="9" t="inlineStr">
        <is>
          <t>NEIC</t>
        </is>
      </c>
      <c r="B248" s="10">
        <f>IF(A248="","",IFERROR(VLOOKUP(A248,Titres!$A$2:$B$400,2,FALSE),"Ticker inconnu"))</f>
        <v/>
      </c>
      <c r="C248" s="11" t="n">
        <v>2024</v>
      </c>
      <c r="D248" s="11" t="inlineStr">
        <is>
          <t>T1</t>
        </is>
      </c>
      <c r="E248" s="9" t="n"/>
      <c r="F248" s="12" t="n"/>
      <c r="G248" s="9" t="n"/>
      <c r="H248" s="13" t="n"/>
      <c r="I248" s="13" t="n"/>
      <c r="J248" s="13" t="n"/>
      <c r="K248" s="13" t="n"/>
      <c r="L248" s="13" t="n"/>
      <c r="M248" s="13" t="n"/>
      <c r="N248" s="14">
        <f>IF(A248="","",COUNT(H248:M248)/6)</f>
        <v/>
      </c>
      <c r="O248" s="15">
        <f>IF(COUNT(H248:M248)=0,"",IF(LEN(IF(COUNT(I248,J248)=2,IF(J248&gt;I248+1,"EBE &gt; VA ",""),"")&amp;IF(COUNT(H248,M248)=2,IF(ABS(M248)&gt;ABS(H248),"RN &gt; CA ",""),"")&amp;IF(COUNT(H248,K248)=2,IF(ABS(K248)&gt;ABS(H248),"RE &gt; CA ",""),""))=0,"OK",IF(COUNT(I248,J248)=2,IF(J248&gt;I248+1,"EBE &gt; VA ",""),"")&amp;IF(COUNT(H248,M248)=2,IF(ABS(M248)&gt;ABS(H248),"RN &gt; CA ",""),"")&amp;IF(COUNT(H248,K248)=2,IF(ABS(K248)&gt;ABS(H248),"RE &gt; CA ",""),"")))</f>
        <v/>
      </c>
      <c r="P248" s="16">
        <f>IF(OR($A248="",H248="",$C248=""),"",IF(COUNTIFS($A$5:$A$639,$A248,$C$5:$C$639,$C248-1,$D$5:$D$639,$D248,H$5:H$639,"&lt;&gt;")=0,"",IF(OR(SUMIFS(H$5:H$639,$A$5:$A$639,$A248,$C$5:$C$639,$C248-1,$D$5:$D$639,$D248)=0,H248*SUMIFS(H$5:H$639,$A$5:$A$639,$A248,$C$5:$C$639,$C248-1,$D$5:$D$639,$D248)&lt;0),"n.s.",ABS(H248)/ABS(SUMIFS(H$5:H$639,$A$5:$A$639,$A248,$C$5:$C$639,$C248-1,$D$5:$D$639,$D248))-1)))</f>
        <v/>
      </c>
      <c r="Q248" s="16">
        <f>IF(OR($A248="",I248="",$C248=""),"",IF(COUNTIFS($A$5:$A$639,$A248,$C$5:$C$639,$C248-1,$D$5:$D$639,$D248,I$5:I$639,"&lt;&gt;")=0,"",IF(OR(SUMIFS(I$5:I$639,$A$5:$A$639,$A248,$C$5:$C$639,$C248-1,$D$5:$D$639,$D248)=0,I248*SUMIFS(I$5:I$639,$A$5:$A$639,$A248,$C$5:$C$639,$C248-1,$D$5:$D$639,$D248)&lt;0),"n.s.",ABS(I248)/ABS(SUMIFS(I$5:I$639,$A$5:$A$639,$A248,$C$5:$C$639,$C248-1,$D$5:$D$639,$D248))-1)))</f>
        <v/>
      </c>
      <c r="R248" s="16">
        <f>IF(OR($A248="",J248="",$C248=""),"",IF(COUNTIFS($A$5:$A$639,$A248,$C$5:$C$639,$C248-1,$D$5:$D$639,$D248,J$5:J$639,"&lt;&gt;")=0,"",IF(OR(SUMIFS(J$5:J$639,$A$5:$A$639,$A248,$C$5:$C$639,$C248-1,$D$5:$D$639,$D248)=0,J248*SUMIFS(J$5:J$639,$A$5:$A$639,$A248,$C$5:$C$639,$C248-1,$D$5:$D$639,$D248)&lt;0),"n.s.",ABS(J248)/ABS(SUMIFS(J$5:J$639,$A$5:$A$639,$A248,$C$5:$C$639,$C248-1,$D$5:$D$639,$D248))-1)))</f>
        <v/>
      </c>
      <c r="S248" s="16">
        <f>IF(OR($A248="",K248="",$C248=""),"",IF(COUNTIFS($A$5:$A$639,$A248,$C$5:$C$639,$C248-1,$D$5:$D$639,$D248,K$5:K$639,"&lt;&gt;")=0,"",IF(OR(SUMIFS(K$5:K$639,$A$5:$A$639,$A248,$C$5:$C$639,$C248-1,$D$5:$D$639,$D248)=0,K248*SUMIFS(K$5:K$639,$A$5:$A$639,$A248,$C$5:$C$639,$C248-1,$D$5:$D$639,$D248)&lt;0),"n.s.",ABS(K248)/ABS(SUMIFS(K$5:K$639,$A$5:$A$639,$A248,$C$5:$C$639,$C248-1,$D$5:$D$639,$D248))-1)))</f>
        <v/>
      </c>
      <c r="T248" s="16">
        <f>IF(OR($A248="",L248="",$C248=""),"",IF(COUNTIFS($A$5:$A$639,$A248,$C$5:$C$639,$C248-1,$D$5:$D$639,$D248,L$5:L$639,"&lt;&gt;")=0,"",IF(OR(SUMIFS(L$5:L$639,$A$5:$A$639,$A248,$C$5:$C$639,$C248-1,$D$5:$D$639,$D248)=0,L248*SUMIFS(L$5:L$639,$A$5:$A$639,$A248,$C$5:$C$639,$C248-1,$D$5:$D$639,$D248)&lt;0),"n.s.",ABS(L248)/ABS(SUMIFS(L$5:L$639,$A$5:$A$639,$A248,$C$5:$C$639,$C248-1,$D$5:$D$639,$D248))-1)))</f>
        <v/>
      </c>
      <c r="U248" s="16">
        <f>IF(OR($A248="",M248="",$C248=""),"",IF(COUNTIFS($A$5:$A$639,$A248,$C$5:$C$639,$C248-1,$D$5:$D$639,$D248,M$5:M$639,"&lt;&gt;")=0,"",IF(OR(SUMIFS(M$5:M$639,$A$5:$A$639,$A248,$C$5:$C$639,$C248-1,$D$5:$D$639,$D248)=0,M248*SUMIFS(M$5:M$639,$A$5:$A$639,$A248,$C$5:$C$639,$C248-1,$D$5:$D$639,$D248)&lt;0),"n.s.",ABS(M248)/ABS(SUMIFS(M$5:M$639,$A$5:$A$639,$A248,$C$5:$C$639,$C248-1,$D$5:$D$639,$D248))-1)))</f>
        <v/>
      </c>
    </row>
    <row r="249">
      <c r="A249" s="9" t="inlineStr">
        <is>
          <t>NEIC</t>
        </is>
      </c>
      <c r="B249" s="10">
        <f>IF(A249="","",IFERROR(VLOOKUP(A249,Titres!$A$2:$B$400,2,FALSE),"Ticker inconnu"))</f>
        <v/>
      </c>
      <c r="C249" s="11" t="n">
        <v>2024</v>
      </c>
      <c r="D249" s="11" t="inlineStr">
        <is>
          <t>S1</t>
        </is>
      </c>
      <c r="E249" s="9" t="n"/>
      <c r="F249" s="12" t="n"/>
      <c r="G249" s="9" t="n"/>
      <c r="H249" s="13" t="n"/>
      <c r="I249" s="13" t="n"/>
      <c r="J249" s="13" t="n"/>
      <c r="K249" s="13" t="n"/>
      <c r="L249" s="13" t="n"/>
      <c r="M249" s="13" t="n"/>
      <c r="N249" s="14">
        <f>IF(A249="","",COUNT(H249:M249)/6)</f>
        <v/>
      </c>
      <c r="O249" s="15">
        <f>IF(COUNT(H249:M249)=0,"",IF(LEN(IF(COUNT(I249,J249)=2,IF(J249&gt;I249+1,"EBE &gt; VA ",""),"")&amp;IF(COUNT(H249,M249)=2,IF(ABS(M249)&gt;ABS(H249),"RN &gt; CA ",""),"")&amp;IF(COUNT(H249,K249)=2,IF(ABS(K249)&gt;ABS(H249),"RE &gt; CA ",""),""))=0,"OK",IF(COUNT(I249,J249)=2,IF(J249&gt;I249+1,"EBE &gt; VA ",""),"")&amp;IF(COUNT(H249,M249)=2,IF(ABS(M249)&gt;ABS(H249),"RN &gt; CA ",""),"")&amp;IF(COUNT(H249,K249)=2,IF(ABS(K249)&gt;ABS(H249),"RE &gt; CA ",""),"")))</f>
        <v/>
      </c>
      <c r="P249" s="16">
        <f>IF(OR($A249="",H249="",$C249=""),"",IF(COUNTIFS($A$5:$A$639,$A249,$C$5:$C$639,$C249-1,$D$5:$D$639,$D249,H$5:H$639,"&lt;&gt;")=0,"",IF(OR(SUMIFS(H$5:H$639,$A$5:$A$639,$A249,$C$5:$C$639,$C249-1,$D$5:$D$639,$D249)=0,H249*SUMIFS(H$5:H$639,$A$5:$A$639,$A249,$C$5:$C$639,$C249-1,$D$5:$D$639,$D249)&lt;0),"n.s.",ABS(H249)/ABS(SUMIFS(H$5:H$639,$A$5:$A$639,$A249,$C$5:$C$639,$C249-1,$D$5:$D$639,$D249))-1)))</f>
        <v/>
      </c>
      <c r="Q249" s="16">
        <f>IF(OR($A249="",I249="",$C249=""),"",IF(COUNTIFS($A$5:$A$639,$A249,$C$5:$C$639,$C249-1,$D$5:$D$639,$D249,I$5:I$639,"&lt;&gt;")=0,"",IF(OR(SUMIFS(I$5:I$639,$A$5:$A$639,$A249,$C$5:$C$639,$C249-1,$D$5:$D$639,$D249)=0,I249*SUMIFS(I$5:I$639,$A$5:$A$639,$A249,$C$5:$C$639,$C249-1,$D$5:$D$639,$D249)&lt;0),"n.s.",ABS(I249)/ABS(SUMIFS(I$5:I$639,$A$5:$A$639,$A249,$C$5:$C$639,$C249-1,$D$5:$D$639,$D249))-1)))</f>
        <v/>
      </c>
      <c r="R249" s="16">
        <f>IF(OR($A249="",J249="",$C249=""),"",IF(COUNTIFS($A$5:$A$639,$A249,$C$5:$C$639,$C249-1,$D$5:$D$639,$D249,J$5:J$639,"&lt;&gt;")=0,"",IF(OR(SUMIFS(J$5:J$639,$A$5:$A$639,$A249,$C$5:$C$639,$C249-1,$D$5:$D$639,$D249)=0,J249*SUMIFS(J$5:J$639,$A$5:$A$639,$A249,$C$5:$C$639,$C249-1,$D$5:$D$639,$D249)&lt;0),"n.s.",ABS(J249)/ABS(SUMIFS(J$5:J$639,$A$5:$A$639,$A249,$C$5:$C$639,$C249-1,$D$5:$D$639,$D249))-1)))</f>
        <v/>
      </c>
      <c r="S249" s="16">
        <f>IF(OR($A249="",K249="",$C249=""),"",IF(COUNTIFS($A$5:$A$639,$A249,$C$5:$C$639,$C249-1,$D$5:$D$639,$D249,K$5:K$639,"&lt;&gt;")=0,"",IF(OR(SUMIFS(K$5:K$639,$A$5:$A$639,$A249,$C$5:$C$639,$C249-1,$D$5:$D$639,$D249)=0,K249*SUMIFS(K$5:K$639,$A$5:$A$639,$A249,$C$5:$C$639,$C249-1,$D$5:$D$639,$D249)&lt;0),"n.s.",ABS(K249)/ABS(SUMIFS(K$5:K$639,$A$5:$A$639,$A249,$C$5:$C$639,$C249-1,$D$5:$D$639,$D249))-1)))</f>
        <v/>
      </c>
      <c r="T249" s="16">
        <f>IF(OR($A249="",L249="",$C249=""),"",IF(COUNTIFS($A$5:$A$639,$A249,$C$5:$C$639,$C249-1,$D$5:$D$639,$D249,L$5:L$639,"&lt;&gt;")=0,"",IF(OR(SUMIFS(L$5:L$639,$A$5:$A$639,$A249,$C$5:$C$639,$C249-1,$D$5:$D$639,$D249)=0,L249*SUMIFS(L$5:L$639,$A$5:$A$639,$A249,$C$5:$C$639,$C249-1,$D$5:$D$639,$D249)&lt;0),"n.s.",ABS(L249)/ABS(SUMIFS(L$5:L$639,$A$5:$A$639,$A249,$C$5:$C$639,$C249-1,$D$5:$D$639,$D249))-1)))</f>
        <v/>
      </c>
      <c r="U249" s="16">
        <f>IF(OR($A249="",M249="",$C249=""),"",IF(COUNTIFS($A$5:$A$639,$A249,$C$5:$C$639,$C249-1,$D$5:$D$639,$D249,M$5:M$639,"&lt;&gt;")=0,"",IF(OR(SUMIFS(M$5:M$639,$A$5:$A$639,$A249,$C$5:$C$639,$C249-1,$D$5:$D$639,$D249)=0,M249*SUMIFS(M$5:M$639,$A$5:$A$639,$A249,$C$5:$C$639,$C249-1,$D$5:$D$639,$D249)&lt;0),"n.s.",ABS(M249)/ABS(SUMIFS(M$5:M$639,$A$5:$A$639,$A249,$C$5:$C$639,$C249-1,$D$5:$D$639,$D249))-1)))</f>
        <v/>
      </c>
    </row>
    <row r="250">
      <c r="A250" s="9" t="inlineStr">
        <is>
          <t>NEIC</t>
        </is>
      </c>
      <c r="B250" s="10">
        <f>IF(A250="","",IFERROR(VLOOKUP(A250,Titres!$A$2:$B$400,2,FALSE),"Ticker inconnu"))</f>
        <v/>
      </c>
      <c r="C250" s="11" t="n">
        <v>2024</v>
      </c>
      <c r="D250" s="11" t="inlineStr">
        <is>
          <t>T3</t>
        </is>
      </c>
      <c r="E250" s="9" t="n"/>
      <c r="F250" s="12" t="n"/>
      <c r="G250" s="9" t="n"/>
      <c r="H250" s="13" t="n"/>
      <c r="I250" s="13" t="n"/>
      <c r="J250" s="13" t="n"/>
      <c r="K250" s="13" t="n"/>
      <c r="L250" s="13" t="n"/>
      <c r="M250" s="13" t="n"/>
      <c r="N250" s="14">
        <f>IF(A250="","",COUNT(H250:M250)/6)</f>
        <v/>
      </c>
      <c r="O250" s="15">
        <f>IF(COUNT(H250:M250)=0,"",IF(LEN(IF(COUNT(I250,J250)=2,IF(J250&gt;I250+1,"EBE &gt; VA ",""),"")&amp;IF(COUNT(H250,M250)=2,IF(ABS(M250)&gt;ABS(H250),"RN &gt; CA ",""),"")&amp;IF(COUNT(H250,K250)=2,IF(ABS(K250)&gt;ABS(H250),"RE &gt; CA ",""),""))=0,"OK",IF(COUNT(I250,J250)=2,IF(J250&gt;I250+1,"EBE &gt; VA ",""),"")&amp;IF(COUNT(H250,M250)=2,IF(ABS(M250)&gt;ABS(H250),"RN &gt; CA ",""),"")&amp;IF(COUNT(H250,K250)=2,IF(ABS(K250)&gt;ABS(H250),"RE &gt; CA ",""),"")))</f>
        <v/>
      </c>
      <c r="P250" s="16">
        <f>IF(OR($A250="",H250="",$C250=""),"",IF(COUNTIFS($A$5:$A$639,$A250,$C$5:$C$639,$C250-1,$D$5:$D$639,$D250,H$5:H$639,"&lt;&gt;")=0,"",IF(OR(SUMIFS(H$5:H$639,$A$5:$A$639,$A250,$C$5:$C$639,$C250-1,$D$5:$D$639,$D250)=0,H250*SUMIFS(H$5:H$639,$A$5:$A$639,$A250,$C$5:$C$639,$C250-1,$D$5:$D$639,$D250)&lt;0),"n.s.",ABS(H250)/ABS(SUMIFS(H$5:H$639,$A$5:$A$639,$A250,$C$5:$C$639,$C250-1,$D$5:$D$639,$D250))-1)))</f>
        <v/>
      </c>
      <c r="Q250" s="16">
        <f>IF(OR($A250="",I250="",$C250=""),"",IF(COUNTIFS($A$5:$A$639,$A250,$C$5:$C$639,$C250-1,$D$5:$D$639,$D250,I$5:I$639,"&lt;&gt;")=0,"",IF(OR(SUMIFS(I$5:I$639,$A$5:$A$639,$A250,$C$5:$C$639,$C250-1,$D$5:$D$639,$D250)=0,I250*SUMIFS(I$5:I$639,$A$5:$A$639,$A250,$C$5:$C$639,$C250-1,$D$5:$D$639,$D250)&lt;0),"n.s.",ABS(I250)/ABS(SUMIFS(I$5:I$639,$A$5:$A$639,$A250,$C$5:$C$639,$C250-1,$D$5:$D$639,$D250))-1)))</f>
        <v/>
      </c>
      <c r="R250" s="16">
        <f>IF(OR($A250="",J250="",$C250=""),"",IF(COUNTIFS($A$5:$A$639,$A250,$C$5:$C$639,$C250-1,$D$5:$D$639,$D250,J$5:J$639,"&lt;&gt;")=0,"",IF(OR(SUMIFS(J$5:J$639,$A$5:$A$639,$A250,$C$5:$C$639,$C250-1,$D$5:$D$639,$D250)=0,J250*SUMIFS(J$5:J$639,$A$5:$A$639,$A250,$C$5:$C$639,$C250-1,$D$5:$D$639,$D250)&lt;0),"n.s.",ABS(J250)/ABS(SUMIFS(J$5:J$639,$A$5:$A$639,$A250,$C$5:$C$639,$C250-1,$D$5:$D$639,$D250))-1)))</f>
        <v/>
      </c>
      <c r="S250" s="16">
        <f>IF(OR($A250="",K250="",$C250=""),"",IF(COUNTIFS($A$5:$A$639,$A250,$C$5:$C$639,$C250-1,$D$5:$D$639,$D250,K$5:K$639,"&lt;&gt;")=0,"",IF(OR(SUMIFS(K$5:K$639,$A$5:$A$639,$A250,$C$5:$C$639,$C250-1,$D$5:$D$639,$D250)=0,K250*SUMIFS(K$5:K$639,$A$5:$A$639,$A250,$C$5:$C$639,$C250-1,$D$5:$D$639,$D250)&lt;0),"n.s.",ABS(K250)/ABS(SUMIFS(K$5:K$639,$A$5:$A$639,$A250,$C$5:$C$639,$C250-1,$D$5:$D$639,$D250))-1)))</f>
        <v/>
      </c>
      <c r="T250" s="16">
        <f>IF(OR($A250="",L250="",$C250=""),"",IF(COUNTIFS($A$5:$A$639,$A250,$C$5:$C$639,$C250-1,$D$5:$D$639,$D250,L$5:L$639,"&lt;&gt;")=0,"",IF(OR(SUMIFS(L$5:L$639,$A$5:$A$639,$A250,$C$5:$C$639,$C250-1,$D$5:$D$639,$D250)=0,L250*SUMIFS(L$5:L$639,$A$5:$A$639,$A250,$C$5:$C$639,$C250-1,$D$5:$D$639,$D250)&lt;0),"n.s.",ABS(L250)/ABS(SUMIFS(L$5:L$639,$A$5:$A$639,$A250,$C$5:$C$639,$C250-1,$D$5:$D$639,$D250))-1)))</f>
        <v/>
      </c>
      <c r="U250" s="16">
        <f>IF(OR($A250="",M250="",$C250=""),"",IF(COUNTIFS($A$5:$A$639,$A250,$C$5:$C$639,$C250-1,$D$5:$D$639,$D250,M$5:M$639,"&lt;&gt;")=0,"",IF(OR(SUMIFS(M$5:M$639,$A$5:$A$639,$A250,$C$5:$C$639,$C250-1,$D$5:$D$639,$D250)=0,M250*SUMIFS(M$5:M$639,$A$5:$A$639,$A250,$C$5:$C$639,$C250-1,$D$5:$D$639,$D250)&lt;0),"n.s.",ABS(M250)/ABS(SUMIFS(M$5:M$639,$A$5:$A$639,$A250,$C$5:$C$639,$C250-1,$D$5:$D$639,$D250))-1)))</f>
        <v/>
      </c>
    </row>
    <row r="251">
      <c r="A251" s="9" t="inlineStr">
        <is>
          <t>NEIC</t>
        </is>
      </c>
      <c r="B251" s="10">
        <f>IF(A251="","",IFERROR(VLOOKUP(A251,Titres!$A$2:$B$400,2,FALSE),"Ticker inconnu"))</f>
        <v/>
      </c>
      <c r="C251" s="11" t="n">
        <v>2025</v>
      </c>
      <c r="D251" s="11" t="inlineStr">
        <is>
          <t>T1</t>
        </is>
      </c>
      <c r="E251" s="9" t="n"/>
      <c r="F251" s="12" t="n"/>
      <c r="G251" s="9" t="n"/>
      <c r="H251" s="13" t="n"/>
      <c r="I251" s="13" t="n"/>
      <c r="J251" s="13" t="n"/>
      <c r="K251" s="13" t="n"/>
      <c r="L251" s="13" t="n"/>
      <c r="M251" s="13" t="n"/>
      <c r="N251" s="14">
        <f>IF(A251="","",COUNT(H251:M251)/6)</f>
        <v/>
      </c>
      <c r="O251" s="15">
        <f>IF(COUNT(H251:M251)=0,"",IF(LEN(IF(COUNT(I251,J251)=2,IF(J251&gt;I251+1,"EBE &gt; VA ",""),"")&amp;IF(COUNT(H251,M251)=2,IF(ABS(M251)&gt;ABS(H251),"RN &gt; CA ",""),"")&amp;IF(COUNT(H251,K251)=2,IF(ABS(K251)&gt;ABS(H251),"RE &gt; CA ",""),""))=0,"OK",IF(COUNT(I251,J251)=2,IF(J251&gt;I251+1,"EBE &gt; VA ",""),"")&amp;IF(COUNT(H251,M251)=2,IF(ABS(M251)&gt;ABS(H251),"RN &gt; CA ",""),"")&amp;IF(COUNT(H251,K251)=2,IF(ABS(K251)&gt;ABS(H251),"RE &gt; CA ",""),"")))</f>
        <v/>
      </c>
      <c r="P251" s="16">
        <f>IF(OR($A251="",H251="",$C251=""),"",IF(COUNTIFS($A$5:$A$639,$A251,$C$5:$C$639,$C251-1,$D$5:$D$639,$D251,H$5:H$639,"&lt;&gt;")=0,"",IF(OR(SUMIFS(H$5:H$639,$A$5:$A$639,$A251,$C$5:$C$639,$C251-1,$D$5:$D$639,$D251)=0,H251*SUMIFS(H$5:H$639,$A$5:$A$639,$A251,$C$5:$C$639,$C251-1,$D$5:$D$639,$D251)&lt;0),"n.s.",ABS(H251)/ABS(SUMIFS(H$5:H$639,$A$5:$A$639,$A251,$C$5:$C$639,$C251-1,$D$5:$D$639,$D251))-1)))</f>
        <v/>
      </c>
      <c r="Q251" s="16">
        <f>IF(OR($A251="",I251="",$C251=""),"",IF(COUNTIFS($A$5:$A$639,$A251,$C$5:$C$639,$C251-1,$D$5:$D$639,$D251,I$5:I$639,"&lt;&gt;")=0,"",IF(OR(SUMIFS(I$5:I$639,$A$5:$A$639,$A251,$C$5:$C$639,$C251-1,$D$5:$D$639,$D251)=0,I251*SUMIFS(I$5:I$639,$A$5:$A$639,$A251,$C$5:$C$639,$C251-1,$D$5:$D$639,$D251)&lt;0),"n.s.",ABS(I251)/ABS(SUMIFS(I$5:I$639,$A$5:$A$639,$A251,$C$5:$C$639,$C251-1,$D$5:$D$639,$D251))-1)))</f>
        <v/>
      </c>
      <c r="R251" s="16">
        <f>IF(OR($A251="",J251="",$C251=""),"",IF(COUNTIFS($A$5:$A$639,$A251,$C$5:$C$639,$C251-1,$D$5:$D$639,$D251,J$5:J$639,"&lt;&gt;")=0,"",IF(OR(SUMIFS(J$5:J$639,$A$5:$A$639,$A251,$C$5:$C$639,$C251-1,$D$5:$D$639,$D251)=0,J251*SUMIFS(J$5:J$639,$A$5:$A$639,$A251,$C$5:$C$639,$C251-1,$D$5:$D$639,$D251)&lt;0),"n.s.",ABS(J251)/ABS(SUMIFS(J$5:J$639,$A$5:$A$639,$A251,$C$5:$C$639,$C251-1,$D$5:$D$639,$D251))-1)))</f>
        <v/>
      </c>
      <c r="S251" s="16">
        <f>IF(OR($A251="",K251="",$C251=""),"",IF(COUNTIFS($A$5:$A$639,$A251,$C$5:$C$639,$C251-1,$D$5:$D$639,$D251,K$5:K$639,"&lt;&gt;")=0,"",IF(OR(SUMIFS(K$5:K$639,$A$5:$A$639,$A251,$C$5:$C$639,$C251-1,$D$5:$D$639,$D251)=0,K251*SUMIFS(K$5:K$639,$A$5:$A$639,$A251,$C$5:$C$639,$C251-1,$D$5:$D$639,$D251)&lt;0),"n.s.",ABS(K251)/ABS(SUMIFS(K$5:K$639,$A$5:$A$639,$A251,$C$5:$C$639,$C251-1,$D$5:$D$639,$D251))-1)))</f>
        <v/>
      </c>
      <c r="T251" s="16">
        <f>IF(OR($A251="",L251="",$C251=""),"",IF(COUNTIFS($A$5:$A$639,$A251,$C$5:$C$639,$C251-1,$D$5:$D$639,$D251,L$5:L$639,"&lt;&gt;")=0,"",IF(OR(SUMIFS(L$5:L$639,$A$5:$A$639,$A251,$C$5:$C$639,$C251-1,$D$5:$D$639,$D251)=0,L251*SUMIFS(L$5:L$639,$A$5:$A$639,$A251,$C$5:$C$639,$C251-1,$D$5:$D$639,$D251)&lt;0),"n.s.",ABS(L251)/ABS(SUMIFS(L$5:L$639,$A$5:$A$639,$A251,$C$5:$C$639,$C251-1,$D$5:$D$639,$D251))-1)))</f>
        <v/>
      </c>
      <c r="U251" s="16">
        <f>IF(OR($A251="",M251="",$C251=""),"",IF(COUNTIFS($A$5:$A$639,$A251,$C$5:$C$639,$C251-1,$D$5:$D$639,$D251,M$5:M$639,"&lt;&gt;")=0,"",IF(OR(SUMIFS(M$5:M$639,$A$5:$A$639,$A251,$C$5:$C$639,$C251-1,$D$5:$D$639,$D251)=0,M251*SUMIFS(M$5:M$639,$A$5:$A$639,$A251,$C$5:$C$639,$C251-1,$D$5:$D$639,$D251)&lt;0),"n.s.",ABS(M251)/ABS(SUMIFS(M$5:M$639,$A$5:$A$639,$A251,$C$5:$C$639,$C251-1,$D$5:$D$639,$D251))-1)))</f>
        <v/>
      </c>
    </row>
    <row r="252">
      <c r="A252" s="9" t="inlineStr">
        <is>
          <t>NEIC</t>
        </is>
      </c>
      <c r="B252" s="10">
        <f>IF(A252="","",IFERROR(VLOOKUP(A252,Titres!$A$2:$B$400,2,FALSE),"Ticker inconnu"))</f>
        <v/>
      </c>
      <c r="C252" s="11" t="n">
        <v>2025</v>
      </c>
      <c r="D252" s="11" t="inlineStr">
        <is>
          <t>S1</t>
        </is>
      </c>
      <c r="E252" s="9" t="n"/>
      <c r="F252" s="12" t="n"/>
      <c r="G252" s="9" t="n"/>
      <c r="H252" s="13" t="n"/>
      <c r="I252" s="13" t="n"/>
      <c r="J252" s="13" t="n"/>
      <c r="K252" s="13" t="n"/>
      <c r="L252" s="13" t="n"/>
      <c r="M252" s="13" t="n"/>
      <c r="N252" s="14">
        <f>IF(A252="","",COUNT(H252:M252)/6)</f>
        <v/>
      </c>
      <c r="O252" s="15">
        <f>IF(COUNT(H252:M252)=0,"",IF(LEN(IF(COUNT(I252,J252)=2,IF(J252&gt;I252+1,"EBE &gt; VA ",""),"")&amp;IF(COUNT(H252,M252)=2,IF(ABS(M252)&gt;ABS(H252),"RN &gt; CA ",""),"")&amp;IF(COUNT(H252,K252)=2,IF(ABS(K252)&gt;ABS(H252),"RE &gt; CA ",""),""))=0,"OK",IF(COUNT(I252,J252)=2,IF(J252&gt;I252+1,"EBE &gt; VA ",""),"")&amp;IF(COUNT(H252,M252)=2,IF(ABS(M252)&gt;ABS(H252),"RN &gt; CA ",""),"")&amp;IF(COUNT(H252,K252)=2,IF(ABS(K252)&gt;ABS(H252),"RE &gt; CA ",""),"")))</f>
        <v/>
      </c>
      <c r="P252" s="16">
        <f>IF(OR($A252="",H252="",$C252=""),"",IF(COUNTIFS($A$5:$A$639,$A252,$C$5:$C$639,$C252-1,$D$5:$D$639,$D252,H$5:H$639,"&lt;&gt;")=0,"",IF(OR(SUMIFS(H$5:H$639,$A$5:$A$639,$A252,$C$5:$C$639,$C252-1,$D$5:$D$639,$D252)=0,H252*SUMIFS(H$5:H$639,$A$5:$A$639,$A252,$C$5:$C$639,$C252-1,$D$5:$D$639,$D252)&lt;0),"n.s.",ABS(H252)/ABS(SUMIFS(H$5:H$639,$A$5:$A$639,$A252,$C$5:$C$639,$C252-1,$D$5:$D$639,$D252))-1)))</f>
        <v/>
      </c>
      <c r="Q252" s="16">
        <f>IF(OR($A252="",I252="",$C252=""),"",IF(COUNTIFS($A$5:$A$639,$A252,$C$5:$C$639,$C252-1,$D$5:$D$639,$D252,I$5:I$639,"&lt;&gt;")=0,"",IF(OR(SUMIFS(I$5:I$639,$A$5:$A$639,$A252,$C$5:$C$639,$C252-1,$D$5:$D$639,$D252)=0,I252*SUMIFS(I$5:I$639,$A$5:$A$639,$A252,$C$5:$C$639,$C252-1,$D$5:$D$639,$D252)&lt;0),"n.s.",ABS(I252)/ABS(SUMIFS(I$5:I$639,$A$5:$A$639,$A252,$C$5:$C$639,$C252-1,$D$5:$D$639,$D252))-1)))</f>
        <v/>
      </c>
      <c r="R252" s="16">
        <f>IF(OR($A252="",J252="",$C252=""),"",IF(COUNTIFS($A$5:$A$639,$A252,$C$5:$C$639,$C252-1,$D$5:$D$639,$D252,J$5:J$639,"&lt;&gt;")=0,"",IF(OR(SUMIFS(J$5:J$639,$A$5:$A$639,$A252,$C$5:$C$639,$C252-1,$D$5:$D$639,$D252)=0,J252*SUMIFS(J$5:J$639,$A$5:$A$639,$A252,$C$5:$C$639,$C252-1,$D$5:$D$639,$D252)&lt;0),"n.s.",ABS(J252)/ABS(SUMIFS(J$5:J$639,$A$5:$A$639,$A252,$C$5:$C$639,$C252-1,$D$5:$D$639,$D252))-1)))</f>
        <v/>
      </c>
      <c r="S252" s="16">
        <f>IF(OR($A252="",K252="",$C252=""),"",IF(COUNTIFS($A$5:$A$639,$A252,$C$5:$C$639,$C252-1,$D$5:$D$639,$D252,K$5:K$639,"&lt;&gt;")=0,"",IF(OR(SUMIFS(K$5:K$639,$A$5:$A$639,$A252,$C$5:$C$639,$C252-1,$D$5:$D$639,$D252)=0,K252*SUMIFS(K$5:K$639,$A$5:$A$639,$A252,$C$5:$C$639,$C252-1,$D$5:$D$639,$D252)&lt;0),"n.s.",ABS(K252)/ABS(SUMIFS(K$5:K$639,$A$5:$A$639,$A252,$C$5:$C$639,$C252-1,$D$5:$D$639,$D252))-1)))</f>
        <v/>
      </c>
      <c r="T252" s="16">
        <f>IF(OR($A252="",L252="",$C252=""),"",IF(COUNTIFS($A$5:$A$639,$A252,$C$5:$C$639,$C252-1,$D$5:$D$639,$D252,L$5:L$639,"&lt;&gt;")=0,"",IF(OR(SUMIFS(L$5:L$639,$A$5:$A$639,$A252,$C$5:$C$639,$C252-1,$D$5:$D$639,$D252)=0,L252*SUMIFS(L$5:L$639,$A$5:$A$639,$A252,$C$5:$C$639,$C252-1,$D$5:$D$639,$D252)&lt;0),"n.s.",ABS(L252)/ABS(SUMIFS(L$5:L$639,$A$5:$A$639,$A252,$C$5:$C$639,$C252-1,$D$5:$D$639,$D252))-1)))</f>
        <v/>
      </c>
      <c r="U252" s="16">
        <f>IF(OR($A252="",M252="",$C252=""),"",IF(COUNTIFS($A$5:$A$639,$A252,$C$5:$C$639,$C252-1,$D$5:$D$639,$D252,M$5:M$639,"&lt;&gt;")=0,"",IF(OR(SUMIFS(M$5:M$639,$A$5:$A$639,$A252,$C$5:$C$639,$C252-1,$D$5:$D$639,$D252)=0,M252*SUMIFS(M$5:M$639,$A$5:$A$639,$A252,$C$5:$C$639,$C252-1,$D$5:$D$639,$D252)&lt;0),"n.s.",ABS(M252)/ABS(SUMIFS(M$5:M$639,$A$5:$A$639,$A252,$C$5:$C$639,$C252-1,$D$5:$D$639,$D252))-1)))</f>
        <v/>
      </c>
    </row>
    <row r="253">
      <c r="A253" s="9" t="inlineStr">
        <is>
          <t>NEIC</t>
        </is>
      </c>
      <c r="B253" s="10">
        <f>IF(A253="","",IFERROR(VLOOKUP(A253,Titres!$A$2:$B$400,2,FALSE),"Ticker inconnu"))</f>
        <v/>
      </c>
      <c r="C253" s="11" t="n">
        <v>2025</v>
      </c>
      <c r="D253" s="11" t="inlineStr">
        <is>
          <t>T3</t>
        </is>
      </c>
      <c r="E253" s="9" t="n"/>
      <c r="F253" s="12" t="n"/>
      <c r="G253" s="9" t="n"/>
      <c r="H253" s="13" t="n"/>
      <c r="I253" s="13" t="n"/>
      <c r="J253" s="13" t="n"/>
      <c r="K253" s="13" t="n"/>
      <c r="L253" s="13" t="n"/>
      <c r="M253" s="13" t="n"/>
      <c r="N253" s="14">
        <f>IF(A253="","",COUNT(H253:M253)/6)</f>
        <v/>
      </c>
      <c r="O253" s="15">
        <f>IF(COUNT(H253:M253)=0,"",IF(LEN(IF(COUNT(I253,J253)=2,IF(J253&gt;I253+1,"EBE &gt; VA ",""),"")&amp;IF(COUNT(H253,M253)=2,IF(ABS(M253)&gt;ABS(H253),"RN &gt; CA ",""),"")&amp;IF(COUNT(H253,K253)=2,IF(ABS(K253)&gt;ABS(H253),"RE &gt; CA ",""),""))=0,"OK",IF(COUNT(I253,J253)=2,IF(J253&gt;I253+1,"EBE &gt; VA ",""),"")&amp;IF(COUNT(H253,M253)=2,IF(ABS(M253)&gt;ABS(H253),"RN &gt; CA ",""),"")&amp;IF(COUNT(H253,K253)=2,IF(ABS(K253)&gt;ABS(H253),"RE &gt; CA ",""),"")))</f>
        <v/>
      </c>
      <c r="P253" s="16">
        <f>IF(OR($A253="",H253="",$C253=""),"",IF(COUNTIFS($A$5:$A$639,$A253,$C$5:$C$639,$C253-1,$D$5:$D$639,$D253,H$5:H$639,"&lt;&gt;")=0,"",IF(OR(SUMIFS(H$5:H$639,$A$5:$A$639,$A253,$C$5:$C$639,$C253-1,$D$5:$D$639,$D253)=0,H253*SUMIFS(H$5:H$639,$A$5:$A$639,$A253,$C$5:$C$639,$C253-1,$D$5:$D$639,$D253)&lt;0),"n.s.",ABS(H253)/ABS(SUMIFS(H$5:H$639,$A$5:$A$639,$A253,$C$5:$C$639,$C253-1,$D$5:$D$639,$D253))-1)))</f>
        <v/>
      </c>
      <c r="Q253" s="16">
        <f>IF(OR($A253="",I253="",$C253=""),"",IF(COUNTIFS($A$5:$A$639,$A253,$C$5:$C$639,$C253-1,$D$5:$D$639,$D253,I$5:I$639,"&lt;&gt;")=0,"",IF(OR(SUMIFS(I$5:I$639,$A$5:$A$639,$A253,$C$5:$C$639,$C253-1,$D$5:$D$639,$D253)=0,I253*SUMIFS(I$5:I$639,$A$5:$A$639,$A253,$C$5:$C$639,$C253-1,$D$5:$D$639,$D253)&lt;0),"n.s.",ABS(I253)/ABS(SUMIFS(I$5:I$639,$A$5:$A$639,$A253,$C$5:$C$639,$C253-1,$D$5:$D$639,$D253))-1)))</f>
        <v/>
      </c>
      <c r="R253" s="16">
        <f>IF(OR($A253="",J253="",$C253=""),"",IF(COUNTIFS($A$5:$A$639,$A253,$C$5:$C$639,$C253-1,$D$5:$D$639,$D253,J$5:J$639,"&lt;&gt;")=0,"",IF(OR(SUMIFS(J$5:J$639,$A$5:$A$639,$A253,$C$5:$C$639,$C253-1,$D$5:$D$639,$D253)=0,J253*SUMIFS(J$5:J$639,$A$5:$A$639,$A253,$C$5:$C$639,$C253-1,$D$5:$D$639,$D253)&lt;0),"n.s.",ABS(J253)/ABS(SUMIFS(J$5:J$639,$A$5:$A$639,$A253,$C$5:$C$639,$C253-1,$D$5:$D$639,$D253))-1)))</f>
        <v/>
      </c>
      <c r="S253" s="16">
        <f>IF(OR($A253="",K253="",$C253=""),"",IF(COUNTIFS($A$5:$A$639,$A253,$C$5:$C$639,$C253-1,$D$5:$D$639,$D253,K$5:K$639,"&lt;&gt;")=0,"",IF(OR(SUMIFS(K$5:K$639,$A$5:$A$639,$A253,$C$5:$C$639,$C253-1,$D$5:$D$639,$D253)=0,K253*SUMIFS(K$5:K$639,$A$5:$A$639,$A253,$C$5:$C$639,$C253-1,$D$5:$D$639,$D253)&lt;0),"n.s.",ABS(K253)/ABS(SUMIFS(K$5:K$639,$A$5:$A$639,$A253,$C$5:$C$639,$C253-1,$D$5:$D$639,$D253))-1)))</f>
        <v/>
      </c>
      <c r="T253" s="16">
        <f>IF(OR($A253="",L253="",$C253=""),"",IF(COUNTIFS($A$5:$A$639,$A253,$C$5:$C$639,$C253-1,$D$5:$D$639,$D253,L$5:L$639,"&lt;&gt;")=0,"",IF(OR(SUMIFS(L$5:L$639,$A$5:$A$639,$A253,$C$5:$C$639,$C253-1,$D$5:$D$639,$D253)=0,L253*SUMIFS(L$5:L$639,$A$5:$A$639,$A253,$C$5:$C$639,$C253-1,$D$5:$D$639,$D253)&lt;0),"n.s.",ABS(L253)/ABS(SUMIFS(L$5:L$639,$A$5:$A$639,$A253,$C$5:$C$639,$C253-1,$D$5:$D$639,$D253))-1)))</f>
        <v/>
      </c>
      <c r="U253" s="16">
        <f>IF(OR($A253="",M253="",$C253=""),"",IF(COUNTIFS($A$5:$A$639,$A253,$C$5:$C$639,$C253-1,$D$5:$D$639,$D253,M$5:M$639,"&lt;&gt;")=0,"",IF(OR(SUMIFS(M$5:M$639,$A$5:$A$639,$A253,$C$5:$C$639,$C253-1,$D$5:$D$639,$D253)=0,M253*SUMIFS(M$5:M$639,$A$5:$A$639,$A253,$C$5:$C$639,$C253-1,$D$5:$D$639,$D253)&lt;0),"n.s.",ABS(M253)/ABS(SUMIFS(M$5:M$639,$A$5:$A$639,$A253,$C$5:$C$639,$C253-1,$D$5:$D$639,$D253))-1)))</f>
        <v/>
      </c>
    </row>
    <row r="254">
      <c r="A254" s="9" t="inlineStr">
        <is>
          <t>NEIC</t>
        </is>
      </c>
      <c r="B254" s="10">
        <f>IF(A254="","",IFERROR(VLOOKUP(A254,Titres!$A$2:$B$400,2,FALSE),"Ticker inconnu"))</f>
        <v/>
      </c>
      <c r="C254" s="11" t="n">
        <v>2026</v>
      </c>
      <c r="D254" s="11" t="inlineStr">
        <is>
          <t>T1</t>
        </is>
      </c>
      <c r="E254" s="9" t="n"/>
      <c r="F254" s="12" t="n"/>
      <c r="G254" s="9" t="n"/>
      <c r="H254" s="13" t="n"/>
      <c r="I254" s="13" t="n"/>
      <c r="J254" s="13" t="n"/>
      <c r="K254" s="13" t="n"/>
      <c r="L254" s="13" t="n"/>
      <c r="M254" s="13" t="n"/>
      <c r="N254" s="14">
        <f>IF(A254="","",COUNT(H254:M254)/6)</f>
        <v/>
      </c>
      <c r="O254" s="15">
        <f>IF(COUNT(H254:M254)=0,"",IF(LEN(IF(COUNT(I254,J254)=2,IF(J254&gt;I254+1,"EBE &gt; VA ",""),"")&amp;IF(COUNT(H254,M254)=2,IF(ABS(M254)&gt;ABS(H254),"RN &gt; CA ",""),"")&amp;IF(COUNT(H254,K254)=2,IF(ABS(K254)&gt;ABS(H254),"RE &gt; CA ",""),""))=0,"OK",IF(COUNT(I254,J254)=2,IF(J254&gt;I254+1,"EBE &gt; VA ",""),"")&amp;IF(COUNT(H254,M254)=2,IF(ABS(M254)&gt;ABS(H254),"RN &gt; CA ",""),"")&amp;IF(COUNT(H254,K254)=2,IF(ABS(K254)&gt;ABS(H254),"RE &gt; CA ",""),"")))</f>
        <v/>
      </c>
      <c r="P254" s="16">
        <f>IF(OR($A254="",H254="",$C254=""),"",IF(COUNTIFS($A$5:$A$639,$A254,$C$5:$C$639,$C254-1,$D$5:$D$639,$D254,H$5:H$639,"&lt;&gt;")=0,"",IF(OR(SUMIFS(H$5:H$639,$A$5:$A$639,$A254,$C$5:$C$639,$C254-1,$D$5:$D$639,$D254)=0,H254*SUMIFS(H$5:H$639,$A$5:$A$639,$A254,$C$5:$C$639,$C254-1,$D$5:$D$639,$D254)&lt;0),"n.s.",ABS(H254)/ABS(SUMIFS(H$5:H$639,$A$5:$A$639,$A254,$C$5:$C$639,$C254-1,$D$5:$D$639,$D254))-1)))</f>
        <v/>
      </c>
      <c r="Q254" s="16">
        <f>IF(OR($A254="",I254="",$C254=""),"",IF(COUNTIFS($A$5:$A$639,$A254,$C$5:$C$639,$C254-1,$D$5:$D$639,$D254,I$5:I$639,"&lt;&gt;")=0,"",IF(OR(SUMIFS(I$5:I$639,$A$5:$A$639,$A254,$C$5:$C$639,$C254-1,$D$5:$D$639,$D254)=0,I254*SUMIFS(I$5:I$639,$A$5:$A$639,$A254,$C$5:$C$639,$C254-1,$D$5:$D$639,$D254)&lt;0),"n.s.",ABS(I254)/ABS(SUMIFS(I$5:I$639,$A$5:$A$639,$A254,$C$5:$C$639,$C254-1,$D$5:$D$639,$D254))-1)))</f>
        <v/>
      </c>
      <c r="R254" s="16">
        <f>IF(OR($A254="",J254="",$C254=""),"",IF(COUNTIFS($A$5:$A$639,$A254,$C$5:$C$639,$C254-1,$D$5:$D$639,$D254,J$5:J$639,"&lt;&gt;")=0,"",IF(OR(SUMIFS(J$5:J$639,$A$5:$A$639,$A254,$C$5:$C$639,$C254-1,$D$5:$D$639,$D254)=0,J254*SUMIFS(J$5:J$639,$A$5:$A$639,$A254,$C$5:$C$639,$C254-1,$D$5:$D$639,$D254)&lt;0),"n.s.",ABS(J254)/ABS(SUMIFS(J$5:J$639,$A$5:$A$639,$A254,$C$5:$C$639,$C254-1,$D$5:$D$639,$D254))-1)))</f>
        <v/>
      </c>
      <c r="S254" s="16">
        <f>IF(OR($A254="",K254="",$C254=""),"",IF(COUNTIFS($A$5:$A$639,$A254,$C$5:$C$639,$C254-1,$D$5:$D$639,$D254,K$5:K$639,"&lt;&gt;")=0,"",IF(OR(SUMIFS(K$5:K$639,$A$5:$A$639,$A254,$C$5:$C$639,$C254-1,$D$5:$D$639,$D254)=0,K254*SUMIFS(K$5:K$639,$A$5:$A$639,$A254,$C$5:$C$639,$C254-1,$D$5:$D$639,$D254)&lt;0),"n.s.",ABS(K254)/ABS(SUMIFS(K$5:K$639,$A$5:$A$639,$A254,$C$5:$C$639,$C254-1,$D$5:$D$639,$D254))-1)))</f>
        <v/>
      </c>
      <c r="T254" s="16">
        <f>IF(OR($A254="",L254="",$C254=""),"",IF(COUNTIFS($A$5:$A$639,$A254,$C$5:$C$639,$C254-1,$D$5:$D$639,$D254,L$5:L$639,"&lt;&gt;")=0,"",IF(OR(SUMIFS(L$5:L$639,$A$5:$A$639,$A254,$C$5:$C$639,$C254-1,$D$5:$D$639,$D254)=0,L254*SUMIFS(L$5:L$639,$A$5:$A$639,$A254,$C$5:$C$639,$C254-1,$D$5:$D$639,$D254)&lt;0),"n.s.",ABS(L254)/ABS(SUMIFS(L$5:L$639,$A$5:$A$639,$A254,$C$5:$C$639,$C254-1,$D$5:$D$639,$D254))-1)))</f>
        <v/>
      </c>
      <c r="U254" s="16">
        <f>IF(OR($A254="",M254="",$C254=""),"",IF(COUNTIFS($A$5:$A$639,$A254,$C$5:$C$639,$C254-1,$D$5:$D$639,$D254,M$5:M$639,"&lt;&gt;")=0,"",IF(OR(SUMIFS(M$5:M$639,$A$5:$A$639,$A254,$C$5:$C$639,$C254-1,$D$5:$D$639,$D254)=0,M254*SUMIFS(M$5:M$639,$A$5:$A$639,$A254,$C$5:$C$639,$C254-1,$D$5:$D$639,$D254)&lt;0),"n.s.",ABS(M254)/ABS(SUMIFS(M$5:M$639,$A$5:$A$639,$A254,$C$5:$C$639,$C254-1,$D$5:$D$639,$D254))-1)))</f>
        <v/>
      </c>
    </row>
    <row r="255">
      <c r="A255" s="9" t="inlineStr">
        <is>
          <t>NEIC</t>
        </is>
      </c>
      <c r="B255" s="10">
        <f>IF(A255="","",IFERROR(VLOOKUP(A255,Titres!$A$2:$B$400,2,FALSE),"Ticker inconnu"))</f>
        <v/>
      </c>
      <c r="C255" s="11" t="n">
        <v>2026</v>
      </c>
      <c r="D255" s="11" t="inlineStr">
        <is>
          <t>S1</t>
        </is>
      </c>
      <c r="E255" s="9" t="n"/>
      <c r="F255" s="12" t="n"/>
      <c r="G255" s="9" t="n"/>
      <c r="H255" s="13" t="n"/>
      <c r="I255" s="13" t="n"/>
      <c r="J255" s="13" t="n"/>
      <c r="K255" s="13" t="n"/>
      <c r="L255" s="13" t="n"/>
      <c r="M255" s="13" t="n"/>
      <c r="N255" s="14">
        <f>IF(A255="","",COUNT(H255:M255)/6)</f>
        <v/>
      </c>
      <c r="O255" s="15">
        <f>IF(COUNT(H255:M255)=0,"",IF(LEN(IF(COUNT(I255,J255)=2,IF(J255&gt;I255+1,"EBE &gt; VA ",""),"")&amp;IF(COUNT(H255,M255)=2,IF(ABS(M255)&gt;ABS(H255),"RN &gt; CA ",""),"")&amp;IF(COUNT(H255,K255)=2,IF(ABS(K255)&gt;ABS(H255),"RE &gt; CA ",""),""))=0,"OK",IF(COUNT(I255,J255)=2,IF(J255&gt;I255+1,"EBE &gt; VA ",""),"")&amp;IF(COUNT(H255,M255)=2,IF(ABS(M255)&gt;ABS(H255),"RN &gt; CA ",""),"")&amp;IF(COUNT(H255,K255)=2,IF(ABS(K255)&gt;ABS(H255),"RE &gt; CA ",""),"")))</f>
        <v/>
      </c>
      <c r="P255" s="16">
        <f>IF(OR($A255="",H255="",$C255=""),"",IF(COUNTIFS($A$5:$A$639,$A255,$C$5:$C$639,$C255-1,$D$5:$D$639,$D255,H$5:H$639,"&lt;&gt;")=0,"",IF(OR(SUMIFS(H$5:H$639,$A$5:$A$639,$A255,$C$5:$C$639,$C255-1,$D$5:$D$639,$D255)=0,H255*SUMIFS(H$5:H$639,$A$5:$A$639,$A255,$C$5:$C$639,$C255-1,$D$5:$D$639,$D255)&lt;0),"n.s.",ABS(H255)/ABS(SUMIFS(H$5:H$639,$A$5:$A$639,$A255,$C$5:$C$639,$C255-1,$D$5:$D$639,$D255))-1)))</f>
        <v/>
      </c>
      <c r="Q255" s="16">
        <f>IF(OR($A255="",I255="",$C255=""),"",IF(COUNTIFS($A$5:$A$639,$A255,$C$5:$C$639,$C255-1,$D$5:$D$639,$D255,I$5:I$639,"&lt;&gt;")=0,"",IF(OR(SUMIFS(I$5:I$639,$A$5:$A$639,$A255,$C$5:$C$639,$C255-1,$D$5:$D$639,$D255)=0,I255*SUMIFS(I$5:I$639,$A$5:$A$639,$A255,$C$5:$C$639,$C255-1,$D$5:$D$639,$D255)&lt;0),"n.s.",ABS(I255)/ABS(SUMIFS(I$5:I$639,$A$5:$A$639,$A255,$C$5:$C$639,$C255-1,$D$5:$D$639,$D255))-1)))</f>
        <v/>
      </c>
      <c r="R255" s="16">
        <f>IF(OR($A255="",J255="",$C255=""),"",IF(COUNTIFS($A$5:$A$639,$A255,$C$5:$C$639,$C255-1,$D$5:$D$639,$D255,J$5:J$639,"&lt;&gt;")=0,"",IF(OR(SUMIFS(J$5:J$639,$A$5:$A$639,$A255,$C$5:$C$639,$C255-1,$D$5:$D$639,$D255)=0,J255*SUMIFS(J$5:J$639,$A$5:$A$639,$A255,$C$5:$C$639,$C255-1,$D$5:$D$639,$D255)&lt;0),"n.s.",ABS(J255)/ABS(SUMIFS(J$5:J$639,$A$5:$A$639,$A255,$C$5:$C$639,$C255-1,$D$5:$D$639,$D255))-1)))</f>
        <v/>
      </c>
      <c r="S255" s="16">
        <f>IF(OR($A255="",K255="",$C255=""),"",IF(COUNTIFS($A$5:$A$639,$A255,$C$5:$C$639,$C255-1,$D$5:$D$639,$D255,K$5:K$639,"&lt;&gt;")=0,"",IF(OR(SUMIFS(K$5:K$639,$A$5:$A$639,$A255,$C$5:$C$639,$C255-1,$D$5:$D$639,$D255)=0,K255*SUMIFS(K$5:K$639,$A$5:$A$639,$A255,$C$5:$C$639,$C255-1,$D$5:$D$639,$D255)&lt;0),"n.s.",ABS(K255)/ABS(SUMIFS(K$5:K$639,$A$5:$A$639,$A255,$C$5:$C$639,$C255-1,$D$5:$D$639,$D255))-1)))</f>
        <v/>
      </c>
      <c r="T255" s="16">
        <f>IF(OR($A255="",L255="",$C255=""),"",IF(COUNTIFS($A$5:$A$639,$A255,$C$5:$C$639,$C255-1,$D$5:$D$639,$D255,L$5:L$639,"&lt;&gt;")=0,"",IF(OR(SUMIFS(L$5:L$639,$A$5:$A$639,$A255,$C$5:$C$639,$C255-1,$D$5:$D$639,$D255)=0,L255*SUMIFS(L$5:L$639,$A$5:$A$639,$A255,$C$5:$C$639,$C255-1,$D$5:$D$639,$D255)&lt;0),"n.s.",ABS(L255)/ABS(SUMIFS(L$5:L$639,$A$5:$A$639,$A255,$C$5:$C$639,$C255-1,$D$5:$D$639,$D255))-1)))</f>
        <v/>
      </c>
      <c r="U255" s="16">
        <f>IF(OR($A255="",M255="",$C255=""),"",IF(COUNTIFS($A$5:$A$639,$A255,$C$5:$C$639,$C255-1,$D$5:$D$639,$D255,M$5:M$639,"&lt;&gt;")=0,"",IF(OR(SUMIFS(M$5:M$639,$A$5:$A$639,$A255,$C$5:$C$639,$C255-1,$D$5:$D$639,$D255)=0,M255*SUMIFS(M$5:M$639,$A$5:$A$639,$A255,$C$5:$C$639,$C255-1,$D$5:$D$639,$D255)&lt;0),"n.s.",ABS(M255)/ABS(SUMIFS(M$5:M$639,$A$5:$A$639,$A255,$C$5:$C$639,$C255-1,$D$5:$D$639,$D255))-1)))</f>
        <v/>
      </c>
    </row>
    <row r="256">
      <c r="A256" s="9" t="inlineStr">
        <is>
          <t>NEIC</t>
        </is>
      </c>
      <c r="B256" s="10">
        <f>IF(A256="","",IFERROR(VLOOKUP(A256,Titres!$A$2:$B$400,2,FALSE),"Ticker inconnu"))</f>
        <v/>
      </c>
      <c r="C256" s="11" t="n">
        <v>2026</v>
      </c>
      <c r="D256" s="11" t="inlineStr">
        <is>
          <t>T3</t>
        </is>
      </c>
      <c r="E256" s="9" t="n"/>
      <c r="F256" s="12" t="n"/>
      <c r="G256" s="9" t="n"/>
      <c r="H256" s="13" t="n"/>
      <c r="I256" s="13" t="n"/>
      <c r="J256" s="13" t="n"/>
      <c r="K256" s="13" t="n"/>
      <c r="L256" s="13" t="n"/>
      <c r="M256" s="13" t="n"/>
      <c r="N256" s="14">
        <f>IF(A256="","",COUNT(H256:M256)/6)</f>
        <v/>
      </c>
      <c r="O256" s="15">
        <f>IF(COUNT(H256:M256)=0,"",IF(LEN(IF(COUNT(I256,J256)=2,IF(J256&gt;I256+1,"EBE &gt; VA ",""),"")&amp;IF(COUNT(H256,M256)=2,IF(ABS(M256)&gt;ABS(H256),"RN &gt; CA ",""),"")&amp;IF(COUNT(H256,K256)=2,IF(ABS(K256)&gt;ABS(H256),"RE &gt; CA ",""),""))=0,"OK",IF(COUNT(I256,J256)=2,IF(J256&gt;I256+1,"EBE &gt; VA ",""),"")&amp;IF(COUNT(H256,M256)=2,IF(ABS(M256)&gt;ABS(H256),"RN &gt; CA ",""),"")&amp;IF(COUNT(H256,K256)=2,IF(ABS(K256)&gt;ABS(H256),"RE &gt; CA ",""),"")))</f>
        <v/>
      </c>
      <c r="P256" s="16">
        <f>IF(OR($A256="",H256="",$C256=""),"",IF(COUNTIFS($A$5:$A$639,$A256,$C$5:$C$639,$C256-1,$D$5:$D$639,$D256,H$5:H$639,"&lt;&gt;")=0,"",IF(OR(SUMIFS(H$5:H$639,$A$5:$A$639,$A256,$C$5:$C$639,$C256-1,$D$5:$D$639,$D256)=0,H256*SUMIFS(H$5:H$639,$A$5:$A$639,$A256,$C$5:$C$639,$C256-1,$D$5:$D$639,$D256)&lt;0),"n.s.",ABS(H256)/ABS(SUMIFS(H$5:H$639,$A$5:$A$639,$A256,$C$5:$C$639,$C256-1,$D$5:$D$639,$D256))-1)))</f>
        <v/>
      </c>
      <c r="Q256" s="16">
        <f>IF(OR($A256="",I256="",$C256=""),"",IF(COUNTIFS($A$5:$A$639,$A256,$C$5:$C$639,$C256-1,$D$5:$D$639,$D256,I$5:I$639,"&lt;&gt;")=0,"",IF(OR(SUMIFS(I$5:I$639,$A$5:$A$639,$A256,$C$5:$C$639,$C256-1,$D$5:$D$639,$D256)=0,I256*SUMIFS(I$5:I$639,$A$5:$A$639,$A256,$C$5:$C$639,$C256-1,$D$5:$D$639,$D256)&lt;0),"n.s.",ABS(I256)/ABS(SUMIFS(I$5:I$639,$A$5:$A$639,$A256,$C$5:$C$639,$C256-1,$D$5:$D$639,$D256))-1)))</f>
        <v/>
      </c>
      <c r="R256" s="16">
        <f>IF(OR($A256="",J256="",$C256=""),"",IF(COUNTIFS($A$5:$A$639,$A256,$C$5:$C$639,$C256-1,$D$5:$D$639,$D256,J$5:J$639,"&lt;&gt;")=0,"",IF(OR(SUMIFS(J$5:J$639,$A$5:$A$639,$A256,$C$5:$C$639,$C256-1,$D$5:$D$639,$D256)=0,J256*SUMIFS(J$5:J$639,$A$5:$A$639,$A256,$C$5:$C$639,$C256-1,$D$5:$D$639,$D256)&lt;0),"n.s.",ABS(J256)/ABS(SUMIFS(J$5:J$639,$A$5:$A$639,$A256,$C$5:$C$639,$C256-1,$D$5:$D$639,$D256))-1)))</f>
        <v/>
      </c>
      <c r="S256" s="16">
        <f>IF(OR($A256="",K256="",$C256=""),"",IF(COUNTIFS($A$5:$A$639,$A256,$C$5:$C$639,$C256-1,$D$5:$D$639,$D256,K$5:K$639,"&lt;&gt;")=0,"",IF(OR(SUMIFS(K$5:K$639,$A$5:$A$639,$A256,$C$5:$C$639,$C256-1,$D$5:$D$639,$D256)=0,K256*SUMIFS(K$5:K$639,$A$5:$A$639,$A256,$C$5:$C$639,$C256-1,$D$5:$D$639,$D256)&lt;0),"n.s.",ABS(K256)/ABS(SUMIFS(K$5:K$639,$A$5:$A$639,$A256,$C$5:$C$639,$C256-1,$D$5:$D$639,$D256))-1)))</f>
        <v/>
      </c>
      <c r="T256" s="16">
        <f>IF(OR($A256="",L256="",$C256=""),"",IF(COUNTIFS($A$5:$A$639,$A256,$C$5:$C$639,$C256-1,$D$5:$D$639,$D256,L$5:L$639,"&lt;&gt;")=0,"",IF(OR(SUMIFS(L$5:L$639,$A$5:$A$639,$A256,$C$5:$C$639,$C256-1,$D$5:$D$639,$D256)=0,L256*SUMIFS(L$5:L$639,$A$5:$A$639,$A256,$C$5:$C$639,$C256-1,$D$5:$D$639,$D256)&lt;0),"n.s.",ABS(L256)/ABS(SUMIFS(L$5:L$639,$A$5:$A$639,$A256,$C$5:$C$639,$C256-1,$D$5:$D$639,$D256))-1)))</f>
        <v/>
      </c>
      <c r="U256" s="16">
        <f>IF(OR($A256="",M256="",$C256=""),"",IF(COUNTIFS($A$5:$A$639,$A256,$C$5:$C$639,$C256-1,$D$5:$D$639,$D256,M$5:M$639,"&lt;&gt;")=0,"",IF(OR(SUMIFS(M$5:M$639,$A$5:$A$639,$A256,$C$5:$C$639,$C256-1,$D$5:$D$639,$D256)=0,M256*SUMIFS(M$5:M$639,$A$5:$A$639,$A256,$C$5:$C$639,$C256-1,$D$5:$D$639,$D256)&lt;0),"n.s.",ABS(M256)/ABS(SUMIFS(M$5:M$639,$A$5:$A$639,$A256,$C$5:$C$639,$C256-1,$D$5:$D$639,$D256))-1)))</f>
        <v/>
      </c>
    </row>
    <row r="257">
      <c r="A257" s="9" t="inlineStr">
        <is>
          <t>PRSC</t>
        </is>
      </c>
      <c r="B257" s="10">
        <f>IF(A257="","",IFERROR(VLOOKUP(A257,Titres!$A$2:$B$400,2,FALSE),"Ticker inconnu"))</f>
        <v/>
      </c>
      <c r="C257" s="11" t="n">
        <v>2021</v>
      </c>
      <c r="D257" s="11" t="inlineStr">
        <is>
          <t>T1</t>
        </is>
      </c>
      <c r="E257" s="9" t="n"/>
      <c r="F257" s="12" t="n"/>
      <c r="G257" s="9" t="n"/>
      <c r="H257" s="13" t="n"/>
      <c r="I257" s="13" t="n"/>
      <c r="J257" s="13" t="n"/>
      <c r="K257" s="13" t="n"/>
      <c r="L257" s="13" t="n"/>
      <c r="M257" s="13" t="n"/>
      <c r="N257" s="14">
        <f>IF(A257="","",COUNT(H257:M257)/6)</f>
        <v/>
      </c>
      <c r="O257" s="15">
        <f>IF(COUNT(H257:M257)=0,"",IF(LEN(IF(COUNT(I257,J257)=2,IF(J257&gt;I257+1,"EBE &gt; VA ",""),"")&amp;IF(COUNT(H257,M257)=2,IF(ABS(M257)&gt;ABS(H257),"RN &gt; CA ",""),"")&amp;IF(COUNT(H257,K257)=2,IF(ABS(K257)&gt;ABS(H257),"RE &gt; CA ",""),""))=0,"OK",IF(COUNT(I257,J257)=2,IF(J257&gt;I257+1,"EBE &gt; VA ",""),"")&amp;IF(COUNT(H257,M257)=2,IF(ABS(M257)&gt;ABS(H257),"RN &gt; CA ",""),"")&amp;IF(COUNT(H257,K257)=2,IF(ABS(K257)&gt;ABS(H257),"RE &gt; CA ",""),"")))</f>
        <v/>
      </c>
      <c r="P257" s="16">
        <f>IF(OR($A257="",H257="",$C257=""),"",IF(COUNTIFS($A$5:$A$639,$A257,$C$5:$C$639,$C257-1,$D$5:$D$639,$D257,H$5:H$639,"&lt;&gt;")=0,"",IF(OR(SUMIFS(H$5:H$639,$A$5:$A$639,$A257,$C$5:$C$639,$C257-1,$D$5:$D$639,$D257)=0,H257*SUMIFS(H$5:H$639,$A$5:$A$639,$A257,$C$5:$C$639,$C257-1,$D$5:$D$639,$D257)&lt;0),"n.s.",ABS(H257)/ABS(SUMIFS(H$5:H$639,$A$5:$A$639,$A257,$C$5:$C$639,$C257-1,$D$5:$D$639,$D257))-1)))</f>
        <v/>
      </c>
      <c r="Q257" s="16">
        <f>IF(OR($A257="",I257="",$C257=""),"",IF(COUNTIFS($A$5:$A$639,$A257,$C$5:$C$639,$C257-1,$D$5:$D$639,$D257,I$5:I$639,"&lt;&gt;")=0,"",IF(OR(SUMIFS(I$5:I$639,$A$5:$A$639,$A257,$C$5:$C$639,$C257-1,$D$5:$D$639,$D257)=0,I257*SUMIFS(I$5:I$639,$A$5:$A$639,$A257,$C$5:$C$639,$C257-1,$D$5:$D$639,$D257)&lt;0),"n.s.",ABS(I257)/ABS(SUMIFS(I$5:I$639,$A$5:$A$639,$A257,$C$5:$C$639,$C257-1,$D$5:$D$639,$D257))-1)))</f>
        <v/>
      </c>
      <c r="R257" s="16">
        <f>IF(OR($A257="",J257="",$C257=""),"",IF(COUNTIFS($A$5:$A$639,$A257,$C$5:$C$639,$C257-1,$D$5:$D$639,$D257,J$5:J$639,"&lt;&gt;")=0,"",IF(OR(SUMIFS(J$5:J$639,$A$5:$A$639,$A257,$C$5:$C$639,$C257-1,$D$5:$D$639,$D257)=0,J257*SUMIFS(J$5:J$639,$A$5:$A$639,$A257,$C$5:$C$639,$C257-1,$D$5:$D$639,$D257)&lt;0),"n.s.",ABS(J257)/ABS(SUMIFS(J$5:J$639,$A$5:$A$639,$A257,$C$5:$C$639,$C257-1,$D$5:$D$639,$D257))-1)))</f>
        <v/>
      </c>
      <c r="S257" s="16">
        <f>IF(OR($A257="",K257="",$C257=""),"",IF(COUNTIFS($A$5:$A$639,$A257,$C$5:$C$639,$C257-1,$D$5:$D$639,$D257,K$5:K$639,"&lt;&gt;")=0,"",IF(OR(SUMIFS(K$5:K$639,$A$5:$A$639,$A257,$C$5:$C$639,$C257-1,$D$5:$D$639,$D257)=0,K257*SUMIFS(K$5:K$639,$A$5:$A$639,$A257,$C$5:$C$639,$C257-1,$D$5:$D$639,$D257)&lt;0),"n.s.",ABS(K257)/ABS(SUMIFS(K$5:K$639,$A$5:$A$639,$A257,$C$5:$C$639,$C257-1,$D$5:$D$639,$D257))-1)))</f>
        <v/>
      </c>
      <c r="T257" s="16">
        <f>IF(OR($A257="",L257="",$C257=""),"",IF(COUNTIFS($A$5:$A$639,$A257,$C$5:$C$639,$C257-1,$D$5:$D$639,$D257,L$5:L$639,"&lt;&gt;")=0,"",IF(OR(SUMIFS(L$5:L$639,$A$5:$A$639,$A257,$C$5:$C$639,$C257-1,$D$5:$D$639,$D257)=0,L257*SUMIFS(L$5:L$639,$A$5:$A$639,$A257,$C$5:$C$639,$C257-1,$D$5:$D$639,$D257)&lt;0),"n.s.",ABS(L257)/ABS(SUMIFS(L$5:L$639,$A$5:$A$639,$A257,$C$5:$C$639,$C257-1,$D$5:$D$639,$D257))-1)))</f>
        <v/>
      </c>
      <c r="U257" s="16">
        <f>IF(OR($A257="",M257="",$C257=""),"",IF(COUNTIFS($A$5:$A$639,$A257,$C$5:$C$639,$C257-1,$D$5:$D$639,$D257,M$5:M$639,"&lt;&gt;")=0,"",IF(OR(SUMIFS(M$5:M$639,$A$5:$A$639,$A257,$C$5:$C$639,$C257-1,$D$5:$D$639,$D257)=0,M257*SUMIFS(M$5:M$639,$A$5:$A$639,$A257,$C$5:$C$639,$C257-1,$D$5:$D$639,$D257)&lt;0),"n.s.",ABS(M257)/ABS(SUMIFS(M$5:M$639,$A$5:$A$639,$A257,$C$5:$C$639,$C257-1,$D$5:$D$639,$D257))-1)))</f>
        <v/>
      </c>
    </row>
    <row r="258">
      <c r="A258" s="9" t="inlineStr">
        <is>
          <t>PRSC</t>
        </is>
      </c>
      <c r="B258" s="10">
        <f>IF(A258="","",IFERROR(VLOOKUP(A258,Titres!$A$2:$B$400,2,FALSE),"Ticker inconnu"))</f>
        <v/>
      </c>
      <c r="C258" s="11" t="n">
        <v>2021</v>
      </c>
      <c r="D258" s="11" t="inlineStr">
        <is>
          <t>S1</t>
        </is>
      </c>
      <c r="E258" s="9" t="n"/>
      <c r="F258" s="12" t="n"/>
      <c r="G258" s="9" t="n"/>
      <c r="H258" s="13" t="n"/>
      <c r="I258" s="13" t="n"/>
      <c r="J258" s="13" t="n"/>
      <c r="K258" s="13" t="n"/>
      <c r="L258" s="13" t="n"/>
      <c r="M258" s="13" t="n"/>
      <c r="N258" s="14">
        <f>IF(A258="","",COUNT(H258:M258)/6)</f>
        <v/>
      </c>
      <c r="O258" s="15">
        <f>IF(COUNT(H258:M258)=0,"",IF(LEN(IF(COUNT(I258,J258)=2,IF(J258&gt;I258+1,"EBE &gt; VA ",""),"")&amp;IF(COUNT(H258,M258)=2,IF(ABS(M258)&gt;ABS(H258),"RN &gt; CA ",""),"")&amp;IF(COUNT(H258,K258)=2,IF(ABS(K258)&gt;ABS(H258),"RE &gt; CA ",""),""))=0,"OK",IF(COUNT(I258,J258)=2,IF(J258&gt;I258+1,"EBE &gt; VA ",""),"")&amp;IF(COUNT(H258,M258)=2,IF(ABS(M258)&gt;ABS(H258),"RN &gt; CA ",""),"")&amp;IF(COUNT(H258,K258)=2,IF(ABS(K258)&gt;ABS(H258),"RE &gt; CA ",""),"")))</f>
        <v/>
      </c>
      <c r="P258" s="16">
        <f>IF(OR($A258="",H258="",$C258=""),"",IF(COUNTIFS($A$5:$A$639,$A258,$C$5:$C$639,$C258-1,$D$5:$D$639,$D258,H$5:H$639,"&lt;&gt;")=0,"",IF(OR(SUMIFS(H$5:H$639,$A$5:$A$639,$A258,$C$5:$C$639,$C258-1,$D$5:$D$639,$D258)=0,H258*SUMIFS(H$5:H$639,$A$5:$A$639,$A258,$C$5:$C$639,$C258-1,$D$5:$D$639,$D258)&lt;0),"n.s.",ABS(H258)/ABS(SUMIFS(H$5:H$639,$A$5:$A$639,$A258,$C$5:$C$639,$C258-1,$D$5:$D$639,$D258))-1)))</f>
        <v/>
      </c>
      <c r="Q258" s="16">
        <f>IF(OR($A258="",I258="",$C258=""),"",IF(COUNTIFS($A$5:$A$639,$A258,$C$5:$C$639,$C258-1,$D$5:$D$639,$D258,I$5:I$639,"&lt;&gt;")=0,"",IF(OR(SUMIFS(I$5:I$639,$A$5:$A$639,$A258,$C$5:$C$639,$C258-1,$D$5:$D$639,$D258)=0,I258*SUMIFS(I$5:I$639,$A$5:$A$639,$A258,$C$5:$C$639,$C258-1,$D$5:$D$639,$D258)&lt;0),"n.s.",ABS(I258)/ABS(SUMIFS(I$5:I$639,$A$5:$A$639,$A258,$C$5:$C$639,$C258-1,$D$5:$D$639,$D258))-1)))</f>
        <v/>
      </c>
      <c r="R258" s="16">
        <f>IF(OR($A258="",J258="",$C258=""),"",IF(COUNTIFS($A$5:$A$639,$A258,$C$5:$C$639,$C258-1,$D$5:$D$639,$D258,J$5:J$639,"&lt;&gt;")=0,"",IF(OR(SUMIFS(J$5:J$639,$A$5:$A$639,$A258,$C$5:$C$639,$C258-1,$D$5:$D$639,$D258)=0,J258*SUMIFS(J$5:J$639,$A$5:$A$639,$A258,$C$5:$C$639,$C258-1,$D$5:$D$639,$D258)&lt;0),"n.s.",ABS(J258)/ABS(SUMIFS(J$5:J$639,$A$5:$A$639,$A258,$C$5:$C$639,$C258-1,$D$5:$D$639,$D258))-1)))</f>
        <v/>
      </c>
      <c r="S258" s="16">
        <f>IF(OR($A258="",K258="",$C258=""),"",IF(COUNTIFS($A$5:$A$639,$A258,$C$5:$C$639,$C258-1,$D$5:$D$639,$D258,K$5:K$639,"&lt;&gt;")=0,"",IF(OR(SUMIFS(K$5:K$639,$A$5:$A$639,$A258,$C$5:$C$639,$C258-1,$D$5:$D$639,$D258)=0,K258*SUMIFS(K$5:K$639,$A$5:$A$639,$A258,$C$5:$C$639,$C258-1,$D$5:$D$639,$D258)&lt;0),"n.s.",ABS(K258)/ABS(SUMIFS(K$5:K$639,$A$5:$A$639,$A258,$C$5:$C$639,$C258-1,$D$5:$D$639,$D258))-1)))</f>
        <v/>
      </c>
      <c r="T258" s="16">
        <f>IF(OR($A258="",L258="",$C258=""),"",IF(COUNTIFS($A$5:$A$639,$A258,$C$5:$C$639,$C258-1,$D$5:$D$639,$D258,L$5:L$639,"&lt;&gt;")=0,"",IF(OR(SUMIFS(L$5:L$639,$A$5:$A$639,$A258,$C$5:$C$639,$C258-1,$D$5:$D$639,$D258)=0,L258*SUMIFS(L$5:L$639,$A$5:$A$639,$A258,$C$5:$C$639,$C258-1,$D$5:$D$639,$D258)&lt;0),"n.s.",ABS(L258)/ABS(SUMIFS(L$5:L$639,$A$5:$A$639,$A258,$C$5:$C$639,$C258-1,$D$5:$D$639,$D258))-1)))</f>
        <v/>
      </c>
      <c r="U258" s="16">
        <f>IF(OR($A258="",M258="",$C258=""),"",IF(COUNTIFS($A$5:$A$639,$A258,$C$5:$C$639,$C258-1,$D$5:$D$639,$D258,M$5:M$639,"&lt;&gt;")=0,"",IF(OR(SUMIFS(M$5:M$639,$A$5:$A$639,$A258,$C$5:$C$639,$C258-1,$D$5:$D$639,$D258)=0,M258*SUMIFS(M$5:M$639,$A$5:$A$639,$A258,$C$5:$C$639,$C258-1,$D$5:$D$639,$D258)&lt;0),"n.s.",ABS(M258)/ABS(SUMIFS(M$5:M$639,$A$5:$A$639,$A258,$C$5:$C$639,$C258-1,$D$5:$D$639,$D258))-1)))</f>
        <v/>
      </c>
    </row>
    <row r="259">
      <c r="A259" s="9" t="inlineStr">
        <is>
          <t>PRSC</t>
        </is>
      </c>
      <c r="B259" s="10">
        <f>IF(A259="","",IFERROR(VLOOKUP(A259,Titres!$A$2:$B$400,2,FALSE),"Ticker inconnu"))</f>
        <v/>
      </c>
      <c r="C259" s="11" t="n">
        <v>2021</v>
      </c>
      <c r="D259" s="11" t="inlineStr">
        <is>
          <t>T3</t>
        </is>
      </c>
      <c r="E259" s="9" t="n"/>
      <c r="F259" s="12" t="n"/>
      <c r="G259" s="9" t="n"/>
      <c r="H259" s="13" t="n"/>
      <c r="I259" s="13" t="n"/>
      <c r="J259" s="13" t="n"/>
      <c r="K259" s="13" t="n"/>
      <c r="L259" s="13" t="n"/>
      <c r="M259" s="13" t="n"/>
      <c r="N259" s="14">
        <f>IF(A259="","",COUNT(H259:M259)/6)</f>
        <v/>
      </c>
      <c r="O259" s="15">
        <f>IF(COUNT(H259:M259)=0,"",IF(LEN(IF(COUNT(I259,J259)=2,IF(J259&gt;I259+1,"EBE &gt; VA ",""),"")&amp;IF(COUNT(H259,M259)=2,IF(ABS(M259)&gt;ABS(H259),"RN &gt; CA ",""),"")&amp;IF(COUNT(H259,K259)=2,IF(ABS(K259)&gt;ABS(H259),"RE &gt; CA ",""),""))=0,"OK",IF(COUNT(I259,J259)=2,IF(J259&gt;I259+1,"EBE &gt; VA ",""),"")&amp;IF(COUNT(H259,M259)=2,IF(ABS(M259)&gt;ABS(H259),"RN &gt; CA ",""),"")&amp;IF(COUNT(H259,K259)=2,IF(ABS(K259)&gt;ABS(H259),"RE &gt; CA ",""),"")))</f>
        <v/>
      </c>
      <c r="P259" s="16">
        <f>IF(OR($A259="",H259="",$C259=""),"",IF(COUNTIFS($A$5:$A$639,$A259,$C$5:$C$639,$C259-1,$D$5:$D$639,$D259,H$5:H$639,"&lt;&gt;")=0,"",IF(OR(SUMIFS(H$5:H$639,$A$5:$A$639,$A259,$C$5:$C$639,$C259-1,$D$5:$D$639,$D259)=0,H259*SUMIFS(H$5:H$639,$A$5:$A$639,$A259,$C$5:$C$639,$C259-1,$D$5:$D$639,$D259)&lt;0),"n.s.",ABS(H259)/ABS(SUMIFS(H$5:H$639,$A$5:$A$639,$A259,$C$5:$C$639,$C259-1,$D$5:$D$639,$D259))-1)))</f>
        <v/>
      </c>
      <c r="Q259" s="16">
        <f>IF(OR($A259="",I259="",$C259=""),"",IF(COUNTIFS($A$5:$A$639,$A259,$C$5:$C$639,$C259-1,$D$5:$D$639,$D259,I$5:I$639,"&lt;&gt;")=0,"",IF(OR(SUMIFS(I$5:I$639,$A$5:$A$639,$A259,$C$5:$C$639,$C259-1,$D$5:$D$639,$D259)=0,I259*SUMIFS(I$5:I$639,$A$5:$A$639,$A259,$C$5:$C$639,$C259-1,$D$5:$D$639,$D259)&lt;0),"n.s.",ABS(I259)/ABS(SUMIFS(I$5:I$639,$A$5:$A$639,$A259,$C$5:$C$639,$C259-1,$D$5:$D$639,$D259))-1)))</f>
        <v/>
      </c>
      <c r="R259" s="16">
        <f>IF(OR($A259="",J259="",$C259=""),"",IF(COUNTIFS($A$5:$A$639,$A259,$C$5:$C$639,$C259-1,$D$5:$D$639,$D259,J$5:J$639,"&lt;&gt;")=0,"",IF(OR(SUMIFS(J$5:J$639,$A$5:$A$639,$A259,$C$5:$C$639,$C259-1,$D$5:$D$639,$D259)=0,J259*SUMIFS(J$5:J$639,$A$5:$A$639,$A259,$C$5:$C$639,$C259-1,$D$5:$D$639,$D259)&lt;0),"n.s.",ABS(J259)/ABS(SUMIFS(J$5:J$639,$A$5:$A$639,$A259,$C$5:$C$639,$C259-1,$D$5:$D$639,$D259))-1)))</f>
        <v/>
      </c>
      <c r="S259" s="16">
        <f>IF(OR($A259="",K259="",$C259=""),"",IF(COUNTIFS($A$5:$A$639,$A259,$C$5:$C$639,$C259-1,$D$5:$D$639,$D259,K$5:K$639,"&lt;&gt;")=0,"",IF(OR(SUMIFS(K$5:K$639,$A$5:$A$639,$A259,$C$5:$C$639,$C259-1,$D$5:$D$639,$D259)=0,K259*SUMIFS(K$5:K$639,$A$5:$A$639,$A259,$C$5:$C$639,$C259-1,$D$5:$D$639,$D259)&lt;0),"n.s.",ABS(K259)/ABS(SUMIFS(K$5:K$639,$A$5:$A$639,$A259,$C$5:$C$639,$C259-1,$D$5:$D$639,$D259))-1)))</f>
        <v/>
      </c>
      <c r="T259" s="16">
        <f>IF(OR($A259="",L259="",$C259=""),"",IF(COUNTIFS($A$5:$A$639,$A259,$C$5:$C$639,$C259-1,$D$5:$D$639,$D259,L$5:L$639,"&lt;&gt;")=0,"",IF(OR(SUMIFS(L$5:L$639,$A$5:$A$639,$A259,$C$5:$C$639,$C259-1,$D$5:$D$639,$D259)=0,L259*SUMIFS(L$5:L$639,$A$5:$A$639,$A259,$C$5:$C$639,$C259-1,$D$5:$D$639,$D259)&lt;0),"n.s.",ABS(L259)/ABS(SUMIFS(L$5:L$639,$A$5:$A$639,$A259,$C$5:$C$639,$C259-1,$D$5:$D$639,$D259))-1)))</f>
        <v/>
      </c>
      <c r="U259" s="16">
        <f>IF(OR($A259="",M259="",$C259=""),"",IF(COUNTIFS($A$5:$A$639,$A259,$C$5:$C$639,$C259-1,$D$5:$D$639,$D259,M$5:M$639,"&lt;&gt;")=0,"",IF(OR(SUMIFS(M$5:M$639,$A$5:$A$639,$A259,$C$5:$C$639,$C259-1,$D$5:$D$639,$D259)=0,M259*SUMIFS(M$5:M$639,$A$5:$A$639,$A259,$C$5:$C$639,$C259-1,$D$5:$D$639,$D259)&lt;0),"n.s.",ABS(M259)/ABS(SUMIFS(M$5:M$639,$A$5:$A$639,$A259,$C$5:$C$639,$C259-1,$D$5:$D$639,$D259))-1)))</f>
        <v/>
      </c>
    </row>
    <row r="260">
      <c r="A260" s="9" t="inlineStr">
        <is>
          <t>PRSC</t>
        </is>
      </c>
      <c r="B260" s="10">
        <f>IF(A260="","",IFERROR(VLOOKUP(A260,Titres!$A$2:$B$400,2,FALSE),"Ticker inconnu"))</f>
        <v/>
      </c>
      <c r="C260" s="11" t="n">
        <v>2022</v>
      </c>
      <c r="D260" s="11" t="inlineStr">
        <is>
          <t>T1</t>
        </is>
      </c>
      <c r="E260" s="9" t="n"/>
      <c r="F260" s="12" t="n"/>
      <c r="G260" s="9" t="n"/>
      <c r="H260" s="13" t="n"/>
      <c r="I260" s="13" t="n"/>
      <c r="J260" s="13" t="n"/>
      <c r="K260" s="13" t="n"/>
      <c r="L260" s="13" t="n"/>
      <c r="M260" s="13" t="n"/>
      <c r="N260" s="14">
        <f>IF(A260="","",COUNT(H260:M260)/6)</f>
        <v/>
      </c>
      <c r="O260" s="15">
        <f>IF(COUNT(H260:M260)=0,"",IF(LEN(IF(COUNT(I260,J260)=2,IF(J260&gt;I260+1,"EBE &gt; VA ",""),"")&amp;IF(COUNT(H260,M260)=2,IF(ABS(M260)&gt;ABS(H260),"RN &gt; CA ",""),"")&amp;IF(COUNT(H260,K260)=2,IF(ABS(K260)&gt;ABS(H260),"RE &gt; CA ",""),""))=0,"OK",IF(COUNT(I260,J260)=2,IF(J260&gt;I260+1,"EBE &gt; VA ",""),"")&amp;IF(COUNT(H260,M260)=2,IF(ABS(M260)&gt;ABS(H260),"RN &gt; CA ",""),"")&amp;IF(COUNT(H260,K260)=2,IF(ABS(K260)&gt;ABS(H260),"RE &gt; CA ",""),"")))</f>
        <v/>
      </c>
      <c r="P260" s="16">
        <f>IF(OR($A260="",H260="",$C260=""),"",IF(COUNTIFS($A$5:$A$639,$A260,$C$5:$C$639,$C260-1,$D$5:$D$639,$D260,H$5:H$639,"&lt;&gt;")=0,"",IF(OR(SUMIFS(H$5:H$639,$A$5:$A$639,$A260,$C$5:$C$639,$C260-1,$D$5:$D$639,$D260)=0,H260*SUMIFS(H$5:H$639,$A$5:$A$639,$A260,$C$5:$C$639,$C260-1,$D$5:$D$639,$D260)&lt;0),"n.s.",ABS(H260)/ABS(SUMIFS(H$5:H$639,$A$5:$A$639,$A260,$C$5:$C$639,$C260-1,$D$5:$D$639,$D260))-1)))</f>
        <v/>
      </c>
      <c r="Q260" s="16">
        <f>IF(OR($A260="",I260="",$C260=""),"",IF(COUNTIFS($A$5:$A$639,$A260,$C$5:$C$639,$C260-1,$D$5:$D$639,$D260,I$5:I$639,"&lt;&gt;")=0,"",IF(OR(SUMIFS(I$5:I$639,$A$5:$A$639,$A260,$C$5:$C$639,$C260-1,$D$5:$D$639,$D260)=0,I260*SUMIFS(I$5:I$639,$A$5:$A$639,$A260,$C$5:$C$639,$C260-1,$D$5:$D$639,$D260)&lt;0),"n.s.",ABS(I260)/ABS(SUMIFS(I$5:I$639,$A$5:$A$639,$A260,$C$5:$C$639,$C260-1,$D$5:$D$639,$D260))-1)))</f>
        <v/>
      </c>
      <c r="R260" s="16">
        <f>IF(OR($A260="",J260="",$C260=""),"",IF(COUNTIFS($A$5:$A$639,$A260,$C$5:$C$639,$C260-1,$D$5:$D$639,$D260,J$5:J$639,"&lt;&gt;")=0,"",IF(OR(SUMIFS(J$5:J$639,$A$5:$A$639,$A260,$C$5:$C$639,$C260-1,$D$5:$D$639,$D260)=0,J260*SUMIFS(J$5:J$639,$A$5:$A$639,$A260,$C$5:$C$639,$C260-1,$D$5:$D$639,$D260)&lt;0),"n.s.",ABS(J260)/ABS(SUMIFS(J$5:J$639,$A$5:$A$639,$A260,$C$5:$C$639,$C260-1,$D$5:$D$639,$D260))-1)))</f>
        <v/>
      </c>
      <c r="S260" s="16">
        <f>IF(OR($A260="",K260="",$C260=""),"",IF(COUNTIFS($A$5:$A$639,$A260,$C$5:$C$639,$C260-1,$D$5:$D$639,$D260,K$5:K$639,"&lt;&gt;")=0,"",IF(OR(SUMIFS(K$5:K$639,$A$5:$A$639,$A260,$C$5:$C$639,$C260-1,$D$5:$D$639,$D260)=0,K260*SUMIFS(K$5:K$639,$A$5:$A$639,$A260,$C$5:$C$639,$C260-1,$D$5:$D$639,$D260)&lt;0),"n.s.",ABS(K260)/ABS(SUMIFS(K$5:K$639,$A$5:$A$639,$A260,$C$5:$C$639,$C260-1,$D$5:$D$639,$D260))-1)))</f>
        <v/>
      </c>
      <c r="T260" s="16">
        <f>IF(OR($A260="",L260="",$C260=""),"",IF(COUNTIFS($A$5:$A$639,$A260,$C$5:$C$639,$C260-1,$D$5:$D$639,$D260,L$5:L$639,"&lt;&gt;")=0,"",IF(OR(SUMIFS(L$5:L$639,$A$5:$A$639,$A260,$C$5:$C$639,$C260-1,$D$5:$D$639,$D260)=0,L260*SUMIFS(L$5:L$639,$A$5:$A$639,$A260,$C$5:$C$639,$C260-1,$D$5:$D$639,$D260)&lt;0),"n.s.",ABS(L260)/ABS(SUMIFS(L$5:L$639,$A$5:$A$639,$A260,$C$5:$C$639,$C260-1,$D$5:$D$639,$D260))-1)))</f>
        <v/>
      </c>
      <c r="U260" s="16">
        <f>IF(OR($A260="",M260="",$C260=""),"",IF(COUNTIFS($A$5:$A$639,$A260,$C$5:$C$639,$C260-1,$D$5:$D$639,$D260,M$5:M$639,"&lt;&gt;")=0,"",IF(OR(SUMIFS(M$5:M$639,$A$5:$A$639,$A260,$C$5:$C$639,$C260-1,$D$5:$D$639,$D260)=0,M260*SUMIFS(M$5:M$639,$A$5:$A$639,$A260,$C$5:$C$639,$C260-1,$D$5:$D$639,$D260)&lt;0),"n.s.",ABS(M260)/ABS(SUMIFS(M$5:M$639,$A$5:$A$639,$A260,$C$5:$C$639,$C260-1,$D$5:$D$639,$D260))-1)))</f>
        <v/>
      </c>
    </row>
    <row r="261">
      <c r="A261" s="9" t="inlineStr">
        <is>
          <t>PRSC</t>
        </is>
      </c>
      <c r="B261" s="10">
        <f>IF(A261="","",IFERROR(VLOOKUP(A261,Titres!$A$2:$B$400,2,FALSE),"Ticker inconnu"))</f>
        <v/>
      </c>
      <c r="C261" s="11" t="n">
        <v>2022</v>
      </c>
      <c r="D261" s="11" t="inlineStr">
        <is>
          <t>S1</t>
        </is>
      </c>
      <c r="E261" s="9" t="n"/>
      <c r="F261" s="12" t="n"/>
      <c r="G261" s="9" t="n"/>
      <c r="H261" s="13" t="n"/>
      <c r="I261" s="13" t="n"/>
      <c r="J261" s="13" t="n"/>
      <c r="K261" s="13" t="n"/>
      <c r="L261" s="13" t="n"/>
      <c r="M261" s="13" t="n"/>
      <c r="N261" s="14">
        <f>IF(A261="","",COUNT(H261:M261)/6)</f>
        <v/>
      </c>
      <c r="O261" s="15">
        <f>IF(COUNT(H261:M261)=0,"",IF(LEN(IF(COUNT(I261,J261)=2,IF(J261&gt;I261+1,"EBE &gt; VA ",""),"")&amp;IF(COUNT(H261,M261)=2,IF(ABS(M261)&gt;ABS(H261),"RN &gt; CA ",""),"")&amp;IF(COUNT(H261,K261)=2,IF(ABS(K261)&gt;ABS(H261),"RE &gt; CA ",""),""))=0,"OK",IF(COUNT(I261,J261)=2,IF(J261&gt;I261+1,"EBE &gt; VA ",""),"")&amp;IF(COUNT(H261,M261)=2,IF(ABS(M261)&gt;ABS(H261),"RN &gt; CA ",""),"")&amp;IF(COUNT(H261,K261)=2,IF(ABS(K261)&gt;ABS(H261),"RE &gt; CA ",""),"")))</f>
        <v/>
      </c>
      <c r="P261" s="16">
        <f>IF(OR($A261="",H261="",$C261=""),"",IF(COUNTIFS($A$5:$A$639,$A261,$C$5:$C$639,$C261-1,$D$5:$D$639,$D261,H$5:H$639,"&lt;&gt;")=0,"",IF(OR(SUMIFS(H$5:H$639,$A$5:$A$639,$A261,$C$5:$C$639,$C261-1,$D$5:$D$639,$D261)=0,H261*SUMIFS(H$5:H$639,$A$5:$A$639,$A261,$C$5:$C$639,$C261-1,$D$5:$D$639,$D261)&lt;0),"n.s.",ABS(H261)/ABS(SUMIFS(H$5:H$639,$A$5:$A$639,$A261,$C$5:$C$639,$C261-1,$D$5:$D$639,$D261))-1)))</f>
        <v/>
      </c>
      <c r="Q261" s="16">
        <f>IF(OR($A261="",I261="",$C261=""),"",IF(COUNTIFS($A$5:$A$639,$A261,$C$5:$C$639,$C261-1,$D$5:$D$639,$D261,I$5:I$639,"&lt;&gt;")=0,"",IF(OR(SUMIFS(I$5:I$639,$A$5:$A$639,$A261,$C$5:$C$639,$C261-1,$D$5:$D$639,$D261)=0,I261*SUMIFS(I$5:I$639,$A$5:$A$639,$A261,$C$5:$C$639,$C261-1,$D$5:$D$639,$D261)&lt;0),"n.s.",ABS(I261)/ABS(SUMIFS(I$5:I$639,$A$5:$A$639,$A261,$C$5:$C$639,$C261-1,$D$5:$D$639,$D261))-1)))</f>
        <v/>
      </c>
      <c r="R261" s="16">
        <f>IF(OR($A261="",J261="",$C261=""),"",IF(COUNTIFS($A$5:$A$639,$A261,$C$5:$C$639,$C261-1,$D$5:$D$639,$D261,J$5:J$639,"&lt;&gt;")=0,"",IF(OR(SUMIFS(J$5:J$639,$A$5:$A$639,$A261,$C$5:$C$639,$C261-1,$D$5:$D$639,$D261)=0,J261*SUMIFS(J$5:J$639,$A$5:$A$639,$A261,$C$5:$C$639,$C261-1,$D$5:$D$639,$D261)&lt;0),"n.s.",ABS(J261)/ABS(SUMIFS(J$5:J$639,$A$5:$A$639,$A261,$C$5:$C$639,$C261-1,$D$5:$D$639,$D261))-1)))</f>
        <v/>
      </c>
      <c r="S261" s="16">
        <f>IF(OR($A261="",K261="",$C261=""),"",IF(COUNTIFS($A$5:$A$639,$A261,$C$5:$C$639,$C261-1,$D$5:$D$639,$D261,K$5:K$639,"&lt;&gt;")=0,"",IF(OR(SUMIFS(K$5:K$639,$A$5:$A$639,$A261,$C$5:$C$639,$C261-1,$D$5:$D$639,$D261)=0,K261*SUMIFS(K$5:K$639,$A$5:$A$639,$A261,$C$5:$C$639,$C261-1,$D$5:$D$639,$D261)&lt;0),"n.s.",ABS(K261)/ABS(SUMIFS(K$5:K$639,$A$5:$A$639,$A261,$C$5:$C$639,$C261-1,$D$5:$D$639,$D261))-1)))</f>
        <v/>
      </c>
      <c r="T261" s="16">
        <f>IF(OR($A261="",L261="",$C261=""),"",IF(COUNTIFS($A$5:$A$639,$A261,$C$5:$C$639,$C261-1,$D$5:$D$639,$D261,L$5:L$639,"&lt;&gt;")=0,"",IF(OR(SUMIFS(L$5:L$639,$A$5:$A$639,$A261,$C$5:$C$639,$C261-1,$D$5:$D$639,$D261)=0,L261*SUMIFS(L$5:L$639,$A$5:$A$639,$A261,$C$5:$C$639,$C261-1,$D$5:$D$639,$D261)&lt;0),"n.s.",ABS(L261)/ABS(SUMIFS(L$5:L$639,$A$5:$A$639,$A261,$C$5:$C$639,$C261-1,$D$5:$D$639,$D261))-1)))</f>
        <v/>
      </c>
      <c r="U261" s="16">
        <f>IF(OR($A261="",M261="",$C261=""),"",IF(COUNTIFS($A$5:$A$639,$A261,$C$5:$C$639,$C261-1,$D$5:$D$639,$D261,M$5:M$639,"&lt;&gt;")=0,"",IF(OR(SUMIFS(M$5:M$639,$A$5:$A$639,$A261,$C$5:$C$639,$C261-1,$D$5:$D$639,$D261)=0,M261*SUMIFS(M$5:M$639,$A$5:$A$639,$A261,$C$5:$C$639,$C261-1,$D$5:$D$639,$D261)&lt;0),"n.s.",ABS(M261)/ABS(SUMIFS(M$5:M$639,$A$5:$A$639,$A261,$C$5:$C$639,$C261-1,$D$5:$D$639,$D261))-1)))</f>
        <v/>
      </c>
    </row>
    <row r="262">
      <c r="A262" s="9" t="inlineStr">
        <is>
          <t>PRSC</t>
        </is>
      </c>
      <c r="B262" s="10">
        <f>IF(A262="","",IFERROR(VLOOKUP(A262,Titres!$A$2:$B$400,2,FALSE),"Ticker inconnu"))</f>
        <v/>
      </c>
      <c r="C262" s="11" t="n">
        <v>2022</v>
      </c>
      <c r="D262" s="11" t="inlineStr">
        <is>
          <t>T3</t>
        </is>
      </c>
      <c r="E262" s="9" t="n"/>
      <c r="F262" s="12" t="n"/>
      <c r="G262" s="9" t="n"/>
      <c r="H262" s="13" t="n"/>
      <c r="I262" s="13" t="n"/>
      <c r="J262" s="13" t="n"/>
      <c r="K262" s="13" t="n"/>
      <c r="L262" s="13" t="n"/>
      <c r="M262" s="13" t="n"/>
      <c r="N262" s="14">
        <f>IF(A262="","",COUNT(H262:M262)/6)</f>
        <v/>
      </c>
      <c r="O262" s="15">
        <f>IF(COUNT(H262:M262)=0,"",IF(LEN(IF(COUNT(I262,J262)=2,IF(J262&gt;I262+1,"EBE &gt; VA ",""),"")&amp;IF(COUNT(H262,M262)=2,IF(ABS(M262)&gt;ABS(H262),"RN &gt; CA ",""),"")&amp;IF(COUNT(H262,K262)=2,IF(ABS(K262)&gt;ABS(H262),"RE &gt; CA ",""),""))=0,"OK",IF(COUNT(I262,J262)=2,IF(J262&gt;I262+1,"EBE &gt; VA ",""),"")&amp;IF(COUNT(H262,M262)=2,IF(ABS(M262)&gt;ABS(H262),"RN &gt; CA ",""),"")&amp;IF(COUNT(H262,K262)=2,IF(ABS(K262)&gt;ABS(H262),"RE &gt; CA ",""),"")))</f>
        <v/>
      </c>
      <c r="P262" s="16">
        <f>IF(OR($A262="",H262="",$C262=""),"",IF(COUNTIFS($A$5:$A$639,$A262,$C$5:$C$639,$C262-1,$D$5:$D$639,$D262,H$5:H$639,"&lt;&gt;")=0,"",IF(OR(SUMIFS(H$5:H$639,$A$5:$A$639,$A262,$C$5:$C$639,$C262-1,$D$5:$D$639,$D262)=0,H262*SUMIFS(H$5:H$639,$A$5:$A$639,$A262,$C$5:$C$639,$C262-1,$D$5:$D$639,$D262)&lt;0),"n.s.",ABS(H262)/ABS(SUMIFS(H$5:H$639,$A$5:$A$639,$A262,$C$5:$C$639,$C262-1,$D$5:$D$639,$D262))-1)))</f>
        <v/>
      </c>
      <c r="Q262" s="16">
        <f>IF(OR($A262="",I262="",$C262=""),"",IF(COUNTIFS($A$5:$A$639,$A262,$C$5:$C$639,$C262-1,$D$5:$D$639,$D262,I$5:I$639,"&lt;&gt;")=0,"",IF(OR(SUMIFS(I$5:I$639,$A$5:$A$639,$A262,$C$5:$C$639,$C262-1,$D$5:$D$639,$D262)=0,I262*SUMIFS(I$5:I$639,$A$5:$A$639,$A262,$C$5:$C$639,$C262-1,$D$5:$D$639,$D262)&lt;0),"n.s.",ABS(I262)/ABS(SUMIFS(I$5:I$639,$A$5:$A$639,$A262,$C$5:$C$639,$C262-1,$D$5:$D$639,$D262))-1)))</f>
        <v/>
      </c>
      <c r="R262" s="16">
        <f>IF(OR($A262="",J262="",$C262=""),"",IF(COUNTIFS($A$5:$A$639,$A262,$C$5:$C$639,$C262-1,$D$5:$D$639,$D262,J$5:J$639,"&lt;&gt;")=0,"",IF(OR(SUMIFS(J$5:J$639,$A$5:$A$639,$A262,$C$5:$C$639,$C262-1,$D$5:$D$639,$D262)=0,J262*SUMIFS(J$5:J$639,$A$5:$A$639,$A262,$C$5:$C$639,$C262-1,$D$5:$D$639,$D262)&lt;0),"n.s.",ABS(J262)/ABS(SUMIFS(J$5:J$639,$A$5:$A$639,$A262,$C$5:$C$639,$C262-1,$D$5:$D$639,$D262))-1)))</f>
        <v/>
      </c>
      <c r="S262" s="16">
        <f>IF(OR($A262="",K262="",$C262=""),"",IF(COUNTIFS($A$5:$A$639,$A262,$C$5:$C$639,$C262-1,$D$5:$D$639,$D262,K$5:K$639,"&lt;&gt;")=0,"",IF(OR(SUMIFS(K$5:K$639,$A$5:$A$639,$A262,$C$5:$C$639,$C262-1,$D$5:$D$639,$D262)=0,K262*SUMIFS(K$5:K$639,$A$5:$A$639,$A262,$C$5:$C$639,$C262-1,$D$5:$D$639,$D262)&lt;0),"n.s.",ABS(K262)/ABS(SUMIFS(K$5:K$639,$A$5:$A$639,$A262,$C$5:$C$639,$C262-1,$D$5:$D$639,$D262))-1)))</f>
        <v/>
      </c>
      <c r="T262" s="16">
        <f>IF(OR($A262="",L262="",$C262=""),"",IF(COUNTIFS($A$5:$A$639,$A262,$C$5:$C$639,$C262-1,$D$5:$D$639,$D262,L$5:L$639,"&lt;&gt;")=0,"",IF(OR(SUMIFS(L$5:L$639,$A$5:$A$639,$A262,$C$5:$C$639,$C262-1,$D$5:$D$639,$D262)=0,L262*SUMIFS(L$5:L$639,$A$5:$A$639,$A262,$C$5:$C$639,$C262-1,$D$5:$D$639,$D262)&lt;0),"n.s.",ABS(L262)/ABS(SUMIFS(L$5:L$639,$A$5:$A$639,$A262,$C$5:$C$639,$C262-1,$D$5:$D$639,$D262))-1)))</f>
        <v/>
      </c>
      <c r="U262" s="16">
        <f>IF(OR($A262="",M262="",$C262=""),"",IF(COUNTIFS($A$5:$A$639,$A262,$C$5:$C$639,$C262-1,$D$5:$D$639,$D262,M$5:M$639,"&lt;&gt;")=0,"",IF(OR(SUMIFS(M$5:M$639,$A$5:$A$639,$A262,$C$5:$C$639,$C262-1,$D$5:$D$639,$D262)=0,M262*SUMIFS(M$5:M$639,$A$5:$A$639,$A262,$C$5:$C$639,$C262-1,$D$5:$D$639,$D262)&lt;0),"n.s.",ABS(M262)/ABS(SUMIFS(M$5:M$639,$A$5:$A$639,$A262,$C$5:$C$639,$C262-1,$D$5:$D$639,$D262))-1)))</f>
        <v/>
      </c>
    </row>
    <row r="263">
      <c r="A263" s="9" t="inlineStr">
        <is>
          <t>PRSC</t>
        </is>
      </c>
      <c r="B263" s="10">
        <f>IF(A263="","",IFERROR(VLOOKUP(A263,Titres!$A$2:$B$400,2,FALSE),"Ticker inconnu"))</f>
        <v/>
      </c>
      <c r="C263" s="11" t="n">
        <v>2023</v>
      </c>
      <c r="D263" s="11" t="inlineStr">
        <is>
          <t>T1</t>
        </is>
      </c>
      <c r="E263" s="9" t="n"/>
      <c r="F263" s="12" t="n"/>
      <c r="G263" s="9" t="n"/>
      <c r="H263" s="13" t="n"/>
      <c r="I263" s="13" t="n"/>
      <c r="J263" s="13" t="n"/>
      <c r="K263" s="13" t="n"/>
      <c r="L263" s="13" t="n"/>
      <c r="M263" s="13" t="n"/>
      <c r="N263" s="14">
        <f>IF(A263="","",COUNT(H263:M263)/6)</f>
        <v/>
      </c>
      <c r="O263" s="15">
        <f>IF(COUNT(H263:M263)=0,"",IF(LEN(IF(COUNT(I263,J263)=2,IF(J263&gt;I263+1,"EBE &gt; VA ",""),"")&amp;IF(COUNT(H263,M263)=2,IF(ABS(M263)&gt;ABS(H263),"RN &gt; CA ",""),"")&amp;IF(COUNT(H263,K263)=2,IF(ABS(K263)&gt;ABS(H263),"RE &gt; CA ",""),""))=0,"OK",IF(COUNT(I263,J263)=2,IF(J263&gt;I263+1,"EBE &gt; VA ",""),"")&amp;IF(COUNT(H263,M263)=2,IF(ABS(M263)&gt;ABS(H263),"RN &gt; CA ",""),"")&amp;IF(COUNT(H263,K263)=2,IF(ABS(K263)&gt;ABS(H263),"RE &gt; CA ",""),"")))</f>
        <v/>
      </c>
      <c r="P263" s="16">
        <f>IF(OR($A263="",H263="",$C263=""),"",IF(COUNTIFS($A$5:$A$639,$A263,$C$5:$C$639,$C263-1,$D$5:$D$639,$D263,H$5:H$639,"&lt;&gt;")=0,"",IF(OR(SUMIFS(H$5:H$639,$A$5:$A$639,$A263,$C$5:$C$639,$C263-1,$D$5:$D$639,$D263)=0,H263*SUMIFS(H$5:H$639,$A$5:$A$639,$A263,$C$5:$C$639,$C263-1,$D$5:$D$639,$D263)&lt;0),"n.s.",ABS(H263)/ABS(SUMIFS(H$5:H$639,$A$5:$A$639,$A263,$C$5:$C$639,$C263-1,$D$5:$D$639,$D263))-1)))</f>
        <v/>
      </c>
      <c r="Q263" s="16">
        <f>IF(OR($A263="",I263="",$C263=""),"",IF(COUNTIFS($A$5:$A$639,$A263,$C$5:$C$639,$C263-1,$D$5:$D$639,$D263,I$5:I$639,"&lt;&gt;")=0,"",IF(OR(SUMIFS(I$5:I$639,$A$5:$A$639,$A263,$C$5:$C$639,$C263-1,$D$5:$D$639,$D263)=0,I263*SUMIFS(I$5:I$639,$A$5:$A$639,$A263,$C$5:$C$639,$C263-1,$D$5:$D$639,$D263)&lt;0),"n.s.",ABS(I263)/ABS(SUMIFS(I$5:I$639,$A$5:$A$639,$A263,$C$5:$C$639,$C263-1,$D$5:$D$639,$D263))-1)))</f>
        <v/>
      </c>
      <c r="R263" s="16">
        <f>IF(OR($A263="",J263="",$C263=""),"",IF(COUNTIFS($A$5:$A$639,$A263,$C$5:$C$639,$C263-1,$D$5:$D$639,$D263,J$5:J$639,"&lt;&gt;")=0,"",IF(OR(SUMIFS(J$5:J$639,$A$5:$A$639,$A263,$C$5:$C$639,$C263-1,$D$5:$D$639,$D263)=0,J263*SUMIFS(J$5:J$639,$A$5:$A$639,$A263,$C$5:$C$639,$C263-1,$D$5:$D$639,$D263)&lt;0),"n.s.",ABS(J263)/ABS(SUMIFS(J$5:J$639,$A$5:$A$639,$A263,$C$5:$C$639,$C263-1,$D$5:$D$639,$D263))-1)))</f>
        <v/>
      </c>
      <c r="S263" s="16">
        <f>IF(OR($A263="",K263="",$C263=""),"",IF(COUNTIFS($A$5:$A$639,$A263,$C$5:$C$639,$C263-1,$D$5:$D$639,$D263,K$5:K$639,"&lt;&gt;")=0,"",IF(OR(SUMIFS(K$5:K$639,$A$5:$A$639,$A263,$C$5:$C$639,$C263-1,$D$5:$D$639,$D263)=0,K263*SUMIFS(K$5:K$639,$A$5:$A$639,$A263,$C$5:$C$639,$C263-1,$D$5:$D$639,$D263)&lt;0),"n.s.",ABS(K263)/ABS(SUMIFS(K$5:K$639,$A$5:$A$639,$A263,$C$5:$C$639,$C263-1,$D$5:$D$639,$D263))-1)))</f>
        <v/>
      </c>
      <c r="T263" s="16">
        <f>IF(OR($A263="",L263="",$C263=""),"",IF(COUNTIFS($A$5:$A$639,$A263,$C$5:$C$639,$C263-1,$D$5:$D$639,$D263,L$5:L$639,"&lt;&gt;")=0,"",IF(OR(SUMIFS(L$5:L$639,$A$5:$A$639,$A263,$C$5:$C$639,$C263-1,$D$5:$D$639,$D263)=0,L263*SUMIFS(L$5:L$639,$A$5:$A$639,$A263,$C$5:$C$639,$C263-1,$D$5:$D$639,$D263)&lt;0),"n.s.",ABS(L263)/ABS(SUMIFS(L$5:L$639,$A$5:$A$639,$A263,$C$5:$C$639,$C263-1,$D$5:$D$639,$D263))-1)))</f>
        <v/>
      </c>
      <c r="U263" s="16">
        <f>IF(OR($A263="",M263="",$C263=""),"",IF(COUNTIFS($A$5:$A$639,$A263,$C$5:$C$639,$C263-1,$D$5:$D$639,$D263,M$5:M$639,"&lt;&gt;")=0,"",IF(OR(SUMIFS(M$5:M$639,$A$5:$A$639,$A263,$C$5:$C$639,$C263-1,$D$5:$D$639,$D263)=0,M263*SUMIFS(M$5:M$639,$A$5:$A$639,$A263,$C$5:$C$639,$C263-1,$D$5:$D$639,$D263)&lt;0),"n.s.",ABS(M263)/ABS(SUMIFS(M$5:M$639,$A$5:$A$639,$A263,$C$5:$C$639,$C263-1,$D$5:$D$639,$D263))-1)))</f>
        <v/>
      </c>
    </row>
    <row r="264">
      <c r="A264" s="9" t="inlineStr">
        <is>
          <t>PRSC</t>
        </is>
      </c>
      <c r="B264" s="10">
        <f>IF(A264="","",IFERROR(VLOOKUP(A264,Titres!$A$2:$B$400,2,FALSE),"Ticker inconnu"))</f>
        <v/>
      </c>
      <c r="C264" s="11" t="n">
        <v>2023</v>
      </c>
      <c r="D264" s="11" t="inlineStr">
        <is>
          <t>S1</t>
        </is>
      </c>
      <c r="E264" s="9" t="n"/>
      <c r="F264" s="12" t="n"/>
      <c r="G264" s="9" t="n"/>
      <c r="H264" s="13" t="n"/>
      <c r="I264" s="13" t="n"/>
      <c r="J264" s="13" t="n"/>
      <c r="K264" s="13" t="n"/>
      <c r="L264" s="13" t="n"/>
      <c r="M264" s="13" t="n"/>
      <c r="N264" s="14">
        <f>IF(A264="","",COUNT(H264:M264)/6)</f>
        <v/>
      </c>
      <c r="O264" s="15">
        <f>IF(COUNT(H264:M264)=0,"",IF(LEN(IF(COUNT(I264,J264)=2,IF(J264&gt;I264+1,"EBE &gt; VA ",""),"")&amp;IF(COUNT(H264,M264)=2,IF(ABS(M264)&gt;ABS(H264),"RN &gt; CA ",""),"")&amp;IF(COUNT(H264,K264)=2,IF(ABS(K264)&gt;ABS(H264),"RE &gt; CA ",""),""))=0,"OK",IF(COUNT(I264,J264)=2,IF(J264&gt;I264+1,"EBE &gt; VA ",""),"")&amp;IF(COUNT(H264,M264)=2,IF(ABS(M264)&gt;ABS(H264),"RN &gt; CA ",""),"")&amp;IF(COUNT(H264,K264)=2,IF(ABS(K264)&gt;ABS(H264),"RE &gt; CA ",""),"")))</f>
        <v/>
      </c>
      <c r="P264" s="16">
        <f>IF(OR($A264="",H264="",$C264=""),"",IF(COUNTIFS($A$5:$A$639,$A264,$C$5:$C$639,$C264-1,$D$5:$D$639,$D264,H$5:H$639,"&lt;&gt;")=0,"",IF(OR(SUMIFS(H$5:H$639,$A$5:$A$639,$A264,$C$5:$C$639,$C264-1,$D$5:$D$639,$D264)=0,H264*SUMIFS(H$5:H$639,$A$5:$A$639,$A264,$C$5:$C$639,$C264-1,$D$5:$D$639,$D264)&lt;0),"n.s.",ABS(H264)/ABS(SUMIFS(H$5:H$639,$A$5:$A$639,$A264,$C$5:$C$639,$C264-1,$D$5:$D$639,$D264))-1)))</f>
        <v/>
      </c>
      <c r="Q264" s="16">
        <f>IF(OR($A264="",I264="",$C264=""),"",IF(COUNTIFS($A$5:$A$639,$A264,$C$5:$C$639,$C264-1,$D$5:$D$639,$D264,I$5:I$639,"&lt;&gt;")=0,"",IF(OR(SUMIFS(I$5:I$639,$A$5:$A$639,$A264,$C$5:$C$639,$C264-1,$D$5:$D$639,$D264)=0,I264*SUMIFS(I$5:I$639,$A$5:$A$639,$A264,$C$5:$C$639,$C264-1,$D$5:$D$639,$D264)&lt;0),"n.s.",ABS(I264)/ABS(SUMIFS(I$5:I$639,$A$5:$A$639,$A264,$C$5:$C$639,$C264-1,$D$5:$D$639,$D264))-1)))</f>
        <v/>
      </c>
      <c r="R264" s="16">
        <f>IF(OR($A264="",J264="",$C264=""),"",IF(COUNTIFS($A$5:$A$639,$A264,$C$5:$C$639,$C264-1,$D$5:$D$639,$D264,J$5:J$639,"&lt;&gt;")=0,"",IF(OR(SUMIFS(J$5:J$639,$A$5:$A$639,$A264,$C$5:$C$639,$C264-1,$D$5:$D$639,$D264)=0,J264*SUMIFS(J$5:J$639,$A$5:$A$639,$A264,$C$5:$C$639,$C264-1,$D$5:$D$639,$D264)&lt;0),"n.s.",ABS(J264)/ABS(SUMIFS(J$5:J$639,$A$5:$A$639,$A264,$C$5:$C$639,$C264-1,$D$5:$D$639,$D264))-1)))</f>
        <v/>
      </c>
      <c r="S264" s="16">
        <f>IF(OR($A264="",K264="",$C264=""),"",IF(COUNTIFS($A$5:$A$639,$A264,$C$5:$C$639,$C264-1,$D$5:$D$639,$D264,K$5:K$639,"&lt;&gt;")=0,"",IF(OR(SUMIFS(K$5:K$639,$A$5:$A$639,$A264,$C$5:$C$639,$C264-1,$D$5:$D$639,$D264)=0,K264*SUMIFS(K$5:K$639,$A$5:$A$639,$A264,$C$5:$C$639,$C264-1,$D$5:$D$639,$D264)&lt;0),"n.s.",ABS(K264)/ABS(SUMIFS(K$5:K$639,$A$5:$A$639,$A264,$C$5:$C$639,$C264-1,$D$5:$D$639,$D264))-1)))</f>
        <v/>
      </c>
      <c r="T264" s="16">
        <f>IF(OR($A264="",L264="",$C264=""),"",IF(COUNTIFS($A$5:$A$639,$A264,$C$5:$C$639,$C264-1,$D$5:$D$639,$D264,L$5:L$639,"&lt;&gt;")=0,"",IF(OR(SUMIFS(L$5:L$639,$A$5:$A$639,$A264,$C$5:$C$639,$C264-1,$D$5:$D$639,$D264)=0,L264*SUMIFS(L$5:L$639,$A$5:$A$639,$A264,$C$5:$C$639,$C264-1,$D$5:$D$639,$D264)&lt;0),"n.s.",ABS(L264)/ABS(SUMIFS(L$5:L$639,$A$5:$A$639,$A264,$C$5:$C$639,$C264-1,$D$5:$D$639,$D264))-1)))</f>
        <v/>
      </c>
      <c r="U264" s="16">
        <f>IF(OR($A264="",M264="",$C264=""),"",IF(COUNTIFS($A$5:$A$639,$A264,$C$5:$C$639,$C264-1,$D$5:$D$639,$D264,M$5:M$639,"&lt;&gt;")=0,"",IF(OR(SUMIFS(M$5:M$639,$A$5:$A$639,$A264,$C$5:$C$639,$C264-1,$D$5:$D$639,$D264)=0,M264*SUMIFS(M$5:M$639,$A$5:$A$639,$A264,$C$5:$C$639,$C264-1,$D$5:$D$639,$D264)&lt;0),"n.s.",ABS(M264)/ABS(SUMIFS(M$5:M$639,$A$5:$A$639,$A264,$C$5:$C$639,$C264-1,$D$5:$D$639,$D264))-1)))</f>
        <v/>
      </c>
    </row>
    <row r="265">
      <c r="A265" s="9" t="inlineStr">
        <is>
          <t>PRSC</t>
        </is>
      </c>
      <c r="B265" s="10">
        <f>IF(A265="","",IFERROR(VLOOKUP(A265,Titres!$A$2:$B$400,2,FALSE),"Ticker inconnu"))</f>
        <v/>
      </c>
      <c r="C265" s="11" t="n">
        <v>2023</v>
      </c>
      <c r="D265" s="11" t="inlineStr">
        <is>
          <t>T3</t>
        </is>
      </c>
      <c r="E265" s="9" t="n"/>
      <c r="F265" s="12" t="n"/>
      <c r="G265" s="9" t="n"/>
      <c r="H265" s="13" t="n"/>
      <c r="I265" s="13" t="n"/>
      <c r="J265" s="13" t="n"/>
      <c r="K265" s="13" t="n"/>
      <c r="L265" s="13" t="n"/>
      <c r="M265" s="13" t="n"/>
      <c r="N265" s="14">
        <f>IF(A265="","",COUNT(H265:M265)/6)</f>
        <v/>
      </c>
      <c r="O265" s="15">
        <f>IF(COUNT(H265:M265)=0,"",IF(LEN(IF(COUNT(I265,J265)=2,IF(J265&gt;I265+1,"EBE &gt; VA ",""),"")&amp;IF(COUNT(H265,M265)=2,IF(ABS(M265)&gt;ABS(H265),"RN &gt; CA ",""),"")&amp;IF(COUNT(H265,K265)=2,IF(ABS(K265)&gt;ABS(H265),"RE &gt; CA ",""),""))=0,"OK",IF(COUNT(I265,J265)=2,IF(J265&gt;I265+1,"EBE &gt; VA ",""),"")&amp;IF(COUNT(H265,M265)=2,IF(ABS(M265)&gt;ABS(H265),"RN &gt; CA ",""),"")&amp;IF(COUNT(H265,K265)=2,IF(ABS(K265)&gt;ABS(H265),"RE &gt; CA ",""),"")))</f>
        <v/>
      </c>
      <c r="P265" s="16">
        <f>IF(OR($A265="",H265="",$C265=""),"",IF(COUNTIFS($A$5:$A$639,$A265,$C$5:$C$639,$C265-1,$D$5:$D$639,$D265,H$5:H$639,"&lt;&gt;")=0,"",IF(OR(SUMIFS(H$5:H$639,$A$5:$A$639,$A265,$C$5:$C$639,$C265-1,$D$5:$D$639,$D265)=0,H265*SUMIFS(H$5:H$639,$A$5:$A$639,$A265,$C$5:$C$639,$C265-1,$D$5:$D$639,$D265)&lt;0),"n.s.",ABS(H265)/ABS(SUMIFS(H$5:H$639,$A$5:$A$639,$A265,$C$5:$C$639,$C265-1,$D$5:$D$639,$D265))-1)))</f>
        <v/>
      </c>
      <c r="Q265" s="16">
        <f>IF(OR($A265="",I265="",$C265=""),"",IF(COUNTIFS($A$5:$A$639,$A265,$C$5:$C$639,$C265-1,$D$5:$D$639,$D265,I$5:I$639,"&lt;&gt;")=0,"",IF(OR(SUMIFS(I$5:I$639,$A$5:$A$639,$A265,$C$5:$C$639,$C265-1,$D$5:$D$639,$D265)=0,I265*SUMIFS(I$5:I$639,$A$5:$A$639,$A265,$C$5:$C$639,$C265-1,$D$5:$D$639,$D265)&lt;0),"n.s.",ABS(I265)/ABS(SUMIFS(I$5:I$639,$A$5:$A$639,$A265,$C$5:$C$639,$C265-1,$D$5:$D$639,$D265))-1)))</f>
        <v/>
      </c>
      <c r="R265" s="16">
        <f>IF(OR($A265="",J265="",$C265=""),"",IF(COUNTIFS($A$5:$A$639,$A265,$C$5:$C$639,$C265-1,$D$5:$D$639,$D265,J$5:J$639,"&lt;&gt;")=0,"",IF(OR(SUMIFS(J$5:J$639,$A$5:$A$639,$A265,$C$5:$C$639,$C265-1,$D$5:$D$639,$D265)=0,J265*SUMIFS(J$5:J$639,$A$5:$A$639,$A265,$C$5:$C$639,$C265-1,$D$5:$D$639,$D265)&lt;0),"n.s.",ABS(J265)/ABS(SUMIFS(J$5:J$639,$A$5:$A$639,$A265,$C$5:$C$639,$C265-1,$D$5:$D$639,$D265))-1)))</f>
        <v/>
      </c>
      <c r="S265" s="16">
        <f>IF(OR($A265="",K265="",$C265=""),"",IF(COUNTIFS($A$5:$A$639,$A265,$C$5:$C$639,$C265-1,$D$5:$D$639,$D265,K$5:K$639,"&lt;&gt;")=0,"",IF(OR(SUMIFS(K$5:K$639,$A$5:$A$639,$A265,$C$5:$C$639,$C265-1,$D$5:$D$639,$D265)=0,K265*SUMIFS(K$5:K$639,$A$5:$A$639,$A265,$C$5:$C$639,$C265-1,$D$5:$D$639,$D265)&lt;0),"n.s.",ABS(K265)/ABS(SUMIFS(K$5:K$639,$A$5:$A$639,$A265,$C$5:$C$639,$C265-1,$D$5:$D$639,$D265))-1)))</f>
        <v/>
      </c>
      <c r="T265" s="16">
        <f>IF(OR($A265="",L265="",$C265=""),"",IF(COUNTIFS($A$5:$A$639,$A265,$C$5:$C$639,$C265-1,$D$5:$D$639,$D265,L$5:L$639,"&lt;&gt;")=0,"",IF(OR(SUMIFS(L$5:L$639,$A$5:$A$639,$A265,$C$5:$C$639,$C265-1,$D$5:$D$639,$D265)=0,L265*SUMIFS(L$5:L$639,$A$5:$A$639,$A265,$C$5:$C$639,$C265-1,$D$5:$D$639,$D265)&lt;0),"n.s.",ABS(L265)/ABS(SUMIFS(L$5:L$639,$A$5:$A$639,$A265,$C$5:$C$639,$C265-1,$D$5:$D$639,$D265))-1)))</f>
        <v/>
      </c>
      <c r="U265" s="16">
        <f>IF(OR($A265="",M265="",$C265=""),"",IF(COUNTIFS($A$5:$A$639,$A265,$C$5:$C$639,$C265-1,$D$5:$D$639,$D265,M$5:M$639,"&lt;&gt;")=0,"",IF(OR(SUMIFS(M$5:M$639,$A$5:$A$639,$A265,$C$5:$C$639,$C265-1,$D$5:$D$639,$D265)=0,M265*SUMIFS(M$5:M$639,$A$5:$A$639,$A265,$C$5:$C$639,$C265-1,$D$5:$D$639,$D265)&lt;0),"n.s.",ABS(M265)/ABS(SUMIFS(M$5:M$639,$A$5:$A$639,$A265,$C$5:$C$639,$C265-1,$D$5:$D$639,$D265))-1)))</f>
        <v/>
      </c>
    </row>
    <row r="266">
      <c r="A266" s="9" t="inlineStr">
        <is>
          <t>PRSC</t>
        </is>
      </c>
      <c r="B266" s="10">
        <f>IF(A266="","",IFERROR(VLOOKUP(A266,Titres!$A$2:$B$400,2,FALSE),"Ticker inconnu"))</f>
        <v/>
      </c>
      <c r="C266" s="11" t="n">
        <v>2024</v>
      </c>
      <c r="D266" s="11" t="inlineStr">
        <is>
          <t>T1</t>
        </is>
      </c>
      <c r="E266" s="9" t="n"/>
      <c r="F266" s="12" t="n"/>
      <c r="G266" s="9" t="n"/>
      <c r="H266" s="13" t="n"/>
      <c r="I266" s="13" t="n"/>
      <c r="J266" s="13" t="n"/>
      <c r="K266" s="13" t="n"/>
      <c r="L266" s="13" t="n"/>
      <c r="M266" s="13" t="n"/>
      <c r="N266" s="14">
        <f>IF(A266="","",COUNT(H266:M266)/6)</f>
        <v/>
      </c>
      <c r="O266" s="15">
        <f>IF(COUNT(H266:M266)=0,"",IF(LEN(IF(COUNT(I266,J266)=2,IF(J266&gt;I266+1,"EBE &gt; VA ",""),"")&amp;IF(COUNT(H266,M266)=2,IF(ABS(M266)&gt;ABS(H266),"RN &gt; CA ",""),"")&amp;IF(COUNT(H266,K266)=2,IF(ABS(K266)&gt;ABS(H266),"RE &gt; CA ",""),""))=0,"OK",IF(COUNT(I266,J266)=2,IF(J266&gt;I266+1,"EBE &gt; VA ",""),"")&amp;IF(COUNT(H266,M266)=2,IF(ABS(M266)&gt;ABS(H266),"RN &gt; CA ",""),"")&amp;IF(COUNT(H266,K266)=2,IF(ABS(K266)&gt;ABS(H266),"RE &gt; CA ",""),"")))</f>
        <v/>
      </c>
      <c r="P266" s="16">
        <f>IF(OR($A266="",H266="",$C266=""),"",IF(COUNTIFS($A$5:$A$639,$A266,$C$5:$C$639,$C266-1,$D$5:$D$639,$D266,H$5:H$639,"&lt;&gt;")=0,"",IF(OR(SUMIFS(H$5:H$639,$A$5:$A$639,$A266,$C$5:$C$639,$C266-1,$D$5:$D$639,$D266)=0,H266*SUMIFS(H$5:H$639,$A$5:$A$639,$A266,$C$5:$C$639,$C266-1,$D$5:$D$639,$D266)&lt;0),"n.s.",ABS(H266)/ABS(SUMIFS(H$5:H$639,$A$5:$A$639,$A266,$C$5:$C$639,$C266-1,$D$5:$D$639,$D266))-1)))</f>
        <v/>
      </c>
      <c r="Q266" s="16">
        <f>IF(OR($A266="",I266="",$C266=""),"",IF(COUNTIFS($A$5:$A$639,$A266,$C$5:$C$639,$C266-1,$D$5:$D$639,$D266,I$5:I$639,"&lt;&gt;")=0,"",IF(OR(SUMIFS(I$5:I$639,$A$5:$A$639,$A266,$C$5:$C$639,$C266-1,$D$5:$D$639,$D266)=0,I266*SUMIFS(I$5:I$639,$A$5:$A$639,$A266,$C$5:$C$639,$C266-1,$D$5:$D$639,$D266)&lt;0),"n.s.",ABS(I266)/ABS(SUMIFS(I$5:I$639,$A$5:$A$639,$A266,$C$5:$C$639,$C266-1,$D$5:$D$639,$D266))-1)))</f>
        <v/>
      </c>
      <c r="R266" s="16">
        <f>IF(OR($A266="",J266="",$C266=""),"",IF(COUNTIFS($A$5:$A$639,$A266,$C$5:$C$639,$C266-1,$D$5:$D$639,$D266,J$5:J$639,"&lt;&gt;")=0,"",IF(OR(SUMIFS(J$5:J$639,$A$5:$A$639,$A266,$C$5:$C$639,$C266-1,$D$5:$D$639,$D266)=0,J266*SUMIFS(J$5:J$639,$A$5:$A$639,$A266,$C$5:$C$639,$C266-1,$D$5:$D$639,$D266)&lt;0),"n.s.",ABS(J266)/ABS(SUMIFS(J$5:J$639,$A$5:$A$639,$A266,$C$5:$C$639,$C266-1,$D$5:$D$639,$D266))-1)))</f>
        <v/>
      </c>
      <c r="S266" s="16">
        <f>IF(OR($A266="",K266="",$C266=""),"",IF(COUNTIFS($A$5:$A$639,$A266,$C$5:$C$639,$C266-1,$D$5:$D$639,$D266,K$5:K$639,"&lt;&gt;")=0,"",IF(OR(SUMIFS(K$5:K$639,$A$5:$A$639,$A266,$C$5:$C$639,$C266-1,$D$5:$D$639,$D266)=0,K266*SUMIFS(K$5:K$639,$A$5:$A$639,$A266,$C$5:$C$639,$C266-1,$D$5:$D$639,$D266)&lt;0),"n.s.",ABS(K266)/ABS(SUMIFS(K$5:K$639,$A$5:$A$639,$A266,$C$5:$C$639,$C266-1,$D$5:$D$639,$D266))-1)))</f>
        <v/>
      </c>
      <c r="T266" s="16">
        <f>IF(OR($A266="",L266="",$C266=""),"",IF(COUNTIFS($A$5:$A$639,$A266,$C$5:$C$639,$C266-1,$D$5:$D$639,$D266,L$5:L$639,"&lt;&gt;")=0,"",IF(OR(SUMIFS(L$5:L$639,$A$5:$A$639,$A266,$C$5:$C$639,$C266-1,$D$5:$D$639,$D266)=0,L266*SUMIFS(L$5:L$639,$A$5:$A$639,$A266,$C$5:$C$639,$C266-1,$D$5:$D$639,$D266)&lt;0),"n.s.",ABS(L266)/ABS(SUMIFS(L$5:L$639,$A$5:$A$639,$A266,$C$5:$C$639,$C266-1,$D$5:$D$639,$D266))-1)))</f>
        <v/>
      </c>
      <c r="U266" s="16">
        <f>IF(OR($A266="",M266="",$C266=""),"",IF(COUNTIFS($A$5:$A$639,$A266,$C$5:$C$639,$C266-1,$D$5:$D$639,$D266,M$5:M$639,"&lt;&gt;")=0,"",IF(OR(SUMIFS(M$5:M$639,$A$5:$A$639,$A266,$C$5:$C$639,$C266-1,$D$5:$D$639,$D266)=0,M266*SUMIFS(M$5:M$639,$A$5:$A$639,$A266,$C$5:$C$639,$C266-1,$D$5:$D$639,$D266)&lt;0),"n.s.",ABS(M266)/ABS(SUMIFS(M$5:M$639,$A$5:$A$639,$A266,$C$5:$C$639,$C266-1,$D$5:$D$639,$D266))-1)))</f>
        <v/>
      </c>
    </row>
    <row r="267">
      <c r="A267" s="9" t="inlineStr">
        <is>
          <t>PRSC</t>
        </is>
      </c>
      <c r="B267" s="10">
        <f>IF(A267="","",IFERROR(VLOOKUP(A267,Titres!$A$2:$B$400,2,FALSE),"Ticker inconnu"))</f>
        <v/>
      </c>
      <c r="C267" s="11" t="n">
        <v>2024</v>
      </c>
      <c r="D267" s="11" t="inlineStr">
        <is>
          <t>S1</t>
        </is>
      </c>
      <c r="E267" s="9" t="n"/>
      <c r="F267" s="12" t="n"/>
      <c r="G267" s="9" t="n"/>
      <c r="H267" s="13" t="n"/>
      <c r="I267" s="13" t="n"/>
      <c r="J267" s="13" t="n"/>
      <c r="K267" s="13" t="n"/>
      <c r="L267" s="13" t="n"/>
      <c r="M267" s="13" t="n"/>
      <c r="N267" s="14">
        <f>IF(A267="","",COUNT(H267:M267)/6)</f>
        <v/>
      </c>
      <c r="O267" s="15">
        <f>IF(COUNT(H267:M267)=0,"",IF(LEN(IF(COUNT(I267,J267)=2,IF(J267&gt;I267+1,"EBE &gt; VA ",""),"")&amp;IF(COUNT(H267,M267)=2,IF(ABS(M267)&gt;ABS(H267),"RN &gt; CA ",""),"")&amp;IF(COUNT(H267,K267)=2,IF(ABS(K267)&gt;ABS(H267),"RE &gt; CA ",""),""))=0,"OK",IF(COUNT(I267,J267)=2,IF(J267&gt;I267+1,"EBE &gt; VA ",""),"")&amp;IF(COUNT(H267,M267)=2,IF(ABS(M267)&gt;ABS(H267),"RN &gt; CA ",""),"")&amp;IF(COUNT(H267,K267)=2,IF(ABS(K267)&gt;ABS(H267),"RE &gt; CA ",""),"")))</f>
        <v/>
      </c>
      <c r="P267" s="16">
        <f>IF(OR($A267="",H267="",$C267=""),"",IF(COUNTIFS($A$5:$A$639,$A267,$C$5:$C$639,$C267-1,$D$5:$D$639,$D267,H$5:H$639,"&lt;&gt;")=0,"",IF(OR(SUMIFS(H$5:H$639,$A$5:$A$639,$A267,$C$5:$C$639,$C267-1,$D$5:$D$639,$D267)=0,H267*SUMIFS(H$5:H$639,$A$5:$A$639,$A267,$C$5:$C$639,$C267-1,$D$5:$D$639,$D267)&lt;0),"n.s.",ABS(H267)/ABS(SUMIFS(H$5:H$639,$A$5:$A$639,$A267,$C$5:$C$639,$C267-1,$D$5:$D$639,$D267))-1)))</f>
        <v/>
      </c>
      <c r="Q267" s="16">
        <f>IF(OR($A267="",I267="",$C267=""),"",IF(COUNTIFS($A$5:$A$639,$A267,$C$5:$C$639,$C267-1,$D$5:$D$639,$D267,I$5:I$639,"&lt;&gt;")=0,"",IF(OR(SUMIFS(I$5:I$639,$A$5:$A$639,$A267,$C$5:$C$639,$C267-1,$D$5:$D$639,$D267)=0,I267*SUMIFS(I$5:I$639,$A$5:$A$639,$A267,$C$5:$C$639,$C267-1,$D$5:$D$639,$D267)&lt;0),"n.s.",ABS(I267)/ABS(SUMIFS(I$5:I$639,$A$5:$A$639,$A267,$C$5:$C$639,$C267-1,$D$5:$D$639,$D267))-1)))</f>
        <v/>
      </c>
      <c r="R267" s="16">
        <f>IF(OR($A267="",J267="",$C267=""),"",IF(COUNTIFS($A$5:$A$639,$A267,$C$5:$C$639,$C267-1,$D$5:$D$639,$D267,J$5:J$639,"&lt;&gt;")=0,"",IF(OR(SUMIFS(J$5:J$639,$A$5:$A$639,$A267,$C$5:$C$639,$C267-1,$D$5:$D$639,$D267)=0,J267*SUMIFS(J$5:J$639,$A$5:$A$639,$A267,$C$5:$C$639,$C267-1,$D$5:$D$639,$D267)&lt;0),"n.s.",ABS(J267)/ABS(SUMIFS(J$5:J$639,$A$5:$A$639,$A267,$C$5:$C$639,$C267-1,$D$5:$D$639,$D267))-1)))</f>
        <v/>
      </c>
      <c r="S267" s="16">
        <f>IF(OR($A267="",K267="",$C267=""),"",IF(COUNTIFS($A$5:$A$639,$A267,$C$5:$C$639,$C267-1,$D$5:$D$639,$D267,K$5:K$639,"&lt;&gt;")=0,"",IF(OR(SUMIFS(K$5:K$639,$A$5:$A$639,$A267,$C$5:$C$639,$C267-1,$D$5:$D$639,$D267)=0,K267*SUMIFS(K$5:K$639,$A$5:$A$639,$A267,$C$5:$C$639,$C267-1,$D$5:$D$639,$D267)&lt;0),"n.s.",ABS(K267)/ABS(SUMIFS(K$5:K$639,$A$5:$A$639,$A267,$C$5:$C$639,$C267-1,$D$5:$D$639,$D267))-1)))</f>
        <v/>
      </c>
      <c r="T267" s="16">
        <f>IF(OR($A267="",L267="",$C267=""),"",IF(COUNTIFS($A$5:$A$639,$A267,$C$5:$C$639,$C267-1,$D$5:$D$639,$D267,L$5:L$639,"&lt;&gt;")=0,"",IF(OR(SUMIFS(L$5:L$639,$A$5:$A$639,$A267,$C$5:$C$639,$C267-1,$D$5:$D$639,$D267)=0,L267*SUMIFS(L$5:L$639,$A$5:$A$639,$A267,$C$5:$C$639,$C267-1,$D$5:$D$639,$D267)&lt;0),"n.s.",ABS(L267)/ABS(SUMIFS(L$5:L$639,$A$5:$A$639,$A267,$C$5:$C$639,$C267-1,$D$5:$D$639,$D267))-1)))</f>
        <v/>
      </c>
      <c r="U267" s="16">
        <f>IF(OR($A267="",M267="",$C267=""),"",IF(COUNTIFS($A$5:$A$639,$A267,$C$5:$C$639,$C267-1,$D$5:$D$639,$D267,M$5:M$639,"&lt;&gt;")=0,"",IF(OR(SUMIFS(M$5:M$639,$A$5:$A$639,$A267,$C$5:$C$639,$C267-1,$D$5:$D$639,$D267)=0,M267*SUMIFS(M$5:M$639,$A$5:$A$639,$A267,$C$5:$C$639,$C267-1,$D$5:$D$639,$D267)&lt;0),"n.s.",ABS(M267)/ABS(SUMIFS(M$5:M$639,$A$5:$A$639,$A267,$C$5:$C$639,$C267-1,$D$5:$D$639,$D267))-1)))</f>
        <v/>
      </c>
    </row>
    <row r="268">
      <c r="A268" s="9" t="inlineStr">
        <is>
          <t>PRSC</t>
        </is>
      </c>
      <c r="B268" s="10">
        <f>IF(A268="","",IFERROR(VLOOKUP(A268,Titres!$A$2:$B$400,2,FALSE),"Ticker inconnu"))</f>
        <v/>
      </c>
      <c r="C268" s="11" t="n">
        <v>2024</v>
      </c>
      <c r="D268" s="11" t="inlineStr">
        <is>
          <t>T3</t>
        </is>
      </c>
      <c r="E268" s="9" t="n"/>
      <c r="F268" s="12" t="n"/>
      <c r="G268" s="9" t="n"/>
      <c r="H268" s="13" t="n"/>
      <c r="I268" s="13" t="n"/>
      <c r="J268" s="13" t="n"/>
      <c r="K268" s="13" t="n"/>
      <c r="L268" s="13" t="n"/>
      <c r="M268" s="13" t="n"/>
      <c r="N268" s="14">
        <f>IF(A268="","",COUNT(H268:M268)/6)</f>
        <v/>
      </c>
      <c r="O268" s="15">
        <f>IF(COUNT(H268:M268)=0,"",IF(LEN(IF(COUNT(I268,J268)=2,IF(J268&gt;I268+1,"EBE &gt; VA ",""),"")&amp;IF(COUNT(H268,M268)=2,IF(ABS(M268)&gt;ABS(H268),"RN &gt; CA ",""),"")&amp;IF(COUNT(H268,K268)=2,IF(ABS(K268)&gt;ABS(H268),"RE &gt; CA ",""),""))=0,"OK",IF(COUNT(I268,J268)=2,IF(J268&gt;I268+1,"EBE &gt; VA ",""),"")&amp;IF(COUNT(H268,M268)=2,IF(ABS(M268)&gt;ABS(H268),"RN &gt; CA ",""),"")&amp;IF(COUNT(H268,K268)=2,IF(ABS(K268)&gt;ABS(H268),"RE &gt; CA ",""),"")))</f>
        <v/>
      </c>
      <c r="P268" s="16">
        <f>IF(OR($A268="",H268="",$C268=""),"",IF(COUNTIFS($A$5:$A$639,$A268,$C$5:$C$639,$C268-1,$D$5:$D$639,$D268,H$5:H$639,"&lt;&gt;")=0,"",IF(OR(SUMIFS(H$5:H$639,$A$5:$A$639,$A268,$C$5:$C$639,$C268-1,$D$5:$D$639,$D268)=0,H268*SUMIFS(H$5:H$639,$A$5:$A$639,$A268,$C$5:$C$639,$C268-1,$D$5:$D$639,$D268)&lt;0),"n.s.",ABS(H268)/ABS(SUMIFS(H$5:H$639,$A$5:$A$639,$A268,$C$5:$C$639,$C268-1,$D$5:$D$639,$D268))-1)))</f>
        <v/>
      </c>
      <c r="Q268" s="16">
        <f>IF(OR($A268="",I268="",$C268=""),"",IF(COUNTIFS($A$5:$A$639,$A268,$C$5:$C$639,$C268-1,$D$5:$D$639,$D268,I$5:I$639,"&lt;&gt;")=0,"",IF(OR(SUMIFS(I$5:I$639,$A$5:$A$639,$A268,$C$5:$C$639,$C268-1,$D$5:$D$639,$D268)=0,I268*SUMIFS(I$5:I$639,$A$5:$A$639,$A268,$C$5:$C$639,$C268-1,$D$5:$D$639,$D268)&lt;0),"n.s.",ABS(I268)/ABS(SUMIFS(I$5:I$639,$A$5:$A$639,$A268,$C$5:$C$639,$C268-1,$D$5:$D$639,$D268))-1)))</f>
        <v/>
      </c>
      <c r="R268" s="16">
        <f>IF(OR($A268="",J268="",$C268=""),"",IF(COUNTIFS($A$5:$A$639,$A268,$C$5:$C$639,$C268-1,$D$5:$D$639,$D268,J$5:J$639,"&lt;&gt;")=0,"",IF(OR(SUMIFS(J$5:J$639,$A$5:$A$639,$A268,$C$5:$C$639,$C268-1,$D$5:$D$639,$D268)=0,J268*SUMIFS(J$5:J$639,$A$5:$A$639,$A268,$C$5:$C$639,$C268-1,$D$5:$D$639,$D268)&lt;0),"n.s.",ABS(J268)/ABS(SUMIFS(J$5:J$639,$A$5:$A$639,$A268,$C$5:$C$639,$C268-1,$D$5:$D$639,$D268))-1)))</f>
        <v/>
      </c>
      <c r="S268" s="16">
        <f>IF(OR($A268="",K268="",$C268=""),"",IF(COUNTIFS($A$5:$A$639,$A268,$C$5:$C$639,$C268-1,$D$5:$D$639,$D268,K$5:K$639,"&lt;&gt;")=0,"",IF(OR(SUMIFS(K$5:K$639,$A$5:$A$639,$A268,$C$5:$C$639,$C268-1,$D$5:$D$639,$D268)=0,K268*SUMIFS(K$5:K$639,$A$5:$A$639,$A268,$C$5:$C$639,$C268-1,$D$5:$D$639,$D268)&lt;0),"n.s.",ABS(K268)/ABS(SUMIFS(K$5:K$639,$A$5:$A$639,$A268,$C$5:$C$639,$C268-1,$D$5:$D$639,$D268))-1)))</f>
        <v/>
      </c>
      <c r="T268" s="16">
        <f>IF(OR($A268="",L268="",$C268=""),"",IF(COUNTIFS($A$5:$A$639,$A268,$C$5:$C$639,$C268-1,$D$5:$D$639,$D268,L$5:L$639,"&lt;&gt;")=0,"",IF(OR(SUMIFS(L$5:L$639,$A$5:$A$639,$A268,$C$5:$C$639,$C268-1,$D$5:$D$639,$D268)=0,L268*SUMIFS(L$5:L$639,$A$5:$A$639,$A268,$C$5:$C$639,$C268-1,$D$5:$D$639,$D268)&lt;0),"n.s.",ABS(L268)/ABS(SUMIFS(L$5:L$639,$A$5:$A$639,$A268,$C$5:$C$639,$C268-1,$D$5:$D$639,$D268))-1)))</f>
        <v/>
      </c>
      <c r="U268" s="16">
        <f>IF(OR($A268="",M268="",$C268=""),"",IF(COUNTIFS($A$5:$A$639,$A268,$C$5:$C$639,$C268-1,$D$5:$D$639,$D268,M$5:M$639,"&lt;&gt;")=0,"",IF(OR(SUMIFS(M$5:M$639,$A$5:$A$639,$A268,$C$5:$C$639,$C268-1,$D$5:$D$639,$D268)=0,M268*SUMIFS(M$5:M$639,$A$5:$A$639,$A268,$C$5:$C$639,$C268-1,$D$5:$D$639,$D268)&lt;0),"n.s.",ABS(M268)/ABS(SUMIFS(M$5:M$639,$A$5:$A$639,$A268,$C$5:$C$639,$C268-1,$D$5:$D$639,$D268))-1)))</f>
        <v/>
      </c>
    </row>
    <row r="269">
      <c r="A269" s="9" t="inlineStr">
        <is>
          <t>PRSC</t>
        </is>
      </c>
      <c r="B269" s="10">
        <f>IF(A269="","",IFERROR(VLOOKUP(A269,Titres!$A$2:$B$400,2,FALSE),"Ticker inconnu"))</f>
        <v/>
      </c>
      <c r="C269" s="11" t="n">
        <v>2025</v>
      </c>
      <c r="D269" s="11" t="inlineStr">
        <is>
          <t>T1</t>
        </is>
      </c>
      <c r="E269" s="9" t="n"/>
      <c r="F269" s="12" t="n"/>
      <c r="G269" s="9" t="n"/>
      <c r="H269" s="13" t="n"/>
      <c r="I269" s="13" t="n"/>
      <c r="J269" s="13" t="n"/>
      <c r="K269" s="13" t="n"/>
      <c r="L269" s="13" t="n"/>
      <c r="M269" s="13" t="n"/>
      <c r="N269" s="14">
        <f>IF(A269="","",COUNT(H269:M269)/6)</f>
        <v/>
      </c>
      <c r="O269" s="15">
        <f>IF(COUNT(H269:M269)=0,"",IF(LEN(IF(COUNT(I269,J269)=2,IF(J269&gt;I269+1,"EBE &gt; VA ",""),"")&amp;IF(COUNT(H269,M269)=2,IF(ABS(M269)&gt;ABS(H269),"RN &gt; CA ",""),"")&amp;IF(COUNT(H269,K269)=2,IF(ABS(K269)&gt;ABS(H269),"RE &gt; CA ",""),""))=0,"OK",IF(COUNT(I269,J269)=2,IF(J269&gt;I269+1,"EBE &gt; VA ",""),"")&amp;IF(COUNT(H269,M269)=2,IF(ABS(M269)&gt;ABS(H269),"RN &gt; CA ",""),"")&amp;IF(COUNT(H269,K269)=2,IF(ABS(K269)&gt;ABS(H269),"RE &gt; CA ",""),"")))</f>
        <v/>
      </c>
      <c r="P269" s="16">
        <f>IF(OR($A269="",H269="",$C269=""),"",IF(COUNTIFS($A$5:$A$639,$A269,$C$5:$C$639,$C269-1,$D$5:$D$639,$D269,H$5:H$639,"&lt;&gt;")=0,"",IF(OR(SUMIFS(H$5:H$639,$A$5:$A$639,$A269,$C$5:$C$639,$C269-1,$D$5:$D$639,$D269)=0,H269*SUMIFS(H$5:H$639,$A$5:$A$639,$A269,$C$5:$C$639,$C269-1,$D$5:$D$639,$D269)&lt;0),"n.s.",ABS(H269)/ABS(SUMIFS(H$5:H$639,$A$5:$A$639,$A269,$C$5:$C$639,$C269-1,$D$5:$D$639,$D269))-1)))</f>
        <v/>
      </c>
      <c r="Q269" s="16">
        <f>IF(OR($A269="",I269="",$C269=""),"",IF(COUNTIFS($A$5:$A$639,$A269,$C$5:$C$639,$C269-1,$D$5:$D$639,$D269,I$5:I$639,"&lt;&gt;")=0,"",IF(OR(SUMIFS(I$5:I$639,$A$5:$A$639,$A269,$C$5:$C$639,$C269-1,$D$5:$D$639,$D269)=0,I269*SUMIFS(I$5:I$639,$A$5:$A$639,$A269,$C$5:$C$639,$C269-1,$D$5:$D$639,$D269)&lt;0),"n.s.",ABS(I269)/ABS(SUMIFS(I$5:I$639,$A$5:$A$639,$A269,$C$5:$C$639,$C269-1,$D$5:$D$639,$D269))-1)))</f>
        <v/>
      </c>
      <c r="R269" s="16">
        <f>IF(OR($A269="",J269="",$C269=""),"",IF(COUNTIFS($A$5:$A$639,$A269,$C$5:$C$639,$C269-1,$D$5:$D$639,$D269,J$5:J$639,"&lt;&gt;")=0,"",IF(OR(SUMIFS(J$5:J$639,$A$5:$A$639,$A269,$C$5:$C$639,$C269-1,$D$5:$D$639,$D269)=0,J269*SUMIFS(J$5:J$639,$A$5:$A$639,$A269,$C$5:$C$639,$C269-1,$D$5:$D$639,$D269)&lt;0),"n.s.",ABS(J269)/ABS(SUMIFS(J$5:J$639,$A$5:$A$639,$A269,$C$5:$C$639,$C269-1,$D$5:$D$639,$D269))-1)))</f>
        <v/>
      </c>
      <c r="S269" s="16">
        <f>IF(OR($A269="",K269="",$C269=""),"",IF(COUNTIFS($A$5:$A$639,$A269,$C$5:$C$639,$C269-1,$D$5:$D$639,$D269,K$5:K$639,"&lt;&gt;")=0,"",IF(OR(SUMIFS(K$5:K$639,$A$5:$A$639,$A269,$C$5:$C$639,$C269-1,$D$5:$D$639,$D269)=0,K269*SUMIFS(K$5:K$639,$A$5:$A$639,$A269,$C$5:$C$639,$C269-1,$D$5:$D$639,$D269)&lt;0),"n.s.",ABS(K269)/ABS(SUMIFS(K$5:K$639,$A$5:$A$639,$A269,$C$5:$C$639,$C269-1,$D$5:$D$639,$D269))-1)))</f>
        <v/>
      </c>
      <c r="T269" s="16">
        <f>IF(OR($A269="",L269="",$C269=""),"",IF(COUNTIFS($A$5:$A$639,$A269,$C$5:$C$639,$C269-1,$D$5:$D$639,$D269,L$5:L$639,"&lt;&gt;")=0,"",IF(OR(SUMIFS(L$5:L$639,$A$5:$A$639,$A269,$C$5:$C$639,$C269-1,$D$5:$D$639,$D269)=0,L269*SUMIFS(L$5:L$639,$A$5:$A$639,$A269,$C$5:$C$639,$C269-1,$D$5:$D$639,$D269)&lt;0),"n.s.",ABS(L269)/ABS(SUMIFS(L$5:L$639,$A$5:$A$639,$A269,$C$5:$C$639,$C269-1,$D$5:$D$639,$D269))-1)))</f>
        <v/>
      </c>
      <c r="U269" s="16">
        <f>IF(OR($A269="",M269="",$C269=""),"",IF(COUNTIFS($A$5:$A$639,$A269,$C$5:$C$639,$C269-1,$D$5:$D$639,$D269,M$5:M$639,"&lt;&gt;")=0,"",IF(OR(SUMIFS(M$5:M$639,$A$5:$A$639,$A269,$C$5:$C$639,$C269-1,$D$5:$D$639,$D269)=0,M269*SUMIFS(M$5:M$639,$A$5:$A$639,$A269,$C$5:$C$639,$C269-1,$D$5:$D$639,$D269)&lt;0),"n.s.",ABS(M269)/ABS(SUMIFS(M$5:M$639,$A$5:$A$639,$A269,$C$5:$C$639,$C269-1,$D$5:$D$639,$D269))-1)))</f>
        <v/>
      </c>
    </row>
    <row r="270">
      <c r="A270" s="9" t="inlineStr">
        <is>
          <t>PRSC</t>
        </is>
      </c>
      <c r="B270" s="10">
        <f>IF(A270="","",IFERROR(VLOOKUP(A270,Titres!$A$2:$B$400,2,FALSE),"Ticker inconnu"))</f>
        <v/>
      </c>
      <c r="C270" s="11" t="n">
        <v>2025</v>
      </c>
      <c r="D270" s="11" t="inlineStr">
        <is>
          <t>S1</t>
        </is>
      </c>
      <c r="E270" s="9" t="n"/>
      <c r="F270" s="12" t="n"/>
      <c r="G270" s="9" t="n"/>
      <c r="H270" s="13" t="n"/>
      <c r="I270" s="13" t="n"/>
      <c r="J270" s="13" t="n"/>
      <c r="K270" s="13" t="n"/>
      <c r="L270" s="13" t="n"/>
      <c r="M270" s="13" t="n"/>
      <c r="N270" s="14">
        <f>IF(A270="","",COUNT(H270:M270)/6)</f>
        <v/>
      </c>
      <c r="O270" s="15">
        <f>IF(COUNT(H270:M270)=0,"",IF(LEN(IF(COUNT(I270,J270)=2,IF(J270&gt;I270+1,"EBE &gt; VA ",""),"")&amp;IF(COUNT(H270,M270)=2,IF(ABS(M270)&gt;ABS(H270),"RN &gt; CA ",""),"")&amp;IF(COUNT(H270,K270)=2,IF(ABS(K270)&gt;ABS(H270),"RE &gt; CA ",""),""))=0,"OK",IF(COUNT(I270,J270)=2,IF(J270&gt;I270+1,"EBE &gt; VA ",""),"")&amp;IF(COUNT(H270,M270)=2,IF(ABS(M270)&gt;ABS(H270),"RN &gt; CA ",""),"")&amp;IF(COUNT(H270,K270)=2,IF(ABS(K270)&gt;ABS(H270),"RE &gt; CA ",""),"")))</f>
        <v/>
      </c>
      <c r="P270" s="16">
        <f>IF(OR($A270="",H270="",$C270=""),"",IF(COUNTIFS($A$5:$A$639,$A270,$C$5:$C$639,$C270-1,$D$5:$D$639,$D270,H$5:H$639,"&lt;&gt;")=0,"",IF(OR(SUMIFS(H$5:H$639,$A$5:$A$639,$A270,$C$5:$C$639,$C270-1,$D$5:$D$639,$D270)=0,H270*SUMIFS(H$5:H$639,$A$5:$A$639,$A270,$C$5:$C$639,$C270-1,$D$5:$D$639,$D270)&lt;0),"n.s.",ABS(H270)/ABS(SUMIFS(H$5:H$639,$A$5:$A$639,$A270,$C$5:$C$639,$C270-1,$D$5:$D$639,$D270))-1)))</f>
        <v/>
      </c>
      <c r="Q270" s="16">
        <f>IF(OR($A270="",I270="",$C270=""),"",IF(COUNTIFS($A$5:$A$639,$A270,$C$5:$C$639,$C270-1,$D$5:$D$639,$D270,I$5:I$639,"&lt;&gt;")=0,"",IF(OR(SUMIFS(I$5:I$639,$A$5:$A$639,$A270,$C$5:$C$639,$C270-1,$D$5:$D$639,$D270)=0,I270*SUMIFS(I$5:I$639,$A$5:$A$639,$A270,$C$5:$C$639,$C270-1,$D$5:$D$639,$D270)&lt;0),"n.s.",ABS(I270)/ABS(SUMIFS(I$5:I$639,$A$5:$A$639,$A270,$C$5:$C$639,$C270-1,$D$5:$D$639,$D270))-1)))</f>
        <v/>
      </c>
      <c r="R270" s="16">
        <f>IF(OR($A270="",J270="",$C270=""),"",IF(COUNTIFS($A$5:$A$639,$A270,$C$5:$C$639,$C270-1,$D$5:$D$639,$D270,J$5:J$639,"&lt;&gt;")=0,"",IF(OR(SUMIFS(J$5:J$639,$A$5:$A$639,$A270,$C$5:$C$639,$C270-1,$D$5:$D$639,$D270)=0,J270*SUMIFS(J$5:J$639,$A$5:$A$639,$A270,$C$5:$C$639,$C270-1,$D$5:$D$639,$D270)&lt;0),"n.s.",ABS(J270)/ABS(SUMIFS(J$5:J$639,$A$5:$A$639,$A270,$C$5:$C$639,$C270-1,$D$5:$D$639,$D270))-1)))</f>
        <v/>
      </c>
      <c r="S270" s="16">
        <f>IF(OR($A270="",K270="",$C270=""),"",IF(COUNTIFS($A$5:$A$639,$A270,$C$5:$C$639,$C270-1,$D$5:$D$639,$D270,K$5:K$639,"&lt;&gt;")=0,"",IF(OR(SUMIFS(K$5:K$639,$A$5:$A$639,$A270,$C$5:$C$639,$C270-1,$D$5:$D$639,$D270)=0,K270*SUMIFS(K$5:K$639,$A$5:$A$639,$A270,$C$5:$C$639,$C270-1,$D$5:$D$639,$D270)&lt;0),"n.s.",ABS(K270)/ABS(SUMIFS(K$5:K$639,$A$5:$A$639,$A270,$C$5:$C$639,$C270-1,$D$5:$D$639,$D270))-1)))</f>
        <v/>
      </c>
      <c r="T270" s="16">
        <f>IF(OR($A270="",L270="",$C270=""),"",IF(COUNTIFS($A$5:$A$639,$A270,$C$5:$C$639,$C270-1,$D$5:$D$639,$D270,L$5:L$639,"&lt;&gt;")=0,"",IF(OR(SUMIFS(L$5:L$639,$A$5:$A$639,$A270,$C$5:$C$639,$C270-1,$D$5:$D$639,$D270)=0,L270*SUMIFS(L$5:L$639,$A$5:$A$639,$A270,$C$5:$C$639,$C270-1,$D$5:$D$639,$D270)&lt;0),"n.s.",ABS(L270)/ABS(SUMIFS(L$5:L$639,$A$5:$A$639,$A270,$C$5:$C$639,$C270-1,$D$5:$D$639,$D270))-1)))</f>
        <v/>
      </c>
      <c r="U270" s="16">
        <f>IF(OR($A270="",M270="",$C270=""),"",IF(COUNTIFS($A$5:$A$639,$A270,$C$5:$C$639,$C270-1,$D$5:$D$639,$D270,M$5:M$639,"&lt;&gt;")=0,"",IF(OR(SUMIFS(M$5:M$639,$A$5:$A$639,$A270,$C$5:$C$639,$C270-1,$D$5:$D$639,$D270)=0,M270*SUMIFS(M$5:M$639,$A$5:$A$639,$A270,$C$5:$C$639,$C270-1,$D$5:$D$639,$D270)&lt;0),"n.s.",ABS(M270)/ABS(SUMIFS(M$5:M$639,$A$5:$A$639,$A270,$C$5:$C$639,$C270-1,$D$5:$D$639,$D270))-1)))</f>
        <v/>
      </c>
    </row>
    <row r="271">
      <c r="A271" s="9" t="inlineStr">
        <is>
          <t>PRSC</t>
        </is>
      </c>
      <c r="B271" s="10">
        <f>IF(A271="","",IFERROR(VLOOKUP(A271,Titres!$A$2:$B$400,2,FALSE),"Ticker inconnu"))</f>
        <v/>
      </c>
      <c r="C271" s="11" t="n">
        <v>2025</v>
      </c>
      <c r="D271" s="11" t="inlineStr">
        <is>
          <t>T3</t>
        </is>
      </c>
      <c r="E271" s="9" t="n"/>
      <c r="F271" s="12" t="n"/>
      <c r="G271" s="9" t="n"/>
      <c r="H271" s="13" t="n"/>
      <c r="I271" s="13" t="n"/>
      <c r="J271" s="13" t="n"/>
      <c r="K271" s="13" t="n"/>
      <c r="L271" s="13" t="n"/>
      <c r="M271" s="13" t="n"/>
      <c r="N271" s="14">
        <f>IF(A271="","",COUNT(H271:M271)/6)</f>
        <v/>
      </c>
      <c r="O271" s="15">
        <f>IF(COUNT(H271:M271)=0,"",IF(LEN(IF(COUNT(I271,J271)=2,IF(J271&gt;I271+1,"EBE &gt; VA ",""),"")&amp;IF(COUNT(H271,M271)=2,IF(ABS(M271)&gt;ABS(H271),"RN &gt; CA ",""),"")&amp;IF(COUNT(H271,K271)=2,IF(ABS(K271)&gt;ABS(H271),"RE &gt; CA ",""),""))=0,"OK",IF(COUNT(I271,J271)=2,IF(J271&gt;I271+1,"EBE &gt; VA ",""),"")&amp;IF(COUNT(H271,M271)=2,IF(ABS(M271)&gt;ABS(H271),"RN &gt; CA ",""),"")&amp;IF(COUNT(H271,K271)=2,IF(ABS(K271)&gt;ABS(H271),"RE &gt; CA ",""),"")))</f>
        <v/>
      </c>
      <c r="P271" s="16">
        <f>IF(OR($A271="",H271="",$C271=""),"",IF(COUNTIFS($A$5:$A$639,$A271,$C$5:$C$639,$C271-1,$D$5:$D$639,$D271,H$5:H$639,"&lt;&gt;")=0,"",IF(OR(SUMIFS(H$5:H$639,$A$5:$A$639,$A271,$C$5:$C$639,$C271-1,$D$5:$D$639,$D271)=0,H271*SUMIFS(H$5:H$639,$A$5:$A$639,$A271,$C$5:$C$639,$C271-1,$D$5:$D$639,$D271)&lt;0),"n.s.",ABS(H271)/ABS(SUMIFS(H$5:H$639,$A$5:$A$639,$A271,$C$5:$C$639,$C271-1,$D$5:$D$639,$D271))-1)))</f>
        <v/>
      </c>
      <c r="Q271" s="16">
        <f>IF(OR($A271="",I271="",$C271=""),"",IF(COUNTIFS($A$5:$A$639,$A271,$C$5:$C$639,$C271-1,$D$5:$D$639,$D271,I$5:I$639,"&lt;&gt;")=0,"",IF(OR(SUMIFS(I$5:I$639,$A$5:$A$639,$A271,$C$5:$C$639,$C271-1,$D$5:$D$639,$D271)=0,I271*SUMIFS(I$5:I$639,$A$5:$A$639,$A271,$C$5:$C$639,$C271-1,$D$5:$D$639,$D271)&lt;0),"n.s.",ABS(I271)/ABS(SUMIFS(I$5:I$639,$A$5:$A$639,$A271,$C$5:$C$639,$C271-1,$D$5:$D$639,$D271))-1)))</f>
        <v/>
      </c>
      <c r="R271" s="16">
        <f>IF(OR($A271="",J271="",$C271=""),"",IF(COUNTIFS($A$5:$A$639,$A271,$C$5:$C$639,$C271-1,$D$5:$D$639,$D271,J$5:J$639,"&lt;&gt;")=0,"",IF(OR(SUMIFS(J$5:J$639,$A$5:$A$639,$A271,$C$5:$C$639,$C271-1,$D$5:$D$639,$D271)=0,J271*SUMIFS(J$5:J$639,$A$5:$A$639,$A271,$C$5:$C$639,$C271-1,$D$5:$D$639,$D271)&lt;0),"n.s.",ABS(J271)/ABS(SUMIFS(J$5:J$639,$A$5:$A$639,$A271,$C$5:$C$639,$C271-1,$D$5:$D$639,$D271))-1)))</f>
        <v/>
      </c>
      <c r="S271" s="16">
        <f>IF(OR($A271="",K271="",$C271=""),"",IF(COUNTIFS($A$5:$A$639,$A271,$C$5:$C$639,$C271-1,$D$5:$D$639,$D271,K$5:K$639,"&lt;&gt;")=0,"",IF(OR(SUMIFS(K$5:K$639,$A$5:$A$639,$A271,$C$5:$C$639,$C271-1,$D$5:$D$639,$D271)=0,K271*SUMIFS(K$5:K$639,$A$5:$A$639,$A271,$C$5:$C$639,$C271-1,$D$5:$D$639,$D271)&lt;0),"n.s.",ABS(K271)/ABS(SUMIFS(K$5:K$639,$A$5:$A$639,$A271,$C$5:$C$639,$C271-1,$D$5:$D$639,$D271))-1)))</f>
        <v/>
      </c>
      <c r="T271" s="16">
        <f>IF(OR($A271="",L271="",$C271=""),"",IF(COUNTIFS($A$5:$A$639,$A271,$C$5:$C$639,$C271-1,$D$5:$D$639,$D271,L$5:L$639,"&lt;&gt;")=0,"",IF(OR(SUMIFS(L$5:L$639,$A$5:$A$639,$A271,$C$5:$C$639,$C271-1,$D$5:$D$639,$D271)=0,L271*SUMIFS(L$5:L$639,$A$5:$A$639,$A271,$C$5:$C$639,$C271-1,$D$5:$D$639,$D271)&lt;0),"n.s.",ABS(L271)/ABS(SUMIFS(L$5:L$639,$A$5:$A$639,$A271,$C$5:$C$639,$C271-1,$D$5:$D$639,$D271))-1)))</f>
        <v/>
      </c>
      <c r="U271" s="16">
        <f>IF(OR($A271="",M271="",$C271=""),"",IF(COUNTIFS($A$5:$A$639,$A271,$C$5:$C$639,$C271-1,$D$5:$D$639,$D271,M$5:M$639,"&lt;&gt;")=0,"",IF(OR(SUMIFS(M$5:M$639,$A$5:$A$639,$A271,$C$5:$C$639,$C271-1,$D$5:$D$639,$D271)=0,M271*SUMIFS(M$5:M$639,$A$5:$A$639,$A271,$C$5:$C$639,$C271-1,$D$5:$D$639,$D271)&lt;0),"n.s.",ABS(M271)/ABS(SUMIFS(M$5:M$639,$A$5:$A$639,$A271,$C$5:$C$639,$C271-1,$D$5:$D$639,$D271))-1)))</f>
        <v/>
      </c>
    </row>
    <row r="272">
      <c r="A272" s="9" t="inlineStr">
        <is>
          <t>PRSC</t>
        </is>
      </c>
      <c r="B272" s="10">
        <f>IF(A272="","",IFERROR(VLOOKUP(A272,Titres!$A$2:$B$400,2,FALSE),"Ticker inconnu"))</f>
        <v/>
      </c>
      <c r="C272" s="11" t="n">
        <v>2026</v>
      </c>
      <c r="D272" s="11" t="inlineStr">
        <is>
          <t>T1</t>
        </is>
      </c>
      <c r="E272" s="9" t="n"/>
      <c r="F272" s="12" t="n"/>
      <c r="G272" s="9" t="n"/>
      <c r="H272" s="13" t="n"/>
      <c r="I272" s="13" t="n"/>
      <c r="J272" s="13" t="n"/>
      <c r="K272" s="13" t="n"/>
      <c r="L272" s="13" t="n"/>
      <c r="M272" s="13" t="n"/>
      <c r="N272" s="14">
        <f>IF(A272="","",COUNT(H272:M272)/6)</f>
        <v/>
      </c>
      <c r="O272" s="15">
        <f>IF(COUNT(H272:M272)=0,"",IF(LEN(IF(COUNT(I272,J272)=2,IF(J272&gt;I272+1,"EBE &gt; VA ",""),"")&amp;IF(COUNT(H272,M272)=2,IF(ABS(M272)&gt;ABS(H272),"RN &gt; CA ",""),"")&amp;IF(COUNT(H272,K272)=2,IF(ABS(K272)&gt;ABS(H272),"RE &gt; CA ",""),""))=0,"OK",IF(COUNT(I272,J272)=2,IF(J272&gt;I272+1,"EBE &gt; VA ",""),"")&amp;IF(COUNT(H272,M272)=2,IF(ABS(M272)&gt;ABS(H272),"RN &gt; CA ",""),"")&amp;IF(COUNT(H272,K272)=2,IF(ABS(K272)&gt;ABS(H272),"RE &gt; CA ",""),"")))</f>
        <v/>
      </c>
      <c r="P272" s="16">
        <f>IF(OR($A272="",H272="",$C272=""),"",IF(COUNTIFS($A$5:$A$639,$A272,$C$5:$C$639,$C272-1,$D$5:$D$639,$D272,H$5:H$639,"&lt;&gt;")=0,"",IF(OR(SUMIFS(H$5:H$639,$A$5:$A$639,$A272,$C$5:$C$639,$C272-1,$D$5:$D$639,$D272)=0,H272*SUMIFS(H$5:H$639,$A$5:$A$639,$A272,$C$5:$C$639,$C272-1,$D$5:$D$639,$D272)&lt;0),"n.s.",ABS(H272)/ABS(SUMIFS(H$5:H$639,$A$5:$A$639,$A272,$C$5:$C$639,$C272-1,$D$5:$D$639,$D272))-1)))</f>
        <v/>
      </c>
      <c r="Q272" s="16">
        <f>IF(OR($A272="",I272="",$C272=""),"",IF(COUNTIFS($A$5:$A$639,$A272,$C$5:$C$639,$C272-1,$D$5:$D$639,$D272,I$5:I$639,"&lt;&gt;")=0,"",IF(OR(SUMIFS(I$5:I$639,$A$5:$A$639,$A272,$C$5:$C$639,$C272-1,$D$5:$D$639,$D272)=0,I272*SUMIFS(I$5:I$639,$A$5:$A$639,$A272,$C$5:$C$639,$C272-1,$D$5:$D$639,$D272)&lt;0),"n.s.",ABS(I272)/ABS(SUMIFS(I$5:I$639,$A$5:$A$639,$A272,$C$5:$C$639,$C272-1,$D$5:$D$639,$D272))-1)))</f>
        <v/>
      </c>
      <c r="R272" s="16">
        <f>IF(OR($A272="",J272="",$C272=""),"",IF(COUNTIFS($A$5:$A$639,$A272,$C$5:$C$639,$C272-1,$D$5:$D$639,$D272,J$5:J$639,"&lt;&gt;")=0,"",IF(OR(SUMIFS(J$5:J$639,$A$5:$A$639,$A272,$C$5:$C$639,$C272-1,$D$5:$D$639,$D272)=0,J272*SUMIFS(J$5:J$639,$A$5:$A$639,$A272,$C$5:$C$639,$C272-1,$D$5:$D$639,$D272)&lt;0),"n.s.",ABS(J272)/ABS(SUMIFS(J$5:J$639,$A$5:$A$639,$A272,$C$5:$C$639,$C272-1,$D$5:$D$639,$D272))-1)))</f>
        <v/>
      </c>
      <c r="S272" s="16">
        <f>IF(OR($A272="",K272="",$C272=""),"",IF(COUNTIFS($A$5:$A$639,$A272,$C$5:$C$639,$C272-1,$D$5:$D$639,$D272,K$5:K$639,"&lt;&gt;")=0,"",IF(OR(SUMIFS(K$5:K$639,$A$5:$A$639,$A272,$C$5:$C$639,$C272-1,$D$5:$D$639,$D272)=0,K272*SUMIFS(K$5:K$639,$A$5:$A$639,$A272,$C$5:$C$639,$C272-1,$D$5:$D$639,$D272)&lt;0),"n.s.",ABS(K272)/ABS(SUMIFS(K$5:K$639,$A$5:$A$639,$A272,$C$5:$C$639,$C272-1,$D$5:$D$639,$D272))-1)))</f>
        <v/>
      </c>
      <c r="T272" s="16">
        <f>IF(OR($A272="",L272="",$C272=""),"",IF(COUNTIFS($A$5:$A$639,$A272,$C$5:$C$639,$C272-1,$D$5:$D$639,$D272,L$5:L$639,"&lt;&gt;")=0,"",IF(OR(SUMIFS(L$5:L$639,$A$5:$A$639,$A272,$C$5:$C$639,$C272-1,$D$5:$D$639,$D272)=0,L272*SUMIFS(L$5:L$639,$A$5:$A$639,$A272,$C$5:$C$639,$C272-1,$D$5:$D$639,$D272)&lt;0),"n.s.",ABS(L272)/ABS(SUMIFS(L$5:L$639,$A$5:$A$639,$A272,$C$5:$C$639,$C272-1,$D$5:$D$639,$D272))-1)))</f>
        <v/>
      </c>
      <c r="U272" s="16">
        <f>IF(OR($A272="",M272="",$C272=""),"",IF(COUNTIFS($A$5:$A$639,$A272,$C$5:$C$639,$C272-1,$D$5:$D$639,$D272,M$5:M$639,"&lt;&gt;")=0,"",IF(OR(SUMIFS(M$5:M$639,$A$5:$A$639,$A272,$C$5:$C$639,$C272-1,$D$5:$D$639,$D272)=0,M272*SUMIFS(M$5:M$639,$A$5:$A$639,$A272,$C$5:$C$639,$C272-1,$D$5:$D$639,$D272)&lt;0),"n.s.",ABS(M272)/ABS(SUMIFS(M$5:M$639,$A$5:$A$639,$A272,$C$5:$C$639,$C272-1,$D$5:$D$639,$D272))-1)))</f>
        <v/>
      </c>
    </row>
    <row r="273">
      <c r="A273" s="9" t="inlineStr">
        <is>
          <t>PRSC</t>
        </is>
      </c>
      <c r="B273" s="10">
        <f>IF(A273="","",IFERROR(VLOOKUP(A273,Titres!$A$2:$B$400,2,FALSE),"Ticker inconnu"))</f>
        <v/>
      </c>
      <c r="C273" s="11" t="n">
        <v>2026</v>
      </c>
      <c r="D273" s="11" t="inlineStr">
        <is>
          <t>S1</t>
        </is>
      </c>
      <c r="E273" s="9" t="n"/>
      <c r="F273" s="12" t="n"/>
      <c r="G273" s="9" t="n"/>
      <c r="H273" s="13" t="n"/>
      <c r="I273" s="13" t="n"/>
      <c r="J273" s="13" t="n"/>
      <c r="K273" s="13" t="n"/>
      <c r="L273" s="13" t="n"/>
      <c r="M273" s="13" t="n"/>
      <c r="N273" s="14">
        <f>IF(A273="","",COUNT(H273:M273)/6)</f>
        <v/>
      </c>
      <c r="O273" s="15">
        <f>IF(COUNT(H273:M273)=0,"",IF(LEN(IF(COUNT(I273,J273)=2,IF(J273&gt;I273+1,"EBE &gt; VA ",""),"")&amp;IF(COUNT(H273,M273)=2,IF(ABS(M273)&gt;ABS(H273),"RN &gt; CA ",""),"")&amp;IF(COUNT(H273,K273)=2,IF(ABS(K273)&gt;ABS(H273),"RE &gt; CA ",""),""))=0,"OK",IF(COUNT(I273,J273)=2,IF(J273&gt;I273+1,"EBE &gt; VA ",""),"")&amp;IF(COUNT(H273,M273)=2,IF(ABS(M273)&gt;ABS(H273),"RN &gt; CA ",""),"")&amp;IF(COUNT(H273,K273)=2,IF(ABS(K273)&gt;ABS(H273),"RE &gt; CA ",""),"")))</f>
        <v/>
      </c>
      <c r="P273" s="16">
        <f>IF(OR($A273="",H273="",$C273=""),"",IF(COUNTIFS($A$5:$A$639,$A273,$C$5:$C$639,$C273-1,$D$5:$D$639,$D273,H$5:H$639,"&lt;&gt;")=0,"",IF(OR(SUMIFS(H$5:H$639,$A$5:$A$639,$A273,$C$5:$C$639,$C273-1,$D$5:$D$639,$D273)=0,H273*SUMIFS(H$5:H$639,$A$5:$A$639,$A273,$C$5:$C$639,$C273-1,$D$5:$D$639,$D273)&lt;0),"n.s.",ABS(H273)/ABS(SUMIFS(H$5:H$639,$A$5:$A$639,$A273,$C$5:$C$639,$C273-1,$D$5:$D$639,$D273))-1)))</f>
        <v/>
      </c>
      <c r="Q273" s="16">
        <f>IF(OR($A273="",I273="",$C273=""),"",IF(COUNTIFS($A$5:$A$639,$A273,$C$5:$C$639,$C273-1,$D$5:$D$639,$D273,I$5:I$639,"&lt;&gt;")=0,"",IF(OR(SUMIFS(I$5:I$639,$A$5:$A$639,$A273,$C$5:$C$639,$C273-1,$D$5:$D$639,$D273)=0,I273*SUMIFS(I$5:I$639,$A$5:$A$639,$A273,$C$5:$C$639,$C273-1,$D$5:$D$639,$D273)&lt;0),"n.s.",ABS(I273)/ABS(SUMIFS(I$5:I$639,$A$5:$A$639,$A273,$C$5:$C$639,$C273-1,$D$5:$D$639,$D273))-1)))</f>
        <v/>
      </c>
      <c r="R273" s="16">
        <f>IF(OR($A273="",J273="",$C273=""),"",IF(COUNTIFS($A$5:$A$639,$A273,$C$5:$C$639,$C273-1,$D$5:$D$639,$D273,J$5:J$639,"&lt;&gt;")=0,"",IF(OR(SUMIFS(J$5:J$639,$A$5:$A$639,$A273,$C$5:$C$639,$C273-1,$D$5:$D$639,$D273)=0,J273*SUMIFS(J$5:J$639,$A$5:$A$639,$A273,$C$5:$C$639,$C273-1,$D$5:$D$639,$D273)&lt;0),"n.s.",ABS(J273)/ABS(SUMIFS(J$5:J$639,$A$5:$A$639,$A273,$C$5:$C$639,$C273-1,$D$5:$D$639,$D273))-1)))</f>
        <v/>
      </c>
      <c r="S273" s="16">
        <f>IF(OR($A273="",K273="",$C273=""),"",IF(COUNTIFS($A$5:$A$639,$A273,$C$5:$C$639,$C273-1,$D$5:$D$639,$D273,K$5:K$639,"&lt;&gt;")=0,"",IF(OR(SUMIFS(K$5:K$639,$A$5:$A$639,$A273,$C$5:$C$639,$C273-1,$D$5:$D$639,$D273)=0,K273*SUMIFS(K$5:K$639,$A$5:$A$639,$A273,$C$5:$C$639,$C273-1,$D$5:$D$639,$D273)&lt;0),"n.s.",ABS(K273)/ABS(SUMIFS(K$5:K$639,$A$5:$A$639,$A273,$C$5:$C$639,$C273-1,$D$5:$D$639,$D273))-1)))</f>
        <v/>
      </c>
      <c r="T273" s="16">
        <f>IF(OR($A273="",L273="",$C273=""),"",IF(COUNTIFS($A$5:$A$639,$A273,$C$5:$C$639,$C273-1,$D$5:$D$639,$D273,L$5:L$639,"&lt;&gt;")=0,"",IF(OR(SUMIFS(L$5:L$639,$A$5:$A$639,$A273,$C$5:$C$639,$C273-1,$D$5:$D$639,$D273)=0,L273*SUMIFS(L$5:L$639,$A$5:$A$639,$A273,$C$5:$C$639,$C273-1,$D$5:$D$639,$D273)&lt;0),"n.s.",ABS(L273)/ABS(SUMIFS(L$5:L$639,$A$5:$A$639,$A273,$C$5:$C$639,$C273-1,$D$5:$D$639,$D273))-1)))</f>
        <v/>
      </c>
      <c r="U273" s="16">
        <f>IF(OR($A273="",M273="",$C273=""),"",IF(COUNTIFS($A$5:$A$639,$A273,$C$5:$C$639,$C273-1,$D$5:$D$639,$D273,M$5:M$639,"&lt;&gt;")=0,"",IF(OR(SUMIFS(M$5:M$639,$A$5:$A$639,$A273,$C$5:$C$639,$C273-1,$D$5:$D$639,$D273)=0,M273*SUMIFS(M$5:M$639,$A$5:$A$639,$A273,$C$5:$C$639,$C273-1,$D$5:$D$639,$D273)&lt;0),"n.s.",ABS(M273)/ABS(SUMIFS(M$5:M$639,$A$5:$A$639,$A273,$C$5:$C$639,$C273-1,$D$5:$D$639,$D273))-1)))</f>
        <v/>
      </c>
    </row>
    <row r="274">
      <c r="A274" s="9" t="inlineStr">
        <is>
          <t>PRSC</t>
        </is>
      </c>
      <c r="B274" s="10">
        <f>IF(A274="","",IFERROR(VLOOKUP(A274,Titres!$A$2:$B$400,2,FALSE),"Ticker inconnu"))</f>
        <v/>
      </c>
      <c r="C274" s="11" t="n">
        <v>2026</v>
      </c>
      <c r="D274" s="11" t="inlineStr">
        <is>
          <t>T3</t>
        </is>
      </c>
      <c r="E274" s="9" t="n"/>
      <c r="F274" s="12" t="n"/>
      <c r="G274" s="9" t="n"/>
      <c r="H274" s="13" t="n"/>
      <c r="I274" s="13" t="n"/>
      <c r="J274" s="13" t="n"/>
      <c r="K274" s="13" t="n"/>
      <c r="L274" s="13" t="n"/>
      <c r="M274" s="13" t="n"/>
      <c r="N274" s="14">
        <f>IF(A274="","",COUNT(H274:M274)/6)</f>
        <v/>
      </c>
      <c r="O274" s="15">
        <f>IF(COUNT(H274:M274)=0,"",IF(LEN(IF(COUNT(I274,J274)=2,IF(J274&gt;I274+1,"EBE &gt; VA ",""),"")&amp;IF(COUNT(H274,M274)=2,IF(ABS(M274)&gt;ABS(H274),"RN &gt; CA ",""),"")&amp;IF(COUNT(H274,K274)=2,IF(ABS(K274)&gt;ABS(H274),"RE &gt; CA ",""),""))=0,"OK",IF(COUNT(I274,J274)=2,IF(J274&gt;I274+1,"EBE &gt; VA ",""),"")&amp;IF(COUNT(H274,M274)=2,IF(ABS(M274)&gt;ABS(H274),"RN &gt; CA ",""),"")&amp;IF(COUNT(H274,K274)=2,IF(ABS(K274)&gt;ABS(H274),"RE &gt; CA ",""),"")))</f>
        <v/>
      </c>
      <c r="P274" s="16">
        <f>IF(OR($A274="",H274="",$C274=""),"",IF(COUNTIFS($A$5:$A$639,$A274,$C$5:$C$639,$C274-1,$D$5:$D$639,$D274,H$5:H$639,"&lt;&gt;")=0,"",IF(OR(SUMIFS(H$5:H$639,$A$5:$A$639,$A274,$C$5:$C$639,$C274-1,$D$5:$D$639,$D274)=0,H274*SUMIFS(H$5:H$639,$A$5:$A$639,$A274,$C$5:$C$639,$C274-1,$D$5:$D$639,$D274)&lt;0),"n.s.",ABS(H274)/ABS(SUMIFS(H$5:H$639,$A$5:$A$639,$A274,$C$5:$C$639,$C274-1,$D$5:$D$639,$D274))-1)))</f>
        <v/>
      </c>
      <c r="Q274" s="16">
        <f>IF(OR($A274="",I274="",$C274=""),"",IF(COUNTIFS($A$5:$A$639,$A274,$C$5:$C$639,$C274-1,$D$5:$D$639,$D274,I$5:I$639,"&lt;&gt;")=0,"",IF(OR(SUMIFS(I$5:I$639,$A$5:$A$639,$A274,$C$5:$C$639,$C274-1,$D$5:$D$639,$D274)=0,I274*SUMIFS(I$5:I$639,$A$5:$A$639,$A274,$C$5:$C$639,$C274-1,$D$5:$D$639,$D274)&lt;0),"n.s.",ABS(I274)/ABS(SUMIFS(I$5:I$639,$A$5:$A$639,$A274,$C$5:$C$639,$C274-1,$D$5:$D$639,$D274))-1)))</f>
        <v/>
      </c>
      <c r="R274" s="16">
        <f>IF(OR($A274="",J274="",$C274=""),"",IF(COUNTIFS($A$5:$A$639,$A274,$C$5:$C$639,$C274-1,$D$5:$D$639,$D274,J$5:J$639,"&lt;&gt;")=0,"",IF(OR(SUMIFS(J$5:J$639,$A$5:$A$639,$A274,$C$5:$C$639,$C274-1,$D$5:$D$639,$D274)=0,J274*SUMIFS(J$5:J$639,$A$5:$A$639,$A274,$C$5:$C$639,$C274-1,$D$5:$D$639,$D274)&lt;0),"n.s.",ABS(J274)/ABS(SUMIFS(J$5:J$639,$A$5:$A$639,$A274,$C$5:$C$639,$C274-1,$D$5:$D$639,$D274))-1)))</f>
        <v/>
      </c>
      <c r="S274" s="16">
        <f>IF(OR($A274="",K274="",$C274=""),"",IF(COUNTIFS($A$5:$A$639,$A274,$C$5:$C$639,$C274-1,$D$5:$D$639,$D274,K$5:K$639,"&lt;&gt;")=0,"",IF(OR(SUMIFS(K$5:K$639,$A$5:$A$639,$A274,$C$5:$C$639,$C274-1,$D$5:$D$639,$D274)=0,K274*SUMIFS(K$5:K$639,$A$5:$A$639,$A274,$C$5:$C$639,$C274-1,$D$5:$D$639,$D274)&lt;0),"n.s.",ABS(K274)/ABS(SUMIFS(K$5:K$639,$A$5:$A$639,$A274,$C$5:$C$639,$C274-1,$D$5:$D$639,$D274))-1)))</f>
        <v/>
      </c>
      <c r="T274" s="16">
        <f>IF(OR($A274="",L274="",$C274=""),"",IF(COUNTIFS($A$5:$A$639,$A274,$C$5:$C$639,$C274-1,$D$5:$D$639,$D274,L$5:L$639,"&lt;&gt;")=0,"",IF(OR(SUMIFS(L$5:L$639,$A$5:$A$639,$A274,$C$5:$C$639,$C274-1,$D$5:$D$639,$D274)=0,L274*SUMIFS(L$5:L$639,$A$5:$A$639,$A274,$C$5:$C$639,$C274-1,$D$5:$D$639,$D274)&lt;0),"n.s.",ABS(L274)/ABS(SUMIFS(L$5:L$639,$A$5:$A$639,$A274,$C$5:$C$639,$C274-1,$D$5:$D$639,$D274))-1)))</f>
        <v/>
      </c>
      <c r="U274" s="16">
        <f>IF(OR($A274="",M274="",$C274=""),"",IF(COUNTIFS($A$5:$A$639,$A274,$C$5:$C$639,$C274-1,$D$5:$D$639,$D274,M$5:M$639,"&lt;&gt;")=0,"",IF(OR(SUMIFS(M$5:M$639,$A$5:$A$639,$A274,$C$5:$C$639,$C274-1,$D$5:$D$639,$D274)=0,M274*SUMIFS(M$5:M$639,$A$5:$A$639,$A274,$C$5:$C$639,$C274-1,$D$5:$D$639,$D274)&lt;0),"n.s.",ABS(M274)/ABS(SUMIFS(M$5:M$639,$A$5:$A$639,$A274,$C$5:$C$639,$C274-1,$D$5:$D$639,$D274))-1)))</f>
        <v/>
      </c>
    </row>
    <row r="275">
      <c r="A275" s="9" t="inlineStr">
        <is>
          <t>UNXC</t>
        </is>
      </c>
      <c r="B275" s="10">
        <f>IF(A275="","",IFERROR(VLOOKUP(A275,Titres!$A$2:$B$400,2,FALSE),"Ticker inconnu"))</f>
        <v/>
      </c>
      <c r="C275" s="11" t="n">
        <v>2021</v>
      </c>
      <c r="D275" s="11" t="inlineStr">
        <is>
          <t>T1</t>
        </is>
      </c>
      <c r="E275" s="9" t="n"/>
      <c r="F275" s="12" t="n"/>
      <c r="G275" s="9" t="n"/>
      <c r="H275" s="13" t="n"/>
      <c r="I275" s="13" t="n"/>
      <c r="J275" s="13" t="n"/>
      <c r="K275" s="13" t="n"/>
      <c r="L275" s="13" t="n"/>
      <c r="M275" s="13" t="n"/>
      <c r="N275" s="14">
        <f>IF(A275="","",COUNT(H275:M275)/6)</f>
        <v/>
      </c>
      <c r="O275" s="15">
        <f>IF(COUNT(H275:M275)=0,"",IF(LEN(IF(COUNT(I275,J275)=2,IF(J275&gt;I275+1,"EBE &gt; VA ",""),"")&amp;IF(COUNT(H275,M275)=2,IF(ABS(M275)&gt;ABS(H275),"RN &gt; CA ",""),"")&amp;IF(COUNT(H275,K275)=2,IF(ABS(K275)&gt;ABS(H275),"RE &gt; CA ",""),""))=0,"OK",IF(COUNT(I275,J275)=2,IF(J275&gt;I275+1,"EBE &gt; VA ",""),"")&amp;IF(COUNT(H275,M275)=2,IF(ABS(M275)&gt;ABS(H275),"RN &gt; CA ",""),"")&amp;IF(COUNT(H275,K275)=2,IF(ABS(K275)&gt;ABS(H275),"RE &gt; CA ",""),"")))</f>
        <v/>
      </c>
      <c r="P275" s="16">
        <f>IF(OR($A275="",H275="",$C275=""),"",IF(COUNTIFS($A$5:$A$639,$A275,$C$5:$C$639,$C275-1,$D$5:$D$639,$D275,H$5:H$639,"&lt;&gt;")=0,"",IF(OR(SUMIFS(H$5:H$639,$A$5:$A$639,$A275,$C$5:$C$639,$C275-1,$D$5:$D$639,$D275)=0,H275*SUMIFS(H$5:H$639,$A$5:$A$639,$A275,$C$5:$C$639,$C275-1,$D$5:$D$639,$D275)&lt;0),"n.s.",ABS(H275)/ABS(SUMIFS(H$5:H$639,$A$5:$A$639,$A275,$C$5:$C$639,$C275-1,$D$5:$D$639,$D275))-1)))</f>
        <v/>
      </c>
      <c r="Q275" s="16">
        <f>IF(OR($A275="",I275="",$C275=""),"",IF(COUNTIFS($A$5:$A$639,$A275,$C$5:$C$639,$C275-1,$D$5:$D$639,$D275,I$5:I$639,"&lt;&gt;")=0,"",IF(OR(SUMIFS(I$5:I$639,$A$5:$A$639,$A275,$C$5:$C$639,$C275-1,$D$5:$D$639,$D275)=0,I275*SUMIFS(I$5:I$639,$A$5:$A$639,$A275,$C$5:$C$639,$C275-1,$D$5:$D$639,$D275)&lt;0),"n.s.",ABS(I275)/ABS(SUMIFS(I$5:I$639,$A$5:$A$639,$A275,$C$5:$C$639,$C275-1,$D$5:$D$639,$D275))-1)))</f>
        <v/>
      </c>
      <c r="R275" s="16">
        <f>IF(OR($A275="",J275="",$C275=""),"",IF(COUNTIFS($A$5:$A$639,$A275,$C$5:$C$639,$C275-1,$D$5:$D$639,$D275,J$5:J$639,"&lt;&gt;")=0,"",IF(OR(SUMIFS(J$5:J$639,$A$5:$A$639,$A275,$C$5:$C$639,$C275-1,$D$5:$D$639,$D275)=0,J275*SUMIFS(J$5:J$639,$A$5:$A$639,$A275,$C$5:$C$639,$C275-1,$D$5:$D$639,$D275)&lt;0),"n.s.",ABS(J275)/ABS(SUMIFS(J$5:J$639,$A$5:$A$639,$A275,$C$5:$C$639,$C275-1,$D$5:$D$639,$D275))-1)))</f>
        <v/>
      </c>
      <c r="S275" s="16">
        <f>IF(OR($A275="",K275="",$C275=""),"",IF(COUNTIFS($A$5:$A$639,$A275,$C$5:$C$639,$C275-1,$D$5:$D$639,$D275,K$5:K$639,"&lt;&gt;")=0,"",IF(OR(SUMIFS(K$5:K$639,$A$5:$A$639,$A275,$C$5:$C$639,$C275-1,$D$5:$D$639,$D275)=0,K275*SUMIFS(K$5:K$639,$A$5:$A$639,$A275,$C$5:$C$639,$C275-1,$D$5:$D$639,$D275)&lt;0),"n.s.",ABS(K275)/ABS(SUMIFS(K$5:K$639,$A$5:$A$639,$A275,$C$5:$C$639,$C275-1,$D$5:$D$639,$D275))-1)))</f>
        <v/>
      </c>
      <c r="T275" s="16">
        <f>IF(OR($A275="",L275="",$C275=""),"",IF(COUNTIFS($A$5:$A$639,$A275,$C$5:$C$639,$C275-1,$D$5:$D$639,$D275,L$5:L$639,"&lt;&gt;")=0,"",IF(OR(SUMIFS(L$5:L$639,$A$5:$A$639,$A275,$C$5:$C$639,$C275-1,$D$5:$D$639,$D275)=0,L275*SUMIFS(L$5:L$639,$A$5:$A$639,$A275,$C$5:$C$639,$C275-1,$D$5:$D$639,$D275)&lt;0),"n.s.",ABS(L275)/ABS(SUMIFS(L$5:L$639,$A$5:$A$639,$A275,$C$5:$C$639,$C275-1,$D$5:$D$639,$D275))-1)))</f>
        <v/>
      </c>
      <c r="U275" s="16">
        <f>IF(OR($A275="",M275="",$C275=""),"",IF(COUNTIFS($A$5:$A$639,$A275,$C$5:$C$639,$C275-1,$D$5:$D$639,$D275,M$5:M$639,"&lt;&gt;")=0,"",IF(OR(SUMIFS(M$5:M$639,$A$5:$A$639,$A275,$C$5:$C$639,$C275-1,$D$5:$D$639,$D275)=0,M275*SUMIFS(M$5:M$639,$A$5:$A$639,$A275,$C$5:$C$639,$C275-1,$D$5:$D$639,$D275)&lt;0),"n.s.",ABS(M275)/ABS(SUMIFS(M$5:M$639,$A$5:$A$639,$A275,$C$5:$C$639,$C275-1,$D$5:$D$639,$D275))-1)))</f>
        <v/>
      </c>
    </row>
    <row r="276">
      <c r="A276" s="9" t="inlineStr">
        <is>
          <t>UNXC</t>
        </is>
      </c>
      <c r="B276" s="10">
        <f>IF(A276="","",IFERROR(VLOOKUP(A276,Titres!$A$2:$B$400,2,FALSE),"Ticker inconnu"))</f>
        <v/>
      </c>
      <c r="C276" s="11" t="n">
        <v>2021</v>
      </c>
      <c r="D276" s="11" t="inlineStr">
        <is>
          <t>S1</t>
        </is>
      </c>
      <c r="E276" s="9" t="n"/>
      <c r="F276" s="12" t="n"/>
      <c r="G276" s="9" t="n"/>
      <c r="H276" s="13" t="n"/>
      <c r="I276" s="13" t="n"/>
      <c r="J276" s="13" t="n"/>
      <c r="K276" s="13" t="n"/>
      <c r="L276" s="13" t="n"/>
      <c r="M276" s="13" t="n"/>
      <c r="N276" s="14">
        <f>IF(A276="","",COUNT(H276:M276)/6)</f>
        <v/>
      </c>
      <c r="O276" s="15">
        <f>IF(COUNT(H276:M276)=0,"",IF(LEN(IF(COUNT(I276,J276)=2,IF(J276&gt;I276+1,"EBE &gt; VA ",""),"")&amp;IF(COUNT(H276,M276)=2,IF(ABS(M276)&gt;ABS(H276),"RN &gt; CA ",""),"")&amp;IF(COUNT(H276,K276)=2,IF(ABS(K276)&gt;ABS(H276),"RE &gt; CA ",""),""))=0,"OK",IF(COUNT(I276,J276)=2,IF(J276&gt;I276+1,"EBE &gt; VA ",""),"")&amp;IF(COUNT(H276,M276)=2,IF(ABS(M276)&gt;ABS(H276),"RN &gt; CA ",""),"")&amp;IF(COUNT(H276,K276)=2,IF(ABS(K276)&gt;ABS(H276),"RE &gt; CA ",""),"")))</f>
        <v/>
      </c>
      <c r="P276" s="16">
        <f>IF(OR($A276="",H276="",$C276=""),"",IF(COUNTIFS($A$5:$A$639,$A276,$C$5:$C$639,$C276-1,$D$5:$D$639,$D276,H$5:H$639,"&lt;&gt;")=0,"",IF(OR(SUMIFS(H$5:H$639,$A$5:$A$639,$A276,$C$5:$C$639,$C276-1,$D$5:$D$639,$D276)=0,H276*SUMIFS(H$5:H$639,$A$5:$A$639,$A276,$C$5:$C$639,$C276-1,$D$5:$D$639,$D276)&lt;0),"n.s.",ABS(H276)/ABS(SUMIFS(H$5:H$639,$A$5:$A$639,$A276,$C$5:$C$639,$C276-1,$D$5:$D$639,$D276))-1)))</f>
        <v/>
      </c>
      <c r="Q276" s="16">
        <f>IF(OR($A276="",I276="",$C276=""),"",IF(COUNTIFS($A$5:$A$639,$A276,$C$5:$C$639,$C276-1,$D$5:$D$639,$D276,I$5:I$639,"&lt;&gt;")=0,"",IF(OR(SUMIFS(I$5:I$639,$A$5:$A$639,$A276,$C$5:$C$639,$C276-1,$D$5:$D$639,$D276)=0,I276*SUMIFS(I$5:I$639,$A$5:$A$639,$A276,$C$5:$C$639,$C276-1,$D$5:$D$639,$D276)&lt;0),"n.s.",ABS(I276)/ABS(SUMIFS(I$5:I$639,$A$5:$A$639,$A276,$C$5:$C$639,$C276-1,$D$5:$D$639,$D276))-1)))</f>
        <v/>
      </c>
      <c r="R276" s="16">
        <f>IF(OR($A276="",J276="",$C276=""),"",IF(COUNTIFS($A$5:$A$639,$A276,$C$5:$C$639,$C276-1,$D$5:$D$639,$D276,J$5:J$639,"&lt;&gt;")=0,"",IF(OR(SUMIFS(J$5:J$639,$A$5:$A$639,$A276,$C$5:$C$639,$C276-1,$D$5:$D$639,$D276)=0,J276*SUMIFS(J$5:J$639,$A$5:$A$639,$A276,$C$5:$C$639,$C276-1,$D$5:$D$639,$D276)&lt;0),"n.s.",ABS(J276)/ABS(SUMIFS(J$5:J$639,$A$5:$A$639,$A276,$C$5:$C$639,$C276-1,$D$5:$D$639,$D276))-1)))</f>
        <v/>
      </c>
      <c r="S276" s="16">
        <f>IF(OR($A276="",K276="",$C276=""),"",IF(COUNTIFS($A$5:$A$639,$A276,$C$5:$C$639,$C276-1,$D$5:$D$639,$D276,K$5:K$639,"&lt;&gt;")=0,"",IF(OR(SUMIFS(K$5:K$639,$A$5:$A$639,$A276,$C$5:$C$639,$C276-1,$D$5:$D$639,$D276)=0,K276*SUMIFS(K$5:K$639,$A$5:$A$639,$A276,$C$5:$C$639,$C276-1,$D$5:$D$639,$D276)&lt;0),"n.s.",ABS(K276)/ABS(SUMIFS(K$5:K$639,$A$5:$A$639,$A276,$C$5:$C$639,$C276-1,$D$5:$D$639,$D276))-1)))</f>
        <v/>
      </c>
      <c r="T276" s="16">
        <f>IF(OR($A276="",L276="",$C276=""),"",IF(COUNTIFS($A$5:$A$639,$A276,$C$5:$C$639,$C276-1,$D$5:$D$639,$D276,L$5:L$639,"&lt;&gt;")=0,"",IF(OR(SUMIFS(L$5:L$639,$A$5:$A$639,$A276,$C$5:$C$639,$C276-1,$D$5:$D$639,$D276)=0,L276*SUMIFS(L$5:L$639,$A$5:$A$639,$A276,$C$5:$C$639,$C276-1,$D$5:$D$639,$D276)&lt;0),"n.s.",ABS(L276)/ABS(SUMIFS(L$5:L$639,$A$5:$A$639,$A276,$C$5:$C$639,$C276-1,$D$5:$D$639,$D276))-1)))</f>
        <v/>
      </c>
      <c r="U276" s="16">
        <f>IF(OR($A276="",M276="",$C276=""),"",IF(COUNTIFS($A$5:$A$639,$A276,$C$5:$C$639,$C276-1,$D$5:$D$639,$D276,M$5:M$639,"&lt;&gt;")=0,"",IF(OR(SUMIFS(M$5:M$639,$A$5:$A$639,$A276,$C$5:$C$639,$C276-1,$D$5:$D$639,$D276)=0,M276*SUMIFS(M$5:M$639,$A$5:$A$639,$A276,$C$5:$C$639,$C276-1,$D$5:$D$639,$D276)&lt;0),"n.s.",ABS(M276)/ABS(SUMIFS(M$5:M$639,$A$5:$A$639,$A276,$C$5:$C$639,$C276-1,$D$5:$D$639,$D276))-1)))</f>
        <v/>
      </c>
    </row>
    <row r="277">
      <c r="A277" s="9" t="inlineStr">
        <is>
          <t>UNXC</t>
        </is>
      </c>
      <c r="B277" s="10">
        <f>IF(A277="","",IFERROR(VLOOKUP(A277,Titres!$A$2:$B$400,2,FALSE),"Ticker inconnu"))</f>
        <v/>
      </c>
      <c r="C277" s="11" t="n">
        <v>2021</v>
      </c>
      <c r="D277" s="11" t="inlineStr">
        <is>
          <t>T3</t>
        </is>
      </c>
      <c r="E277" s="9" t="n"/>
      <c r="F277" s="12" t="n"/>
      <c r="G277" s="9" t="n"/>
      <c r="H277" s="13" t="n"/>
      <c r="I277" s="13" t="n"/>
      <c r="J277" s="13" t="n"/>
      <c r="K277" s="13" t="n"/>
      <c r="L277" s="13" t="n"/>
      <c r="M277" s="13" t="n"/>
      <c r="N277" s="14">
        <f>IF(A277="","",COUNT(H277:M277)/6)</f>
        <v/>
      </c>
      <c r="O277" s="15">
        <f>IF(COUNT(H277:M277)=0,"",IF(LEN(IF(COUNT(I277,J277)=2,IF(J277&gt;I277+1,"EBE &gt; VA ",""),"")&amp;IF(COUNT(H277,M277)=2,IF(ABS(M277)&gt;ABS(H277),"RN &gt; CA ",""),"")&amp;IF(COUNT(H277,K277)=2,IF(ABS(K277)&gt;ABS(H277),"RE &gt; CA ",""),""))=0,"OK",IF(COUNT(I277,J277)=2,IF(J277&gt;I277+1,"EBE &gt; VA ",""),"")&amp;IF(COUNT(H277,M277)=2,IF(ABS(M277)&gt;ABS(H277),"RN &gt; CA ",""),"")&amp;IF(COUNT(H277,K277)=2,IF(ABS(K277)&gt;ABS(H277),"RE &gt; CA ",""),"")))</f>
        <v/>
      </c>
      <c r="P277" s="16">
        <f>IF(OR($A277="",H277="",$C277=""),"",IF(COUNTIFS($A$5:$A$639,$A277,$C$5:$C$639,$C277-1,$D$5:$D$639,$D277,H$5:H$639,"&lt;&gt;")=0,"",IF(OR(SUMIFS(H$5:H$639,$A$5:$A$639,$A277,$C$5:$C$639,$C277-1,$D$5:$D$639,$D277)=0,H277*SUMIFS(H$5:H$639,$A$5:$A$639,$A277,$C$5:$C$639,$C277-1,$D$5:$D$639,$D277)&lt;0),"n.s.",ABS(H277)/ABS(SUMIFS(H$5:H$639,$A$5:$A$639,$A277,$C$5:$C$639,$C277-1,$D$5:$D$639,$D277))-1)))</f>
        <v/>
      </c>
      <c r="Q277" s="16">
        <f>IF(OR($A277="",I277="",$C277=""),"",IF(COUNTIFS($A$5:$A$639,$A277,$C$5:$C$639,$C277-1,$D$5:$D$639,$D277,I$5:I$639,"&lt;&gt;")=0,"",IF(OR(SUMIFS(I$5:I$639,$A$5:$A$639,$A277,$C$5:$C$639,$C277-1,$D$5:$D$639,$D277)=0,I277*SUMIFS(I$5:I$639,$A$5:$A$639,$A277,$C$5:$C$639,$C277-1,$D$5:$D$639,$D277)&lt;0),"n.s.",ABS(I277)/ABS(SUMIFS(I$5:I$639,$A$5:$A$639,$A277,$C$5:$C$639,$C277-1,$D$5:$D$639,$D277))-1)))</f>
        <v/>
      </c>
      <c r="R277" s="16">
        <f>IF(OR($A277="",J277="",$C277=""),"",IF(COUNTIFS($A$5:$A$639,$A277,$C$5:$C$639,$C277-1,$D$5:$D$639,$D277,J$5:J$639,"&lt;&gt;")=0,"",IF(OR(SUMIFS(J$5:J$639,$A$5:$A$639,$A277,$C$5:$C$639,$C277-1,$D$5:$D$639,$D277)=0,J277*SUMIFS(J$5:J$639,$A$5:$A$639,$A277,$C$5:$C$639,$C277-1,$D$5:$D$639,$D277)&lt;0),"n.s.",ABS(J277)/ABS(SUMIFS(J$5:J$639,$A$5:$A$639,$A277,$C$5:$C$639,$C277-1,$D$5:$D$639,$D277))-1)))</f>
        <v/>
      </c>
      <c r="S277" s="16">
        <f>IF(OR($A277="",K277="",$C277=""),"",IF(COUNTIFS($A$5:$A$639,$A277,$C$5:$C$639,$C277-1,$D$5:$D$639,$D277,K$5:K$639,"&lt;&gt;")=0,"",IF(OR(SUMIFS(K$5:K$639,$A$5:$A$639,$A277,$C$5:$C$639,$C277-1,$D$5:$D$639,$D277)=0,K277*SUMIFS(K$5:K$639,$A$5:$A$639,$A277,$C$5:$C$639,$C277-1,$D$5:$D$639,$D277)&lt;0),"n.s.",ABS(K277)/ABS(SUMIFS(K$5:K$639,$A$5:$A$639,$A277,$C$5:$C$639,$C277-1,$D$5:$D$639,$D277))-1)))</f>
        <v/>
      </c>
      <c r="T277" s="16">
        <f>IF(OR($A277="",L277="",$C277=""),"",IF(COUNTIFS($A$5:$A$639,$A277,$C$5:$C$639,$C277-1,$D$5:$D$639,$D277,L$5:L$639,"&lt;&gt;")=0,"",IF(OR(SUMIFS(L$5:L$639,$A$5:$A$639,$A277,$C$5:$C$639,$C277-1,$D$5:$D$639,$D277)=0,L277*SUMIFS(L$5:L$639,$A$5:$A$639,$A277,$C$5:$C$639,$C277-1,$D$5:$D$639,$D277)&lt;0),"n.s.",ABS(L277)/ABS(SUMIFS(L$5:L$639,$A$5:$A$639,$A277,$C$5:$C$639,$C277-1,$D$5:$D$639,$D277))-1)))</f>
        <v/>
      </c>
      <c r="U277" s="16">
        <f>IF(OR($A277="",M277="",$C277=""),"",IF(COUNTIFS($A$5:$A$639,$A277,$C$5:$C$639,$C277-1,$D$5:$D$639,$D277,M$5:M$639,"&lt;&gt;")=0,"",IF(OR(SUMIFS(M$5:M$639,$A$5:$A$639,$A277,$C$5:$C$639,$C277-1,$D$5:$D$639,$D277)=0,M277*SUMIFS(M$5:M$639,$A$5:$A$639,$A277,$C$5:$C$639,$C277-1,$D$5:$D$639,$D277)&lt;0),"n.s.",ABS(M277)/ABS(SUMIFS(M$5:M$639,$A$5:$A$639,$A277,$C$5:$C$639,$C277-1,$D$5:$D$639,$D277))-1)))</f>
        <v/>
      </c>
    </row>
    <row r="278">
      <c r="A278" s="9" t="inlineStr">
        <is>
          <t>UNXC</t>
        </is>
      </c>
      <c r="B278" s="10">
        <f>IF(A278="","",IFERROR(VLOOKUP(A278,Titres!$A$2:$B$400,2,FALSE),"Ticker inconnu"))</f>
        <v/>
      </c>
      <c r="C278" s="11" t="n">
        <v>2022</v>
      </c>
      <c r="D278" s="11" t="inlineStr">
        <is>
          <t>T1</t>
        </is>
      </c>
      <c r="E278" s="9" t="n"/>
      <c r="F278" s="12" t="n"/>
      <c r="G278" s="9" t="n"/>
      <c r="H278" s="13" t="n"/>
      <c r="I278" s="13" t="n"/>
      <c r="J278" s="13" t="n"/>
      <c r="K278" s="13" t="n"/>
      <c r="L278" s="13" t="n"/>
      <c r="M278" s="13" t="n"/>
      <c r="N278" s="14">
        <f>IF(A278="","",COUNT(H278:M278)/6)</f>
        <v/>
      </c>
      <c r="O278" s="15">
        <f>IF(COUNT(H278:M278)=0,"",IF(LEN(IF(COUNT(I278,J278)=2,IF(J278&gt;I278+1,"EBE &gt; VA ",""),"")&amp;IF(COUNT(H278,M278)=2,IF(ABS(M278)&gt;ABS(H278),"RN &gt; CA ",""),"")&amp;IF(COUNT(H278,K278)=2,IF(ABS(K278)&gt;ABS(H278),"RE &gt; CA ",""),""))=0,"OK",IF(COUNT(I278,J278)=2,IF(J278&gt;I278+1,"EBE &gt; VA ",""),"")&amp;IF(COUNT(H278,M278)=2,IF(ABS(M278)&gt;ABS(H278),"RN &gt; CA ",""),"")&amp;IF(COUNT(H278,K278)=2,IF(ABS(K278)&gt;ABS(H278),"RE &gt; CA ",""),"")))</f>
        <v/>
      </c>
      <c r="P278" s="16">
        <f>IF(OR($A278="",H278="",$C278=""),"",IF(COUNTIFS($A$5:$A$639,$A278,$C$5:$C$639,$C278-1,$D$5:$D$639,$D278,H$5:H$639,"&lt;&gt;")=0,"",IF(OR(SUMIFS(H$5:H$639,$A$5:$A$639,$A278,$C$5:$C$639,$C278-1,$D$5:$D$639,$D278)=0,H278*SUMIFS(H$5:H$639,$A$5:$A$639,$A278,$C$5:$C$639,$C278-1,$D$5:$D$639,$D278)&lt;0),"n.s.",ABS(H278)/ABS(SUMIFS(H$5:H$639,$A$5:$A$639,$A278,$C$5:$C$639,$C278-1,$D$5:$D$639,$D278))-1)))</f>
        <v/>
      </c>
      <c r="Q278" s="16">
        <f>IF(OR($A278="",I278="",$C278=""),"",IF(COUNTIFS($A$5:$A$639,$A278,$C$5:$C$639,$C278-1,$D$5:$D$639,$D278,I$5:I$639,"&lt;&gt;")=0,"",IF(OR(SUMIFS(I$5:I$639,$A$5:$A$639,$A278,$C$5:$C$639,$C278-1,$D$5:$D$639,$D278)=0,I278*SUMIFS(I$5:I$639,$A$5:$A$639,$A278,$C$5:$C$639,$C278-1,$D$5:$D$639,$D278)&lt;0),"n.s.",ABS(I278)/ABS(SUMIFS(I$5:I$639,$A$5:$A$639,$A278,$C$5:$C$639,$C278-1,$D$5:$D$639,$D278))-1)))</f>
        <v/>
      </c>
      <c r="R278" s="16">
        <f>IF(OR($A278="",J278="",$C278=""),"",IF(COUNTIFS($A$5:$A$639,$A278,$C$5:$C$639,$C278-1,$D$5:$D$639,$D278,J$5:J$639,"&lt;&gt;")=0,"",IF(OR(SUMIFS(J$5:J$639,$A$5:$A$639,$A278,$C$5:$C$639,$C278-1,$D$5:$D$639,$D278)=0,J278*SUMIFS(J$5:J$639,$A$5:$A$639,$A278,$C$5:$C$639,$C278-1,$D$5:$D$639,$D278)&lt;0),"n.s.",ABS(J278)/ABS(SUMIFS(J$5:J$639,$A$5:$A$639,$A278,$C$5:$C$639,$C278-1,$D$5:$D$639,$D278))-1)))</f>
        <v/>
      </c>
      <c r="S278" s="16">
        <f>IF(OR($A278="",K278="",$C278=""),"",IF(COUNTIFS($A$5:$A$639,$A278,$C$5:$C$639,$C278-1,$D$5:$D$639,$D278,K$5:K$639,"&lt;&gt;")=0,"",IF(OR(SUMIFS(K$5:K$639,$A$5:$A$639,$A278,$C$5:$C$639,$C278-1,$D$5:$D$639,$D278)=0,K278*SUMIFS(K$5:K$639,$A$5:$A$639,$A278,$C$5:$C$639,$C278-1,$D$5:$D$639,$D278)&lt;0),"n.s.",ABS(K278)/ABS(SUMIFS(K$5:K$639,$A$5:$A$639,$A278,$C$5:$C$639,$C278-1,$D$5:$D$639,$D278))-1)))</f>
        <v/>
      </c>
      <c r="T278" s="16">
        <f>IF(OR($A278="",L278="",$C278=""),"",IF(COUNTIFS($A$5:$A$639,$A278,$C$5:$C$639,$C278-1,$D$5:$D$639,$D278,L$5:L$639,"&lt;&gt;")=0,"",IF(OR(SUMIFS(L$5:L$639,$A$5:$A$639,$A278,$C$5:$C$639,$C278-1,$D$5:$D$639,$D278)=0,L278*SUMIFS(L$5:L$639,$A$5:$A$639,$A278,$C$5:$C$639,$C278-1,$D$5:$D$639,$D278)&lt;0),"n.s.",ABS(L278)/ABS(SUMIFS(L$5:L$639,$A$5:$A$639,$A278,$C$5:$C$639,$C278-1,$D$5:$D$639,$D278))-1)))</f>
        <v/>
      </c>
      <c r="U278" s="16">
        <f>IF(OR($A278="",M278="",$C278=""),"",IF(COUNTIFS($A$5:$A$639,$A278,$C$5:$C$639,$C278-1,$D$5:$D$639,$D278,M$5:M$639,"&lt;&gt;")=0,"",IF(OR(SUMIFS(M$5:M$639,$A$5:$A$639,$A278,$C$5:$C$639,$C278-1,$D$5:$D$639,$D278)=0,M278*SUMIFS(M$5:M$639,$A$5:$A$639,$A278,$C$5:$C$639,$C278-1,$D$5:$D$639,$D278)&lt;0),"n.s.",ABS(M278)/ABS(SUMIFS(M$5:M$639,$A$5:$A$639,$A278,$C$5:$C$639,$C278-1,$D$5:$D$639,$D278))-1)))</f>
        <v/>
      </c>
    </row>
    <row r="279">
      <c r="A279" s="9" t="inlineStr">
        <is>
          <t>UNXC</t>
        </is>
      </c>
      <c r="B279" s="10">
        <f>IF(A279="","",IFERROR(VLOOKUP(A279,Titres!$A$2:$B$400,2,FALSE),"Ticker inconnu"))</f>
        <v/>
      </c>
      <c r="C279" s="11" t="n">
        <v>2022</v>
      </c>
      <c r="D279" s="11" t="inlineStr">
        <is>
          <t>S1</t>
        </is>
      </c>
      <c r="E279" s="9" t="n"/>
      <c r="F279" s="12" t="n"/>
      <c r="G279" s="9" t="n"/>
      <c r="H279" s="13" t="n"/>
      <c r="I279" s="13" t="n"/>
      <c r="J279" s="13" t="n"/>
      <c r="K279" s="13" t="n"/>
      <c r="L279" s="13" t="n"/>
      <c r="M279" s="13" t="n"/>
      <c r="N279" s="14">
        <f>IF(A279="","",COUNT(H279:M279)/6)</f>
        <v/>
      </c>
      <c r="O279" s="15">
        <f>IF(COUNT(H279:M279)=0,"",IF(LEN(IF(COUNT(I279,J279)=2,IF(J279&gt;I279+1,"EBE &gt; VA ",""),"")&amp;IF(COUNT(H279,M279)=2,IF(ABS(M279)&gt;ABS(H279),"RN &gt; CA ",""),"")&amp;IF(COUNT(H279,K279)=2,IF(ABS(K279)&gt;ABS(H279),"RE &gt; CA ",""),""))=0,"OK",IF(COUNT(I279,J279)=2,IF(J279&gt;I279+1,"EBE &gt; VA ",""),"")&amp;IF(COUNT(H279,M279)=2,IF(ABS(M279)&gt;ABS(H279),"RN &gt; CA ",""),"")&amp;IF(COUNT(H279,K279)=2,IF(ABS(K279)&gt;ABS(H279),"RE &gt; CA ",""),"")))</f>
        <v/>
      </c>
      <c r="P279" s="16">
        <f>IF(OR($A279="",H279="",$C279=""),"",IF(COUNTIFS($A$5:$A$639,$A279,$C$5:$C$639,$C279-1,$D$5:$D$639,$D279,H$5:H$639,"&lt;&gt;")=0,"",IF(OR(SUMIFS(H$5:H$639,$A$5:$A$639,$A279,$C$5:$C$639,$C279-1,$D$5:$D$639,$D279)=0,H279*SUMIFS(H$5:H$639,$A$5:$A$639,$A279,$C$5:$C$639,$C279-1,$D$5:$D$639,$D279)&lt;0),"n.s.",ABS(H279)/ABS(SUMIFS(H$5:H$639,$A$5:$A$639,$A279,$C$5:$C$639,$C279-1,$D$5:$D$639,$D279))-1)))</f>
        <v/>
      </c>
      <c r="Q279" s="16">
        <f>IF(OR($A279="",I279="",$C279=""),"",IF(COUNTIFS($A$5:$A$639,$A279,$C$5:$C$639,$C279-1,$D$5:$D$639,$D279,I$5:I$639,"&lt;&gt;")=0,"",IF(OR(SUMIFS(I$5:I$639,$A$5:$A$639,$A279,$C$5:$C$639,$C279-1,$D$5:$D$639,$D279)=0,I279*SUMIFS(I$5:I$639,$A$5:$A$639,$A279,$C$5:$C$639,$C279-1,$D$5:$D$639,$D279)&lt;0),"n.s.",ABS(I279)/ABS(SUMIFS(I$5:I$639,$A$5:$A$639,$A279,$C$5:$C$639,$C279-1,$D$5:$D$639,$D279))-1)))</f>
        <v/>
      </c>
      <c r="R279" s="16">
        <f>IF(OR($A279="",J279="",$C279=""),"",IF(COUNTIFS($A$5:$A$639,$A279,$C$5:$C$639,$C279-1,$D$5:$D$639,$D279,J$5:J$639,"&lt;&gt;")=0,"",IF(OR(SUMIFS(J$5:J$639,$A$5:$A$639,$A279,$C$5:$C$639,$C279-1,$D$5:$D$639,$D279)=0,J279*SUMIFS(J$5:J$639,$A$5:$A$639,$A279,$C$5:$C$639,$C279-1,$D$5:$D$639,$D279)&lt;0),"n.s.",ABS(J279)/ABS(SUMIFS(J$5:J$639,$A$5:$A$639,$A279,$C$5:$C$639,$C279-1,$D$5:$D$639,$D279))-1)))</f>
        <v/>
      </c>
      <c r="S279" s="16">
        <f>IF(OR($A279="",K279="",$C279=""),"",IF(COUNTIFS($A$5:$A$639,$A279,$C$5:$C$639,$C279-1,$D$5:$D$639,$D279,K$5:K$639,"&lt;&gt;")=0,"",IF(OR(SUMIFS(K$5:K$639,$A$5:$A$639,$A279,$C$5:$C$639,$C279-1,$D$5:$D$639,$D279)=0,K279*SUMIFS(K$5:K$639,$A$5:$A$639,$A279,$C$5:$C$639,$C279-1,$D$5:$D$639,$D279)&lt;0),"n.s.",ABS(K279)/ABS(SUMIFS(K$5:K$639,$A$5:$A$639,$A279,$C$5:$C$639,$C279-1,$D$5:$D$639,$D279))-1)))</f>
        <v/>
      </c>
      <c r="T279" s="16">
        <f>IF(OR($A279="",L279="",$C279=""),"",IF(COUNTIFS($A$5:$A$639,$A279,$C$5:$C$639,$C279-1,$D$5:$D$639,$D279,L$5:L$639,"&lt;&gt;")=0,"",IF(OR(SUMIFS(L$5:L$639,$A$5:$A$639,$A279,$C$5:$C$639,$C279-1,$D$5:$D$639,$D279)=0,L279*SUMIFS(L$5:L$639,$A$5:$A$639,$A279,$C$5:$C$639,$C279-1,$D$5:$D$639,$D279)&lt;0),"n.s.",ABS(L279)/ABS(SUMIFS(L$5:L$639,$A$5:$A$639,$A279,$C$5:$C$639,$C279-1,$D$5:$D$639,$D279))-1)))</f>
        <v/>
      </c>
      <c r="U279" s="16">
        <f>IF(OR($A279="",M279="",$C279=""),"",IF(COUNTIFS($A$5:$A$639,$A279,$C$5:$C$639,$C279-1,$D$5:$D$639,$D279,M$5:M$639,"&lt;&gt;")=0,"",IF(OR(SUMIFS(M$5:M$639,$A$5:$A$639,$A279,$C$5:$C$639,$C279-1,$D$5:$D$639,$D279)=0,M279*SUMIFS(M$5:M$639,$A$5:$A$639,$A279,$C$5:$C$639,$C279-1,$D$5:$D$639,$D279)&lt;0),"n.s.",ABS(M279)/ABS(SUMIFS(M$5:M$639,$A$5:$A$639,$A279,$C$5:$C$639,$C279-1,$D$5:$D$639,$D279))-1)))</f>
        <v/>
      </c>
    </row>
    <row r="280">
      <c r="A280" s="9" t="inlineStr">
        <is>
          <t>UNXC</t>
        </is>
      </c>
      <c r="B280" s="10">
        <f>IF(A280="","",IFERROR(VLOOKUP(A280,Titres!$A$2:$B$400,2,FALSE),"Ticker inconnu"))</f>
        <v/>
      </c>
      <c r="C280" s="11" t="n">
        <v>2022</v>
      </c>
      <c r="D280" s="11" t="inlineStr">
        <is>
          <t>T3</t>
        </is>
      </c>
      <c r="E280" s="9" t="n"/>
      <c r="F280" s="12" t="n"/>
      <c r="G280" s="9" t="n"/>
      <c r="H280" s="13" t="n"/>
      <c r="I280" s="13" t="n"/>
      <c r="J280" s="13" t="n"/>
      <c r="K280" s="13" t="n"/>
      <c r="L280" s="13" t="n"/>
      <c r="M280" s="13" t="n"/>
      <c r="N280" s="14">
        <f>IF(A280="","",COUNT(H280:M280)/6)</f>
        <v/>
      </c>
      <c r="O280" s="15">
        <f>IF(COUNT(H280:M280)=0,"",IF(LEN(IF(COUNT(I280,J280)=2,IF(J280&gt;I280+1,"EBE &gt; VA ",""),"")&amp;IF(COUNT(H280,M280)=2,IF(ABS(M280)&gt;ABS(H280),"RN &gt; CA ",""),"")&amp;IF(COUNT(H280,K280)=2,IF(ABS(K280)&gt;ABS(H280),"RE &gt; CA ",""),""))=0,"OK",IF(COUNT(I280,J280)=2,IF(J280&gt;I280+1,"EBE &gt; VA ",""),"")&amp;IF(COUNT(H280,M280)=2,IF(ABS(M280)&gt;ABS(H280),"RN &gt; CA ",""),"")&amp;IF(COUNT(H280,K280)=2,IF(ABS(K280)&gt;ABS(H280),"RE &gt; CA ",""),"")))</f>
        <v/>
      </c>
      <c r="P280" s="16">
        <f>IF(OR($A280="",H280="",$C280=""),"",IF(COUNTIFS($A$5:$A$639,$A280,$C$5:$C$639,$C280-1,$D$5:$D$639,$D280,H$5:H$639,"&lt;&gt;")=0,"",IF(OR(SUMIFS(H$5:H$639,$A$5:$A$639,$A280,$C$5:$C$639,$C280-1,$D$5:$D$639,$D280)=0,H280*SUMIFS(H$5:H$639,$A$5:$A$639,$A280,$C$5:$C$639,$C280-1,$D$5:$D$639,$D280)&lt;0),"n.s.",ABS(H280)/ABS(SUMIFS(H$5:H$639,$A$5:$A$639,$A280,$C$5:$C$639,$C280-1,$D$5:$D$639,$D280))-1)))</f>
        <v/>
      </c>
      <c r="Q280" s="16">
        <f>IF(OR($A280="",I280="",$C280=""),"",IF(COUNTIFS($A$5:$A$639,$A280,$C$5:$C$639,$C280-1,$D$5:$D$639,$D280,I$5:I$639,"&lt;&gt;")=0,"",IF(OR(SUMIFS(I$5:I$639,$A$5:$A$639,$A280,$C$5:$C$639,$C280-1,$D$5:$D$639,$D280)=0,I280*SUMIFS(I$5:I$639,$A$5:$A$639,$A280,$C$5:$C$639,$C280-1,$D$5:$D$639,$D280)&lt;0),"n.s.",ABS(I280)/ABS(SUMIFS(I$5:I$639,$A$5:$A$639,$A280,$C$5:$C$639,$C280-1,$D$5:$D$639,$D280))-1)))</f>
        <v/>
      </c>
      <c r="R280" s="16">
        <f>IF(OR($A280="",J280="",$C280=""),"",IF(COUNTIFS($A$5:$A$639,$A280,$C$5:$C$639,$C280-1,$D$5:$D$639,$D280,J$5:J$639,"&lt;&gt;")=0,"",IF(OR(SUMIFS(J$5:J$639,$A$5:$A$639,$A280,$C$5:$C$639,$C280-1,$D$5:$D$639,$D280)=0,J280*SUMIFS(J$5:J$639,$A$5:$A$639,$A280,$C$5:$C$639,$C280-1,$D$5:$D$639,$D280)&lt;0),"n.s.",ABS(J280)/ABS(SUMIFS(J$5:J$639,$A$5:$A$639,$A280,$C$5:$C$639,$C280-1,$D$5:$D$639,$D280))-1)))</f>
        <v/>
      </c>
      <c r="S280" s="16">
        <f>IF(OR($A280="",K280="",$C280=""),"",IF(COUNTIFS($A$5:$A$639,$A280,$C$5:$C$639,$C280-1,$D$5:$D$639,$D280,K$5:K$639,"&lt;&gt;")=0,"",IF(OR(SUMIFS(K$5:K$639,$A$5:$A$639,$A280,$C$5:$C$639,$C280-1,$D$5:$D$639,$D280)=0,K280*SUMIFS(K$5:K$639,$A$5:$A$639,$A280,$C$5:$C$639,$C280-1,$D$5:$D$639,$D280)&lt;0),"n.s.",ABS(K280)/ABS(SUMIFS(K$5:K$639,$A$5:$A$639,$A280,$C$5:$C$639,$C280-1,$D$5:$D$639,$D280))-1)))</f>
        <v/>
      </c>
      <c r="T280" s="16">
        <f>IF(OR($A280="",L280="",$C280=""),"",IF(COUNTIFS($A$5:$A$639,$A280,$C$5:$C$639,$C280-1,$D$5:$D$639,$D280,L$5:L$639,"&lt;&gt;")=0,"",IF(OR(SUMIFS(L$5:L$639,$A$5:$A$639,$A280,$C$5:$C$639,$C280-1,$D$5:$D$639,$D280)=0,L280*SUMIFS(L$5:L$639,$A$5:$A$639,$A280,$C$5:$C$639,$C280-1,$D$5:$D$639,$D280)&lt;0),"n.s.",ABS(L280)/ABS(SUMIFS(L$5:L$639,$A$5:$A$639,$A280,$C$5:$C$639,$C280-1,$D$5:$D$639,$D280))-1)))</f>
        <v/>
      </c>
      <c r="U280" s="16">
        <f>IF(OR($A280="",M280="",$C280=""),"",IF(COUNTIFS($A$5:$A$639,$A280,$C$5:$C$639,$C280-1,$D$5:$D$639,$D280,M$5:M$639,"&lt;&gt;")=0,"",IF(OR(SUMIFS(M$5:M$639,$A$5:$A$639,$A280,$C$5:$C$639,$C280-1,$D$5:$D$639,$D280)=0,M280*SUMIFS(M$5:M$639,$A$5:$A$639,$A280,$C$5:$C$639,$C280-1,$D$5:$D$639,$D280)&lt;0),"n.s.",ABS(M280)/ABS(SUMIFS(M$5:M$639,$A$5:$A$639,$A280,$C$5:$C$639,$C280-1,$D$5:$D$639,$D280))-1)))</f>
        <v/>
      </c>
    </row>
    <row r="281">
      <c r="A281" s="9" t="inlineStr">
        <is>
          <t>UNXC</t>
        </is>
      </c>
      <c r="B281" s="10">
        <f>IF(A281="","",IFERROR(VLOOKUP(A281,Titres!$A$2:$B$400,2,FALSE),"Ticker inconnu"))</f>
        <v/>
      </c>
      <c r="C281" s="11" t="n">
        <v>2023</v>
      </c>
      <c r="D281" s="11" t="inlineStr">
        <is>
          <t>T1</t>
        </is>
      </c>
      <c r="E281" s="9" t="n"/>
      <c r="F281" s="12" t="n"/>
      <c r="G281" s="9" t="n"/>
      <c r="H281" s="13" t="n"/>
      <c r="I281" s="13" t="n"/>
      <c r="J281" s="13" t="n"/>
      <c r="K281" s="13" t="n"/>
      <c r="L281" s="13" t="n"/>
      <c r="M281" s="13" t="n"/>
      <c r="N281" s="14">
        <f>IF(A281="","",COUNT(H281:M281)/6)</f>
        <v/>
      </c>
      <c r="O281" s="15">
        <f>IF(COUNT(H281:M281)=0,"",IF(LEN(IF(COUNT(I281,J281)=2,IF(J281&gt;I281+1,"EBE &gt; VA ",""),"")&amp;IF(COUNT(H281,M281)=2,IF(ABS(M281)&gt;ABS(H281),"RN &gt; CA ",""),"")&amp;IF(COUNT(H281,K281)=2,IF(ABS(K281)&gt;ABS(H281),"RE &gt; CA ",""),""))=0,"OK",IF(COUNT(I281,J281)=2,IF(J281&gt;I281+1,"EBE &gt; VA ",""),"")&amp;IF(COUNT(H281,M281)=2,IF(ABS(M281)&gt;ABS(H281),"RN &gt; CA ",""),"")&amp;IF(COUNT(H281,K281)=2,IF(ABS(K281)&gt;ABS(H281),"RE &gt; CA ",""),"")))</f>
        <v/>
      </c>
      <c r="P281" s="16">
        <f>IF(OR($A281="",H281="",$C281=""),"",IF(COUNTIFS($A$5:$A$639,$A281,$C$5:$C$639,$C281-1,$D$5:$D$639,$D281,H$5:H$639,"&lt;&gt;")=0,"",IF(OR(SUMIFS(H$5:H$639,$A$5:$A$639,$A281,$C$5:$C$639,$C281-1,$D$5:$D$639,$D281)=0,H281*SUMIFS(H$5:H$639,$A$5:$A$639,$A281,$C$5:$C$639,$C281-1,$D$5:$D$639,$D281)&lt;0),"n.s.",ABS(H281)/ABS(SUMIFS(H$5:H$639,$A$5:$A$639,$A281,$C$5:$C$639,$C281-1,$D$5:$D$639,$D281))-1)))</f>
        <v/>
      </c>
      <c r="Q281" s="16">
        <f>IF(OR($A281="",I281="",$C281=""),"",IF(COUNTIFS($A$5:$A$639,$A281,$C$5:$C$639,$C281-1,$D$5:$D$639,$D281,I$5:I$639,"&lt;&gt;")=0,"",IF(OR(SUMIFS(I$5:I$639,$A$5:$A$639,$A281,$C$5:$C$639,$C281-1,$D$5:$D$639,$D281)=0,I281*SUMIFS(I$5:I$639,$A$5:$A$639,$A281,$C$5:$C$639,$C281-1,$D$5:$D$639,$D281)&lt;0),"n.s.",ABS(I281)/ABS(SUMIFS(I$5:I$639,$A$5:$A$639,$A281,$C$5:$C$639,$C281-1,$D$5:$D$639,$D281))-1)))</f>
        <v/>
      </c>
      <c r="R281" s="16">
        <f>IF(OR($A281="",J281="",$C281=""),"",IF(COUNTIFS($A$5:$A$639,$A281,$C$5:$C$639,$C281-1,$D$5:$D$639,$D281,J$5:J$639,"&lt;&gt;")=0,"",IF(OR(SUMIFS(J$5:J$639,$A$5:$A$639,$A281,$C$5:$C$639,$C281-1,$D$5:$D$639,$D281)=0,J281*SUMIFS(J$5:J$639,$A$5:$A$639,$A281,$C$5:$C$639,$C281-1,$D$5:$D$639,$D281)&lt;0),"n.s.",ABS(J281)/ABS(SUMIFS(J$5:J$639,$A$5:$A$639,$A281,$C$5:$C$639,$C281-1,$D$5:$D$639,$D281))-1)))</f>
        <v/>
      </c>
      <c r="S281" s="16">
        <f>IF(OR($A281="",K281="",$C281=""),"",IF(COUNTIFS($A$5:$A$639,$A281,$C$5:$C$639,$C281-1,$D$5:$D$639,$D281,K$5:K$639,"&lt;&gt;")=0,"",IF(OR(SUMIFS(K$5:K$639,$A$5:$A$639,$A281,$C$5:$C$639,$C281-1,$D$5:$D$639,$D281)=0,K281*SUMIFS(K$5:K$639,$A$5:$A$639,$A281,$C$5:$C$639,$C281-1,$D$5:$D$639,$D281)&lt;0),"n.s.",ABS(K281)/ABS(SUMIFS(K$5:K$639,$A$5:$A$639,$A281,$C$5:$C$639,$C281-1,$D$5:$D$639,$D281))-1)))</f>
        <v/>
      </c>
      <c r="T281" s="16">
        <f>IF(OR($A281="",L281="",$C281=""),"",IF(COUNTIFS($A$5:$A$639,$A281,$C$5:$C$639,$C281-1,$D$5:$D$639,$D281,L$5:L$639,"&lt;&gt;")=0,"",IF(OR(SUMIFS(L$5:L$639,$A$5:$A$639,$A281,$C$5:$C$639,$C281-1,$D$5:$D$639,$D281)=0,L281*SUMIFS(L$5:L$639,$A$5:$A$639,$A281,$C$5:$C$639,$C281-1,$D$5:$D$639,$D281)&lt;0),"n.s.",ABS(L281)/ABS(SUMIFS(L$5:L$639,$A$5:$A$639,$A281,$C$5:$C$639,$C281-1,$D$5:$D$639,$D281))-1)))</f>
        <v/>
      </c>
      <c r="U281" s="16">
        <f>IF(OR($A281="",M281="",$C281=""),"",IF(COUNTIFS($A$5:$A$639,$A281,$C$5:$C$639,$C281-1,$D$5:$D$639,$D281,M$5:M$639,"&lt;&gt;")=0,"",IF(OR(SUMIFS(M$5:M$639,$A$5:$A$639,$A281,$C$5:$C$639,$C281-1,$D$5:$D$639,$D281)=0,M281*SUMIFS(M$5:M$639,$A$5:$A$639,$A281,$C$5:$C$639,$C281-1,$D$5:$D$639,$D281)&lt;0),"n.s.",ABS(M281)/ABS(SUMIFS(M$5:M$639,$A$5:$A$639,$A281,$C$5:$C$639,$C281-1,$D$5:$D$639,$D281))-1)))</f>
        <v/>
      </c>
    </row>
    <row r="282">
      <c r="A282" s="9" t="inlineStr">
        <is>
          <t>UNXC</t>
        </is>
      </c>
      <c r="B282" s="10">
        <f>IF(A282="","",IFERROR(VLOOKUP(A282,Titres!$A$2:$B$400,2,FALSE),"Ticker inconnu"))</f>
        <v/>
      </c>
      <c r="C282" s="11" t="n">
        <v>2023</v>
      </c>
      <c r="D282" s="11" t="inlineStr">
        <is>
          <t>S1</t>
        </is>
      </c>
      <c r="E282" s="9" t="n"/>
      <c r="F282" s="12" t="n"/>
      <c r="G282" s="9" t="n"/>
      <c r="H282" s="13" t="n"/>
      <c r="I282" s="13" t="n"/>
      <c r="J282" s="13" t="n"/>
      <c r="K282" s="13" t="n"/>
      <c r="L282" s="13" t="n"/>
      <c r="M282" s="13" t="n"/>
      <c r="N282" s="14">
        <f>IF(A282="","",COUNT(H282:M282)/6)</f>
        <v/>
      </c>
      <c r="O282" s="15">
        <f>IF(COUNT(H282:M282)=0,"",IF(LEN(IF(COUNT(I282,J282)=2,IF(J282&gt;I282+1,"EBE &gt; VA ",""),"")&amp;IF(COUNT(H282,M282)=2,IF(ABS(M282)&gt;ABS(H282),"RN &gt; CA ",""),"")&amp;IF(COUNT(H282,K282)=2,IF(ABS(K282)&gt;ABS(H282),"RE &gt; CA ",""),""))=0,"OK",IF(COUNT(I282,J282)=2,IF(J282&gt;I282+1,"EBE &gt; VA ",""),"")&amp;IF(COUNT(H282,M282)=2,IF(ABS(M282)&gt;ABS(H282),"RN &gt; CA ",""),"")&amp;IF(COUNT(H282,K282)=2,IF(ABS(K282)&gt;ABS(H282),"RE &gt; CA ",""),"")))</f>
        <v/>
      </c>
      <c r="P282" s="16">
        <f>IF(OR($A282="",H282="",$C282=""),"",IF(COUNTIFS($A$5:$A$639,$A282,$C$5:$C$639,$C282-1,$D$5:$D$639,$D282,H$5:H$639,"&lt;&gt;")=0,"",IF(OR(SUMIFS(H$5:H$639,$A$5:$A$639,$A282,$C$5:$C$639,$C282-1,$D$5:$D$639,$D282)=0,H282*SUMIFS(H$5:H$639,$A$5:$A$639,$A282,$C$5:$C$639,$C282-1,$D$5:$D$639,$D282)&lt;0),"n.s.",ABS(H282)/ABS(SUMIFS(H$5:H$639,$A$5:$A$639,$A282,$C$5:$C$639,$C282-1,$D$5:$D$639,$D282))-1)))</f>
        <v/>
      </c>
      <c r="Q282" s="16">
        <f>IF(OR($A282="",I282="",$C282=""),"",IF(COUNTIFS($A$5:$A$639,$A282,$C$5:$C$639,$C282-1,$D$5:$D$639,$D282,I$5:I$639,"&lt;&gt;")=0,"",IF(OR(SUMIFS(I$5:I$639,$A$5:$A$639,$A282,$C$5:$C$639,$C282-1,$D$5:$D$639,$D282)=0,I282*SUMIFS(I$5:I$639,$A$5:$A$639,$A282,$C$5:$C$639,$C282-1,$D$5:$D$639,$D282)&lt;0),"n.s.",ABS(I282)/ABS(SUMIFS(I$5:I$639,$A$5:$A$639,$A282,$C$5:$C$639,$C282-1,$D$5:$D$639,$D282))-1)))</f>
        <v/>
      </c>
      <c r="R282" s="16">
        <f>IF(OR($A282="",J282="",$C282=""),"",IF(COUNTIFS($A$5:$A$639,$A282,$C$5:$C$639,$C282-1,$D$5:$D$639,$D282,J$5:J$639,"&lt;&gt;")=0,"",IF(OR(SUMIFS(J$5:J$639,$A$5:$A$639,$A282,$C$5:$C$639,$C282-1,$D$5:$D$639,$D282)=0,J282*SUMIFS(J$5:J$639,$A$5:$A$639,$A282,$C$5:$C$639,$C282-1,$D$5:$D$639,$D282)&lt;0),"n.s.",ABS(J282)/ABS(SUMIFS(J$5:J$639,$A$5:$A$639,$A282,$C$5:$C$639,$C282-1,$D$5:$D$639,$D282))-1)))</f>
        <v/>
      </c>
      <c r="S282" s="16">
        <f>IF(OR($A282="",K282="",$C282=""),"",IF(COUNTIFS($A$5:$A$639,$A282,$C$5:$C$639,$C282-1,$D$5:$D$639,$D282,K$5:K$639,"&lt;&gt;")=0,"",IF(OR(SUMIFS(K$5:K$639,$A$5:$A$639,$A282,$C$5:$C$639,$C282-1,$D$5:$D$639,$D282)=0,K282*SUMIFS(K$5:K$639,$A$5:$A$639,$A282,$C$5:$C$639,$C282-1,$D$5:$D$639,$D282)&lt;0),"n.s.",ABS(K282)/ABS(SUMIFS(K$5:K$639,$A$5:$A$639,$A282,$C$5:$C$639,$C282-1,$D$5:$D$639,$D282))-1)))</f>
        <v/>
      </c>
      <c r="T282" s="16">
        <f>IF(OR($A282="",L282="",$C282=""),"",IF(COUNTIFS($A$5:$A$639,$A282,$C$5:$C$639,$C282-1,$D$5:$D$639,$D282,L$5:L$639,"&lt;&gt;")=0,"",IF(OR(SUMIFS(L$5:L$639,$A$5:$A$639,$A282,$C$5:$C$639,$C282-1,$D$5:$D$639,$D282)=0,L282*SUMIFS(L$5:L$639,$A$5:$A$639,$A282,$C$5:$C$639,$C282-1,$D$5:$D$639,$D282)&lt;0),"n.s.",ABS(L282)/ABS(SUMIFS(L$5:L$639,$A$5:$A$639,$A282,$C$5:$C$639,$C282-1,$D$5:$D$639,$D282))-1)))</f>
        <v/>
      </c>
      <c r="U282" s="16">
        <f>IF(OR($A282="",M282="",$C282=""),"",IF(COUNTIFS($A$5:$A$639,$A282,$C$5:$C$639,$C282-1,$D$5:$D$639,$D282,M$5:M$639,"&lt;&gt;")=0,"",IF(OR(SUMIFS(M$5:M$639,$A$5:$A$639,$A282,$C$5:$C$639,$C282-1,$D$5:$D$639,$D282)=0,M282*SUMIFS(M$5:M$639,$A$5:$A$639,$A282,$C$5:$C$639,$C282-1,$D$5:$D$639,$D282)&lt;0),"n.s.",ABS(M282)/ABS(SUMIFS(M$5:M$639,$A$5:$A$639,$A282,$C$5:$C$639,$C282-1,$D$5:$D$639,$D282))-1)))</f>
        <v/>
      </c>
    </row>
    <row r="283">
      <c r="A283" s="9" t="inlineStr">
        <is>
          <t>UNXC</t>
        </is>
      </c>
      <c r="B283" s="10">
        <f>IF(A283="","",IFERROR(VLOOKUP(A283,Titres!$A$2:$B$400,2,FALSE),"Ticker inconnu"))</f>
        <v/>
      </c>
      <c r="C283" s="11" t="n">
        <v>2023</v>
      </c>
      <c r="D283" s="11" t="inlineStr">
        <is>
          <t>T3</t>
        </is>
      </c>
      <c r="E283" s="9" t="n"/>
      <c r="F283" s="12" t="n"/>
      <c r="G283" s="9" t="n"/>
      <c r="H283" s="13" t="n"/>
      <c r="I283" s="13" t="n"/>
      <c r="J283" s="13" t="n"/>
      <c r="K283" s="13" t="n"/>
      <c r="L283" s="13" t="n"/>
      <c r="M283" s="13" t="n"/>
      <c r="N283" s="14">
        <f>IF(A283="","",COUNT(H283:M283)/6)</f>
        <v/>
      </c>
      <c r="O283" s="15">
        <f>IF(COUNT(H283:M283)=0,"",IF(LEN(IF(COUNT(I283,J283)=2,IF(J283&gt;I283+1,"EBE &gt; VA ",""),"")&amp;IF(COUNT(H283,M283)=2,IF(ABS(M283)&gt;ABS(H283),"RN &gt; CA ",""),"")&amp;IF(COUNT(H283,K283)=2,IF(ABS(K283)&gt;ABS(H283),"RE &gt; CA ",""),""))=0,"OK",IF(COUNT(I283,J283)=2,IF(J283&gt;I283+1,"EBE &gt; VA ",""),"")&amp;IF(COUNT(H283,M283)=2,IF(ABS(M283)&gt;ABS(H283),"RN &gt; CA ",""),"")&amp;IF(COUNT(H283,K283)=2,IF(ABS(K283)&gt;ABS(H283),"RE &gt; CA ",""),"")))</f>
        <v/>
      </c>
      <c r="P283" s="16">
        <f>IF(OR($A283="",H283="",$C283=""),"",IF(COUNTIFS($A$5:$A$639,$A283,$C$5:$C$639,$C283-1,$D$5:$D$639,$D283,H$5:H$639,"&lt;&gt;")=0,"",IF(OR(SUMIFS(H$5:H$639,$A$5:$A$639,$A283,$C$5:$C$639,$C283-1,$D$5:$D$639,$D283)=0,H283*SUMIFS(H$5:H$639,$A$5:$A$639,$A283,$C$5:$C$639,$C283-1,$D$5:$D$639,$D283)&lt;0),"n.s.",ABS(H283)/ABS(SUMIFS(H$5:H$639,$A$5:$A$639,$A283,$C$5:$C$639,$C283-1,$D$5:$D$639,$D283))-1)))</f>
        <v/>
      </c>
      <c r="Q283" s="16">
        <f>IF(OR($A283="",I283="",$C283=""),"",IF(COUNTIFS($A$5:$A$639,$A283,$C$5:$C$639,$C283-1,$D$5:$D$639,$D283,I$5:I$639,"&lt;&gt;")=0,"",IF(OR(SUMIFS(I$5:I$639,$A$5:$A$639,$A283,$C$5:$C$639,$C283-1,$D$5:$D$639,$D283)=0,I283*SUMIFS(I$5:I$639,$A$5:$A$639,$A283,$C$5:$C$639,$C283-1,$D$5:$D$639,$D283)&lt;0),"n.s.",ABS(I283)/ABS(SUMIFS(I$5:I$639,$A$5:$A$639,$A283,$C$5:$C$639,$C283-1,$D$5:$D$639,$D283))-1)))</f>
        <v/>
      </c>
      <c r="R283" s="16">
        <f>IF(OR($A283="",J283="",$C283=""),"",IF(COUNTIFS($A$5:$A$639,$A283,$C$5:$C$639,$C283-1,$D$5:$D$639,$D283,J$5:J$639,"&lt;&gt;")=0,"",IF(OR(SUMIFS(J$5:J$639,$A$5:$A$639,$A283,$C$5:$C$639,$C283-1,$D$5:$D$639,$D283)=0,J283*SUMIFS(J$5:J$639,$A$5:$A$639,$A283,$C$5:$C$639,$C283-1,$D$5:$D$639,$D283)&lt;0),"n.s.",ABS(J283)/ABS(SUMIFS(J$5:J$639,$A$5:$A$639,$A283,$C$5:$C$639,$C283-1,$D$5:$D$639,$D283))-1)))</f>
        <v/>
      </c>
      <c r="S283" s="16">
        <f>IF(OR($A283="",K283="",$C283=""),"",IF(COUNTIFS($A$5:$A$639,$A283,$C$5:$C$639,$C283-1,$D$5:$D$639,$D283,K$5:K$639,"&lt;&gt;")=0,"",IF(OR(SUMIFS(K$5:K$639,$A$5:$A$639,$A283,$C$5:$C$639,$C283-1,$D$5:$D$639,$D283)=0,K283*SUMIFS(K$5:K$639,$A$5:$A$639,$A283,$C$5:$C$639,$C283-1,$D$5:$D$639,$D283)&lt;0),"n.s.",ABS(K283)/ABS(SUMIFS(K$5:K$639,$A$5:$A$639,$A283,$C$5:$C$639,$C283-1,$D$5:$D$639,$D283))-1)))</f>
        <v/>
      </c>
      <c r="T283" s="16">
        <f>IF(OR($A283="",L283="",$C283=""),"",IF(COUNTIFS($A$5:$A$639,$A283,$C$5:$C$639,$C283-1,$D$5:$D$639,$D283,L$5:L$639,"&lt;&gt;")=0,"",IF(OR(SUMIFS(L$5:L$639,$A$5:$A$639,$A283,$C$5:$C$639,$C283-1,$D$5:$D$639,$D283)=0,L283*SUMIFS(L$5:L$639,$A$5:$A$639,$A283,$C$5:$C$639,$C283-1,$D$5:$D$639,$D283)&lt;0),"n.s.",ABS(L283)/ABS(SUMIFS(L$5:L$639,$A$5:$A$639,$A283,$C$5:$C$639,$C283-1,$D$5:$D$639,$D283))-1)))</f>
        <v/>
      </c>
      <c r="U283" s="16">
        <f>IF(OR($A283="",M283="",$C283=""),"",IF(COUNTIFS($A$5:$A$639,$A283,$C$5:$C$639,$C283-1,$D$5:$D$639,$D283,M$5:M$639,"&lt;&gt;")=0,"",IF(OR(SUMIFS(M$5:M$639,$A$5:$A$639,$A283,$C$5:$C$639,$C283-1,$D$5:$D$639,$D283)=0,M283*SUMIFS(M$5:M$639,$A$5:$A$639,$A283,$C$5:$C$639,$C283-1,$D$5:$D$639,$D283)&lt;0),"n.s.",ABS(M283)/ABS(SUMIFS(M$5:M$639,$A$5:$A$639,$A283,$C$5:$C$639,$C283-1,$D$5:$D$639,$D283))-1)))</f>
        <v/>
      </c>
    </row>
    <row r="284">
      <c r="A284" s="9" t="inlineStr">
        <is>
          <t>UNXC</t>
        </is>
      </c>
      <c r="B284" s="10">
        <f>IF(A284="","",IFERROR(VLOOKUP(A284,Titres!$A$2:$B$400,2,FALSE),"Ticker inconnu"))</f>
        <v/>
      </c>
      <c r="C284" s="11" t="n">
        <v>2024</v>
      </c>
      <c r="D284" s="11" t="inlineStr">
        <is>
          <t>T1</t>
        </is>
      </c>
      <c r="E284" s="9" t="n"/>
      <c r="F284" s="12" t="n"/>
      <c r="G284" s="9" t="n"/>
      <c r="H284" s="13" t="n"/>
      <c r="I284" s="13" t="n"/>
      <c r="J284" s="13" t="n"/>
      <c r="K284" s="13" t="n"/>
      <c r="L284" s="13" t="n"/>
      <c r="M284" s="13" t="n"/>
      <c r="N284" s="14">
        <f>IF(A284="","",COUNT(H284:M284)/6)</f>
        <v/>
      </c>
      <c r="O284" s="15">
        <f>IF(COUNT(H284:M284)=0,"",IF(LEN(IF(COUNT(I284,J284)=2,IF(J284&gt;I284+1,"EBE &gt; VA ",""),"")&amp;IF(COUNT(H284,M284)=2,IF(ABS(M284)&gt;ABS(H284),"RN &gt; CA ",""),"")&amp;IF(COUNT(H284,K284)=2,IF(ABS(K284)&gt;ABS(H284),"RE &gt; CA ",""),""))=0,"OK",IF(COUNT(I284,J284)=2,IF(J284&gt;I284+1,"EBE &gt; VA ",""),"")&amp;IF(COUNT(H284,M284)=2,IF(ABS(M284)&gt;ABS(H284),"RN &gt; CA ",""),"")&amp;IF(COUNT(H284,K284)=2,IF(ABS(K284)&gt;ABS(H284),"RE &gt; CA ",""),"")))</f>
        <v/>
      </c>
      <c r="P284" s="16">
        <f>IF(OR($A284="",H284="",$C284=""),"",IF(COUNTIFS($A$5:$A$639,$A284,$C$5:$C$639,$C284-1,$D$5:$D$639,$D284,H$5:H$639,"&lt;&gt;")=0,"",IF(OR(SUMIFS(H$5:H$639,$A$5:$A$639,$A284,$C$5:$C$639,$C284-1,$D$5:$D$639,$D284)=0,H284*SUMIFS(H$5:H$639,$A$5:$A$639,$A284,$C$5:$C$639,$C284-1,$D$5:$D$639,$D284)&lt;0),"n.s.",ABS(H284)/ABS(SUMIFS(H$5:H$639,$A$5:$A$639,$A284,$C$5:$C$639,$C284-1,$D$5:$D$639,$D284))-1)))</f>
        <v/>
      </c>
      <c r="Q284" s="16">
        <f>IF(OR($A284="",I284="",$C284=""),"",IF(COUNTIFS($A$5:$A$639,$A284,$C$5:$C$639,$C284-1,$D$5:$D$639,$D284,I$5:I$639,"&lt;&gt;")=0,"",IF(OR(SUMIFS(I$5:I$639,$A$5:$A$639,$A284,$C$5:$C$639,$C284-1,$D$5:$D$639,$D284)=0,I284*SUMIFS(I$5:I$639,$A$5:$A$639,$A284,$C$5:$C$639,$C284-1,$D$5:$D$639,$D284)&lt;0),"n.s.",ABS(I284)/ABS(SUMIFS(I$5:I$639,$A$5:$A$639,$A284,$C$5:$C$639,$C284-1,$D$5:$D$639,$D284))-1)))</f>
        <v/>
      </c>
      <c r="R284" s="16">
        <f>IF(OR($A284="",J284="",$C284=""),"",IF(COUNTIFS($A$5:$A$639,$A284,$C$5:$C$639,$C284-1,$D$5:$D$639,$D284,J$5:J$639,"&lt;&gt;")=0,"",IF(OR(SUMIFS(J$5:J$639,$A$5:$A$639,$A284,$C$5:$C$639,$C284-1,$D$5:$D$639,$D284)=0,J284*SUMIFS(J$5:J$639,$A$5:$A$639,$A284,$C$5:$C$639,$C284-1,$D$5:$D$639,$D284)&lt;0),"n.s.",ABS(J284)/ABS(SUMIFS(J$5:J$639,$A$5:$A$639,$A284,$C$5:$C$639,$C284-1,$D$5:$D$639,$D284))-1)))</f>
        <v/>
      </c>
      <c r="S284" s="16">
        <f>IF(OR($A284="",K284="",$C284=""),"",IF(COUNTIFS($A$5:$A$639,$A284,$C$5:$C$639,$C284-1,$D$5:$D$639,$D284,K$5:K$639,"&lt;&gt;")=0,"",IF(OR(SUMIFS(K$5:K$639,$A$5:$A$639,$A284,$C$5:$C$639,$C284-1,$D$5:$D$639,$D284)=0,K284*SUMIFS(K$5:K$639,$A$5:$A$639,$A284,$C$5:$C$639,$C284-1,$D$5:$D$639,$D284)&lt;0),"n.s.",ABS(K284)/ABS(SUMIFS(K$5:K$639,$A$5:$A$639,$A284,$C$5:$C$639,$C284-1,$D$5:$D$639,$D284))-1)))</f>
        <v/>
      </c>
      <c r="T284" s="16">
        <f>IF(OR($A284="",L284="",$C284=""),"",IF(COUNTIFS($A$5:$A$639,$A284,$C$5:$C$639,$C284-1,$D$5:$D$639,$D284,L$5:L$639,"&lt;&gt;")=0,"",IF(OR(SUMIFS(L$5:L$639,$A$5:$A$639,$A284,$C$5:$C$639,$C284-1,$D$5:$D$639,$D284)=0,L284*SUMIFS(L$5:L$639,$A$5:$A$639,$A284,$C$5:$C$639,$C284-1,$D$5:$D$639,$D284)&lt;0),"n.s.",ABS(L284)/ABS(SUMIFS(L$5:L$639,$A$5:$A$639,$A284,$C$5:$C$639,$C284-1,$D$5:$D$639,$D284))-1)))</f>
        <v/>
      </c>
      <c r="U284" s="16">
        <f>IF(OR($A284="",M284="",$C284=""),"",IF(COUNTIFS($A$5:$A$639,$A284,$C$5:$C$639,$C284-1,$D$5:$D$639,$D284,M$5:M$639,"&lt;&gt;")=0,"",IF(OR(SUMIFS(M$5:M$639,$A$5:$A$639,$A284,$C$5:$C$639,$C284-1,$D$5:$D$639,$D284)=0,M284*SUMIFS(M$5:M$639,$A$5:$A$639,$A284,$C$5:$C$639,$C284-1,$D$5:$D$639,$D284)&lt;0),"n.s.",ABS(M284)/ABS(SUMIFS(M$5:M$639,$A$5:$A$639,$A284,$C$5:$C$639,$C284-1,$D$5:$D$639,$D284))-1)))</f>
        <v/>
      </c>
    </row>
    <row r="285">
      <c r="A285" s="9" t="inlineStr">
        <is>
          <t>UNXC</t>
        </is>
      </c>
      <c r="B285" s="10">
        <f>IF(A285="","",IFERROR(VLOOKUP(A285,Titres!$A$2:$B$400,2,FALSE),"Ticker inconnu"))</f>
        <v/>
      </c>
      <c r="C285" s="11" t="n">
        <v>2024</v>
      </c>
      <c r="D285" s="11" t="inlineStr">
        <is>
          <t>S1</t>
        </is>
      </c>
      <c r="E285" s="9" t="n"/>
      <c r="F285" s="12" t="n"/>
      <c r="G285" s="9" t="n"/>
      <c r="H285" s="13" t="n"/>
      <c r="I285" s="13" t="n"/>
      <c r="J285" s="13" t="n"/>
      <c r="K285" s="13" t="n"/>
      <c r="L285" s="13" t="n"/>
      <c r="M285" s="13" t="n"/>
      <c r="N285" s="14">
        <f>IF(A285="","",COUNT(H285:M285)/6)</f>
        <v/>
      </c>
      <c r="O285" s="15">
        <f>IF(COUNT(H285:M285)=0,"",IF(LEN(IF(COUNT(I285,J285)=2,IF(J285&gt;I285+1,"EBE &gt; VA ",""),"")&amp;IF(COUNT(H285,M285)=2,IF(ABS(M285)&gt;ABS(H285),"RN &gt; CA ",""),"")&amp;IF(COUNT(H285,K285)=2,IF(ABS(K285)&gt;ABS(H285),"RE &gt; CA ",""),""))=0,"OK",IF(COUNT(I285,J285)=2,IF(J285&gt;I285+1,"EBE &gt; VA ",""),"")&amp;IF(COUNT(H285,M285)=2,IF(ABS(M285)&gt;ABS(H285),"RN &gt; CA ",""),"")&amp;IF(COUNT(H285,K285)=2,IF(ABS(K285)&gt;ABS(H285),"RE &gt; CA ",""),"")))</f>
        <v/>
      </c>
      <c r="P285" s="16">
        <f>IF(OR($A285="",H285="",$C285=""),"",IF(COUNTIFS($A$5:$A$639,$A285,$C$5:$C$639,$C285-1,$D$5:$D$639,$D285,H$5:H$639,"&lt;&gt;")=0,"",IF(OR(SUMIFS(H$5:H$639,$A$5:$A$639,$A285,$C$5:$C$639,$C285-1,$D$5:$D$639,$D285)=0,H285*SUMIFS(H$5:H$639,$A$5:$A$639,$A285,$C$5:$C$639,$C285-1,$D$5:$D$639,$D285)&lt;0),"n.s.",ABS(H285)/ABS(SUMIFS(H$5:H$639,$A$5:$A$639,$A285,$C$5:$C$639,$C285-1,$D$5:$D$639,$D285))-1)))</f>
        <v/>
      </c>
      <c r="Q285" s="16">
        <f>IF(OR($A285="",I285="",$C285=""),"",IF(COUNTIFS($A$5:$A$639,$A285,$C$5:$C$639,$C285-1,$D$5:$D$639,$D285,I$5:I$639,"&lt;&gt;")=0,"",IF(OR(SUMIFS(I$5:I$639,$A$5:$A$639,$A285,$C$5:$C$639,$C285-1,$D$5:$D$639,$D285)=0,I285*SUMIFS(I$5:I$639,$A$5:$A$639,$A285,$C$5:$C$639,$C285-1,$D$5:$D$639,$D285)&lt;0),"n.s.",ABS(I285)/ABS(SUMIFS(I$5:I$639,$A$5:$A$639,$A285,$C$5:$C$639,$C285-1,$D$5:$D$639,$D285))-1)))</f>
        <v/>
      </c>
      <c r="R285" s="16">
        <f>IF(OR($A285="",J285="",$C285=""),"",IF(COUNTIFS($A$5:$A$639,$A285,$C$5:$C$639,$C285-1,$D$5:$D$639,$D285,J$5:J$639,"&lt;&gt;")=0,"",IF(OR(SUMIFS(J$5:J$639,$A$5:$A$639,$A285,$C$5:$C$639,$C285-1,$D$5:$D$639,$D285)=0,J285*SUMIFS(J$5:J$639,$A$5:$A$639,$A285,$C$5:$C$639,$C285-1,$D$5:$D$639,$D285)&lt;0),"n.s.",ABS(J285)/ABS(SUMIFS(J$5:J$639,$A$5:$A$639,$A285,$C$5:$C$639,$C285-1,$D$5:$D$639,$D285))-1)))</f>
        <v/>
      </c>
      <c r="S285" s="16">
        <f>IF(OR($A285="",K285="",$C285=""),"",IF(COUNTIFS($A$5:$A$639,$A285,$C$5:$C$639,$C285-1,$D$5:$D$639,$D285,K$5:K$639,"&lt;&gt;")=0,"",IF(OR(SUMIFS(K$5:K$639,$A$5:$A$639,$A285,$C$5:$C$639,$C285-1,$D$5:$D$639,$D285)=0,K285*SUMIFS(K$5:K$639,$A$5:$A$639,$A285,$C$5:$C$639,$C285-1,$D$5:$D$639,$D285)&lt;0),"n.s.",ABS(K285)/ABS(SUMIFS(K$5:K$639,$A$5:$A$639,$A285,$C$5:$C$639,$C285-1,$D$5:$D$639,$D285))-1)))</f>
        <v/>
      </c>
      <c r="T285" s="16">
        <f>IF(OR($A285="",L285="",$C285=""),"",IF(COUNTIFS($A$5:$A$639,$A285,$C$5:$C$639,$C285-1,$D$5:$D$639,$D285,L$5:L$639,"&lt;&gt;")=0,"",IF(OR(SUMIFS(L$5:L$639,$A$5:$A$639,$A285,$C$5:$C$639,$C285-1,$D$5:$D$639,$D285)=0,L285*SUMIFS(L$5:L$639,$A$5:$A$639,$A285,$C$5:$C$639,$C285-1,$D$5:$D$639,$D285)&lt;0),"n.s.",ABS(L285)/ABS(SUMIFS(L$5:L$639,$A$5:$A$639,$A285,$C$5:$C$639,$C285-1,$D$5:$D$639,$D285))-1)))</f>
        <v/>
      </c>
      <c r="U285" s="16">
        <f>IF(OR($A285="",M285="",$C285=""),"",IF(COUNTIFS($A$5:$A$639,$A285,$C$5:$C$639,$C285-1,$D$5:$D$639,$D285,M$5:M$639,"&lt;&gt;")=0,"",IF(OR(SUMIFS(M$5:M$639,$A$5:$A$639,$A285,$C$5:$C$639,$C285-1,$D$5:$D$639,$D285)=0,M285*SUMIFS(M$5:M$639,$A$5:$A$639,$A285,$C$5:$C$639,$C285-1,$D$5:$D$639,$D285)&lt;0),"n.s.",ABS(M285)/ABS(SUMIFS(M$5:M$639,$A$5:$A$639,$A285,$C$5:$C$639,$C285-1,$D$5:$D$639,$D285))-1)))</f>
        <v/>
      </c>
    </row>
    <row r="286">
      <c r="A286" s="9" t="inlineStr">
        <is>
          <t>UNXC</t>
        </is>
      </c>
      <c r="B286" s="10">
        <f>IF(A286="","",IFERROR(VLOOKUP(A286,Titres!$A$2:$B$400,2,FALSE),"Ticker inconnu"))</f>
        <v/>
      </c>
      <c r="C286" s="11" t="n">
        <v>2024</v>
      </c>
      <c r="D286" s="11" t="inlineStr">
        <is>
          <t>T3</t>
        </is>
      </c>
      <c r="E286" s="9" t="n"/>
      <c r="F286" s="12" t="n"/>
      <c r="G286" s="9" t="n"/>
      <c r="H286" s="13" t="n"/>
      <c r="I286" s="13" t="n"/>
      <c r="J286" s="13" t="n"/>
      <c r="K286" s="13" t="n"/>
      <c r="L286" s="13" t="n"/>
      <c r="M286" s="13" t="n"/>
      <c r="N286" s="14">
        <f>IF(A286="","",COUNT(H286:M286)/6)</f>
        <v/>
      </c>
      <c r="O286" s="15">
        <f>IF(COUNT(H286:M286)=0,"",IF(LEN(IF(COUNT(I286,J286)=2,IF(J286&gt;I286+1,"EBE &gt; VA ",""),"")&amp;IF(COUNT(H286,M286)=2,IF(ABS(M286)&gt;ABS(H286),"RN &gt; CA ",""),"")&amp;IF(COUNT(H286,K286)=2,IF(ABS(K286)&gt;ABS(H286),"RE &gt; CA ",""),""))=0,"OK",IF(COUNT(I286,J286)=2,IF(J286&gt;I286+1,"EBE &gt; VA ",""),"")&amp;IF(COUNT(H286,M286)=2,IF(ABS(M286)&gt;ABS(H286),"RN &gt; CA ",""),"")&amp;IF(COUNT(H286,K286)=2,IF(ABS(K286)&gt;ABS(H286),"RE &gt; CA ",""),"")))</f>
        <v/>
      </c>
      <c r="P286" s="16">
        <f>IF(OR($A286="",H286="",$C286=""),"",IF(COUNTIFS($A$5:$A$639,$A286,$C$5:$C$639,$C286-1,$D$5:$D$639,$D286,H$5:H$639,"&lt;&gt;")=0,"",IF(OR(SUMIFS(H$5:H$639,$A$5:$A$639,$A286,$C$5:$C$639,$C286-1,$D$5:$D$639,$D286)=0,H286*SUMIFS(H$5:H$639,$A$5:$A$639,$A286,$C$5:$C$639,$C286-1,$D$5:$D$639,$D286)&lt;0),"n.s.",ABS(H286)/ABS(SUMIFS(H$5:H$639,$A$5:$A$639,$A286,$C$5:$C$639,$C286-1,$D$5:$D$639,$D286))-1)))</f>
        <v/>
      </c>
      <c r="Q286" s="16">
        <f>IF(OR($A286="",I286="",$C286=""),"",IF(COUNTIFS($A$5:$A$639,$A286,$C$5:$C$639,$C286-1,$D$5:$D$639,$D286,I$5:I$639,"&lt;&gt;")=0,"",IF(OR(SUMIFS(I$5:I$639,$A$5:$A$639,$A286,$C$5:$C$639,$C286-1,$D$5:$D$639,$D286)=0,I286*SUMIFS(I$5:I$639,$A$5:$A$639,$A286,$C$5:$C$639,$C286-1,$D$5:$D$639,$D286)&lt;0),"n.s.",ABS(I286)/ABS(SUMIFS(I$5:I$639,$A$5:$A$639,$A286,$C$5:$C$639,$C286-1,$D$5:$D$639,$D286))-1)))</f>
        <v/>
      </c>
      <c r="R286" s="16">
        <f>IF(OR($A286="",J286="",$C286=""),"",IF(COUNTIFS($A$5:$A$639,$A286,$C$5:$C$639,$C286-1,$D$5:$D$639,$D286,J$5:J$639,"&lt;&gt;")=0,"",IF(OR(SUMIFS(J$5:J$639,$A$5:$A$639,$A286,$C$5:$C$639,$C286-1,$D$5:$D$639,$D286)=0,J286*SUMIFS(J$5:J$639,$A$5:$A$639,$A286,$C$5:$C$639,$C286-1,$D$5:$D$639,$D286)&lt;0),"n.s.",ABS(J286)/ABS(SUMIFS(J$5:J$639,$A$5:$A$639,$A286,$C$5:$C$639,$C286-1,$D$5:$D$639,$D286))-1)))</f>
        <v/>
      </c>
      <c r="S286" s="16">
        <f>IF(OR($A286="",K286="",$C286=""),"",IF(COUNTIFS($A$5:$A$639,$A286,$C$5:$C$639,$C286-1,$D$5:$D$639,$D286,K$5:K$639,"&lt;&gt;")=0,"",IF(OR(SUMIFS(K$5:K$639,$A$5:$A$639,$A286,$C$5:$C$639,$C286-1,$D$5:$D$639,$D286)=0,K286*SUMIFS(K$5:K$639,$A$5:$A$639,$A286,$C$5:$C$639,$C286-1,$D$5:$D$639,$D286)&lt;0),"n.s.",ABS(K286)/ABS(SUMIFS(K$5:K$639,$A$5:$A$639,$A286,$C$5:$C$639,$C286-1,$D$5:$D$639,$D286))-1)))</f>
        <v/>
      </c>
      <c r="T286" s="16">
        <f>IF(OR($A286="",L286="",$C286=""),"",IF(COUNTIFS($A$5:$A$639,$A286,$C$5:$C$639,$C286-1,$D$5:$D$639,$D286,L$5:L$639,"&lt;&gt;")=0,"",IF(OR(SUMIFS(L$5:L$639,$A$5:$A$639,$A286,$C$5:$C$639,$C286-1,$D$5:$D$639,$D286)=0,L286*SUMIFS(L$5:L$639,$A$5:$A$639,$A286,$C$5:$C$639,$C286-1,$D$5:$D$639,$D286)&lt;0),"n.s.",ABS(L286)/ABS(SUMIFS(L$5:L$639,$A$5:$A$639,$A286,$C$5:$C$639,$C286-1,$D$5:$D$639,$D286))-1)))</f>
        <v/>
      </c>
      <c r="U286" s="16">
        <f>IF(OR($A286="",M286="",$C286=""),"",IF(COUNTIFS($A$5:$A$639,$A286,$C$5:$C$639,$C286-1,$D$5:$D$639,$D286,M$5:M$639,"&lt;&gt;")=0,"",IF(OR(SUMIFS(M$5:M$639,$A$5:$A$639,$A286,$C$5:$C$639,$C286-1,$D$5:$D$639,$D286)=0,M286*SUMIFS(M$5:M$639,$A$5:$A$639,$A286,$C$5:$C$639,$C286-1,$D$5:$D$639,$D286)&lt;0),"n.s.",ABS(M286)/ABS(SUMIFS(M$5:M$639,$A$5:$A$639,$A286,$C$5:$C$639,$C286-1,$D$5:$D$639,$D286))-1)))</f>
        <v/>
      </c>
    </row>
    <row r="287">
      <c r="A287" s="9" t="inlineStr">
        <is>
          <t>UNXC</t>
        </is>
      </c>
      <c r="B287" s="10">
        <f>IF(A287="","",IFERROR(VLOOKUP(A287,Titres!$A$2:$B$400,2,FALSE),"Ticker inconnu"))</f>
        <v/>
      </c>
      <c r="C287" s="11" t="n">
        <v>2025</v>
      </c>
      <c r="D287" s="11" t="inlineStr">
        <is>
          <t>T1</t>
        </is>
      </c>
      <c r="E287" s="9" t="n"/>
      <c r="F287" s="12" t="n"/>
      <c r="G287" s="9" t="n"/>
      <c r="H287" s="13" t="n"/>
      <c r="I287" s="13" t="n"/>
      <c r="J287" s="13" t="n"/>
      <c r="K287" s="13" t="n"/>
      <c r="L287" s="13" t="n"/>
      <c r="M287" s="13" t="n"/>
      <c r="N287" s="14">
        <f>IF(A287="","",COUNT(H287:M287)/6)</f>
        <v/>
      </c>
      <c r="O287" s="15">
        <f>IF(COUNT(H287:M287)=0,"",IF(LEN(IF(COUNT(I287,J287)=2,IF(J287&gt;I287+1,"EBE &gt; VA ",""),"")&amp;IF(COUNT(H287,M287)=2,IF(ABS(M287)&gt;ABS(H287),"RN &gt; CA ",""),"")&amp;IF(COUNT(H287,K287)=2,IF(ABS(K287)&gt;ABS(H287),"RE &gt; CA ",""),""))=0,"OK",IF(COUNT(I287,J287)=2,IF(J287&gt;I287+1,"EBE &gt; VA ",""),"")&amp;IF(COUNT(H287,M287)=2,IF(ABS(M287)&gt;ABS(H287),"RN &gt; CA ",""),"")&amp;IF(COUNT(H287,K287)=2,IF(ABS(K287)&gt;ABS(H287),"RE &gt; CA ",""),"")))</f>
        <v/>
      </c>
      <c r="P287" s="16">
        <f>IF(OR($A287="",H287="",$C287=""),"",IF(COUNTIFS($A$5:$A$639,$A287,$C$5:$C$639,$C287-1,$D$5:$D$639,$D287,H$5:H$639,"&lt;&gt;")=0,"",IF(OR(SUMIFS(H$5:H$639,$A$5:$A$639,$A287,$C$5:$C$639,$C287-1,$D$5:$D$639,$D287)=0,H287*SUMIFS(H$5:H$639,$A$5:$A$639,$A287,$C$5:$C$639,$C287-1,$D$5:$D$639,$D287)&lt;0),"n.s.",ABS(H287)/ABS(SUMIFS(H$5:H$639,$A$5:$A$639,$A287,$C$5:$C$639,$C287-1,$D$5:$D$639,$D287))-1)))</f>
        <v/>
      </c>
      <c r="Q287" s="16">
        <f>IF(OR($A287="",I287="",$C287=""),"",IF(COUNTIFS($A$5:$A$639,$A287,$C$5:$C$639,$C287-1,$D$5:$D$639,$D287,I$5:I$639,"&lt;&gt;")=0,"",IF(OR(SUMIFS(I$5:I$639,$A$5:$A$639,$A287,$C$5:$C$639,$C287-1,$D$5:$D$639,$D287)=0,I287*SUMIFS(I$5:I$639,$A$5:$A$639,$A287,$C$5:$C$639,$C287-1,$D$5:$D$639,$D287)&lt;0),"n.s.",ABS(I287)/ABS(SUMIFS(I$5:I$639,$A$5:$A$639,$A287,$C$5:$C$639,$C287-1,$D$5:$D$639,$D287))-1)))</f>
        <v/>
      </c>
      <c r="R287" s="16">
        <f>IF(OR($A287="",J287="",$C287=""),"",IF(COUNTIFS($A$5:$A$639,$A287,$C$5:$C$639,$C287-1,$D$5:$D$639,$D287,J$5:J$639,"&lt;&gt;")=0,"",IF(OR(SUMIFS(J$5:J$639,$A$5:$A$639,$A287,$C$5:$C$639,$C287-1,$D$5:$D$639,$D287)=0,J287*SUMIFS(J$5:J$639,$A$5:$A$639,$A287,$C$5:$C$639,$C287-1,$D$5:$D$639,$D287)&lt;0),"n.s.",ABS(J287)/ABS(SUMIFS(J$5:J$639,$A$5:$A$639,$A287,$C$5:$C$639,$C287-1,$D$5:$D$639,$D287))-1)))</f>
        <v/>
      </c>
      <c r="S287" s="16">
        <f>IF(OR($A287="",K287="",$C287=""),"",IF(COUNTIFS($A$5:$A$639,$A287,$C$5:$C$639,$C287-1,$D$5:$D$639,$D287,K$5:K$639,"&lt;&gt;")=0,"",IF(OR(SUMIFS(K$5:K$639,$A$5:$A$639,$A287,$C$5:$C$639,$C287-1,$D$5:$D$639,$D287)=0,K287*SUMIFS(K$5:K$639,$A$5:$A$639,$A287,$C$5:$C$639,$C287-1,$D$5:$D$639,$D287)&lt;0),"n.s.",ABS(K287)/ABS(SUMIFS(K$5:K$639,$A$5:$A$639,$A287,$C$5:$C$639,$C287-1,$D$5:$D$639,$D287))-1)))</f>
        <v/>
      </c>
      <c r="T287" s="16">
        <f>IF(OR($A287="",L287="",$C287=""),"",IF(COUNTIFS($A$5:$A$639,$A287,$C$5:$C$639,$C287-1,$D$5:$D$639,$D287,L$5:L$639,"&lt;&gt;")=0,"",IF(OR(SUMIFS(L$5:L$639,$A$5:$A$639,$A287,$C$5:$C$639,$C287-1,$D$5:$D$639,$D287)=0,L287*SUMIFS(L$5:L$639,$A$5:$A$639,$A287,$C$5:$C$639,$C287-1,$D$5:$D$639,$D287)&lt;0),"n.s.",ABS(L287)/ABS(SUMIFS(L$5:L$639,$A$5:$A$639,$A287,$C$5:$C$639,$C287-1,$D$5:$D$639,$D287))-1)))</f>
        <v/>
      </c>
      <c r="U287" s="16">
        <f>IF(OR($A287="",M287="",$C287=""),"",IF(COUNTIFS($A$5:$A$639,$A287,$C$5:$C$639,$C287-1,$D$5:$D$639,$D287,M$5:M$639,"&lt;&gt;")=0,"",IF(OR(SUMIFS(M$5:M$639,$A$5:$A$639,$A287,$C$5:$C$639,$C287-1,$D$5:$D$639,$D287)=0,M287*SUMIFS(M$5:M$639,$A$5:$A$639,$A287,$C$5:$C$639,$C287-1,$D$5:$D$639,$D287)&lt;0),"n.s.",ABS(M287)/ABS(SUMIFS(M$5:M$639,$A$5:$A$639,$A287,$C$5:$C$639,$C287-1,$D$5:$D$639,$D287))-1)))</f>
        <v/>
      </c>
    </row>
    <row r="288">
      <c r="A288" s="9" t="inlineStr">
        <is>
          <t>UNXC</t>
        </is>
      </c>
      <c r="B288" s="10">
        <f>IF(A288="","",IFERROR(VLOOKUP(A288,Titres!$A$2:$B$400,2,FALSE),"Ticker inconnu"))</f>
        <v/>
      </c>
      <c r="C288" s="11" t="n">
        <v>2025</v>
      </c>
      <c r="D288" s="11" t="inlineStr">
        <is>
          <t>S1</t>
        </is>
      </c>
      <c r="E288" s="9" t="inlineStr">
        <is>
          <t>Publié</t>
        </is>
      </c>
      <c r="F288" s="12" t="n">
        <v>46216</v>
      </c>
      <c r="G288" s="9" t="inlineStr">
        <is>
          <t>https://www.richbourse.com/common/actualite/afficher-fichier/13-07-2026-uniwax-ci-rapport-dactivites-1er-semestre-2026 (comparatif N-1)</t>
        </is>
      </c>
      <c r="H288" s="13" t="n">
        <v>15711.008</v>
      </c>
      <c r="I288" s="13" t="n"/>
      <c r="J288" s="13" t="n"/>
      <c r="K288" s="13" t="n">
        <v>-314.22</v>
      </c>
      <c r="L288" s="13" t="n">
        <v>-330.043</v>
      </c>
      <c r="M288" s="13" t="n">
        <v>8216.545</v>
      </c>
      <c r="N288" s="14">
        <f>IF(A288="","",COUNT(H288:M288)/6)</f>
        <v/>
      </c>
      <c r="O288" s="15">
        <f>IF(COUNT(H288:M288)=0,"",IF(LEN(IF(COUNT(I288,J288)=2,IF(J288&gt;I288+1,"EBE &gt; VA ",""),"")&amp;IF(COUNT(H288,M288)=2,IF(ABS(M288)&gt;ABS(H288),"RN &gt; CA ",""),"")&amp;IF(COUNT(H288,K288)=2,IF(ABS(K288)&gt;ABS(H288),"RE &gt; CA ",""),""))=0,"OK",IF(COUNT(I288,J288)=2,IF(J288&gt;I288+1,"EBE &gt; VA ",""),"")&amp;IF(COUNT(H288,M288)=2,IF(ABS(M288)&gt;ABS(H288),"RN &gt; CA ",""),"")&amp;IF(COUNT(H288,K288)=2,IF(ABS(K288)&gt;ABS(H288),"RE &gt; CA ",""),"")))</f>
        <v/>
      </c>
      <c r="P288" s="16">
        <f>IF(OR($A288="",H288="",$C288=""),"",IF(COUNTIFS($A$5:$A$639,$A288,$C$5:$C$639,$C288-1,$D$5:$D$639,$D288,H$5:H$639,"&lt;&gt;")=0,"",IF(OR(SUMIFS(H$5:H$639,$A$5:$A$639,$A288,$C$5:$C$639,$C288-1,$D$5:$D$639,$D288)=0,H288*SUMIFS(H$5:H$639,$A$5:$A$639,$A288,$C$5:$C$639,$C288-1,$D$5:$D$639,$D288)&lt;0),"n.s.",ABS(H288)/ABS(SUMIFS(H$5:H$639,$A$5:$A$639,$A288,$C$5:$C$639,$C288-1,$D$5:$D$639,$D288))-1)))</f>
        <v/>
      </c>
      <c r="Q288" s="16">
        <f>IF(OR($A288="",I288="",$C288=""),"",IF(COUNTIFS($A$5:$A$639,$A288,$C$5:$C$639,$C288-1,$D$5:$D$639,$D288,I$5:I$639,"&lt;&gt;")=0,"",IF(OR(SUMIFS(I$5:I$639,$A$5:$A$639,$A288,$C$5:$C$639,$C288-1,$D$5:$D$639,$D288)=0,I288*SUMIFS(I$5:I$639,$A$5:$A$639,$A288,$C$5:$C$639,$C288-1,$D$5:$D$639,$D288)&lt;0),"n.s.",ABS(I288)/ABS(SUMIFS(I$5:I$639,$A$5:$A$639,$A288,$C$5:$C$639,$C288-1,$D$5:$D$639,$D288))-1)))</f>
        <v/>
      </c>
      <c r="R288" s="16">
        <f>IF(OR($A288="",J288="",$C288=""),"",IF(COUNTIFS($A$5:$A$639,$A288,$C$5:$C$639,$C288-1,$D$5:$D$639,$D288,J$5:J$639,"&lt;&gt;")=0,"",IF(OR(SUMIFS(J$5:J$639,$A$5:$A$639,$A288,$C$5:$C$639,$C288-1,$D$5:$D$639,$D288)=0,J288*SUMIFS(J$5:J$639,$A$5:$A$639,$A288,$C$5:$C$639,$C288-1,$D$5:$D$639,$D288)&lt;0),"n.s.",ABS(J288)/ABS(SUMIFS(J$5:J$639,$A$5:$A$639,$A288,$C$5:$C$639,$C288-1,$D$5:$D$639,$D288))-1)))</f>
        <v/>
      </c>
      <c r="S288" s="16">
        <f>IF(OR($A288="",K288="",$C288=""),"",IF(COUNTIFS($A$5:$A$639,$A288,$C$5:$C$639,$C288-1,$D$5:$D$639,$D288,K$5:K$639,"&lt;&gt;")=0,"",IF(OR(SUMIFS(K$5:K$639,$A$5:$A$639,$A288,$C$5:$C$639,$C288-1,$D$5:$D$639,$D288)=0,K288*SUMIFS(K$5:K$639,$A$5:$A$639,$A288,$C$5:$C$639,$C288-1,$D$5:$D$639,$D288)&lt;0),"n.s.",ABS(K288)/ABS(SUMIFS(K$5:K$639,$A$5:$A$639,$A288,$C$5:$C$639,$C288-1,$D$5:$D$639,$D288))-1)))</f>
        <v/>
      </c>
      <c r="T288" s="16">
        <f>IF(OR($A288="",L288="",$C288=""),"",IF(COUNTIFS($A$5:$A$639,$A288,$C$5:$C$639,$C288-1,$D$5:$D$639,$D288,L$5:L$639,"&lt;&gt;")=0,"",IF(OR(SUMIFS(L$5:L$639,$A$5:$A$639,$A288,$C$5:$C$639,$C288-1,$D$5:$D$639,$D288)=0,L288*SUMIFS(L$5:L$639,$A$5:$A$639,$A288,$C$5:$C$639,$C288-1,$D$5:$D$639,$D288)&lt;0),"n.s.",ABS(L288)/ABS(SUMIFS(L$5:L$639,$A$5:$A$639,$A288,$C$5:$C$639,$C288-1,$D$5:$D$639,$D288))-1)))</f>
        <v/>
      </c>
      <c r="U288" s="16">
        <f>IF(OR($A288="",M288="",$C288=""),"",IF(COUNTIFS($A$5:$A$639,$A288,$C$5:$C$639,$C288-1,$D$5:$D$639,$D288,M$5:M$639,"&lt;&gt;")=0,"",IF(OR(SUMIFS(M$5:M$639,$A$5:$A$639,$A288,$C$5:$C$639,$C288-1,$D$5:$D$639,$D288)=0,M288*SUMIFS(M$5:M$639,$A$5:$A$639,$A288,$C$5:$C$639,$C288-1,$D$5:$D$639,$D288)&lt;0),"n.s.",ABS(M288)/ABS(SUMIFS(M$5:M$639,$A$5:$A$639,$A288,$C$5:$C$639,$C288-1,$D$5:$D$639,$D288))-1)))</f>
        <v/>
      </c>
    </row>
    <row r="289">
      <c r="A289" s="9" t="inlineStr">
        <is>
          <t>UNXC</t>
        </is>
      </c>
      <c r="B289" s="10">
        <f>IF(A289="","",IFERROR(VLOOKUP(A289,Titres!$A$2:$B$400,2,FALSE),"Ticker inconnu"))</f>
        <v/>
      </c>
      <c r="C289" s="11" t="n">
        <v>2025</v>
      </c>
      <c r="D289" s="11" t="inlineStr">
        <is>
          <t>T3</t>
        </is>
      </c>
      <c r="E289" s="9" t="n"/>
      <c r="F289" s="12" t="n"/>
      <c r="G289" s="9" t="n"/>
      <c r="H289" s="13" t="n"/>
      <c r="I289" s="13" t="n"/>
      <c r="J289" s="13" t="n"/>
      <c r="K289" s="13" t="n"/>
      <c r="L289" s="13" t="n"/>
      <c r="M289" s="13" t="n"/>
      <c r="N289" s="14">
        <f>IF(A289="","",COUNT(H289:M289)/6)</f>
        <v/>
      </c>
      <c r="O289" s="15">
        <f>IF(COUNT(H289:M289)=0,"",IF(LEN(IF(COUNT(I289,J289)=2,IF(J289&gt;I289+1,"EBE &gt; VA ",""),"")&amp;IF(COUNT(H289,M289)=2,IF(ABS(M289)&gt;ABS(H289),"RN &gt; CA ",""),"")&amp;IF(COUNT(H289,K289)=2,IF(ABS(K289)&gt;ABS(H289),"RE &gt; CA ",""),""))=0,"OK",IF(COUNT(I289,J289)=2,IF(J289&gt;I289+1,"EBE &gt; VA ",""),"")&amp;IF(COUNT(H289,M289)=2,IF(ABS(M289)&gt;ABS(H289),"RN &gt; CA ",""),"")&amp;IF(COUNT(H289,K289)=2,IF(ABS(K289)&gt;ABS(H289),"RE &gt; CA ",""),"")))</f>
        <v/>
      </c>
      <c r="P289" s="16">
        <f>IF(OR($A289="",H289="",$C289=""),"",IF(COUNTIFS($A$5:$A$639,$A289,$C$5:$C$639,$C289-1,$D$5:$D$639,$D289,H$5:H$639,"&lt;&gt;")=0,"",IF(OR(SUMIFS(H$5:H$639,$A$5:$A$639,$A289,$C$5:$C$639,$C289-1,$D$5:$D$639,$D289)=0,H289*SUMIFS(H$5:H$639,$A$5:$A$639,$A289,$C$5:$C$639,$C289-1,$D$5:$D$639,$D289)&lt;0),"n.s.",ABS(H289)/ABS(SUMIFS(H$5:H$639,$A$5:$A$639,$A289,$C$5:$C$639,$C289-1,$D$5:$D$639,$D289))-1)))</f>
        <v/>
      </c>
      <c r="Q289" s="16">
        <f>IF(OR($A289="",I289="",$C289=""),"",IF(COUNTIFS($A$5:$A$639,$A289,$C$5:$C$639,$C289-1,$D$5:$D$639,$D289,I$5:I$639,"&lt;&gt;")=0,"",IF(OR(SUMIFS(I$5:I$639,$A$5:$A$639,$A289,$C$5:$C$639,$C289-1,$D$5:$D$639,$D289)=0,I289*SUMIFS(I$5:I$639,$A$5:$A$639,$A289,$C$5:$C$639,$C289-1,$D$5:$D$639,$D289)&lt;0),"n.s.",ABS(I289)/ABS(SUMIFS(I$5:I$639,$A$5:$A$639,$A289,$C$5:$C$639,$C289-1,$D$5:$D$639,$D289))-1)))</f>
        <v/>
      </c>
      <c r="R289" s="16">
        <f>IF(OR($A289="",J289="",$C289=""),"",IF(COUNTIFS($A$5:$A$639,$A289,$C$5:$C$639,$C289-1,$D$5:$D$639,$D289,J$5:J$639,"&lt;&gt;")=0,"",IF(OR(SUMIFS(J$5:J$639,$A$5:$A$639,$A289,$C$5:$C$639,$C289-1,$D$5:$D$639,$D289)=0,J289*SUMIFS(J$5:J$639,$A$5:$A$639,$A289,$C$5:$C$639,$C289-1,$D$5:$D$639,$D289)&lt;0),"n.s.",ABS(J289)/ABS(SUMIFS(J$5:J$639,$A$5:$A$639,$A289,$C$5:$C$639,$C289-1,$D$5:$D$639,$D289))-1)))</f>
        <v/>
      </c>
      <c r="S289" s="16">
        <f>IF(OR($A289="",K289="",$C289=""),"",IF(COUNTIFS($A$5:$A$639,$A289,$C$5:$C$639,$C289-1,$D$5:$D$639,$D289,K$5:K$639,"&lt;&gt;")=0,"",IF(OR(SUMIFS(K$5:K$639,$A$5:$A$639,$A289,$C$5:$C$639,$C289-1,$D$5:$D$639,$D289)=0,K289*SUMIFS(K$5:K$639,$A$5:$A$639,$A289,$C$5:$C$639,$C289-1,$D$5:$D$639,$D289)&lt;0),"n.s.",ABS(K289)/ABS(SUMIFS(K$5:K$639,$A$5:$A$639,$A289,$C$5:$C$639,$C289-1,$D$5:$D$639,$D289))-1)))</f>
        <v/>
      </c>
      <c r="T289" s="16">
        <f>IF(OR($A289="",L289="",$C289=""),"",IF(COUNTIFS($A$5:$A$639,$A289,$C$5:$C$639,$C289-1,$D$5:$D$639,$D289,L$5:L$639,"&lt;&gt;")=0,"",IF(OR(SUMIFS(L$5:L$639,$A$5:$A$639,$A289,$C$5:$C$639,$C289-1,$D$5:$D$639,$D289)=0,L289*SUMIFS(L$5:L$639,$A$5:$A$639,$A289,$C$5:$C$639,$C289-1,$D$5:$D$639,$D289)&lt;0),"n.s.",ABS(L289)/ABS(SUMIFS(L$5:L$639,$A$5:$A$639,$A289,$C$5:$C$639,$C289-1,$D$5:$D$639,$D289))-1)))</f>
        <v/>
      </c>
      <c r="U289" s="16">
        <f>IF(OR($A289="",M289="",$C289=""),"",IF(COUNTIFS($A$5:$A$639,$A289,$C$5:$C$639,$C289-1,$D$5:$D$639,$D289,M$5:M$639,"&lt;&gt;")=0,"",IF(OR(SUMIFS(M$5:M$639,$A$5:$A$639,$A289,$C$5:$C$639,$C289-1,$D$5:$D$639,$D289)=0,M289*SUMIFS(M$5:M$639,$A$5:$A$639,$A289,$C$5:$C$639,$C289-1,$D$5:$D$639,$D289)&lt;0),"n.s.",ABS(M289)/ABS(SUMIFS(M$5:M$639,$A$5:$A$639,$A289,$C$5:$C$639,$C289-1,$D$5:$D$639,$D289))-1)))</f>
        <v/>
      </c>
    </row>
    <row r="290">
      <c r="A290" s="9" t="inlineStr">
        <is>
          <t>UNXC</t>
        </is>
      </c>
      <c r="B290" s="10">
        <f>IF(A290="","",IFERROR(VLOOKUP(A290,Titres!$A$2:$B$400,2,FALSE),"Ticker inconnu"))</f>
        <v/>
      </c>
      <c r="C290" s="11" t="n">
        <v>2026</v>
      </c>
      <c r="D290" s="11" t="inlineStr">
        <is>
          <t>T1</t>
        </is>
      </c>
      <c r="E290" s="9" t="n"/>
      <c r="F290" s="12" t="n"/>
      <c r="G290" s="9" t="n"/>
      <c r="H290" s="13" t="n"/>
      <c r="I290" s="13" t="n"/>
      <c r="J290" s="13" t="n"/>
      <c r="K290" s="13" t="n"/>
      <c r="L290" s="13" t="n"/>
      <c r="M290" s="13" t="n"/>
      <c r="N290" s="14">
        <f>IF(A290="","",COUNT(H290:M290)/6)</f>
        <v/>
      </c>
      <c r="O290" s="15">
        <f>IF(COUNT(H290:M290)=0,"",IF(LEN(IF(COUNT(I290,J290)=2,IF(J290&gt;I290+1,"EBE &gt; VA ",""),"")&amp;IF(COUNT(H290,M290)=2,IF(ABS(M290)&gt;ABS(H290),"RN &gt; CA ",""),"")&amp;IF(COUNT(H290,K290)=2,IF(ABS(K290)&gt;ABS(H290),"RE &gt; CA ",""),""))=0,"OK",IF(COUNT(I290,J290)=2,IF(J290&gt;I290+1,"EBE &gt; VA ",""),"")&amp;IF(COUNT(H290,M290)=2,IF(ABS(M290)&gt;ABS(H290),"RN &gt; CA ",""),"")&amp;IF(COUNT(H290,K290)=2,IF(ABS(K290)&gt;ABS(H290),"RE &gt; CA ",""),"")))</f>
        <v/>
      </c>
      <c r="P290" s="16">
        <f>IF(OR($A290="",H290="",$C290=""),"",IF(COUNTIFS($A$5:$A$639,$A290,$C$5:$C$639,$C290-1,$D$5:$D$639,$D290,H$5:H$639,"&lt;&gt;")=0,"",IF(OR(SUMIFS(H$5:H$639,$A$5:$A$639,$A290,$C$5:$C$639,$C290-1,$D$5:$D$639,$D290)=0,H290*SUMIFS(H$5:H$639,$A$5:$A$639,$A290,$C$5:$C$639,$C290-1,$D$5:$D$639,$D290)&lt;0),"n.s.",ABS(H290)/ABS(SUMIFS(H$5:H$639,$A$5:$A$639,$A290,$C$5:$C$639,$C290-1,$D$5:$D$639,$D290))-1)))</f>
        <v/>
      </c>
      <c r="Q290" s="16">
        <f>IF(OR($A290="",I290="",$C290=""),"",IF(COUNTIFS($A$5:$A$639,$A290,$C$5:$C$639,$C290-1,$D$5:$D$639,$D290,I$5:I$639,"&lt;&gt;")=0,"",IF(OR(SUMIFS(I$5:I$639,$A$5:$A$639,$A290,$C$5:$C$639,$C290-1,$D$5:$D$639,$D290)=0,I290*SUMIFS(I$5:I$639,$A$5:$A$639,$A290,$C$5:$C$639,$C290-1,$D$5:$D$639,$D290)&lt;0),"n.s.",ABS(I290)/ABS(SUMIFS(I$5:I$639,$A$5:$A$639,$A290,$C$5:$C$639,$C290-1,$D$5:$D$639,$D290))-1)))</f>
        <v/>
      </c>
      <c r="R290" s="16">
        <f>IF(OR($A290="",J290="",$C290=""),"",IF(COUNTIFS($A$5:$A$639,$A290,$C$5:$C$639,$C290-1,$D$5:$D$639,$D290,J$5:J$639,"&lt;&gt;")=0,"",IF(OR(SUMIFS(J$5:J$639,$A$5:$A$639,$A290,$C$5:$C$639,$C290-1,$D$5:$D$639,$D290)=0,J290*SUMIFS(J$5:J$639,$A$5:$A$639,$A290,$C$5:$C$639,$C290-1,$D$5:$D$639,$D290)&lt;0),"n.s.",ABS(J290)/ABS(SUMIFS(J$5:J$639,$A$5:$A$639,$A290,$C$5:$C$639,$C290-1,$D$5:$D$639,$D290))-1)))</f>
        <v/>
      </c>
      <c r="S290" s="16">
        <f>IF(OR($A290="",K290="",$C290=""),"",IF(COUNTIFS($A$5:$A$639,$A290,$C$5:$C$639,$C290-1,$D$5:$D$639,$D290,K$5:K$639,"&lt;&gt;")=0,"",IF(OR(SUMIFS(K$5:K$639,$A$5:$A$639,$A290,$C$5:$C$639,$C290-1,$D$5:$D$639,$D290)=0,K290*SUMIFS(K$5:K$639,$A$5:$A$639,$A290,$C$5:$C$639,$C290-1,$D$5:$D$639,$D290)&lt;0),"n.s.",ABS(K290)/ABS(SUMIFS(K$5:K$639,$A$5:$A$639,$A290,$C$5:$C$639,$C290-1,$D$5:$D$639,$D290))-1)))</f>
        <v/>
      </c>
      <c r="T290" s="16">
        <f>IF(OR($A290="",L290="",$C290=""),"",IF(COUNTIFS($A$5:$A$639,$A290,$C$5:$C$639,$C290-1,$D$5:$D$639,$D290,L$5:L$639,"&lt;&gt;")=0,"",IF(OR(SUMIFS(L$5:L$639,$A$5:$A$639,$A290,$C$5:$C$639,$C290-1,$D$5:$D$639,$D290)=0,L290*SUMIFS(L$5:L$639,$A$5:$A$639,$A290,$C$5:$C$639,$C290-1,$D$5:$D$639,$D290)&lt;0),"n.s.",ABS(L290)/ABS(SUMIFS(L$5:L$639,$A$5:$A$639,$A290,$C$5:$C$639,$C290-1,$D$5:$D$639,$D290))-1)))</f>
        <v/>
      </c>
      <c r="U290" s="16">
        <f>IF(OR($A290="",M290="",$C290=""),"",IF(COUNTIFS($A$5:$A$639,$A290,$C$5:$C$639,$C290-1,$D$5:$D$639,$D290,M$5:M$639,"&lt;&gt;")=0,"",IF(OR(SUMIFS(M$5:M$639,$A$5:$A$639,$A290,$C$5:$C$639,$C290-1,$D$5:$D$639,$D290)=0,M290*SUMIFS(M$5:M$639,$A$5:$A$639,$A290,$C$5:$C$639,$C290-1,$D$5:$D$639,$D290)&lt;0),"n.s.",ABS(M290)/ABS(SUMIFS(M$5:M$639,$A$5:$A$639,$A290,$C$5:$C$639,$C290-1,$D$5:$D$639,$D290))-1)))</f>
        <v/>
      </c>
    </row>
    <row r="291">
      <c r="A291" s="9" t="inlineStr">
        <is>
          <t>UNXC</t>
        </is>
      </c>
      <c r="B291" s="10">
        <f>IF(A291="","",IFERROR(VLOOKUP(A291,Titres!$A$2:$B$400,2,FALSE),"Ticker inconnu"))</f>
        <v/>
      </c>
      <c r="C291" s="11" t="n">
        <v>2026</v>
      </c>
      <c r="D291" s="11" t="inlineStr">
        <is>
          <t>S1</t>
        </is>
      </c>
      <c r="E291" s="9" t="inlineStr">
        <is>
          <t>Publié</t>
        </is>
      </c>
      <c r="F291" s="12" t="n">
        <v>46216</v>
      </c>
      <c r="G291" s="9" t="inlineStr">
        <is>
          <t>https://www.richbourse.com/common/actualite/afficher-fichier/13-07-2026-uniwax-ci-rapport-dactivites-1er-semestre-2026</t>
        </is>
      </c>
      <c r="H291" s="13" t="n">
        <v>15752.453</v>
      </c>
      <c r="I291" s="13" t="n"/>
      <c r="J291" s="13" t="n"/>
      <c r="K291" s="13" t="n">
        <v>771.2190000000001</v>
      </c>
      <c r="L291" s="13" t="n">
        <v>764.779</v>
      </c>
      <c r="M291" s="13" t="n">
        <v>771.279</v>
      </c>
      <c r="N291" s="14">
        <f>IF(A291="","",COUNT(H291:M291)/6)</f>
        <v/>
      </c>
      <c r="O291" s="15">
        <f>IF(COUNT(H291:M291)=0,"",IF(LEN(IF(COUNT(I291,J291)=2,IF(J291&gt;I291+1,"EBE &gt; VA ",""),"")&amp;IF(COUNT(H291,M291)=2,IF(ABS(M291)&gt;ABS(H291),"RN &gt; CA ",""),"")&amp;IF(COUNT(H291,K291)=2,IF(ABS(K291)&gt;ABS(H291),"RE &gt; CA ",""),""))=0,"OK",IF(COUNT(I291,J291)=2,IF(J291&gt;I291+1,"EBE &gt; VA ",""),"")&amp;IF(COUNT(H291,M291)=2,IF(ABS(M291)&gt;ABS(H291),"RN &gt; CA ",""),"")&amp;IF(COUNT(H291,K291)=2,IF(ABS(K291)&gt;ABS(H291),"RE &gt; CA ",""),"")))</f>
        <v/>
      </c>
      <c r="P291" s="16">
        <f>IF(OR($A291="",H291="",$C291=""),"",IF(COUNTIFS($A$5:$A$639,$A291,$C$5:$C$639,$C291-1,$D$5:$D$639,$D291,H$5:H$639,"&lt;&gt;")=0,"",IF(OR(SUMIFS(H$5:H$639,$A$5:$A$639,$A291,$C$5:$C$639,$C291-1,$D$5:$D$639,$D291)=0,H291*SUMIFS(H$5:H$639,$A$5:$A$639,$A291,$C$5:$C$639,$C291-1,$D$5:$D$639,$D291)&lt;0),"n.s.",ABS(H291)/ABS(SUMIFS(H$5:H$639,$A$5:$A$639,$A291,$C$5:$C$639,$C291-1,$D$5:$D$639,$D291))-1)))</f>
        <v/>
      </c>
      <c r="Q291" s="16">
        <f>IF(OR($A291="",I291="",$C291=""),"",IF(COUNTIFS($A$5:$A$639,$A291,$C$5:$C$639,$C291-1,$D$5:$D$639,$D291,I$5:I$639,"&lt;&gt;")=0,"",IF(OR(SUMIFS(I$5:I$639,$A$5:$A$639,$A291,$C$5:$C$639,$C291-1,$D$5:$D$639,$D291)=0,I291*SUMIFS(I$5:I$639,$A$5:$A$639,$A291,$C$5:$C$639,$C291-1,$D$5:$D$639,$D291)&lt;0),"n.s.",ABS(I291)/ABS(SUMIFS(I$5:I$639,$A$5:$A$639,$A291,$C$5:$C$639,$C291-1,$D$5:$D$639,$D291))-1)))</f>
        <v/>
      </c>
      <c r="R291" s="16">
        <f>IF(OR($A291="",J291="",$C291=""),"",IF(COUNTIFS($A$5:$A$639,$A291,$C$5:$C$639,$C291-1,$D$5:$D$639,$D291,J$5:J$639,"&lt;&gt;")=0,"",IF(OR(SUMIFS(J$5:J$639,$A$5:$A$639,$A291,$C$5:$C$639,$C291-1,$D$5:$D$639,$D291)=0,J291*SUMIFS(J$5:J$639,$A$5:$A$639,$A291,$C$5:$C$639,$C291-1,$D$5:$D$639,$D291)&lt;0),"n.s.",ABS(J291)/ABS(SUMIFS(J$5:J$639,$A$5:$A$639,$A291,$C$5:$C$639,$C291-1,$D$5:$D$639,$D291))-1)))</f>
        <v/>
      </c>
      <c r="S291" s="16">
        <f>IF(OR($A291="",K291="",$C291=""),"",IF(COUNTIFS($A$5:$A$639,$A291,$C$5:$C$639,$C291-1,$D$5:$D$639,$D291,K$5:K$639,"&lt;&gt;")=0,"",IF(OR(SUMIFS(K$5:K$639,$A$5:$A$639,$A291,$C$5:$C$639,$C291-1,$D$5:$D$639,$D291)=0,K291*SUMIFS(K$5:K$639,$A$5:$A$639,$A291,$C$5:$C$639,$C291-1,$D$5:$D$639,$D291)&lt;0),"n.s.",ABS(K291)/ABS(SUMIFS(K$5:K$639,$A$5:$A$639,$A291,$C$5:$C$639,$C291-1,$D$5:$D$639,$D291))-1)))</f>
        <v/>
      </c>
      <c r="T291" s="16">
        <f>IF(OR($A291="",L291="",$C291=""),"",IF(COUNTIFS($A$5:$A$639,$A291,$C$5:$C$639,$C291-1,$D$5:$D$639,$D291,L$5:L$639,"&lt;&gt;")=0,"",IF(OR(SUMIFS(L$5:L$639,$A$5:$A$639,$A291,$C$5:$C$639,$C291-1,$D$5:$D$639,$D291)=0,L291*SUMIFS(L$5:L$639,$A$5:$A$639,$A291,$C$5:$C$639,$C291-1,$D$5:$D$639,$D291)&lt;0),"n.s.",ABS(L291)/ABS(SUMIFS(L$5:L$639,$A$5:$A$639,$A291,$C$5:$C$639,$C291-1,$D$5:$D$639,$D291))-1)))</f>
        <v/>
      </c>
      <c r="U291" s="16">
        <f>IF(OR($A291="",M291="",$C291=""),"",IF(COUNTIFS($A$5:$A$639,$A291,$C$5:$C$639,$C291-1,$D$5:$D$639,$D291,M$5:M$639,"&lt;&gt;")=0,"",IF(OR(SUMIFS(M$5:M$639,$A$5:$A$639,$A291,$C$5:$C$639,$C291-1,$D$5:$D$639,$D291)=0,M291*SUMIFS(M$5:M$639,$A$5:$A$639,$A291,$C$5:$C$639,$C291-1,$D$5:$D$639,$D291)&lt;0),"n.s.",ABS(M291)/ABS(SUMIFS(M$5:M$639,$A$5:$A$639,$A291,$C$5:$C$639,$C291-1,$D$5:$D$639,$D291))-1)))</f>
        <v/>
      </c>
    </row>
    <row r="292">
      <c r="A292" s="9" t="inlineStr">
        <is>
          <t>UNXC</t>
        </is>
      </c>
      <c r="B292" s="10">
        <f>IF(A292="","",IFERROR(VLOOKUP(A292,Titres!$A$2:$B$400,2,FALSE),"Ticker inconnu"))</f>
        <v/>
      </c>
      <c r="C292" s="11" t="n">
        <v>2026</v>
      </c>
      <c r="D292" s="11" t="inlineStr">
        <is>
          <t>T3</t>
        </is>
      </c>
      <c r="E292" s="9" t="n"/>
      <c r="F292" s="12" t="n"/>
      <c r="G292" s="9" t="n"/>
      <c r="H292" s="13" t="n"/>
      <c r="I292" s="13" t="n"/>
      <c r="J292" s="13" t="n"/>
      <c r="K292" s="13" t="n"/>
      <c r="L292" s="13" t="n"/>
      <c r="M292" s="13" t="n"/>
      <c r="N292" s="14">
        <f>IF(A292="","",COUNT(H292:M292)/6)</f>
        <v/>
      </c>
      <c r="O292" s="15">
        <f>IF(COUNT(H292:M292)=0,"",IF(LEN(IF(COUNT(I292,J292)=2,IF(J292&gt;I292+1,"EBE &gt; VA ",""),"")&amp;IF(COUNT(H292,M292)=2,IF(ABS(M292)&gt;ABS(H292),"RN &gt; CA ",""),"")&amp;IF(COUNT(H292,K292)=2,IF(ABS(K292)&gt;ABS(H292),"RE &gt; CA ",""),""))=0,"OK",IF(COUNT(I292,J292)=2,IF(J292&gt;I292+1,"EBE &gt; VA ",""),"")&amp;IF(COUNT(H292,M292)=2,IF(ABS(M292)&gt;ABS(H292),"RN &gt; CA ",""),"")&amp;IF(COUNT(H292,K292)=2,IF(ABS(K292)&gt;ABS(H292),"RE &gt; CA ",""),"")))</f>
        <v/>
      </c>
      <c r="P292" s="16">
        <f>IF(OR($A292="",H292="",$C292=""),"",IF(COUNTIFS($A$5:$A$639,$A292,$C$5:$C$639,$C292-1,$D$5:$D$639,$D292,H$5:H$639,"&lt;&gt;")=0,"",IF(OR(SUMIFS(H$5:H$639,$A$5:$A$639,$A292,$C$5:$C$639,$C292-1,$D$5:$D$639,$D292)=0,H292*SUMIFS(H$5:H$639,$A$5:$A$639,$A292,$C$5:$C$639,$C292-1,$D$5:$D$639,$D292)&lt;0),"n.s.",ABS(H292)/ABS(SUMIFS(H$5:H$639,$A$5:$A$639,$A292,$C$5:$C$639,$C292-1,$D$5:$D$639,$D292))-1)))</f>
        <v/>
      </c>
      <c r="Q292" s="16">
        <f>IF(OR($A292="",I292="",$C292=""),"",IF(COUNTIFS($A$5:$A$639,$A292,$C$5:$C$639,$C292-1,$D$5:$D$639,$D292,I$5:I$639,"&lt;&gt;")=0,"",IF(OR(SUMIFS(I$5:I$639,$A$5:$A$639,$A292,$C$5:$C$639,$C292-1,$D$5:$D$639,$D292)=0,I292*SUMIFS(I$5:I$639,$A$5:$A$639,$A292,$C$5:$C$639,$C292-1,$D$5:$D$639,$D292)&lt;0),"n.s.",ABS(I292)/ABS(SUMIFS(I$5:I$639,$A$5:$A$639,$A292,$C$5:$C$639,$C292-1,$D$5:$D$639,$D292))-1)))</f>
        <v/>
      </c>
      <c r="R292" s="16">
        <f>IF(OR($A292="",J292="",$C292=""),"",IF(COUNTIFS($A$5:$A$639,$A292,$C$5:$C$639,$C292-1,$D$5:$D$639,$D292,J$5:J$639,"&lt;&gt;")=0,"",IF(OR(SUMIFS(J$5:J$639,$A$5:$A$639,$A292,$C$5:$C$639,$C292-1,$D$5:$D$639,$D292)=0,J292*SUMIFS(J$5:J$639,$A$5:$A$639,$A292,$C$5:$C$639,$C292-1,$D$5:$D$639,$D292)&lt;0),"n.s.",ABS(J292)/ABS(SUMIFS(J$5:J$639,$A$5:$A$639,$A292,$C$5:$C$639,$C292-1,$D$5:$D$639,$D292))-1)))</f>
        <v/>
      </c>
      <c r="S292" s="16">
        <f>IF(OR($A292="",K292="",$C292=""),"",IF(COUNTIFS($A$5:$A$639,$A292,$C$5:$C$639,$C292-1,$D$5:$D$639,$D292,K$5:K$639,"&lt;&gt;")=0,"",IF(OR(SUMIFS(K$5:K$639,$A$5:$A$639,$A292,$C$5:$C$639,$C292-1,$D$5:$D$639,$D292)=0,K292*SUMIFS(K$5:K$639,$A$5:$A$639,$A292,$C$5:$C$639,$C292-1,$D$5:$D$639,$D292)&lt;0),"n.s.",ABS(K292)/ABS(SUMIFS(K$5:K$639,$A$5:$A$639,$A292,$C$5:$C$639,$C292-1,$D$5:$D$639,$D292))-1)))</f>
        <v/>
      </c>
      <c r="T292" s="16">
        <f>IF(OR($A292="",L292="",$C292=""),"",IF(COUNTIFS($A$5:$A$639,$A292,$C$5:$C$639,$C292-1,$D$5:$D$639,$D292,L$5:L$639,"&lt;&gt;")=0,"",IF(OR(SUMIFS(L$5:L$639,$A$5:$A$639,$A292,$C$5:$C$639,$C292-1,$D$5:$D$639,$D292)=0,L292*SUMIFS(L$5:L$639,$A$5:$A$639,$A292,$C$5:$C$639,$C292-1,$D$5:$D$639,$D292)&lt;0),"n.s.",ABS(L292)/ABS(SUMIFS(L$5:L$639,$A$5:$A$639,$A292,$C$5:$C$639,$C292-1,$D$5:$D$639,$D292))-1)))</f>
        <v/>
      </c>
      <c r="U292" s="16">
        <f>IF(OR($A292="",M292="",$C292=""),"",IF(COUNTIFS($A$5:$A$639,$A292,$C$5:$C$639,$C292-1,$D$5:$D$639,$D292,M$5:M$639,"&lt;&gt;")=0,"",IF(OR(SUMIFS(M$5:M$639,$A$5:$A$639,$A292,$C$5:$C$639,$C292-1,$D$5:$D$639,$D292)=0,M292*SUMIFS(M$5:M$639,$A$5:$A$639,$A292,$C$5:$C$639,$C292-1,$D$5:$D$639,$D292)&lt;0),"n.s.",ABS(M292)/ABS(SUMIFS(M$5:M$639,$A$5:$A$639,$A292,$C$5:$C$639,$C292-1,$D$5:$D$639,$D292))-1)))</f>
        <v/>
      </c>
    </row>
    <row r="293">
      <c r="A293" s="9" t="inlineStr">
        <is>
          <t>CABC</t>
        </is>
      </c>
      <c r="B293" s="10">
        <f>IF(A293="","",IFERROR(VLOOKUP(A293,Titres!$A$2:$B$400,2,FALSE),"Ticker inconnu"))</f>
        <v/>
      </c>
      <c r="C293" s="11" t="n">
        <v>2021</v>
      </c>
      <c r="D293" s="11" t="inlineStr">
        <is>
          <t>T1</t>
        </is>
      </c>
      <c r="E293" s="9" t="n"/>
      <c r="F293" s="12" t="n"/>
      <c r="G293" s="9" t="n"/>
      <c r="H293" s="13" t="n"/>
      <c r="I293" s="13" t="n"/>
      <c r="J293" s="13" t="n"/>
      <c r="K293" s="13" t="n"/>
      <c r="L293" s="13" t="n"/>
      <c r="M293" s="13" t="n"/>
      <c r="N293" s="14">
        <f>IF(A293="","",COUNT(H293:M293)/6)</f>
        <v/>
      </c>
      <c r="O293" s="15">
        <f>IF(COUNT(H293:M293)=0,"",IF(LEN(IF(COUNT(I293,J293)=2,IF(J293&gt;I293+1,"EBE &gt; VA ",""),"")&amp;IF(COUNT(H293,M293)=2,IF(ABS(M293)&gt;ABS(H293),"RN &gt; CA ",""),"")&amp;IF(COUNT(H293,K293)=2,IF(ABS(K293)&gt;ABS(H293),"RE &gt; CA ",""),""))=0,"OK",IF(COUNT(I293,J293)=2,IF(J293&gt;I293+1,"EBE &gt; VA ",""),"")&amp;IF(COUNT(H293,M293)=2,IF(ABS(M293)&gt;ABS(H293),"RN &gt; CA ",""),"")&amp;IF(COUNT(H293,K293)=2,IF(ABS(K293)&gt;ABS(H293),"RE &gt; CA ",""),"")))</f>
        <v/>
      </c>
      <c r="P293" s="16">
        <f>IF(OR($A293="",H293="",$C293=""),"",IF(COUNTIFS($A$5:$A$639,$A293,$C$5:$C$639,$C293-1,$D$5:$D$639,$D293,H$5:H$639,"&lt;&gt;")=0,"",IF(OR(SUMIFS(H$5:H$639,$A$5:$A$639,$A293,$C$5:$C$639,$C293-1,$D$5:$D$639,$D293)=0,H293*SUMIFS(H$5:H$639,$A$5:$A$639,$A293,$C$5:$C$639,$C293-1,$D$5:$D$639,$D293)&lt;0),"n.s.",ABS(H293)/ABS(SUMIFS(H$5:H$639,$A$5:$A$639,$A293,$C$5:$C$639,$C293-1,$D$5:$D$639,$D293))-1)))</f>
        <v/>
      </c>
      <c r="Q293" s="16">
        <f>IF(OR($A293="",I293="",$C293=""),"",IF(COUNTIFS($A$5:$A$639,$A293,$C$5:$C$639,$C293-1,$D$5:$D$639,$D293,I$5:I$639,"&lt;&gt;")=0,"",IF(OR(SUMIFS(I$5:I$639,$A$5:$A$639,$A293,$C$5:$C$639,$C293-1,$D$5:$D$639,$D293)=0,I293*SUMIFS(I$5:I$639,$A$5:$A$639,$A293,$C$5:$C$639,$C293-1,$D$5:$D$639,$D293)&lt;0),"n.s.",ABS(I293)/ABS(SUMIFS(I$5:I$639,$A$5:$A$639,$A293,$C$5:$C$639,$C293-1,$D$5:$D$639,$D293))-1)))</f>
        <v/>
      </c>
      <c r="R293" s="16">
        <f>IF(OR($A293="",J293="",$C293=""),"",IF(COUNTIFS($A$5:$A$639,$A293,$C$5:$C$639,$C293-1,$D$5:$D$639,$D293,J$5:J$639,"&lt;&gt;")=0,"",IF(OR(SUMIFS(J$5:J$639,$A$5:$A$639,$A293,$C$5:$C$639,$C293-1,$D$5:$D$639,$D293)=0,J293*SUMIFS(J$5:J$639,$A$5:$A$639,$A293,$C$5:$C$639,$C293-1,$D$5:$D$639,$D293)&lt;0),"n.s.",ABS(J293)/ABS(SUMIFS(J$5:J$639,$A$5:$A$639,$A293,$C$5:$C$639,$C293-1,$D$5:$D$639,$D293))-1)))</f>
        <v/>
      </c>
      <c r="S293" s="16">
        <f>IF(OR($A293="",K293="",$C293=""),"",IF(COUNTIFS($A$5:$A$639,$A293,$C$5:$C$639,$C293-1,$D$5:$D$639,$D293,K$5:K$639,"&lt;&gt;")=0,"",IF(OR(SUMIFS(K$5:K$639,$A$5:$A$639,$A293,$C$5:$C$639,$C293-1,$D$5:$D$639,$D293)=0,K293*SUMIFS(K$5:K$639,$A$5:$A$639,$A293,$C$5:$C$639,$C293-1,$D$5:$D$639,$D293)&lt;0),"n.s.",ABS(K293)/ABS(SUMIFS(K$5:K$639,$A$5:$A$639,$A293,$C$5:$C$639,$C293-1,$D$5:$D$639,$D293))-1)))</f>
        <v/>
      </c>
      <c r="T293" s="16">
        <f>IF(OR($A293="",L293="",$C293=""),"",IF(COUNTIFS($A$5:$A$639,$A293,$C$5:$C$639,$C293-1,$D$5:$D$639,$D293,L$5:L$639,"&lt;&gt;")=0,"",IF(OR(SUMIFS(L$5:L$639,$A$5:$A$639,$A293,$C$5:$C$639,$C293-1,$D$5:$D$639,$D293)=0,L293*SUMIFS(L$5:L$639,$A$5:$A$639,$A293,$C$5:$C$639,$C293-1,$D$5:$D$639,$D293)&lt;0),"n.s.",ABS(L293)/ABS(SUMIFS(L$5:L$639,$A$5:$A$639,$A293,$C$5:$C$639,$C293-1,$D$5:$D$639,$D293))-1)))</f>
        <v/>
      </c>
      <c r="U293" s="16">
        <f>IF(OR($A293="",M293="",$C293=""),"",IF(COUNTIFS($A$5:$A$639,$A293,$C$5:$C$639,$C293-1,$D$5:$D$639,$D293,M$5:M$639,"&lt;&gt;")=0,"",IF(OR(SUMIFS(M$5:M$639,$A$5:$A$639,$A293,$C$5:$C$639,$C293-1,$D$5:$D$639,$D293)=0,M293*SUMIFS(M$5:M$639,$A$5:$A$639,$A293,$C$5:$C$639,$C293-1,$D$5:$D$639,$D293)&lt;0),"n.s.",ABS(M293)/ABS(SUMIFS(M$5:M$639,$A$5:$A$639,$A293,$C$5:$C$639,$C293-1,$D$5:$D$639,$D293))-1)))</f>
        <v/>
      </c>
    </row>
    <row r="294">
      <c r="A294" s="9" t="inlineStr">
        <is>
          <t>CABC</t>
        </is>
      </c>
      <c r="B294" s="10">
        <f>IF(A294="","",IFERROR(VLOOKUP(A294,Titres!$A$2:$B$400,2,FALSE),"Ticker inconnu"))</f>
        <v/>
      </c>
      <c r="C294" s="11" t="n">
        <v>2021</v>
      </c>
      <c r="D294" s="11" t="inlineStr">
        <is>
          <t>S1</t>
        </is>
      </c>
      <c r="E294" s="9" t="n"/>
      <c r="F294" s="12" t="n"/>
      <c r="G294" s="9" t="n"/>
      <c r="H294" s="13" t="n"/>
      <c r="I294" s="13" t="n"/>
      <c r="J294" s="13" t="n"/>
      <c r="K294" s="13" t="n"/>
      <c r="L294" s="13" t="n"/>
      <c r="M294" s="13" t="n"/>
      <c r="N294" s="14">
        <f>IF(A294="","",COUNT(H294:M294)/6)</f>
        <v/>
      </c>
      <c r="O294" s="15">
        <f>IF(COUNT(H294:M294)=0,"",IF(LEN(IF(COUNT(I294,J294)=2,IF(J294&gt;I294+1,"EBE &gt; VA ",""),"")&amp;IF(COUNT(H294,M294)=2,IF(ABS(M294)&gt;ABS(H294),"RN &gt; CA ",""),"")&amp;IF(COUNT(H294,K294)=2,IF(ABS(K294)&gt;ABS(H294),"RE &gt; CA ",""),""))=0,"OK",IF(COUNT(I294,J294)=2,IF(J294&gt;I294+1,"EBE &gt; VA ",""),"")&amp;IF(COUNT(H294,M294)=2,IF(ABS(M294)&gt;ABS(H294),"RN &gt; CA ",""),"")&amp;IF(COUNT(H294,K294)=2,IF(ABS(K294)&gt;ABS(H294),"RE &gt; CA ",""),"")))</f>
        <v/>
      </c>
      <c r="P294" s="16">
        <f>IF(OR($A294="",H294="",$C294=""),"",IF(COUNTIFS($A$5:$A$639,$A294,$C$5:$C$639,$C294-1,$D$5:$D$639,$D294,H$5:H$639,"&lt;&gt;")=0,"",IF(OR(SUMIFS(H$5:H$639,$A$5:$A$639,$A294,$C$5:$C$639,$C294-1,$D$5:$D$639,$D294)=0,H294*SUMIFS(H$5:H$639,$A$5:$A$639,$A294,$C$5:$C$639,$C294-1,$D$5:$D$639,$D294)&lt;0),"n.s.",ABS(H294)/ABS(SUMIFS(H$5:H$639,$A$5:$A$639,$A294,$C$5:$C$639,$C294-1,$D$5:$D$639,$D294))-1)))</f>
        <v/>
      </c>
      <c r="Q294" s="16">
        <f>IF(OR($A294="",I294="",$C294=""),"",IF(COUNTIFS($A$5:$A$639,$A294,$C$5:$C$639,$C294-1,$D$5:$D$639,$D294,I$5:I$639,"&lt;&gt;")=0,"",IF(OR(SUMIFS(I$5:I$639,$A$5:$A$639,$A294,$C$5:$C$639,$C294-1,$D$5:$D$639,$D294)=0,I294*SUMIFS(I$5:I$639,$A$5:$A$639,$A294,$C$5:$C$639,$C294-1,$D$5:$D$639,$D294)&lt;0),"n.s.",ABS(I294)/ABS(SUMIFS(I$5:I$639,$A$5:$A$639,$A294,$C$5:$C$639,$C294-1,$D$5:$D$639,$D294))-1)))</f>
        <v/>
      </c>
      <c r="R294" s="16">
        <f>IF(OR($A294="",J294="",$C294=""),"",IF(COUNTIFS($A$5:$A$639,$A294,$C$5:$C$639,$C294-1,$D$5:$D$639,$D294,J$5:J$639,"&lt;&gt;")=0,"",IF(OR(SUMIFS(J$5:J$639,$A$5:$A$639,$A294,$C$5:$C$639,$C294-1,$D$5:$D$639,$D294)=0,J294*SUMIFS(J$5:J$639,$A$5:$A$639,$A294,$C$5:$C$639,$C294-1,$D$5:$D$639,$D294)&lt;0),"n.s.",ABS(J294)/ABS(SUMIFS(J$5:J$639,$A$5:$A$639,$A294,$C$5:$C$639,$C294-1,$D$5:$D$639,$D294))-1)))</f>
        <v/>
      </c>
      <c r="S294" s="16">
        <f>IF(OR($A294="",K294="",$C294=""),"",IF(COUNTIFS($A$5:$A$639,$A294,$C$5:$C$639,$C294-1,$D$5:$D$639,$D294,K$5:K$639,"&lt;&gt;")=0,"",IF(OR(SUMIFS(K$5:K$639,$A$5:$A$639,$A294,$C$5:$C$639,$C294-1,$D$5:$D$639,$D294)=0,K294*SUMIFS(K$5:K$639,$A$5:$A$639,$A294,$C$5:$C$639,$C294-1,$D$5:$D$639,$D294)&lt;0),"n.s.",ABS(K294)/ABS(SUMIFS(K$5:K$639,$A$5:$A$639,$A294,$C$5:$C$639,$C294-1,$D$5:$D$639,$D294))-1)))</f>
        <v/>
      </c>
      <c r="T294" s="16">
        <f>IF(OR($A294="",L294="",$C294=""),"",IF(COUNTIFS($A$5:$A$639,$A294,$C$5:$C$639,$C294-1,$D$5:$D$639,$D294,L$5:L$639,"&lt;&gt;")=0,"",IF(OR(SUMIFS(L$5:L$639,$A$5:$A$639,$A294,$C$5:$C$639,$C294-1,$D$5:$D$639,$D294)=0,L294*SUMIFS(L$5:L$639,$A$5:$A$639,$A294,$C$5:$C$639,$C294-1,$D$5:$D$639,$D294)&lt;0),"n.s.",ABS(L294)/ABS(SUMIFS(L$5:L$639,$A$5:$A$639,$A294,$C$5:$C$639,$C294-1,$D$5:$D$639,$D294))-1)))</f>
        <v/>
      </c>
      <c r="U294" s="16">
        <f>IF(OR($A294="",M294="",$C294=""),"",IF(COUNTIFS($A$5:$A$639,$A294,$C$5:$C$639,$C294-1,$D$5:$D$639,$D294,M$5:M$639,"&lt;&gt;")=0,"",IF(OR(SUMIFS(M$5:M$639,$A$5:$A$639,$A294,$C$5:$C$639,$C294-1,$D$5:$D$639,$D294)=0,M294*SUMIFS(M$5:M$639,$A$5:$A$639,$A294,$C$5:$C$639,$C294-1,$D$5:$D$639,$D294)&lt;0),"n.s.",ABS(M294)/ABS(SUMIFS(M$5:M$639,$A$5:$A$639,$A294,$C$5:$C$639,$C294-1,$D$5:$D$639,$D294))-1)))</f>
        <v/>
      </c>
    </row>
    <row r="295">
      <c r="A295" s="9" t="inlineStr">
        <is>
          <t>CABC</t>
        </is>
      </c>
      <c r="B295" s="10">
        <f>IF(A295="","",IFERROR(VLOOKUP(A295,Titres!$A$2:$B$400,2,FALSE),"Ticker inconnu"))</f>
        <v/>
      </c>
      <c r="C295" s="11" t="n">
        <v>2021</v>
      </c>
      <c r="D295" s="11" t="inlineStr">
        <is>
          <t>T3</t>
        </is>
      </c>
      <c r="E295" s="9" t="n"/>
      <c r="F295" s="12" t="n"/>
      <c r="G295" s="9" t="n"/>
      <c r="H295" s="13" t="n"/>
      <c r="I295" s="13" t="n"/>
      <c r="J295" s="13" t="n"/>
      <c r="K295" s="13" t="n"/>
      <c r="L295" s="13" t="n"/>
      <c r="M295" s="13" t="n"/>
      <c r="N295" s="14">
        <f>IF(A295="","",COUNT(H295:M295)/6)</f>
        <v/>
      </c>
      <c r="O295" s="15">
        <f>IF(COUNT(H295:M295)=0,"",IF(LEN(IF(COUNT(I295,J295)=2,IF(J295&gt;I295+1,"EBE &gt; VA ",""),"")&amp;IF(COUNT(H295,M295)=2,IF(ABS(M295)&gt;ABS(H295),"RN &gt; CA ",""),"")&amp;IF(COUNT(H295,K295)=2,IF(ABS(K295)&gt;ABS(H295),"RE &gt; CA ",""),""))=0,"OK",IF(COUNT(I295,J295)=2,IF(J295&gt;I295+1,"EBE &gt; VA ",""),"")&amp;IF(COUNT(H295,M295)=2,IF(ABS(M295)&gt;ABS(H295),"RN &gt; CA ",""),"")&amp;IF(COUNT(H295,K295)=2,IF(ABS(K295)&gt;ABS(H295),"RE &gt; CA ",""),"")))</f>
        <v/>
      </c>
      <c r="P295" s="16">
        <f>IF(OR($A295="",H295="",$C295=""),"",IF(COUNTIFS($A$5:$A$639,$A295,$C$5:$C$639,$C295-1,$D$5:$D$639,$D295,H$5:H$639,"&lt;&gt;")=0,"",IF(OR(SUMIFS(H$5:H$639,$A$5:$A$639,$A295,$C$5:$C$639,$C295-1,$D$5:$D$639,$D295)=0,H295*SUMIFS(H$5:H$639,$A$5:$A$639,$A295,$C$5:$C$639,$C295-1,$D$5:$D$639,$D295)&lt;0),"n.s.",ABS(H295)/ABS(SUMIFS(H$5:H$639,$A$5:$A$639,$A295,$C$5:$C$639,$C295-1,$D$5:$D$639,$D295))-1)))</f>
        <v/>
      </c>
      <c r="Q295" s="16">
        <f>IF(OR($A295="",I295="",$C295=""),"",IF(COUNTIFS($A$5:$A$639,$A295,$C$5:$C$639,$C295-1,$D$5:$D$639,$D295,I$5:I$639,"&lt;&gt;")=0,"",IF(OR(SUMIFS(I$5:I$639,$A$5:$A$639,$A295,$C$5:$C$639,$C295-1,$D$5:$D$639,$D295)=0,I295*SUMIFS(I$5:I$639,$A$5:$A$639,$A295,$C$5:$C$639,$C295-1,$D$5:$D$639,$D295)&lt;0),"n.s.",ABS(I295)/ABS(SUMIFS(I$5:I$639,$A$5:$A$639,$A295,$C$5:$C$639,$C295-1,$D$5:$D$639,$D295))-1)))</f>
        <v/>
      </c>
      <c r="R295" s="16">
        <f>IF(OR($A295="",J295="",$C295=""),"",IF(COUNTIFS($A$5:$A$639,$A295,$C$5:$C$639,$C295-1,$D$5:$D$639,$D295,J$5:J$639,"&lt;&gt;")=0,"",IF(OR(SUMIFS(J$5:J$639,$A$5:$A$639,$A295,$C$5:$C$639,$C295-1,$D$5:$D$639,$D295)=0,J295*SUMIFS(J$5:J$639,$A$5:$A$639,$A295,$C$5:$C$639,$C295-1,$D$5:$D$639,$D295)&lt;0),"n.s.",ABS(J295)/ABS(SUMIFS(J$5:J$639,$A$5:$A$639,$A295,$C$5:$C$639,$C295-1,$D$5:$D$639,$D295))-1)))</f>
        <v/>
      </c>
      <c r="S295" s="16">
        <f>IF(OR($A295="",K295="",$C295=""),"",IF(COUNTIFS($A$5:$A$639,$A295,$C$5:$C$639,$C295-1,$D$5:$D$639,$D295,K$5:K$639,"&lt;&gt;")=0,"",IF(OR(SUMIFS(K$5:K$639,$A$5:$A$639,$A295,$C$5:$C$639,$C295-1,$D$5:$D$639,$D295)=0,K295*SUMIFS(K$5:K$639,$A$5:$A$639,$A295,$C$5:$C$639,$C295-1,$D$5:$D$639,$D295)&lt;0),"n.s.",ABS(K295)/ABS(SUMIFS(K$5:K$639,$A$5:$A$639,$A295,$C$5:$C$639,$C295-1,$D$5:$D$639,$D295))-1)))</f>
        <v/>
      </c>
      <c r="T295" s="16">
        <f>IF(OR($A295="",L295="",$C295=""),"",IF(COUNTIFS($A$5:$A$639,$A295,$C$5:$C$639,$C295-1,$D$5:$D$639,$D295,L$5:L$639,"&lt;&gt;")=0,"",IF(OR(SUMIFS(L$5:L$639,$A$5:$A$639,$A295,$C$5:$C$639,$C295-1,$D$5:$D$639,$D295)=0,L295*SUMIFS(L$5:L$639,$A$5:$A$639,$A295,$C$5:$C$639,$C295-1,$D$5:$D$639,$D295)&lt;0),"n.s.",ABS(L295)/ABS(SUMIFS(L$5:L$639,$A$5:$A$639,$A295,$C$5:$C$639,$C295-1,$D$5:$D$639,$D295))-1)))</f>
        <v/>
      </c>
      <c r="U295" s="16">
        <f>IF(OR($A295="",M295="",$C295=""),"",IF(COUNTIFS($A$5:$A$639,$A295,$C$5:$C$639,$C295-1,$D$5:$D$639,$D295,M$5:M$639,"&lt;&gt;")=0,"",IF(OR(SUMIFS(M$5:M$639,$A$5:$A$639,$A295,$C$5:$C$639,$C295-1,$D$5:$D$639,$D295)=0,M295*SUMIFS(M$5:M$639,$A$5:$A$639,$A295,$C$5:$C$639,$C295-1,$D$5:$D$639,$D295)&lt;0),"n.s.",ABS(M295)/ABS(SUMIFS(M$5:M$639,$A$5:$A$639,$A295,$C$5:$C$639,$C295-1,$D$5:$D$639,$D295))-1)))</f>
        <v/>
      </c>
    </row>
    <row r="296">
      <c r="A296" s="9" t="inlineStr">
        <is>
          <t>CABC</t>
        </is>
      </c>
      <c r="B296" s="10">
        <f>IF(A296="","",IFERROR(VLOOKUP(A296,Titres!$A$2:$B$400,2,FALSE),"Ticker inconnu"))</f>
        <v/>
      </c>
      <c r="C296" s="11" t="n">
        <v>2022</v>
      </c>
      <c r="D296" s="11" t="inlineStr">
        <is>
          <t>T1</t>
        </is>
      </c>
      <c r="E296" s="9" t="n"/>
      <c r="F296" s="12" t="n"/>
      <c r="G296" s="9" t="n"/>
      <c r="H296" s="13" t="n"/>
      <c r="I296" s="13" t="n"/>
      <c r="J296" s="13" t="n"/>
      <c r="K296" s="13" t="n"/>
      <c r="L296" s="13" t="n"/>
      <c r="M296" s="13" t="n"/>
      <c r="N296" s="14">
        <f>IF(A296="","",COUNT(H296:M296)/6)</f>
        <v/>
      </c>
      <c r="O296" s="15">
        <f>IF(COUNT(H296:M296)=0,"",IF(LEN(IF(COUNT(I296,J296)=2,IF(J296&gt;I296+1,"EBE &gt; VA ",""),"")&amp;IF(COUNT(H296,M296)=2,IF(ABS(M296)&gt;ABS(H296),"RN &gt; CA ",""),"")&amp;IF(COUNT(H296,K296)=2,IF(ABS(K296)&gt;ABS(H296),"RE &gt; CA ",""),""))=0,"OK",IF(COUNT(I296,J296)=2,IF(J296&gt;I296+1,"EBE &gt; VA ",""),"")&amp;IF(COUNT(H296,M296)=2,IF(ABS(M296)&gt;ABS(H296),"RN &gt; CA ",""),"")&amp;IF(COUNT(H296,K296)=2,IF(ABS(K296)&gt;ABS(H296),"RE &gt; CA ",""),"")))</f>
        <v/>
      </c>
      <c r="P296" s="16">
        <f>IF(OR($A296="",H296="",$C296=""),"",IF(COUNTIFS($A$5:$A$639,$A296,$C$5:$C$639,$C296-1,$D$5:$D$639,$D296,H$5:H$639,"&lt;&gt;")=0,"",IF(OR(SUMIFS(H$5:H$639,$A$5:$A$639,$A296,$C$5:$C$639,$C296-1,$D$5:$D$639,$D296)=0,H296*SUMIFS(H$5:H$639,$A$5:$A$639,$A296,$C$5:$C$639,$C296-1,$D$5:$D$639,$D296)&lt;0),"n.s.",ABS(H296)/ABS(SUMIFS(H$5:H$639,$A$5:$A$639,$A296,$C$5:$C$639,$C296-1,$D$5:$D$639,$D296))-1)))</f>
        <v/>
      </c>
      <c r="Q296" s="16">
        <f>IF(OR($A296="",I296="",$C296=""),"",IF(COUNTIFS($A$5:$A$639,$A296,$C$5:$C$639,$C296-1,$D$5:$D$639,$D296,I$5:I$639,"&lt;&gt;")=0,"",IF(OR(SUMIFS(I$5:I$639,$A$5:$A$639,$A296,$C$5:$C$639,$C296-1,$D$5:$D$639,$D296)=0,I296*SUMIFS(I$5:I$639,$A$5:$A$639,$A296,$C$5:$C$639,$C296-1,$D$5:$D$639,$D296)&lt;0),"n.s.",ABS(I296)/ABS(SUMIFS(I$5:I$639,$A$5:$A$639,$A296,$C$5:$C$639,$C296-1,$D$5:$D$639,$D296))-1)))</f>
        <v/>
      </c>
      <c r="R296" s="16">
        <f>IF(OR($A296="",J296="",$C296=""),"",IF(COUNTIFS($A$5:$A$639,$A296,$C$5:$C$639,$C296-1,$D$5:$D$639,$D296,J$5:J$639,"&lt;&gt;")=0,"",IF(OR(SUMIFS(J$5:J$639,$A$5:$A$639,$A296,$C$5:$C$639,$C296-1,$D$5:$D$639,$D296)=0,J296*SUMIFS(J$5:J$639,$A$5:$A$639,$A296,$C$5:$C$639,$C296-1,$D$5:$D$639,$D296)&lt;0),"n.s.",ABS(J296)/ABS(SUMIFS(J$5:J$639,$A$5:$A$639,$A296,$C$5:$C$639,$C296-1,$D$5:$D$639,$D296))-1)))</f>
        <v/>
      </c>
      <c r="S296" s="16">
        <f>IF(OR($A296="",K296="",$C296=""),"",IF(COUNTIFS($A$5:$A$639,$A296,$C$5:$C$639,$C296-1,$D$5:$D$639,$D296,K$5:K$639,"&lt;&gt;")=0,"",IF(OR(SUMIFS(K$5:K$639,$A$5:$A$639,$A296,$C$5:$C$639,$C296-1,$D$5:$D$639,$D296)=0,K296*SUMIFS(K$5:K$639,$A$5:$A$639,$A296,$C$5:$C$639,$C296-1,$D$5:$D$639,$D296)&lt;0),"n.s.",ABS(K296)/ABS(SUMIFS(K$5:K$639,$A$5:$A$639,$A296,$C$5:$C$639,$C296-1,$D$5:$D$639,$D296))-1)))</f>
        <v/>
      </c>
      <c r="T296" s="16">
        <f>IF(OR($A296="",L296="",$C296=""),"",IF(COUNTIFS($A$5:$A$639,$A296,$C$5:$C$639,$C296-1,$D$5:$D$639,$D296,L$5:L$639,"&lt;&gt;")=0,"",IF(OR(SUMIFS(L$5:L$639,$A$5:$A$639,$A296,$C$5:$C$639,$C296-1,$D$5:$D$639,$D296)=0,L296*SUMIFS(L$5:L$639,$A$5:$A$639,$A296,$C$5:$C$639,$C296-1,$D$5:$D$639,$D296)&lt;0),"n.s.",ABS(L296)/ABS(SUMIFS(L$5:L$639,$A$5:$A$639,$A296,$C$5:$C$639,$C296-1,$D$5:$D$639,$D296))-1)))</f>
        <v/>
      </c>
      <c r="U296" s="16">
        <f>IF(OR($A296="",M296="",$C296=""),"",IF(COUNTIFS($A$5:$A$639,$A296,$C$5:$C$639,$C296-1,$D$5:$D$639,$D296,M$5:M$639,"&lt;&gt;")=0,"",IF(OR(SUMIFS(M$5:M$639,$A$5:$A$639,$A296,$C$5:$C$639,$C296-1,$D$5:$D$639,$D296)=0,M296*SUMIFS(M$5:M$639,$A$5:$A$639,$A296,$C$5:$C$639,$C296-1,$D$5:$D$639,$D296)&lt;0),"n.s.",ABS(M296)/ABS(SUMIFS(M$5:M$639,$A$5:$A$639,$A296,$C$5:$C$639,$C296-1,$D$5:$D$639,$D296))-1)))</f>
        <v/>
      </c>
    </row>
    <row r="297">
      <c r="A297" s="9" t="inlineStr">
        <is>
          <t>CABC</t>
        </is>
      </c>
      <c r="B297" s="10">
        <f>IF(A297="","",IFERROR(VLOOKUP(A297,Titres!$A$2:$B$400,2,FALSE),"Ticker inconnu"))</f>
        <v/>
      </c>
      <c r="C297" s="11" t="n">
        <v>2022</v>
      </c>
      <c r="D297" s="11" t="inlineStr">
        <is>
          <t>S1</t>
        </is>
      </c>
      <c r="E297" s="9" t="n"/>
      <c r="F297" s="12" t="n"/>
      <c r="G297" s="9" t="n"/>
      <c r="H297" s="13" t="n"/>
      <c r="I297" s="13" t="n"/>
      <c r="J297" s="13" t="n"/>
      <c r="K297" s="13" t="n"/>
      <c r="L297" s="13" t="n"/>
      <c r="M297" s="13" t="n"/>
      <c r="N297" s="14">
        <f>IF(A297="","",COUNT(H297:M297)/6)</f>
        <v/>
      </c>
      <c r="O297" s="15">
        <f>IF(COUNT(H297:M297)=0,"",IF(LEN(IF(COUNT(I297,J297)=2,IF(J297&gt;I297+1,"EBE &gt; VA ",""),"")&amp;IF(COUNT(H297,M297)=2,IF(ABS(M297)&gt;ABS(H297),"RN &gt; CA ",""),"")&amp;IF(COUNT(H297,K297)=2,IF(ABS(K297)&gt;ABS(H297),"RE &gt; CA ",""),""))=0,"OK",IF(COUNT(I297,J297)=2,IF(J297&gt;I297+1,"EBE &gt; VA ",""),"")&amp;IF(COUNT(H297,M297)=2,IF(ABS(M297)&gt;ABS(H297),"RN &gt; CA ",""),"")&amp;IF(COUNT(H297,K297)=2,IF(ABS(K297)&gt;ABS(H297),"RE &gt; CA ",""),"")))</f>
        <v/>
      </c>
      <c r="P297" s="16">
        <f>IF(OR($A297="",H297="",$C297=""),"",IF(COUNTIFS($A$5:$A$639,$A297,$C$5:$C$639,$C297-1,$D$5:$D$639,$D297,H$5:H$639,"&lt;&gt;")=0,"",IF(OR(SUMIFS(H$5:H$639,$A$5:$A$639,$A297,$C$5:$C$639,$C297-1,$D$5:$D$639,$D297)=0,H297*SUMIFS(H$5:H$639,$A$5:$A$639,$A297,$C$5:$C$639,$C297-1,$D$5:$D$639,$D297)&lt;0),"n.s.",ABS(H297)/ABS(SUMIFS(H$5:H$639,$A$5:$A$639,$A297,$C$5:$C$639,$C297-1,$D$5:$D$639,$D297))-1)))</f>
        <v/>
      </c>
      <c r="Q297" s="16">
        <f>IF(OR($A297="",I297="",$C297=""),"",IF(COUNTIFS($A$5:$A$639,$A297,$C$5:$C$639,$C297-1,$D$5:$D$639,$D297,I$5:I$639,"&lt;&gt;")=0,"",IF(OR(SUMIFS(I$5:I$639,$A$5:$A$639,$A297,$C$5:$C$639,$C297-1,$D$5:$D$639,$D297)=0,I297*SUMIFS(I$5:I$639,$A$5:$A$639,$A297,$C$5:$C$639,$C297-1,$D$5:$D$639,$D297)&lt;0),"n.s.",ABS(I297)/ABS(SUMIFS(I$5:I$639,$A$5:$A$639,$A297,$C$5:$C$639,$C297-1,$D$5:$D$639,$D297))-1)))</f>
        <v/>
      </c>
      <c r="R297" s="16">
        <f>IF(OR($A297="",J297="",$C297=""),"",IF(COUNTIFS($A$5:$A$639,$A297,$C$5:$C$639,$C297-1,$D$5:$D$639,$D297,J$5:J$639,"&lt;&gt;")=0,"",IF(OR(SUMIFS(J$5:J$639,$A$5:$A$639,$A297,$C$5:$C$639,$C297-1,$D$5:$D$639,$D297)=0,J297*SUMIFS(J$5:J$639,$A$5:$A$639,$A297,$C$5:$C$639,$C297-1,$D$5:$D$639,$D297)&lt;0),"n.s.",ABS(J297)/ABS(SUMIFS(J$5:J$639,$A$5:$A$639,$A297,$C$5:$C$639,$C297-1,$D$5:$D$639,$D297))-1)))</f>
        <v/>
      </c>
      <c r="S297" s="16">
        <f>IF(OR($A297="",K297="",$C297=""),"",IF(COUNTIFS($A$5:$A$639,$A297,$C$5:$C$639,$C297-1,$D$5:$D$639,$D297,K$5:K$639,"&lt;&gt;")=0,"",IF(OR(SUMIFS(K$5:K$639,$A$5:$A$639,$A297,$C$5:$C$639,$C297-1,$D$5:$D$639,$D297)=0,K297*SUMIFS(K$5:K$639,$A$5:$A$639,$A297,$C$5:$C$639,$C297-1,$D$5:$D$639,$D297)&lt;0),"n.s.",ABS(K297)/ABS(SUMIFS(K$5:K$639,$A$5:$A$639,$A297,$C$5:$C$639,$C297-1,$D$5:$D$639,$D297))-1)))</f>
        <v/>
      </c>
      <c r="T297" s="16">
        <f>IF(OR($A297="",L297="",$C297=""),"",IF(COUNTIFS($A$5:$A$639,$A297,$C$5:$C$639,$C297-1,$D$5:$D$639,$D297,L$5:L$639,"&lt;&gt;")=0,"",IF(OR(SUMIFS(L$5:L$639,$A$5:$A$639,$A297,$C$5:$C$639,$C297-1,$D$5:$D$639,$D297)=0,L297*SUMIFS(L$5:L$639,$A$5:$A$639,$A297,$C$5:$C$639,$C297-1,$D$5:$D$639,$D297)&lt;0),"n.s.",ABS(L297)/ABS(SUMIFS(L$5:L$639,$A$5:$A$639,$A297,$C$5:$C$639,$C297-1,$D$5:$D$639,$D297))-1)))</f>
        <v/>
      </c>
      <c r="U297" s="16">
        <f>IF(OR($A297="",M297="",$C297=""),"",IF(COUNTIFS($A$5:$A$639,$A297,$C$5:$C$639,$C297-1,$D$5:$D$639,$D297,M$5:M$639,"&lt;&gt;")=0,"",IF(OR(SUMIFS(M$5:M$639,$A$5:$A$639,$A297,$C$5:$C$639,$C297-1,$D$5:$D$639,$D297)=0,M297*SUMIFS(M$5:M$639,$A$5:$A$639,$A297,$C$5:$C$639,$C297-1,$D$5:$D$639,$D297)&lt;0),"n.s.",ABS(M297)/ABS(SUMIFS(M$5:M$639,$A$5:$A$639,$A297,$C$5:$C$639,$C297-1,$D$5:$D$639,$D297))-1)))</f>
        <v/>
      </c>
    </row>
    <row r="298">
      <c r="A298" s="9" t="inlineStr">
        <is>
          <t>CABC</t>
        </is>
      </c>
      <c r="B298" s="10">
        <f>IF(A298="","",IFERROR(VLOOKUP(A298,Titres!$A$2:$B$400,2,FALSE),"Ticker inconnu"))</f>
        <v/>
      </c>
      <c r="C298" s="11" t="n">
        <v>2022</v>
      </c>
      <c r="D298" s="11" t="inlineStr">
        <is>
          <t>T3</t>
        </is>
      </c>
      <c r="E298" s="9" t="n"/>
      <c r="F298" s="12" t="n"/>
      <c r="G298" s="9" t="n"/>
      <c r="H298" s="13" t="n"/>
      <c r="I298" s="13" t="n"/>
      <c r="J298" s="13" t="n"/>
      <c r="K298" s="13" t="n"/>
      <c r="L298" s="13" t="n"/>
      <c r="M298" s="13" t="n"/>
      <c r="N298" s="14">
        <f>IF(A298="","",COUNT(H298:M298)/6)</f>
        <v/>
      </c>
      <c r="O298" s="15">
        <f>IF(COUNT(H298:M298)=0,"",IF(LEN(IF(COUNT(I298,J298)=2,IF(J298&gt;I298+1,"EBE &gt; VA ",""),"")&amp;IF(COUNT(H298,M298)=2,IF(ABS(M298)&gt;ABS(H298),"RN &gt; CA ",""),"")&amp;IF(COUNT(H298,K298)=2,IF(ABS(K298)&gt;ABS(H298),"RE &gt; CA ",""),""))=0,"OK",IF(COUNT(I298,J298)=2,IF(J298&gt;I298+1,"EBE &gt; VA ",""),"")&amp;IF(COUNT(H298,M298)=2,IF(ABS(M298)&gt;ABS(H298),"RN &gt; CA ",""),"")&amp;IF(COUNT(H298,K298)=2,IF(ABS(K298)&gt;ABS(H298),"RE &gt; CA ",""),"")))</f>
        <v/>
      </c>
      <c r="P298" s="16">
        <f>IF(OR($A298="",H298="",$C298=""),"",IF(COUNTIFS($A$5:$A$639,$A298,$C$5:$C$639,$C298-1,$D$5:$D$639,$D298,H$5:H$639,"&lt;&gt;")=0,"",IF(OR(SUMIFS(H$5:H$639,$A$5:$A$639,$A298,$C$5:$C$639,$C298-1,$D$5:$D$639,$D298)=0,H298*SUMIFS(H$5:H$639,$A$5:$A$639,$A298,$C$5:$C$639,$C298-1,$D$5:$D$639,$D298)&lt;0),"n.s.",ABS(H298)/ABS(SUMIFS(H$5:H$639,$A$5:$A$639,$A298,$C$5:$C$639,$C298-1,$D$5:$D$639,$D298))-1)))</f>
        <v/>
      </c>
      <c r="Q298" s="16">
        <f>IF(OR($A298="",I298="",$C298=""),"",IF(COUNTIFS($A$5:$A$639,$A298,$C$5:$C$639,$C298-1,$D$5:$D$639,$D298,I$5:I$639,"&lt;&gt;")=0,"",IF(OR(SUMIFS(I$5:I$639,$A$5:$A$639,$A298,$C$5:$C$639,$C298-1,$D$5:$D$639,$D298)=0,I298*SUMIFS(I$5:I$639,$A$5:$A$639,$A298,$C$5:$C$639,$C298-1,$D$5:$D$639,$D298)&lt;0),"n.s.",ABS(I298)/ABS(SUMIFS(I$5:I$639,$A$5:$A$639,$A298,$C$5:$C$639,$C298-1,$D$5:$D$639,$D298))-1)))</f>
        <v/>
      </c>
      <c r="R298" s="16">
        <f>IF(OR($A298="",J298="",$C298=""),"",IF(COUNTIFS($A$5:$A$639,$A298,$C$5:$C$639,$C298-1,$D$5:$D$639,$D298,J$5:J$639,"&lt;&gt;")=0,"",IF(OR(SUMIFS(J$5:J$639,$A$5:$A$639,$A298,$C$5:$C$639,$C298-1,$D$5:$D$639,$D298)=0,J298*SUMIFS(J$5:J$639,$A$5:$A$639,$A298,$C$5:$C$639,$C298-1,$D$5:$D$639,$D298)&lt;0),"n.s.",ABS(J298)/ABS(SUMIFS(J$5:J$639,$A$5:$A$639,$A298,$C$5:$C$639,$C298-1,$D$5:$D$639,$D298))-1)))</f>
        <v/>
      </c>
      <c r="S298" s="16">
        <f>IF(OR($A298="",K298="",$C298=""),"",IF(COUNTIFS($A$5:$A$639,$A298,$C$5:$C$639,$C298-1,$D$5:$D$639,$D298,K$5:K$639,"&lt;&gt;")=0,"",IF(OR(SUMIFS(K$5:K$639,$A$5:$A$639,$A298,$C$5:$C$639,$C298-1,$D$5:$D$639,$D298)=0,K298*SUMIFS(K$5:K$639,$A$5:$A$639,$A298,$C$5:$C$639,$C298-1,$D$5:$D$639,$D298)&lt;0),"n.s.",ABS(K298)/ABS(SUMIFS(K$5:K$639,$A$5:$A$639,$A298,$C$5:$C$639,$C298-1,$D$5:$D$639,$D298))-1)))</f>
        <v/>
      </c>
      <c r="T298" s="16">
        <f>IF(OR($A298="",L298="",$C298=""),"",IF(COUNTIFS($A$5:$A$639,$A298,$C$5:$C$639,$C298-1,$D$5:$D$639,$D298,L$5:L$639,"&lt;&gt;")=0,"",IF(OR(SUMIFS(L$5:L$639,$A$5:$A$639,$A298,$C$5:$C$639,$C298-1,$D$5:$D$639,$D298)=0,L298*SUMIFS(L$5:L$639,$A$5:$A$639,$A298,$C$5:$C$639,$C298-1,$D$5:$D$639,$D298)&lt;0),"n.s.",ABS(L298)/ABS(SUMIFS(L$5:L$639,$A$5:$A$639,$A298,$C$5:$C$639,$C298-1,$D$5:$D$639,$D298))-1)))</f>
        <v/>
      </c>
      <c r="U298" s="16">
        <f>IF(OR($A298="",M298="",$C298=""),"",IF(COUNTIFS($A$5:$A$639,$A298,$C$5:$C$639,$C298-1,$D$5:$D$639,$D298,M$5:M$639,"&lt;&gt;")=0,"",IF(OR(SUMIFS(M$5:M$639,$A$5:$A$639,$A298,$C$5:$C$639,$C298-1,$D$5:$D$639,$D298)=0,M298*SUMIFS(M$5:M$639,$A$5:$A$639,$A298,$C$5:$C$639,$C298-1,$D$5:$D$639,$D298)&lt;0),"n.s.",ABS(M298)/ABS(SUMIFS(M$5:M$639,$A$5:$A$639,$A298,$C$5:$C$639,$C298-1,$D$5:$D$639,$D298))-1)))</f>
        <v/>
      </c>
    </row>
    <row r="299">
      <c r="A299" s="9" t="inlineStr">
        <is>
          <t>CABC</t>
        </is>
      </c>
      <c r="B299" s="10">
        <f>IF(A299="","",IFERROR(VLOOKUP(A299,Titres!$A$2:$B$400,2,FALSE),"Ticker inconnu"))</f>
        <v/>
      </c>
      <c r="C299" s="11" t="n">
        <v>2023</v>
      </c>
      <c r="D299" s="11" t="inlineStr">
        <is>
          <t>T1</t>
        </is>
      </c>
      <c r="E299" s="9" t="n"/>
      <c r="F299" s="12" t="n"/>
      <c r="G299" s="9" t="n"/>
      <c r="H299" s="13" t="n"/>
      <c r="I299" s="13" t="n"/>
      <c r="J299" s="13" t="n"/>
      <c r="K299" s="13" t="n"/>
      <c r="L299" s="13" t="n"/>
      <c r="M299" s="13" t="n"/>
      <c r="N299" s="14">
        <f>IF(A299="","",COUNT(H299:M299)/6)</f>
        <v/>
      </c>
      <c r="O299" s="15">
        <f>IF(COUNT(H299:M299)=0,"",IF(LEN(IF(COUNT(I299,J299)=2,IF(J299&gt;I299+1,"EBE &gt; VA ",""),"")&amp;IF(COUNT(H299,M299)=2,IF(ABS(M299)&gt;ABS(H299),"RN &gt; CA ",""),"")&amp;IF(COUNT(H299,K299)=2,IF(ABS(K299)&gt;ABS(H299),"RE &gt; CA ",""),""))=0,"OK",IF(COUNT(I299,J299)=2,IF(J299&gt;I299+1,"EBE &gt; VA ",""),"")&amp;IF(COUNT(H299,M299)=2,IF(ABS(M299)&gt;ABS(H299),"RN &gt; CA ",""),"")&amp;IF(COUNT(H299,K299)=2,IF(ABS(K299)&gt;ABS(H299),"RE &gt; CA ",""),"")))</f>
        <v/>
      </c>
      <c r="P299" s="16">
        <f>IF(OR($A299="",H299="",$C299=""),"",IF(COUNTIFS($A$5:$A$639,$A299,$C$5:$C$639,$C299-1,$D$5:$D$639,$D299,H$5:H$639,"&lt;&gt;")=0,"",IF(OR(SUMIFS(H$5:H$639,$A$5:$A$639,$A299,$C$5:$C$639,$C299-1,$D$5:$D$639,$D299)=0,H299*SUMIFS(H$5:H$639,$A$5:$A$639,$A299,$C$5:$C$639,$C299-1,$D$5:$D$639,$D299)&lt;0),"n.s.",ABS(H299)/ABS(SUMIFS(H$5:H$639,$A$5:$A$639,$A299,$C$5:$C$639,$C299-1,$D$5:$D$639,$D299))-1)))</f>
        <v/>
      </c>
      <c r="Q299" s="16">
        <f>IF(OR($A299="",I299="",$C299=""),"",IF(COUNTIFS($A$5:$A$639,$A299,$C$5:$C$639,$C299-1,$D$5:$D$639,$D299,I$5:I$639,"&lt;&gt;")=0,"",IF(OR(SUMIFS(I$5:I$639,$A$5:$A$639,$A299,$C$5:$C$639,$C299-1,$D$5:$D$639,$D299)=0,I299*SUMIFS(I$5:I$639,$A$5:$A$639,$A299,$C$5:$C$639,$C299-1,$D$5:$D$639,$D299)&lt;0),"n.s.",ABS(I299)/ABS(SUMIFS(I$5:I$639,$A$5:$A$639,$A299,$C$5:$C$639,$C299-1,$D$5:$D$639,$D299))-1)))</f>
        <v/>
      </c>
      <c r="R299" s="16">
        <f>IF(OR($A299="",J299="",$C299=""),"",IF(COUNTIFS($A$5:$A$639,$A299,$C$5:$C$639,$C299-1,$D$5:$D$639,$D299,J$5:J$639,"&lt;&gt;")=0,"",IF(OR(SUMIFS(J$5:J$639,$A$5:$A$639,$A299,$C$5:$C$639,$C299-1,$D$5:$D$639,$D299)=0,J299*SUMIFS(J$5:J$639,$A$5:$A$639,$A299,$C$5:$C$639,$C299-1,$D$5:$D$639,$D299)&lt;0),"n.s.",ABS(J299)/ABS(SUMIFS(J$5:J$639,$A$5:$A$639,$A299,$C$5:$C$639,$C299-1,$D$5:$D$639,$D299))-1)))</f>
        <v/>
      </c>
      <c r="S299" s="16">
        <f>IF(OR($A299="",K299="",$C299=""),"",IF(COUNTIFS($A$5:$A$639,$A299,$C$5:$C$639,$C299-1,$D$5:$D$639,$D299,K$5:K$639,"&lt;&gt;")=0,"",IF(OR(SUMIFS(K$5:K$639,$A$5:$A$639,$A299,$C$5:$C$639,$C299-1,$D$5:$D$639,$D299)=0,K299*SUMIFS(K$5:K$639,$A$5:$A$639,$A299,$C$5:$C$639,$C299-1,$D$5:$D$639,$D299)&lt;0),"n.s.",ABS(K299)/ABS(SUMIFS(K$5:K$639,$A$5:$A$639,$A299,$C$5:$C$639,$C299-1,$D$5:$D$639,$D299))-1)))</f>
        <v/>
      </c>
      <c r="T299" s="16">
        <f>IF(OR($A299="",L299="",$C299=""),"",IF(COUNTIFS($A$5:$A$639,$A299,$C$5:$C$639,$C299-1,$D$5:$D$639,$D299,L$5:L$639,"&lt;&gt;")=0,"",IF(OR(SUMIFS(L$5:L$639,$A$5:$A$639,$A299,$C$5:$C$639,$C299-1,$D$5:$D$639,$D299)=0,L299*SUMIFS(L$5:L$639,$A$5:$A$639,$A299,$C$5:$C$639,$C299-1,$D$5:$D$639,$D299)&lt;0),"n.s.",ABS(L299)/ABS(SUMIFS(L$5:L$639,$A$5:$A$639,$A299,$C$5:$C$639,$C299-1,$D$5:$D$639,$D299))-1)))</f>
        <v/>
      </c>
      <c r="U299" s="16">
        <f>IF(OR($A299="",M299="",$C299=""),"",IF(COUNTIFS($A$5:$A$639,$A299,$C$5:$C$639,$C299-1,$D$5:$D$639,$D299,M$5:M$639,"&lt;&gt;")=0,"",IF(OR(SUMIFS(M$5:M$639,$A$5:$A$639,$A299,$C$5:$C$639,$C299-1,$D$5:$D$639,$D299)=0,M299*SUMIFS(M$5:M$639,$A$5:$A$639,$A299,$C$5:$C$639,$C299-1,$D$5:$D$639,$D299)&lt;0),"n.s.",ABS(M299)/ABS(SUMIFS(M$5:M$639,$A$5:$A$639,$A299,$C$5:$C$639,$C299-1,$D$5:$D$639,$D299))-1)))</f>
        <v/>
      </c>
    </row>
    <row r="300">
      <c r="A300" s="9" t="inlineStr">
        <is>
          <t>CABC</t>
        </is>
      </c>
      <c r="B300" s="10">
        <f>IF(A300="","",IFERROR(VLOOKUP(A300,Titres!$A$2:$B$400,2,FALSE),"Ticker inconnu"))</f>
        <v/>
      </c>
      <c r="C300" s="11" t="n">
        <v>2023</v>
      </c>
      <c r="D300" s="11" t="inlineStr">
        <is>
          <t>S1</t>
        </is>
      </c>
      <c r="E300" s="9" t="n"/>
      <c r="F300" s="12" t="n"/>
      <c r="G300" s="9" t="n"/>
      <c r="H300" s="13" t="n"/>
      <c r="I300" s="13" t="n"/>
      <c r="J300" s="13" t="n"/>
      <c r="K300" s="13" t="n"/>
      <c r="L300" s="13" t="n"/>
      <c r="M300" s="13" t="n"/>
      <c r="N300" s="14">
        <f>IF(A300="","",COUNT(H300:M300)/6)</f>
        <v/>
      </c>
      <c r="O300" s="15">
        <f>IF(COUNT(H300:M300)=0,"",IF(LEN(IF(COUNT(I300,J300)=2,IF(J300&gt;I300+1,"EBE &gt; VA ",""),"")&amp;IF(COUNT(H300,M300)=2,IF(ABS(M300)&gt;ABS(H300),"RN &gt; CA ",""),"")&amp;IF(COUNT(H300,K300)=2,IF(ABS(K300)&gt;ABS(H300),"RE &gt; CA ",""),""))=0,"OK",IF(COUNT(I300,J300)=2,IF(J300&gt;I300+1,"EBE &gt; VA ",""),"")&amp;IF(COUNT(H300,M300)=2,IF(ABS(M300)&gt;ABS(H300),"RN &gt; CA ",""),"")&amp;IF(COUNT(H300,K300)=2,IF(ABS(K300)&gt;ABS(H300),"RE &gt; CA ",""),"")))</f>
        <v/>
      </c>
      <c r="P300" s="16">
        <f>IF(OR($A300="",H300="",$C300=""),"",IF(COUNTIFS($A$5:$A$639,$A300,$C$5:$C$639,$C300-1,$D$5:$D$639,$D300,H$5:H$639,"&lt;&gt;")=0,"",IF(OR(SUMIFS(H$5:H$639,$A$5:$A$639,$A300,$C$5:$C$639,$C300-1,$D$5:$D$639,$D300)=0,H300*SUMIFS(H$5:H$639,$A$5:$A$639,$A300,$C$5:$C$639,$C300-1,$D$5:$D$639,$D300)&lt;0),"n.s.",ABS(H300)/ABS(SUMIFS(H$5:H$639,$A$5:$A$639,$A300,$C$5:$C$639,$C300-1,$D$5:$D$639,$D300))-1)))</f>
        <v/>
      </c>
      <c r="Q300" s="16">
        <f>IF(OR($A300="",I300="",$C300=""),"",IF(COUNTIFS($A$5:$A$639,$A300,$C$5:$C$639,$C300-1,$D$5:$D$639,$D300,I$5:I$639,"&lt;&gt;")=0,"",IF(OR(SUMIFS(I$5:I$639,$A$5:$A$639,$A300,$C$5:$C$639,$C300-1,$D$5:$D$639,$D300)=0,I300*SUMIFS(I$5:I$639,$A$5:$A$639,$A300,$C$5:$C$639,$C300-1,$D$5:$D$639,$D300)&lt;0),"n.s.",ABS(I300)/ABS(SUMIFS(I$5:I$639,$A$5:$A$639,$A300,$C$5:$C$639,$C300-1,$D$5:$D$639,$D300))-1)))</f>
        <v/>
      </c>
      <c r="R300" s="16">
        <f>IF(OR($A300="",J300="",$C300=""),"",IF(COUNTIFS($A$5:$A$639,$A300,$C$5:$C$639,$C300-1,$D$5:$D$639,$D300,J$5:J$639,"&lt;&gt;")=0,"",IF(OR(SUMIFS(J$5:J$639,$A$5:$A$639,$A300,$C$5:$C$639,$C300-1,$D$5:$D$639,$D300)=0,J300*SUMIFS(J$5:J$639,$A$5:$A$639,$A300,$C$5:$C$639,$C300-1,$D$5:$D$639,$D300)&lt;0),"n.s.",ABS(J300)/ABS(SUMIFS(J$5:J$639,$A$5:$A$639,$A300,$C$5:$C$639,$C300-1,$D$5:$D$639,$D300))-1)))</f>
        <v/>
      </c>
      <c r="S300" s="16">
        <f>IF(OR($A300="",K300="",$C300=""),"",IF(COUNTIFS($A$5:$A$639,$A300,$C$5:$C$639,$C300-1,$D$5:$D$639,$D300,K$5:K$639,"&lt;&gt;")=0,"",IF(OR(SUMIFS(K$5:K$639,$A$5:$A$639,$A300,$C$5:$C$639,$C300-1,$D$5:$D$639,$D300)=0,K300*SUMIFS(K$5:K$639,$A$5:$A$639,$A300,$C$5:$C$639,$C300-1,$D$5:$D$639,$D300)&lt;0),"n.s.",ABS(K300)/ABS(SUMIFS(K$5:K$639,$A$5:$A$639,$A300,$C$5:$C$639,$C300-1,$D$5:$D$639,$D300))-1)))</f>
        <v/>
      </c>
      <c r="T300" s="16">
        <f>IF(OR($A300="",L300="",$C300=""),"",IF(COUNTIFS($A$5:$A$639,$A300,$C$5:$C$639,$C300-1,$D$5:$D$639,$D300,L$5:L$639,"&lt;&gt;")=0,"",IF(OR(SUMIFS(L$5:L$639,$A$5:$A$639,$A300,$C$5:$C$639,$C300-1,$D$5:$D$639,$D300)=0,L300*SUMIFS(L$5:L$639,$A$5:$A$639,$A300,$C$5:$C$639,$C300-1,$D$5:$D$639,$D300)&lt;0),"n.s.",ABS(L300)/ABS(SUMIFS(L$5:L$639,$A$5:$A$639,$A300,$C$5:$C$639,$C300-1,$D$5:$D$639,$D300))-1)))</f>
        <v/>
      </c>
      <c r="U300" s="16">
        <f>IF(OR($A300="",M300="",$C300=""),"",IF(COUNTIFS($A$5:$A$639,$A300,$C$5:$C$639,$C300-1,$D$5:$D$639,$D300,M$5:M$639,"&lt;&gt;")=0,"",IF(OR(SUMIFS(M$5:M$639,$A$5:$A$639,$A300,$C$5:$C$639,$C300-1,$D$5:$D$639,$D300)=0,M300*SUMIFS(M$5:M$639,$A$5:$A$639,$A300,$C$5:$C$639,$C300-1,$D$5:$D$639,$D300)&lt;0),"n.s.",ABS(M300)/ABS(SUMIFS(M$5:M$639,$A$5:$A$639,$A300,$C$5:$C$639,$C300-1,$D$5:$D$639,$D300))-1)))</f>
        <v/>
      </c>
    </row>
    <row r="301">
      <c r="A301" s="9" t="inlineStr">
        <is>
          <t>CABC</t>
        </is>
      </c>
      <c r="B301" s="10">
        <f>IF(A301="","",IFERROR(VLOOKUP(A301,Titres!$A$2:$B$400,2,FALSE),"Ticker inconnu"))</f>
        <v/>
      </c>
      <c r="C301" s="11" t="n">
        <v>2023</v>
      </c>
      <c r="D301" s="11" t="inlineStr">
        <is>
          <t>T3</t>
        </is>
      </c>
      <c r="E301" s="9" t="n"/>
      <c r="F301" s="12" t="n"/>
      <c r="G301" s="9" t="n"/>
      <c r="H301" s="13" t="n"/>
      <c r="I301" s="13" t="n"/>
      <c r="J301" s="13" t="n"/>
      <c r="K301" s="13" t="n"/>
      <c r="L301" s="13" t="n"/>
      <c r="M301" s="13" t="n"/>
      <c r="N301" s="14">
        <f>IF(A301="","",COUNT(H301:M301)/6)</f>
        <v/>
      </c>
      <c r="O301" s="15">
        <f>IF(COUNT(H301:M301)=0,"",IF(LEN(IF(COUNT(I301,J301)=2,IF(J301&gt;I301+1,"EBE &gt; VA ",""),"")&amp;IF(COUNT(H301,M301)=2,IF(ABS(M301)&gt;ABS(H301),"RN &gt; CA ",""),"")&amp;IF(COUNT(H301,K301)=2,IF(ABS(K301)&gt;ABS(H301),"RE &gt; CA ",""),""))=0,"OK",IF(COUNT(I301,J301)=2,IF(J301&gt;I301+1,"EBE &gt; VA ",""),"")&amp;IF(COUNT(H301,M301)=2,IF(ABS(M301)&gt;ABS(H301),"RN &gt; CA ",""),"")&amp;IF(COUNT(H301,K301)=2,IF(ABS(K301)&gt;ABS(H301),"RE &gt; CA ",""),"")))</f>
        <v/>
      </c>
      <c r="P301" s="16">
        <f>IF(OR($A301="",H301="",$C301=""),"",IF(COUNTIFS($A$5:$A$639,$A301,$C$5:$C$639,$C301-1,$D$5:$D$639,$D301,H$5:H$639,"&lt;&gt;")=0,"",IF(OR(SUMIFS(H$5:H$639,$A$5:$A$639,$A301,$C$5:$C$639,$C301-1,$D$5:$D$639,$D301)=0,H301*SUMIFS(H$5:H$639,$A$5:$A$639,$A301,$C$5:$C$639,$C301-1,$D$5:$D$639,$D301)&lt;0),"n.s.",ABS(H301)/ABS(SUMIFS(H$5:H$639,$A$5:$A$639,$A301,$C$5:$C$639,$C301-1,$D$5:$D$639,$D301))-1)))</f>
        <v/>
      </c>
      <c r="Q301" s="16">
        <f>IF(OR($A301="",I301="",$C301=""),"",IF(COUNTIFS($A$5:$A$639,$A301,$C$5:$C$639,$C301-1,$D$5:$D$639,$D301,I$5:I$639,"&lt;&gt;")=0,"",IF(OR(SUMIFS(I$5:I$639,$A$5:$A$639,$A301,$C$5:$C$639,$C301-1,$D$5:$D$639,$D301)=0,I301*SUMIFS(I$5:I$639,$A$5:$A$639,$A301,$C$5:$C$639,$C301-1,$D$5:$D$639,$D301)&lt;0),"n.s.",ABS(I301)/ABS(SUMIFS(I$5:I$639,$A$5:$A$639,$A301,$C$5:$C$639,$C301-1,$D$5:$D$639,$D301))-1)))</f>
        <v/>
      </c>
      <c r="R301" s="16">
        <f>IF(OR($A301="",J301="",$C301=""),"",IF(COUNTIFS($A$5:$A$639,$A301,$C$5:$C$639,$C301-1,$D$5:$D$639,$D301,J$5:J$639,"&lt;&gt;")=0,"",IF(OR(SUMIFS(J$5:J$639,$A$5:$A$639,$A301,$C$5:$C$639,$C301-1,$D$5:$D$639,$D301)=0,J301*SUMIFS(J$5:J$639,$A$5:$A$639,$A301,$C$5:$C$639,$C301-1,$D$5:$D$639,$D301)&lt;0),"n.s.",ABS(J301)/ABS(SUMIFS(J$5:J$639,$A$5:$A$639,$A301,$C$5:$C$639,$C301-1,$D$5:$D$639,$D301))-1)))</f>
        <v/>
      </c>
      <c r="S301" s="16">
        <f>IF(OR($A301="",K301="",$C301=""),"",IF(COUNTIFS($A$5:$A$639,$A301,$C$5:$C$639,$C301-1,$D$5:$D$639,$D301,K$5:K$639,"&lt;&gt;")=0,"",IF(OR(SUMIFS(K$5:K$639,$A$5:$A$639,$A301,$C$5:$C$639,$C301-1,$D$5:$D$639,$D301)=0,K301*SUMIFS(K$5:K$639,$A$5:$A$639,$A301,$C$5:$C$639,$C301-1,$D$5:$D$639,$D301)&lt;0),"n.s.",ABS(K301)/ABS(SUMIFS(K$5:K$639,$A$5:$A$639,$A301,$C$5:$C$639,$C301-1,$D$5:$D$639,$D301))-1)))</f>
        <v/>
      </c>
      <c r="T301" s="16">
        <f>IF(OR($A301="",L301="",$C301=""),"",IF(COUNTIFS($A$5:$A$639,$A301,$C$5:$C$639,$C301-1,$D$5:$D$639,$D301,L$5:L$639,"&lt;&gt;")=0,"",IF(OR(SUMIFS(L$5:L$639,$A$5:$A$639,$A301,$C$5:$C$639,$C301-1,$D$5:$D$639,$D301)=0,L301*SUMIFS(L$5:L$639,$A$5:$A$639,$A301,$C$5:$C$639,$C301-1,$D$5:$D$639,$D301)&lt;0),"n.s.",ABS(L301)/ABS(SUMIFS(L$5:L$639,$A$5:$A$639,$A301,$C$5:$C$639,$C301-1,$D$5:$D$639,$D301))-1)))</f>
        <v/>
      </c>
      <c r="U301" s="16">
        <f>IF(OR($A301="",M301="",$C301=""),"",IF(COUNTIFS($A$5:$A$639,$A301,$C$5:$C$639,$C301-1,$D$5:$D$639,$D301,M$5:M$639,"&lt;&gt;")=0,"",IF(OR(SUMIFS(M$5:M$639,$A$5:$A$639,$A301,$C$5:$C$639,$C301-1,$D$5:$D$639,$D301)=0,M301*SUMIFS(M$5:M$639,$A$5:$A$639,$A301,$C$5:$C$639,$C301-1,$D$5:$D$639,$D301)&lt;0),"n.s.",ABS(M301)/ABS(SUMIFS(M$5:M$639,$A$5:$A$639,$A301,$C$5:$C$639,$C301-1,$D$5:$D$639,$D301))-1)))</f>
        <v/>
      </c>
    </row>
    <row r="302">
      <c r="A302" s="9" t="inlineStr">
        <is>
          <t>CABC</t>
        </is>
      </c>
      <c r="B302" s="10">
        <f>IF(A302="","",IFERROR(VLOOKUP(A302,Titres!$A$2:$B$400,2,FALSE),"Ticker inconnu"))</f>
        <v/>
      </c>
      <c r="C302" s="11" t="n">
        <v>2024</v>
      </c>
      <c r="D302" s="11" t="inlineStr">
        <is>
          <t>T1</t>
        </is>
      </c>
      <c r="E302" s="9" t="n"/>
      <c r="F302" s="12" t="n"/>
      <c r="G302" s="9" t="n"/>
      <c r="H302" s="13" t="n"/>
      <c r="I302" s="13" t="n"/>
      <c r="J302" s="13" t="n"/>
      <c r="K302" s="13" t="n"/>
      <c r="L302" s="13" t="n"/>
      <c r="M302" s="13" t="n"/>
      <c r="N302" s="14">
        <f>IF(A302="","",COUNT(H302:M302)/6)</f>
        <v/>
      </c>
      <c r="O302" s="15">
        <f>IF(COUNT(H302:M302)=0,"",IF(LEN(IF(COUNT(I302,J302)=2,IF(J302&gt;I302+1,"EBE &gt; VA ",""),"")&amp;IF(COUNT(H302,M302)=2,IF(ABS(M302)&gt;ABS(H302),"RN &gt; CA ",""),"")&amp;IF(COUNT(H302,K302)=2,IF(ABS(K302)&gt;ABS(H302),"RE &gt; CA ",""),""))=0,"OK",IF(COUNT(I302,J302)=2,IF(J302&gt;I302+1,"EBE &gt; VA ",""),"")&amp;IF(COUNT(H302,M302)=2,IF(ABS(M302)&gt;ABS(H302),"RN &gt; CA ",""),"")&amp;IF(COUNT(H302,K302)=2,IF(ABS(K302)&gt;ABS(H302),"RE &gt; CA ",""),"")))</f>
        <v/>
      </c>
      <c r="P302" s="16">
        <f>IF(OR($A302="",H302="",$C302=""),"",IF(COUNTIFS($A$5:$A$639,$A302,$C$5:$C$639,$C302-1,$D$5:$D$639,$D302,H$5:H$639,"&lt;&gt;")=0,"",IF(OR(SUMIFS(H$5:H$639,$A$5:$A$639,$A302,$C$5:$C$639,$C302-1,$D$5:$D$639,$D302)=0,H302*SUMIFS(H$5:H$639,$A$5:$A$639,$A302,$C$5:$C$639,$C302-1,$D$5:$D$639,$D302)&lt;0),"n.s.",ABS(H302)/ABS(SUMIFS(H$5:H$639,$A$5:$A$639,$A302,$C$5:$C$639,$C302-1,$D$5:$D$639,$D302))-1)))</f>
        <v/>
      </c>
      <c r="Q302" s="16">
        <f>IF(OR($A302="",I302="",$C302=""),"",IF(COUNTIFS($A$5:$A$639,$A302,$C$5:$C$639,$C302-1,$D$5:$D$639,$D302,I$5:I$639,"&lt;&gt;")=0,"",IF(OR(SUMIFS(I$5:I$639,$A$5:$A$639,$A302,$C$5:$C$639,$C302-1,$D$5:$D$639,$D302)=0,I302*SUMIFS(I$5:I$639,$A$5:$A$639,$A302,$C$5:$C$639,$C302-1,$D$5:$D$639,$D302)&lt;0),"n.s.",ABS(I302)/ABS(SUMIFS(I$5:I$639,$A$5:$A$639,$A302,$C$5:$C$639,$C302-1,$D$5:$D$639,$D302))-1)))</f>
        <v/>
      </c>
      <c r="R302" s="16">
        <f>IF(OR($A302="",J302="",$C302=""),"",IF(COUNTIFS($A$5:$A$639,$A302,$C$5:$C$639,$C302-1,$D$5:$D$639,$D302,J$5:J$639,"&lt;&gt;")=0,"",IF(OR(SUMIFS(J$5:J$639,$A$5:$A$639,$A302,$C$5:$C$639,$C302-1,$D$5:$D$639,$D302)=0,J302*SUMIFS(J$5:J$639,$A$5:$A$639,$A302,$C$5:$C$639,$C302-1,$D$5:$D$639,$D302)&lt;0),"n.s.",ABS(J302)/ABS(SUMIFS(J$5:J$639,$A$5:$A$639,$A302,$C$5:$C$639,$C302-1,$D$5:$D$639,$D302))-1)))</f>
        <v/>
      </c>
      <c r="S302" s="16">
        <f>IF(OR($A302="",K302="",$C302=""),"",IF(COUNTIFS($A$5:$A$639,$A302,$C$5:$C$639,$C302-1,$D$5:$D$639,$D302,K$5:K$639,"&lt;&gt;")=0,"",IF(OR(SUMIFS(K$5:K$639,$A$5:$A$639,$A302,$C$5:$C$639,$C302-1,$D$5:$D$639,$D302)=0,K302*SUMIFS(K$5:K$639,$A$5:$A$639,$A302,$C$5:$C$639,$C302-1,$D$5:$D$639,$D302)&lt;0),"n.s.",ABS(K302)/ABS(SUMIFS(K$5:K$639,$A$5:$A$639,$A302,$C$5:$C$639,$C302-1,$D$5:$D$639,$D302))-1)))</f>
        <v/>
      </c>
      <c r="T302" s="16">
        <f>IF(OR($A302="",L302="",$C302=""),"",IF(COUNTIFS($A$5:$A$639,$A302,$C$5:$C$639,$C302-1,$D$5:$D$639,$D302,L$5:L$639,"&lt;&gt;")=0,"",IF(OR(SUMIFS(L$5:L$639,$A$5:$A$639,$A302,$C$5:$C$639,$C302-1,$D$5:$D$639,$D302)=0,L302*SUMIFS(L$5:L$639,$A$5:$A$639,$A302,$C$5:$C$639,$C302-1,$D$5:$D$639,$D302)&lt;0),"n.s.",ABS(L302)/ABS(SUMIFS(L$5:L$639,$A$5:$A$639,$A302,$C$5:$C$639,$C302-1,$D$5:$D$639,$D302))-1)))</f>
        <v/>
      </c>
      <c r="U302" s="16">
        <f>IF(OR($A302="",M302="",$C302=""),"",IF(COUNTIFS($A$5:$A$639,$A302,$C$5:$C$639,$C302-1,$D$5:$D$639,$D302,M$5:M$639,"&lt;&gt;")=0,"",IF(OR(SUMIFS(M$5:M$639,$A$5:$A$639,$A302,$C$5:$C$639,$C302-1,$D$5:$D$639,$D302)=0,M302*SUMIFS(M$5:M$639,$A$5:$A$639,$A302,$C$5:$C$639,$C302-1,$D$5:$D$639,$D302)&lt;0),"n.s.",ABS(M302)/ABS(SUMIFS(M$5:M$639,$A$5:$A$639,$A302,$C$5:$C$639,$C302-1,$D$5:$D$639,$D302))-1)))</f>
        <v/>
      </c>
    </row>
    <row r="303">
      <c r="A303" s="9" t="inlineStr">
        <is>
          <t>CABC</t>
        </is>
      </c>
      <c r="B303" s="10">
        <f>IF(A303="","",IFERROR(VLOOKUP(A303,Titres!$A$2:$B$400,2,FALSE),"Ticker inconnu"))</f>
        <v/>
      </c>
      <c r="C303" s="11" t="n">
        <v>2024</v>
      </c>
      <c r="D303" s="11" t="inlineStr">
        <is>
          <t>S1</t>
        </is>
      </c>
      <c r="E303" s="9" t="n"/>
      <c r="F303" s="12" t="n"/>
      <c r="G303" s="9" t="n"/>
      <c r="H303" s="13" t="n"/>
      <c r="I303" s="13" t="n"/>
      <c r="J303" s="13" t="n"/>
      <c r="K303" s="13" t="n"/>
      <c r="L303" s="13" t="n"/>
      <c r="M303" s="13" t="n"/>
      <c r="N303" s="14">
        <f>IF(A303="","",COUNT(H303:M303)/6)</f>
        <v/>
      </c>
      <c r="O303" s="15">
        <f>IF(COUNT(H303:M303)=0,"",IF(LEN(IF(COUNT(I303,J303)=2,IF(J303&gt;I303+1,"EBE &gt; VA ",""),"")&amp;IF(COUNT(H303,M303)=2,IF(ABS(M303)&gt;ABS(H303),"RN &gt; CA ",""),"")&amp;IF(COUNT(H303,K303)=2,IF(ABS(K303)&gt;ABS(H303),"RE &gt; CA ",""),""))=0,"OK",IF(COUNT(I303,J303)=2,IF(J303&gt;I303+1,"EBE &gt; VA ",""),"")&amp;IF(COUNT(H303,M303)=2,IF(ABS(M303)&gt;ABS(H303),"RN &gt; CA ",""),"")&amp;IF(COUNT(H303,K303)=2,IF(ABS(K303)&gt;ABS(H303),"RE &gt; CA ",""),"")))</f>
        <v/>
      </c>
      <c r="P303" s="16">
        <f>IF(OR($A303="",H303="",$C303=""),"",IF(COUNTIFS($A$5:$A$639,$A303,$C$5:$C$639,$C303-1,$D$5:$D$639,$D303,H$5:H$639,"&lt;&gt;")=0,"",IF(OR(SUMIFS(H$5:H$639,$A$5:$A$639,$A303,$C$5:$C$639,$C303-1,$D$5:$D$639,$D303)=0,H303*SUMIFS(H$5:H$639,$A$5:$A$639,$A303,$C$5:$C$639,$C303-1,$D$5:$D$639,$D303)&lt;0),"n.s.",ABS(H303)/ABS(SUMIFS(H$5:H$639,$A$5:$A$639,$A303,$C$5:$C$639,$C303-1,$D$5:$D$639,$D303))-1)))</f>
        <v/>
      </c>
      <c r="Q303" s="16">
        <f>IF(OR($A303="",I303="",$C303=""),"",IF(COUNTIFS($A$5:$A$639,$A303,$C$5:$C$639,$C303-1,$D$5:$D$639,$D303,I$5:I$639,"&lt;&gt;")=0,"",IF(OR(SUMIFS(I$5:I$639,$A$5:$A$639,$A303,$C$5:$C$639,$C303-1,$D$5:$D$639,$D303)=0,I303*SUMIFS(I$5:I$639,$A$5:$A$639,$A303,$C$5:$C$639,$C303-1,$D$5:$D$639,$D303)&lt;0),"n.s.",ABS(I303)/ABS(SUMIFS(I$5:I$639,$A$5:$A$639,$A303,$C$5:$C$639,$C303-1,$D$5:$D$639,$D303))-1)))</f>
        <v/>
      </c>
      <c r="R303" s="16">
        <f>IF(OR($A303="",J303="",$C303=""),"",IF(COUNTIFS($A$5:$A$639,$A303,$C$5:$C$639,$C303-1,$D$5:$D$639,$D303,J$5:J$639,"&lt;&gt;")=0,"",IF(OR(SUMIFS(J$5:J$639,$A$5:$A$639,$A303,$C$5:$C$639,$C303-1,$D$5:$D$639,$D303)=0,J303*SUMIFS(J$5:J$639,$A$5:$A$639,$A303,$C$5:$C$639,$C303-1,$D$5:$D$639,$D303)&lt;0),"n.s.",ABS(J303)/ABS(SUMIFS(J$5:J$639,$A$5:$A$639,$A303,$C$5:$C$639,$C303-1,$D$5:$D$639,$D303))-1)))</f>
        <v/>
      </c>
      <c r="S303" s="16">
        <f>IF(OR($A303="",K303="",$C303=""),"",IF(COUNTIFS($A$5:$A$639,$A303,$C$5:$C$639,$C303-1,$D$5:$D$639,$D303,K$5:K$639,"&lt;&gt;")=0,"",IF(OR(SUMIFS(K$5:K$639,$A$5:$A$639,$A303,$C$5:$C$639,$C303-1,$D$5:$D$639,$D303)=0,K303*SUMIFS(K$5:K$639,$A$5:$A$639,$A303,$C$5:$C$639,$C303-1,$D$5:$D$639,$D303)&lt;0),"n.s.",ABS(K303)/ABS(SUMIFS(K$5:K$639,$A$5:$A$639,$A303,$C$5:$C$639,$C303-1,$D$5:$D$639,$D303))-1)))</f>
        <v/>
      </c>
      <c r="T303" s="16">
        <f>IF(OR($A303="",L303="",$C303=""),"",IF(COUNTIFS($A$5:$A$639,$A303,$C$5:$C$639,$C303-1,$D$5:$D$639,$D303,L$5:L$639,"&lt;&gt;")=0,"",IF(OR(SUMIFS(L$5:L$639,$A$5:$A$639,$A303,$C$5:$C$639,$C303-1,$D$5:$D$639,$D303)=0,L303*SUMIFS(L$5:L$639,$A$5:$A$639,$A303,$C$5:$C$639,$C303-1,$D$5:$D$639,$D303)&lt;0),"n.s.",ABS(L303)/ABS(SUMIFS(L$5:L$639,$A$5:$A$639,$A303,$C$5:$C$639,$C303-1,$D$5:$D$639,$D303))-1)))</f>
        <v/>
      </c>
      <c r="U303" s="16">
        <f>IF(OR($A303="",M303="",$C303=""),"",IF(COUNTIFS($A$5:$A$639,$A303,$C$5:$C$639,$C303-1,$D$5:$D$639,$D303,M$5:M$639,"&lt;&gt;")=0,"",IF(OR(SUMIFS(M$5:M$639,$A$5:$A$639,$A303,$C$5:$C$639,$C303-1,$D$5:$D$639,$D303)=0,M303*SUMIFS(M$5:M$639,$A$5:$A$639,$A303,$C$5:$C$639,$C303-1,$D$5:$D$639,$D303)&lt;0),"n.s.",ABS(M303)/ABS(SUMIFS(M$5:M$639,$A$5:$A$639,$A303,$C$5:$C$639,$C303-1,$D$5:$D$639,$D303))-1)))</f>
        <v/>
      </c>
    </row>
    <row r="304">
      <c r="A304" s="9" t="inlineStr">
        <is>
          <t>CABC</t>
        </is>
      </c>
      <c r="B304" s="10">
        <f>IF(A304="","",IFERROR(VLOOKUP(A304,Titres!$A$2:$B$400,2,FALSE),"Ticker inconnu"))</f>
        <v/>
      </c>
      <c r="C304" s="11" t="n">
        <v>2024</v>
      </c>
      <c r="D304" s="11" t="inlineStr">
        <is>
          <t>T3</t>
        </is>
      </c>
      <c r="E304" s="9" t="n"/>
      <c r="F304" s="12" t="n"/>
      <c r="G304" s="9" t="n"/>
      <c r="H304" s="13" t="n"/>
      <c r="I304" s="13" t="n"/>
      <c r="J304" s="13" t="n"/>
      <c r="K304" s="13" t="n"/>
      <c r="L304" s="13" t="n"/>
      <c r="M304" s="13" t="n"/>
      <c r="N304" s="14">
        <f>IF(A304="","",COUNT(H304:M304)/6)</f>
        <v/>
      </c>
      <c r="O304" s="15">
        <f>IF(COUNT(H304:M304)=0,"",IF(LEN(IF(COUNT(I304,J304)=2,IF(J304&gt;I304+1,"EBE &gt; VA ",""),"")&amp;IF(COUNT(H304,M304)=2,IF(ABS(M304)&gt;ABS(H304),"RN &gt; CA ",""),"")&amp;IF(COUNT(H304,K304)=2,IF(ABS(K304)&gt;ABS(H304),"RE &gt; CA ",""),""))=0,"OK",IF(COUNT(I304,J304)=2,IF(J304&gt;I304+1,"EBE &gt; VA ",""),"")&amp;IF(COUNT(H304,M304)=2,IF(ABS(M304)&gt;ABS(H304),"RN &gt; CA ",""),"")&amp;IF(COUNT(H304,K304)=2,IF(ABS(K304)&gt;ABS(H304),"RE &gt; CA ",""),"")))</f>
        <v/>
      </c>
      <c r="P304" s="16">
        <f>IF(OR($A304="",H304="",$C304=""),"",IF(COUNTIFS($A$5:$A$639,$A304,$C$5:$C$639,$C304-1,$D$5:$D$639,$D304,H$5:H$639,"&lt;&gt;")=0,"",IF(OR(SUMIFS(H$5:H$639,$A$5:$A$639,$A304,$C$5:$C$639,$C304-1,$D$5:$D$639,$D304)=0,H304*SUMIFS(H$5:H$639,$A$5:$A$639,$A304,$C$5:$C$639,$C304-1,$D$5:$D$639,$D304)&lt;0),"n.s.",ABS(H304)/ABS(SUMIFS(H$5:H$639,$A$5:$A$639,$A304,$C$5:$C$639,$C304-1,$D$5:$D$639,$D304))-1)))</f>
        <v/>
      </c>
      <c r="Q304" s="16">
        <f>IF(OR($A304="",I304="",$C304=""),"",IF(COUNTIFS($A$5:$A$639,$A304,$C$5:$C$639,$C304-1,$D$5:$D$639,$D304,I$5:I$639,"&lt;&gt;")=0,"",IF(OR(SUMIFS(I$5:I$639,$A$5:$A$639,$A304,$C$5:$C$639,$C304-1,$D$5:$D$639,$D304)=0,I304*SUMIFS(I$5:I$639,$A$5:$A$639,$A304,$C$5:$C$639,$C304-1,$D$5:$D$639,$D304)&lt;0),"n.s.",ABS(I304)/ABS(SUMIFS(I$5:I$639,$A$5:$A$639,$A304,$C$5:$C$639,$C304-1,$D$5:$D$639,$D304))-1)))</f>
        <v/>
      </c>
      <c r="R304" s="16">
        <f>IF(OR($A304="",J304="",$C304=""),"",IF(COUNTIFS($A$5:$A$639,$A304,$C$5:$C$639,$C304-1,$D$5:$D$639,$D304,J$5:J$639,"&lt;&gt;")=0,"",IF(OR(SUMIFS(J$5:J$639,$A$5:$A$639,$A304,$C$5:$C$639,$C304-1,$D$5:$D$639,$D304)=0,J304*SUMIFS(J$5:J$639,$A$5:$A$639,$A304,$C$5:$C$639,$C304-1,$D$5:$D$639,$D304)&lt;0),"n.s.",ABS(J304)/ABS(SUMIFS(J$5:J$639,$A$5:$A$639,$A304,$C$5:$C$639,$C304-1,$D$5:$D$639,$D304))-1)))</f>
        <v/>
      </c>
      <c r="S304" s="16">
        <f>IF(OR($A304="",K304="",$C304=""),"",IF(COUNTIFS($A$5:$A$639,$A304,$C$5:$C$639,$C304-1,$D$5:$D$639,$D304,K$5:K$639,"&lt;&gt;")=0,"",IF(OR(SUMIFS(K$5:K$639,$A$5:$A$639,$A304,$C$5:$C$639,$C304-1,$D$5:$D$639,$D304)=0,K304*SUMIFS(K$5:K$639,$A$5:$A$639,$A304,$C$5:$C$639,$C304-1,$D$5:$D$639,$D304)&lt;0),"n.s.",ABS(K304)/ABS(SUMIFS(K$5:K$639,$A$5:$A$639,$A304,$C$5:$C$639,$C304-1,$D$5:$D$639,$D304))-1)))</f>
        <v/>
      </c>
      <c r="T304" s="16">
        <f>IF(OR($A304="",L304="",$C304=""),"",IF(COUNTIFS($A$5:$A$639,$A304,$C$5:$C$639,$C304-1,$D$5:$D$639,$D304,L$5:L$639,"&lt;&gt;")=0,"",IF(OR(SUMIFS(L$5:L$639,$A$5:$A$639,$A304,$C$5:$C$639,$C304-1,$D$5:$D$639,$D304)=0,L304*SUMIFS(L$5:L$639,$A$5:$A$639,$A304,$C$5:$C$639,$C304-1,$D$5:$D$639,$D304)&lt;0),"n.s.",ABS(L304)/ABS(SUMIFS(L$5:L$639,$A$5:$A$639,$A304,$C$5:$C$639,$C304-1,$D$5:$D$639,$D304))-1)))</f>
        <v/>
      </c>
      <c r="U304" s="16">
        <f>IF(OR($A304="",M304="",$C304=""),"",IF(COUNTIFS($A$5:$A$639,$A304,$C$5:$C$639,$C304-1,$D$5:$D$639,$D304,M$5:M$639,"&lt;&gt;")=0,"",IF(OR(SUMIFS(M$5:M$639,$A$5:$A$639,$A304,$C$5:$C$639,$C304-1,$D$5:$D$639,$D304)=0,M304*SUMIFS(M$5:M$639,$A$5:$A$639,$A304,$C$5:$C$639,$C304-1,$D$5:$D$639,$D304)&lt;0),"n.s.",ABS(M304)/ABS(SUMIFS(M$5:M$639,$A$5:$A$639,$A304,$C$5:$C$639,$C304-1,$D$5:$D$639,$D304))-1)))</f>
        <v/>
      </c>
    </row>
    <row r="305">
      <c r="A305" s="9" t="inlineStr">
        <is>
          <t>CABC</t>
        </is>
      </c>
      <c r="B305" s="10">
        <f>IF(A305="","",IFERROR(VLOOKUP(A305,Titres!$A$2:$B$400,2,FALSE),"Ticker inconnu"))</f>
        <v/>
      </c>
      <c r="C305" s="11" t="n">
        <v>2025</v>
      </c>
      <c r="D305" s="11" t="inlineStr">
        <is>
          <t>T1</t>
        </is>
      </c>
      <c r="E305" s="9" t="n"/>
      <c r="F305" s="12" t="n"/>
      <c r="G305" s="9" t="n"/>
      <c r="H305" s="13" t="n"/>
      <c r="I305" s="13" t="n"/>
      <c r="J305" s="13" t="n"/>
      <c r="K305" s="13" t="n"/>
      <c r="L305" s="13" t="n"/>
      <c r="M305" s="13" t="n"/>
      <c r="N305" s="14">
        <f>IF(A305="","",COUNT(H305:M305)/6)</f>
        <v/>
      </c>
      <c r="O305" s="15">
        <f>IF(COUNT(H305:M305)=0,"",IF(LEN(IF(COUNT(I305,J305)=2,IF(J305&gt;I305+1,"EBE &gt; VA ",""),"")&amp;IF(COUNT(H305,M305)=2,IF(ABS(M305)&gt;ABS(H305),"RN &gt; CA ",""),"")&amp;IF(COUNT(H305,K305)=2,IF(ABS(K305)&gt;ABS(H305),"RE &gt; CA ",""),""))=0,"OK",IF(COUNT(I305,J305)=2,IF(J305&gt;I305+1,"EBE &gt; VA ",""),"")&amp;IF(COUNT(H305,M305)=2,IF(ABS(M305)&gt;ABS(H305),"RN &gt; CA ",""),"")&amp;IF(COUNT(H305,K305)=2,IF(ABS(K305)&gt;ABS(H305),"RE &gt; CA ",""),"")))</f>
        <v/>
      </c>
      <c r="P305" s="16">
        <f>IF(OR($A305="",H305="",$C305=""),"",IF(COUNTIFS($A$5:$A$639,$A305,$C$5:$C$639,$C305-1,$D$5:$D$639,$D305,H$5:H$639,"&lt;&gt;")=0,"",IF(OR(SUMIFS(H$5:H$639,$A$5:$A$639,$A305,$C$5:$C$639,$C305-1,$D$5:$D$639,$D305)=0,H305*SUMIFS(H$5:H$639,$A$5:$A$639,$A305,$C$5:$C$639,$C305-1,$D$5:$D$639,$D305)&lt;0),"n.s.",ABS(H305)/ABS(SUMIFS(H$5:H$639,$A$5:$A$639,$A305,$C$5:$C$639,$C305-1,$D$5:$D$639,$D305))-1)))</f>
        <v/>
      </c>
      <c r="Q305" s="16">
        <f>IF(OR($A305="",I305="",$C305=""),"",IF(COUNTIFS($A$5:$A$639,$A305,$C$5:$C$639,$C305-1,$D$5:$D$639,$D305,I$5:I$639,"&lt;&gt;")=0,"",IF(OR(SUMIFS(I$5:I$639,$A$5:$A$639,$A305,$C$5:$C$639,$C305-1,$D$5:$D$639,$D305)=0,I305*SUMIFS(I$5:I$639,$A$5:$A$639,$A305,$C$5:$C$639,$C305-1,$D$5:$D$639,$D305)&lt;0),"n.s.",ABS(I305)/ABS(SUMIFS(I$5:I$639,$A$5:$A$639,$A305,$C$5:$C$639,$C305-1,$D$5:$D$639,$D305))-1)))</f>
        <v/>
      </c>
      <c r="R305" s="16">
        <f>IF(OR($A305="",J305="",$C305=""),"",IF(COUNTIFS($A$5:$A$639,$A305,$C$5:$C$639,$C305-1,$D$5:$D$639,$D305,J$5:J$639,"&lt;&gt;")=0,"",IF(OR(SUMIFS(J$5:J$639,$A$5:$A$639,$A305,$C$5:$C$639,$C305-1,$D$5:$D$639,$D305)=0,J305*SUMIFS(J$5:J$639,$A$5:$A$639,$A305,$C$5:$C$639,$C305-1,$D$5:$D$639,$D305)&lt;0),"n.s.",ABS(J305)/ABS(SUMIFS(J$5:J$639,$A$5:$A$639,$A305,$C$5:$C$639,$C305-1,$D$5:$D$639,$D305))-1)))</f>
        <v/>
      </c>
      <c r="S305" s="16">
        <f>IF(OR($A305="",K305="",$C305=""),"",IF(COUNTIFS($A$5:$A$639,$A305,$C$5:$C$639,$C305-1,$D$5:$D$639,$D305,K$5:K$639,"&lt;&gt;")=0,"",IF(OR(SUMIFS(K$5:K$639,$A$5:$A$639,$A305,$C$5:$C$639,$C305-1,$D$5:$D$639,$D305)=0,K305*SUMIFS(K$5:K$639,$A$5:$A$639,$A305,$C$5:$C$639,$C305-1,$D$5:$D$639,$D305)&lt;0),"n.s.",ABS(K305)/ABS(SUMIFS(K$5:K$639,$A$5:$A$639,$A305,$C$5:$C$639,$C305-1,$D$5:$D$639,$D305))-1)))</f>
        <v/>
      </c>
      <c r="T305" s="16">
        <f>IF(OR($A305="",L305="",$C305=""),"",IF(COUNTIFS($A$5:$A$639,$A305,$C$5:$C$639,$C305-1,$D$5:$D$639,$D305,L$5:L$639,"&lt;&gt;")=0,"",IF(OR(SUMIFS(L$5:L$639,$A$5:$A$639,$A305,$C$5:$C$639,$C305-1,$D$5:$D$639,$D305)=0,L305*SUMIFS(L$5:L$639,$A$5:$A$639,$A305,$C$5:$C$639,$C305-1,$D$5:$D$639,$D305)&lt;0),"n.s.",ABS(L305)/ABS(SUMIFS(L$5:L$639,$A$5:$A$639,$A305,$C$5:$C$639,$C305-1,$D$5:$D$639,$D305))-1)))</f>
        <v/>
      </c>
      <c r="U305" s="16">
        <f>IF(OR($A305="",M305="",$C305=""),"",IF(COUNTIFS($A$5:$A$639,$A305,$C$5:$C$639,$C305-1,$D$5:$D$639,$D305,M$5:M$639,"&lt;&gt;")=0,"",IF(OR(SUMIFS(M$5:M$639,$A$5:$A$639,$A305,$C$5:$C$639,$C305-1,$D$5:$D$639,$D305)=0,M305*SUMIFS(M$5:M$639,$A$5:$A$639,$A305,$C$5:$C$639,$C305-1,$D$5:$D$639,$D305)&lt;0),"n.s.",ABS(M305)/ABS(SUMIFS(M$5:M$639,$A$5:$A$639,$A305,$C$5:$C$639,$C305-1,$D$5:$D$639,$D305))-1)))</f>
        <v/>
      </c>
    </row>
    <row r="306">
      <c r="A306" s="9" t="inlineStr">
        <is>
          <t>CABC</t>
        </is>
      </c>
      <c r="B306" s="10">
        <f>IF(A306="","",IFERROR(VLOOKUP(A306,Titres!$A$2:$B$400,2,FALSE),"Ticker inconnu"))</f>
        <v/>
      </c>
      <c r="C306" s="11" t="n">
        <v>2025</v>
      </c>
      <c r="D306" s="11" t="inlineStr">
        <is>
          <t>S1</t>
        </is>
      </c>
      <c r="E306" s="9" t="n"/>
      <c r="F306" s="12" t="n"/>
      <c r="G306" s="9" t="n"/>
      <c r="H306" s="13" t="n"/>
      <c r="I306" s="13" t="n"/>
      <c r="J306" s="13" t="n"/>
      <c r="K306" s="13" t="n"/>
      <c r="L306" s="13" t="n"/>
      <c r="M306" s="13" t="n"/>
      <c r="N306" s="14">
        <f>IF(A306="","",COUNT(H306:M306)/6)</f>
        <v/>
      </c>
      <c r="O306" s="15">
        <f>IF(COUNT(H306:M306)=0,"",IF(LEN(IF(COUNT(I306,J306)=2,IF(J306&gt;I306+1,"EBE &gt; VA ",""),"")&amp;IF(COUNT(H306,M306)=2,IF(ABS(M306)&gt;ABS(H306),"RN &gt; CA ",""),"")&amp;IF(COUNT(H306,K306)=2,IF(ABS(K306)&gt;ABS(H306),"RE &gt; CA ",""),""))=0,"OK",IF(COUNT(I306,J306)=2,IF(J306&gt;I306+1,"EBE &gt; VA ",""),"")&amp;IF(COUNT(H306,M306)=2,IF(ABS(M306)&gt;ABS(H306),"RN &gt; CA ",""),"")&amp;IF(COUNT(H306,K306)=2,IF(ABS(K306)&gt;ABS(H306),"RE &gt; CA ",""),"")))</f>
        <v/>
      </c>
      <c r="P306" s="16">
        <f>IF(OR($A306="",H306="",$C306=""),"",IF(COUNTIFS($A$5:$A$639,$A306,$C$5:$C$639,$C306-1,$D$5:$D$639,$D306,H$5:H$639,"&lt;&gt;")=0,"",IF(OR(SUMIFS(H$5:H$639,$A$5:$A$639,$A306,$C$5:$C$639,$C306-1,$D$5:$D$639,$D306)=0,H306*SUMIFS(H$5:H$639,$A$5:$A$639,$A306,$C$5:$C$639,$C306-1,$D$5:$D$639,$D306)&lt;0),"n.s.",ABS(H306)/ABS(SUMIFS(H$5:H$639,$A$5:$A$639,$A306,$C$5:$C$639,$C306-1,$D$5:$D$639,$D306))-1)))</f>
        <v/>
      </c>
      <c r="Q306" s="16">
        <f>IF(OR($A306="",I306="",$C306=""),"",IF(COUNTIFS($A$5:$A$639,$A306,$C$5:$C$639,$C306-1,$D$5:$D$639,$D306,I$5:I$639,"&lt;&gt;")=0,"",IF(OR(SUMIFS(I$5:I$639,$A$5:$A$639,$A306,$C$5:$C$639,$C306-1,$D$5:$D$639,$D306)=0,I306*SUMIFS(I$5:I$639,$A$5:$A$639,$A306,$C$5:$C$639,$C306-1,$D$5:$D$639,$D306)&lt;0),"n.s.",ABS(I306)/ABS(SUMIFS(I$5:I$639,$A$5:$A$639,$A306,$C$5:$C$639,$C306-1,$D$5:$D$639,$D306))-1)))</f>
        <v/>
      </c>
      <c r="R306" s="16">
        <f>IF(OR($A306="",J306="",$C306=""),"",IF(COUNTIFS($A$5:$A$639,$A306,$C$5:$C$639,$C306-1,$D$5:$D$639,$D306,J$5:J$639,"&lt;&gt;")=0,"",IF(OR(SUMIFS(J$5:J$639,$A$5:$A$639,$A306,$C$5:$C$639,$C306-1,$D$5:$D$639,$D306)=0,J306*SUMIFS(J$5:J$639,$A$5:$A$639,$A306,$C$5:$C$639,$C306-1,$D$5:$D$639,$D306)&lt;0),"n.s.",ABS(J306)/ABS(SUMIFS(J$5:J$639,$A$5:$A$639,$A306,$C$5:$C$639,$C306-1,$D$5:$D$639,$D306))-1)))</f>
        <v/>
      </c>
      <c r="S306" s="16">
        <f>IF(OR($A306="",K306="",$C306=""),"",IF(COUNTIFS($A$5:$A$639,$A306,$C$5:$C$639,$C306-1,$D$5:$D$639,$D306,K$5:K$639,"&lt;&gt;")=0,"",IF(OR(SUMIFS(K$5:K$639,$A$5:$A$639,$A306,$C$5:$C$639,$C306-1,$D$5:$D$639,$D306)=0,K306*SUMIFS(K$5:K$639,$A$5:$A$639,$A306,$C$5:$C$639,$C306-1,$D$5:$D$639,$D306)&lt;0),"n.s.",ABS(K306)/ABS(SUMIFS(K$5:K$639,$A$5:$A$639,$A306,$C$5:$C$639,$C306-1,$D$5:$D$639,$D306))-1)))</f>
        <v/>
      </c>
      <c r="T306" s="16">
        <f>IF(OR($A306="",L306="",$C306=""),"",IF(COUNTIFS($A$5:$A$639,$A306,$C$5:$C$639,$C306-1,$D$5:$D$639,$D306,L$5:L$639,"&lt;&gt;")=0,"",IF(OR(SUMIFS(L$5:L$639,$A$5:$A$639,$A306,$C$5:$C$639,$C306-1,$D$5:$D$639,$D306)=0,L306*SUMIFS(L$5:L$639,$A$5:$A$639,$A306,$C$5:$C$639,$C306-1,$D$5:$D$639,$D306)&lt;0),"n.s.",ABS(L306)/ABS(SUMIFS(L$5:L$639,$A$5:$A$639,$A306,$C$5:$C$639,$C306-1,$D$5:$D$639,$D306))-1)))</f>
        <v/>
      </c>
      <c r="U306" s="16">
        <f>IF(OR($A306="",M306="",$C306=""),"",IF(COUNTIFS($A$5:$A$639,$A306,$C$5:$C$639,$C306-1,$D$5:$D$639,$D306,M$5:M$639,"&lt;&gt;")=0,"",IF(OR(SUMIFS(M$5:M$639,$A$5:$A$639,$A306,$C$5:$C$639,$C306-1,$D$5:$D$639,$D306)=0,M306*SUMIFS(M$5:M$639,$A$5:$A$639,$A306,$C$5:$C$639,$C306-1,$D$5:$D$639,$D306)&lt;0),"n.s.",ABS(M306)/ABS(SUMIFS(M$5:M$639,$A$5:$A$639,$A306,$C$5:$C$639,$C306-1,$D$5:$D$639,$D306))-1)))</f>
        <v/>
      </c>
    </row>
    <row r="307">
      <c r="A307" s="9" t="inlineStr">
        <is>
          <t>CABC</t>
        </is>
      </c>
      <c r="B307" s="10">
        <f>IF(A307="","",IFERROR(VLOOKUP(A307,Titres!$A$2:$B$400,2,FALSE),"Ticker inconnu"))</f>
        <v/>
      </c>
      <c r="C307" s="11" t="n">
        <v>2025</v>
      </c>
      <c r="D307" s="11" t="inlineStr">
        <is>
          <t>T3</t>
        </is>
      </c>
      <c r="E307" s="9" t="n"/>
      <c r="F307" s="12" t="n"/>
      <c r="G307" s="9" t="n"/>
      <c r="H307" s="13" t="n"/>
      <c r="I307" s="13" t="n"/>
      <c r="J307" s="13" t="n"/>
      <c r="K307" s="13" t="n"/>
      <c r="L307" s="13" t="n"/>
      <c r="M307" s="13" t="n"/>
      <c r="N307" s="14">
        <f>IF(A307="","",COUNT(H307:M307)/6)</f>
        <v/>
      </c>
      <c r="O307" s="15">
        <f>IF(COUNT(H307:M307)=0,"",IF(LEN(IF(COUNT(I307,J307)=2,IF(J307&gt;I307+1,"EBE &gt; VA ",""),"")&amp;IF(COUNT(H307,M307)=2,IF(ABS(M307)&gt;ABS(H307),"RN &gt; CA ",""),"")&amp;IF(COUNT(H307,K307)=2,IF(ABS(K307)&gt;ABS(H307),"RE &gt; CA ",""),""))=0,"OK",IF(COUNT(I307,J307)=2,IF(J307&gt;I307+1,"EBE &gt; VA ",""),"")&amp;IF(COUNT(H307,M307)=2,IF(ABS(M307)&gt;ABS(H307),"RN &gt; CA ",""),"")&amp;IF(COUNT(H307,K307)=2,IF(ABS(K307)&gt;ABS(H307),"RE &gt; CA ",""),"")))</f>
        <v/>
      </c>
      <c r="P307" s="16">
        <f>IF(OR($A307="",H307="",$C307=""),"",IF(COUNTIFS($A$5:$A$639,$A307,$C$5:$C$639,$C307-1,$D$5:$D$639,$D307,H$5:H$639,"&lt;&gt;")=0,"",IF(OR(SUMIFS(H$5:H$639,$A$5:$A$639,$A307,$C$5:$C$639,$C307-1,$D$5:$D$639,$D307)=0,H307*SUMIFS(H$5:H$639,$A$5:$A$639,$A307,$C$5:$C$639,$C307-1,$D$5:$D$639,$D307)&lt;0),"n.s.",ABS(H307)/ABS(SUMIFS(H$5:H$639,$A$5:$A$639,$A307,$C$5:$C$639,$C307-1,$D$5:$D$639,$D307))-1)))</f>
        <v/>
      </c>
      <c r="Q307" s="16">
        <f>IF(OR($A307="",I307="",$C307=""),"",IF(COUNTIFS($A$5:$A$639,$A307,$C$5:$C$639,$C307-1,$D$5:$D$639,$D307,I$5:I$639,"&lt;&gt;")=0,"",IF(OR(SUMIFS(I$5:I$639,$A$5:$A$639,$A307,$C$5:$C$639,$C307-1,$D$5:$D$639,$D307)=0,I307*SUMIFS(I$5:I$639,$A$5:$A$639,$A307,$C$5:$C$639,$C307-1,$D$5:$D$639,$D307)&lt;0),"n.s.",ABS(I307)/ABS(SUMIFS(I$5:I$639,$A$5:$A$639,$A307,$C$5:$C$639,$C307-1,$D$5:$D$639,$D307))-1)))</f>
        <v/>
      </c>
      <c r="R307" s="16">
        <f>IF(OR($A307="",J307="",$C307=""),"",IF(COUNTIFS($A$5:$A$639,$A307,$C$5:$C$639,$C307-1,$D$5:$D$639,$D307,J$5:J$639,"&lt;&gt;")=0,"",IF(OR(SUMIFS(J$5:J$639,$A$5:$A$639,$A307,$C$5:$C$639,$C307-1,$D$5:$D$639,$D307)=0,J307*SUMIFS(J$5:J$639,$A$5:$A$639,$A307,$C$5:$C$639,$C307-1,$D$5:$D$639,$D307)&lt;0),"n.s.",ABS(J307)/ABS(SUMIFS(J$5:J$639,$A$5:$A$639,$A307,$C$5:$C$639,$C307-1,$D$5:$D$639,$D307))-1)))</f>
        <v/>
      </c>
      <c r="S307" s="16">
        <f>IF(OR($A307="",K307="",$C307=""),"",IF(COUNTIFS($A$5:$A$639,$A307,$C$5:$C$639,$C307-1,$D$5:$D$639,$D307,K$5:K$639,"&lt;&gt;")=0,"",IF(OR(SUMIFS(K$5:K$639,$A$5:$A$639,$A307,$C$5:$C$639,$C307-1,$D$5:$D$639,$D307)=0,K307*SUMIFS(K$5:K$639,$A$5:$A$639,$A307,$C$5:$C$639,$C307-1,$D$5:$D$639,$D307)&lt;0),"n.s.",ABS(K307)/ABS(SUMIFS(K$5:K$639,$A$5:$A$639,$A307,$C$5:$C$639,$C307-1,$D$5:$D$639,$D307))-1)))</f>
        <v/>
      </c>
      <c r="T307" s="16">
        <f>IF(OR($A307="",L307="",$C307=""),"",IF(COUNTIFS($A$5:$A$639,$A307,$C$5:$C$639,$C307-1,$D$5:$D$639,$D307,L$5:L$639,"&lt;&gt;")=0,"",IF(OR(SUMIFS(L$5:L$639,$A$5:$A$639,$A307,$C$5:$C$639,$C307-1,$D$5:$D$639,$D307)=0,L307*SUMIFS(L$5:L$639,$A$5:$A$639,$A307,$C$5:$C$639,$C307-1,$D$5:$D$639,$D307)&lt;0),"n.s.",ABS(L307)/ABS(SUMIFS(L$5:L$639,$A$5:$A$639,$A307,$C$5:$C$639,$C307-1,$D$5:$D$639,$D307))-1)))</f>
        <v/>
      </c>
      <c r="U307" s="16">
        <f>IF(OR($A307="",M307="",$C307=""),"",IF(COUNTIFS($A$5:$A$639,$A307,$C$5:$C$639,$C307-1,$D$5:$D$639,$D307,M$5:M$639,"&lt;&gt;")=0,"",IF(OR(SUMIFS(M$5:M$639,$A$5:$A$639,$A307,$C$5:$C$639,$C307-1,$D$5:$D$639,$D307)=0,M307*SUMIFS(M$5:M$639,$A$5:$A$639,$A307,$C$5:$C$639,$C307-1,$D$5:$D$639,$D307)&lt;0),"n.s.",ABS(M307)/ABS(SUMIFS(M$5:M$639,$A$5:$A$639,$A307,$C$5:$C$639,$C307-1,$D$5:$D$639,$D307))-1)))</f>
        <v/>
      </c>
    </row>
    <row r="308">
      <c r="A308" s="9" t="inlineStr">
        <is>
          <t>CABC</t>
        </is>
      </c>
      <c r="B308" s="10">
        <f>IF(A308="","",IFERROR(VLOOKUP(A308,Titres!$A$2:$B$400,2,FALSE),"Ticker inconnu"))</f>
        <v/>
      </c>
      <c r="C308" s="11" t="n">
        <v>2026</v>
      </c>
      <c r="D308" s="11" t="inlineStr">
        <is>
          <t>T1</t>
        </is>
      </c>
      <c r="E308" s="9" t="n"/>
      <c r="F308" s="12" t="n"/>
      <c r="G308" s="9" t="n"/>
      <c r="H308" s="13" t="n"/>
      <c r="I308" s="13" t="n"/>
      <c r="J308" s="13" t="n"/>
      <c r="K308" s="13" t="n"/>
      <c r="L308" s="13" t="n"/>
      <c r="M308" s="13" t="n"/>
      <c r="N308" s="14">
        <f>IF(A308="","",COUNT(H308:M308)/6)</f>
        <v/>
      </c>
      <c r="O308" s="15">
        <f>IF(COUNT(H308:M308)=0,"",IF(LEN(IF(COUNT(I308,J308)=2,IF(J308&gt;I308+1,"EBE &gt; VA ",""),"")&amp;IF(COUNT(H308,M308)=2,IF(ABS(M308)&gt;ABS(H308),"RN &gt; CA ",""),"")&amp;IF(COUNT(H308,K308)=2,IF(ABS(K308)&gt;ABS(H308),"RE &gt; CA ",""),""))=0,"OK",IF(COUNT(I308,J308)=2,IF(J308&gt;I308+1,"EBE &gt; VA ",""),"")&amp;IF(COUNT(H308,M308)=2,IF(ABS(M308)&gt;ABS(H308),"RN &gt; CA ",""),"")&amp;IF(COUNT(H308,K308)=2,IF(ABS(K308)&gt;ABS(H308),"RE &gt; CA ",""),"")))</f>
        <v/>
      </c>
      <c r="P308" s="16">
        <f>IF(OR($A308="",H308="",$C308=""),"",IF(COUNTIFS($A$5:$A$639,$A308,$C$5:$C$639,$C308-1,$D$5:$D$639,$D308,H$5:H$639,"&lt;&gt;")=0,"",IF(OR(SUMIFS(H$5:H$639,$A$5:$A$639,$A308,$C$5:$C$639,$C308-1,$D$5:$D$639,$D308)=0,H308*SUMIFS(H$5:H$639,$A$5:$A$639,$A308,$C$5:$C$639,$C308-1,$D$5:$D$639,$D308)&lt;0),"n.s.",ABS(H308)/ABS(SUMIFS(H$5:H$639,$A$5:$A$639,$A308,$C$5:$C$639,$C308-1,$D$5:$D$639,$D308))-1)))</f>
        <v/>
      </c>
      <c r="Q308" s="16">
        <f>IF(OR($A308="",I308="",$C308=""),"",IF(COUNTIFS($A$5:$A$639,$A308,$C$5:$C$639,$C308-1,$D$5:$D$639,$D308,I$5:I$639,"&lt;&gt;")=0,"",IF(OR(SUMIFS(I$5:I$639,$A$5:$A$639,$A308,$C$5:$C$639,$C308-1,$D$5:$D$639,$D308)=0,I308*SUMIFS(I$5:I$639,$A$5:$A$639,$A308,$C$5:$C$639,$C308-1,$D$5:$D$639,$D308)&lt;0),"n.s.",ABS(I308)/ABS(SUMIFS(I$5:I$639,$A$5:$A$639,$A308,$C$5:$C$639,$C308-1,$D$5:$D$639,$D308))-1)))</f>
        <v/>
      </c>
      <c r="R308" s="16">
        <f>IF(OR($A308="",J308="",$C308=""),"",IF(COUNTIFS($A$5:$A$639,$A308,$C$5:$C$639,$C308-1,$D$5:$D$639,$D308,J$5:J$639,"&lt;&gt;")=0,"",IF(OR(SUMIFS(J$5:J$639,$A$5:$A$639,$A308,$C$5:$C$639,$C308-1,$D$5:$D$639,$D308)=0,J308*SUMIFS(J$5:J$639,$A$5:$A$639,$A308,$C$5:$C$639,$C308-1,$D$5:$D$639,$D308)&lt;0),"n.s.",ABS(J308)/ABS(SUMIFS(J$5:J$639,$A$5:$A$639,$A308,$C$5:$C$639,$C308-1,$D$5:$D$639,$D308))-1)))</f>
        <v/>
      </c>
      <c r="S308" s="16">
        <f>IF(OR($A308="",K308="",$C308=""),"",IF(COUNTIFS($A$5:$A$639,$A308,$C$5:$C$639,$C308-1,$D$5:$D$639,$D308,K$5:K$639,"&lt;&gt;")=0,"",IF(OR(SUMIFS(K$5:K$639,$A$5:$A$639,$A308,$C$5:$C$639,$C308-1,$D$5:$D$639,$D308)=0,K308*SUMIFS(K$5:K$639,$A$5:$A$639,$A308,$C$5:$C$639,$C308-1,$D$5:$D$639,$D308)&lt;0),"n.s.",ABS(K308)/ABS(SUMIFS(K$5:K$639,$A$5:$A$639,$A308,$C$5:$C$639,$C308-1,$D$5:$D$639,$D308))-1)))</f>
        <v/>
      </c>
      <c r="T308" s="16">
        <f>IF(OR($A308="",L308="",$C308=""),"",IF(COUNTIFS($A$5:$A$639,$A308,$C$5:$C$639,$C308-1,$D$5:$D$639,$D308,L$5:L$639,"&lt;&gt;")=0,"",IF(OR(SUMIFS(L$5:L$639,$A$5:$A$639,$A308,$C$5:$C$639,$C308-1,$D$5:$D$639,$D308)=0,L308*SUMIFS(L$5:L$639,$A$5:$A$639,$A308,$C$5:$C$639,$C308-1,$D$5:$D$639,$D308)&lt;0),"n.s.",ABS(L308)/ABS(SUMIFS(L$5:L$639,$A$5:$A$639,$A308,$C$5:$C$639,$C308-1,$D$5:$D$639,$D308))-1)))</f>
        <v/>
      </c>
      <c r="U308" s="16">
        <f>IF(OR($A308="",M308="",$C308=""),"",IF(COUNTIFS($A$5:$A$639,$A308,$C$5:$C$639,$C308-1,$D$5:$D$639,$D308,M$5:M$639,"&lt;&gt;")=0,"",IF(OR(SUMIFS(M$5:M$639,$A$5:$A$639,$A308,$C$5:$C$639,$C308-1,$D$5:$D$639,$D308)=0,M308*SUMIFS(M$5:M$639,$A$5:$A$639,$A308,$C$5:$C$639,$C308-1,$D$5:$D$639,$D308)&lt;0),"n.s.",ABS(M308)/ABS(SUMIFS(M$5:M$639,$A$5:$A$639,$A308,$C$5:$C$639,$C308-1,$D$5:$D$639,$D308))-1)))</f>
        <v/>
      </c>
    </row>
    <row r="309">
      <c r="A309" s="9" t="inlineStr">
        <is>
          <t>CABC</t>
        </is>
      </c>
      <c r="B309" s="10">
        <f>IF(A309="","",IFERROR(VLOOKUP(A309,Titres!$A$2:$B$400,2,FALSE),"Ticker inconnu"))</f>
        <v/>
      </c>
      <c r="C309" s="11" t="n">
        <v>2026</v>
      </c>
      <c r="D309" s="11" t="inlineStr">
        <is>
          <t>S1</t>
        </is>
      </c>
      <c r="E309" s="9" t="n"/>
      <c r="F309" s="12" t="n"/>
      <c r="G309" s="9" t="n"/>
      <c r="H309" s="13" t="n"/>
      <c r="I309" s="13" t="n"/>
      <c r="J309" s="13" t="n"/>
      <c r="K309" s="13" t="n"/>
      <c r="L309" s="13" t="n"/>
      <c r="M309" s="13" t="n"/>
      <c r="N309" s="14">
        <f>IF(A309="","",COUNT(H309:M309)/6)</f>
        <v/>
      </c>
      <c r="O309" s="15">
        <f>IF(COUNT(H309:M309)=0,"",IF(LEN(IF(COUNT(I309,J309)=2,IF(J309&gt;I309+1,"EBE &gt; VA ",""),"")&amp;IF(COUNT(H309,M309)=2,IF(ABS(M309)&gt;ABS(H309),"RN &gt; CA ",""),"")&amp;IF(COUNT(H309,K309)=2,IF(ABS(K309)&gt;ABS(H309),"RE &gt; CA ",""),""))=0,"OK",IF(COUNT(I309,J309)=2,IF(J309&gt;I309+1,"EBE &gt; VA ",""),"")&amp;IF(COUNT(H309,M309)=2,IF(ABS(M309)&gt;ABS(H309),"RN &gt; CA ",""),"")&amp;IF(COUNT(H309,K309)=2,IF(ABS(K309)&gt;ABS(H309),"RE &gt; CA ",""),"")))</f>
        <v/>
      </c>
      <c r="P309" s="16">
        <f>IF(OR($A309="",H309="",$C309=""),"",IF(COUNTIFS($A$5:$A$639,$A309,$C$5:$C$639,$C309-1,$D$5:$D$639,$D309,H$5:H$639,"&lt;&gt;")=0,"",IF(OR(SUMIFS(H$5:H$639,$A$5:$A$639,$A309,$C$5:$C$639,$C309-1,$D$5:$D$639,$D309)=0,H309*SUMIFS(H$5:H$639,$A$5:$A$639,$A309,$C$5:$C$639,$C309-1,$D$5:$D$639,$D309)&lt;0),"n.s.",ABS(H309)/ABS(SUMIFS(H$5:H$639,$A$5:$A$639,$A309,$C$5:$C$639,$C309-1,$D$5:$D$639,$D309))-1)))</f>
        <v/>
      </c>
      <c r="Q309" s="16">
        <f>IF(OR($A309="",I309="",$C309=""),"",IF(COUNTIFS($A$5:$A$639,$A309,$C$5:$C$639,$C309-1,$D$5:$D$639,$D309,I$5:I$639,"&lt;&gt;")=0,"",IF(OR(SUMIFS(I$5:I$639,$A$5:$A$639,$A309,$C$5:$C$639,$C309-1,$D$5:$D$639,$D309)=0,I309*SUMIFS(I$5:I$639,$A$5:$A$639,$A309,$C$5:$C$639,$C309-1,$D$5:$D$639,$D309)&lt;0),"n.s.",ABS(I309)/ABS(SUMIFS(I$5:I$639,$A$5:$A$639,$A309,$C$5:$C$639,$C309-1,$D$5:$D$639,$D309))-1)))</f>
        <v/>
      </c>
      <c r="R309" s="16">
        <f>IF(OR($A309="",J309="",$C309=""),"",IF(COUNTIFS($A$5:$A$639,$A309,$C$5:$C$639,$C309-1,$D$5:$D$639,$D309,J$5:J$639,"&lt;&gt;")=0,"",IF(OR(SUMIFS(J$5:J$639,$A$5:$A$639,$A309,$C$5:$C$639,$C309-1,$D$5:$D$639,$D309)=0,J309*SUMIFS(J$5:J$639,$A$5:$A$639,$A309,$C$5:$C$639,$C309-1,$D$5:$D$639,$D309)&lt;0),"n.s.",ABS(J309)/ABS(SUMIFS(J$5:J$639,$A$5:$A$639,$A309,$C$5:$C$639,$C309-1,$D$5:$D$639,$D309))-1)))</f>
        <v/>
      </c>
      <c r="S309" s="16">
        <f>IF(OR($A309="",K309="",$C309=""),"",IF(COUNTIFS($A$5:$A$639,$A309,$C$5:$C$639,$C309-1,$D$5:$D$639,$D309,K$5:K$639,"&lt;&gt;")=0,"",IF(OR(SUMIFS(K$5:K$639,$A$5:$A$639,$A309,$C$5:$C$639,$C309-1,$D$5:$D$639,$D309)=0,K309*SUMIFS(K$5:K$639,$A$5:$A$639,$A309,$C$5:$C$639,$C309-1,$D$5:$D$639,$D309)&lt;0),"n.s.",ABS(K309)/ABS(SUMIFS(K$5:K$639,$A$5:$A$639,$A309,$C$5:$C$639,$C309-1,$D$5:$D$639,$D309))-1)))</f>
        <v/>
      </c>
      <c r="T309" s="16">
        <f>IF(OR($A309="",L309="",$C309=""),"",IF(COUNTIFS($A$5:$A$639,$A309,$C$5:$C$639,$C309-1,$D$5:$D$639,$D309,L$5:L$639,"&lt;&gt;")=0,"",IF(OR(SUMIFS(L$5:L$639,$A$5:$A$639,$A309,$C$5:$C$639,$C309-1,$D$5:$D$639,$D309)=0,L309*SUMIFS(L$5:L$639,$A$5:$A$639,$A309,$C$5:$C$639,$C309-1,$D$5:$D$639,$D309)&lt;0),"n.s.",ABS(L309)/ABS(SUMIFS(L$5:L$639,$A$5:$A$639,$A309,$C$5:$C$639,$C309-1,$D$5:$D$639,$D309))-1)))</f>
        <v/>
      </c>
      <c r="U309" s="16">
        <f>IF(OR($A309="",M309="",$C309=""),"",IF(COUNTIFS($A$5:$A$639,$A309,$C$5:$C$639,$C309-1,$D$5:$D$639,$D309,M$5:M$639,"&lt;&gt;")=0,"",IF(OR(SUMIFS(M$5:M$639,$A$5:$A$639,$A309,$C$5:$C$639,$C309-1,$D$5:$D$639,$D309)=0,M309*SUMIFS(M$5:M$639,$A$5:$A$639,$A309,$C$5:$C$639,$C309-1,$D$5:$D$639,$D309)&lt;0),"n.s.",ABS(M309)/ABS(SUMIFS(M$5:M$639,$A$5:$A$639,$A309,$C$5:$C$639,$C309-1,$D$5:$D$639,$D309))-1)))</f>
        <v/>
      </c>
    </row>
    <row r="310">
      <c r="A310" s="9" t="inlineStr">
        <is>
          <t>CABC</t>
        </is>
      </c>
      <c r="B310" s="10">
        <f>IF(A310="","",IFERROR(VLOOKUP(A310,Titres!$A$2:$B$400,2,FALSE),"Ticker inconnu"))</f>
        <v/>
      </c>
      <c r="C310" s="11" t="n">
        <v>2026</v>
      </c>
      <c r="D310" s="11" t="inlineStr">
        <is>
          <t>T3</t>
        </is>
      </c>
      <c r="E310" s="9" t="n"/>
      <c r="F310" s="12" t="n"/>
      <c r="G310" s="9" t="n"/>
      <c r="H310" s="13" t="n"/>
      <c r="I310" s="13" t="n"/>
      <c r="J310" s="13" t="n"/>
      <c r="K310" s="13" t="n"/>
      <c r="L310" s="13" t="n"/>
      <c r="M310" s="13" t="n"/>
      <c r="N310" s="14">
        <f>IF(A310="","",COUNT(H310:M310)/6)</f>
        <v/>
      </c>
      <c r="O310" s="15">
        <f>IF(COUNT(H310:M310)=0,"",IF(LEN(IF(COUNT(I310,J310)=2,IF(J310&gt;I310+1,"EBE &gt; VA ",""),"")&amp;IF(COUNT(H310,M310)=2,IF(ABS(M310)&gt;ABS(H310),"RN &gt; CA ",""),"")&amp;IF(COUNT(H310,K310)=2,IF(ABS(K310)&gt;ABS(H310),"RE &gt; CA ",""),""))=0,"OK",IF(COUNT(I310,J310)=2,IF(J310&gt;I310+1,"EBE &gt; VA ",""),"")&amp;IF(COUNT(H310,M310)=2,IF(ABS(M310)&gt;ABS(H310),"RN &gt; CA ",""),"")&amp;IF(COUNT(H310,K310)=2,IF(ABS(K310)&gt;ABS(H310),"RE &gt; CA ",""),"")))</f>
        <v/>
      </c>
      <c r="P310" s="16">
        <f>IF(OR($A310="",H310="",$C310=""),"",IF(COUNTIFS($A$5:$A$639,$A310,$C$5:$C$639,$C310-1,$D$5:$D$639,$D310,H$5:H$639,"&lt;&gt;")=0,"",IF(OR(SUMIFS(H$5:H$639,$A$5:$A$639,$A310,$C$5:$C$639,$C310-1,$D$5:$D$639,$D310)=0,H310*SUMIFS(H$5:H$639,$A$5:$A$639,$A310,$C$5:$C$639,$C310-1,$D$5:$D$639,$D310)&lt;0),"n.s.",ABS(H310)/ABS(SUMIFS(H$5:H$639,$A$5:$A$639,$A310,$C$5:$C$639,$C310-1,$D$5:$D$639,$D310))-1)))</f>
        <v/>
      </c>
      <c r="Q310" s="16">
        <f>IF(OR($A310="",I310="",$C310=""),"",IF(COUNTIFS($A$5:$A$639,$A310,$C$5:$C$639,$C310-1,$D$5:$D$639,$D310,I$5:I$639,"&lt;&gt;")=0,"",IF(OR(SUMIFS(I$5:I$639,$A$5:$A$639,$A310,$C$5:$C$639,$C310-1,$D$5:$D$639,$D310)=0,I310*SUMIFS(I$5:I$639,$A$5:$A$639,$A310,$C$5:$C$639,$C310-1,$D$5:$D$639,$D310)&lt;0),"n.s.",ABS(I310)/ABS(SUMIFS(I$5:I$639,$A$5:$A$639,$A310,$C$5:$C$639,$C310-1,$D$5:$D$639,$D310))-1)))</f>
        <v/>
      </c>
      <c r="R310" s="16">
        <f>IF(OR($A310="",J310="",$C310=""),"",IF(COUNTIFS($A$5:$A$639,$A310,$C$5:$C$639,$C310-1,$D$5:$D$639,$D310,J$5:J$639,"&lt;&gt;")=0,"",IF(OR(SUMIFS(J$5:J$639,$A$5:$A$639,$A310,$C$5:$C$639,$C310-1,$D$5:$D$639,$D310)=0,J310*SUMIFS(J$5:J$639,$A$5:$A$639,$A310,$C$5:$C$639,$C310-1,$D$5:$D$639,$D310)&lt;0),"n.s.",ABS(J310)/ABS(SUMIFS(J$5:J$639,$A$5:$A$639,$A310,$C$5:$C$639,$C310-1,$D$5:$D$639,$D310))-1)))</f>
        <v/>
      </c>
      <c r="S310" s="16">
        <f>IF(OR($A310="",K310="",$C310=""),"",IF(COUNTIFS($A$5:$A$639,$A310,$C$5:$C$639,$C310-1,$D$5:$D$639,$D310,K$5:K$639,"&lt;&gt;")=0,"",IF(OR(SUMIFS(K$5:K$639,$A$5:$A$639,$A310,$C$5:$C$639,$C310-1,$D$5:$D$639,$D310)=0,K310*SUMIFS(K$5:K$639,$A$5:$A$639,$A310,$C$5:$C$639,$C310-1,$D$5:$D$639,$D310)&lt;0),"n.s.",ABS(K310)/ABS(SUMIFS(K$5:K$639,$A$5:$A$639,$A310,$C$5:$C$639,$C310-1,$D$5:$D$639,$D310))-1)))</f>
        <v/>
      </c>
      <c r="T310" s="16">
        <f>IF(OR($A310="",L310="",$C310=""),"",IF(COUNTIFS($A$5:$A$639,$A310,$C$5:$C$639,$C310-1,$D$5:$D$639,$D310,L$5:L$639,"&lt;&gt;")=0,"",IF(OR(SUMIFS(L$5:L$639,$A$5:$A$639,$A310,$C$5:$C$639,$C310-1,$D$5:$D$639,$D310)=0,L310*SUMIFS(L$5:L$639,$A$5:$A$639,$A310,$C$5:$C$639,$C310-1,$D$5:$D$639,$D310)&lt;0),"n.s.",ABS(L310)/ABS(SUMIFS(L$5:L$639,$A$5:$A$639,$A310,$C$5:$C$639,$C310-1,$D$5:$D$639,$D310))-1)))</f>
        <v/>
      </c>
      <c r="U310" s="16">
        <f>IF(OR($A310="",M310="",$C310=""),"",IF(COUNTIFS($A$5:$A$639,$A310,$C$5:$C$639,$C310-1,$D$5:$D$639,$D310,M$5:M$639,"&lt;&gt;")=0,"",IF(OR(SUMIFS(M$5:M$639,$A$5:$A$639,$A310,$C$5:$C$639,$C310-1,$D$5:$D$639,$D310)=0,M310*SUMIFS(M$5:M$639,$A$5:$A$639,$A310,$C$5:$C$639,$C310-1,$D$5:$D$639,$D310)&lt;0),"n.s.",ABS(M310)/ABS(SUMIFS(M$5:M$639,$A$5:$A$639,$A310,$C$5:$C$639,$C310-1,$D$5:$D$639,$D310))-1)))</f>
        <v/>
      </c>
    </row>
    <row r="311">
      <c r="A311" s="9" t="inlineStr">
        <is>
          <t>FTSC</t>
        </is>
      </c>
      <c r="B311" s="10">
        <f>IF(A311="","",IFERROR(VLOOKUP(A311,Titres!$A$2:$B$400,2,FALSE),"Ticker inconnu"))</f>
        <v/>
      </c>
      <c r="C311" s="11" t="n">
        <v>2021</v>
      </c>
      <c r="D311" s="11" t="inlineStr">
        <is>
          <t>T1</t>
        </is>
      </c>
      <c r="E311" s="9" t="n"/>
      <c r="F311" s="12" t="n"/>
      <c r="G311" s="9" t="n"/>
      <c r="H311" s="13" t="n"/>
      <c r="I311" s="13" t="n"/>
      <c r="J311" s="13" t="n"/>
      <c r="K311" s="13" t="n"/>
      <c r="L311" s="13" t="n"/>
      <c r="M311" s="13" t="n"/>
      <c r="N311" s="14">
        <f>IF(A311="","",COUNT(H311:M311)/6)</f>
        <v/>
      </c>
      <c r="O311" s="15">
        <f>IF(COUNT(H311:M311)=0,"",IF(LEN(IF(COUNT(I311,J311)=2,IF(J311&gt;I311+1,"EBE &gt; VA ",""),"")&amp;IF(COUNT(H311,M311)=2,IF(ABS(M311)&gt;ABS(H311),"RN &gt; CA ",""),"")&amp;IF(COUNT(H311,K311)=2,IF(ABS(K311)&gt;ABS(H311),"RE &gt; CA ",""),""))=0,"OK",IF(COUNT(I311,J311)=2,IF(J311&gt;I311+1,"EBE &gt; VA ",""),"")&amp;IF(COUNT(H311,M311)=2,IF(ABS(M311)&gt;ABS(H311),"RN &gt; CA ",""),"")&amp;IF(COUNT(H311,K311)=2,IF(ABS(K311)&gt;ABS(H311),"RE &gt; CA ",""),"")))</f>
        <v/>
      </c>
      <c r="P311" s="16">
        <f>IF(OR($A311="",H311="",$C311=""),"",IF(COUNTIFS($A$5:$A$639,$A311,$C$5:$C$639,$C311-1,$D$5:$D$639,$D311,H$5:H$639,"&lt;&gt;")=0,"",IF(OR(SUMIFS(H$5:H$639,$A$5:$A$639,$A311,$C$5:$C$639,$C311-1,$D$5:$D$639,$D311)=0,H311*SUMIFS(H$5:H$639,$A$5:$A$639,$A311,$C$5:$C$639,$C311-1,$D$5:$D$639,$D311)&lt;0),"n.s.",ABS(H311)/ABS(SUMIFS(H$5:H$639,$A$5:$A$639,$A311,$C$5:$C$639,$C311-1,$D$5:$D$639,$D311))-1)))</f>
        <v/>
      </c>
      <c r="Q311" s="16">
        <f>IF(OR($A311="",I311="",$C311=""),"",IF(COUNTIFS($A$5:$A$639,$A311,$C$5:$C$639,$C311-1,$D$5:$D$639,$D311,I$5:I$639,"&lt;&gt;")=0,"",IF(OR(SUMIFS(I$5:I$639,$A$5:$A$639,$A311,$C$5:$C$639,$C311-1,$D$5:$D$639,$D311)=0,I311*SUMIFS(I$5:I$639,$A$5:$A$639,$A311,$C$5:$C$639,$C311-1,$D$5:$D$639,$D311)&lt;0),"n.s.",ABS(I311)/ABS(SUMIFS(I$5:I$639,$A$5:$A$639,$A311,$C$5:$C$639,$C311-1,$D$5:$D$639,$D311))-1)))</f>
        <v/>
      </c>
      <c r="R311" s="16">
        <f>IF(OR($A311="",J311="",$C311=""),"",IF(COUNTIFS($A$5:$A$639,$A311,$C$5:$C$639,$C311-1,$D$5:$D$639,$D311,J$5:J$639,"&lt;&gt;")=0,"",IF(OR(SUMIFS(J$5:J$639,$A$5:$A$639,$A311,$C$5:$C$639,$C311-1,$D$5:$D$639,$D311)=0,J311*SUMIFS(J$5:J$639,$A$5:$A$639,$A311,$C$5:$C$639,$C311-1,$D$5:$D$639,$D311)&lt;0),"n.s.",ABS(J311)/ABS(SUMIFS(J$5:J$639,$A$5:$A$639,$A311,$C$5:$C$639,$C311-1,$D$5:$D$639,$D311))-1)))</f>
        <v/>
      </c>
      <c r="S311" s="16">
        <f>IF(OR($A311="",K311="",$C311=""),"",IF(COUNTIFS($A$5:$A$639,$A311,$C$5:$C$639,$C311-1,$D$5:$D$639,$D311,K$5:K$639,"&lt;&gt;")=0,"",IF(OR(SUMIFS(K$5:K$639,$A$5:$A$639,$A311,$C$5:$C$639,$C311-1,$D$5:$D$639,$D311)=0,K311*SUMIFS(K$5:K$639,$A$5:$A$639,$A311,$C$5:$C$639,$C311-1,$D$5:$D$639,$D311)&lt;0),"n.s.",ABS(K311)/ABS(SUMIFS(K$5:K$639,$A$5:$A$639,$A311,$C$5:$C$639,$C311-1,$D$5:$D$639,$D311))-1)))</f>
        <v/>
      </c>
      <c r="T311" s="16">
        <f>IF(OR($A311="",L311="",$C311=""),"",IF(COUNTIFS($A$5:$A$639,$A311,$C$5:$C$639,$C311-1,$D$5:$D$639,$D311,L$5:L$639,"&lt;&gt;")=0,"",IF(OR(SUMIFS(L$5:L$639,$A$5:$A$639,$A311,$C$5:$C$639,$C311-1,$D$5:$D$639,$D311)=0,L311*SUMIFS(L$5:L$639,$A$5:$A$639,$A311,$C$5:$C$639,$C311-1,$D$5:$D$639,$D311)&lt;0),"n.s.",ABS(L311)/ABS(SUMIFS(L$5:L$639,$A$5:$A$639,$A311,$C$5:$C$639,$C311-1,$D$5:$D$639,$D311))-1)))</f>
        <v/>
      </c>
      <c r="U311" s="16">
        <f>IF(OR($A311="",M311="",$C311=""),"",IF(COUNTIFS($A$5:$A$639,$A311,$C$5:$C$639,$C311-1,$D$5:$D$639,$D311,M$5:M$639,"&lt;&gt;")=0,"",IF(OR(SUMIFS(M$5:M$639,$A$5:$A$639,$A311,$C$5:$C$639,$C311-1,$D$5:$D$639,$D311)=0,M311*SUMIFS(M$5:M$639,$A$5:$A$639,$A311,$C$5:$C$639,$C311-1,$D$5:$D$639,$D311)&lt;0),"n.s.",ABS(M311)/ABS(SUMIFS(M$5:M$639,$A$5:$A$639,$A311,$C$5:$C$639,$C311-1,$D$5:$D$639,$D311))-1)))</f>
        <v/>
      </c>
    </row>
    <row r="312">
      <c r="A312" s="9" t="inlineStr">
        <is>
          <t>FTSC</t>
        </is>
      </c>
      <c r="B312" s="10">
        <f>IF(A312="","",IFERROR(VLOOKUP(A312,Titres!$A$2:$B$400,2,FALSE),"Ticker inconnu"))</f>
        <v/>
      </c>
      <c r="C312" s="11" t="n">
        <v>2021</v>
      </c>
      <c r="D312" s="11" t="inlineStr">
        <is>
          <t>S1</t>
        </is>
      </c>
      <c r="E312" s="9" t="n"/>
      <c r="F312" s="12" t="n"/>
      <c r="G312" s="9" t="n"/>
      <c r="H312" s="13" t="n"/>
      <c r="I312" s="13" t="n"/>
      <c r="J312" s="13" t="n"/>
      <c r="K312" s="13" t="n"/>
      <c r="L312" s="13" t="n"/>
      <c r="M312" s="13" t="n"/>
      <c r="N312" s="14">
        <f>IF(A312="","",COUNT(H312:M312)/6)</f>
        <v/>
      </c>
      <c r="O312" s="15">
        <f>IF(COUNT(H312:M312)=0,"",IF(LEN(IF(COUNT(I312,J312)=2,IF(J312&gt;I312+1,"EBE &gt; VA ",""),"")&amp;IF(COUNT(H312,M312)=2,IF(ABS(M312)&gt;ABS(H312),"RN &gt; CA ",""),"")&amp;IF(COUNT(H312,K312)=2,IF(ABS(K312)&gt;ABS(H312),"RE &gt; CA ",""),""))=0,"OK",IF(COUNT(I312,J312)=2,IF(J312&gt;I312+1,"EBE &gt; VA ",""),"")&amp;IF(COUNT(H312,M312)=2,IF(ABS(M312)&gt;ABS(H312),"RN &gt; CA ",""),"")&amp;IF(COUNT(H312,K312)=2,IF(ABS(K312)&gt;ABS(H312),"RE &gt; CA ",""),"")))</f>
        <v/>
      </c>
      <c r="P312" s="16">
        <f>IF(OR($A312="",H312="",$C312=""),"",IF(COUNTIFS($A$5:$A$639,$A312,$C$5:$C$639,$C312-1,$D$5:$D$639,$D312,H$5:H$639,"&lt;&gt;")=0,"",IF(OR(SUMIFS(H$5:H$639,$A$5:$A$639,$A312,$C$5:$C$639,$C312-1,$D$5:$D$639,$D312)=0,H312*SUMIFS(H$5:H$639,$A$5:$A$639,$A312,$C$5:$C$639,$C312-1,$D$5:$D$639,$D312)&lt;0),"n.s.",ABS(H312)/ABS(SUMIFS(H$5:H$639,$A$5:$A$639,$A312,$C$5:$C$639,$C312-1,$D$5:$D$639,$D312))-1)))</f>
        <v/>
      </c>
      <c r="Q312" s="16">
        <f>IF(OR($A312="",I312="",$C312=""),"",IF(COUNTIFS($A$5:$A$639,$A312,$C$5:$C$639,$C312-1,$D$5:$D$639,$D312,I$5:I$639,"&lt;&gt;")=0,"",IF(OR(SUMIFS(I$5:I$639,$A$5:$A$639,$A312,$C$5:$C$639,$C312-1,$D$5:$D$639,$D312)=0,I312*SUMIFS(I$5:I$639,$A$5:$A$639,$A312,$C$5:$C$639,$C312-1,$D$5:$D$639,$D312)&lt;0),"n.s.",ABS(I312)/ABS(SUMIFS(I$5:I$639,$A$5:$A$639,$A312,$C$5:$C$639,$C312-1,$D$5:$D$639,$D312))-1)))</f>
        <v/>
      </c>
      <c r="R312" s="16">
        <f>IF(OR($A312="",J312="",$C312=""),"",IF(COUNTIFS($A$5:$A$639,$A312,$C$5:$C$639,$C312-1,$D$5:$D$639,$D312,J$5:J$639,"&lt;&gt;")=0,"",IF(OR(SUMIFS(J$5:J$639,$A$5:$A$639,$A312,$C$5:$C$639,$C312-1,$D$5:$D$639,$D312)=0,J312*SUMIFS(J$5:J$639,$A$5:$A$639,$A312,$C$5:$C$639,$C312-1,$D$5:$D$639,$D312)&lt;0),"n.s.",ABS(J312)/ABS(SUMIFS(J$5:J$639,$A$5:$A$639,$A312,$C$5:$C$639,$C312-1,$D$5:$D$639,$D312))-1)))</f>
        <v/>
      </c>
      <c r="S312" s="16">
        <f>IF(OR($A312="",K312="",$C312=""),"",IF(COUNTIFS($A$5:$A$639,$A312,$C$5:$C$639,$C312-1,$D$5:$D$639,$D312,K$5:K$639,"&lt;&gt;")=0,"",IF(OR(SUMIFS(K$5:K$639,$A$5:$A$639,$A312,$C$5:$C$639,$C312-1,$D$5:$D$639,$D312)=0,K312*SUMIFS(K$5:K$639,$A$5:$A$639,$A312,$C$5:$C$639,$C312-1,$D$5:$D$639,$D312)&lt;0),"n.s.",ABS(K312)/ABS(SUMIFS(K$5:K$639,$A$5:$A$639,$A312,$C$5:$C$639,$C312-1,$D$5:$D$639,$D312))-1)))</f>
        <v/>
      </c>
      <c r="T312" s="16">
        <f>IF(OR($A312="",L312="",$C312=""),"",IF(COUNTIFS($A$5:$A$639,$A312,$C$5:$C$639,$C312-1,$D$5:$D$639,$D312,L$5:L$639,"&lt;&gt;")=0,"",IF(OR(SUMIFS(L$5:L$639,$A$5:$A$639,$A312,$C$5:$C$639,$C312-1,$D$5:$D$639,$D312)=0,L312*SUMIFS(L$5:L$639,$A$5:$A$639,$A312,$C$5:$C$639,$C312-1,$D$5:$D$639,$D312)&lt;0),"n.s.",ABS(L312)/ABS(SUMIFS(L$5:L$639,$A$5:$A$639,$A312,$C$5:$C$639,$C312-1,$D$5:$D$639,$D312))-1)))</f>
        <v/>
      </c>
      <c r="U312" s="16">
        <f>IF(OR($A312="",M312="",$C312=""),"",IF(COUNTIFS($A$5:$A$639,$A312,$C$5:$C$639,$C312-1,$D$5:$D$639,$D312,M$5:M$639,"&lt;&gt;")=0,"",IF(OR(SUMIFS(M$5:M$639,$A$5:$A$639,$A312,$C$5:$C$639,$C312-1,$D$5:$D$639,$D312)=0,M312*SUMIFS(M$5:M$639,$A$5:$A$639,$A312,$C$5:$C$639,$C312-1,$D$5:$D$639,$D312)&lt;0),"n.s.",ABS(M312)/ABS(SUMIFS(M$5:M$639,$A$5:$A$639,$A312,$C$5:$C$639,$C312-1,$D$5:$D$639,$D312))-1)))</f>
        <v/>
      </c>
    </row>
    <row r="313">
      <c r="A313" s="9" t="inlineStr">
        <is>
          <t>FTSC</t>
        </is>
      </c>
      <c r="B313" s="10">
        <f>IF(A313="","",IFERROR(VLOOKUP(A313,Titres!$A$2:$B$400,2,FALSE),"Ticker inconnu"))</f>
        <v/>
      </c>
      <c r="C313" s="11" t="n">
        <v>2021</v>
      </c>
      <c r="D313" s="11" t="inlineStr">
        <is>
          <t>T3</t>
        </is>
      </c>
      <c r="E313" s="9" t="n"/>
      <c r="F313" s="12" t="n"/>
      <c r="G313" s="9" t="n"/>
      <c r="H313" s="13" t="n"/>
      <c r="I313" s="13" t="n"/>
      <c r="J313" s="13" t="n"/>
      <c r="K313" s="13" t="n"/>
      <c r="L313" s="13" t="n"/>
      <c r="M313" s="13" t="n"/>
      <c r="N313" s="14">
        <f>IF(A313="","",COUNT(H313:M313)/6)</f>
        <v/>
      </c>
      <c r="O313" s="15">
        <f>IF(COUNT(H313:M313)=0,"",IF(LEN(IF(COUNT(I313,J313)=2,IF(J313&gt;I313+1,"EBE &gt; VA ",""),"")&amp;IF(COUNT(H313,M313)=2,IF(ABS(M313)&gt;ABS(H313),"RN &gt; CA ",""),"")&amp;IF(COUNT(H313,K313)=2,IF(ABS(K313)&gt;ABS(H313),"RE &gt; CA ",""),""))=0,"OK",IF(COUNT(I313,J313)=2,IF(J313&gt;I313+1,"EBE &gt; VA ",""),"")&amp;IF(COUNT(H313,M313)=2,IF(ABS(M313)&gt;ABS(H313),"RN &gt; CA ",""),"")&amp;IF(COUNT(H313,K313)=2,IF(ABS(K313)&gt;ABS(H313),"RE &gt; CA ",""),"")))</f>
        <v/>
      </c>
      <c r="P313" s="16">
        <f>IF(OR($A313="",H313="",$C313=""),"",IF(COUNTIFS($A$5:$A$639,$A313,$C$5:$C$639,$C313-1,$D$5:$D$639,$D313,H$5:H$639,"&lt;&gt;")=0,"",IF(OR(SUMIFS(H$5:H$639,$A$5:$A$639,$A313,$C$5:$C$639,$C313-1,$D$5:$D$639,$D313)=0,H313*SUMIFS(H$5:H$639,$A$5:$A$639,$A313,$C$5:$C$639,$C313-1,$D$5:$D$639,$D313)&lt;0),"n.s.",ABS(H313)/ABS(SUMIFS(H$5:H$639,$A$5:$A$639,$A313,$C$5:$C$639,$C313-1,$D$5:$D$639,$D313))-1)))</f>
        <v/>
      </c>
      <c r="Q313" s="16">
        <f>IF(OR($A313="",I313="",$C313=""),"",IF(COUNTIFS($A$5:$A$639,$A313,$C$5:$C$639,$C313-1,$D$5:$D$639,$D313,I$5:I$639,"&lt;&gt;")=0,"",IF(OR(SUMIFS(I$5:I$639,$A$5:$A$639,$A313,$C$5:$C$639,$C313-1,$D$5:$D$639,$D313)=0,I313*SUMIFS(I$5:I$639,$A$5:$A$639,$A313,$C$5:$C$639,$C313-1,$D$5:$D$639,$D313)&lt;0),"n.s.",ABS(I313)/ABS(SUMIFS(I$5:I$639,$A$5:$A$639,$A313,$C$5:$C$639,$C313-1,$D$5:$D$639,$D313))-1)))</f>
        <v/>
      </c>
      <c r="R313" s="16">
        <f>IF(OR($A313="",J313="",$C313=""),"",IF(COUNTIFS($A$5:$A$639,$A313,$C$5:$C$639,$C313-1,$D$5:$D$639,$D313,J$5:J$639,"&lt;&gt;")=0,"",IF(OR(SUMIFS(J$5:J$639,$A$5:$A$639,$A313,$C$5:$C$639,$C313-1,$D$5:$D$639,$D313)=0,J313*SUMIFS(J$5:J$639,$A$5:$A$639,$A313,$C$5:$C$639,$C313-1,$D$5:$D$639,$D313)&lt;0),"n.s.",ABS(J313)/ABS(SUMIFS(J$5:J$639,$A$5:$A$639,$A313,$C$5:$C$639,$C313-1,$D$5:$D$639,$D313))-1)))</f>
        <v/>
      </c>
      <c r="S313" s="16">
        <f>IF(OR($A313="",K313="",$C313=""),"",IF(COUNTIFS($A$5:$A$639,$A313,$C$5:$C$639,$C313-1,$D$5:$D$639,$D313,K$5:K$639,"&lt;&gt;")=0,"",IF(OR(SUMIFS(K$5:K$639,$A$5:$A$639,$A313,$C$5:$C$639,$C313-1,$D$5:$D$639,$D313)=0,K313*SUMIFS(K$5:K$639,$A$5:$A$639,$A313,$C$5:$C$639,$C313-1,$D$5:$D$639,$D313)&lt;0),"n.s.",ABS(K313)/ABS(SUMIFS(K$5:K$639,$A$5:$A$639,$A313,$C$5:$C$639,$C313-1,$D$5:$D$639,$D313))-1)))</f>
        <v/>
      </c>
      <c r="T313" s="16">
        <f>IF(OR($A313="",L313="",$C313=""),"",IF(COUNTIFS($A$5:$A$639,$A313,$C$5:$C$639,$C313-1,$D$5:$D$639,$D313,L$5:L$639,"&lt;&gt;")=0,"",IF(OR(SUMIFS(L$5:L$639,$A$5:$A$639,$A313,$C$5:$C$639,$C313-1,$D$5:$D$639,$D313)=0,L313*SUMIFS(L$5:L$639,$A$5:$A$639,$A313,$C$5:$C$639,$C313-1,$D$5:$D$639,$D313)&lt;0),"n.s.",ABS(L313)/ABS(SUMIFS(L$5:L$639,$A$5:$A$639,$A313,$C$5:$C$639,$C313-1,$D$5:$D$639,$D313))-1)))</f>
        <v/>
      </c>
      <c r="U313" s="16">
        <f>IF(OR($A313="",M313="",$C313=""),"",IF(COUNTIFS($A$5:$A$639,$A313,$C$5:$C$639,$C313-1,$D$5:$D$639,$D313,M$5:M$639,"&lt;&gt;")=0,"",IF(OR(SUMIFS(M$5:M$639,$A$5:$A$639,$A313,$C$5:$C$639,$C313-1,$D$5:$D$639,$D313)=0,M313*SUMIFS(M$5:M$639,$A$5:$A$639,$A313,$C$5:$C$639,$C313-1,$D$5:$D$639,$D313)&lt;0),"n.s.",ABS(M313)/ABS(SUMIFS(M$5:M$639,$A$5:$A$639,$A313,$C$5:$C$639,$C313-1,$D$5:$D$639,$D313))-1)))</f>
        <v/>
      </c>
    </row>
    <row r="314">
      <c r="A314" s="9" t="inlineStr">
        <is>
          <t>FTSC</t>
        </is>
      </c>
      <c r="B314" s="10">
        <f>IF(A314="","",IFERROR(VLOOKUP(A314,Titres!$A$2:$B$400,2,FALSE),"Ticker inconnu"))</f>
        <v/>
      </c>
      <c r="C314" s="11" t="n">
        <v>2022</v>
      </c>
      <c r="D314" s="11" t="inlineStr">
        <is>
          <t>T1</t>
        </is>
      </c>
      <c r="E314" s="9" t="n"/>
      <c r="F314" s="12" t="n"/>
      <c r="G314" s="9" t="n"/>
      <c r="H314" s="13" t="n"/>
      <c r="I314" s="13" t="n"/>
      <c r="J314" s="13" t="n"/>
      <c r="K314" s="13" t="n"/>
      <c r="L314" s="13" t="n"/>
      <c r="M314" s="13" t="n"/>
      <c r="N314" s="14">
        <f>IF(A314="","",COUNT(H314:M314)/6)</f>
        <v/>
      </c>
      <c r="O314" s="15">
        <f>IF(COUNT(H314:M314)=0,"",IF(LEN(IF(COUNT(I314,J314)=2,IF(J314&gt;I314+1,"EBE &gt; VA ",""),"")&amp;IF(COUNT(H314,M314)=2,IF(ABS(M314)&gt;ABS(H314),"RN &gt; CA ",""),"")&amp;IF(COUNT(H314,K314)=2,IF(ABS(K314)&gt;ABS(H314),"RE &gt; CA ",""),""))=0,"OK",IF(COUNT(I314,J314)=2,IF(J314&gt;I314+1,"EBE &gt; VA ",""),"")&amp;IF(COUNT(H314,M314)=2,IF(ABS(M314)&gt;ABS(H314),"RN &gt; CA ",""),"")&amp;IF(COUNT(H314,K314)=2,IF(ABS(K314)&gt;ABS(H314),"RE &gt; CA ",""),"")))</f>
        <v/>
      </c>
      <c r="P314" s="16">
        <f>IF(OR($A314="",H314="",$C314=""),"",IF(COUNTIFS($A$5:$A$639,$A314,$C$5:$C$639,$C314-1,$D$5:$D$639,$D314,H$5:H$639,"&lt;&gt;")=0,"",IF(OR(SUMIFS(H$5:H$639,$A$5:$A$639,$A314,$C$5:$C$639,$C314-1,$D$5:$D$639,$D314)=0,H314*SUMIFS(H$5:H$639,$A$5:$A$639,$A314,$C$5:$C$639,$C314-1,$D$5:$D$639,$D314)&lt;0),"n.s.",ABS(H314)/ABS(SUMIFS(H$5:H$639,$A$5:$A$639,$A314,$C$5:$C$639,$C314-1,$D$5:$D$639,$D314))-1)))</f>
        <v/>
      </c>
      <c r="Q314" s="16">
        <f>IF(OR($A314="",I314="",$C314=""),"",IF(COUNTIFS($A$5:$A$639,$A314,$C$5:$C$639,$C314-1,$D$5:$D$639,$D314,I$5:I$639,"&lt;&gt;")=0,"",IF(OR(SUMIFS(I$5:I$639,$A$5:$A$639,$A314,$C$5:$C$639,$C314-1,$D$5:$D$639,$D314)=0,I314*SUMIFS(I$5:I$639,$A$5:$A$639,$A314,$C$5:$C$639,$C314-1,$D$5:$D$639,$D314)&lt;0),"n.s.",ABS(I314)/ABS(SUMIFS(I$5:I$639,$A$5:$A$639,$A314,$C$5:$C$639,$C314-1,$D$5:$D$639,$D314))-1)))</f>
        <v/>
      </c>
      <c r="R314" s="16">
        <f>IF(OR($A314="",J314="",$C314=""),"",IF(COUNTIFS($A$5:$A$639,$A314,$C$5:$C$639,$C314-1,$D$5:$D$639,$D314,J$5:J$639,"&lt;&gt;")=0,"",IF(OR(SUMIFS(J$5:J$639,$A$5:$A$639,$A314,$C$5:$C$639,$C314-1,$D$5:$D$639,$D314)=0,J314*SUMIFS(J$5:J$639,$A$5:$A$639,$A314,$C$5:$C$639,$C314-1,$D$5:$D$639,$D314)&lt;0),"n.s.",ABS(J314)/ABS(SUMIFS(J$5:J$639,$A$5:$A$639,$A314,$C$5:$C$639,$C314-1,$D$5:$D$639,$D314))-1)))</f>
        <v/>
      </c>
      <c r="S314" s="16">
        <f>IF(OR($A314="",K314="",$C314=""),"",IF(COUNTIFS($A$5:$A$639,$A314,$C$5:$C$639,$C314-1,$D$5:$D$639,$D314,K$5:K$639,"&lt;&gt;")=0,"",IF(OR(SUMIFS(K$5:K$639,$A$5:$A$639,$A314,$C$5:$C$639,$C314-1,$D$5:$D$639,$D314)=0,K314*SUMIFS(K$5:K$639,$A$5:$A$639,$A314,$C$5:$C$639,$C314-1,$D$5:$D$639,$D314)&lt;0),"n.s.",ABS(K314)/ABS(SUMIFS(K$5:K$639,$A$5:$A$639,$A314,$C$5:$C$639,$C314-1,$D$5:$D$639,$D314))-1)))</f>
        <v/>
      </c>
      <c r="T314" s="16">
        <f>IF(OR($A314="",L314="",$C314=""),"",IF(COUNTIFS($A$5:$A$639,$A314,$C$5:$C$639,$C314-1,$D$5:$D$639,$D314,L$5:L$639,"&lt;&gt;")=0,"",IF(OR(SUMIFS(L$5:L$639,$A$5:$A$639,$A314,$C$5:$C$639,$C314-1,$D$5:$D$639,$D314)=0,L314*SUMIFS(L$5:L$639,$A$5:$A$639,$A314,$C$5:$C$639,$C314-1,$D$5:$D$639,$D314)&lt;0),"n.s.",ABS(L314)/ABS(SUMIFS(L$5:L$639,$A$5:$A$639,$A314,$C$5:$C$639,$C314-1,$D$5:$D$639,$D314))-1)))</f>
        <v/>
      </c>
      <c r="U314" s="16">
        <f>IF(OR($A314="",M314="",$C314=""),"",IF(COUNTIFS($A$5:$A$639,$A314,$C$5:$C$639,$C314-1,$D$5:$D$639,$D314,M$5:M$639,"&lt;&gt;")=0,"",IF(OR(SUMIFS(M$5:M$639,$A$5:$A$639,$A314,$C$5:$C$639,$C314-1,$D$5:$D$639,$D314)=0,M314*SUMIFS(M$5:M$639,$A$5:$A$639,$A314,$C$5:$C$639,$C314-1,$D$5:$D$639,$D314)&lt;0),"n.s.",ABS(M314)/ABS(SUMIFS(M$5:M$639,$A$5:$A$639,$A314,$C$5:$C$639,$C314-1,$D$5:$D$639,$D314))-1)))</f>
        <v/>
      </c>
    </row>
    <row r="315">
      <c r="A315" s="9" t="inlineStr">
        <is>
          <t>FTSC</t>
        </is>
      </c>
      <c r="B315" s="10">
        <f>IF(A315="","",IFERROR(VLOOKUP(A315,Titres!$A$2:$B$400,2,FALSE),"Ticker inconnu"))</f>
        <v/>
      </c>
      <c r="C315" s="11" t="n">
        <v>2022</v>
      </c>
      <c r="D315" s="11" t="inlineStr">
        <is>
          <t>S1</t>
        </is>
      </c>
      <c r="E315" s="9" t="n"/>
      <c r="F315" s="12" t="n"/>
      <c r="G315" s="9" t="n"/>
      <c r="H315" s="13" t="n"/>
      <c r="I315" s="13" t="n"/>
      <c r="J315" s="13" t="n"/>
      <c r="K315" s="13" t="n"/>
      <c r="L315" s="13" t="n"/>
      <c r="M315" s="13" t="n"/>
      <c r="N315" s="14">
        <f>IF(A315="","",COUNT(H315:M315)/6)</f>
        <v/>
      </c>
      <c r="O315" s="15">
        <f>IF(COUNT(H315:M315)=0,"",IF(LEN(IF(COUNT(I315,J315)=2,IF(J315&gt;I315+1,"EBE &gt; VA ",""),"")&amp;IF(COUNT(H315,M315)=2,IF(ABS(M315)&gt;ABS(H315),"RN &gt; CA ",""),"")&amp;IF(COUNT(H315,K315)=2,IF(ABS(K315)&gt;ABS(H315),"RE &gt; CA ",""),""))=0,"OK",IF(COUNT(I315,J315)=2,IF(J315&gt;I315+1,"EBE &gt; VA ",""),"")&amp;IF(COUNT(H315,M315)=2,IF(ABS(M315)&gt;ABS(H315),"RN &gt; CA ",""),"")&amp;IF(COUNT(H315,K315)=2,IF(ABS(K315)&gt;ABS(H315),"RE &gt; CA ",""),"")))</f>
        <v/>
      </c>
      <c r="P315" s="16">
        <f>IF(OR($A315="",H315="",$C315=""),"",IF(COUNTIFS($A$5:$A$639,$A315,$C$5:$C$639,$C315-1,$D$5:$D$639,$D315,H$5:H$639,"&lt;&gt;")=0,"",IF(OR(SUMIFS(H$5:H$639,$A$5:$A$639,$A315,$C$5:$C$639,$C315-1,$D$5:$D$639,$D315)=0,H315*SUMIFS(H$5:H$639,$A$5:$A$639,$A315,$C$5:$C$639,$C315-1,$D$5:$D$639,$D315)&lt;0),"n.s.",ABS(H315)/ABS(SUMIFS(H$5:H$639,$A$5:$A$639,$A315,$C$5:$C$639,$C315-1,$D$5:$D$639,$D315))-1)))</f>
        <v/>
      </c>
      <c r="Q315" s="16">
        <f>IF(OR($A315="",I315="",$C315=""),"",IF(COUNTIFS($A$5:$A$639,$A315,$C$5:$C$639,$C315-1,$D$5:$D$639,$D315,I$5:I$639,"&lt;&gt;")=0,"",IF(OR(SUMIFS(I$5:I$639,$A$5:$A$639,$A315,$C$5:$C$639,$C315-1,$D$5:$D$639,$D315)=0,I315*SUMIFS(I$5:I$639,$A$5:$A$639,$A315,$C$5:$C$639,$C315-1,$D$5:$D$639,$D315)&lt;0),"n.s.",ABS(I315)/ABS(SUMIFS(I$5:I$639,$A$5:$A$639,$A315,$C$5:$C$639,$C315-1,$D$5:$D$639,$D315))-1)))</f>
        <v/>
      </c>
      <c r="R315" s="16">
        <f>IF(OR($A315="",J315="",$C315=""),"",IF(COUNTIFS($A$5:$A$639,$A315,$C$5:$C$639,$C315-1,$D$5:$D$639,$D315,J$5:J$639,"&lt;&gt;")=0,"",IF(OR(SUMIFS(J$5:J$639,$A$5:$A$639,$A315,$C$5:$C$639,$C315-1,$D$5:$D$639,$D315)=0,J315*SUMIFS(J$5:J$639,$A$5:$A$639,$A315,$C$5:$C$639,$C315-1,$D$5:$D$639,$D315)&lt;0),"n.s.",ABS(J315)/ABS(SUMIFS(J$5:J$639,$A$5:$A$639,$A315,$C$5:$C$639,$C315-1,$D$5:$D$639,$D315))-1)))</f>
        <v/>
      </c>
      <c r="S315" s="16">
        <f>IF(OR($A315="",K315="",$C315=""),"",IF(COUNTIFS($A$5:$A$639,$A315,$C$5:$C$639,$C315-1,$D$5:$D$639,$D315,K$5:K$639,"&lt;&gt;")=0,"",IF(OR(SUMIFS(K$5:K$639,$A$5:$A$639,$A315,$C$5:$C$639,$C315-1,$D$5:$D$639,$D315)=0,K315*SUMIFS(K$5:K$639,$A$5:$A$639,$A315,$C$5:$C$639,$C315-1,$D$5:$D$639,$D315)&lt;0),"n.s.",ABS(K315)/ABS(SUMIFS(K$5:K$639,$A$5:$A$639,$A315,$C$5:$C$639,$C315-1,$D$5:$D$639,$D315))-1)))</f>
        <v/>
      </c>
      <c r="T315" s="16">
        <f>IF(OR($A315="",L315="",$C315=""),"",IF(COUNTIFS($A$5:$A$639,$A315,$C$5:$C$639,$C315-1,$D$5:$D$639,$D315,L$5:L$639,"&lt;&gt;")=0,"",IF(OR(SUMIFS(L$5:L$639,$A$5:$A$639,$A315,$C$5:$C$639,$C315-1,$D$5:$D$639,$D315)=0,L315*SUMIFS(L$5:L$639,$A$5:$A$639,$A315,$C$5:$C$639,$C315-1,$D$5:$D$639,$D315)&lt;0),"n.s.",ABS(L315)/ABS(SUMIFS(L$5:L$639,$A$5:$A$639,$A315,$C$5:$C$639,$C315-1,$D$5:$D$639,$D315))-1)))</f>
        <v/>
      </c>
      <c r="U315" s="16">
        <f>IF(OR($A315="",M315="",$C315=""),"",IF(COUNTIFS($A$5:$A$639,$A315,$C$5:$C$639,$C315-1,$D$5:$D$639,$D315,M$5:M$639,"&lt;&gt;")=0,"",IF(OR(SUMIFS(M$5:M$639,$A$5:$A$639,$A315,$C$5:$C$639,$C315-1,$D$5:$D$639,$D315)=0,M315*SUMIFS(M$5:M$639,$A$5:$A$639,$A315,$C$5:$C$639,$C315-1,$D$5:$D$639,$D315)&lt;0),"n.s.",ABS(M315)/ABS(SUMIFS(M$5:M$639,$A$5:$A$639,$A315,$C$5:$C$639,$C315-1,$D$5:$D$639,$D315))-1)))</f>
        <v/>
      </c>
    </row>
    <row r="316">
      <c r="A316" s="9" t="inlineStr">
        <is>
          <t>FTSC</t>
        </is>
      </c>
      <c r="B316" s="10">
        <f>IF(A316="","",IFERROR(VLOOKUP(A316,Titres!$A$2:$B$400,2,FALSE),"Ticker inconnu"))</f>
        <v/>
      </c>
      <c r="C316" s="11" t="n">
        <v>2022</v>
      </c>
      <c r="D316" s="11" t="inlineStr">
        <is>
          <t>T3</t>
        </is>
      </c>
      <c r="E316" s="9" t="n"/>
      <c r="F316" s="12" t="n"/>
      <c r="G316" s="9" t="n"/>
      <c r="H316" s="13" t="n"/>
      <c r="I316" s="13" t="n"/>
      <c r="J316" s="13" t="n"/>
      <c r="K316" s="13" t="n"/>
      <c r="L316" s="13" t="n"/>
      <c r="M316" s="13" t="n"/>
      <c r="N316" s="14">
        <f>IF(A316="","",COUNT(H316:M316)/6)</f>
        <v/>
      </c>
      <c r="O316" s="15">
        <f>IF(COUNT(H316:M316)=0,"",IF(LEN(IF(COUNT(I316,J316)=2,IF(J316&gt;I316+1,"EBE &gt; VA ",""),"")&amp;IF(COUNT(H316,M316)=2,IF(ABS(M316)&gt;ABS(H316),"RN &gt; CA ",""),"")&amp;IF(COUNT(H316,K316)=2,IF(ABS(K316)&gt;ABS(H316),"RE &gt; CA ",""),""))=0,"OK",IF(COUNT(I316,J316)=2,IF(J316&gt;I316+1,"EBE &gt; VA ",""),"")&amp;IF(COUNT(H316,M316)=2,IF(ABS(M316)&gt;ABS(H316),"RN &gt; CA ",""),"")&amp;IF(COUNT(H316,K316)=2,IF(ABS(K316)&gt;ABS(H316),"RE &gt; CA ",""),"")))</f>
        <v/>
      </c>
      <c r="P316" s="16">
        <f>IF(OR($A316="",H316="",$C316=""),"",IF(COUNTIFS($A$5:$A$639,$A316,$C$5:$C$639,$C316-1,$D$5:$D$639,$D316,H$5:H$639,"&lt;&gt;")=0,"",IF(OR(SUMIFS(H$5:H$639,$A$5:$A$639,$A316,$C$5:$C$639,$C316-1,$D$5:$D$639,$D316)=0,H316*SUMIFS(H$5:H$639,$A$5:$A$639,$A316,$C$5:$C$639,$C316-1,$D$5:$D$639,$D316)&lt;0),"n.s.",ABS(H316)/ABS(SUMIFS(H$5:H$639,$A$5:$A$639,$A316,$C$5:$C$639,$C316-1,$D$5:$D$639,$D316))-1)))</f>
        <v/>
      </c>
      <c r="Q316" s="16">
        <f>IF(OR($A316="",I316="",$C316=""),"",IF(COUNTIFS($A$5:$A$639,$A316,$C$5:$C$639,$C316-1,$D$5:$D$639,$D316,I$5:I$639,"&lt;&gt;")=0,"",IF(OR(SUMIFS(I$5:I$639,$A$5:$A$639,$A316,$C$5:$C$639,$C316-1,$D$5:$D$639,$D316)=0,I316*SUMIFS(I$5:I$639,$A$5:$A$639,$A316,$C$5:$C$639,$C316-1,$D$5:$D$639,$D316)&lt;0),"n.s.",ABS(I316)/ABS(SUMIFS(I$5:I$639,$A$5:$A$639,$A316,$C$5:$C$639,$C316-1,$D$5:$D$639,$D316))-1)))</f>
        <v/>
      </c>
      <c r="R316" s="16">
        <f>IF(OR($A316="",J316="",$C316=""),"",IF(COUNTIFS($A$5:$A$639,$A316,$C$5:$C$639,$C316-1,$D$5:$D$639,$D316,J$5:J$639,"&lt;&gt;")=0,"",IF(OR(SUMIFS(J$5:J$639,$A$5:$A$639,$A316,$C$5:$C$639,$C316-1,$D$5:$D$639,$D316)=0,J316*SUMIFS(J$5:J$639,$A$5:$A$639,$A316,$C$5:$C$639,$C316-1,$D$5:$D$639,$D316)&lt;0),"n.s.",ABS(J316)/ABS(SUMIFS(J$5:J$639,$A$5:$A$639,$A316,$C$5:$C$639,$C316-1,$D$5:$D$639,$D316))-1)))</f>
        <v/>
      </c>
      <c r="S316" s="16">
        <f>IF(OR($A316="",K316="",$C316=""),"",IF(COUNTIFS($A$5:$A$639,$A316,$C$5:$C$639,$C316-1,$D$5:$D$639,$D316,K$5:K$639,"&lt;&gt;")=0,"",IF(OR(SUMIFS(K$5:K$639,$A$5:$A$639,$A316,$C$5:$C$639,$C316-1,$D$5:$D$639,$D316)=0,K316*SUMIFS(K$5:K$639,$A$5:$A$639,$A316,$C$5:$C$639,$C316-1,$D$5:$D$639,$D316)&lt;0),"n.s.",ABS(K316)/ABS(SUMIFS(K$5:K$639,$A$5:$A$639,$A316,$C$5:$C$639,$C316-1,$D$5:$D$639,$D316))-1)))</f>
        <v/>
      </c>
      <c r="T316" s="16">
        <f>IF(OR($A316="",L316="",$C316=""),"",IF(COUNTIFS($A$5:$A$639,$A316,$C$5:$C$639,$C316-1,$D$5:$D$639,$D316,L$5:L$639,"&lt;&gt;")=0,"",IF(OR(SUMIFS(L$5:L$639,$A$5:$A$639,$A316,$C$5:$C$639,$C316-1,$D$5:$D$639,$D316)=0,L316*SUMIFS(L$5:L$639,$A$5:$A$639,$A316,$C$5:$C$639,$C316-1,$D$5:$D$639,$D316)&lt;0),"n.s.",ABS(L316)/ABS(SUMIFS(L$5:L$639,$A$5:$A$639,$A316,$C$5:$C$639,$C316-1,$D$5:$D$639,$D316))-1)))</f>
        <v/>
      </c>
      <c r="U316" s="16">
        <f>IF(OR($A316="",M316="",$C316=""),"",IF(COUNTIFS($A$5:$A$639,$A316,$C$5:$C$639,$C316-1,$D$5:$D$639,$D316,M$5:M$639,"&lt;&gt;")=0,"",IF(OR(SUMIFS(M$5:M$639,$A$5:$A$639,$A316,$C$5:$C$639,$C316-1,$D$5:$D$639,$D316)=0,M316*SUMIFS(M$5:M$639,$A$5:$A$639,$A316,$C$5:$C$639,$C316-1,$D$5:$D$639,$D316)&lt;0),"n.s.",ABS(M316)/ABS(SUMIFS(M$5:M$639,$A$5:$A$639,$A316,$C$5:$C$639,$C316-1,$D$5:$D$639,$D316))-1)))</f>
        <v/>
      </c>
    </row>
    <row r="317">
      <c r="A317" s="9" t="inlineStr">
        <is>
          <t>FTSC</t>
        </is>
      </c>
      <c r="B317" s="10">
        <f>IF(A317="","",IFERROR(VLOOKUP(A317,Titres!$A$2:$B$400,2,FALSE),"Ticker inconnu"))</f>
        <v/>
      </c>
      <c r="C317" s="11" t="n">
        <v>2023</v>
      </c>
      <c r="D317" s="11" t="inlineStr">
        <is>
          <t>T1</t>
        </is>
      </c>
      <c r="E317" s="9" t="n"/>
      <c r="F317" s="12" t="n"/>
      <c r="G317" s="9" t="n"/>
      <c r="H317" s="13" t="n"/>
      <c r="I317" s="13" t="n"/>
      <c r="J317" s="13" t="n"/>
      <c r="K317" s="13" t="n"/>
      <c r="L317" s="13" t="n"/>
      <c r="M317" s="13" t="n"/>
      <c r="N317" s="14">
        <f>IF(A317="","",COUNT(H317:M317)/6)</f>
        <v/>
      </c>
      <c r="O317" s="15">
        <f>IF(COUNT(H317:M317)=0,"",IF(LEN(IF(COUNT(I317,J317)=2,IF(J317&gt;I317+1,"EBE &gt; VA ",""),"")&amp;IF(COUNT(H317,M317)=2,IF(ABS(M317)&gt;ABS(H317),"RN &gt; CA ",""),"")&amp;IF(COUNT(H317,K317)=2,IF(ABS(K317)&gt;ABS(H317),"RE &gt; CA ",""),""))=0,"OK",IF(COUNT(I317,J317)=2,IF(J317&gt;I317+1,"EBE &gt; VA ",""),"")&amp;IF(COUNT(H317,M317)=2,IF(ABS(M317)&gt;ABS(H317),"RN &gt; CA ",""),"")&amp;IF(COUNT(H317,K317)=2,IF(ABS(K317)&gt;ABS(H317),"RE &gt; CA ",""),"")))</f>
        <v/>
      </c>
      <c r="P317" s="16">
        <f>IF(OR($A317="",H317="",$C317=""),"",IF(COUNTIFS($A$5:$A$639,$A317,$C$5:$C$639,$C317-1,$D$5:$D$639,$D317,H$5:H$639,"&lt;&gt;")=0,"",IF(OR(SUMIFS(H$5:H$639,$A$5:$A$639,$A317,$C$5:$C$639,$C317-1,$D$5:$D$639,$D317)=0,H317*SUMIFS(H$5:H$639,$A$5:$A$639,$A317,$C$5:$C$639,$C317-1,$D$5:$D$639,$D317)&lt;0),"n.s.",ABS(H317)/ABS(SUMIFS(H$5:H$639,$A$5:$A$639,$A317,$C$5:$C$639,$C317-1,$D$5:$D$639,$D317))-1)))</f>
        <v/>
      </c>
      <c r="Q317" s="16">
        <f>IF(OR($A317="",I317="",$C317=""),"",IF(COUNTIFS($A$5:$A$639,$A317,$C$5:$C$639,$C317-1,$D$5:$D$639,$D317,I$5:I$639,"&lt;&gt;")=0,"",IF(OR(SUMIFS(I$5:I$639,$A$5:$A$639,$A317,$C$5:$C$639,$C317-1,$D$5:$D$639,$D317)=0,I317*SUMIFS(I$5:I$639,$A$5:$A$639,$A317,$C$5:$C$639,$C317-1,$D$5:$D$639,$D317)&lt;0),"n.s.",ABS(I317)/ABS(SUMIFS(I$5:I$639,$A$5:$A$639,$A317,$C$5:$C$639,$C317-1,$D$5:$D$639,$D317))-1)))</f>
        <v/>
      </c>
      <c r="R317" s="16">
        <f>IF(OR($A317="",J317="",$C317=""),"",IF(COUNTIFS($A$5:$A$639,$A317,$C$5:$C$639,$C317-1,$D$5:$D$639,$D317,J$5:J$639,"&lt;&gt;")=0,"",IF(OR(SUMIFS(J$5:J$639,$A$5:$A$639,$A317,$C$5:$C$639,$C317-1,$D$5:$D$639,$D317)=0,J317*SUMIFS(J$5:J$639,$A$5:$A$639,$A317,$C$5:$C$639,$C317-1,$D$5:$D$639,$D317)&lt;0),"n.s.",ABS(J317)/ABS(SUMIFS(J$5:J$639,$A$5:$A$639,$A317,$C$5:$C$639,$C317-1,$D$5:$D$639,$D317))-1)))</f>
        <v/>
      </c>
      <c r="S317" s="16">
        <f>IF(OR($A317="",K317="",$C317=""),"",IF(COUNTIFS($A$5:$A$639,$A317,$C$5:$C$639,$C317-1,$D$5:$D$639,$D317,K$5:K$639,"&lt;&gt;")=0,"",IF(OR(SUMIFS(K$5:K$639,$A$5:$A$639,$A317,$C$5:$C$639,$C317-1,$D$5:$D$639,$D317)=0,K317*SUMIFS(K$5:K$639,$A$5:$A$639,$A317,$C$5:$C$639,$C317-1,$D$5:$D$639,$D317)&lt;0),"n.s.",ABS(K317)/ABS(SUMIFS(K$5:K$639,$A$5:$A$639,$A317,$C$5:$C$639,$C317-1,$D$5:$D$639,$D317))-1)))</f>
        <v/>
      </c>
      <c r="T317" s="16">
        <f>IF(OR($A317="",L317="",$C317=""),"",IF(COUNTIFS($A$5:$A$639,$A317,$C$5:$C$639,$C317-1,$D$5:$D$639,$D317,L$5:L$639,"&lt;&gt;")=0,"",IF(OR(SUMIFS(L$5:L$639,$A$5:$A$639,$A317,$C$5:$C$639,$C317-1,$D$5:$D$639,$D317)=0,L317*SUMIFS(L$5:L$639,$A$5:$A$639,$A317,$C$5:$C$639,$C317-1,$D$5:$D$639,$D317)&lt;0),"n.s.",ABS(L317)/ABS(SUMIFS(L$5:L$639,$A$5:$A$639,$A317,$C$5:$C$639,$C317-1,$D$5:$D$639,$D317))-1)))</f>
        <v/>
      </c>
      <c r="U317" s="16">
        <f>IF(OR($A317="",M317="",$C317=""),"",IF(COUNTIFS($A$5:$A$639,$A317,$C$5:$C$639,$C317-1,$D$5:$D$639,$D317,M$5:M$639,"&lt;&gt;")=0,"",IF(OR(SUMIFS(M$5:M$639,$A$5:$A$639,$A317,$C$5:$C$639,$C317-1,$D$5:$D$639,$D317)=0,M317*SUMIFS(M$5:M$639,$A$5:$A$639,$A317,$C$5:$C$639,$C317-1,$D$5:$D$639,$D317)&lt;0),"n.s.",ABS(M317)/ABS(SUMIFS(M$5:M$639,$A$5:$A$639,$A317,$C$5:$C$639,$C317-1,$D$5:$D$639,$D317))-1)))</f>
        <v/>
      </c>
    </row>
    <row r="318">
      <c r="A318" s="9" t="inlineStr">
        <is>
          <t>FTSC</t>
        </is>
      </c>
      <c r="B318" s="10">
        <f>IF(A318="","",IFERROR(VLOOKUP(A318,Titres!$A$2:$B$400,2,FALSE),"Ticker inconnu"))</f>
        <v/>
      </c>
      <c r="C318" s="11" t="n">
        <v>2023</v>
      </c>
      <c r="D318" s="11" t="inlineStr">
        <is>
          <t>S1</t>
        </is>
      </c>
      <c r="E318" s="9" t="n"/>
      <c r="F318" s="12" t="n"/>
      <c r="G318" s="9" t="n"/>
      <c r="H318" s="13" t="n"/>
      <c r="I318" s="13" t="n"/>
      <c r="J318" s="13" t="n"/>
      <c r="K318" s="13" t="n"/>
      <c r="L318" s="13" t="n"/>
      <c r="M318" s="13" t="n"/>
      <c r="N318" s="14">
        <f>IF(A318="","",COUNT(H318:M318)/6)</f>
        <v/>
      </c>
      <c r="O318" s="15">
        <f>IF(COUNT(H318:M318)=0,"",IF(LEN(IF(COUNT(I318,J318)=2,IF(J318&gt;I318+1,"EBE &gt; VA ",""),"")&amp;IF(COUNT(H318,M318)=2,IF(ABS(M318)&gt;ABS(H318),"RN &gt; CA ",""),"")&amp;IF(COUNT(H318,K318)=2,IF(ABS(K318)&gt;ABS(H318),"RE &gt; CA ",""),""))=0,"OK",IF(COUNT(I318,J318)=2,IF(J318&gt;I318+1,"EBE &gt; VA ",""),"")&amp;IF(COUNT(H318,M318)=2,IF(ABS(M318)&gt;ABS(H318),"RN &gt; CA ",""),"")&amp;IF(COUNT(H318,K318)=2,IF(ABS(K318)&gt;ABS(H318),"RE &gt; CA ",""),"")))</f>
        <v/>
      </c>
      <c r="P318" s="16">
        <f>IF(OR($A318="",H318="",$C318=""),"",IF(COUNTIFS($A$5:$A$639,$A318,$C$5:$C$639,$C318-1,$D$5:$D$639,$D318,H$5:H$639,"&lt;&gt;")=0,"",IF(OR(SUMIFS(H$5:H$639,$A$5:$A$639,$A318,$C$5:$C$639,$C318-1,$D$5:$D$639,$D318)=0,H318*SUMIFS(H$5:H$639,$A$5:$A$639,$A318,$C$5:$C$639,$C318-1,$D$5:$D$639,$D318)&lt;0),"n.s.",ABS(H318)/ABS(SUMIFS(H$5:H$639,$A$5:$A$639,$A318,$C$5:$C$639,$C318-1,$D$5:$D$639,$D318))-1)))</f>
        <v/>
      </c>
      <c r="Q318" s="16">
        <f>IF(OR($A318="",I318="",$C318=""),"",IF(COUNTIFS($A$5:$A$639,$A318,$C$5:$C$639,$C318-1,$D$5:$D$639,$D318,I$5:I$639,"&lt;&gt;")=0,"",IF(OR(SUMIFS(I$5:I$639,$A$5:$A$639,$A318,$C$5:$C$639,$C318-1,$D$5:$D$639,$D318)=0,I318*SUMIFS(I$5:I$639,$A$5:$A$639,$A318,$C$5:$C$639,$C318-1,$D$5:$D$639,$D318)&lt;0),"n.s.",ABS(I318)/ABS(SUMIFS(I$5:I$639,$A$5:$A$639,$A318,$C$5:$C$639,$C318-1,$D$5:$D$639,$D318))-1)))</f>
        <v/>
      </c>
      <c r="R318" s="16">
        <f>IF(OR($A318="",J318="",$C318=""),"",IF(COUNTIFS($A$5:$A$639,$A318,$C$5:$C$639,$C318-1,$D$5:$D$639,$D318,J$5:J$639,"&lt;&gt;")=0,"",IF(OR(SUMIFS(J$5:J$639,$A$5:$A$639,$A318,$C$5:$C$639,$C318-1,$D$5:$D$639,$D318)=0,J318*SUMIFS(J$5:J$639,$A$5:$A$639,$A318,$C$5:$C$639,$C318-1,$D$5:$D$639,$D318)&lt;0),"n.s.",ABS(J318)/ABS(SUMIFS(J$5:J$639,$A$5:$A$639,$A318,$C$5:$C$639,$C318-1,$D$5:$D$639,$D318))-1)))</f>
        <v/>
      </c>
      <c r="S318" s="16">
        <f>IF(OR($A318="",K318="",$C318=""),"",IF(COUNTIFS($A$5:$A$639,$A318,$C$5:$C$639,$C318-1,$D$5:$D$639,$D318,K$5:K$639,"&lt;&gt;")=0,"",IF(OR(SUMIFS(K$5:K$639,$A$5:$A$639,$A318,$C$5:$C$639,$C318-1,$D$5:$D$639,$D318)=0,K318*SUMIFS(K$5:K$639,$A$5:$A$639,$A318,$C$5:$C$639,$C318-1,$D$5:$D$639,$D318)&lt;0),"n.s.",ABS(K318)/ABS(SUMIFS(K$5:K$639,$A$5:$A$639,$A318,$C$5:$C$639,$C318-1,$D$5:$D$639,$D318))-1)))</f>
        <v/>
      </c>
      <c r="T318" s="16">
        <f>IF(OR($A318="",L318="",$C318=""),"",IF(COUNTIFS($A$5:$A$639,$A318,$C$5:$C$639,$C318-1,$D$5:$D$639,$D318,L$5:L$639,"&lt;&gt;")=0,"",IF(OR(SUMIFS(L$5:L$639,$A$5:$A$639,$A318,$C$5:$C$639,$C318-1,$D$5:$D$639,$D318)=0,L318*SUMIFS(L$5:L$639,$A$5:$A$639,$A318,$C$5:$C$639,$C318-1,$D$5:$D$639,$D318)&lt;0),"n.s.",ABS(L318)/ABS(SUMIFS(L$5:L$639,$A$5:$A$639,$A318,$C$5:$C$639,$C318-1,$D$5:$D$639,$D318))-1)))</f>
        <v/>
      </c>
      <c r="U318" s="16">
        <f>IF(OR($A318="",M318="",$C318=""),"",IF(COUNTIFS($A$5:$A$639,$A318,$C$5:$C$639,$C318-1,$D$5:$D$639,$D318,M$5:M$639,"&lt;&gt;")=0,"",IF(OR(SUMIFS(M$5:M$639,$A$5:$A$639,$A318,$C$5:$C$639,$C318-1,$D$5:$D$639,$D318)=0,M318*SUMIFS(M$5:M$639,$A$5:$A$639,$A318,$C$5:$C$639,$C318-1,$D$5:$D$639,$D318)&lt;0),"n.s.",ABS(M318)/ABS(SUMIFS(M$5:M$639,$A$5:$A$639,$A318,$C$5:$C$639,$C318-1,$D$5:$D$639,$D318))-1)))</f>
        <v/>
      </c>
    </row>
    <row r="319">
      <c r="A319" s="9" t="inlineStr">
        <is>
          <t>FTSC</t>
        </is>
      </c>
      <c r="B319" s="10">
        <f>IF(A319="","",IFERROR(VLOOKUP(A319,Titres!$A$2:$B$400,2,FALSE),"Ticker inconnu"))</f>
        <v/>
      </c>
      <c r="C319" s="11" t="n">
        <v>2023</v>
      </c>
      <c r="D319" s="11" t="inlineStr">
        <is>
          <t>T3</t>
        </is>
      </c>
      <c r="E319" s="9" t="n"/>
      <c r="F319" s="12" t="n"/>
      <c r="G319" s="9" t="n"/>
      <c r="H319" s="13" t="n"/>
      <c r="I319" s="13" t="n"/>
      <c r="J319" s="13" t="n"/>
      <c r="K319" s="13" t="n"/>
      <c r="L319" s="13" t="n"/>
      <c r="M319" s="13" t="n"/>
      <c r="N319" s="14">
        <f>IF(A319="","",COUNT(H319:M319)/6)</f>
        <v/>
      </c>
      <c r="O319" s="15">
        <f>IF(COUNT(H319:M319)=0,"",IF(LEN(IF(COUNT(I319,J319)=2,IF(J319&gt;I319+1,"EBE &gt; VA ",""),"")&amp;IF(COUNT(H319,M319)=2,IF(ABS(M319)&gt;ABS(H319),"RN &gt; CA ",""),"")&amp;IF(COUNT(H319,K319)=2,IF(ABS(K319)&gt;ABS(H319),"RE &gt; CA ",""),""))=0,"OK",IF(COUNT(I319,J319)=2,IF(J319&gt;I319+1,"EBE &gt; VA ",""),"")&amp;IF(COUNT(H319,M319)=2,IF(ABS(M319)&gt;ABS(H319),"RN &gt; CA ",""),"")&amp;IF(COUNT(H319,K319)=2,IF(ABS(K319)&gt;ABS(H319),"RE &gt; CA ",""),"")))</f>
        <v/>
      </c>
      <c r="P319" s="16">
        <f>IF(OR($A319="",H319="",$C319=""),"",IF(COUNTIFS($A$5:$A$639,$A319,$C$5:$C$639,$C319-1,$D$5:$D$639,$D319,H$5:H$639,"&lt;&gt;")=0,"",IF(OR(SUMIFS(H$5:H$639,$A$5:$A$639,$A319,$C$5:$C$639,$C319-1,$D$5:$D$639,$D319)=0,H319*SUMIFS(H$5:H$639,$A$5:$A$639,$A319,$C$5:$C$639,$C319-1,$D$5:$D$639,$D319)&lt;0),"n.s.",ABS(H319)/ABS(SUMIFS(H$5:H$639,$A$5:$A$639,$A319,$C$5:$C$639,$C319-1,$D$5:$D$639,$D319))-1)))</f>
        <v/>
      </c>
      <c r="Q319" s="16">
        <f>IF(OR($A319="",I319="",$C319=""),"",IF(COUNTIFS($A$5:$A$639,$A319,$C$5:$C$639,$C319-1,$D$5:$D$639,$D319,I$5:I$639,"&lt;&gt;")=0,"",IF(OR(SUMIFS(I$5:I$639,$A$5:$A$639,$A319,$C$5:$C$639,$C319-1,$D$5:$D$639,$D319)=0,I319*SUMIFS(I$5:I$639,$A$5:$A$639,$A319,$C$5:$C$639,$C319-1,$D$5:$D$639,$D319)&lt;0),"n.s.",ABS(I319)/ABS(SUMIFS(I$5:I$639,$A$5:$A$639,$A319,$C$5:$C$639,$C319-1,$D$5:$D$639,$D319))-1)))</f>
        <v/>
      </c>
      <c r="R319" s="16">
        <f>IF(OR($A319="",J319="",$C319=""),"",IF(COUNTIFS($A$5:$A$639,$A319,$C$5:$C$639,$C319-1,$D$5:$D$639,$D319,J$5:J$639,"&lt;&gt;")=0,"",IF(OR(SUMIFS(J$5:J$639,$A$5:$A$639,$A319,$C$5:$C$639,$C319-1,$D$5:$D$639,$D319)=0,J319*SUMIFS(J$5:J$639,$A$5:$A$639,$A319,$C$5:$C$639,$C319-1,$D$5:$D$639,$D319)&lt;0),"n.s.",ABS(J319)/ABS(SUMIFS(J$5:J$639,$A$5:$A$639,$A319,$C$5:$C$639,$C319-1,$D$5:$D$639,$D319))-1)))</f>
        <v/>
      </c>
      <c r="S319" s="16">
        <f>IF(OR($A319="",K319="",$C319=""),"",IF(COUNTIFS($A$5:$A$639,$A319,$C$5:$C$639,$C319-1,$D$5:$D$639,$D319,K$5:K$639,"&lt;&gt;")=0,"",IF(OR(SUMIFS(K$5:K$639,$A$5:$A$639,$A319,$C$5:$C$639,$C319-1,$D$5:$D$639,$D319)=0,K319*SUMIFS(K$5:K$639,$A$5:$A$639,$A319,$C$5:$C$639,$C319-1,$D$5:$D$639,$D319)&lt;0),"n.s.",ABS(K319)/ABS(SUMIFS(K$5:K$639,$A$5:$A$639,$A319,$C$5:$C$639,$C319-1,$D$5:$D$639,$D319))-1)))</f>
        <v/>
      </c>
      <c r="T319" s="16">
        <f>IF(OR($A319="",L319="",$C319=""),"",IF(COUNTIFS($A$5:$A$639,$A319,$C$5:$C$639,$C319-1,$D$5:$D$639,$D319,L$5:L$639,"&lt;&gt;")=0,"",IF(OR(SUMIFS(L$5:L$639,$A$5:$A$639,$A319,$C$5:$C$639,$C319-1,$D$5:$D$639,$D319)=0,L319*SUMIFS(L$5:L$639,$A$5:$A$639,$A319,$C$5:$C$639,$C319-1,$D$5:$D$639,$D319)&lt;0),"n.s.",ABS(L319)/ABS(SUMIFS(L$5:L$639,$A$5:$A$639,$A319,$C$5:$C$639,$C319-1,$D$5:$D$639,$D319))-1)))</f>
        <v/>
      </c>
      <c r="U319" s="16">
        <f>IF(OR($A319="",M319="",$C319=""),"",IF(COUNTIFS($A$5:$A$639,$A319,$C$5:$C$639,$C319-1,$D$5:$D$639,$D319,M$5:M$639,"&lt;&gt;")=0,"",IF(OR(SUMIFS(M$5:M$639,$A$5:$A$639,$A319,$C$5:$C$639,$C319-1,$D$5:$D$639,$D319)=0,M319*SUMIFS(M$5:M$639,$A$5:$A$639,$A319,$C$5:$C$639,$C319-1,$D$5:$D$639,$D319)&lt;0),"n.s.",ABS(M319)/ABS(SUMIFS(M$5:M$639,$A$5:$A$639,$A319,$C$5:$C$639,$C319-1,$D$5:$D$639,$D319))-1)))</f>
        <v/>
      </c>
    </row>
    <row r="320">
      <c r="A320" s="9" t="inlineStr">
        <is>
          <t>FTSC</t>
        </is>
      </c>
      <c r="B320" s="10">
        <f>IF(A320="","",IFERROR(VLOOKUP(A320,Titres!$A$2:$B$400,2,FALSE),"Ticker inconnu"))</f>
        <v/>
      </c>
      <c r="C320" s="11" t="n">
        <v>2024</v>
      </c>
      <c r="D320" s="11" t="inlineStr">
        <is>
          <t>T1</t>
        </is>
      </c>
      <c r="E320" s="9" t="n"/>
      <c r="F320" s="12" t="n"/>
      <c r="G320" s="9" t="n"/>
      <c r="H320" s="13" t="n"/>
      <c r="I320" s="13" t="n"/>
      <c r="J320" s="13" t="n"/>
      <c r="K320" s="13" t="n"/>
      <c r="L320" s="13" t="n"/>
      <c r="M320" s="13" t="n"/>
      <c r="N320" s="14">
        <f>IF(A320="","",COUNT(H320:M320)/6)</f>
        <v/>
      </c>
      <c r="O320" s="15">
        <f>IF(COUNT(H320:M320)=0,"",IF(LEN(IF(COUNT(I320,J320)=2,IF(J320&gt;I320+1,"EBE &gt; VA ",""),"")&amp;IF(COUNT(H320,M320)=2,IF(ABS(M320)&gt;ABS(H320),"RN &gt; CA ",""),"")&amp;IF(COUNT(H320,K320)=2,IF(ABS(K320)&gt;ABS(H320),"RE &gt; CA ",""),""))=0,"OK",IF(COUNT(I320,J320)=2,IF(J320&gt;I320+1,"EBE &gt; VA ",""),"")&amp;IF(COUNT(H320,M320)=2,IF(ABS(M320)&gt;ABS(H320),"RN &gt; CA ",""),"")&amp;IF(COUNT(H320,K320)=2,IF(ABS(K320)&gt;ABS(H320),"RE &gt; CA ",""),"")))</f>
        <v/>
      </c>
      <c r="P320" s="16">
        <f>IF(OR($A320="",H320="",$C320=""),"",IF(COUNTIFS($A$5:$A$639,$A320,$C$5:$C$639,$C320-1,$D$5:$D$639,$D320,H$5:H$639,"&lt;&gt;")=0,"",IF(OR(SUMIFS(H$5:H$639,$A$5:$A$639,$A320,$C$5:$C$639,$C320-1,$D$5:$D$639,$D320)=0,H320*SUMIFS(H$5:H$639,$A$5:$A$639,$A320,$C$5:$C$639,$C320-1,$D$5:$D$639,$D320)&lt;0),"n.s.",ABS(H320)/ABS(SUMIFS(H$5:H$639,$A$5:$A$639,$A320,$C$5:$C$639,$C320-1,$D$5:$D$639,$D320))-1)))</f>
        <v/>
      </c>
      <c r="Q320" s="16">
        <f>IF(OR($A320="",I320="",$C320=""),"",IF(COUNTIFS($A$5:$A$639,$A320,$C$5:$C$639,$C320-1,$D$5:$D$639,$D320,I$5:I$639,"&lt;&gt;")=0,"",IF(OR(SUMIFS(I$5:I$639,$A$5:$A$639,$A320,$C$5:$C$639,$C320-1,$D$5:$D$639,$D320)=0,I320*SUMIFS(I$5:I$639,$A$5:$A$639,$A320,$C$5:$C$639,$C320-1,$D$5:$D$639,$D320)&lt;0),"n.s.",ABS(I320)/ABS(SUMIFS(I$5:I$639,$A$5:$A$639,$A320,$C$5:$C$639,$C320-1,$D$5:$D$639,$D320))-1)))</f>
        <v/>
      </c>
      <c r="R320" s="16">
        <f>IF(OR($A320="",J320="",$C320=""),"",IF(COUNTIFS($A$5:$A$639,$A320,$C$5:$C$639,$C320-1,$D$5:$D$639,$D320,J$5:J$639,"&lt;&gt;")=0,"",IF(OR(SUMIFS(J$5:J$639,$A$5:$A$639,$A320,$C$5:$C$639,$C320-1,$D$5:$D$639,$D320)=0,J320*SUMIFS(J$5:J$639,$A$5:$A$639,$A320,$C$5:$C$639,$C320-1,$D$5:$D$639,$D320)&lt;0),"n.s.",ABS(J320)/ABS(SUMIFS(J$5:J$639,$A$5:$A$639,$A320,$C$5:$C$639,$C320-1,$D$5:$D$639,$D320))-1)))</f>
        <v/>
      </c>
      <c r="S320" s="16">
        <f>IF(OR($A320="",K320="",$C320=""),"",IF(COUNTIFS($A$5:$A$639,$A320,$C$5:$C$639,$C320-1,$D$5:$D$639,$D320,K$5:K$639,"&lt;&gt;")=0,"",IF(OR(SUMIFS(K$5:K$639,$A$5:$A$639,$A320,$C$5:$C$639,$C320-1,$D$5:$D$639,$D320)=0,K320*SUMIFS(K$5:K$639,$A$5:$A$639,$A320,$C$5:$C$639,$C320-1,$D$5:$D$639,$D320)&lt;0),"n.s.",ABS(K320)/ABS(SUMIFS(K$5:K$639,$A$5:$A$639,$A320,$C$5:$C$639,$C320-1,$D$5:$D$639,$D320))-1)))</f>
        <v/>
      </c>
      <c r="T320" s="16">
        <f>IF(OR($A320="",L320="",$C320=""),"",IF(COUNTIFS($A$5:$A$639,$A320,$C$5:$C$639,$C320-1,$D$5:$D$639,$D320,L$5:L$639,"&lt;&gt;")=0,"",IF(OR(SUMIFS(L$5:L$639,$A$5:$A$639,$A320,$C$5:$C$639,$C320-1,$D$5:$D$639,$D320)=0,L320*SUMIFS(L$5:L$639,$A$5:$A$639,$A320,$C$5:$C$639,$C320-1,$D$5:$D$639,$D320)&lt;0),"n.s.",ABS(L320)/ABS(SUMIFS(L$5:L$639,$A$5:$A$639,$A320,$C$5:$C$639,$C320-1,$D$5:$D$639,$D320))-1)))</f>
        <v/>
      </c>
      <c r="U320" s="16">
        <f>IF(OR($A320="",M320="",$C320=""),"",IF(COUNTIFS($A$5:$A$639,$A320,$C$5:$C$639,$C320-1,$D$5:$D$639,$D320,M$5:M$639,"&lt;&gt;")=0,"",IF(OR(SUMIFS(M$5:M$639,$A$5:$A$639,$A320,$C$5:$C$639,$C320-1,$D$5:$D$639,$D320)=0,M320*SUMIFS(M$5:M$639,$A$5:$A$639,$A320,$C$5:$C$639,$C320-1,$D$5:$D$639,$D320)&lt;0),"n.s.",ABS(M320)/ABS(SUMIFS(M$5:M$639,$A$5:$A$639,$A320,$C$5:$C$639,$C320-1,$D$5:$D$639,$D320))-1)))</f>
        <v/>
      </c>
    </row>
    <row r="321">
      <c r="A321" s="9" t="inlineStr">
        <is>
          <t>FTSC</t>
        </is>
      </c>
      <c r="B321" s="10">
        <f>IF(A321="","",IFERROR(VLOOKUP(A321,Titres!$A$2:$B$400,2,FALSE),"Ticker inconnu"))</f>
        <v/>
      </c>
      <c r="C321" s="11" t="n">
        <v>2024</v>
      </c>
      <c r="D321" s="11" t="inlineStr">
        <is>
          <t>S1</t>
        </is>
      </c>
      <c r="E321" s="9" t="n"/>
      <c r="F321" s="12" t="n"/>
      <c r="G321" s="9" t="n"/>
      <c r="H321" s="13" t="n"/>
      <c r="I321" s="13" t="n"/>
      <c r="J321" s="13" t="n"/>
      <c r="K321" s="13" t="n"/>
      <c r="L321" s="13" t="n"/>
      <c r="M321" s="13" t="n"/>
      <c r="N321" s="14">
        <f>IF(A321="","",COUNT(H321:M321)/6)</f>
        <v/>
      </c>
      <c r="O321" s="15">
        <f>IF(COUNT(H321:M321)=0,"",IF(LEN(IF(COUNT(I321,J321)=2,IF(J321&gt;I321+1,"EBE &gt; VA ",""),"")&amp;IF(COUNT(H321,M321)=2,IF(ABS(M321)&gt;ABS(H321),"RN &gt; CA ",""),"")&amp;IF(COUNT(H321,K321)=2,IF(ABS(K321)&gt;ABS(H321),"RE &gt; CA ",""),""))=0,"OK",IF(COUNT(I321,J321)=2,IF(J321&gt;I321+1,"EBE &gt; VA ",""),"")&amp;IF(COUNT(H321,M321)=2,IF(ABS(M321)&gt;ABS(H321),"RN &gt; CA ",""),"")&amp;IF(COUNT(H321,K321)=2,IF(ABS(K321)&gt;ABS(H321),"RE &gt; CA ",""),"")))</f>
        <v/>
      </c>
      <c r="P321" s="16">
        <f>IF(OR($A321="",H321="",$C321=""),"",IF(COUNTIFS($A$5:$A$639,$A321,$C$5:$C$639,$C321-1,$D$5:$D$639,$D321,H$5:H$639,"&lt;&gt;")=0,"",IF(OR(SUMIFS(H$5:H$639,$A$5:$A$639,$A321,$C$5:$C$639,$C321-1,$D$5:$D$639,$D321)=0,H321*SUMIFS(H$5:H$639,$A$5:$A$639,$A321,$C$5:$C$639,$C321-1,$D$5:$D$639,$D321)&lt;0),"n.s.",ABS(H321)/ABS(SUMIFS(H$5:H$639,$A$5:$A$639,$A321,$C$5:$C$639,$C321-1,$D$5:$D$639,$D321))-1)))</f>
        <v/>
      </c>
      <c r="Q321" s="16">
        <f>IF(OR($A321="",I321="",$C321=""),"",IF(COUNTIFS($A$5:$A$639,$A321,$C$5:$C$639,$C321-1,$D$5:$D$639,$D321,I$5:I$639,"&lt;&gt;")=0,"",IF(OR(SUMIFS(I$5:I$639,$A$5:$A$639,$A321,$C$5:$C$639,$C321-1,$D$5:$D$639,$D321)=0,I321*SUMIFS(I$5:I$639,$A$5:$A$639,$A321,$C$5:$C$639,$C321-1,$D$5:$D$639,$D321)&lt;0),"n.s.",ABS(I321)/ABS(SUMIFS(I$5:I$639,$A$5:$A$639,$A321,$C$5:$C$639,$C321-1,$D$5:$D$639,$D321))-1)))</f>
        <v/>
      </c>
      <c r="R321" s="16">
        <f>IF(OR($A321="",J321="",$C321=""),"",IF(COUNTIFS($A$5:$A$639,$A321,$C$5:$C$639,$C321-1,$D$5:$D$639,$D321,J$5:J$639,"&lt;&gt;")=0,"",IF(OR(SUMIFS(J$5:J$639,$A$5:$A$639,$A321,$C$5:$C$639,$C321-1,$D$5:$D$639,$D321)=0,J321*SUMIFS(J$5:J$639,$A$5:$A$639,$A321,$C$5:$C$639,$C321-1,$D$5:$D$639,$D321)&lt;0),"n.s.",ABS(J321)/ABS(SUMIFS(J$5:J$639,$A$5:$A$639,$A321,$C$5:$C$639,$C321-1,$D$5:$D$639,$D321))-1)))</f>
        <v/>
      </c>
      <c r="S321" s="16">
        <f>IF(OR($A321="",K321="",$C321=""),"",IF(COUNTIFS($A$5:$A$639,$A321,$C$5:$C$639,$C321-1,$D$5:$D$639,$D321,K$5:K$639,"&lt;&gt;")=0,"",IF(OR(SUMIFS(K$5:K$639,$A$5:$A$639,$A321,$C$5:$C$639,$C321-1,$D$5:$D$639,$D321)=0,K321*SUMIFS(K$5:K$639,$A$5:$A$639,$A321,$C$5:$C$639,$C321-1,$D$5:$D$639,$D321)&lt;0),"n.s.",ABS(K321)/ABS(SUMIFS(K$5:K$639,$A$5:$A$639,$A321,$C$5:$C$639,$C321-1,$D$5:$D$639,$D321))-1)))</f>
        <v/>
      </c>
      <c r="T321" s="16">
        <f>IF(OR($A321="",L321="",$C321=""),"",IF(COUNTIFS($A$5:$A$639,$A321,$C$5:$C$639,$C321-1,$D$5:$D$639,$D321,L$5:L$639,"&lt;&gt;")=0,"",IF(OR(SUMIFS(L$5:L$639,$A$5:$A$639,$A321,$C$5:$C$639,$C321-1,$D$5:$D$639,$D321)=0,L321*SUMIFS(L$5:L$639,$A$5:$A$639,$A321,$C$5:$C$639,$C321-1,$D$5:$D$639,$D321)&lt;0),"n.s.",ABS(L321)/ABS(SUMIFS(L$5:L$639,$A$5:$A$639,$A321,$C$5:$C$639,$C321-1,$D$5:$D$639,$D321))-1)))</f>
        <v/>
      </c>
      <c r="U321" s="16">
        <f>IF(OR($A321="",M321="",$C321=""),"",IF(COUNTIFS($A$5:$A$639,$A321,$C$5:$C$639,$C321-1,$D$5:$D$639,$D321,M$5:M$639,"&lt;&gt;")=0,"",IF(OR(SUMIFS(M$5:M$639,$A$5:$A$639,$A321,$C$5:$C$639,$C321-1,$D$5:$D$639,$D321)=0,M321*SUMIFS(M$5:M$639,$A$5:$A$639,$A321,$C$5:$C$639,$C321-1,$D$5:$D$639,$D321)&lt;0),"n.s.",ABS(M321)/ABS(SUMIFS(M$5:M$639,$A$5:$A$639,$A321,$C$5:$C$639,$C321-1,$D$5:$D$639,$D321))-1)))</f>
        <v/>
      </c>
    </row>
    <row r="322">
      <c r="A322" s="9" t="inlineStr">
        <is>
          <t>FTSC</t>
        </is>
      </c>
      <c r="B322" s="10">
        <f>IF(A322="","",IFERROR(VLOOKUP(A322,Titres!$A$2:$B$400,2,FALSE),"Ticker inconnu"))</f>
        <v/>
      </c>
      <c r="C322" s="11" t="n">
        <v>2024</v>
      </c>
      <c r="D322" s="11" t="inlineStr">
        <is>
          <t>T3</t>
        </is>
      </c>
      <c r="E322" s="9" t="n"/>
      <c r="F322" s="12" t="n"/>
      <c r="G322" s="9" t="n"/>
      <c r="H322" s="13" t="n"/>
      <c r="I322" s="13" t="n"/>
      <c r="J322" s="13" t="n"/>
      <c r="K322" s="13" t="n"/>
      <c r="L322" s="13" t="n"/>
      <c r="M322" s="13" t="n"/>
      <c r="N322" s="14">
        <f>IF(A322="","",COUNT(H322:M322)/6)</f>
        <v/>
      </c>
      <c r="O322" s="15">
        <f>IF(COUNT(H322:M322)=0,"",IF(LEN(IF(COUNT(I322,J322)=2,IF(J322&gt;I322+1,"EBE &gt; VA ",""),"")&amp;IF(COUNT(H322,M322)=2,IF(ABS(M322)&gt;ABS(H322),"RN &gt; CA ",""),"")&amp;IF(COUNT(H322,K322)=2,IF(ABS(K322)&gt;ABS(H322),"RE &gt; CA ",""),""))=0,"OK",IF(COUNT(I322,J322)=2,IF(J322&gt;I322+1,"EBE &gt; VA ",""),"")&amp;IF(COUNT(H322,M322)=2,IF(ABS(M322)&gt;ABS(H322),"RN &gt; CA ",""),"")&amp;IF(COUNT(H322,K322)=2,IF(ABS(K322)&gt;ABS(H322),"RE &gt; CA ",""),"")))</f>
        <v/>
      </c>
      <c r="P322" s="16">
        <f>IF(OR($A322="",H322="",$C322=""),"",IF(COUNTIFS($A$5:$A$639,$A322,$C$5:$C$639,$C322-1,$D$5:$D$639,$D322,H$5:H$639,"&lt;&gt;")=0,"",IF(OR(SUMIFS(H$5:H$639,$A$5:$A$639,$A322,$C$5:$C$639,$C322-1,$D$5:$D$639,$D322)=0,H322*SUMIFS(H$5:H$639,$A$5:$A$639,$A322,$C$5:$C$639,$C322-1,$D$5:$D$639,$D322)&lt;0),"n.s.",ABS(H322)/ABS(SUMIFS(H$5:H$639,$A$5:$A$639,$A322,$C$5:$C$639,$C322-1,$D$5:$D$639,$D322))-1)))</f>
        <v/>
      </c>
      <c r="Q322" s="16">
        <f>IF(OR($A322="",I322="",$C322=""),"",IF(COUNTIFS($A$5:$A$639,$A322,$C$5:$C$639,$C322-1,$D$5:$D$639,$D322,I$5:I$639,"&lt;&gt;")=0,"",IF(OR(SUMIFS(I$5:I$639,$A$5:$A$639,$A322,$C$5:$C$639,$C322-1,$D$5:$D$639,$D322)=0,I322*SUMIFS(I$5:I$639,$A$5:$A$639,$A322,$C$5:$C$639,$C322-1,$D$5:$D$639,$D322)&lt;0),"n.s.",ABS(I322)/ABS(SUMIFS(I$5:I$639,$A$5:$A$639,$A322,$C$5:$C$639,$C322-1,$D$5:$D$639,$D322))-1)))</f>
        <v/>
      </c>
      <c r="R322" s="16">
        <f>IF(OR($A322="",J322="",$C322=""),"",IF(COUNTIFS($A$5:$A$639,$A322,$C$5:$C$639,$C322-1,$D$5:$D$639,$D322,J$5:J$639,"&lt;&gt;")=0,"",IF(OR(SUMIFS(J$5:J$639,$A$5:$A$639,$A322,$C$5:$C$639,$C322-1,$D$5:$D$639,$D322)=0,J322*SUMIFS(J$5:J$639,$A$5:$A$639,$A322,$C$5:$C$639,$C322-1,$D$5:$D$639,$D322)&lt;0),"n.s.",ABS(J322)/ABS(SUMIFS(J$5:J$639,$A$5:$A$639,$A322,$C$5:$C$639,$C322-1,$D$5:$D$639,$D322))-1)))</f>
        <v/>
      </c>
      <c r="S322" s="16">
        <f>IF(OR($A322="",K322="",$C322=""),"",IF(COUNTIFS($A$5:$A$639,$A322,$C$5:$C$639,$C322-1,$D$5:$D$639,$D322,K$5:K$639,"&lt;&gt;")=0,"",IF(OR(SUMIFS(K$5:K$639,$A$5:$A$639,$A322,$C$5:$C$639,$C322-1,$D$5:$D$639,$D322)=0,K322*SUMIFS(K$5:K$639,$A$5:$A$639,$A322,$C$5:$C$639,$C322-1,$D$5:$D$639,$D322)&lt;0),"n.s.",ABS(K322)/ABS(SUMIFS(K$5:K$639,$A$5:$A$639,$A322,$C$5:$C$639,$C322-1,$D$5:$D$639,$D322))-1)))</f>
        <v/>
      </c>
      <c r="T322" s="16">
        <f>IF(OR($A322="",L322="",$C322=""),"",IF(COUNTIFS($A$5:$A$639,$A322,$C$5:$C$639,$C322-1,$D$5:$D$639,$D322,L$5:L$639,"&lt;&gt;")=0,"",IF(OR(SUMIFS(L$5:L$639,$A$5:$A$639,$A322,$C$5:$C$639,$C322-1,$D$5:$D$639,$D322)=0,L322*SUMIFS(L$5:L$639,$A$5:$A$639,$A322,$C$5:$C$639,$C322-1,$D$5:$D$639,$D322)&lt;0),"n.s.",ABS(L322)/ABS(SUMIFS(L$5:L$639,$A$5:$A$639,$A322,$C$5:$C$639,$C322-1,$D$5:$D$639,$D322))-1)))</f>
        <v/>
      </c>
      <c r="U322" s="16">
        <f>IF(OR($A322="",M322="",$C322=""),"",IF(COUNTIFS($A$5:$A$639,$A322,$C$5:$C$639,$C322-1,$D$5:$D$639,$D322,M$5:M$639,"&lt;&gt;")=0,"",IF(OR(SUMIFS(M$5:M$639,$A$5:$A$639,$A322,$C$5:$C$639,$C322-1,$D$5:$D$639,$D322)=0,M322*SUMIFS(M$5:M$639,$A$5:$A$639,$A322,$C$5:$C$639,$C322-1,$D$5:$D$639,$D322)&lt;0),"n.s.",ABS(M322)/ABS(SUMIFS(M$5:M$639,$A$5:$A$639,$A322,$C$5:$C$639,$C322-1,$D$5:$D$639,$D322))-1)))</f>
        <v/>
      </c>
    </row>
    <row r="323">
      <c r="A323" s="9" t="inlineStr">
        <is>
          <t>FTSC</t>
        </is>
      </c>
      <c r="B323" s="10">
        <f>IF(A323="","",IFERROR(VLOOKUP(A323,Titres!$A$2:$B$400,2,FALSE),"Ticker inconnu"))</f>
        <v/>
      </c>
      <c r="C323" s="11" t="n">
        <v>2025</v>
      </c>
      <c r="D323" s="11" t="inlineStr">
        <is>
          <t>T1</t>
        </is>
      </c>
      <c r="E323" s="9" t="n"/>
      <c r="F323" s="12" t="n"/>
      <c r="G323" s="9" t="n"/>
      <c r="H323" s="13" t="n"/>
      <c r="I323" s="13" t="n"/>
      <c r="J323" s="13" t="n"/>
      <c r="K323" s="13" t="n"/>
      <c r="L323" s="13" t="n"/>
      <c r="M323" s="13" t="n"/>
      <c r="N323" s="14">
        <f>IF(A323="","",COUNT(H323:M323)/6)</f>
        <v/>
      </c>
      <c r="O323" s="15">
        <f>IF(COUNT(H323:M323)=0,"",IF(LEN(IF(COUNT(I323,J323)=2,IF(J323&gt;I323+1,"EBE &gt; VA ",""),"")&amp;IF(COUNT(H323,M323)=2,IF(ABS(M323)&gt;ABS(H323),"RN &gt; CA ",""),"")&amp;IF(COUNT(H323,K323)=2,IF(ABS(K323)&gt;ABS(H323),"RE &gt; CA ",""),""))=0,"OK",IF(COUNT(I323,J323)=2,IF(J323&gt;I323+1,"EBE &gt; VA ",""),"")&amp;IF(COUNT(H323,M323)=2,IF(ABS(M323)&gt;ABS(H323),"RN &gt; CA ",""),"")&amp;IF(COUNT(H323,K323)=2,IF(ABS(K323)&gt;ABS(H323),"RE &gt; CA ",""),"")))</f>
        <v/>
      </c>
      <c r="P323" s="16">
        <f>IF(OR($A323="",H323="",$C323=""),"",IF(COUNTIFS($A$5:$A$639,$A323,$C$5:$C$639,$C323-1,$D$5:$D$639,$D323,H$5:H$639,"&lt;&gt;")=0,"",IF(OR(SUMIFS(H$5:H$639,$A$5:$A$639,$A323,$C$5:$C$639,$C323-1,$D$5:$D$639,$D323)=0,H323*SUMIFS(H$5:H$639,$A$5:$A$639,$A323,$C$5:$C$639,$C323-1,$D$5:$D$639,$D323)&lt;0),"n.s.",ABS(H323)/ABS(SUMIFS(H$5:H$639,$A$5:$A$639,$A323,$C$5:$C$639,$C323-1,$D$5:$D$639,$D323))-1)))</f>
        <v/>
      </c>
      <c r="Q323" s="16">
        <f>IF(OR($A323="",I323="",$C323=""),"",IF(COUNTIFS($A$5:$A$639,$A323,$C$5:$C$639,$C323-1,$D$5:$D$639,$D323,I$5:I$639,"&lt;&gt;")=0,"",IF(OR(SUMIFS(I$5:I$639,$A$5:$A$639,$A323,$C$5:$C$639,$C323-1,$D$5:$D$639,$D323)=0,I323*SUMIFS(I$5:I$639,$A$5:$A$639,$A323,$C$5:$C$639,$C323-1,$D$5:$D$639,$D323)&lt;0),"n.s.",ABS(I323)/ABS(SUMIFS(I$5:I$639,$A$5:$A$639,$A323,$C$5:$C$639,$C323-1,$D$5:$D$639,$D323))-1)))</f>
        <v/>
      </c>
      <c r="R323" s="16">
        <f>IF(OR($A323="",J323="",$C323=""),"",IF(COUNTIFS($A$5:$A$639,$A323,$C$5:$C$639,$C323-1,$D$5:$D$639,$D323,J$5:J$639,"&lt;&gt;")=0,"",IF(OR(SUMIFS(J$5:J$639,$A$5:$A$639,$A323,$C$5:$C$639,$C323-1,$D$5:$D$639,$D323)=0,J323*SUMIFS(J$5:J$639,$A$5:$A$639,$A323,$C$5:$C$639,$C323-1,$D$5:$D$639,$D323)&lt;0),"n.s.",ABS(J323)/ABS(SUMIFS(J$5:J$639,$A$5:$A$639,$A323,$C$5:$C$639,$C323-1,$D$5:$D$639,$D323))-1)))</f>
        <v/>
      </c>
      <c r="S323" s="16">
        <f>IF(OR($A323="",K323="",$C323=""),"",IF(COUNTIFS($A$5:$A$639,$A323,$C$5:$C$639,$C323-1,$D$5:$D$639,$D323,K$5:K$639,"&lt;&gt;")=0,"",IF(OR(SUMIFS(K$5:K$639,$A$5:$A$639,$A323,$C$5:$C$639,$C323-1,$D$5:$D$639,$D323)=0,K323*SUMIFS(K$5:K$639,$A$5:$A$639,$A323,$C$5:$C$639,$C323-1,$D$5:$D$639,$D323)&lt;0),"n.s.",ABS(K323)/ABS(SUMIFS(K$5:K$639,$A$5:$A$639,$A323,$C$5:$C$639,$C323-1,$D$5:$D$639,$D323))-1)))</f>
        <v/>
      </c>
      <c r="T323" s="16">
        <f>IF(OR($A323="",L323="",$C323=""),"",IF(COUNTIFS($A$5:$A$639,$A323,$C$5:$C$639,$C323-1,$D$5:$D$639,$D323,L$5:L$639,"&lt;&gt;")=0,"",IF(OR(SUMIFS(L$5:L$639,$A$5:$A$639,$A323,$C$5:$C$639,$C323-1,$D$5:$D$639,$D323)=0,L323*SUMIFS(L$5:L$639,$A$5:$A$639,$A323,$C$5:$C$639,$C323-1,$D$5:$D$639,$D323)&lt;0),"n.s.",ABS(L323)/ABS(SUMIFS(L$5:L$639,$A$5:$A$639,$A323,$C$5:$C$639,$C323-1,$D$5:$D$639,$D323))-1)))</f>
        <v/>
      </c>
      <c r="U323" s="16">
        <f>IF(OR($A323="",M323="",$C323=""),"",IF(COUNTIFS($A$5:$A$639,$A323,$C$5:$C$639,$C323-1,$D$5:$D$639,$D323,M$5:M$639,"&lt;&gt;")=0,"",IF(OR(SUMIFS(M$5:M$639,$A$5:$A$639,$A323,$C$5:$C$639,$C323-1,$D$5:$D$639,$D323)=0,M323*SUMIFS(M$5:M$639,$A$5:$A$639,$A323,$C$5:$C$639,$C323-1,$D$5:$D$639,$D323)&lt;0),"n.s.",ABS(M323)/ABS(SUMIFS(M$5:M$639,$A$5:$A$639,$A323,$C$5:$C$639,$C323-1,$D$5:$D$639,$D323))-1)))</f>
        <v/>
      </c>
    </row>
    <row r="324">
      <c r="A324" s="9" t="inlineStr">
        <is>
          <t>FTSC</t>
        </is>
      </c>
      <c r="B324" s="10">
        <f>IF(A324="","",IFERROR(VLOOKUP(A324,Titres!$A$2:$B$400,2,FALSE),"Ticker inconnu"))</f>
        <v/>
      </c>
      <c r="C324" s="11" t="n">
        <v>2025</v>
      </c>
      <c r="D324" s="11" t="inlineStr">
        <is>
          <t>S1</t>
        </is>
      </c>
      <c r="E324" s="9" t="n"/>
      <c r="F324" s="12" t="n"/>
      <c r="G324" s="9" t="n"/>
      <c r="H324" s="13" t="n"/>
      <c r="I324" s="13" t="n"/>
      <c r="J324" s="13" t="n"/>
      <c r="K324" s="13" t="n"/>
      <c r="L324" s="13" t="n"/>
      <c r="M324" s="13" t="n"/>
      <c r="N324" s="14">
        <f>IF(A324="","",COUNT(H324:M324)/6)</f>
        <v/>
      </c>
      <c r="O324" s="15">
        <f>IF(COUNT(H324:M324)=0,"",IF(LEN(IF(COUNT(I324,J324)=2,IF(J324&gt;I324+1,"EBE &gt; VA ",""),"")&amp;IF(COUNT(H324,M324)=2,IF(ABS(M324)&gt;ABS(H324),"RN &gt; CA ",""),"")&amp;IF(COUNT(H324,K324)=2,IF(ABS(K324)&gt;ABS(H324),"RE &gt; CA ",""),""))=0,"OK",IF(COUNT(I324,J324)=2,IF(J324&gt;I324+1,"EBE &gt; VA ",""),"")&amp;IF(COUNT(H324,M324)=2,IF(ABS(M324)&gt;ABS(H324),"RN &gt; CA ",""),"")&amp;IF(COUNT(H324,K324)=2,IF(ABS(K324)&gt;ABS(H324),"RE &gt; CA ",""),"")))</f>
        <v/>
      </c>
      <c r="P324" s="16">
        <f>IF(OR($A324="",H324="",$C324=""),"",IF(COUNTIFS($A$5:$A$639,$A324,$C$5:$C$639,$C324-1,$D$5:$D$639,$D324,H$5:H$639,"&lt;&gt;")=0,"",IF(OR(SUMIFS(H$5:H$639,$A$5:$A$639,$A324,$C$5:$C$639,$C324-1,$D$5:$D$639,$D324)=0,H324*SUMIFS(H$5:H$639,$A$5:$A$639,$A324,$C$5:$C$639,$C324-1,$D$5:$D$639,$D324)&lt;0),"n.s.",ABS(H324)/ABS(SUMIFS(H$5:H$639,$A$5:$A$639,$A324,$C$5:$C$639,$C324-1,$D$5:$D$639,$D324))-1)))</f>
        <v/>
      </c>
      <c r="Q324" s="16">
        <f>IF(OR($A324="",I324="",$C324=""),"",IF(COUNTIFS($A$5:$A$639,$A324,$C$5:$C$639,$C324-1,$D$5:$D$639,$D324,I$5:I$639,"&lt;&gt;")=0,"",IF(OR(SUMIFS(I$5:I$639,$A$5:$A$639,$A324,$C$5:$C$639,$C324-1,$D$5:$D$639,$D324)=0,I324*SUMIFS(I$5:I$639,$A$5:$A$639,$A324,$C$5:$C$639,$C324-1,$D$5:$D$639,$D324)&lt;0),"n.s.",ABS(I324)/ABS(SUMIFS(I$5:I$639,$A$5:$A$639,$A324,$C$5:$C$639,$C324-1,$D$5:$D$639,$D324))-1)))</f>
        <v/>
      </c>
      <c r="R324" s="16">
        <f>IF(OR($A324="",J324="",$C324=""),"",IF(COUNTIFS($A$5:$A$639,$A324,$C$5:$C$639,$C324-1,$D$5:$D$639,$D324,J$5:J$639,"&lt;&gt;")=0,"",IF(OR(SUMIFS(J$5:J$639,$A$5:$A$639,$A324,$C$5:$C$639,$C324-1,$D$5:$D$639,$D324)=0,J324*SUMIFS(J$5:J$639,$A$5:$A$639,$A324,$C$5:$C$639,$C324-1,$D$5:$D$639,$D324)&lt;0),"n.s.",ABS(J324)/ABS(SUMIFS(J$5:J$639,$A$5:$A$639,$A324,$C$5:$C$639,$C324-1,$D$5:$D$639,$D324))-1)))</f>
        <v/>
      </c>
      <c r="S324" s="16">
        <f>IF(OR($A324="",K324="",$C324=""),"",IF(COUNTIFS($A$5:$A$639,$A324,$C$5:$C$639,$C324-1,$D$5:$D$639,$D324,K$5:K$639,"&lt;&gt;")=0,"",IF(OR(SUMIFS(K$5:K$639,$A$5:$A$639,$A324,$C$5:$C$639,$C324-1,$D$5:$D$639,$D324)=0,K324*SUMIFS(K$5:K$639,$A$5:$A$639,$A324,$C$5:$C$639,$C324-1,$D$5:$D$639,$D324)&lt;0),"n.s.",ABS(K324)/ABS(SUMIFS(K$5:K$639,$A$5:$A$639,$A324,$C$5:$C$639,$C324-1,$D$5:$D$639,$D324))-1)))</f>
        <v/>
      </c>
      <c r="T324" s="16">
        <f>IF(OR($A324="",L324="",$C324=""),"",IF(COUNTIFS($A$5:$A$639,$A324,$C$5:$C$639,$C324-1,$D$5:$D$639,$D324,L$5:L$639,"&lt;&gt;")=0,"",IF(OR(SUMIFS(L$5:L$639,$A$5:$A$639,$A324,$C$5:$C$639,$C324-1,$D$5:$D$639,$D324)=0,L324*SUMIFS(L$5:L$639,$A$5:$A$639,$A324,$C$5:$C$639,$C324-1,$D$5:$D$639,$D324)&lt;0),"n.s.",ABS(L324)/ABS(SUMIFS(L$5:L$639,$A$5:$A$639,$A324,$C$5:$C$639,$C324-1,$D$5:$D$639,$D324))-1)))</f>
        <v/>
      </c>
      <c r="U324" s="16">
        <f>IF(OR($A324="",M324="",$C324=""),"",IF(COUNTIFS($A$5:$A$639,$A324,$C$5:$C$639,$C324-1,$D$5:$D$639,$D324,M$5:M$639,"&lt;&gt;")=0,"",IF(OR(SUMIFS(M$5:M$639,$A$5:$A$639,$A324,$C$5:$C$639,$C324-1,$D$5:$D$639,$D324)=0,M324*SUMIFS(M$5:M$639,$A$5:$A$639,$A324,$C$5:$C$639,$C324-1,$D$5:$D$639,$D324)&lt;0),"n.s.",ABS(M324)/ABS(SUMIFS(M$5:M$639,$A$5:$A$639,$A324,$C$5:$C$639,$C324-1,$D$5:$D$639,$D324))-1)))</f>
        <v/>
      </c>
    </row>
    <row r="325">
      <c r="A325" s="9" t="inlineStr">
        <is>
          <t>FTSC</t>
        </is>
      </c>
      <c r="B325" s="10">
        <f>IF(A325="","",IFERROR(VLOOKUP(A325,Titres!$A$2:$B$400,2,FALSE),"Ticker inconnu"))</f>
        <v/>
      </c>
      <c r="C325" s="11" t="n">
        <v>2025</v>
      </c>
      <c r="D325" s="11" t="inlineStr">
        <is>
          <t>T3</t>
        </is>
      </c>
      <c r="E325" s="9" t="n"/>
      <c r="F325" s="12" t="n"/>
      <c r="G325" s="9" t="n"/>
      <c r="H325" s="13" t="n"/>
      <c r="I325" s="13" t="n"/>
      <c r="J325" s="13" t="n"/>
      <c r="K325" s="13" t="n"/>
      <c r="L325" s="13" t="n"/>
      <c r="M325" s="13" t="n"/>
      <c r="N325" s="14">
        <f>IF(A325="","",COUNT(H325:M325)/6)</f>
        <v/>
      </c>
      <c r="O325" s="15">
        <f>IF(COUNT(H325:M325)=0,"",IF(LEN(IF(COUNT(I325,J325)=2,IF(J325&gt;I325+1,"EBE &gt; VA ",""),"")&amp;IF(COUNT(H325,M325)=2,IF(ABS(M325)&gt;ABS(H325),"RN &gt; CA ",""),"")&amp;IF(COUNT(H325,K325)=2,IF(ABS(K325)&gt;ABS(H325),"RE &gt; CA ",""),""))=0,"OK",IF(COUNT(I325,J325)=2,IF(J325&gt;I325+1,"EBE &gt; VA ",""),"")&amp;IF(COUNT(H325,M325)=2,IF(ABS(M325)&gt;ABS(H325),"RN &gt; CA ",""),"")&amp;IF(COUNT(H325,K325)=2,IF(ABS(K325)&gt;ABS(H325),"RE &gt; CA ",""),"")))</f>
        <v/>
      </c>
      <c r="P325" s="16">
        <f>IF(OR($A325="",H325="",$C325=""),"",IF(COUNTIFS($A$5:$A$639,$A325,$C$5:$C$639,$C325-1,$D$5:$D$639,$D325,H$5:H$639,"&lt;&gt;")=0,"",IF(OR(SUMIFS(H$5:H$639,$A$5:$A$639,$A325,$C$5:$C$639,$C325-1,$D$5:$D$639,$D325)=0,H325*SUMIFS(H$5:H$639,$A$5:$A$639,$A325,$C$5:$C$639,$C325-1,$D$5:$D$639,$D325)&lt;0),"n.s.",ABS(H325)/ABS(SUMIFS(H$5:H$639,$A$5:$A$639,$A325,$C$5:$C$639,$C325-1,$D$5:$D$639,$D325))-1)))</f>
        <v/>
      </c>
      <c r="Q325" s="16">
        <f>IF(OR($A325="",I325="",$C325=""),"",IF(COUNTIFS($A$5:$A$639,$A325,$C$5:$C$639,$C325-1,$D$5:$D$639,$D325,I$5:I$639,"&lt;&gt;")=0,"",IF(OR(SUMIFS(I$5:I$639,$A$5:$A$639,$A325,$C$5:$C$639,$C325-1,$D$5:$D$639,$D325)=0,I325*SUMIFS(I$5:I$639,$A$5:$A$639,$A325,$C$5:$C$639,$C325-1,$D$5:$D$639,$D325)&lt;0),"n.s.",ABS(I325)/ABS(SUMIFS(I$5:I$639,$A$5:$A$639,$A325,$C$5:$C$639,$C325-1,$D$5:$D$639,$D325))-1)))</f>
        <v/>
      </c>
      <c r="R325" s="16">
        <f>IF(OR($A325="",J325="",$C325=""),"",IF(COUNTIFS($A$5:$A$639,$A325,$C$5:$C$639,$C325-1,$D$5:$D$639,$D325,J$5:J$639,"&lt;&gt;")=0,"",IF(OR(SUMIFS(J$5:J$639,$A$5:$A$639,$A325,$C$5:$C$639,$C325-1,$D$5:$D$639,$D325)=0,J325*SUMIFS(J$5:J$639,$A$5:$A$639,$A325,$C$5:$C$639,$C325-1,$D$5:$D$639,$D325)&lt;0),"n.s.",ABS(J325)/ABS(SUMIFS(J$5:J$639,$A$5:$A$639,$A325,$C$5:$C$639,$C325-1,$D$5:$D$639,$D325))-1)))</f>
        <v/>
      </c>
      <c r="S325" s="16">
        <f>IF(OR($A325="",K325="",$C325=""),"",IF(COUNTIFS($A$5:$A$639,$A325,$C$5:$C$639,$C325-1,$D$5:$D$639,$D325,K$5:K$639,"&lt;&gt;")=0,"",IF(OR(SUMIFS(K$5:K$639,$A$5:$A$639,$A325,$C$5:$C$639,$C325-1,$D$5:$D$639,$D325)=0,K325*SUMIFS(K$5:K$639,$A$5:$A$639,$A325,$C$5:$C$639,$C325-1,$D$5:$D$639,$D325)&lt;0),"n.s.",ABS(K325)/ABS(SUMIFS(K$5:K$639,$A$5:$A$639,$A325,$C$5:$C$639,$C325-1,$D$5:$D$639,$D325))-1)))</f>
        <v/>
      </c>
      <c r="T325" s="16">
        <f>IF(OR($A325="",L325="",$C325=""),"",IF(COUNTIFS($A$5:$A$639,$A325,$C$5:$C$639,$C325-1,$D$5:$D$639,$D325,L$5:L$639,"&lt;&gt;")=0,"",IF(OR(SUMIFS(L$5:L$639,$A$5:$A$639,$A325,$C$5:$C$639,$C325-1,$D$5:$D$639,$D325)=0,L325*SUMIFS(L$5:L$639,$A$5:$A$639,$A325,$C$5:$C$639,$C325-1,$D$5:$D$639,$D325)&lt;0),"n.s.",ABS(L325)/ABS(SUMIFS(L$5:L$639,$A$5:$A$639,$A325,$C$5:$C$639,$C325-1,$D$5:$D$639,$D325))-1)))</f>
        <v/>
      </c>
      <c r="U325" s="16">
        <f>IF(OR($A325="",M325="",$C325=""),"",IF(COUNTIFS($A$5:$A$639,$A325,$C$5:$C$639,$C325-1,$D$5:$D$639,$D325,M$5:M$639,"&lt;&gt;")=0,"",IF(OR(SUMIFS(M$5:M$639,$A$5:$A$639,$A325,$C$5:$C$639,$C325-1,$D$5:$D$639,$D325)=0,M325*SUMIFS(M$5:M$639,$A$5:$A$639,$A325,$C$5:$C$639,$C325-1,$D$5:$D$639,$D325)&lt;0),"n.s.",ABS(M325)/ABS(SUMIFS(M$5:M$639,$A$5:$A$639,$A325,$C$5:$C$639,$C325-1,$D$5:$D$639,$D325))-1)))</f>
        <v/>
      </c>
    </row>
    <row r="326">
      <c r="A326" s="9" t="inlineStr">
        <is>
          <t>FTSC</t>
        </is>
      </c>
      <c r="B326" s="10">
        <f>IF(A326="","",IFERROR(VLOOKUP(A326,Titres!$A$2:$B$400,2,FALSE),"Ticker inconnu"))</f>
        <v/>
      </c>
      <c r="C326" s="11" t="n">
        <v>2026</v>
      </c>
      <c r="D326" s="11" t="inlineStr">
        <is>
          <t>T1</t>
        </is>
      </c>
      <c r="E326" s="9" t="n"/>
      <c r="F326" s="12" t="n"/>
      <c r="G326" s="9" t="n"/>
      <c r="H326" s="13" t="n"/>
      <c r="I326" s="13" t="n"/>
      <c r="J326" s="13" t="n"/>
      <c r="K326" s="13" t="n"/>
      <c r="L326" s="13" t="n"/>
      <c r="M326" s="13" t="n"/>
      <c r="N326" s="14">
        <f>IF(A326="","",COUNT(H326:M326)/6)</f>
        <v/>
      </c>
      <c r="O326" s="15">
        <f>IF(COUNT(H326:M326)=0,"",IF(LEN(IF(COUNT(I326,J326)=2,IF(J326&gt;I326+1,"EBE &gt; VA ",""),"")&amp;IF(COUNT(H326,M326)=2,IF(ABS(M326)&gt;ABS(H326),"RN &gt; CA ",""),"")&amp;IF(COUNT(H326,K326)=2,IF(ABS(K326)&gt;ABS(H326),"RE &gt; CA ",""),""))=0,"OK",IF(COUNT(I326,J326)=2,IF(J326&gt;I326+1,"EBE &gt; VA ",""),"")&amp;IF(COUNT(H326,M326)=2,IF(ABS(M326)&gt;ABS(H326),"RN &gt; CA ",""),"")&amp;IF(COUNT(H326,K326)=2,IF(ABS(K326)&gt;ABS(H326),"RE &gt; CA ",""),"")))</f>
        <v/>
      </c>
      <c r="P326" s="16">
        <f>IF(OR($A326="",H326="",$C326=""),"",IF(COUNTIFS($A$5:$A$639,$A326,$C$5:$C$639,$C326-1,$D$5:$D$639,$D326,H$5:H$639,"&lt;&gt;")=0,"",IF(OR(SUMIFS(H$5:H$639,$A$5:$A$639,$A326,$C$5:$C$639,$C326-1,$D$5:$D$639,$D326)=0,H326*SUMIFS(H$5:H$639,$A$5:$A$639,$A326,$C$5:$C$639,$C326-1,$D$5:$D$639,$D326)&lt;0),"n.s.",ABS(H326)/ABS(SUMIFS(H$5:H$639,$A$5:$A$639,$A326,$C$5:$C$639,$C326-1,$D$5:$D$639,$D326))-1)))</f>
        <v/>
      </c>
      <c r="Q326" s="16">
        <f>IF(OR($A326="",I326="",$C326=""),"",IF(COUNTIFS($A$5:$A$639,$A326,$C$5:$C$639,$C326-1,$D$5:$D$639,$D326,I$5:I$639,"&lt;&gt;")=0,"",IF(OR(SUMIFS(I$5:I$639,$A$5:$A$639,$A326,$C$5:$C$639,$C326-1,$D$5:$D$639,$D326)=0,I326*SUMIFS(I$5:I$639,$A$5:$A$639,$A326,$C$5:$C$639,$C326-1,$D$5:$D$639,$D326)&lt;0),"n.s.",ABS(I326)/ABS(SUMIFS(I$5:I$639,$A$5:$A$639,$A326,$C$5:$C$639,$C326-1,$D$5:$D$639,$D326))-1)))</f>
        <v/>
      </c>
      <c r="R326" s="16">
        <f>IF(OR($A326="",J326="",$C326=""),"",IF(COUNTIFS($A$5:$A$639,$A326,$C$5:$C$639,$C326-1,$D$5:$D$639,$D326,J$5:J$639,"&lt;&gt;")=0,"",IF(OR(SUMIFS(J$5:J$639,$A$5:$A$639,$A326,$C$5:$C$639,$C326-1,$D$5:$D$639,$D326)=0,J326*SUMIFS(J$5:J$639,$A$5:$A$639,$A326,$C$5:$C$639,$C326-1,$D$5:$D$639,$D326)&lt;0),"n.s.",ABS(J326)/ABS(SUMIFS(J$5:J$639,$A$5:$A$639,$A326,$C$5:$C$639,$C326-1,$D$5:$D$639,$D326))-1)))</f>
        <v/>
      </c>
      <c r="S326" s="16">
        <f>IF(OR($A326="",K326="",$C326=""),"",IF(COUNTIFS($A$5:$A$639,$A326,$C$5:$C$639,$C326-1,$D$5:$D$639,$D326,K$5:K$639,"&lt;&gt;")=0,"",IF(OR(SUMIFS(K$5:K$639,$A$5:$A$639,$A326,$C$5:$C$639,$C326-1,$D$5:$D$639,$D326)=0,K326*SUMIFS(K$5:K$639,$A$5:$A$639,$A326,$C$5:$C$639,$C326-1,$D$5:$D$639,$D326)&lt;0),"n.s.",ABS(K326)/ABS(SUMIFS(K$5:K$639,$A$5:$A$639,$A326,$C$5:$C$639,$C326-1,$D$5:$D$639,$D326))-1)))</f>
        <v/>
      </c>
      <c r="T326" s="16">
        <f>IF(OR($A326="",L326="",$C326=""),"",IF(COUNTIFS($A$5:$A$639,$A326,$C$5:$C$639,$C326-1,$D$5:$D$639,$D326,L$5:L$639,"&lt;&gt;")=0,"",IF(OR(SUMIFS(L$5:L$639,$A$5:$A$639,$A326,$C$5:$C$639,$C326-1,$D$5:$D$639,$D326)=0,L326*SUMIFS(L$5:L$639,$A$5:$A$639,$A326,$C$5:$C$639,$C326-1,$D$5:$D$639,$D326)&lt;0),"n.s.",ABS(L326)/ABS(SUMIFS(L$5:L$639,$A$5:$A$639,$A326,$C$5:$C$639,$C326-1,$D$5:$D$639,$D326))-1)))</f>
        <v/>
      </c>
      <c r="U326" s="16">
        <f>IF(OR($A326="",M326="",$C326=""),"",IF(COUNTIFS($A$5:$A$639,$A326,$C$5:$C$639,$C326-1,$D$5:$D$639,$D326,M$5:M$639,"&lt;&gt;")=0,"",IF(OR(SUMIFS(M$5:M$639,$A$5:$A$639,$A326,$C$5:$C$639,$C326-1,$D$5:$D$639,$D326)=0,M326*SUMIFS(M$5:M$639,$A$5:$A$639,$A326,$C$5:$C$639,$C326-1,$D$5:$D$639,$D326)&lt;0),"n.s.",ABS(M326)/ABS(SUMIFS(M$5:M$639,$A$5:$A$639,$A326,$C$5:$C$639,$C326-1,$D$5:$D$639,$D326))-1)))</f>
        <v/>
      </c>
    </row>
    <row r="327">
      <c r="A327" s="9" t="inlineStr">
        <is>
          <t>FTSC</t>
        </is>
      </c>
      <c r="B327" s="10">
        <f>IF(A327="","",IFERROR(VLOOKUP(A327,Titres!$A$2:$B$400,2,FALSE),"Ticker inconnu"))</f>
        <v/>
      </c>
      <c r="C327" s="11" t="n">
        <v>2026</v>
      </c>
      <c r="D327" s="11" t="inlineStr">
        <is>
          <t>S1</t>
        </is>
      </c>
      <c r="E327" s="9" t="n"/>
      <c r="F327" s="12" t="n"/>
      <c r="G327" s="9" t="n"/>
      <c r="H327" s="13" t="n"/>
      <c r="I327" s="13" t="n"/>
      <c r="J327" s="13" t="n"/>
      <c r="K327" s="13" t="n"/>
      <c r="L327" s="13" t="n"/>
      <c r="M327" s="13" t="n"/>
      <c r="N327" s="14">
        <f>IF(A327="","",COUNT(H327:M327)/6)</f>
        <v/>
      </c>
      <c r="O327" s="15">
        <f>IF(COUNT(H327:M327)=0,"",IF(LEN(IF(COUNT(I327,J327)=2,IF(J327&gt;I327+1,"EBE &gt; VA ",""),"")&amp;IF(COUNT(H327,M327)=2,IF(ABS(M327)&gt;ABS(H327),"RN &gt; CA ",""),"")&amp;IF(COUNT(H327,K327)=2,IF(ABS(K327)&gt;ABS(H327),"RE &gt; CA ",""),""))=0,"OK",IF(COUNT(I327,J327)=2,IF(J327&gt;I327+1,"EBE &gt; VA ",""),"")&amp;IF(COUNT(H327,M327)=2,IF(ABS(M327)&gt;ABS(H327),"RN &gt; CA ",""),"")&amp;IF(COUNT(H327,K327)=2,IF(ABS(K327)&gt;ABS(H327),"RE &gt; CA ",""),"")))</f>
        <v/>
      </c>
      <c r="P327" s="16">
        <f>IF(OR($A327="",H327="",$C327=""),"",IF(COUNTIFS($A$5:$A$639,$A327,$C$5:$C$639,$C327-1,$D$5:$D$639,$D327,H$5:H$639,"&lt;&gt;")=0,"",IF(OR(SUMIFS(H$5:H$639,$A$5:$A$639,$A327,$C$5:$C$639,$C327-1,$D$5:$D$639,$D327)=0,H327*SUMIFS(H$5:H$639,$A$5:$A$639,$A327,$C$5:$C$639,$C327-1,$D$5:$D$639,$D327)&lt;0),"n.s.",ABS(H327)/ABS(SUMIFS(H$5:H$639,$A$5:$A$639,$A327,$C$5:$C$639,$C327-1,$D$5:$D$639,$D327))-1)))</f>
        <v/>
      </c>
      <c r="Q327" s="16">
        <f>IF(OR($A327="",I327="",$C327=""),"",IF(COUNTIFS($A$5:$A$639,$A327,$C$5:$C$639,$C327-1,$D$5:$D$639,$D327,I$5:I$639,"&lt;&gt;")=0,"",IF(OR(SUMIFS(I$5:I$639,$A$5:$A$639,$A327,$C$5:$C$639,$C327-1,$D$5:$D$639,$D327)=0,I327*SUMIFS(I$5:I$639,$A$5:$A$639,$A327,$C$5:$C$639,$C327-1,$D$5:$D$639,$D327)&lt;0),"n.s.",ABS(I327)/ABS(SUMIFS(I$5:I$639,$A$5:$A$639,$A327,$C$5:$C$639,$C327-1,$D$5:$D$639,$D327))-1)))</f>
        <v/>
      </c>
      <c r="R327" s="16">
        <f>IF(OR($A327="",J327="",$C327=""),"",IF(COUNTIFS($A$5:$A$639,$A327,$C$5:$C$639,$C327-1,$D$5:$D$639,$D327,J$5:J$639,"&lt;&gt;")=0,"",IF(OR(SUMIFS(J$5:J$639,$A$5:$A$639,$A327,$C$5:$C$639,$C327-1,$D$5:$D$639,$D327)=0,J327*SUMIFS(J$5:J$639,$A$5:$A$639,$A327,$C$5:$C$639,$C327-1,$D$5:$D$639,$D327)&lt;0),"n.s.",ABS(J327)/ABS(SUMIFS(J$5:J$639,$A$5:$A$639,$A327,$C$5:$C$639,$C327-1,$D$5:$D$639,$D327))-1)))</f>
        <v/>
      </c>
      <c r="S327" s="16">
        <f>IF(OR($A327="",K327="",$C327=""),"",IF(COUNTIFS($A$5:$A$639,$A327,$C$5:$C$639,$C327-1,$D$5:$D$639,$D327,K$5:K$639,"&lt;&gt;")=0,"",IF(OR(SUMIFS(K$5:K$639,$A$5:$A$639,$A327,$C$5:$C$639,$C327-1,$D$5:$D$639,$D327)=0,K327*SUMIFS(K$5:K$639,$A$5:$A$639,$A327,$C$5:$C$639,$C327-1,$D$5:$D$639,$D327)&lt;0),"n.s.",ABS(K327)/ABS(SUMIFS(K$5:K$639,$A$5:$A$639,$A327,$C$5:$C$639,$C327-1,$D$5:$D$639,$D327))-1)))</f>
        <v/>
      </c>
      <c r="T327" s="16">
        <f>IF(OR($A327="",L327="",$C327=""),"",IF(COUNTIFS($A$5:$A$639,$A327,$C$5:$C$639,$C327-1,$D$5:$D$639,$D327,L$5:L$639,"&lt;&gt;")=0,"",IF(OR(SUMIFS(L$5:L$639,$A$5:$A$639,$A327,$C$5:$C$639,$C327-1,$D$5:$D$639,$D327)=0,L327*SUMIFS(L$5:L$639,$A$5:$A$639,$A327,$C$5:$C$639,$C327-1,$D$5:$D$639,$D327)&lt;0),"n.s.",ABS(L327)/ABS(SUMIFS(L$5:L$639,$A$5:$A$639,$A327,$C$5:$C$639,$C327-1,$D$5:$D$639,$D327))-1)))</f>
        <v/>
      </c>
      <c r="U327" s="16">
        <f>IF(OR($A327="",M327="",$C327=""),"",IF(COUNTIFS($A$5:$A$639,$A327,$C$5:$C$639,$C327-1,$D$5:$D$639,$D327,M$5:M$639,"&lt;&gt;")=0,"",IF(OR(SUMIFS(M$5:M$639,$A$5:$A$639,$A327,$C$5:$C$639,$C327-1,$D$5:$D$639,$D327)=0,M327*SUMIFS(M$5:M$639,$A$5:$A$639,$A327,$C$5:$C$639,$C327-1,$D$5:$D$639,$D327)&lt;0),"n.s.",ABS(M327)/ABS(SUMIFS(M$5:M$639,$A$5:$A$639,$A327,$C$5:$C$639,$C327-1,$D$5:$D$639,$D327))-1)))</f>
        <v/>
      </c>
    </row>
    <row r="328">
      <c r="A328" s="9" t="inlineStr">
        <is>
          <t>FTSC</t>
        </is>
      </c>
      <c r="B328" s="10">
        <f>IF(A328="","",IFERROR(VLOOKUP(A328,Titres!$A$2:$B$400,2,FALSE),"Ticker inconnu"))</f>
        <v/>
      </c>
      <c r="C328" s="11" t="n">
        <v>2026</v>
      </c>
      <c r="D328" s="11" t="inlineStr">
        <is>
          <t>T3</t>
        </is>
      </c>
      <c r="E328" s="9" t="n"/>
      <c r="F328" s="12" t="n"/>
      <c r="G328" s="9" t="n"/>
      <c r="H328" s="13" t="n"/>
      <c r="I328" s="13" t="n"/>
      <c r="J328" s="13" t="n"/>
      <c r="K328" s="13" t="n"/>
      <c r="L328" s="13" t="n"/>
      <c r="M328" s="13" t="n"/>
      <c r="N328" s="14">
        <f>IF(A328="","",COUNT(H328:M328)/6)</f>
        <v/>
      </c>
      <c r="O328" s="15">
        <f>IF(COUNT(H328:M328)=0,"",IF(LEN(IF(COUNT(I328,J328)=2,IF(J328&gt;I328+1,"EBE &gt; VA ",""),"")&amp;IF(COUNT(H328,M328)=2,IF(ABS(M328)&gt;ABS(H328),"RN &gt; CA ",""),"")&amp;IF(COUNT(H328,K328)=2,IF(ABS(K328)&gt;ABS(H328),"RE &gt; CA ",""),""))=0,"OK",IF(COUNT(I328,J328)=2,IF(J328&gt;I328+1,"EBE &gt; VA ",""),"")&amp;IF(COUNT(H328,M328)=2,IF(ABS(M328)&gt;ABS(H328),"RN &gt; CA ",""),"")&amp;IF(COUNT(H328,K328)=2,IF(ABS(K328)&gt;ABS(H328),"RE &gt; CA ",""),"")))</f>
        <v/>
      </c>
      <c r="P328" s="16">
        <f>IF(OR($A328="",H328="",$C328=""),"",IF(COUNTIFS($A$5:$A$639,$A328,$C$5:$C$639,$C328-1,$D$5:$D$639,$D328,H$5:H$639,"&lt;&gt;")=0,"",IF(OR(SUMIFS(H$5:H$639,$A$5:$A$639,$A328,$C$5:$C$639,$C328-1,$D$5:$D$639,$D328)=0,H328*SUMIFS(H$5:H$639,$A$5:$A$639,$A328,$C$5:$C$639,$C328-1,$D$5:$D$639,$D328)&lt;0),"n.s.",ABS(H328)/ABS(SUMIFS(H$5:H$639,$A$5:$A$639,$A328,$C$5:$C$639,$C328-1,$D$5:$D$639,$D328))-1)))</f>
        <v/>
      </c>
      <c r="Q328" s="16">
        <f>IF(OR($A328="",I328="",$C328=""),"",IF(COUNTIFS($A$5:$A$639,$A328,$C$5:$C$639,$C328-1,$D$5:$D$639,$D328,I$5:I$639,"&lt;&gt;")=0,"",IF(OR(SUMIFS(I$5:I$639,$A$5:$A$639,$A328,$C$5:$C$639,$C328-1,$D$5:$D$639,$D328)=0,I328*SUMIFS(I$5:I$639,$A$5:$A$639,$A328,$C$5:$C$639,$C328-1,$D$5:$D$639,$D328)&lt;0),"n.s.",ABS(I328)/ABS(SUMIFS(I$5:I$639,$A$5:$A$639,$A328,$C$5:$C$639,$C328-1,$D$5:$D$639,$D328))-1)))</f>
        <v/>
      </c>
      <c r="R328" s="16">
        <f>IF(OR($A328="",J328="",$C328=""),"",IF(COUNTIFS($A$5:$A$639,$A328,$C$5:$C$639,$C328-1,$D$5:$D$639,$D328,J$5:J$639,"&lt;&gt;")=0,"",IF(OR(SUMIFS(J$5:J$639,$A$5:$A$639,$A328,$C$5:$C$639,$C328-1,$D$5:$D$639,$D328)=0,J328*SUMIFS(J$5:J$639,$A$5:$A$639,$A328,$C$5:$C$639,$C328-1,$D$5:$D$639,$D328)&lt;0),"n.s.",ABS(J328)/ABS(SUMIFS(J$5:J$639,$A$5:$A$639,$A328,$C$5:$C$639,$C328-1,$D$5:$D$639,$D328))-1)))</f>
        <v/>
      </c>
      <c r="S328" s="16">
        <f>IF(OR($A328="",K328="",$C328=""),"",IF(COUNTIFS($A$5:$A$639,$A328,$C$5:$C$639,$C328-1,$D$5:$D$639,$D328,K$5:K$639,"&lt;&gt;")=0,"",IF(OR(SUMIFS(K$5:K$639,$A$5:$A$639,$A328,$C$5:$C$639,$C328-1,$D$5:$D$639,$D328)=0,K328*SUMIFS(K$5:K$639,$A$5:$A$639,$A328,$C$5:$C$639,$C328-1,$D$5:$D$639,$D328)&lt;0),"n.s.",ABS(K328)/ABS(SUMIFS(K$5:K$639,$A$5:$A$639,$A328,$C$5:$C$639,$C328-1,$D$5:$D$639,$D328))-1)))</f>
        <v/>
      </c>
      <c r="T328" s="16">
        <f>IF(OR($A328="",L328="",$C328=""),"",IF(COUNTIFS($A$5:$A$639,$A328,$C$5:$C$639,$C328-1,$D$5:$D$639,$D328,L$5:L$639,"&lt;&gt;")=0,"",IF(OR(SUMIFS(L$5:L$639,$A$5:$A$639,$A328,$C$5:$C$639,$C328-1,$D$5:$D$639,$D328)=0,L328*SUMIFS(L$5:L$639,$A$5:$A$639,$A328,$C$5:$C$639,$C328-1,$D$5:$D$639,$D328)&lt;0),"n.s.",ABS(L328)/ABS(SUMIFS(L$5:L$639,$A$5:$A$639,$A328,$C$5:$C$639,$C328-1,$D$5:$D$639,$D328))-1)))</f>
        <v/>
      </c>
      <c r="U328" s="16">
        <f>IF(OR($A328="",M328="",$C328=""),"",IF(COUNTIFS($A$5:$A$639,$A328,$C$5:$C$639,$C328-1,$D$5:$D$639,$D328,M$5:M$639,"&lt;&gt;")=0,"",IF(OR(SUMIFS(M$5:M$639,$A$5:$A$639,$A328,$C$5:$C$639,$C328-1,$D$5:$D$639,$D328)=0,M328*SUMIFS(M$5:M$639,$A$5:$A$639,$A328,$C$5:$C$639,$C328-1,$D$5:$D$639,$D328)&lt;0),"n.s.",ABS(M328)/ABS(SUMIFS(M$5:M$639,$A$5:$A$639,$A328,$C$5:$C$639,$C328-1,$D$5:$D$639,$D328))-1)))</f>
        <v/>
      </c>
    </row>
    <row r="329">
      <c r="A329" s="9" t="inlineStr">
        <is>
          <t>SDSC</t>
        </is>
      </c>
      <c r="B329" s="10">
        <f>IF(A329="","",IFERROR(VLOOKUP(A329,Titres!$A$2:$B$400,2,FALSE),"Ticker inconnu"))</f>
        <v/>
      </c>
      <c r="C329" s="11" t="n">
        <v>2021</v>
      </c>
      <c r="D329" s="11" t="inlineStr">
        <is>
          <t>T1</t>
        </is>
      </c>
      <c r="E329" s="9" t="n"/>
      <c r="F329" s="12" t="n"/>
      <c r="G329" s="9" t="n"/>
      <c r="H329" s="13" t="n"/>
      <c r="I329" s="13" t="n"/>
      <c r="J329" s="13" t="n"/>
      <c r="K329" s="13" t="n"/>
      <c r="L329" s="13" t="n"/>
      <c r="M329" s="13" t="n"/>
      <c r="N329" s="14">
        <f>IF(A329="","",COUNT(H329:M329)/6)</f>
        <v/>
      </c>
      <c r="O329" s="15">
        <f>IF(COUNT(H329:M329)=0,"",IF(LEN(IF(COUNT(I329,J329)=2,IF(J329&gt;I329+1,"EBE &gt; VA ",""),"")&amp;IF(COUNT(H329,M329)=2,IF(ABS(M329)&gt;ABS(H329),"RN &gt; CA ",""),"")&amp;IF(COUNT(H329,K329)=2,IF(ABS(K329)&gt;ABS(H329),"RE &gt; CA ",""),""))=0,"OK",IF(COUNT(I329,J329)=2,IF(J329&gt;I329+1,"EBE &gt; VA ",""),"")&amp;IF(COUNT(H329,M329)=2,IF(ABS(M329)&gt;ABS(H329),"RN &gt; CA ",""),"")&amp;IF(COUNT(H329,K329)=2,IF(ABS(K329)&gt;ABS(H329),"RE &gt; CA ",""),"")))</f>
        <v/>
      </c>
      <c r="P329" s="16">
        <f>IF(OR($A329="",H329="",$C329=""),"",IF(COUNTIFS($A$5:$A$639,$A329,$C$5:$C$639,$C329-1,$D$5:$D$639,$D329,H$5:H$639,"&lt;&gt;")=0,"",IF(OR(SUMIFS(H$5:H$639,$A$5:$A$639,$A329,$C$5:$C$639,$C329-1,$D$5:$D$639,$D329)=0,H329*SUMIFS(H$5:H$639,$A$5:$A$639,$A329,$C$5:$C$639,$C329-1,$D$5:$D$639,$D329)&lt;0),"n.s.",ABS(H329)/ABS(SUMIFS(H$5:H$639,$A$5:$A$639,$A329,$C$5:$C$639,$C329-1,$D$5:$D$639,$D329))-1)))</f>
        <v/>
      </c>
      <c r="Q329" s="16">
        <f>IF(OR($A329="",I329="",$C329=""),"",IF(COUNTIFS($A$5:$A$639,$A329,$C$5:$C$639,$C329-1,$D$5:$D$639,$D329,I$5:I$639,"&lt;&gt;")=0,"",IF(OR(SUMIFS(I$5:I$639,$A$5:$A$639,$A329,$C$5:$C$639,$C329-1,$D$5:$D$639,$D329)=0,I329*SUMIFS(I$5:I$639,$A$5:$A$639,$A329,$C$5:$C$639,$C329-1,$D$5:$D$639,$D329)&lt;0),"n.s.",ABS(I329)/ABS(SUMIFS(I$5:I$639,$A$5:$A$639,$A329,$C$5:$C$639,$C329-1,$D$5:$D$639,$D329))-1)))</f>
        <v/>
      </c>
      <c r="R329" s="16">
        <f>IF(OR($A329="",J329="",$C329=""),"",IF(COUNTIFS($A$5:$A$639,$A329,$C$5:$C$639,$C329-1,$D$5:$D$639,$D329,J$5:J$639,"&lt;&gt;")=0,"",IF(OR(SUMIFS(J$5:J$639,$A$5:$A$639,$A329,$C$5:$C$639,$C329-1,$D$5:$D$639,$D329)=0,J329*SUMIFS(J$5:J$639,$A$5:$A$639,$A329,$C$5:$C$639,$C329-1,$D$5:$D$639,$D329)&lt;0),"n.s.",ABS(J329)/ABS(SUMIFS(J$5:J$639,$A$5:$A$639,$A329,$C$5:$C$639,$C329-1,$D$5:$D$639,$D329))-1)))</f>
        <v/>
      </c>
      <c r="S329" s="16">
        <f>IF(OR($A329="",K329="",$C329=""),"",IF(COUNTIFS($A$5:$A$639,$A329,$C$5:$C$639,$C329-1,$D$5:$D$639,$D329,K$5:K$639,"&lt;&gt;")=0,"",IF(OR(SUMIFS(K$5:K$639,$A$5:$A$639,$A329,$C$5:$C$639,$C329-1,$D$5:$D$639,$D329)=0,K329*SUMIFS(K$5:K$639,$A$5:$A$639,$A329,$C$5:$C$639,$C329-1,$D$5:$D$639,$D329)&lt;0),"n.s.",ABS(K329)/ABS(SUMIFS(K$5:K$639,$A$5:$A$639,$A329,$C$5:$C$639,$C329-1,$D$5:$D$639,$D329))-1)))</f>
        <v/>
      </c>
      <c r="T329" s="16">
        <f>IF(OR($A329="",L329="",$C329=""),"",IF(COUNTIFS($A$5:$A$639,$A329,$C$5:$C$639,$C329-1,$D$5:$D$639,$D329,L$5:L$639,"&lt;&gt;")=0,"",IF(OR(SUMIFS(L$5:L$639,$A$5:$A$639,$A329,$C$5:$C$639,$C329-1,$D$5:$D$639,$D329)=0,L329*SUMIFS(L$5:L$639,$A$5:$A$639,$A329,$C$5:$C$639,$C329-1,$D$5:$D$639,$D329)&lt;0),"n.s.",ABS(L329)/ABS(SUMIFS(L$5:L$639,$A$5:$A$639,$A329,$C$5:$C$639,$C329-1,$D$5:$D$639,$D329))-1)))</f>
        <v/>
      </c>
      <c r="U329" s="16">
        <f>IF(OR($A329="",M329="",$C329=""),"",IF(COUNTIFS($A$5:$A$639,$A329,$C$5:$C$639,$C329-1,$D$5:$D$639,$D329,M$5:M$639,"&lt;&gt;")=0,"",IF(OR(SUMIFS(M$5:M$639,$A$5:$A$639,$A329,$C$5:$C$639,$C329-1,$D$5:$D$639,$D329)=0,M329*SUMIFS(M$5:M$639,$A$5:$A$639,$A329,$C$5:$C$639,$C329-1,$D$5:$D$639,$D329)&lt;0),"n.s.",ABS(M329)/ABS(SUMIFS(M$5:M$639,$A$5:$A$639,$A329,$C$5:$C$639,$C329-1,$D$5:$D$639,$D329))-1)))</f>
        <v/>
      </c>
    </row>
    <row r="330">
      <c r="A330" s="9" t="inlineStr">
        <is>
          <t>SDSC</t>
        </is>
      </c>
      <c r="B330" s="10">
        <f>IF(A330="","",IFERROR(VLOOKUP(A330,Titres!$A$2:$B$400,2,FALSE),"Ticker inconnu"))</f>
        <v/>
      </c>
      <c r="C330" s="11" t="n">
        <v>2021</v>
      </c>
      <c r="D330" s="11" t="inlineStr">
        <is>
          <t>S1</t>
        </is>
      </c>
      <c r="E330" s="9" t="n"/>
      <c r="F330" s="12" t="n"/>
      <c r="G330" s="9" t="n"/>
      <c r="H330" s="13" t="n"/>
      <c r="I330" s="13" t="n"/>
      <c r="J330" s="13" t="n"/>
      <c r="K330" s="13" t="n"/>
      <c r="L330" s="13" t="n"/>
      <c r="M330" s="13" t="n"/>
      <c r="N330" s="14">
        <f>IF(A330="","",COUNT(H330:M330)/6)</f>
        <v/>
      </c>
      <c r="O330" s="15">
        <f>IF(COUNT(H330:M330)=0,"",IF(LEN(IF(COUNT(I330,J330)=2,IF(J330&gt;I330+1,"EBE &gt; VA ",""),"")&amp;IF(COUNT(H330,M330)=2,IF(ABS(M330)&gt;ABS(H330),"RN &gt; CA ",""),"")&amp;IF(COUNT(H330,K330)=2,IF(ABS(K330)&gt;ABS(H330),"RE &gt; CA ",""),""))=0,"OK",IF(COUNT(I330,J330)=2,IF(J330&gt;I330+1,"EBE &gt; VA ",""),"")&amp;IF(COUNT(H330,M330)=2,IF(ABS(M330)&gt;ABS(H330),"RN &gt; CA ",""),"")&amp;IF(COUNT(H330,K330)=2,IF(ABS(K330)&gt;ABS(H330),"RE &gt; CA ",""),"")))</f>
        <v/>
      </c>
      <c r="P330" s="16">
        <f>IF(OR($A330="",H330="",$C330=""),"",IF(COUNTIFS($A$5:$A$639,$A330,$C$5:$C$639,$C330-1,$D$5:$D$639,$D330,H$5:H$639,"&lt;&gt;")=0,"",IF(OR(SUMIFS(H$5:H$639,$A$5:$A$639,$A330,$C$5:$C$639,$C330-1,$D$5:$D$639,$D330)=0,H330*SUMIFS(H$5:H$639,$A$5:$A$639,$A330,$C$5:$C$639,$C330-1,$D$5:$D$639,$D330)&lt;0),"n.s.",ABS(H330)/ABS(SUMIFS(H$5:H$639,$A$5:$A$639,$A330,$C$5:$C$639,$C330-1,$D$5:$D$639,$D330))-1)))</f>
        <v/>
      </c>
      <c r="Q330" s="16">
        <f>IF(OR($A330="",I330="",$C330=""),"",IF(COUNTIFS($A$5:$A$639,$A330,$C$5:$C$639,$C330-1,$D$5:$D$639,$D330,I$5:I$639,"&lt;&gt;")=0,"",IF(OR(SUMIFS(I$5:I$639,$A$5:$A$639,$A330,$C$5:$C$639,$C330-1,$D$5:$D$639,$D330)=0,I330*SUMIFS(I$5:I$639,$A$5:$A$639,$A330,$C$5:$C$639,$C330-1,$D$5:$D$639,$D330)&lt;0),"n.s.",ABS(I330)/ABS(SUMIFS(I$5:I$639,$A$5:$A$639,$A330,$C$5:$C$639,$C330-1,$D$5:$D$639,$D330))-1)))</f>
        <v/>
      </c>
      <c r="R330" s="16">
        <f>IF(OR($A330="",J330="",$C330=""),"",IF(COUNTIFS($A$5:$A$639,$A330,$C$5:$C$639,$C330-1,$D$5:$D$639,$D330,J$5:J$639,"&lt;&gt;")=0,"",IF(OR(SUMIFS(J$5:J$639,$A$5:$A$639,$A330,$C$5:$C$639,$C330-1,$D$5:$D$639,$D330)=0,J330*SUMIFS(J$5:J$639,$A$5:$A$639,$A330,$C$5:$C$639,$C330-1,$D$5:$D$639,$D330)&lt;0),"n.s.",ABS(J330)/ABS(SUMIFS(J$5:J$639,$A$5:$A$639,$A330,$C$5:$C$639,$C330-1,$D$5:$D$639,$D330))-1)))</f>
        <v/>
      </c>
      <c r="S330" s="16">
        <f>IF(OR($A330="",K330="",$C330=""),"",IF(COUNTIFS($A$5:$A$639,$A330,$C$5:$C$639,$C330-1,$D$5:$D$639,$D330,K$5:K$639,"&lt;&gt;")=0,"",IF(OR(SUMIFS(K$5:K$639,$A$5:$A$639,$A330,$C$5:$C$639,$C330-1,$D$5:$D$639,$D330)=0,K330*SUMIFS(K$5:K$639,$A$5:$A$639,$A330,$C$5:$C$639,$C330-1,$D$5:$D$639,$D330)&lt;0),"n.s.",ABS(K330)/ABS(SUMIFS(K$5:K$639,$A$5:$A$639,$A330,$C$5:$C$639,$C330-1,$D$5:$D$639,$D330))-1)))</f>
        <v/>
      </c>
      <c r="T330" s="16">
        <f>IF(OR($A330="",L330="",$C330=""),"",IF(COUNTIFS($A$5:$A$639,$A330,$C$5:$C$639,$C330-1,$D$5:$D$639,$D330,L$5:L$639,"&lt;&gt;")=0,"",IF(OR(SUMIFS(L$5:L$639,$A$5:$A$639,$A330,$C$5:$C$639,$C330-1,$D$5:$D$639,$D330)=0,L330*SUMIFS(L$5:L$639,$A$5:$A$639,$A330,$C$5:$C$639,$C330-1,$D$5:$D$639,$D330)&lt;0),"n.s.",ABS(L330)/ABS(SUMIFS(L$5:L$639,$A$5:$A$639,$A330,$C$5:$C$639,$C330-1,$D$5:$D$639,$D330))-1)))</f>
        <v/>
      </c>
      <c r="U330" s="16">
        <f>IF(OR($A330="",M330="",$C330=""),"",IF(COUNTIFS($A$5:$A$639,$A330,$C$5:$C$639,$C330-1,$D$5:$D$639,$D330,M$5:M$639,"&lt;&gt;")=0,"",IF(OR(SUMIFS(M$5:M$639,$A$5:$A$639,$A330,$C$5:$C$639,$C330-1,$D$5:$D$639,$D330)=0,M330*SUMIFS(M$5:M$639,$A$5:$A$639,$A330,$C$5:$C$639,$C330-1,$D$5:$D$639,$D330)&lt;0),"n.s.",ABS(M330)/ABS(SUMIFS(M$5:M$639,$A$5:$A$639,$A330,$C$5:$C$639,$C330-1,$D$5:$D$639,$D330))-1)))</f>
        <v/>
      </c>
    </row>
    <row r="331">
      <c r="A331" s="9" t="inlineStr">
        <is>
          <t>SDSC</t>
        </is>
      </c>
      <c r="B331" s="10">
        <f>IF(A331="","",IFERROR(VLOOKUP(A331,Titres!$A$2:$B$400,2,FALSE),"Ticker inconnu"))</f>
        <v/>
      </c>
      <c r="C331" s="11" t="n">
        <v>2021</v>
      </c>
      <c r="D331" s="11" t="inlineStr">
        <is>
          <t>T3</t>
        </is>
      </c>
      <c r="E331" s="9" t="n"/>
      <c r="F331" s="12" t="n"/>
      <c r="G331" s="9" t="n"/>
      <c r="H331" s="13" t="n"/>
      <c r="I331" s="13" t="n"/>
      <c r="J331" s="13" t="n"/>
      <c r="K331" s="13" t="n"/>
      <c r="L331" s="13" t="n"/>
      <c r="M331" s="13" t="n"/>
      <c r="N331" s="14">
        <f>IF(A331="","",COUNT(H331:M331)/6)</f>
        <v/>
      </c>
      <c r="O331" s="15">
        <f>IF(COUNT(H331:M331)=0,"",IF(LEN(IF(COUNT(I331,J331)=2,IF(J331&gt;I331+1,"EBE &gt; VA ",""),"")&amp;IF(COUNT(H331,M331)=2,IF(ABS(M331)&gt;ABS(H331),"RN &gt; CA ",""),"")&amp;IF(COUNT(H331,K331)=2,IF(ABS(K331)&gt;ABS(H331),"RE &gt; CA ",""),""))=0,"OK",IF(COUNT(I331,J331)=2,IF(J331&gt;I331+1,"EBE &gt; VA ",""),"")&amp;IF(COUNT(H331,M331)=2,IF(ABS(M331)&gt;ABS(H331),"RN &gt; CA ",""),"")&amp;IF(COUNT(H331,K331)=2,IF(ABS(K331)&gt;ABS(H331),"RE &gt; CA ",""),"")))</f>
        <v/>
      </c>
      <c r="P331" s="16">
        <f>IF(OR($A331="",H331="",$C331=""),"",IF(COUNTIFS($A$5:$A$639,$A331,$C$5:$C$639,$C331-1,$D$5:$D$639,$D331,H$5:H$639,"&lt;&gt;")=0,"",IF(OR(SUMIFS(H$5:H$639,$A$5:$A$639,$A331,$C$5:$C$639,$C331-1,$D$5:$D$639,$D331)=0,H331*SUMIFS(H$5:H$639,$A$5:$A$639,$A331,$C$5:$C$639,$C331-1,$D$5:$D$639,$D331)&lt;0),"n.s.",ABS(H331)/ABS(SUMIFS(H$5:H$639,$A$5:$A$639,$A331,$C$5:$C$639,$C331-1,$D$5:$D$639,$D331))-1)))</f>
        <v/>
      </c>
      <c r="Q331" s="16">
        <f>IF(OR($A331="",I331="",$C331=""),"",IF(COUNTIFS($A$5:$A$639,$A331,$C$5:$C$639,$C331-1,$D$5:$D$639,$D331,I$5:I$639,"&lt;&gt;")=0,"",IF(OR(SUMIFS(I$5:I$639,$A$5:$A$639,$A331,$C$5:$C$639,$C331-1,$D$5:$D$639,$D331)=0,I331*SUMIFS(I$5:I$639,$A$5:$A$639,$A331,$C$5:$C$639,$C331-1,$D$5:$D$639,$D331)&lt;0),"n.s.",ABS(I331)/ABS(SUMIFS(I$5:I$639,$A$5:$A$639,$A331,$C$5:$C$639,$C331-1,$D$5:$D$639,$D331))-1)))</f>
        <v/>
      </c>
      <c r="R331" s="16">
        <f>IF(OR($A331="",J331="",$C331=""),"",IF(COUNTIFS($A$5:$A$639,$A331,$C$5:$C$639,$C331-1,$D$5:$D$639,$D331,J$5:J$639,"&lt;&gt;")=0,"",IF(OR(SUMIFS(J$5:J$639,$A$5:$A$639,$A331,$C$5:$C$639,$C331-1,$D$5:$D$639,$D331)=0,J331*SUMIFS(J$5:J$639,$A$5:$A$639,$A331,$C$5:$C$639,$C331-1,$D$5:$D$639,$D331)&lt;0),"n.s.",ABS(J331)/ABS(SUMIFS(J$5:J$639,$A$5:$A$639,$A331,$C$5:$C$639,$C331-1,$D$5:$D$639,$D331))-1)))</f>
        <v/>
      </c>
      <c r="S331" s="16">
        <f>IF(OR($A331="",K331="",$C331=""),"",IF(COUNTIFS($A$5:$A$639,$A331,$C$5:$C$639,$C331-1,$D$5:$D$639,$D331,K$5:K$639,"&lt;&gt;")=0,"",IF(OR(SUMIFS(K$5:K$639,$A$5:$A$639,$A331,$C$5:$C$639,$C331-1,$D$5:$D$639,$D331)=0,K331*SUMIFS(K$5:K$639,$A$5:$A$639,$A331,$C$5:$C$639,$C331-1,$D$5:$D$639,$D331)&lt;0),"n.s.",ABS(K331)/ABS(SUMIFS(K$5:K$639,$A$5:$A$639,$A331,$C$5:$C$639,$C331-1,$D$5:$D$639,$D331))-1)))</f>
        <v/>
      </c>
      <c r="T331" s="16">
        <f>IF(OR($A331="",L331="",$C331=""),"",IF(COUNTIFS($A$5:$A$639,$A331,$C$5:$C$639,$C331-1,$D$5:$D$639,$D331,L$5:L$639,"&lt;&gt;")=0,"",IF(OR(SUMIFS(L$5:L$639,$A$5:$A$639,$A331,$C$5:$C$639,$C331-1,$D$5:$D$639,$D331)=0,L331*SUMIFS(L$5:L$639,$A$5:$A$639,$A331,$C$5:$C$639,$C331-1,$D$5:$D$639,$D331)&lt;0),"n.s.",ABS(L331)/ABS(SUMIFS(L$5:L$639,$A$5:$A$639,$A331,$C$5:$C$639,$C331-1,$D$5:$D$639,$D331))-1)))</f>
        <v/>
      </c>
      <c r="U331" s="16">
        <f>IF(OR($A331="",M331="",$C331=""),"",IF(COUNTIFS($A$5:$A$639,$A331,$C$5:$C$639,$C331-1,$D$5:$D$639,$D331,M$5:M$639,"&lt;&gt;")=0,"",IF(OR(SUMIFS(M$5:M$639,$A$5:$A$639,$A331,$C$5:$C$639,$C331-1,$D$5:$D$639,$D331)=0,M331*SUMIFS(M$5:M$639,$A$5:$A$639,$A331,$C$5:$C$639,$C331-1,$D$5:$D$639,$D331)&lt;0),"n.s.",ABS(M331)/ABS(SUMIFS(M$5:M$639,$A$5:$A$639,$A331,$C$5:$C$639,$C331-1,$D$5:$D$639,$D331))-1)))</f>
        <v/>
      </c>
    </row>
    <row r="332">
      <c r="A332" s="9" t="inlineStr">
        <is>
          <t>SDSC</t>
        </is>
      </c>
      <c r="B332" s="10">
        <f>IF(A332="","",IFERROR(VLOOKUP(A332,Titres!$A$2:$B$400,2,FALSE),"Ticker inconnu"))</f>
        <v/>
      </c>
      <c r="C332" s="11" t="n">
        <v>2022</v>
      </c>
      <c r="D332" s="11" t="inlineStr">
        <is>
          <t>T1</t>
        </is>
      </c>
      <c r="E332" s="9" t="n"/>
      <c r="F332" s="12" t="n"/>
      <c r="G332" s="9" t="n"/>
      <c r="H332" s="13" t="n"/>
      <c r="I332" s="13" t="n"/>
      <c r="J332" s="13" t="n"/>
      <c r="K332" s="13" t="n"/>
      <c r="L332" s="13" t="n"/>
      <c r="M332" s="13" t="n"/>
      <c r="N332" s="14">
        <f>IF(A332="","",COUNT(H332:M332)/6)</f>
        <v/>
      </c>
      <c r="O332" s="15">
        <f>IF(COUNT(H332:M332)=0,"",IF(LEN(IF(COUNT(I332,J332)=2,IF(J332&gt;I332+1,"EBE &gt; VA ",""),"")&amp;IF(COUNT(H332,M332)=2,IF(ABS(M332)&gt;ABS(H332),"RN &gt; CA ",""),"")&amp;IF(COUNT(H332,K332)=2,IF(ABS(K332)&gt;ABS(H332),"RE &gt; CA ",""),""))=0,"OK",IF(COUNT(I332,J332)=2,IF(J332&gt;I332+1,"EBE &gt; VA ",""),"")&amp;IF(COUNT(H332,M332)=2,IF(ABS(M332)&gt;ABS(H332),"RN &gt; CA ",""),"")&amp;IF(COUNT(H332,K332)=2,IF(ABS(K332)&gt;ABS(H332),"RE &gt; CA ",""),"")))</f>
        <v/>
      </c>
      <c r="P332" s="16">
        <f>IF(OR($A332="",H332="",$C332=""),"",IF(COUNTIFS($A$5:$A$639,$A332,$C$5:$C$639,$C332-1,$D$5:$D$639,$D332,H$5:H$639,"&lt;&gt;")=0,"",IF(OR(SUMIFS(H$5:H$639,$A$5:$A$639,$A332,$C$5:$C$639,$C332-1,$D$5:$D$639,$D332)=0,H332*SUMIFS(H$5:H$639,$A$5:$A$639,$A332,$C$5:$C$639,$C332-1,$D$5:$D$639,$D332)&lt;0),"n.s.",ABS(H332)/ABS(SUMIFS(H$5:H$639,$A$5:$A$639,$A332,$C$5:$C$639,$C332-1,$D$5:$D$639,$D332))-1)))</f>
        <v/>
      </c>
      <c r="Q332" s="16">
        <f>IF(OR($A332="",I332="",$C332=""),"",IF(COUNTIFS($A$5:$A$639,$A332,$C$5:$C$639,$C332-1,$D$5:$D$639,$D332,I$5:I$639,"&lt;&gt;")=0,"",IF(OR(SUMIFS(I$5:I$639,$A$5:$A$639,$A332,$C$5:$C$639,$C332-1,$D$5:$D$639,$D332)=0,I332*SUMIFS(I$5:I$639,$A$5:$A$639,$A332,$C$5:$C$639,$C332-1,$D$5:$D$639,$D332)&lt;0),"n.s.",ABS(I332)/ABS(SUMIFS(I$5:I$639,$A$5:$A$639,$A332,$C$5:$C$639,$C332-1,$D$5:$D$639,$D332))-1)))</f>
        <v/>
      </c>
      <c r="R332" s="16">
        <f>IF(OR($A332="",J332="",$C332=""),"",IF(COUNTIFS($A$5:$A$639,$A332,$C$5:$C$639,$C332-1,$D$5:$D$639,$D332,J$5:J$639,"&lt;&gt;")=0,"",IF(OR(SUMIFS(J$5:J$639,$A$5:$A$639,$A332,$C$5:$C$639,$C332-1,$D$5:$D$639,$D332)=0,J332*SUMIFS(J$5:J$639,$A$5:$A$639,$A332,$C$5:$C$639,$C332-1,$D$5:$D$639,$D332)&lt;0),"n.s.",ABS(J332)/ABS(SUMIFS(J$5:J$639,$A$5:$A$639,$A332,$C$5:$C$639,$C332-1,$D$5:$D$639,$D332))-1)))</f>
        <v/>
      </c>
      <c r="S332" s="16">
        <f>IF(OR($A332="",K332="",$C332=""),"",IF(COUNTIFS($A$5:$A$639,$A332,$C$5:$C$639,$C332-1,$D$5:$D$639,$D332,K$5:K$639,"&lt;&gt;")=0,"",IF(OR(SUMIFS(K$5:K$639,$A$5:$A$639,$A332,$C$5:$C$639,$C332-1,$D$5:$D$639,$D332)=0,K332*SUMIFS(K$5:K$639,$A$5:$A$639,$A332,$C$5:$C$639,$C332-1,$D$5:$D$639,$D332)&lt;0),"n.s.",ABS(K332)/ABS(SUMIFS(K$5:K$639,$A$5:$A$639,$A332,$C$5:$C$639,$C332-1,$D$5:$D$639,$D332))-1)))</f>
        <v/>
      </c>
      <c r="T332" s="16">
        <f>IF(OR($A332="",L332="",$C332=""),"",IF(COUNTIFS($A$5:$A$639,$A332,$C$5:$C$639,$C332-1,$D$5:$D$639,$D332,L$5:L$639,"&lt;&gt;")=0,"",IF(OR(SUMIFS(L$5:L$639,$A$5:$A$639,$A332,$C$5:$C$639,$C332-1,$D$5:$D$639,$D332)=0,L332*SUMIFS(L$5:L$639,$A$5:$A$639,$A332,$C$5:$C$639,$C332-1,$D$5:$D$639,$D332)&lt;0),"n.s.",ABS(L332)/ABS(SUMIFS(L$5:L$639,$A$5:$A$639,$A332,$C$5:$C$639,$C332-1,$D$5:$D$639,$D332))-1)))</f>
        <v/>
      </c>
      <c r="U332" s="16">
        <f>IF(OR($A332="",M332="",$C332=""),"",IF(COUNTIFS($A$5:$A$639,$A332,$C$5:$C$639,$C332-1,$D$5:$D$639,$D332,M$5:M$639,"&lt;&gt;")=0,"",IF(OR(SUMIFS(M$5:M$639,$A$5:$A$639,$A332,$C$5:$C$639,$C332-1,$D$5:$D$639,$D332)=0,M332*SUMIFS(M$5:M$639,$A$5:$A$639,$A332,$C$5:$C$639,$C332-1,$D$5:$D$639,$D332)&lt;0),"n.s.",ABS(M332)/ABS(SUMIFS(M$5:M$639,$A$5:$A$639,$A332,$C$5:$C$639,$C332-1,$D$5:$D$639,$D332))-1)))</f>
        <v/>
      </c>
    </row>
    <row r="333">
      <c r="A333" s="9" t="inlineStr">
        <is>
          <t>SDSC</t>
        </is>
      </c>
      <c r="B333" s="10">
        <f>IF(A333="","",IFERROR(VLOOKUP(A333,Titres!$A$2:$B$400,2,FALSE),"Ticker inconnu"))</f>
        <v/>
      </c>
      <c r="C333" s="11" t="n">
        <v>2022</v>
      </c>
      <c r="D333" s="11" t="inlineStr">
        <is>
          <t>S1</t>
        </is>
      </c>
      <c r="E333" s="9" t="n"/>
      <c r="F333" s="12" t="n"/>
      <c r="G333" s="9" t="n"/>
      <c r="H333" s="13" t="n"/>
      <c r="I333" s="13" t="n"/>
      <c r="J333" s="13" t="n"/>
      <c r="K333" s="13" t="n"/>
      <c r="L333" s="13" t="n"/>
      <c r="M333" s="13" t="n"/>
      <c r="N333" s="14">
        <f>IF(A333="","",COUNT(H333:M333)/6)</f>
        <v/>
      </c>
      <c r="O333" s="15">
        <f>IF(COUNT(H333:M333)=0,"",IF(LEN(IF(COUNT(I333,J333)=2,IF(J333&gt;I333+1,"EBE &gt; VA ",""),"")&amp;IF(COUNT(H333,M333)=2,IF(ABS(M333)&gt;ABS(H333),"RN &gt; CA ",""),"")&amp;IF(COUNT(H333,K333)=2,IF(ABS(K333)&gt;ABS(H333),"RE &gt; CA ",""),""))=0,"OK",IF(COUNT(I333,J333)=2,IF(J333&gt;I333+1,"EBE &gt; VA ",""),"")&amp;IF(COUNT(H333,M333)=2,IF(ABS(M333)&gt;ABS(H333),"RN &gt; CA ",""),"")&amp;IF(COUNT(H333,K333)=2,IF(ABS(K333)&gt;ABS(H333),"RE &gt; CA ",""),"")))</f>
        <v/>
      </c>
      <c r="P333" s="16">
        <f>IF(OR($A333="",H333="",$C333=""),"",IF(COUNTIFS($A$5:$A$639,$A333,$C$5:$C$639,$C333-1,$D$5:$D$639,$D333,H$5:H$639,"&lt;&gt;")=0,"",IF(OR(SUMIFS(H$5:H$639,$A$5:$A$639,$A333,$C$5:$C$639,$C333-1,$D$5:$D$639,$D333)=0,H333*SUMIFS(H$5:H$639,$A$5:$A$639,$A333,$C$5:$C$639,$C333-1,$D$5:$D$639,$D333)&lt;0),"n.s.",ABS(H333)/ABS(SUMIFS(H$5:H$639,$A$5:$A$639,$A333,$C$5:$C$639,$C333-1,$D$5:$D$639,$D333))-1)))</f>
        <v/>
      </c>
      <c r="Q333" s="16">
        <f>IF(OR($A333="",I333="",$C333=""),"",IF(COUNTIFS($A$5:$A$639,$A333,$C$5:$C$639,$C333-1,$D$5:$D$639,$D333,I$5:I$639,"&lt;&gt;")=0,"",IF(OR(SUMIFS(I$5:I$639,$A$5:$A$639,$A333,$C$5:$C$639,$C333-1,$D$5:$D$639,$D333)=0,I333*SUMIFS(I$5:I$639,$A$5:$A$639,$A333,$C$5:$C$639,$C333-1,$D$5:$D$639,$D333)&lt;0),"n.s.",ABS(I333)/ABS(SUMIFS(I$5:I$639,$A$5:$A$639,$A333,$C$5:$C$639,$C333-1,$D$5:$D$639,$D333))-1)))</f>
        <v/>
      </c>
      <c r="R333" s="16">
        <f>IF(OR($A333="",J333="",$C333=""),"",IF(COUNTIFS($A$5:$A$639,$A333,$C$5:$C$639,$C333-1,$D$5:$D$639,$D333,J$5:J$639,"&lt;&gt;")=0,"",IF(OR(SUMIFS(J$5:J$639,$A$5:$A$639,$A333,$C$5:$C$639,$C333-1,$D$5:$D$639,$D333)=0,J333*SUMIFS(J$5:J$639,$A$5:$A$639,$A333,$C$5:$C$639,$C333-1,$D$5:$D$639,$D333)&lt;0),"n.s.",ABS(J333)/ABS(SUMIFS(J$5:J$639,$A$5:$A$639,$A333,$C$5:$C$639,$C333-1,$D$5:$D$639,$D333))-1)))</f>
        <v/>
      </c>
      <c r="S333" s="16">
        <f>IF(OR($A333="",K333="",$C333=""),"",IF(COUNTIFS($A$5:$A$639,$A333,$C$5:$C$639,$C333-1,$D$5:$D$639,$D333,K$5:K$639,"&lt;&gt;")=0,"",IF(OR(SUMIFS(K$5:K$639,$A$5:$A$639,$A333,$C$5:$C$639,$C333-1,$D$5:$D$639,$D333)=0,K333*SUMIFS(K$5:K$639,$A$5:$A$639,$A333,$C$5:$C$639,$C333-1,$D$5:$D$639,$D333)&lt;0),"n.s.",ABS(K333)/ABS(SUMIFS(K$5:K$639,$A$5:$A$639,$A333,$C$5:$C$639,$C333-1,$D$5:$D$639,$D333))-1)))</f>
        <v/>
      </c>
      <c r="T333" s="16">
        <f>IF(OR($A333="",L333="",$C333=""),"",IF(COUNTIFS($A$5:$A$639,$A333,$C$5:$C$639,$C333-1,$D$5:$D$639,$D333,L$5:L$639,"&lt;&gt;")=0,"",IF(OR(SUMIFS(L$5:L$639,$A$5:$A$639,$A333,$C$5:$C$639,$C333-1,$D$5:$D$639,$D333)=0,L333*SUMIFS(L$5:L$639,$A$5:$A$639,$A333,$C$5:$C$639,$C333-1,$D$5:$D$639,$D333)&lt;0),"n.s.",ABS(L333)/ABS(SUMIFS(L$5:L$639,$A$5:$A$639,$A333,$C$5:$C$639,$C333-1,$D$5:$D$639,$D333))-1)))</f>
        <v/>
      </c>
      <c r="U333" s="16">
        <f>IF(OR($A333="",M333="",$C333=""),"",IF(COUNTIFS($A$5:$A$639,$A333,$C$5:$C$639,$C333-1,$D$5:$D$639,$D333,M$5:M$639,"&lt;&gt;")=0,"",IF(OR(SUMIFS(M$5:M$639,$A$5:$A$639,$A333,$C$5:$C$639,$C333-1,$D$5:$D$639,$D333)=0,M333*SUMIFS(M$5:M$639,$A$5:$A$639,$A333,$C$5:$C$639,$C333-1,$D$5:$D$639,$D333)&lt;0),"n.s.",ABS(M333)/ABS(SUMIFS(M$5:M$639,$A$5:$A$639,$A333,$C$5:$C$639,$C333-1,$D$5:$D$639,$D333))-1)))</f>
        <v/>
      </c>
    </row>
    <row r="334">
      <c r="A334" s="9" t="inlineStr">
        <is>
          <t>SDSC</t>
        </is>
      </c>
      <c r="B334" s="10">
        <f>IF(A334="","",IFERROR(VLOOKUP(A334,Titres!$A$2:$B$400,2,FALSE),"Ticker inconnu"))</f>
        <v/>
      </c>
      <c r="C334" s="11" t="n">
        <v>2022</v>
      </c>
      <c r="D334" s="11" t="inlineStr">
        <is>
          <t>T3</t>
        </is>
      </c>
      <c r="E334" s="9" t="n"/>
      <c r="F334" s="12" t="n"/>
      <c r="G334" s="9" t="n"/>
      <c r="H334" s="13" t="n"/>
      <c r="I334" s="13" t="n"/>
      <c r="J334" s="13" t="n"/>
      <c r="K334" s="13" t="n"/>
      <c r="L334" s="13" t="n"/>
      <c r="M334" s="13" t="n"/>
      <c r="N334" s="14">
        <f>IF(A334="","",COUNT(H334:M334)/6)</f>
        <v/>
      </c>
      <c r="O334" s="15">
        <f>IF(COUNT(H334:M334)=0,"",IF(LEN(IF(COUNT(I334,J334)=2,IF(J334&gt;I334+1,"EBE &gt; VA ",""),"")&amp;IF(COUNT(H334,M334)=2,IF(ABS(M334)&gt;ABS(H334),"RN &gt; CA ",""),"")&amp;IF(COUNT(H334,K334)=2,IF(ABS(K334)&gt;ABS(H334),"RE &gt; CA ",""),""))=0,"OK",IF(COUNT(I334,J334)=2,IF(J334&gt;I334+1,"EBE &gt; VA ",""),"")&amp;IF(COUNT(H334,M334)=2,IF(ABS(M334)&gt;ABS(H334),"RN &gt; CA ",""),"")&amp;IF(COUNT(H334,K334)=2,IF(ABS(K334)&gt;ABS(H334),"RE &gt; CA ",""),"")))</f>
        <v/>
      </c>
      <c r="P334" s="16">
        <f>IF(OR($A334="",H334="",$C334=""),"",IF(COUNTIFS($A$5:$A$639,$A334,$C$5:$C$639,$C334-1,$D$5:$D$639,$D334,H$5:H$639,"&lt;&gt;")=0,"",IF(OR(SUMIFS(H$5:H$639,$A$5:$A$639,$A334,$C$5:$C$639,$C334-1,$D$5:$D$639,$D334)=0,H334*SUMIFS(H$5:H$639,$A$5:$A$639,$A334,$C$5:$C$639,$C334-1,$D$5:$D$639,$D334)&lt;0),"n.s.",ABS(H334)/ABS(SUMIFS(H$5:H$639,$A$5:$A$639,$A334,$C$5:$C$639,$C334-1,$D$5:$D$639,$D334))-1)))</f>
        <v/>
      </c>
      <c r="Q334" s="16">
        <f>IF(OR($A334="",I334="",$C334=""),"",IF(COUNTIFS($A$5:$A$639,$A334,$C$5:$C$639,$C334-1,$D$5:$D$639,$D334,I$5:I$639,"&lt;&gt;")=0,"",IF(OR(SUMIFS(I$5:I$639,$A$5:$A$639,$A334,$C$5:$C$639,$C334-1,$D$5:$D$639,$D334)=0,I334*SUMIFS(I$5:I$639,$A$5:$A$639,$A334,$C$5:$C$639,$C334-1,$D$5:$D$639,$D334)&lt;0),"n.s.",ABS(I334)/ABS(SUMIFS(I$5:I$639,$A$5:$A$639,$A334,$C$5:$C$639,$C334-1,$D$5:$D$639,$D334))-1)))</f>
        <v/>
      </c>
      <c r="R334" s="16">
        <f>IF(OR($A334="",J334="",$C334=""),"",IF(COUNTIFS($A$5:$A$639,$A334,$C$5:$C$639,$C334-1,$D$5:$D$639,$D334,J$5:J$639,"&lt;&gt;")=0,"",IF(OR(SUMIFS(J$5:J$639,$A$5:$A$639,$A334,$C$5:$C$639,$C334-1,$D$5:$D$639,$D334)=0,J334*SUMIFS(J$5:J$639,$A$5:$A$639,$A334,$C$5:$C$639,$C334-1,$D$5:$D$639,$D334)&lt;0),"n.s.",ABS(J334)/ABS(SUMIFS(J$5:J$639,$A$5:$A$639,$A334,$C$5:$C$639,$C334-1,$D$5:$D$639,$D334))-1)))</f>
        <v/>
      </c>
      <c r="S334" s="16">
        <f>IF(OR($A334="",K334="",$C334=""),"",IF(COUNTIFS($A$5:$A$639,$A334,$C$5:$C$639,$C334-1,$D$5:$D$639,$D334,K$5:K$639,"&lt;&gt;")=0,"",IF(OR(SUMIFS(K$5:K$639,$A$5:$A$639,$A334,$C$5:$C$639,$C334-1,$D$5:$D$639,$D334)=0,K334*SUMIFS(K$5:K$639,$A$5:$A$639,$A334,$C$5:$C$639,$C334-1,$D$5:$D$639,$D334)&lt;0),"n.s.",ABS(K334)/ABS(SUMIFS(K$5:K$639,$A$5:$A$639,$A334,$C$5:$C$639,$C334-1,$D$5:$D$639,$D334))-1)))</f>
        <v/>
      </c>
      <c r="T334" s="16">
        <f>IF(OR($A334="",L334="",$C334=""),"",IF(COUNTIFS($A$5:$A$639,$A334,$C$5:$C$639,$C334-1,$D$5:$D$639,$D334,L$5:L$639,"&lt;&gt;")=0,"",IF(OR(SUMIFS(L$5:L$639,$A$5:$A$639,$A334,$C$5:$C$639,$C334-1,$D$5:$D$639,$D334)=0,L334*SUMIFS(L$5:L$639,$A$5:$A$639,$A334,$C$5:$C$639,$C334-1,$D$5:$D$639,$D334)&lt;0),"n.s.",ABS(L334)/ABS(SUMIFS(L$5:L$639,$A$5:$A$639,$A334,$C$5:$C$639,$C334-1,$D$5:$D$639,$D334))-1)))</f>
        <v/>
      </c>
      <c r="U334" s="16">
        <f>IF(OR($A334="",M334="",$C334=""),"",IF(COUNTIFS($A$5:$A$639,$A334,$C$5:$C$639,$C334-1,$D$5:$D$639,$D334,M$5:M$639,"&lt;&gt;")=0,"",IF(OR(SUMIFS(M$5:M$639,$A$5:$A$639,$A334,$C$5:$C$639,$C334-1,$D$5:$D$639,$D334)=0,M334*SUMIFS(M$5:M$639,$A$5:$A$639,$A334,$C$5:$C$639,$C334-1,$D$5:$D$639,$D334)&lt;0),"n.s.",ABS(M334)/ABS(SUMIFS(M$5:M$639,$A$5:$A$639,$A334,$C$5:$C$639,$C334-1,$D$5:$D$639,$D334))-1)))</f>
        <v/>
      </c>
    </row>
    <row r="335">
      <c r="A335" s="9" t="inlineStr">
        <is>
          <t>SDSC</t>
        </is>
      </c>
      <c r="B335" s="10">
        <f>IF(A335="","",IFERROR(VLOOKUP(A335,Titres!$A$2:$B$400,2,FALSE),"Ticker inconnu"))</f>
        <v/>
      </c>
      <c r="C335" s="11" t="n">
        <v>2023</v>
      </c>
      <c r="D335" s="11" t="inlineStr">
        <is>
          <t>T1</t>
        </is>
      </c>
      <c r="E335" s="9" t="n"/>
      <c r="F335" s="12" t="n"/>
      <c r="G335" s="9" t="n"/>
      <c r="H335" s="13" t="n"/>
      <c r="I335" s="13" t="n"/>
      <c r="J335" s="13" t="n"/>
      <c r="K335" s="13" t="n"/>
      <c r="L335" s="13" t="n"/>
      <c r="M335" s="13" t="n"/>
      <c r="N335" s="14">
        <f>IF(A335="","",COUNT(H335:M335)/6)</f>
        <v/>
      </c>
      <c r="O335" s="15">
        <f>IF(COUNT(H335:M335)=0,"",IF(LEN(IF(COUNT(I335,J335)=2,IF(J335&gt;I335+1,"EBE &gt; VA ",""),"")&amp;IF(COUNT(H335,M335)=2,IF(ABS(M335)&gt;ABS(H335),"RN &gt; CA ",""),"")&amp;IF(COUNT(H335,K335)=2,IF(ABS(K335)&gt;ABS(H335),"RE &gt; CA ",""),""))=0,"OK",IF(COUNT(I335,J335)=2,IF(J335&gt;I335+1,"EBE &gt; VA ",""),"")&amp;IF(COUNT(H335,M335)=2,IF(ABS(M335)&gt;ABS(H335),"RN &gt; CA ",""),"")&amp;IF(COUNT(H335,K335)=2,IF(ABS(K335)&gt;ABS(H335),"RE &gt; CA ",""),"")))</f>
        <v/>
      </c>
      <c r="P335" s="16">
        <f>IF(OR($A335="",H335="",$C335=""),"",IF(COUNTIFS($A$5:$A$639,$A335,$C$5:$C$639,$C335-1,$D$5:$D$639,$D335,H$5:H$639,"&lt;&gt;")=0,"",IF(OR(SUMIFS(H$5:H$639,$A$5:$A$639,$A335,$C$5:$C$639,$C335-1,$D$5:$D$639,$D335)=0,H335*SUMIFS(H$5:H$639,$A$5:$A$639,$A335,$C$5:$C$639,$C335-1,$D$5:$D$639,$D335)&lt;0),"n.s.",ABS(H335)/ABS(SUMIFS(H$5:H$639,$A$5:$A$639,$A335,$C$5:$C$639,$C335-1,$D$5:$D$639,$D335))-1)))</f>
        <v/>
      </c>
      <c r="Q335" s="16">
        <f>IF(OR($A335="",I335="",$C335=""),"",IF(COUNTIFS($A$5:$A$639,$A335,$C$5:$C$639,$C335-1,$D$5:$D$639,$D335,I$5:I$639,"&lt;&gt;")=0,"",IF(OR(SUMIFS(I$5:I$639,$A$5:$A$639,$A335,$C$5:$C$639,$C335-1,$D$5:$D$639,$D335)=0,I335*SUMIFS(I$5:I$639,$A$5:$A$639,$A335,$C$5:$C$639,$C335-1,$D$5:$D$639,$D335)&lt;0),"n.s.",ABS(I335)/ABS(SUMIFS(I$5:I$639,$A$5:$A$639,$A335,$C$5:$C$639,$C335-1,$D$5:$D$639,$D335))-1)))</f>
        <v/>
      </c>
      <c r="R335" s="16">
        <f>IF(OR($A335="",J335="",$C335=""),"",IF(COUNTIFS($A$5:$A$639,$A335,$C$5:$C$639,$C335-1,$D$5:$D$639,$D335,J$5:J$639,"&lt;&gt;")=0,"",IF(OR(SUMIFS(J$5:J$639,$A$5:$A$639,$A335,$C$5:$C$639,$C335-1,$D$5:$D$639,$D335)=0,J335*SUMIFS(J$5:J$639,$A$5:$A$639,$A335,$C$5:$C$639,$C335-1,$D$5:$D$639,$D335)&lt;0),"n.s.",ABS(J335)/ABS(SUMIFS(J$5:J$639,$A$5:$A$639,$A335,$C$5:$C$639,$C335-1,$D$5:$D$639,$D335))-1)))</f>
        <v/>
      </c>
      <c r="S335" s="16">
        <f>IF(OR($A335="",K335="",$C335=""),"",IF(COUNTIFS($A$5:$A$639,$A335,$C$5:$C$639,$C335-1,$D$5:$D$639,$D335,K$5:K$639,"&lt;&gt;")=0,"",IF(OR(SUMIFS(K$5:K$639,$A$5:$A$639,$A335,$C$5:$C$639,$C335-1,$D$5:$D$639,$D335)=0,K335*SUMIFS(K$5:K$639,$A$5:$A$639,$A335,$C$5:$C$639,$C335-1,$D$5:$D$639,$D335)&lt;0),"n.s.",ABS(K335)/ABS(SUMIFS(K$5:K$639,$A$5:$A$639,$A335,$C$5:$C$639,$C335-1,$D$5:$D$639,$D335))-1)))</f>
        <v/>
      </c>
      <c r="T335" s="16">
        <f>IF(OR($A335="",L335="",$C335=""),"",IF(COUNTIFS($A$5:$A$639,$A335,$C$5:$C$639,$C335-1,$D$5:$D$639,$D335,L$5:L$639,"&lt;&gt;")=0,"",IF(OR(SUMIFS(L$5:L$639,$A$5:$A$639,$A335,$C$5:$C$639,$C335-1,$D$5:$D$639,$D335)=0,L335*SUMIFS(L$5:L$639,$A$5:$A$639,$A335,$C$5:$C$639,$C335-1,$D$5:$D$639,$D335)&lt;0),"n.s.",ABS(L335)/ABS(SUMIFS(L$5:L$639,$A$5:$A$639,$A335,$C$5:$C$639,$C335-1,$D$5:$D$639,$D335))-1)))</f>
        <v/>
      </c>
      <c r="U335" s="16">
        <f>IF(OR($A335="",M335="",$C335=""),"",IF(COUNTIFS($A$5:$A$639,$A335,$C$5:$C$639,$C335-1,$D$5:$D$639,$D335,M$5:M$639,"&lt;&gt;")=0,"",IF(OR(SUMIFS(M$5:M$639,$A$5:$A$639,$A335,$C$5:$C$639,$C335-1,$D$5:$D$639,$D335)=0,M335*SUMIFS(M$5:M$639,$A$5:$A$639,$A335,$C$5:$C$639,$C335-1,$D$5:$D$639,$D335)&lt;0),"n.s.",ABS(M335)/ABS(SUMIFS(M$5:M$639,$A$5:$A$639,$A335,$C$5:$C$639,$C335-1,$D$5:$D$639,$D335))-1)))</f>
        <v/>
      </c>
    </row>
    <row r="336">
      <c r="A336" s="9" t="inlineStr">
        <is>
          <t>SDSC</t>
        </is>
      </c>
      <c r="B336" s="10">
        <f>IF(A336="","",IFERROR(VLOOKUP(A336,Titres!$A$2:$B$400,2,FALSE),"Ticker inconnu"))</f>
        <v/>
      </c>
      <c r="C336" s="11" t="n">
        <v>2023</v>
      </c>
      <c r="D336" s="11" t="inlineStr">
        <is>
          <t>S1</t>
        </is>
      </c>
      <c r="E336" s="9" t="n"/>
      <c r="F336" s="12" t="n"/>
      <c r="G336" s="9" t="n"/>
      <c r="H336" s="13" t="n"/>
      <c r="I336" s="13" t="n"/>
      <c r="J336" s="13" t="n"/>
      <c r="K336" s="13" t="n"/>
      <c r="L336" s="13" t="n"/>
      <c r="M336" s="13" t="n"/>
      <c r="N336" s="14">
        <f>IF(A336="","",COUNT(H336:M336)/6)</f>
        <v/>
      </c>
      <c r="O336" s="15">
        <f>IF(COUNT(H336:M336)=0,"",IF(LEN(IF(COUNT(I336,J336)=2,IF(J336&gt;I336+1,"EBE &gt; VA ",""),"")&amp;IF(COUNT(H336,M336)=2,IF(ABS(M336)&gt;ABS(H336),"RN &gt; CA ",""),"")&amp;IF(COUNT(H336,K336)=2,IF(ABS(K336)&gt;ABS(H336),"RE &gt; CA ",""),""))=0,"OK",IF(COUNT(I336,J336)=2,IF(J336&gt;I336+1,"EBE &gt; VA ",""),"")&amp;IF(COUNT(H336,M336)=2,IF(ABS(M336)&gt;ABS(H336),"RN &gt; CA ",""),"")&amp;IF(COUNT(H336,K336)=2,IF(ABS(K336)&gt;ABS(H336),"RE &gt; CA ",""),"")))</f>
        <v/>
      </c>
      <c r="P336" s="16">
        <f>IF(OR($A336="",H336="",$C336=""),"",IF(COUNTIFS($A$5:$A$639,$A336,$C$5:$C$639,$C336-1,$D$5:$D$639,$D336,H$5:H$639,"&lt;&gt;")=0,"",IF(OR(SUMIFS(H$5:H$639,$A$5:$A$639,$A336,$C$5:$C$639,$C336-1,$D$5:$D$639,$D336)=0,H336*SUMIFS(H$5:H$639,$A$5:$A$639,$A336,$C$5:$C$639,$C336-1,$D$5:$D$639,$D336)&lt;0),"n.s.",ABS(H336)/ABS(SUMIFS(H$5:H$639,$A$5:$A$639,$A336,$C$5:$C$639,$C336-1,$D$5:$D$639,$D336))-1)))</f>
        <v/>
      </c>
      <c r="Q336" s="16">
        <f>IF(OR($A336="",I336="",$C336=""),"",IF(COUNTIFS($A$5:$A$639,$A336,$C$5:$C$639,$C336-1,$D$5:$D$639,$D336,I$5:I$639,"&lt;&gt;")=0,"",IF(OR(SUMIFS(I$5:I$639,$A$5:$A$639,$A336,$C$5:$C$639,$C336-1,$D$5:$D$639,$D336)=0,I336*SUMIFS(I$5:I$639,$A$5:$A$639,$A336,$C$5:$C$639,$C336-1,$D$5:$D$639,$D336)&lt;0),"n.s.",ABS(I336)/ABS(SUMIFS(I$5:I$639,$A$5:$A$639,$A336,$C$5:$C$639,$C336-1,$D$5:$D$639,$D336))-1)))</f>
        <v/>
      </c>
      <c r="R336" s="16">
        <f>IF(OR($A336="",J336="",$C336=""),"",IF(COUNTIFS($A$5:$A$639,$A336,$C$5:$C$639,$C336-1,$D$5:$D$639,$D336,J$5:J$639,"&lt;&gt;")=0,"",IF(OR(SUMIFS(J$5:J$639,$A$5:$A$639,$A336,$C$5:$C$639,$C336-1,$D$5:$D$639,$D336)=0,J336*SUMIFS(J$5:J$639,$A$5:$A$639,$A336,$C$5:$C$639,$C336-1,$D$5:$D$639,$D336)&lt;0),"n.s.",ABS(J336)/ABS(SUMIFS(J$5:J$639,$A$5:$A$639,$A336,$C$5:$C$639,$C336-1,$D$5:$D$639,$D336))-1)))</f>
        <v/>
      </c>
      <c r="S336" s="16">
        <f>IF(OR($A336="",K336="",$C336=""),"",IF(COUNTIFS($A$5:$A$639,$A336,$C$5:$C$639,$C336-1,$D$5:$D$639,$D336,K$5:K$639,"&lt;&gt;")=0,"",IF(OR(SUMIFS(K$5:K$639,$A$5:$A$639,$A336,$C$5:$C$639,$C336-1,$D$5:$D$639,$D336)=0,K336*SUMIFS(K$5:K$639,$A$5:$A$639,$A336,$C$5:$C$639,$C336-1,$D$5:$D$639,$D336)&lt;0),"n.s.",ABS(K336)/ABS(SUMIFS(K$5:K$639,$A$5:$A$639,$A336,$C$5:$C$639,$C336-1,$D$5:$D$639,$D336))-1)))</f>
        <v/>
      </c>
      <c r="T336" s="16">
        <f>IF(OR($A336="",L336="",$C336=""),"",IF(COUNTIFS($A$5:$A$639,$A336,$C$5:$C$639,$C336-1,$D$5:$D$639,$D336,L$5:L$639,"&lt;&gt;")=0,"",IF(OR(SUMIFS(L$5:L$639,$A$5:$A$639,$A336,$C$5:$C$639,$C336-1,$D$5:$D$639,$D336)=0,L336*SUMIFS(L$5:L$639,$A$5:$A$639,$A336,$C$5:$C$639,$C336-1,$D$5:$D$639,$D336)&lt;0),"n.s.",ABS(L336)/ABS(SUMIFS(L$5:L$639,$A$5:$A$639,$A336,$C$5:$C$639,$C336-1,$D$5:$D$639,$D336))-1)))</f>
        <v/>
      </c>
      <c r="U336" s="16">
        <f>IF(OR($A336="",M336="",$C336=""),"",IF(COUNTIFS($A$5:$A$639,$A336,$C$5:$C$639,$C336-1,$D$5:$D$639,$D336,M$5:M$639,"&lt;&gt;")=0,"",IF(OR(SUMIFS(M$5:M$639,$A$5:$A$639,$A336,$C$5:$C$639,$C336-1,$D$5:$D$639,$D336)=0,M336*SUMIFS(M$5:M$639,$A$5:$A$639,$A336,$C$5:$C$639,$C336-1,$D$5:$D$639,$D336)&lt;0),"n.s.",ABS(M336)/ABS(SUMIFS(M$5:M$639,$A$5:$A$639,$A336,$C$5:$C$639,$C336-1,$D$5:$D$639,$D336))-1)))</f>
        <v/>
      </c>
    </row>
    <row r="337">
      <c r="A337" s="9" t="inlineStr">
        <is>
          <t>SDSC</t>
        </is>
      </c>
      <c r="B337" s="10">
        <f>IF(A337="","",IFERROR(VLOOKUP(A337,Titres!$A$2:$B$400,2,FALSE),"Ticker inconnu"))</f>
        <v/>
      </c>
      <c r="C337" s="11" t="n">
        <v>2023</v>
      </c>
      <c r="D337" s="11" t="inlineStr">
        <is>
          <t>T3</t>
        </is>
      </c>
      <c r="E337" s="9" t="n"/>
      <c r="F337" s="12" t="n"/>
      <c r="G337" s="9" t="n"/>
      <c r="H337" s="13" t="n"/>
      <c r="I337" s="13" t="n"/>
      <c r="J337" s="13" t="n"/>
      <c r="K337" s="13" t="n"/>
      <c r="L337" s="13" t="n"/>
      <c r="M337" s="13" t="n"/>
      <c r="N337" s="14">
        <f>IF(A337="","",COUNT(H337:M337)/6)</f>
        <v/>
      </c>
      <c r="O337" s="15">
        <f>IF(COUNT(H337:M337)=0,"",IF(LEN(IF(COUNT(I337,J337)=2,IF(J337&gt;I337+1,"EBE &gt; VA ",""),"")&amp;IF(COUNT(H337,M337)=2,IF(ABS(M337)&gt;ABS(H337),"RN &gt; CA ",""),"")&amp;IF(COUNT(H337,K337)=2,IF(ABS(K337)&gt;ABS(H337),"RE &gt; CA ",""),""))=0,"OK",IF(COUNT(I337,J337)=2,IF(J337&gt;I337+1,"EBE &gt; VA ",""),"")&amp;IF(COUNT(H337,M337)=2,IF(ABS(M337)&gt;ABS(H337),"RN &gt; CA ",""),"")&amp;IF(COUNT(H337,K337)=2,IF(ABS(K337)&gt;ABS(H337),"RE &gt; CA ",""),"")))</f>
        <v/>
      </c>
      <c r="P337" s="16">
        <f>IF(OR($A337="",H337="",$C337=""),"",IF(COUNTIFS($A$5:$A$639,$A337,$C$5:$C$639,$C337-1,$D$5:$D$639,$D337,H$5:H$639,"&lt;&gt;")=0,"",IF(OR(SUMIFS(H$5:H$639,$A$5:$A$639,$A337,$C$5:$C$639,$C337-1,$D$5:$D$639,$D337)=0,H337*SUMIFS(H$5:H$639,$A$5:$A$639,$A337,$C$5:$C$639,$C337-1,$D$5:$D$639,$D337)&lt;0),"n.s.",ABS(H337)/ABS(SUMIFS(H$5:H$639,$A$5:$A$639,$A337,$C$5:$C$639,$C337-1,$D$5:$D$639,$D337))-1)))</f>
        <v/>
      </c>
      <c r="Q337" s="16">
        <f>IF(OR($A337="",I337="",$C337=""),"",IF(COUNTIFS($A$5:$A$639,$A337,$C$5:$C$639,$C337-1,$D$5:$D$639,$D337,I$5:I$639,"&lt;&gt;")=0,"",IF(OR(SUMIFS(I$5:I$639,$A$5:$A$639,$A337,$C$5:$C$639,$C337-1,$D$5:$D$639,$D337)=0,I337*SUMIFS(I$5:I$639,$A$5:$A$639,$A337,$C$5:$C$639,$C337-1,$D$5:$D$639,$D337)&lt;0),"n.s.",ABS(I337)/ABS(SUMIFS(I$5:I$639,$A$5:$A$639,$A337,$C$5:$C$639,$C337-1,$D$5:$D$639,$D337))-1)))</f>
        <v/>
      </c>
      <c r="R337" s="16">
        <f>IF(OR($A337="",J337="",$C337=""),"",IF(COUNTIFS($A$5:$A$639,$A337,$C$5:$C$639,$C337-1,$D$5:$D$639,$D337,J$5:J$639,"&lt;&gt;")=0,"",IF(OR(SUMIFS(J$5:J$639,$A$5:$A$639,$A337,$C$5:$C$639,$C337-1,$D$5:$D$639,$D337)=0,J337*SUMIFS(J$5:J$639,$A$5:$A$639,$A337,$C$5:$C$639,$C337-1,$D$5:$D$639,$D337)&lt;0),"n.s.",ABS(J337)/ABS(SUMIFS(J$5:J$639,$A$5:$A$639,$A337,$C$5:$C$639,$C337-1,$D$5:$D$639,$D337))-1)))</f>
        <v/>
      </c>
      <c r="S337" s="16">
        <f>IF(OR($A337="",K337="",$C337=""),"",IF(COUNTIFS($A$5:$A$639,$A337,$C$5:$C$639,$C337-1,$D$5:$D$639,$D337,K$5:K$639,"&lt;&gt;")=0,"",IF(OR(SUMIFS(K$5:K$639,$A$5:$A$639,$A337,$C$5:$C$639,$C337-1,$D$5:$D$639,$D337)=0,K337*SUMIFS(K$5:K$639,$A$5:$A$639,$A337,$C$5:$C$639,$C337-1,$D$5:$D$639,$D337)&lt;0),"n.s.",ABS(K337)/ABS(SUMIFS(K$5:K$639,$A$5:$A$639,$A337,$C$5:$C$639,$C337-1,$D$5:$D$639,$D337))-1)))</f>
        <v/>
      </c>
      <c r="T337" s="16">
        <f>IF(OR($A337="",L337="",$C337=""),"",IF(COUNTIFS($A$5:$A$639,$A337,$C$5:$C$639,$C337-1,$D$5:$D$639,$D337,L$5:L$639,"&lt;&gt;")=0,"",IF(OR(SUMIFS(L$5:L$639,$A$5:$A$639,$A337,$C$5:$C$639,$C337-1,$D$5:$D$639,$D337)=0,L337*SUMIFS(L$5:L$639,$A$5:$A$639,$A337,$C$5:$C$639,$C337-1,$D$5:$D$639,$D337)&lt;0),"n.s.",ABS(L337)/ABS(SUMIFS(L$5:L$639,$A$5:$A$639,$A337,$C$5:$C$639,$C337-1,$D$5:$D$639,$D337))-1)))</f>
        <v/>
      </c>
      <c r="U337" s="16">
        <f>IF(OR($A337="",M337="",$C337=""),"",IF(COUNTIFS($A$5:$A$639,$A337,$C$5:$C$639,$C337-1,$D$5:$D$639,$D337,M$5:M$639,"&lt;&gt;")=0,"",IF(OR(SUMIFS(M$5:M$639,$A$5:$A$639,$A337,$C$5:$C$639,$C337-1,$D$5:$D$639,$D337)=0,M337*SUMIFS(M$5:M$639,$A$5:$A$639,$A337,$C$5:$C$639,$C337-1,$D$5:$D$639,$D337)&lt;0),"n.s.",ABS(M337)/ABS(SUMIFS(M$5:M$639,$A$5:$A$639,$A337,$C$5:$C$639,$C337-1,$D$5:$D$639,$D337))-1)))</f>
        <v/>
      </c>
    </row>
    <row r="338">
      <c r="A338" s="9" t="inlineStr">
        <is>
          <t>SDSC</t>
        </is>
      </c>
      <c r="B338" s="10">
        <f>IF(A338="","",IFERROR(VLOOKUP(A338,Titres!$A$2:$B$400,2,FALSE),"Ticker inconnu"))</f>
        <v/>
      </c>
      <c r="C338" s="11" t="n">
        <v>2024</v>
      </c>
      <c r="D338" s="11" t="inlineStr">
        <is>
          <t>T1</t>
        </is>
      </c>
      <c r="E338" s="9" t="n"/>
      <c r="F338" s="12" t="n"/>
      <c r="G338" s="9" t="n"/>
      <c r="H338" s="13" t="n"/>
      <c r="I338" s="13" t="n"/>
      <c r="J338" s="13" t="n"/>
      <c r="K338" s="13" t="n"/>
      <c r="L338" s="13" t="n"/>
      <c r="M338" s="13" t="n"/>
      <c r="N338" s="14">
        <f>IF(A338="","",COUNT(H338:M338)/6)</f>
        <v/>
      </c>
      <c r="O338" s="15">
        <f>IF(COUNT(H338:M338)=0,"",IF(LEN(IF(COUNT(I338,J338)=2,IF(J338&gt;I338+1,"EBE &gt; VA ",""),"")&amp;IF(COUNT(H338,M338)=2,IF(ABS(M338)&gt;ABS(H338),"RN &gt; CA ",""),"")&amp;IF(COUNT(H338,K338)=2,IF(ABS(K338)&gt;ABS(H338),"RE &gt; CA ",""),""))=0,"OK",IF(COUNT(I338,J338)=2,IF(J338&gt;I338+1,"EBE &gt; VA ",""),"")&amp;IF(COUNT(H338,M338)=2,IF(ABS(M338)&gt;ABS(H338),"RN &gt; CA ",""),"")&amp;IF(COUNT(H338,K338)=2,IF(ABS(K338)&gt;ABS(H338),"RE &gt; CA ",""),"")))</f>
        <v/>
      </c>
      <c r="P338" s="16">
        <f>IF(OR($A338="",H338="",$C338=""),"",IF(COUNTIFS($A$5:$A$639,$A338,$C$5:$C$639,$C338-1,$D$5:$D$639,$D338,H$5:H$639,"&lt;&gt;")=0,"",IF(OR(SUMIFS(H$5:H$639,$A$5:$A$639,$A338,$C$5:$C$639,$C338-1,$D$5:$D$639,$D338)=0,H338*SUMIFS(H$5:H$639,$A$5:$A$639,$A338,$C$5:$C$639,$C338-1,$D$5:$D$639,$D338)&lt;0),"n.s.",ABS(H338)/ABS(SUMIFS(H$5:H$639,$A$5:$A$639,$A338,$C$5:$C$639,$C338-1,$D$5:$D$639,$D338))-1)))</f>
        <v/>
      </c>
      <c r="Q338" s="16">
        <f>IF(OR($A338="",I338="",$C338=""),"",IF(COUNTIFS($A$5:$A$639,$A338,$C$5:$C$639,$C338-1,$D$5:$D$639,$D338,I$5:I$639,"&lt;&gt;")=0,"",IF(OR(SUMIFS(I$5:I$639,$A$5:$A$639,$A338,$C$5:$C$639,$C338-1,$D$5:$D$639,$D338)=0,I338*SUMIFS(I$5:I$639,$A$5:$A$639,$A338,$C$5:$C$639,$C338-1,$D$5:$D$639,$D338)&lt;0),"n.s.",ABS(I338)/ABS(SUMIFS(I$5:I$639,$A$5:$A$639,$A338,$C$5:$C$639,$C338-1,$D$5:$D$639,$D338))-1)))</f>
        <v/>
      </c>
      <c r="R338" s="16">
        <f>IF(OR($A338="",J338="",$C338=""),"",IF(COUNTIFS($A$5:$A$639,$A338,$C$5:$C$639,$C338-1,$D$5:$D$639,$D338,J$5:J$639,"&lt;&gt;")=0,"",IF(OR(SUMIFS(J$5:J$639,$A$5:$A$639,$A338,$C$5:$C$639,$C338-1,$D$5:$D$639,$D338)=0,J338*SUMIFS(J$5:J$639,$A$5:$A$639,$A338,$C$5:$C$639,$C338-1,$D$5:$D$639,$D338)&lt;0),"n.s.",ABS(J338)/ABS(SUMIFS(J$5:J$639,$A$5:$A$639,$A338,$C$5:$C$639,$C338-1,$D$5:$D$639,$D338))-1)))</f>
        <v/>
      </c>
      <c r="S338" s="16">
        <f>IF(OR($A338="",K338="",$C338=""),"",IF(COUNTIFS($A$5:$A$639,$A338,$C$5:$C$639,$C338-1,$D$5:$D$639,$D338,K$5:K$639,"&lt;&gt;")=0,"",IF(OR(SUMIFS(K$5:K$639,$A$5:$A$639,$A338,$C$5:$C$639,$C338-1,$D$5:$D$639,$D338)=0,K338*SUMIFS(K$5:K$639,$A$5:$A$639,$A338,$C$5:$C$639,$C338-1,$D$5:$D$639,$D338)&lt;0),"n.s.",ABS(K338)/ABS(SUMIFS(K$5:K$639,$A$5:$A$639,$A338,$C$5:$C$639,$C338-1,$D$5:$D$639,$D338))-1)))</f>
        <v/>
      </c>
      <c r="T338" s="16">
        <f>IF(OR($A338="",L338="",$C338=""),"",IF(COUNTIFS($A$5:$A$639,$A338,$C$5:$C$639,$C338-1,$D$5:$D$639,$D338,L$5:L$639,"&lt;&gt;")=0,"",IF(OR(SUMIFS(L$5:L$639,$A$5:$A$639,$A338,$C$5:$C$639,$C338-1,$D$5:$D$639,$D338)=0,L338*SUMIFS(L$5:L$639,$A$5:$A$639,$A338,$C$5:$C$639,$C338-1,$D$5:$D$639,$D338)&lt;0),"n.s.",ABS(L338)/ABS(SUMIFS(L$5:L$639,$A$5:$A$639,$A338,$C$5:$C$639,$C338-1,$D$5:$D$639,$D338))-1)))</f>
        <v/>
      </c>
      <c r="U338" s="16">
        <f>IF(OR($A338="",M338="",$C338=""),"",IF(COUNTIFS($A$5:$A$639,$A338,$C$5:$C$639,$C338-1,$D$5:$D$639,$D338,M$5:M$639,"&lt;&gt;")=0,"",IF(OR(SUMIFS(M$5:M$639,$A$5:$A$639,$A338,$C$5:$C$639,$C338-1,$D$5:$D$639,$D338)=0,M338*SUMIFS(M$5:M$639,$A$5:$A$639,$A338,$C$5:$C$639,$C338-1,$D$5:$D$639,$D338)&lt;0),"n.s.",ABS(M338)/ABS(SUMIFS(M$5:M$639,$A$5:$A$639,$A338,$C$5:$C$639,$C338-1,$D$5:$D$639,$D338))-1)))</f>
        <v/>
      </c>
    </row>
    <row r="339">
      <c r="A339" s="9" t="inlineStr">
        <is>
          <t>SDSC</t>
        </is>
      </c>
      <c r="B339" s="10">
        <f>IF(A339="","",IFERROR(VLOOKUP(A339,Titres!$A$2:$B$400,2,FALSE),"Ticker inconnu"))</f>
        <v/>
      </c>
      <c r="C339" s="11" t="n">
        <v>2024</v>
      </c>
      <c r="D339" s="11" t="inlineStr">
        <is>
          <t>S1</t>
        </is>
      </c>
      <c r="E339" s="9" t="n"/>
      <c r="F339" s="12" t="n"/>
      <c r="G339" s="9" t="n"/>
      <c r="H339" s="13" t="n"/>
      <c r="I339" s="13" t="n"/>
      <c r="J339" s="13" t="n"/>
      <c r="K339" s="13" t="n"/>
      <c r="L339" s="13" t="n"/>
      <c r="M339" s="13" t="n"/>
      <c r="N339" s="14">
        <f>IF(A339="","",COUNT(H339:M339)/6)</f>
        <v/>
      </c>
      <c r="O339" s="15">
        <f>IF(COUNT(H339:M339)=0,"",IF(LEN(IF(COUNT(I339,J339)=2,IF(J339&gt;I339+1,"EBE &gt; VA ",""),"")&amp;IF(COUNT(H339,M339)=2,IF(ABS(M339)&gt;ABS(H339),"RN &gt; CA ",""),"")&amp;IF(COUNT(H339,K339)=2,IF(ABS(K339)&gt;ABS(H339),"RE &gt; CA ",""),""))=0,"OK",IF(COUNT(I339,J339)=2,IF(J339&gt;I339+1,"EBE &gt; VA ",""),"")&amp;IF(COUNT(H339,M339)=2,IF(ABS(M339)&gt;ABS(H339),"RN &gt; CA ",""),"")&amp;IF(COUNT(H339,K339)=2,IF(ABS(K339)&gt;ABS(H339),"RE &gt; CA ",""),"")))</f>
        <v/>
      </c>
      <c r="P339" s="16">
        <f>IF(OR($A339="",H339="",$C339=""),"",IF(COUNTIFS($A$5:$A$639,$A339,$C$5:$C$639,$C339-1,$D$5:$D$639,$D339,H$5:H$639,"&lt;&gt;")=0,"",IF(OR(SUMIFS(H$5:H$639,$A$5:$A$639,$A339,$C$5:$C$639,$C339-1,$D$5:$D$639,$D339)=0,H339*SUMIFS(H$5:H$639,$A$5:$A$639,$A339,$C$5:$C$639,$C339-1,$D$5:$D$639,$D339)&lt;0),"n.s.",ABS(H339)/ABS(SUMIFS(H$5:H$639,$A$5:$A$639,$A339,$C$5:$C$639,$C339-1,$D$5:$D$639,$D339))-1)))</f>
        <v/>
      </c>
      <c r="Q339" s="16">
        <f>IF(OR($A339="",I339="",$C339=""),"",IF(COUNTIFS($A$5:$A$639,$A339,$C$5:$C$639,$C339-1,$D$5:$D$639,$D339,I$5:I$639,"&lt;&gt;")=0,"",IF(OR(SUMIFS(I$5:I$639,$A$5:$A$639,$A339,$C$5:$C$639,$C339-1,$D$5:$D$639,$D339)=0,I339*SUMIFS(I$5:I$639,$A$5:$A$639,$A339,$C$5:$C$639,$C339-1,$D$5:$D$639,$D339)&lt;0),"n.s.",ABS(I339)/ABS(SUMIFS(I$5:I$639,$A$5:$A$639,$A339,$C$5:$C$639,$C339-1,$D$5:$D$639,$D339))-1)))</f>
        <v/>
      </c>
      <c r="R339" s="16">
        <f>IF(OR($A339="",J339="",$C339=""),"",IF(COUNTIFS($A$5:$A$639,$A339,$C$5:$C$639,$C339-1,$D$5:$D$639,$D339,J$5:J$639,"&lt;&gt;")=0,"",IF(OR(SUMIFS(J$5:J$639,$A$5:$A$639,$A339,$C$5:$C$639,$C339-1,$D$5:$D$639,$D339)=0,J339*SUMIFS(J$5:J$639,$A$5:$A$639,$A339,$C$5:$C$639,$C339-1,$D$5:$D$639,$D339)&lt;0),"n.s.",ABS(J339)/ABS(SUMIFS(J$5:J$639,$A$5:$A$639,$A339,$C$5:$C$639,$C339-1,$D$5:$D$639,$D339))-1)))</f>
        <v/>
      </c>
      <c r="S339" s="16">
        <f>IF(OR($A339="",K339="",$C339=""),"",IF(COUNTIFS($A$5:$A$639,$A339,$C$5:$C$639,$C339-1,$D$5:$D$639,$D339,K$5:K$639,"&lt;&gt;")=0,"",IF(OR(SUMIFS(K$5:K$639,$A$5:$A$639,$A339,$C$5:$C$639,$C339-1,$D$5:$D$639,$D339)=0,K339*SUMIFS(K$5:K$639,$A$5:$A$639,$A339,$C$5:$C$639,$C339-1,$D$5:$D$639,$D339)&lt;0),"n.s.",ABS(K339)/ABS(SUMIFS(K$5:K$639,$A$5:$A$639,$A339,$C$5:$C$639,$C339-1,$D$5:$D$639,$D339))-1)))</f>
        <v/>
      </c>
      <c r="T339" s="16">
        <f>IF(OR($A339="",L339="",$C339=""),"",IF(COUNTIFS($A$5:$A$639,$A339,$C$5:$C$639,$C339-1,$D$5:$D$639,$D339,L$5:L$639,"&lt;&gt;")=0,"",IF(OR(SUMIFS(L$5:L$639,$A$5:$A$639,$A339,$C$5:$C$639,$C339-1,$D$5:$D$639,$D339)=0,L339*SUMIFS(L$5:L$639,$A$5:$A$639,$A339,$C$5:$C$639,$C339-1,$D$5:$D$639,$D339)&lt;0),"n.s.",ABS(L339)/ABS(SUMIFS(L$5:L$639,$A$5:$A$639,$A339,$C$5:$C$639,$C339-1,$D$5:$D$639,$D339))-1)))</f>
        <v/>
      </c>
      <c r="U339" s="16">
        <f>IF(OR($A339="",M339="",$C339=""),"",IF(COUNTIFS($A$5:$A$639,$A339,$C$5:$C$639,$C339-1,$D$5:$D$639,$D339,M$5:M$639,"&lt;&gt;")=0,"",IF(OR(SUMIFS(M$5:M$639,$A$5:$A$639,$A339,$C$5:$C$639,$C339-1,$D$5:$D$639,$D339)=0,M339*SUMIFS(M$5:M$639,$A$5:$A$639,$A339,$C$5:$C$639,$C339-1,$D$5:$D$639,$D339)&lt;0),"n.s.",ABS(M339)/ABS(SUMIFS(M$5:M$639,$A$5:$A$639,$A339,$C$5:$C$639,$C339-1,$D$5:$D$639,$D339))-1)))</f>
        <v/>
      </c>
    </row>
    <row r="340">
      <c r="A340" s="9" t="inlineStr">
        <is>
          <t>SDSC</t>
        </is>
      </c>
      <c r="B340" s="10">
        <f>IF(A340="","",IFERROR(VLOOKUP(A340,Titres!$A$2:$B$400,2,FALSE),"Ticker inconnu"))</f>
        <v/>
      </c>
      <c r="C340" s="11" t="n">
        <v>2024</v>
      </c>
      <c r="D340" s="11" t="inlineStr">
        <is>
          <t>T3</t>
        </is>
      </c>
      <c r="E340" s="9" t="n"/>
      <c r="F340" s="12" t="n"/>
      <c r="G340" s="9" t="n"/>
      <c r="H340" s="13" t="n"/>
      <c r="I340" s="13" t="n"/>
      <c r="J340" s="13" t="n"/>
      <c r="K340" s="13" t="n"/>
      <c r="L340" s="13" t="n"/>
      <c r="M340" s="13" t="n"/>
      <c r="N340" s="14">
        <f>IF(A340="","",COUNT(H340:M340)/6)</f>
        <v/>
      </c>
      <c r="O340" s="15">
        <f>IF(COUNT(H340:M340)=0,"",IF(LEN(IF(COUNT(I340,J340)=2,IF(J340&gt;I340+1,"EBE &gt; VA ",""),"")&amp;IF(COUNT(H340,M340)=2,IF(ABS(M340)&gt;ABS(H340),"RN &gt; CA ",""),"")&amp;IF(COUNT(H340,K340)=2,IF(ABS(K340)&gt;ABS(H340),"RE &gt; CA ",""),""))=0,"OK",IF(COUNT(I340,J340)=2,IF(J340&gt;I340+1,"EBE &gt; VA ",""),"")&amp;IF(COUNT(H340,M340)=2,IF(ABS(M340)&gt;ABS(H340),"RN &gt; CA ",""),"")&amp;IF(COUNT(H340,K340)=2,IF(ABS(K340)&gt;ABS(H340),"RE &gt; CA ",""),"")))</f>
        <v/>
      </c>
      <c r="P340" s="16">
        <f>IF(OR($A340="",H340="",$C340=""),"",IF(COUNTIFS($A$5:$A$639,$A340,$C$5:$C$639,$C340-1,$D$5:$D$639,$D340,H$5:H$639,"&lt;&gt;")=0,"",IF(OR(SUMIFS(H$5:H$639,$A$5:$A$639,$A340,$C$5:$C$639,$C340-1,$D$5:$D$639,$D340)=0,H340*SUMIFS(H$5:H$639,$A$5:$A$639,$A340,$C$5:$C$639,$C340-1,$D$5:$D$639,$D340)&lt;0),"n.s.",ABS(H340)/ABS(SUMIFS(H$5:H$639,$A$5:$A$639,$A340,$C$5:$C$639,$C340-1,$D$5:$D$639,$D340))-1)))</f>
        <v/>
      </c>
      <c r="Q340" s="16">
        <f>IF(OR($A340="",I340="",$C340=""),"",IF(COUNTIFS($A$5:$A$639,$A340,$C$5:$C$639,$C340-1,$D$5:$D$639,$D340,I$5:I$639,"&lt;&gt;")=0,"",IF(OR(SUMIFS(I$5:I$639,$A$5:$A$639,$A340,$C$5:$C$639,$C340-1,$D$5:$D$639,$D340)=0,I340*SUMIFS(I$5:I$639,$A$5:$A$639,$A340,$C$5:$C$639,$C340-1,$D$5:$D$639,$D340)&lt;0),"n.s.",ABS(I340)/ABS(SUMIFS(I$5:I$639,$A$5:$A$639,$A340,$C$5:$C$639,$C340-1,$D$5:$D$639,$D340))-1)))</f>
        <v/>
      </c>
      <c r="R340" s="16">
        <f>IF(OR($A340="",J340="",$C340=""),"",IF(COUNTIFS($A$5:$A$639,$A340,$C$5:$C$639,$C340-1,$D$5:$D$639,$D340,J$5:J$639,"&lt;&gt;")=0,"",IF(OR(SUMIFS(J$5:J$639,$A$5:$A$639,$A340,$C$5:$C$639,$C340-1,$D$5:$D$639,$D340)=0,J340*SUMIFS(J$5:J$639,$A$5:$A$639,$A340,$C$5:$C$639,$C340-1,$D$5:$D$639,$D340)&lt;0),"n.s.",ABS(J340)/ABS(SUMIFS(J$5:J$639,$A$5:$A$639,$A340,$C$5:$C$639,$C340-1,$D$5:$D$639,$D340))-1)))</f>
        <v/>
      </c>
      <c r="S340" s="16">
        <f>IF(OR($A340="",K340="",$C340=""),"",IF(COUNTIFS($A$5:$A$639,$A340,$C$5:$C$639,$C340-1,$D$5:$D$639,$D340,K$5:K$639,"&lt;&gt;")=0,"",IF(OR(SUMIFS(K$5:K$639,$A$5:$A$639,$A340,$C$5:$C$639,$C340-1,$D$5:$D$639,$D340)=0,K340*SUMIFS(K$5:K$639,$A$5:$A$639,$A340,$C$5:$C$639,$C340-1,$D$5:$D$639,$D340)&lt;0),"n.s.",ABS(K340)/ABS(SUMIFS(K$5:K$639,$A$5:$A$639,$A340,$C$5:$C$639,$C340-1,$D$5:$D$639,$D340))-1)))</f>
        <v/>
      </c>
      <c r="T340" s="16">
        <f>IF(OR($A340="",L340="",$C340=""),"",IF(COUNTIFS($A$5:$A$639,$A340,$C$5:$C$639,$C340-1,$D$5:$D$639,$D340,L$5:L$639,"&lt;&gt;")=0,"",IF(OR(SUMIFS(L$5:L$639,$A$5:$A$639,$A340,$C$5:$C$639,$C340-1,$D$5:$D$639,$D340)=0,L340*SUMIFS(L$5:L$639,$A$5:$A$639,$A340,$C$5:$C$639,$C340-1,$D$5:$D$639,$D340)&lt;0),"n.s.",ABS(L340)/ABS(SUMIFS(L$5:L$639,$A$5:$A$639,$A340,$C$5:$C$639,$C340-1,$D$5:$D$639,$D340))-1)))</f>
        <v/>
      </c>
      <c r="U340" s="16">
        <f>IF(OR($A340="",M340="",$C340=""),"",IF(COUNTIFS($A$5:$A$639,$A340,$C$5:$C$639,$C340-1,$D$5:$D$639,$D340,M$5:M$639,"&lt;&gt;")=0,"",IF(OR(SUMIFS(M$5:M$639,$A$5:$A$639,$A340,$C$5:$C$639,$C340-1,$D$5:$D$639,$D340)=0,M340*SUMIFS(M$5:M$639,$A$5:$A$639,$A340,$C$5:$C$639,$C340-1,$D$5:$D$639,$D340)&lt;0),"n.s.",ABS(M340)/ABS(SUMIFS(M$5:M$639,$A$5:$A$639,$A340,$C$5:$C$639,$C340-1,$D$5:$D$639,$D340))-1)))</f>
        <v/>
      </c>
    </row>
    <row r="341">
      <c r="A341" s="9" t="inlineStr">
        <is>
          <t>SDSC</t>
        </is>
      </c>
      <c r="B341" s="10">
        <f>IF(A341="","",IFERROR(VLOOKUP(A341,Titres!$A$2:$B$400,2,FALSE),"Ticker inconnu"))</f>
        <v/>
      </c>
      <c r="C341" s="11" t="n">
        <v>2025</v>
      </c>
      <c r="D341" s="11" t="inlineStr">
        <is>
          <t>T1</t>
        </is>
      </c>
      <c r="E341" s="9" t="n"/>
      <c r="F341" s="12" t="n"/>
      <c r="G341" s="9" t="n"/>
      <c r="H341" s="13" t="n"/>
      <c r="I341" s="13" t="n"/>
      <c r="J341" s="13" t="n"/>
      <c r="K341" s="13" t="n"/>
      <c r="L341" s="13" t="n"/>
      <c r="M341" s="13" t="n"/>
      <c r="N341" s="14">
        <f>IF(A341="","",COUNT(H341:M341)/6)</f>
        <v/>
      </c>
      <c r="O341" s="15">
        <f>IF(COUNT(H341:M341)=0,"",IF(LEN(IF(COUNT(I341,J341)=2,IF(J341&gt;I341+1,"EBE &gt; VA ",""),"")&amp;IF(COUNT(H341,M341)=2,IF(ABS(M341)&gt;ABS(H341),"RN &gt; CA ",""),"")&amp;IF(COUNT(H341,K341)=2,IF(ABS(K341)&gt;ABS(H341),"RE &gt; CA ",""),""))=0,"OK",IF(COUNT(I341,J341)=2,IF(J341&gt;I341+1,"EBE &gt; VA ",""),"")&amp;IF(COUNT(H341,M341)=2,IF(ABS(M341)&gt;ABS(H341),"RN &gt; CA ",""),"")&amp;IF(COUNT(H341,K341)=2,IF(ABS(K341)&gt;ABS(H341),"RE &gt; CA ",""),"")))</f>
        <v/>
      </c>
      <c r="P341" s="16">
        <f>IF(OR($A341="",H341="",$C341=""),"",IF(COUNTIFS($A$5:$A$639,$A341,$C$5:$C$639,$C341-1,$D$5:$D$639,$D341,H$5:H$639,"&lt;&gt;")=0,"",IF(OR(SUMIFS(H$5:H$639,$A$5:$A$639,$A341,$C$5:$C$639,$C341-1,$D$5:$D$639,$D341)=0,H341*SUMIFS(H$5:H$639,$A$5:$A$639,$A341,$C$5:$C$639,$C341-1,$D$5:$D$639,$D341)&lt;0),"n.s.",ABS(H341)/ABS(SUMIFS(H$5:H$639,$A$5:$A$639,$A341,$C$5:$C$639,$C341-1,$D$5:$D$639,$D341))-1)))</f>
        <v/>
      </c>
      <c r="Q341" s="16">
        <f>IF(OR($A341="",I341="",$C341=""),"",IF(COUNTIFS($A$5:$A$639,$A341,$C$5:$C$639,$C341-1,$D$5:$D$639,$D341,I$5:I$639,"&lt;&gt;")=0,"",IF(OR(SUMIFS(I$5:I$639,$A$5:$A$639,$A341,$C$5:$C$639,$C341-1,$D$5:$D$639,$D341)=0,I341*SUMIFS(I$5:I$639,$A$5:$A$639,$A341,$C$5:$C$639,$C341-1,$D$5:$D$639,$D341)&lt;0),"n.s.",ABS(I341)/ABS(SUMIFS(I$5:I$639,$A$5:$A$639,$A341,$C$5:$C$639,$C341-1,$D$5:$D$639,$D341))-1)))</f>
        <v/>
      </c>
      <c r="R341" s="16">
        <f>IF(OR($A341="",J341="",$C341=""),"",IF(COUNTIFS($A$5:$A$639,$A341,$C$5:$C$639,$C341-1,$D$5:$D$639,$D341,J$5:J$639,"&lt;&gt;")=0,"",IF(OR(SUMIFS(J$5:J$639,$A$5:$A$639,$A341,$C$5:$C$639,$C341-1,$D$5:$D$639,$D341)=0,J341*SUMIFS(J$5:J$639,$A$5:$A$639,$A341,$C$5:$C$639,$C341-1,$D$5:$D$639,$D341)&lt;0),"n.s.",ABS(J341)/ABS(SUMIFS(J$5:J$639,$A$5:$A$639,$A341,$C$5:$C$639,$C341-1,$D$5:$D$639,$D341))-1)))</f>
        <v/>
      </c>
      <c r="S341" s="16">
        <f>IF(OR($A341="",K341="",$C341=""),"",IF(COUNTIFS($A$5:$A$639,$A341,$C$5:$C$639,$C341-1,$D$5:$D$639,$D341,K$5:K$639,"&lt;&gt;")=0,"",IF(OR(SUMIFS(K$5:K$639,$A$5:$A$639,$A341,$C$5:$C$639,$C341-1,$D$5:$D$639,$D341)=0,K341*SUMIFS(K$5:K$639,$A$5:$A$639,$A341,$C$5:$C$639,$C341-1,$D$5:$D$639,$D341)&lt;0),"n.s.",ABS(K341)/ABS(SUMIFS(K$5:K$639,$A$5:$A$639,$A341,$C$5:$C$639,$C341-1,$D$5:$D$639,$D341))-1)))</f>
        <v/>
      </c>
      <c r="T341" s="16">
        <f>IF(OR($A341="",L341="",$C341=""),"",IF(COUNTIFS($A$5:$A$639,$A341,$C$5:$C$639,$C341-1,$D$5:$D$639,$D341,L$5:L$639,"&lt;&gt;")=0,"",IF(OR(SUMIFS(L$5:L$639,$A$5:$A$639,$A341,$C$5:$C$639,$C341-1,$D$5:$D$639,$D341)=0,L341*SUMIFS(L$5:L$639,$A$5:$A$639,$A341,$C$5:$C$639,$C341-1,$D$5:$D$639,$D341)&lt;0),"n.s.",ABS(L341)/ABS(SUMIFS(L$5:L$639,$A$5:$A$639,$A341,$C$5:$C$639,$C341-1,$D$5:$D$639,$D341))-1)))</f>
        <v/>
      </c>
      <c r="U341" s="16">
        <f>IF(OR($A341="",M341="",$C341=""),"",IF(COUNTIFS($A$5:$A$639,$A341,$C$5:$C$639,$C341-1,$D$5:$D$639,$D341,M$5:M$639,"&lt;&gt;")=0,"",IF(OR(SUMIFS(M$5:M$639,$A$5:$A$639,$A341,$C$5:$C$639,$C341-1,$D$5:$D$639,$D341)=0,M341*SUMIFS(M$5:M$639,$A$5:$A$639,$A341,$C$5:$C$639,$C341-1,$D$5:$D$639,$D341)&lt;0),"n.s.",ABS(M341)/ABS(SUMIFS(M$5:M$639,$A$5:$A$639,$A341,$C$5:$C$639,$C341-1,$D$5:$D$639,$D341))-1)))</f>
        <v/>
      </c>
    </row>
    <row r="342">
      <c r="A342" s="9" t="inlineStr">
        <is>
          <t>SDSC</t>
        </is>
      </c>
      <c r="B342" s="10">
        <f>IF(A342="","",IFERROR(VLOOKUP(A342,Titres!$A$2:$B$400,2,FALSE),"Ticker inconnu"))</f>
        <v/>
      </c>
      <c r="C342" s="11" t="n">
        <v>2025</v>
      </c>
      <c r="D342" s="11" t="inlineStr">
        <is>
          <t>S1</t>
        </is>
      </c>
      <c r="E342" s="9" t="n"/>
      <c r="F342" s="12" t="n"/>
      <c r="G342" s="9" t="n"/>
      <c r="H342" s="13" t="n"/>
      <c r="I342" s="13" t="n"/>
      <c r="J342" s="13" t="n"/>
      <c r="K342" s="13" t="n"/>
      <c r="L342" s="13" t="n"/>
      <c r="M342" s="13" t="n"/>
      <c r="N342" s="14">
        <f>IF(A342="","",COUNT(H342:M342)/6)</f>
        <v/>
      </c>
      <c r="O342" s="15">
        <f>IF(COUNT(H342:M342)=0,"",IF(LEN(IF(COUNT(I342,J342)=2,IF(J342&gt;I342+1,"EBE &gt; VA ",""),"")&amp;IF(COUNT(H342,M342)=2,IF(ABS(M342)&gt;ABS(H342),"RN &gt; CA ",""),"")&amp;IF(COUNT(H342,K342)=2,IF(ABS(K342)&gt;ABS(H342),"RE &gt; CA ",""),""))=0,"OK",IF(COUNT(I342,J342)=2,IF(J342&gt;I342+1,"EBE &gt; VA ",""),"")&amp;IF(COUNT(H342,M342)=2,IF(ABS(M342)&gt;ABS(H342),"RN &gt; CA ",""),"")&amp;IF(COUNT(H342,K342)=2,IF(ABS(K342)&gt;ABS(H342),"RE &gt; CA ",""),"")))</f>
        <v/>
      </c>
      <c r="P342" s="16">
        <f>IF(OR($A342="",H342="",$C342=""),"",IF(COUNTIFS($A$5:$A$639,$A342,$C$5:$C$639,$C342-1,$D$5:$D$639,$D342,H$5:H$639,"&lt;&gt;")=0,"",IF(OR(SUMIFS(H$5:H$639,$A$5:$A$639,$A342,$C$5:$C$639,$C342-1,$D$5:$D$639,$D342)=0,H342*SUMIFS(H$5:H$639,$A$5:$A$639,$A342,$C$5:$C$639,$C342-1,$D$5:$D$639,$D342)&lt;0),"n.s.",ABS(H342)/ABS(SUMIFS(H$5:H$639,$A$5:$A$639,$A342,$C$5:$C$639,$C342-1,$D$5:$D$639,$D342))-1)))</f>
        <v/>
      </c>
      <c r="Q342" s="16">
        <f>IF(OR($A342="",I342="",$C342=""),"",IF(COUNTIFS($A$5:$A$639,$A342,$C$5:$C$639,$C342-1,$D$5:$D$639,$D342,I$5:I$639,"&lt;&gt;")=0,"",IF(OR(SUMIFS(I$5:I$639,$A$5:$A$639,$A342,$C$5:$C$639,$C342-1,$D$5:$D$639,$D342)=0,I342*SUMIFS(I$5:I$639,$A$5:$A$639,$A342,$C$5:$C$639,$C342-1,$D$5:$D$639,$D342)&lt;0),"n.s.",ABS(I342)/ABS(SUMIFS(I$5:I$639,$A$5:$A$639,$A342,$C$5:$C$639,$C342-1,$D$5:$D$639,$D342))-1)))</f>
        <v/>
      </c>
      <c r="R342" s="16">
        <f>IF(OR($A342="",J342="",$C342=""),"",IF(COUNTIFS($A$5:$A$639,$A342,$C$5:$C$639,$C342-1,$D$5:$D$639,$D342,J$5:J$639,"&lt;&gt;")=0,"",IF(OR(SUMIFS(J$5:J$639,$A$5:$A$639,$A342,$C$5:$C$639,$C342-1,$D$5:$D$639,$D342)=0,J342*SUMIFS(J$5:J$639,$A$5:$A$639,$A342,$C$5:$C$639,$C342-1,$D$5:$D$639,$D342)&lt;0),"n.s.",ABS(J342)/ABS(SUMIFS(J$5:J$639,$A$5:$A$639,$A342,$C$5:$C$639,$C342-1,$D$5:$D$639,$D342))-1)))</f>
        <v/>
      </c>
      <c r="S342" s="16">
        <f>IF(OR($A342="",K342="",$C342=""),"",IF(COUNTIFS($A$5:$A$639,$A342,$C$5:$C$639,$C342-1,$D$5:$D$639,$D342,K$5:K$639,"&lt;&gt;")=0,"",IF(OR(SUMIFS(K$5:K$639,$A$5:$A$639,$A342,$C$5:$C$639,$C342-1,$D$5:$D$639,$D342)=0,K342*SUMIFS(K$5:K$639,$A$5:$A$639,$A342,$C$5:$C$639,$C342-1,$D$5:$D$639,$D342)&lt;0),"n.s.",ABS(K342)/ABS(SUMIFS(K$5:K$639,$A$5:$A$639,$A342,$C$5:$C$639,$C342-1,$D$5:$D$639,$D342))-1)))</f>
        <v/>
      </c>
      <c r="T342" s="16">
        <f>IF(OR($A342="",L342="",$C342=""),"",IF(COUNTIFS($A$5:$A$639,$A342,$C$5:$C$639,$C342-1,$D$5:$D$639,$D342,L$5:L$639,"&lt;&gt;")=0,"",IF(OR(SUMIFS(L$5:L$639,$A$5:$A$639,$A342,$C$5:$C$639,$C342-1,$D$5:$D$639,$D342)=0,L342*SUMIFS(L$5:L$639,$A$5:$A$639,$A342,$C$5:$C$639,$C342-1,$D$5:$D$639,$D342)&lt;0),"n.s.",ABS(L342)/ABS(SUMIFS(L$5:L$639,$A$5:$A$639,$A342,$C$5:$C$639,$C342-1,$D$5:$D$639,$D342))-1)))</f>
        <v/>
      </c>
      <c r="U342" s="16">
        <f>IF(OR($A342="",M342="",$C342=""),"",IF(COUNTIFS($A$5:$A$639,$A342,$C$5:$C$639,$C342-1,$D$5:$D$639,$D342,M$5:M$639,"&lt;&gt;")=0,"",IF(OR(SUMIFS(M$5:M$639,$A$5:$A$639,$A342,$C$5:$C$639,$C342-1,$D$5:$D$639,$D342)=0,M342*SUMIFS(M$5:M$639,$A$5:$A$639,$A342,$C$5:$C$639,$C342-1,$D$5:$D$639,$D342)&lt;0),"n.s.",ABS(M342)/ABS(SUMIFS(M$5:M$639,$A$5:$A$639,$A342,$C$5:$C$639,$C342-1,$D$5:$D$639,$D342))-1)))</f>
        <v/>
      </c>
    </row>
    <row r="343">
      <c r="A343" s="9" t="inlineStr">
        <is>
          <t>SDSC</t>
        </is>
      </c>
      <c r="B343" s="10">
        <f>IF(A343="","",IFERROR(VLOOKUP(A343,Titres!$A$2:$B$400,2,FALSE),"Ticker inconnu"))</f>
        <v/>
      </c>
      <c r="C343" s="11" t="n">
        <v>2025</v>
      </c>
      <c r="D343" s="11" t="inlineStr">
        <is>
          <t>T3</t>
        </is>
      </c>
      <c r="E343" s="9" t="n"/>
      <c r="F343" s="12" t="n"/>
      <c r="G343" s="9" t="n"/>
      <c r="H343" s="13" t="n"/>
      <c r="I343" s="13" t="n"/>
      <c r="J343" s="13" t="n"/>
      <c r="K343" s="13" t="n"/>
      <c r="L343" s="13" t="n"/>
      <c r="M343" s="13" t="n"/>
      <c r="N343" s="14">
        <f>IF(A343="","",COUNT(H343:M343)/6)</f>
        <v/>
      </c>
      <c r="O343" s="15">
        <f>IF(COUNT(H343:M343)=0,"",IF(LEN(IF(COUNT(I343,J343)=2,IF(J343&gt;I343+1,"EBE &gt; VA ",""),"")&amp;IF(COUNT(H343,M343)=2,IF(ABS(M343)&gt;ABS(H343),"RN &gt; CA ",""),"")&amp;IF(COUNT(H343,K343)=2,IF(ABS(K343)&gt;ABS(H343),"RE &gt; CA ",""),""))=0,"OK",IF(COUNT(I343,J343)=2,IF(J343&gt;I343+1,"EBE &gt; VA ",""),"")&amp;IF(COUNT(H343,M343)=2,IF(ABS(M343)&gt;ABS(H343),"RN &gt; CA ",""),"")&amp;IF(COUNT(H343,K343)=2,IF(ABS(K343)&gt;ABS(H343),"RE &gt; CA ",""),"")))</f>
        <v/>
      </c>
      <c r="P343" s="16">
        <f>IF(OR($A343="",H343="",$C343=""),"",IF(COUNTIFS($A$5:$A$639,$A343,$C$5:$C$639,$C343-1,$D$5:$D$639,$D343,H$5:H$639,"&lt;&gt;")=0,"",IF(OR(SUMIFS(H$5:H$639,$A$5:$A$639,$A343,$C$5:$C$639,$C343-1,$D$5:$D$639,$D343)=0,H343*SUMIFS(H$5:H$639,$A$5:$A$639,$A343,$C$5:$C$639,$C343-1,$D$5:$D$639,$D343)&lt;0),"n.s.",ABS(H343)/ABS(SUMIFS(H$5:H$639,$A$5:$A$639,$A343,$C$5:$C$639,$C343-1,$D$5:$D$639,$D343))-1)))</f>
        <v/>
      </c>
      <c r="Q343" s="16">
        <f>IF(OR($A343="",I343="",$C343=""),"",IF(COUNTIFS($A$5:$A$639,$A343,$C$5:$C$639,$C343-1,$D$5:$D$639,$D343,I$5:I$639,"&lt;&gt;")=0,"",IF(OR(SUMIFS(I$5:I$639,$A$5:$A$639,$A343,$C$5:$C$639,$C343-1,$D$5:$D$639,$D343)=0,I343*SUMIFS(I$5:I$639,$A$5:$A$639,$A343,$C$5:$C$639,$C343-1,$D$5:$D$639,$D343)&lt;0),"n.s.",ABS(I343)/ABS(SUMIFS(I$5:I$639,$A$5:$A$639,$A343,$C$5:$C$639,$C343-1,$D$5:$D$639,$D343))-1)))</f>
        <v/>
      </c>
      <c r="R343" s="16">
        <f>IF(OR($A343="",J343="",$C343=""),"",IF(COUNTIFS($A$5:$A$639,$A343,$C$5:$C$639,$C343-1,$D$5:$D$639,$D343,J$5:J$639,"&lt;&gt;")=0,"",IF(OR(SUMIFS(J$5:J$639,$A$5:$A$639,$A343,$C$5:$C$639,$C343-1,$D$5:$D$639,$D343)=0,J343*SUMIFS(J$5:J$639,$A$5:$A$639,$A343,$C$5:$C$639,$C343-1,$D$5:$D$639,$D343)&lt;0),"n.s.",ABS(J343)/ABS(SUMIFS(J$5:J$639,$A$5:$A$639,$A343,$C$5:$C$639,$C343-1,$D$5:$D$639,$D343))-1)))</f>
        <v/>
      </c>
      <c r="S343" s="16">
        <f>IF(OR($A343="",K343="",$C343=""),"",IF(COUNTIFS($A$5:$A$639,$A343,$C$5:$C$639,$C343-1,$D$5:$D$639,$D343,K$5:K$639,"&lt;&gt;")=0,"",IF(OR(SUMIFS(K$5:K$639,$A$5:$A$639,$A343,$C$5:$C$639,$C343-1,$D$5:$D$639,$D343)=0,K343*SUMIFS(K$5:K$639,$A$5:$A$639,$A343,$C$5:$C$639,$C343-1,$D$5:$D$639,$D343)&lt;0),"n.s.",ABS(K343)/ABS(SUMIFS(K$5:K$639,$A$5:$A$639,$A343,$C$5:$C$639,$C343-1,$D$5:$D$639,$D343))-1)))</f>
        <v/>
      </c>
      <c r="T343" s="16">
        <f>IF(OR($A343="",L343="",$C343=""),"",IF(COUNTIFS($A$5:$A$639,$A343,$C$5:$C$639,$C343-1,$D$5:$D$639,$D343,L$5:L$639,"&lt;&gt;")=0,"",IF(OR(SUMIFS(L$5:L$639,$A$5:$A$639,$A343,$C$5:$C$639,$C343-1,$D$5:$D$639,$D343)=0,L343*SUMIFS(L$5:L$639,$A$5:$A$639,$A343,$C$5:$C$639,$C343-1,$D$5:$D$639,$D343)&lt;0),"n.s.",ABS(L343)/ABS(SUMIFS(L$5:L$639,$A$5:$A$639,$A343,$C$5:$C$639,$C343-1,$D$5:$D$639,$D343))-1)))</f>
        <v/>
      </c>
      <c r="U343" s="16">
        <f>IF(OR($A343="",M343="",$C343=""),"",IF(COUNTIFS($A$5:$A$639,$A343,$C$5:$C$639,$C343-1,$D$5:$D$639,$D343,M$5:M$639,"&lt;&gt;")=0,"",IF(OR(SUMIFS(M$5:M$639,$A$5:$A$639,$A343,$C$5:$C$639,$C343-1,$D$5:$D$639,$D343)=0,M343*SUMIFS(M$5:M$639,$A$5:$A$639,$A343,$C$5:$C$639,$C343-1,$D$5:$D$639,$D343)&lt;0),"n.s.",ABS(M343)/ABS(SUMIFS(M$5:M$639,$A$5:$A$639,$A343,$C$5:$C$639,$C343-1,$D$5:$D$639,$D343))-1)))</f>
        <v/>
      </c>
    </row>
    <row r="344">
      <c r="A344" s="9" t="inlineStr">
        <is>
          <t>SDSC</t>
        </is>
      </c>
      <c r="B344" s="10">
        <f>IF(A344="","",IFERROR(VLOOKUP(A344,Titres!$A$2:$B$400,2,FALSE),"Ticker inconnu"))</f>
        <v/>
      </c>
      <c r="C344" s="11" t="n">
        <v>2026</v>
      </c>
      <c r="D344" s="11" t="inlineStr">
        <is>
          <t>T1</t>
        </is>
      </c>
      <c r="E344" s="9" t="n"/>
      <c r="F344" s="12" t="n"/>
      <c r="G344" s="9" t="n"/>
      <c r="H344" s="13" t="n"/>
      <c r="I344" s="13" t="n"/>
      <c r="J344" s="13" t="n"/>
      <c r="K344" s="13" t="n"/>
      <c r="L344" s="13" t="n"/>
      <c r="M344" s="13" t="n"/>
      <c r="N344" s="14">
        <f>IF(A344="","",COUNT(H344:M344)/6)</f>
        <v/>
      </c>
      <c r="O344" s="15">
        <f>IF(COUNT(H344:M344)=0,"",IF(LEN(IF(COUNT(I344,J344)=2,IF(J344&gt;I344+1,"EBE &gt; VA ",""),"")&amp;IF(COUNT(H344,M344)=2,IF(ABS(M344)&gt;ABS(H344),"RN &gt; CA ",""),"")&amp;IF(COUNT(H344,K344)=2,IF(ABS(K344)&gt;ABS(H344),"RE &gt; CA ",""),""))=0,"OK",IF(COUNT(I344,J344)=2,IF(J344&gt;I344+1,"EBE &gt; VA ",""),"")&amp;IF(COUNT(H344,M344)=2,IF(ABS(M344)&gt;ABS(H344),"RN &gt; CA ",""),"")&amp;IF(COUNT(H344,K344)=2,IF(ABS(K344)&gt;ABS(H344),"RE &gt; CA ",""),"")))</f>
        <v/>
      </c>
      <c r="P344" s="16">
        <f>IF(OR($A344="",H344="",$C344=""),"",IF(COUNTIFS($A$5:$A$639,$A344,$C$5:$C$639,$C344-1,$D$5:$D$639,$D344,H$5:H$639,"&lt;&gt;")=0,"",IF(OR(SUMIFS(H$5:H$639,$A$5:$A$639,$A344,$C$5:$C$639,$C344-1,$D$5:$D$639,$D344)=0,H344*SUMIFS(H$5:H$639,$A$5:$A$639,$A344,$C$5:$C$639,$C344-1,$D$5:$D$639,$D344)&lt;0),"n.s.",ABS(H344)/ABS(SUMIFS(H$5:H$639,$A$5:$A$639,$A344,$C$5:$C$639,$C344-1,$D$5:$D$639,$D344))-1)))</f>
        <v/>
      </c>
      <c r="Q344" s="16">
        <f>IF(OR($A344="",I344="",$C344=""),"",IF(COUNTIFS($A$5:$A$639,$A344,$C$5:$C$639,$C344-1,$D$5:$D$639,$D344,I$5:I$639,"&lt;&gt;")=0,"",IF(OR(SUMIFS(I$5:I$639,$A$5:$A$639,$A344,$C$5:$C$639,$C344-1,$D$5:$D$639,$D344)=0,I344*SUMIFS(I$5:I$639,$A$5:$A$639,$A344,$C$5:$C$639,$C344-1,$D$5:$D$639,$D344)&lt;0),"n.s.",ABS(I344)/ABS(SUMIFS(I$5:I$639,$A$5:$A$639,$A344,$C$5:$C$639,$C344-1,$D$5:$D$639,$D344))-1)))</f>
        <v/>
      </c>
      <c r="R344" s="16">
        <f>IF(OR($A344="",J344="",$C344=""),"",IF(COUNTIFS($A$5:$A$639,$A344,$C$5:$C$639,$C344-1,$D$5:$D$639,$D344,J$5:J$639,"&lt;&gt;")=0,"",IF(OR(SUMIFS(J$5:J$639,$A$5:$A$639,$A344,$C$5:$C$639,$C344-1,$D$5:$D$639,$D344)=0,J344*SUMIFS(J$5:J$639,$A$5:$A$639,$A344,$C$5:$C$639,$C344-1,$D$5:$D$639,$D344)&lt;0),"n.s.",ABS(J344)/ABS(SUMIFS(J$5:J$639,$A$5:$A$639,$A344,$C$5:$C$639,$C344-1,$D$5:$D$639,$D344))-1)))</f>
        <v/>
      </c>
      <c r="S344" s="16">
        <f>IF(OR($A344="",K344="",$C344=""),"",IF(COUNTIFS($A$5:$A$639,$A344,$C$5:$C$639,$C344-1,$D$5:$D$639,$D344,K$5:K$639,"&lt;&gt;")=0,"",IF(OR(SUMIFS(K$5:K$639,$A$5:$A$639,$A344,$C$5:$C$639,$C344-1,$D$5:$D$639,$D344)=0,K344*SUMIFS(K$5:K$639,$A$5:$A$639,$A344,$C$5:$C$639,$C344-1,$D$5:$D$639,$D344)&lt;0),"n.s.",ABS(K344)/ABS(SUMIFS(K$5:K$639,$A$5:$A$639,$A344,$C$5:$C$639,$C344-1,$D$5:$D$639,$D344))-1)))</f>
        <v/>
      </c>
      <c r="T344" s="16">
        <f>IF(OR($A344="",L344="",$C344=""),"",IF(COUNTIFS($A$5:$A$639,$A344,$C$5:$C$639,$C344-1,$D$5:$D$639,$D344,L$5:L$639,"&lt;&gt;")=0,"",IF(OR(SUMIFS(L$5:L$639,$A$5:$A$639,$A344,$C$5:$C$639,$C344-1,$D$5:$D$639,$D344)=0,L344*SUMIFS(L$5:L$639,$A$5:$A$639,$A344,$C$5:$C$639,$C344-1,$D$5:$D$639,$D344)&lt;0),"n.s.",ABS(L344)/ABS(SUMIFS(L$5:L$639,$A$5:$A$639,$A344,$C$5:$C$639,$C344-1,$D$5:$D$639,$D344))-1)))</f>
        <v/>
      </c>
      <c r="U344" s="16">
        <f>IF(OR($A344="",M344="",$C344=""),"",IF(COUNTIFS($A$5:$A$639,$A344,$C$5:$C$639,$C344-1,$D$5:$D$639,$D344,M$5:M$639,"&lt;&gt;")=0,"",IF(OR(SUMIFS(M$5:M$639,$A$5:$A$639,$A344,$C$5:$C$639,$C344-1,$D$5:$D$639,$D344)=0,M344*SUMIFS(M$5:M$639,$A$5:$A$639,$A344,$C$5:$C$639,$C344-1,$D$5:$D$639,$D344)&lt;0),"n.s.",ABS(M344)/ABS(SUMIFS(M$5:M$639,$A$5:$A$639,$A344,$C$5:$C$639,$C344-1,$D$5:$D$639,$D344))-1)))</f>
        <v/>
      </c>
    </row>
    <row r="345">
      <c r="A345" s="9" t="inlineStr">
        <is>
          <t>SDSC</t>
        </is>
      </c>
      <c r="B345" s="10">
        <f>IF(A345="","",IFERROR(VLOOKUP(A345,Titres!$A$2:$B$400,2,FALSE),"Ticker inconnu"))</f>
        <v/>
      </c>
      <c r="C345" s="11" t="n">
        <v>2026</v>
      </c>
      <c r="D345" s="11" t="inlineStr">
        <is>
          <t>S1</t>
        </is>
      </c>
      <c r="E345" s="9" t="n"/>
      <c r="F345" s="12" t="n"/>
      <c r="G345" s="9" t="n"/>
      <c r="H345" s="13" t="n"/>
      <c r="I345" s="13" t="n"/>
      <c r="J345" s="13" t="n"/>
      <c r="K345" s="13" t="n"/>
      <c r="L345" s="13" t="n"/>
      <c r="M345" s="13" t="n"/>
      <c r="N345" s="14">
        <f>IF(A345="","",COUNT(H345:M345)/6)</f>
        <v/>
      </c>
      <c r="O345" s="15">
        <f>IF(COUNT(H345:M345)=0,"",IF(LEN(IF(COUNT(I345,J345)=2,IF(J345&gt;I345+1,"EBE &gt; VA ",""),"")&amp;IF(COUNT(H345,M345)=2,IF(ABS(M345)&gt;ABS(H345),"RN &gt; CA ",""),"")&amp;IF(COUNT(H345,K345)=2,IF(ABS(K345)&gt;ABS(H345),"RE &gt; CA ",""),""))=0,"OK",IF(COUNT(I345,J345)=2,IF(J345&gt;I345+1,"EBE &gt; VA ",""),"")&amp;IF(COUNT(H345,M345)=2,IF(ABS(M345)&gt;ABS(H345),"RN &gt; CA ",""),"")&amp;IF(COUNT(H345,K345)=2,IF(ABS(K345)&gt;ABS(H345),"RE &gt; CA ",""),"")))</f>
        <v/>
      </c>
      <c r="P345" s="16">
        <f>IF(OR($A345="",H345="",$C345=""),"",IF(COUNTIFS($A$5:$A$639,$A345,$C$5:$C$639,$C345-1,$D$5:$D$639,$D345,H$5:H$639,"&lt;&gt;")=0,"",IF(OR(SUMIFS(H$5:H$639,$A$5:$A$639,$A345,$C$5:$C$639,$C345-1,$D$5:$D$639,$D345)=0,H345*SUMIFS(H$5:H$639,$A$5:$A$639,$A345,$C$5:$C$639,$C345-1,$D$5:$D$639,$D345)&lt;0),"n.s.",ABS(H345)/ABS(SUMIFS(H$5:H$639,$A$5:$A$639,$A345,$C$5:$C$639,$C345-1,$D$5:$D$639,$D345))-1)))</f>
        <v/>
      </c>
      <c r="Q345" s="16">
        <f>IF(OR($A345="",I345="",$C345=""),"",IF(COUNTIFS($A$5:$A$639,$A345,$C$5:$C$639,$C345-1,$D$5:$D$639,$D345,I$5:I$639,"&lt;&gt;")=0,"",IF(OR(SUMIFS(I$5:I$639,$A$5:$A$639,$A345,$C$5:$C$639,$C345-1,$D$5:$D$639,$D345)=0,I345*SUMIFS(I$5:I$639,$A$5:$A$639,$A345,$C$5:$C$639,$C345-1,$D$5:$D$639,$D345)&lt;0),"n.s.",ABS(I345)/ABS(SUMIFS(I$5:I$639,$A$5:$A$639,$A345,$C$5:$C$639,$C345-1,$D$5:$D$639,$D345))-1)))</f>
        <v/>
      </c>
      <c r="R345" s="16">
        <f>IF(OR($A345="",J345="",$C345=""),"",IF(COUNTIFS($A$5:$A$639,$A345,$C$5:$C$639,$C345-1,$D$5:$D$639,$D345,J$5:J$639,"&lt;&gt;")=0,"",IF(OR(SUMIFS(J$5:J$639,$A$5:$A$639,$A345,$C$5:$C$639,$C345-1,$D$5:$D$639,$D345)=0,J345*SUMIFS(J$5:J$639,$A$5:$A$639,$A345,$C$5:$C$639,$C345-1,$D$5:$D$639,$D345)&lt;0),"n.s.",ABS(J345)/ABS(SUMIFS(J$5:J$639,$A$5:$A$639,$A345,$C$5:$C$639,$C345-1,$D$5:$D$639,$D345))-1)))</f>
        <v/>
      </c>
      <c r="S345" s="16">
        <f>IF(OR($A345="",K345="",$C345=""),"",IF(COUNTIFS($A$5:$A$639,$A345,$C$5:$C$639,$C345-1,$D$5:$D$639,$D345,K$5:K$639,"&lt;&gt;")=0,"",IF(OR(SUMIFS(K$5:K$639,$A$5:$A$639,$A345,$C$5:$C$639,$C345-1,$D$5:$D$639,$D345)=0,K345*SUMIFS(K$5:K$639,$A$5:$A$639,$A345,$C$5:$C$639,$C345-1,$D$5:$D$639,$D345)&lt;0),"n.s.",ABS(K345)/ABS(SUMIFS(K$5:K$639,$A$5:$A$639,$A345,$C$5:$C$639,$C345-1,$D$5:$D$639,$D345))-1)))</f>
        <v/>
      </c>
      <c r="T345" s="16">
        <f>IF(OR($A345="",L345="",$C345=""),"",IF(COUNTIFS($A$5:$A$639,$A345,$C$5:$C$639,$C345-1,$D$5:$D$639,$D345,L$5:L$639,"&lt;&gt;")=0,"",IF(OR(SUMIFS(L$5:L$639,$A$5:$A$639,$A345,$C$5:$C$639,$C345-1,$D$5:$D$639,$D345)=0,L345*SUMIFS(L$5:L$639,$A$5:$A$639,$A345,$C$5:$C$639,$C345-1,$D$5:$D$639,$D345)&lt;0),"n.s.",ABS(L345)/ABS(SUMIFS(L$5:L$639,$A$5:$A$639,$A345,$C$5:$C$639,$C345-1,$D$5:$D$639,$D345))-1)))</f>
        <v/>
      </c>
      <c r="U345" s="16">
        <f>IF(OR($A345="",M345="",$C345=""),"",IF(COUNTIFS($A$5:$A$639,$A345,$C$5:$C$639,$C345-1,$D$5:$D$639,$D345,M$5:M$639,"&lt;&gt;")=0,"",IF(OR(SUMIFS(M$5:M$639,$A$5:$A$639,$A345,$C$5:$C$639,$C345-1,$D$5:$D$639,$D345)=0,M345*SUMIFS(M$5:M$639,$A$5:$A$639,$A345,$C$5:$C$639,$C345-1,$D$5:$D$639,$D345)&lt;0),"n.s.",ABS(M345)/ABS(SUMIFS(M$5:M$639,$A$5:$A$639,$A345,$C$5:$C$639,$C345-1,$D$5:$D$639,$D345))-1)))</f>
        <v/>
      </c>
    </row>
    <row r="346">
      <c r="A346" s="9" t="inlineStr">
        <is>
          <t>SDSC</t>
        </is>
      </c>
      <c r="B346" s="10">
        <f>IF(A346="","",IFERROR(VLOOKUP(A346,Titres!$A$2:$B$400,2,FALSE),"Ticker inconnu"))</f>
        <v/>
      </c>
      <c r="C346" s="11" t="n">
        <v>2026</v>
      </c>
      <c r="D346" s="11" t="inlineStr">
        <is>
          <t>T3</t>
        </is>
      </c>
      <c r="E346" s="9" t="n"/>
      <c r="F346" s="12" t="n"/>
      <c r="G346" s="9" t="n"/>
      <c r="H346" s="13" t="n"/>
      <c r="I346" s="13" t="n"/>
      <c r="J346" s="13" t="n"/>
      <c r="K346" s="13" t="n"/>
      <c r="L346" s="13" t="n"/>
      <c r="M346" s="13" t="n"/>
      <c r="N346" s="14">
        <f>IF(A346="","",COUNT(H346:M346)/6)</f>
        <v/>
      </c>
      <c r="O346" s="15">
        <f>IF(COUNT(H346:M346)=0,"",IF(LEN(IF(COUNT(I346,J346)=2,IF(J346&gt;I346+1,"EBE &gt; VA ",""),"")&amp;IF(COUNT(H346,M346)=2,IF(ABS(M346)&gt;ABS(H346),"RN &gt; CA ",""),"")&amp;IF(COUNT(H346,K346)=2,IF(ABS(K346)&gt;ABS(H346),"RE &gt; CA ",""),""))=0,"OK",IF(COUNT(I346,J346)=2,IF(J346&gt;I346+1,"EBE &gt; VA ",""),"")&amp;IF(COUNT(H346,M346)=2,IF(ABS(M346)&gt;ABS(H346),"RN &gt; CA ",""),"")&amp;IF(COUNT(H346,K346)=2,IF(ABS(K346)&gt;ABS(H346),"RE &gt; CA ",""),"")))</f>
        <v/>
      </c>
      <c r="P346" s="16">
        <f>IF(OR($A346="",H346="",$C346=""),"",IF(COUNTIFS($A$5:$A$639,$A346,$C$5:$C$639,$C346-1,$D$5:$D$639,$D346,H$5:H$639,"&lt;&gt;")=0,"",IF(OR(SUMIFS(H$5:H$639,$A$5:$A$639,$A346,$C$5:$C$639,$C346-1,$D$5:$D$639,$D346)=0,H346*SUMIFS(H$5:H$639,$A$5:$A$639,$A346,$C$5:$C$639,$C346-1,$D$5:$D$639,$D346)&lt;0),"n.s.",ABS(H346)/ABS(SUMIFS(H$5:H$639,$A$5:$A$639,$A346,$C$5:$C$639,$C346-1,$D$5:$D$639,$D346))-1)))</f>
        <v/>
      </c>
      <c r="Q346" s="16">
        <f>IF(OR($A346="",I346="",$C346=""),"",IF(COUNTIFS($A$5:$A$639,$A346,$C$5:$C$639,$C346-1,$D$5:$D$639,$D346,I$5:I$639,"&lt;&gt;")=0,"",IF(OR(SUMIFS(I$5:I$639,$A$5:$A$639,$A346,$C$5:$C$639,$C346-1,$D$5:$D$639,$D346)=0,I346*SUMIFS(I$5:I$639,$A$5:$A$639,$A346,$C$5:$C$639,$C346-1,$D$5:$D$639,$D346)&lt;0),"n.s.",ABS(I346)/ABS(SUMIFS(I$5:I$639,$A$5:$A$639,$A346,$C$5:$C$639,$C346-1,$D$5:$D$639,$D346))-1)))</f>
        <v/>
      </c>
      <c r="R346" s="16">
        <f>IF(OR($A346="",J346="",$C346=""),"",IF(COUNTIFS($A$5:$A$639,$A346,$C$5:$C$639,$C346-1,$D$5:$D$639,$D346,J$5:J$639,"&lt;&gt;")=0,"",IF(OR(SUMIFS(J$5:J$639,$A$5:$A$639,$A346,$C$5:$C$639,$C346-1,$D$5:$D$639,$D346)=0,J346*SUMIFS(J$5:J$639,$A$5:$A$639,$A346,$C$5:$C$639,$C346-1,$D$5:$D$639,$D346)&lt;0),"n.s.",ABS(J346)/ABS(SUMIFS(J$5:J$639,$A$5:$A$639,$A346,$C$5:$C$639,$C346-1,$D$5:$D$639,$D346))-1)))</f>
        <v/>
      </c>
      <c r="S346" s="16">
        <f>IF(OR($A346="",K346="",$C346=""),"",IF(COUNTIFS($A$5:$A$639,$A346,$C$5:$C$639,$C346-1,$D$5:$D$639,$D346,K$5:K$639,"&lt;&gt;")=0,"",IF(OR(SUMIFS(K$5:K$639,$A$5:$A$639,$A346,$C$5:$C$639,$C346-1,$D$5:$D$639,$D346)=0,K346*SUMIFS(K$5:K$639,$A$5:$A$639,$A346,$C$5:$C$639,$C346-1,$D$5:$D$639,$D346)&lt;0),"n.s.",ABS(K346)/ABS(SUMIFS(K$5:K$639,$A$5:$A$639,$A346,$C$5:$C$639,$C346-1,$D$5:$D$639,$D346))-1)))</f>
        <v/>
      </c>
      <c r="T346" s="16">
        <f>IF(OR($A346="",L346="",$C346=""),"",IF(COUNTIFS($A$5:$A$639,$A346,$C$5:$C$639,$C346-1,$D$5:$D$639,$D346,L$5:L$639,"&lt;&gt;")=0,"",IF(OR(SUMIFS(L$5:L$639,$A$5:$A$639,$A346,$C$5:$C$639,$C346-1,$D$5:$D$639,$D346)=0,L346*SUMIFS(L$5:L$639,$A$5:$A$639,$A346,$C$5:$C$639,$C346-1,$D$5:$D$639,$D346)&lt;0),"n.s.",ABS(L346)/ABS(SUMIFS(L$5:L$639,$A$5:$A$639,$A346,$C$5:$C$639,$C346-1,$D$5:$D$639,$D346))-1)))</f>
        <v/>
      </c>
      <c r="U346" s="16">
        <f>IF(OR($A346="",M346="",$C346=""),"",IF(COUNTIFS($A$5:$A$639,$A346,$C$5:$C$639,$C346-1,$D$5:$D$639,$D346,M$5:M$639,"&lt;&gt;")=0,"",IF(OR(SUMIFS(M$5:M$639,$A$5:$A$639,$A346,$C$5:$C$639,$C346-1,$D$5:$D$639,$D346)=0,M346*SUMIFS(M$5:M$639,$A$5:$A$639,$A346,$C$5:$C$639,$C346-1,$D$5:$D$639,$D346)&lt;0),"n.s.",ABS(M346)/ABS(SUMIFS(M$5:M$639,$A$5:$A$639,$A346,$C$5:$C$639,$C346-1,$D$5:$D$639,$D346))-1)))</f>
        <v/>
      </c>
    </row>
    <row r="347">
      <c r="A347" s="9" t="inlineStr">
        <is>
          <t>SEMC</t>
        </is>
      </c>
      <c r="B347" s="10">
        <f>IF(A347="","",IFERROR(VLOOKUP(A347,Titres!$A$2:$B$400,2,FALSE),"Ticker inconnu"))</f>
        <v/>
      </c>
      <c r="C347" s="11" t="n">
        <v>2021</v>
      </c>
      <c r="D347" s="11" t="inlineStr">
        <is>
          <t>T1</t>
        </is>
      </c>
      <c r="E347" s="9" t="n"/>
      <c r="F347" s="12" t="n"/>
      <c r="G347" s="9" t="n"/>
      <c r="H347" s="13" t="n"/>
      <c r="I347" s="13" t="n"/>
      <c r="J347" s="13" t="n"/>
      <c r="K347" s="13" t="n"/>
      <c r="L347" s="13" t="n"/>
      <c r="M347" s="13" t="n"/>
      <c r="N347" s="14">
        <f>IF(A347="","",COUNT(H347:M347)/6)</f>
        <v/>
      </c>
      <c r="O347" s="15">
        <f>IF(COUNT(H347:M347)=0,"",IF(LEN(IF(COUNT(I347,J347)=2,IF(J347&gt;I347+1,"EBE &gt; VA ",""),"")&amp;IF(COUNT(H347,M347)=2,IF(ABS(M347)&gt;ABS(H347),"RN &gt; CA ",""),"")&amp;IF(COUNT(H347,K347)=2,IF(ABS(K347)&gt;ABS(H347),"RE &gt; CA ",""),""))=0,"OK",IF(COUNT(I347,J347)=2,IF(J347&gt;I347+1,"EBE &gt; VA ",""),"")&amp;IF(COUNT(H347,M347)=2,IF(ABS(M347)&gt;ABS(H347),"RN &gt; CA ",""),"")&amp;IF(COUNT(H347,K347)=2,IF(ABS(K347)&gt;ABS(H347),"RE &gt; CA ",""),"")))</f>
        <v/>
      </c>
      <c r="P347" s="16">
        <f>IF(OR($A347="",H347="",$C347=""),"",IF(COUNTIFS($A$5:$A$639,$A347,$C$5:$C$639,$C347-1,$D$5:$D$639,$D347,H$5:H$639,"&lt;&gt;")=0,"",IF(OR(SUMIFS(H$5:H$639,$A$5:$A$639,$A347,$C$5:$C$639,$C347-1,$D$5:$D$639,$D347)=0,H347*SUMIFS(H$5:H$639,$A$5:$A$639,$A347,$C$5:$C$639,$C347-1,$D$5:$D$639,$D347)&lt;0),"n.s.",ABS(H347)/ABS(SUMIFS(H$5:H$639,$A$5:$A$639,$A347,$C$5:$C$639,$C347-1,$D$5:$D$639,$D347))-1)))</f>
        <v/>
      </c>
      <c r="Q347" s="16">
        <f>IF(OR($A347="",I347="",$C347=""),"",IF(COUNTIFS($A$5:$A$639,$A347,$C$5:$C$639,$C347-1,$D$5:$D$639,$D347,I$5:I$639,"&lt;&gt;")=0,"",IF(OR(SUMIFS(I$5:I$639,$A$5:$A$639,$A347,$C$5:$C$639,$C347-1,$D$5:$D$639,$D347)=0,I347*SUMIFS(I$5:I$639,$A$5:$A$639,$A347,$C$5:$C$639,$C347-1,$D$5:$D$639,$D347)&lt;0),"n.s.",ABS(I347)/ABS(SUMIFS(I$5:I$639,$A$5:$A$639,$A347,$C$5:$C$639,$C347-1,$D$5:$D$639,$D347))-1)))</f>
        <v/>
      </c>
      <c r="R347" s="16">
        <f>IF(OR($A347="",J347="",$C347=""),"",IF(COUNTIFS($A$5:$A$639,$A347,$C$5:$C$639,$C347-1,$D$5:$D$639,$D347,J$5:J$639,"&lt;&gt;")=0,"",IF(OR(SUMIFS(J$5:J$639,$A$5:$A$639,$A347,$C$5:$C$639,$C347-1,$D$5:$D$639,$D347)=0,J347*SUMIFS(J$5:J$639,$A$5:$A$639,$A347,$C$5:$C$639,$C347-1,$D$5:$D$639,$D347)&lt;0),"n.s.",ABS(J347)/ABS(SUMIFS(J$5:J$639,$A$5:$A$639,$A347,$C$5:$C$639,$C347-1,$D$5:$D$639,$D347))-1)))</f>
        <v/>
      </c>
      <c r="S347" s="16">
        <f>IF(OR($A347="",K347="",$C347=""),"",IF(COUNTIFS($A$5:$A$639,$A347,$C$5:$C$639,$C347-1,$D$5:$D$639,$D347,K$5:K$639,"&lt;&gt;")=0,"",IF(OR(SUMIFS(K$5:K$639,$A$5:$A$639,$A347,$C$5:$C$639,$C347-1,$D$5:$D$639,$D347)=0,K347*SUMIFS(K$5:K$639,$A$5:$A$639,$A347,$C$5:$C$639,$C347-1,$D$5:$D$639,$D347)&lt;0),"n.s.",ABS(K347)/ABS(SUMIFS(K$5:K$639,$A$5:$A$639,$A347,$C$5:$C$639,$C347-1,$D$5:$D$639,$D347))-1)))</f>
        <v/>
      </c>
      <c r="T347" s="16">
        <f>IF(OR($A347="",L347="",$C347=""),"",IF(COUNTIFS($A$5:$A$639,$A347,$C$5:$C$639,$C347-1,$D$5:$D$639,$D347,L$5:L$639,"&lt;&gt;")=0,"",IF(OR(SUMIFS(L$5:L$639,$A$5:$A$639,$A347,$C$5:$C$639,$C347-1,$D$5:$D$639,$D347)=0,L347*SUMIFS(L$5:L$639,$A$5:$A$639,$A347,$C$5:$C$639,$C347-1,$D$5:$D$639,$D347)&lt;0),"n.s.",ABS(L347)/ABS(SUMIFS(L$5:L$639,$A$5:$A$639,$A347,$C$5:$C$639,$C347-1,$D$5:$D$639,$D347))-1)))</f>
        <v/>
      </c>
      <c r="U347" s="16">
        <f>IF(OR($A347="",M347="",$C347=""),"",IF(COUNTIFS($A$5:$A$639,$A347,$C$5:$C$639,$C347-1,$D$5:$D$639,$D347,M$5:M$639,"&lt;&gt;")=0,"",IF(OR(SUMIFS(M$5:M$639,$A$5:$A$639,$A347,$C$5:$C$639,$C347-1,$D$5:$D$639,$D347)=0,M347*SUMIFS(M$5:M$639,$A$5:$A$639,$A347,$C$5:$C$639,$C347-1,$D$5:$D$639,$D347)&lt;0),"n.s.",ABS(M347)/ABS(SUMIFS(M$5:M$639,$A$5:$A$639,$A347,$C$5:$C$639,$C347-1,$D$5:$D$639,$D347))-1)))</f>
        <v/>
      </c>
    </row>
    <row r="348">
      <c r="A348" s="9" t="inlineStr">
        <is>
          <t>SEMC</t>
        </is>
      </c>
      <c r="B348" s="10">
        <f>IF(A348="","",IFERROR(VLOOKUP(A348,Titres!$A$2:$B$400,2,FALSE),"Ticker inconnu"))</f>
        <v/>
      </c>
      <c r="C348" s="11" t="n">
        <v>2021</v>
      </c>
      <c r="D348" s="11" t="inlineStr">
        <is>
          <t>S1</t>
        </is>
      </c>
      <c r="E348" s="9" t="n"/>
      <c r="F348" s="12" t="n"/>
      <c r="G348" s="9" t="n"/>
      <c r="H348" s="13" t="n"/>
      <c r="I348" s="13" t="n"/>
      <c r="J348" s="13" t="n"/>
      <c r="K348" s="13" t="n"/>
      <c r="L348" s="13" t="n"/>
      <c r="M348" s="13" t="n"/>
      <c r="N348" s="14">
        <f>IF(A348="","",COUNT(H348:M348)/6)</f>
        <v/>
      </c>
      <c r="O348" s="15">
        <f>IF(COUNT(H348:M348)=0,"",IF(LEN(IF(COUNT(I348,J348)=2,IF(J348&gt;I348+1,"EBE &gt; VA ",""),"")&amp;IF(COUNT(H348,M348)=2,IF(ABS(M348)&gt;ABS(H348),"RN &gt; CA ",""),"")&amp;IF(COUNT(H348,K348)=2,IF(ABS(K348)&gt;ABS(H348),"RE &gt; CA ",""),""))=0,"OK",IF(COUNT(I348,J348)=2,IF(J348&gt;I348+1,"EBE &gt; VA ",""),"")&amp;IF(COUNT(H348,M348)=2,IF(ABS(M348)&gt;ABS(H348),"RN &gt; CA ",""),"")&amp;IF(COUNT(H348,K348)=2,IF(ABS(K348)&gt;ABS(H348),"RE &gt; CA ",""),"")))</f>
        <v/>
      </c>
      <c r="P348" s="16">
        <f>IF(OR($A348="",H348="",$C348=""),"",IF(COUNTIFS($A$5:$A$639,$A348,$C$5:$C$639,$C348-1,$D$5:$D$639,$D348,H$5:H$639,"&lt;&gt;")=0,"",IF(OR(SUMIFS(H$5:H$639,$A$5:$A$639,$A348,$C$5:$C$639,$C348-1,$D$5:$D$639,$D348)=0,H348*SUMIFS(H$5:H$639,$A$5:$A$639,$A348,$C$5:$C$639,$C348-1,$D$5:$D$639,$D348)&lt;0),"n.s.",ABS(H348)/ABS(SUMIFS(H$5:H$639,$A$5:$A$639,$A348,$C$5:$C$639,$C348-1,$D$5:$D$639,$D348))-1)))</f>
        <v/>
      </c>
      <c r="Q348" s="16">
        <f>IF(OR($A348="",I348="",$C348=""),"",IF(COUNTIFS($A$5:$A$639,$A348,$C$5:$C$639,$C348-1,$D$5:$D$639,$D348,I$5:I$639,"&lt;&gt;")=0,"",IF(OR(SUMIFS(I$5:I$639,$A$5:$A$639,$A348,$C$5:$C$639,$C348-1,$D$5:$D$639,$D348)=0,I348*SUMIFS(I$5:I$639,$A$5:$A$639,$A348,$C$5:$C$639,$C348-1,$D$5:$D$639,$D348)&lt;0),"n.s.",ABS(I348)/ABS(SUMIFS(I$5:I$639,$A$5:$A$639,$A348,$C$5:$C$639,$C348-1,$D$5:$D$639,$D348))-1)))</f>
        <v/>
      </c>
      <c r="R348" s="16">
        <f>IF(OR($A348="",J348="",$C348=""),"",IF(COUNTIFS($A$5:$A$639,$A348,$C$5:$C$639,$C348-1,$D$5:$D$639,$D348,J$5:J$639,"&lt;&gt;")=0,"",IF(OR(SUMIFS(J$5:J$639,$A$5:$A$639,$A348,$C$5:$C$639,$C348-1,$D$5:$D$639,$D348)=0,J348*SUMIFS(J$5:J$639,$A$5:$A$639,$A348,$C$5:$C$639,$C348-1,$D$5:$D$639,$D348)&lt;0),"n.s.",ABS(J348)/ABS(SUMIFS(J$5:J$639,$A$5:$A$639,$A348,$C$5:$C$639,$C348-1,$D$5:$D$639,$D348))-1)))</f>
        <v/>
      </c>
      <c r="S348" s="16">
        <f>IF(OR($A348="",K348="",$C348=""),"",IF(COUNTIFS($A$5:$A$639,$A348,$C$5:$C$639,$C348-1,$D$5:$D$639,$D348,K$5:K$639,"&lt;&gt;")=0,"",IF(OR(SUMIFS(K$5:K$639,$A$5:$A$639,$A348,$C$5:$C$639,$C348-1,$D$5:$D$639,$D348)=0,K348*SUMIFS(K$5:K$639,$A$5:$A$639,$A348,$C$5:$C$639,$C348-1,$D$5:$D$639,$D348)&lt;0),"n.s.",ABS(K348)/ABS(SUMIFS(K$5:K$639,$A$5:$A$639,$A348,$C$5:$C$639,$C348-1,$D$5:$D$639,$D348))-1)))</f>
        <v/>
      </c>
      <c r="T348" s="16">
        <f>IF(OR($A348="",L348="",$C348=""),"",IF(COUNTIFS($A$5:$A$639,$A348,$C$5:$C$639,$C348-1,$D$5:$D$639,$D348,L$5:L$639,"&lt;&gt;")=0,"",IF(OR(SUMIFS(L$5:L$639,$A$5:$A$639,$A348,$C$5:$C$639,$C348-1,$D$5:$D$639,$D348)=0,L348*SUMIFS(L$5:L$639,$A$5:$A$639,$A348,$C$5:$C$639,$C348-1,$D$5:$D$639,$D348)&lt;0),"n.s.",ABS(L348)/ABS(SUMIFS(L$5:L$639,$A$5:$A$639,$A348,$C$5:$C$639,$C348-1,$D$5:$D$639,$D348))-1)))</f>
        <v/>
      </c>
      <c r="U348" s="16">
        <f>IF(OR($A348="",M348="",$C348=""),"",IF(COUNTIFS($A$5:$A$639,$A348,$C$5:$C$639,$C348-1,$D$5:$D$639,$D348,M$5:M$639,"&lt;&gt;")=0,"",IF(OR(SUMIFS(M$5:M$639,$A$5:$A$639,$A348,$C$5:$C$639,$C348-1,$D$5:$D$639,$D348)=0,M348*SUMIFS(M$5:M$639,$A$5:$A$639,$A348,$C$5:$C$639,$C348-1,$D$5:$D$639,$D348)&lt;0),"n.s.",ABS(M348)/ABS(SUMIFS(M$5:M$639,$A$5:$A$639,$A348,$C$5:$C$639,$C348-1,$D$5:$D$639,$D348))-1)))</f>
        <v/>
      </c>
    </row>
    <row r="349">
      <c r="A349" s="9" t="inlineStr">
        <is>
          <t>SEMC</t>
        </is>
      </c>
      <c r="B349" s="10">
        <f>IF(A349="","",IFERROR(VLOOKUP(A349,Titres!$A$2:$B$400,2,FALSE),"Ticker inconnu"))</f>
        <v/>
      </c>
      <c r="C349" s="11" t="n">
        <v>2021</v>
      </c>
      <c r="D349" s="11" t="inlineStr">
        <is>
          <t>T3</t>
        </is>
      </c>
      <c r="E349" s="9" t="n"/>
      <c r="F349" s="12" t="n"/>
      <c r="G349" s="9" t="n"/>
      <c r="H349" s="13" t="n"/>
      <c r="I349" s="13" t="n"/>
      <c r="J349" s="13" t="n"/>
      <c r="K349" s="13" t="n"/>
      <c r="L349" s="13" t="n"/>
      <c r="M349" s="13" t="n"/>
      <c r="N349" s="14">
        <f>IF(A349="","",COUNT(H349:M349)/6)</f>
        <v/>
      </c>
      <c r="O349" s="15">
        <f>IF(COUNT(H349:M349)=0,"",IF(LEN(IF(COUNT(I349,J349)=2,IF(J349&gt;I349+1,"EBE &gt; VA ",""),"")&amp;IF(COUNT(H349,M349)=2,IF(ABS(M349)&gt;ABS(H349),"RN &gt; CA ",""),"")&amp;IF(COUNT(H349,K349)=2,IF(ABS(K349)&gt;ABS(H349),"RE &gt; CA ",""),""))=0,"OK",IF(COUNT(I349,J349)=2,IF(J349&gt;I349+1,"EBE &gt; VA ",""),"")&amp;IF(COUNT(H349,M349)=2,IF(ABS(M349)&gt;ABS(H349),"RN &gt; CA ",""),"")&amp;IF(COUNT(H349,K349)=2,IF(ABS(K349)&gt;ABS(H349),"RE &gt; CA ",""),"")))</f>
        <v/>
      </c>
      <c r="P349" s="16">
        <f>IF(OR($A349="",H349="",$C349=""),"",IF(COUNTIFS($A$5:$A$639,$A349,$C$5:$C$639,$C349-1,$D$5:$D$639,$D349,H$5:H$639,"&lt;&gt;")=0,"",IF(OR(SUMIFS(H$5:H$639,$A$5:$A$639,$A349,$C$5:$C$639,$C349-1,$D$5:$D$639,$D349)=0,H349*SUMIFS(H$5:H$639,$A$5:$A$639,$A349,$C$5:$C$639,$C349-1,$D$5:$D$639,$D349)&lt;0),"n.s.",ABS(H349)/ABS(SUMIFS(H$5:H$639,$A$5:$A$639,$A349,$C$5:$C$639,$C349-1,$D$5:$D$639,$D349))-1)))</f>
        <v/>
      </c>
      <c r="Q349" s="16">
        <f>IF(OR($A349="",I349="",$C349=""),"",IF(COUNTIFS($A$5:$A$639,$A349,$C$5:$C$639,$C349-1,$D$5:$D$639,$D349,I$5:I$639,"&lt;&gt;")=0,"",IF(OR(SUMIFS(I$5:I$639,$A$5:$A$639,$A349,$C$5:$C$639,$C349-1,$D$5:$D$639,$D349)=0,I349*SUMIFS(I$5:I$639,$A$5:$A$639,$A349,$C$5:$C$639,$C349-1,$D$5:$D$639,$D349)&lt;0),"n.s.",ABS(I349)/ABS(SUMIFS(I$5:I$639,$A$5:$A$639,$A349,$C$5:$C$639,$C349-1,$D$5:$D$639,$D349))-1)))</f>
        <v/>
      </c>
      <c r="R349" s="16">
        <f>IF(OR($A349="",J349="",$C349=""),"",IF(COUNTIFS($A$5:$A$639,$A349,$C$5:$C$639,$C349-1,$D$5:$D$639,$D349,J$5:J$639,"&lt;&gt;")=0,"",IF(OR(SUMIFS(J$5:J$639,$A$5:$A$639,$A349,$C$5:$C$639,$C349-1,$D$5:$D$639,$D349)=0,J349*SUMIFS(J$5:J$639,$A$5:$A$639,$A349,$C$5:$C$639,$C349-1,$D$5:$D$639,$D349)&lt;0),"n.s.",ABS(J349)/ABS(SUMIFS(J$5:J$639,$A$5:$A$639,$A349,$C$5:$C$639,$C349-1,$D$5:$D$639,$D349))-1)))</f>
        <v/>
      </c>
      <c r="S349" s="16">
        <f>IF(OR($A349="",K349="",$C349=""),"",IF(COUNTIFS($A$5:$A$639,$A349,$C$5:$C$639,$C349-1,$D$5:$D$639,$D349,K$5:K$639,"&lt;&gt;")=0,"",IF(OR(SUMIFS(K$5:K$639,$A$5:$A$639,$A349,$C$5:$C$639,$C349-1,$D$5:$D$639,$D349)=0,K349*SUMIFS(K$5:K$639,$A$5:$A$639,$A349,$C$5:$C$639,$C349-1,$D$5:$D$639,$D349)&lt;0),"n.s.",ABS(K349)/ABS(SUMIFS(K$5:K$639,$A$5:$A$639,$A349,$C$5:$C$639,$C349-1,$D$5:$D$639,$D349))-1)))</f>
        <v/>
      </c>
      <c r="T349" s="16">
        <f>IF(OR($A349="",L349="",$C349=""),"",IF(COUNTIFS($A$5:$A$639,$A349,$C$5:$C$639,$C349-1,$D$5:$D$639,$D349,L$5:L$639,"&lt;&gt;")=0,"",IF(OR(SUMIFS(L$5:L$639,$A$5:$A$639,$A349,$C$5:$C$639,$C349-1,$D$5:$D$639,$D349)=0,L349*SUMIFS(L$5:L$639,$A$5:$A$639,$A349,$C$5:$C$639,$C349-1,$D$5:$D$639,$D349)&lt;0),"n.s.",ABS(L349)/ABS(SUMIFS(L$5:L$639,$A$5:$A$639,$A349,$C$5:$C$639,$C349-1,$D$5:$D$639,$D349))-1)))</f>
        <v/>
      </c>
      <c r="U349" s="16">
        <f>IF(OR($A349="",M349="",$C349=""),"",IF(COUNTIFS($A$5:$A$639,$A349,$C$5:$C$639,$C349-1,$D$5:$D$639,$D349,M$5:M$639,"&lt;&gt;")=0,"",IF(OR(SUMIFS(M$5:M$639,$A$5:$A$639,$A349,$C$5:$C$639,$C349-1,$D$5:$D$639,$D349)=0,M349*SUMIFS(M$5:M$639,$A$5:$A$639,$A349,$C$5:$C$639,$C349-1,$D$5:$D$639,$D349)&lt;0),"n.s.",ABS(M349)/ABS(SUMIFS(M$5:M$639,$A$5:$A$639,$A349,$C$5:$C$639,$C349-1,$D$5:$D$639,$D349))-1)))</f>
        <v/>
      </c>
    </row>
    <row r="350">
      <c r="A350" s="9" t="inlineStr">
        <is>
          <t>SEMC</t>
        </is>
      </c>
      <c r="B350" s="10">
        <f>IF(A350="","",IFERROR(VLOOKUP(A350,Titres!$A$2:$B$400,2,FALSE),"Ticker inconnu"))</f>
        <v/>
      </c>
      <c r="C350" s="11" t="n">
        <v>2022</v>
      </c>
      <c r="D350" s="11" t="inlineStr">
        <is>
          <t>T1</t>
        </is>
      </c>
      <c r="E350" s="9" t="n"/>
      <c r="F350" s="12" t="n"/>
      <c r="G350" s="9" t="n"/>
      <c r="H350" s="13" t="n"/>
      <c r="I350" s="13" t="n"/>
      <c r="J350" s="13" t="n"/>
      <c r="K350" s="13" t="n"/>
      <c r="L350" s="13" t="n"/>
      <c r="M350" s="13" t="n"/>
      <c r="N350" s="14">
        <f>IF(A350="","",COUNT(H350:M350)/6)</f>
        <v/>
      </c>
      <c r="O350" s="15">
        <f>IF(COUNT(H350:M350)=0,"",IF(LEN(IF(COUNT(I350,J350)=2,IF(J350&gt;I350+1,"EBE &gt; VA ",""),"")&amp;IF(COUNT(H350,M350)=2,IF(ABS(M350)&gt;ABS(H350),"RN &gt; CA ",""),"")&amp;IF(COUNT(H350,K350)=2,IF(ABS(K350)&gt;ABS(H350),"RE &gt; CA ",""),""))=0,"OK",IF(COUNT(I350,J350)=2,IF(J350&gt;I350+1,"EBE &gt; VA ",""),"")&amp;IF(COUNT(H350,M350)=2,IF(ABS(M350)&gt;ABS(H350),"RN &gt; CA ",""),"")&amp;IF(COUNT(H350,K350)=2,IF(ABS(K350)&gt;ABS(H350),"RE &gt; CA ",""),"")))</f>
        <v/>
      </c>
      <c r="P350" s="16">
        <f>IF(OR($A350="",H350="",$C350=""),"",IF(COUNTIFS($A$5:$A$639,$A350,$C$5:$C$639,$C350-1,$D$5:$D$639,$D350,H$5:H$639,"&lt;&gt;")=0,"",IF(OR(SUMIFS(H$5:H$639,$A$5:$A$639,$A350,$C$5:$C$639,$C350-1,$D$5:$D$639,$D350)=0,H350*SUMIFS(H$5:H$639,$A$5:$A$639,$A350,$C$5:$C$639,$C350-1,$D$5:$D$639,$D350)&lt;0),"n.s.",ABS(H350)/ABS(SUMIFS(H$5:H$639,$A$5:$A$639,$A350,$C$5:$C$639,$C350-1,$D$5:$D$639,$D350))-1)))</f>
        <v/>
      </c>
      <c r="Q350" s="16">
        <f>IF(OR($A350="",I350="",$C350=""),"",IF(COUNTIFS($A$5:$A$639,$A350,$C$5:$C$639,$C350-1,$D$5:$D$639,$D350,I$5:I$639,"&lt;&gt;")=0,"",IF(OR(SUMIFS(I$5:I$639,$A$5:$A$639,$A350,$C$5:$C$639,$C350-1,$D$5:$D$639,$D350)=0,I350*SUMIFS(I$5:I$639,$A$5:$A$639,$A350,$C$5:$C$639,$C350-1,$D$5:$D$639,$D350)&lt;0),"n.s.",ABS(I350)/ABS(SUMIFS(I$5:I$639,$A$5:$A$639,$A350,$C$5:$C$639,$C350-1,$D$5:$D$639,$D350))-1)))</f>
        <v/>
      </c>
      <c r="R350" s="16">
        <f>IF(OR($A350="",J350="",$C350=""),"",IF(COUNTIFS($A$5:$A$639,$A350,$C$5:$C$639,$C350-1,$D$5:$D$639,$D350,J$5:J$639,"&lt;&gt;")=0,"",IF(OR(SUMIFS(J$5:J$639,$A$5:$A$639,$A350,$C$5:$C$639,$C350-1,$D$5:$D$639,$D350)=0,J350*SUMIFS(J$5:J$639,$A$5:$A$639,$A350,$C$5:$C$639,$C350-1,$D$5:$D$639,$D350)&lt;0),"n.s.",ABS(J350)/ABS(SUMIFS(J$5:J$639,$A$5:$A$639,$A350,$C$5:$C$639,$C350-1,$D$5:$D$639,$D350))-1)))</f>
        <v/>
      </c>
      <c r="S350" s="16">
        <f>IF(OR($A350="",K350="",$C350=""),"",IF(COUNTIFS($A$5:$A$639,$A350,$C$5:$C$639,$C350-1,$D$5:$D$639,$D350,K$5:K$639,"&lt;&gt;")=0,"",IF(OR(SUMIFS(K$5:K$639,$A$5:$A$639,$A350,$C$5:$C$639,$C350-1,$D$5:$D$639,$D350)=0,K350*SUMIFS(K$5:K$639,$A$5:$A$639,$A350,$C$5:$C$639,$C350-1,$D$5:$D$639,$D350)&lt;0),"n.s.",ABS(K350)/ABS(SUMIFS(K$5:K$639,$A$5:$A$639,$A350,$C$5:$C$639,$C350-1,$D$5:$D$639,$D350))-1)))</f>
        <v/>
      </c>
      <c r="T350" s="16">
        <f>IF(OR($A350="",L350="",$C350=""),"",IF(COUNTIFS($A$5:$A$639,$A350,$C$5:$C$639,$C350-1,$D$5:$D$639,$D350,L$5:L$639,"&lt;&gt;")=0,"",IF(OR(SUMIFS(L$5:L$639,$A$5:$A$639,$A350,$C$5:$C$639,$C350-1,$D$5:$D$639,$D350)=0,L350*SUMIFS(L$5:L$639,$A$5:$A$639,$A350,$C$5:$C$639,$C350-1,$D$5:$D$639,$D350)&lt;0),"n.s.",ABS(L350)/ABS(SUMIFS(L$5:L$639,$A$5:$A$639,$A350,$C$5:$C$639,$C350-1,$D$5:$D$639,$D350))-1)))</f>
        <v/>
      </c>
      <c r="U350" s="16">
        <f>IF(OR($A350="",M350="",$C350=""),"",IF(COUNTIFS($A$5:$A$639,$A350,$C$5:$C$639,$C350-1,$D$5:$D$639,$D350,M$5:M$639,"&lt;&gt;")=0,"",IF(OR(SUMIFS(M$5:M$639,$A$5:$A$639,$A350,$C$5:$C$639,$C350-1,$D$5:$D$639,$D350)=0,M350*SUMIFS(M$5:M$639,$A$5:$A$639,$A350,$C$5:$C$639,$C350-1,$D$5:$D$639,$D350)&lt;0),"n.s.",ABS(M350)/ABS(SUMIFS(M$5:M$639,$A$5:$A$639,$A350,$C$5:$C$639,$C350-1,$D$5:$D$639,$D350))-1)))</f>
        <v/>
      </c>
    </row>
    <row r="351">
      <c r="A351" s="9" t="inlineStr">
        <is>
          <t>SEMC</t>
        </is>
      </c>
      <c r="B351" s="10">
        <f>IF(A351="","",IFERROR(VLOOKUP(A351,Titres!$A$2:$B$400,2,FALSE),"Ticker inconnu"))</f>
        <v/>
      </c>
      <c r="C351" s="11" t="n">
        <v>2022</v>
      </c>
      <c r="D351" s="11" t="inlineStr">
        <is>
          <t>S1</t>
        </is>
      </c>
      <c r="E351" s="9" t="n"/>
      <c r="F351" s="12" t="n"/>
      <c r="G351" s="9" t="n"/>
      <c r="H351" s="13" t="n"/>
      <c r="I351" s="13" t="n"/>
      <c r="J351" s="13" t="n"/>
      <c r="K351" s="13" t="n"/>
      <c r="L351" s="13" t="n"/>
      <c r="M351" s="13" t="n"/>
      <c r="N351" s="14">
        <f>IF(A351="","",COUNT(H351:M351)/6)</f>
        <v/>
      </c>
      <c r="O351" s="15">
        <f>IF(COUNT(H351:M351)=0,"",IF(LEN(IF(COUNT(I351,J351)=2,IF(J351&gt;I351+1,"EBE &gt; VA ",""),"")&amp;IF(COUNT(H351,M351)=2,IF(ABS(M351)&gt;ABS(H351),"RN &gt; CA ",""),"")&amp;IF(COUNT(H351,K351)=2,IF(ABS(K351)&gt;ABS(H351),"RE &gt; CA ",""),""))=0,"OK",IF(COUNT(I351,J351)=2,IF(J351&gt;I351+1,"EBE &gt; VA ",""),"")&amp;IF(COUNT(H351,M351)=2,IF(ABS(M351)&gt;ABS(H351),"RN &gt; CA ",""),"")&amp;IF(COUNT(H351,K351)=2,IF(ABS(K351)&gt;ABS(H351),"RE &gt; CA ",""),"")))</f>
        <v/>
      </c>
      <c r="P351" s="16">
        <f>IF(OR($A351="",H351="",$C351=""),"",IF(COUNTIFS($A$5:$A$639,$A351,$C$5:$C$639,$C351-1,$D$5:$D$639,$D351,H$5:H$639,"&lt;&gt;")=0,"",IF(OR(SUMIFS(H$5:H$639,$A$5:$A$639,$A351,$C$5:$C$639,$C351-1,$D$5:$D$639,$D351)=0,H351*SUMIFS(H$5:H$639,$A$5:$A$639,$A351,$C$5:$C$639,$C351-1,$D$5:$D$639,$D351)&lt;0),"n.s.",ABS(H351)/ABS(SUMIFS(H$5:H$639,$A$5:$A$639,$A351,$C$5:$C$639,$C351-1,$D$5:$D$639,$D351))-1)))</f>
        <v/>
      </c>
      <c r="Q351" s="16">
        <f>IF(OR($A351="",I351="",$C351=""),"",IF(COUNTIFS($A$5:$A$639,$A351,$C$5:$C$639,$C351-1,$D$5:$D$639,$D351,I$5:I$639,"&lt;&gt;")=0,"",IF(OR(SUMIFS(I$5:I$639,$A$5:$A$639,$A351,$C$5:$C$639,$C351-1,$D$5:$D$639,$D351)=0,I351*SUMIFS(I$5:I$639,$A$5:$A$639,$A351,$C$5:$C$639,$C351-1,$D$5:$D$639,$D351)&lt;0),"n.s.",ABS(I351)/ABS(SUMIFS(I$5:I$639,$A$5:$A$639,$A351,$C$5:$C$639,$C351-1,$D$5:$D$639,$D351))-1)))</f>
        <v/>
      </c>
      <c r="R351" s="16">
        <f>IF(OR($A351="",J351="",$C351=""),"",IF(COUNTIFS($A$5:$A$639,$A351,$C$5:$C$639,$C351-1,$D$5:$D$639,$D351,J$5:J$639,"&lt;&gt;")=0,"",IF(OR(SUMIFS(J$5:J$639,$A$5:$A$639,$A351,$C$5:$C$639,$C351-1,$D$5:$D$639,$D351)=0,J351*SUMIFS(J$5:J$639,$A$5:$A$639,$A351,$C$5:$C$639,$C351-1,$D$5:$D$639,$D351)&lt;0),"n.s.",ABS(J351)/ABS(SUMIFS(J$5:J$639,$A$5:$A$639,$A351,$C$5:$C$639,$C351-1,$D$5:$D$639,$D351))-1)))</f>
        <v/>
      </c>
      <c r="S351" s="16">
        <f>IF(OR($A351="",K351="",$C351=""),"",IF(COUNTIFS($A$5:$A$639,$A351,$C$5:$C$639,$C351-1,$D$5:$D$639,$D351,K$5:K$639,"&lt;&gt;")=0,"",IF(OR(SUMIFS(K$5:K$639,$A$5:$A$639,$A351,$C$5:$C$639,$C351-1,$D$5:$D$639,$D351)=0,K351*SUMIFS(K$5:K$639,$A$5:$A$639,$A351,$C$5:$C$639,$C351-1,$D$5:$D$639,$D351)&lt;0),"n.s.",ABS(K351)/ABS(SUMIFS(K$5:K$639,$A$5:$A$639,$A351,$C$5:$C$639,$C351-1,$D$5:$D$639,$D351))-1)))</f>
        <v/>
      </c>
      <c r="T351" s="16">
        <f>IF(OR($A351="",L351="",$C351=""),"",IF(COUNTIFS($A$5:$A$639,$A351,$C$5:$C$639,$C351-1,$D$5:$D$639,$D351,L$5:L$639,"&lt;&gt;")=0,"",IF(OR(SUMIFS(L$5:L$639,$A$5:$A$639,$A351,$C$5:$C$639,$C351-1,$D$5:$D$639,$D351)=0,L351*SUMIFS(L$5:L$639,$A$5:$A$639,$A351,$C$5:$C$639,$C351-1,$D$5:$D$639,$D351)&lt;0),"n.s.",ABS(L351)/ABS(SUMIFS(L$5:L$639,$A$5:$A$639,$A351,$C$5:$C$639,$C351-1,$D$5:$D$639,$D351))-1)))</f>
        <v/>
      </c>
      <c r="U351" s="16">
        <f>IF(OR($A351="",M351="",$C351=""),"",IF(COUNTIFS($A$5:$A$639,$A351,$C$5:$C$639,$C351-1,$D$5:$D$639,$D351,M$5:M$639,"&lt;&gt;")=0,"",IF(OR(SUMIFS(M$5:M$639,$A$5:$A$639,$A351,$C$5:$C$639,$C351-1,$D$5:$D$639,$D351)=0,M351*SUMIFS(M$5:M$639,$A$5:$A$639,$A351,$C$5:$C$639,$C351-1,$D$5:$D$639,$D351)&lt;0),"n.s.",ABS(M351)/ABS(SUMIFS(M$5:M$639,$A$5:$A$639,$A351,$C$5:$C$639,$C351-1,$D$5:$D$639,$D351))-1)))</f>
        <v/>
      </c>
    </row>
    <row r="352">
      <c r="A352" s="9" t="inlineStr">
        <is>
          <t>SEMC</t>
        </is>
      </c>
      <c r="B352" s="10">
        <f>IF(A352="","",IFERROR(VLOOKUP(A352,Titres!$A$2:$B$400,2,FALSE),"Ticker inconnu"))</f>
        <v/>
      </c>
      <c r="C352" s="11" t="n">
        <v>2022</v>
      </c>
      <c r="D352" s="11" t="inlineStr">
        <is>
          <t>T3</t>
        </is>
      </c>
      <c r="E352" s="9" t="n"/>
      <c r="F352" s="12" t="n"/>
      <c r="G352" s="9" t="n"/>
      <c r="H352" s="13" t="n"/>
      <c r="I352" s="13" t="n"/>
      <c r="J352" s="13" t="n"/>
      <c r="K352" s="13" t="n"/>
      <c r="L352" s="13" t="n"/>
      <c r="M352" s="13" t="n"/>
      <c r="N352" s="14">
        <f>IF(A352="","",COUNT(H352:M352)/6)</f>
        <v/>
      </c>
      <c r="O352" s="15">
        <f>IF(COUNT(H352:M352)=0,"",IF(LEN(IF(COUNT(I352,J352)=2,IF(J352&gt;I352+1,"EBE &gt; VA ",""),"")&amp;IF(COUNT(H352,M352)=2,IF(ABS(M352)&gt;ABS(H352),"RN &gt; CA ",""),"")&amp;IF(COUNT(H352,K352)=2,IF(ABS(K352)&gt;ABS(H352),"RE &gt; CA ",""),""))=0,"OK",IF(COUNT(I352,J352)=2,IF(J352&gt;I352+1,"EBE &gt; VA ",""),"")&amp;IF(COUNT(H352,M352)=2,IF(ABS(M352)&gt;ABS(H352),"RN &gt; CA ",""),"")&amp;IF(COUNT(H352,K352)=2,IF(ABS(K352)&gt;ABS(H352),"RE &gt; CA ",""),"")))</f>
        <v/>
      </c>
      <c r="P352" s="16">
        <f>IF(OR($A352="",H352="",$C352=""),"",IF(COUNTIFS($A$5:$A$639,$A352,$C$5:$C$639,$C352-1,$D$5:$D$639,$D352,H$5:H$639,"&lt;&gt;")=0,"",IF(OR(SUMIFS(H$5:H$639,$A$5:$A$639,$A352,$C$5:$C$639,$C352-1,$D$5:$D$639,$D352)=0,H352*SUMIFS(H$5:H$639,$A$5:$A$639,$A352,$C$5:$C$639,$C352-1,$D$5:$D$639,$D352)&lt;0),"n.s.",ABS(H352)/ABS(SUMIFS(H$5:H$639,$A$5:$A$639,$A352,$C$5:$C$639,$C352-1,$D$5:$D$639,$D352))-1)))</f>
        <v/>
      </c>
      <c r="Q352" s="16">
        <f>IF(OR($A352="",I352="",$C352=""),"",IF(COUNTIFS($A$5:$A$639,$A352,$C$5:$C$639,$C352-1,$D$5:$D$639,$D352,I$5:I$639,"&lt;&gt;")=0,"",IF(OR(SUMIFS(I$5:I$639,$A$5:$A$639,$A352,$C$5:$C$639,$C352-1,$D$5:$D$639,$D352)=0,I352*SUMIFS(I$5:I$639,$A$5:$A$639,$A352,$C$5:$C$639,$C352-1,$D$5:$D$639,$D352)&lt;0),"n.s.",ABS(I352)/ABS(SUMIFS(I$5:I$639,$A$5:$A$639,$A352,$C$5:$C$639,$C352-1,$D$5:$D$639,$D352))-1)))</f>
        <v/>
      </c>
      <c r="R352" s="16">
        <f>IF(OR($A352="",J352="",$C352=""),"",IF(COUNTIFS($A$5:$A$639,$A352,$C$5:$C$639,$C352-1,$D$5:$D$639,$D352,J$5:J$639,"&lt;&gt;")=0,"",IF(OR(SUMIFS(J$5:J$639,$A$5:$A$639,$A352,$C$5:$C$639,$C352-1,$D$5:$D$639,$D352)=0,J352*SUMIFS(J$5:J$639,$A$5:$A$639,$A352,$C$5:$C$639,$C352-1,$D$5:$D$639,$D352)&lt;0),"n.s.",ABS(J352)/ABS(SUMIFS(J$5:J$639,$A$5:$A$639,$A352,$C$5:$C$639,$C352-1,$D$5:$D$639,$D352))-1)))</f>
        <v/>
      </c>
      <c r="S352" s="16">
        <f>IF(OR($A352="",K352="",$C352=""),"",IF(COUNTIFS($A$5:$A$639,$A352,$C$5:$C$639,$C352-1,$D$5:$D$639,$D352,K$5:K$639,"&lt;&gt;")=0,"",IF(OR(SUMIFS(K$5:K$639,$A$5:$A$639,$A352,$C$5:$C$639,$C352-1,$D$5:$D$639,$D352)=0,K352*SUMIFS(K$5:K$639,$A$5:$A$639,$A352,$C$5:$C$639,$C352-1,$D$5:$D$639,$D352)&lt;0),"n.s.",ABS(K352)/ABS(SUMIFS(K$5:K$639,$A$5:$A$639,$A352,$C$5:$C$639,$C352-1,$D$5:$D$639,$D352))-1)))</f>
        <v/>
      </c>
      <c r="T352" s="16">
        <f>IF(OR($A352="",L352="",$C352=""),"",IF(COUNTIFS($A$5:$A$639,$A352,$C$5:$C$639,$C352-1,$D$5:$D$639,$D352,L$5:L$639,"&lt;&gt;")=0,"",IF(OR(SUMIFS(L$5:L$639,$A$5:$A$639,$A352,$C$5:$C$639,$C352-1,$D$5:$D$639,$D352)=0,L352*SUMIFS(L$5:L$639,$A$5:$A$639,$A352,$C$5:$C$639,$C352-1,$D$5:$D$639,$D352)&lt;0),"n.s.",ABS(L352)/ABS(SUMIFS(L$5:L$639,$A$5:$A$639,$A352,$C$5:$C$639,$C352-1,$D$5:$D$639,$D352))-1)))</f>
        <v/>
      </c>
      <c r="U352" s="16">
        <f>IF(OR($A352="",M352="",$C352=""),"",IF(COUNTIFS($A$5:$A$639,$A352,$C$5:$C$639,$C352-1,$D$5:$D$639,$D352,M$5:M$639,"&lt;&gt;")=0,"",IF(OR(SUMIFS(M$5:M$639,$A$5:$A$639,$A352,$C$5:$C$639,$C352-1,$D$5:$D$639,$D352)=0,M352*SUMIFS(M$5:M$639,$A$5:$A$639,$A352,$C$5:$C$639,$C352-1,$D$5:$D$639,$D352)&lt;0),"n.s.",ABS(M352)/ABS(SUMIFS(M$5:M$639,$A$5:$A$639,$A352,$C$5:$C$639,$C352-1,$D$5:$D$639,$D352))-1)))</f>
        <v/>
      </c>
    </row>
    <row r="353">
      <c r="A353" s="9" t="inlineStr">
        <is>
          <t>SEMC</t>
        </is>
      </c>
      <c r="B353" s="10">
        <f>IF(A353="","",IFERROR(VLOOKUP(A353,Titres!$A$2:$B$400,2,FALSE),"Ticker inconnu"))</f>
        <v/>
      </c>
      <c r="C353" s="11" t="n">
        <v>2023</v>
      </c>
      <c r="D353" s="11" t="inlineStr">
        <is>
          <t>T1</t>
        </is>
      </c>
      <c r="E353" s="9" t="n"/>
      <c r="F353" s="12" t="n"/>
      <c r="G353" s="9" t="n"/>
      <c r="H353" s="13" t="n"/>
      <c r="I353" s="13" t="n"/>
      <c r="J353" s="13" t="n"/>
      <c r="K353" s="13" t="n"/>
      <c r="L353" s="13" t="n"/>
      <c r="M353" s="13" t="n"/>
      <c r="N353" s="14">
        <f>IF(A353="","",COUNT(H353:M353)/6)</f>
        <v/>
      </c>
      <c r="O353" s="15">
        <f>IF(COUNT(H353:M353)=0,"",IF(LEN(IF(COUNT(I353,J353)=2,IF(J353&gt;I353+1,"EBE &gt; VA ",""),"")&amp;IF(COUNT(H353,M353)=2,IF(ABS(M353)&gt;ABS(H353),"RN &gt; CA ",""),"")&amp;IF(COUNT(H353,K353)=2,IF(ABS(K353)&gt;ABS(H353),"RE &gt; CA ",""),""))=0,"OK",IF(COUNT(I353,J353)=2,IF(J353&gt;I353+1,"EBE &gt; VA ",""),"")&amp;IF(COUNT(H353,M353)=2,IF(ABS(M353)&gt;ABS(H353),"RN &gt; CA ",""),"")&amp;IF(COUNT(H353,K353)=2,IF(ABS(K353)&gt;ABS(H353),"RE &gt; CA ",""),"")))</f>
        <v/>
      </c>
      <c r="P353" s="16">
        <f>IF(OR($A353="",H353="",$C353=""),"",IF(COUNTIFS($A$5:$A$639,$A353,$C$5:$C$639,$C353-1,$D$5:$D$639,$D353,H$5:H$639,"&lt;&gt;")=0,"",IF(OR(SUMIFS(H$5:H$639,$A$5:$A$639,$A353,$C$5:$C$639,$C353-1,$D$5:$D$639,$D353)=0,H353*SUMIFS(H$5:H$639,$A$5:$A$639,$A353,$C$5:$C$639,$C353-1,$D$5:$D$639,$D353)&lt;0),"n.s.",ABS(H353)/ABS(SUMIFS(H$5:H$639,$A$5:$A$639,$A353,$C$5:$C$639,$C353-1,$D$5:$D$639,$D353))-1)))</f>
        <v/>
      </c>
      <c r="Q353" s="16">
        <f>IF(OR($A353="",I353="",$C353=""),"",IF(COUNTIFS($A$5:$A$639,$A353,$C$5:$C$639,$C353-1,$D$5:$D$639,$D353,I$5:I$639,"&lt;&gt;")=0,"",IF(OR(SUMIFS(I$5:I$639,$A$5:$A$639,$A353,$C$5:$C$639,$C353-1,$D$5:$D$639,$D353)=0,I353*SUMIFS(I$5:I$639,$A$5:$A$639,$A353,$C$5:$C$639,$C353-1,$D$5:$D$639,$D353)&lt;0),"n.s.",ABS(I353)/ABS(SUMIFS(I$5:I$639,$A$5:$A$639,$A353,$C$5:$C$639,$C353-1,$D$5:$D$639,$D353))-1)))</f>
        <v/>
      </c>
      <c r="R353" s="16">
        <f>IF(OR($A353="",J353="",$C353=""),"",IF(COUNTIFS($A$5:$A$639,$A353,$C$5:$C$639,$C353-1,$D$5:$D$639,$D353,J$5:J$639,"&lt;&gt;")=0,"",IF(OR(SUMIFS(J$5:J$639,$A$5:$A$639,$A353,$C$5:$C$639,$C353-1,$D$5:$D$639,$D353)=0,J353*SUMIFS(J$5:J$639,$A$5:$A$639,$A353,$C$5:$C$639,$C353-1,$D$5:$D$639,$D353)&lt;0),"n.s.",ABS(J353)/ABS(SUMIFS(J$5:J$639,$A$5:$A$639,$A353,$C$5:$C$639,$C353-1,$D$5:$D$639,$D353))-1)))</f>
        <v/>
      </c>
      <c r="S353" s="16">
        <f>IF(OR($A353="",K353="",$C353=""),"",IF(COUNTIFS($A$5:$A$639,$A353,$C$5:$C$639,$C353-1,$D$5:$D$639,$D353,K$5:K$639,"&lt;&gt;")=0,"",IF(OR(SUMIFS(K$5:K$639,$A$5:$A$639,$A353,$C$5:$C$639,$C353-1,$D$5:$D$639,$D353)=0,K353*SUMIFS(K$5:K$639,$A$5:$A$639,$A353,$C$5:$C$639,$C353-1,$D$5:$D$639,$D353)&lt;0),"n.s.",ABS(K353)/ABS(SUMIFS(K$5:K$639,$A$5:$A$639,$A353,$C$5:$C$639,$C353-1,$D$5:$D$639,$D353))-1)))</f>
        <v/>
      </c>
      <c r="T353" s="16">
        <f>IF(OR($A353="",L353="",$C353=""),"",IF(COUNTIFS($A$5:$A$639,$A353,$C$5:$C$639,$C353-1,$D$5:$D$639,$D353,L$5:L$639,"&lt;&gt;")=0,"",IF(OR(SUMIFS(L$5:L$639,$A$5:$A$639,$A353,$C$5:$C$639,$C353-1,$D$5:$D$639,$D353)=0,L353*SUMIFS(L$5:L$639,$A$5:$A$639,$A353,$C$5:$C$639,$C353-1,$D$5:$D$639,$D353)&lt;0),"n.s.",ABS(L353)/ABS(SUMIFS(L$5:L$639,$A$5:$A$639,$A353,$C$5:$C$639,$C353-1,$D$5:$D$639,$D353))-1)))</f>
        <v/>
      </c>
      <c r="U353" s="16">
        <f>IF(OR($A353="",M353="",$C353=""),"",IF(COUNTIFS($A$5:$A$639,$A353,$C$5:$C$639,$C353-1,$D$5:$D$639,$D353,M$5:M$639,"&lt;&gt;")=0,"",IF(OR(SUMIFS(M$5:M$639,$A$5:$A$639,$A353,$C$5:$C$639,$C353-1,$D$5:$D$639,$D353)=0,M353*SUMIFS(M$5:M$639,$A$5:$A$639,$A353,$C$5:$C$639,$C353-1,$D$5:$D$639,$D353)&lt;0),"n.s.",ABS(M353)/ABS(SUMIFS(M$5:M$639,$A$5:$A$639,$A353,$C$5:$C$639,$C353-1,$D$5:$D$639,$D353))-1)))</f>
        <v/>
      </c>
    </row>
    <row r="354">
      <c r="A354" s="9" t="inlineStr">
        <is>
          <t>SEMC</t>
        </is>
      </c>
      <c r="B354" s="10">
        <f>IF(A354="","",IFERROR(VLOOKUP(A354,Titres!$A$2:$B$400,2,FALSE),"Ticker inconnu"))</f>
        <v/>
      </c>
      <c r="C354" s="11" t="n">
        <v>2023</v>
      </c>
      <c r="D354" s="11" t="inlineStr">
        <is>
          <t>S1</t>
        </is>
      </c>
      <c r="E354" s="9" t="n"/>
      <c r="F354" s="12" t="n"/>
      <c r="G354" s="9" t="n"/>
      <c r="H354" s="13" t="n"/>
      <c r="I354" s="13" t="n"/>
      <c r="J354" s="13" t="n"/>
      <c r="K354" s="13" t="n"/>
      <c r="L354" s="13" t="n"/>
      <c r="M354" s="13" t="n"/>
      <c r="N354" s="14">
        <f>IF(A354="","",COUNT(H354:M354)/6)</f>
        <v/>
      </c>
      <c r="O354" s="15">
        <f>IF(COUNT(H354:M354)=0,"",IF(LEN(IF(COUNT(I354,J354)=2,IF(J354&gt;I354+1,"EBE &gt; VA ",""),"")&amp;IF(COUNT(H354,M354)=2,IF(ABS(M354)&gt;ABS(H354),"RN &gt; CA ",""),"")&amp;IF(COUNT(H354,K354)=2,IF(ABS(K354)&gt;ABS(H354),"RE &gt; CA ",""),""))=0,"OK",IF(COUNT(I354,J354)=2,IF(J354&gt;I354+1,"EBE &gt; VA ",""),"")&amp;IF(COUNT(H354,M354)=2,IF(ABS(M354)&gt;ABS(H354),"RN &gt; CA ",""),"")&amp;IF(COUNT(H354,K354)=2,IF(ABS(K354)&gt;ABS(H354),"RE &gt; CA ",""),"")))</f>
        <v/>
      </c>
      <c r="P354" s="16">
        <f>IF(OR($A354="",H354="",$C354=""),"",IF(COUNTIFS($A$5:$A$639,$A354,$C$5:$C$639,$C354-1,$D$5:$D$639,$D354,H$5:H$639,"&lt;&gt;")=0,"",IF(OR(SUMIFS(H$5:H$639,$A$5:$A$639,$A354,$C$5:$C$639,$C354-1,$D$5:$D$639,$D354)=0,H354*SUMIFS(H$5:H$639,$A$5:$A$639,$A354,$C$5:$C$639,$C354-1,$D$5:$D$639,$D354)&lt;0),"n.s.",ABS(H354)/ABS(SUMIFS(H$5:H$639,$A$5:$A$639,$A354,$C$5:$C$639,$C354-1,$D$5:$D$639,$D354))-1)))</f>
        <v/>
      </c>
      <c r="Q354" s="16">
        <f>IF(OR($A354="",I354="",$C354=""),"",IF(COUNTIFS($A$5:$A$639,$A354,$C$5:$C$639,$C354-1,$D$5:$D$639,$D354,I$5:I$639,"&lt;&gt;")=0,"",IF(OR(SUMIFS(I$5:I$639,$A$5:$A$639,$A354,$C$5:$C$639,$C354-1,$D$5:$D$639,$D354)=0,I354*SUMIFS(I$5:I$639,$A$5:$A$639,$A354,$C$5:$C$639,$C354-1,$D$5:$D$639,$D354)&lt;0),"n.s.",ABS(I354)/ABS(SUMIFS(I$5:I$639,$A$5:$A$639,$A354,$C$5:$C$639,$C354-1,$D$5:$D$639,$D354))-1)))</f>
        <v/>
      </c>
      <c r="R354" s="16">
        <f>IF(OR($A354="",J354="",$C354=""),"",IF(COUNTIFS($A$5:$A$639,$A354,$C$5:$C$639,$C354-1,$D$5:$D$639,$D354,J$5:J$639,"&lt;&gt;")=0,"",IF(OR(SUMIFS(J$5:J$639,$A$5:$A$639,$A354,$C$5:$C$639,$C354-1,$D$5:$D$639,$D354)=0,J354*SUMIFS(J$5:J$639,$A$5:$A$639,$A354,$C$5:$C$639,$C354-1,$D$5:$D$639,$D354)&lt;0),"n.s.",ABS(J354)/ABS(SUMIFS(J$5:J$639,$A$5:$A$639,$A354,$C$5:$C$639,$C354-1,$D$5:$D$639,$D354))-1)))</f>
        <v/>
      </c>
      <c r="S354" s="16">
        <f>IF(OR($A354="",K354="",$C354=""),"",IF(COUNTIFS($A$5:$A$639,$A354,$C$5:$C$639,$C354-1,$D$5:$D$639,$D354,K$5:K$639,"&lt;&gt;")=0,"",IF(OR(SUMIFS(K$5:K$639,$A$5:$A$639,$A354,$C$5:$C$639,$C354-1,$D$5:$D$639,$D354)=0,K354*SUMIFS(K$5:K$639,$A$5:$A$639,$A354,$C$5:$C$639,$C354-1,$D$5:$D$639,$D354)&lt;0),"n.s.",ABS(K354)/ABS(SUMIFS(K$5:K$639,$A$5:$A$639,$A354,$C$5:$C$639,$C354-1,$D$5:$D$639,$D354))-1)))</f>
        <v/>
      </c>
      <c r="T354" s="16">
        <f>IF(OR($A354="",L354="",$C354=""),"",IF(COUNTIFS($A$5:$A$639,$A354,$C$5:$C$639,$C354-1,$D$5:$D$639,$D354,L$5:L$639,"&lt;&gt;")=0,"",IF(OR(SUMIFS(L$5:L$639,$A$5:$A$639,$A354,$C$5:$C$639,$C354-1,$D$5:$D$639,$D354)=0,L354*SUMIFS(L$5:L$639,$A$5:$A$639,$A354,$C$5:$C$639,$C354-1,$D$5:$D$639,$D354)&lt;0),"n.s.",ABS(L354)/ABS(SUMIFS(L$5:L$639,$A$5:$A$639,$A354,$C$5:$C$639,$C354-1,$D$5:$D$639,$D354))-1)))</f>
        <v/>
      </c>
      <c r="U354" s="16">
        <f>IF(OR($A354="",M354="",$C354=""),"",IF(COUNTIFS($A$5:$A$639,$A354,$C$5:$C$639,$C354-1,$D$5:$D$639,$D354,M$5:M$639,"&lt;&gt;")=0,"",IF(OR(SUMIFS(M$5:M$639,$A$5:$A$639,$A354,$C$5:$C$639,$C354-1,$D$5:$D$639,$D354)=0,M354*SUMIFS(M$5:M$639,$A$5:$A$639,$A354,$C$5:$C$639,$C354-1,$D$5:$D$639,$D354)&lt;0),"n.s.",ABS(M354)/ABS(SUMIFS(M$5:M$639,$A$5:$A$639,$A354,$C$5:$C$639,$C354-1,$D$5:$D$639,$D354))-1)))</f>
        <v/>
      </c>
    </row>
    <row r="355">
      <c r="A355" s="9" t="inlineStr">
        <is>
          <t>SEMC</t>
        </is>
      </c>
      <c r="B355" s="10">
        <f>IF(A355="","",IFERROR(VLOOKUP(A355,Titres!$A$2:$B$400,2,FALSE),"Ticker inconnu"))</f>
        <v/>
      </c>
      <c r="C355" s="11" t="n">
        <v>2023</v>
      </c>
      <c r="D355" s="11" t="inlineStr">
        <is>
          <t>T3</t>
        </is>
      </c>
      <c r="E355" s="9" t="n"/>
      <c r="F355" s="12" t="n"/>
      <c r="G355" s="9" t="n"/>
      <c r="H355" s="13" t="n"/>
      <c r="I355" s="13" t="n"/>
      <c r="J355" s="13" t="n"/>
      <c r="K355" s="13" t="n"/>
      <c r="L355" s="13" t="n"/>
      <c r="M355" s="13" t="n"/>
      <c r="N355" s="14">
        <f>IF(A355="","",COUNT(H355:M355)/6)</f>
        <v/>
      </c>
      <c r="O355" s="15">
        <f>IF(COUNT(H355:M355)=0,"",IF(LEN(IF(COUNT(I355,J355)=2,IF(J355&gt;I355+1,"EBE &gt; VA ",""),"")&amp;IF(COUNT(H355,M355)=2,IF(ABS(M355)&gt;ABS(H355),"RN &gt; CA ",""),"")&amp;IF(COUNT(H355,K355)=2,IF(ABS(K355)&gt;ABS(H355),"RE &gt; CA ",""),""))=0,"OK",IF(COUNT(I355,J355)=2,IF(J355&gt;I355+1,"EBE &gt; VA ",""),"")&amp;IF(COUNT(H355,M355)=2,IF(ABS(M355)&gt;ABS(H355),"RN &gt; CA ",""),"")&amp;IF(COUNT(H355,K355)=2,IF(ABS(K355)&gt;ABS(H355),"RE &gt; CA ",""),"")))</f>
        <v/>
      </c>
      <c r="P355" s="16">
        <f>IF(OR($A355="",H355="",$C355=""),"",IF(COUNTIFS($A$5:$A$639,$A355,$C$5:$C$639,$C355-1,$D$5:$D$639,$D355,H$5:H$639,"&lt;&gt;")=0,"",IF(OR(SUMIFS(H$5:H$639,$A$5:$A$639,$A355,$C$5:$C$639,$C355-1,$D$5:$D$639,$D355)=0,H355*SUMIFS(H$5:H$639,$A$5:$A$639,$A355,$C$5:$C$639,$C355-1,$D$5:$D$639,$D355)&lt;0),"n.s.",ABS(H355)/ABS(SUMIFS(H$5:H$639,$A$5:$A$639,$A355,$C$5:$C$639,$C355-1,$D$5:$D$639,$D355))-1)))</f>
        <v/>
      </c>
      <c r="Q355" s="16">
        <f>IF(OR($A355="",I355="",$C355=""),"",IF(COUNTIFS($A$5:$A$639,$A355,$C$5:$C$639,$C355-1,$D$5:$D$639,$D355,I$5:I$639,"&lt;&gt;")=0,"",IF(OR(SUMIFS(I$5:I$639,$A$5:$A$639,$A355,$C$5:$C$639,$C355-1,$D$5:$D$639,$D355)=0,I355*SUMIFS(I$5:I$639,$A$5:$A$639,$A355,$C$5:$C$639,$C355-1,$D$5:$D$639,$D355)&lt;0),"n.s.",ABS(I355)/ABS(SUMIFS(I$5:I$639,$A$5:$A$639,$A355,$C$5:$C$639,$C355-1,$D$5:$D$639,$D355))-1)))</f>
        <v/>
      </c>
      <c r="R355" s="16">
        <f>IF(OR($A355="",J355="",$C355=""),"",IF(COUNTIFS($A$5:$A$639,$A355,$C$5:$C$639,$C355-1,$D$5:$D$639,$D355,J$5:J$639,"&lt;&gt;")=0,"",IF(OR(SUMIFS(J$5:J$639,$A$5:$A$639,$A355,$C$5:$C$639,$C355-1,$D$5:$D$639,$D355)=0,J355*SUMIFS(J$5:J$639,$A$5:$A$639,$A355,$C$5:$C$639,$C355-1,$D$5:$D$639,$D355)&lt;0),"n.s.",ABS(J355)/ABS(SUMIFS(J$5:J$639,$A$5:$A$639,$A355,$C$5:$C$639,$C355-1,$D$5:$D$639,$D355))-1)))</f>
        <v/>
      </c>
      <c r="S355" s="16">
        <f>IF(OR($A355="",K355="",$C355=""),"",IF(COUNTIFS($A$5:$A$639,$A355,$C$5:$C$639,$C355-1,$D$5:$D$639,$D355,K$5:K$639,"&lt;&gt;")=0,"",IF(OR(SUMIFS(K$5:K$639,$A$5:$A$639,$A355,$C$5:$C$639,$C355-1,$D$5:$D$639,$D355)=0,K355*SUMIFS(K$5:K$639,$A$5:$A$639,$A355,$C$5:$C$639,$C355-1,$D$5:$D$639,$D355)&lt;0),"n.s.",ABS(K355)/ABS(SUMIFS(K$5:K$639,$A$5:$A$639,$A355,$C$5:$C$639,$C355-1,$D$5:$D$639,$D355))-1)))</f>
        <v/>
      </c>
      <c r="T355" s="16">
        <f>IF(OR($A355="",L355="",$C355=""),"",IF(COUNTIFS($A$5:$A$639,$A355,$C$5:$C$639,$C355-1,$D$5:$D$639,$D355,L$5:L$639,"&lt;&gt;")=0,"",IF(OR(SUMIFS(L$5:L$639,$A$5:$A$639,$A355,$C$5:$C$639,$C355-1,$D$5:$D$639,$D355)=0,L355*SUMIFS(L$5:L$639,$A$5:$A$639,$A355,$C$5:$C$639,$C355-1,$D$5:$D$639,$D355)&lt;0),"n.s.",ABS(L355)/ABS(SUMIFS(L$5:L$639,$A$5:$A$639,$A355,$C$5:$C$639,$C355-1,$D$5:$D$639,$D355))-1)))</f>
        <v/>
      </c>
      <c r="U355" s="16">
        <f>IF(OR($A355="",M355="",$C355=""),"",IF(COUNTIFS($A$5:$A$639,$A355,$C$5:$C$639,$C355-1,$D$5:$D$639,$D355,M$5:M$639,"&lt;&gt;")=0,"",IF(OR(SUMIFS(M$5:M$639,$A$5:$A$639,$A355,$C$5:$C$639,$C355-1,$D$5:$D$639,$D355)=0,M355*SUMIFS(M$5:M$639,$A$5:$A$639,$A355,$C$5:$C$639,$C355-1,$D$5:$D$639,$D355)&lt;0),"n.s.",ABS(M355)/ABS(SUMIFS(M$5:M$639,$A$5:$A$639,$A355,$C$5:$C$639,$C355-1,$D$5:$D$639,$D355))-1)))</f>
        <v/>
      </c>
    </row>
    <row r="356">
      <c r="A356" s="9" t="inlineStr">
        <is>
          <t>SEMC</t>
        </is>
      </c>
      <c r="B356" s="10">
        <f>IF(A356="","",IFERROR(VLOOKUP(A356,Titres!$A$2:$B$400,2,FALSE),"Ticker inconnu"))</f>
        <v/>
      </c>
      <c r="C356" s="11" t="n">
        <v>2024</v>
      </c>
      <c r="D356" s="11" t="inlineStr">
        <is>
          <t>T1</t>
        </is>
      </c>
      <c r="E356" s="9" t="n"/>
      <c r="F356" s="12" t="n"/>
      <c r="G356" s="9" t="n"/>
      <c r="H356" s="13" t="n"/>
      <c r="I356" s="13" t="n"/>
      <c r="J356" s="13" t="n"/>
      <c r="K356" s="13" t="n"/>
      <c r="L356" s="13" t="n"/>
      <c r="M356" s="13" t="n"/>
      <c r="N356" s="14">
        <f>IF(A356="","",COUNT(H356:M356)/6)</f>
        <v/>
      </c>
      <c r="O356" s="15">
        <f>IF(COUNT(H356:M356)=0,"",IF(LEN(IF(COUNT(I356,J356)=2,IF(J356&gt;I356+1,"EBE &gt; VA ",""),"")&amp;IF(COUNT(H356,M356)=2,IF(ABS(M356)&gt;ABS(H356),"RN &gt; CA ",""),"")&amp;IF(COUNT(H356,K356)=2,IF(ABS(K356)&gt;ABS(H356),"RE &gt; CA ",""),""))=0,"OK",IF(COUNT(I356,J356)=2,IF(J356&gt;I356+1,"EBE &gt; VA ",""),"")&amp;IF(COUNT(H356,M356)=2,IF(ABS(M356)&gt;ABS(H356),"RN &gt; CA ",""),"")&amp;IF(COUNT(H356,K356)=2,IF(ABS(K356)&gt;ABS(H356),"RE &gt; CA ",""),"")))</f>
        <v/>
      </c>
      <c r="P356" s="16">
        <f>IF(OR($A356="",H356="",$C356=""),"",IF(COUNTIFS($A$5:$A$639,$A356,$C$5:$C$639,$C356-1,$D$5:$D$639,$D356,H$5:H$639,"&lt;&gt;")=0,"",IF(OR(SUMIFS(H$5:H$639,$A$5:$A$639,$A356,$C$5:$C$639,$C356-1,$D$5:$D$639,$D356)=0,H356*SUMIFS(H$5:H$639,$A$5:$A$639,$A356,$C$5:$C$639,$C356-1,$D$5:$D$639,$D356)&lt;0),"n.s.",ABS(H356)/ABS(SUMIFS(H$5:H$639,$A$5:$A$639,$A356,$C$5:$C$639,$C356-1,$D$5:$D$639,$D356))-1)))</f>
        <v/>
      </c>
      <c r="Q356" s="16">
        <f>IF(OR($A356="",I356="",$C356=""),"",IF(COUNTIFS($A$5:$A$639,$A356,$C$5:$C$639,$C356-1,$D$5:$D$639,$D356,I$5:I$639,"&lt;&gt;")=0,"",IF(OR(SUMIFS(I$5:I$639,$A$5:$A$639,$A356,$C$5:$C$639,$C356-1,$D$5:$D$639,$D356)=0,I356*SUMIFS(I$5:I$639,$A$5:$A$639,$A356,$C$5:$C$639,$C356-1,$D$5:$D$639,$D356)&lt;0),"n.s.",ABS(I356)/ABS(SUMIFS(I$5:I$639,$A$5:$A$639,$A356,$C$5:$C$639,$C356-1,$D$5:$D$639,$D356))-1)))</f>
        <v/>
      </c>
      <c r="R356" s="16">
        <f>IF(OR($A356="",J356="",$C356=""),"",IF(COUNTIFS($A$5:$A$639,$A356,$C$5:$C$639,$C356-1,$D$5:$D$639,$D356,J$5:J$639,"&lt;&gt;")=0,"",IF(OR(SUMIFS(J$5:J$639,$A$5:$A$639,$A356,$C$5:$C$639,$C356-1,$D$5:$D$639,$D356)=0,J356*SUMIFS(J$5:J$639,$A$5:$A$639,$A356,$C$5:$C$639,$C356-1,$D$5:$D$639,$D356)&lt;0),"n.s.",ABS(J356)/ABS(SUMIFS(J$5:J$639,$A$5:$A$639,$A356,$C$5:$C$639,$C356-1,$D$5:$D$639,$D356))-1)))</f>
        <v/>
      </c>
      <c r="S356" s="16">
        <f>IF(OR($A356="",K356="",$C356=""),"",IF(COUNTIFS($A$5:$A$639,$A356,$C$5:$C$639,$C356-1,$D$5:$D$639,$D356,K$5:K$639,"&lt;&gt;")=0,"",IF(OR(SUMIFS(K$5:K$639,$A$5:$A$639,$A356,$C$5:$C$639,$C356-1,$D$5:$D$639,$D356)=0,K356*SUMIFS(K$5:K$639,$A$5:$A$639,$A356,$C$5:$C$639,$C356-1,$D$5:$D$639,$D356)&lt;0),"n.s.",ABS(K356)/ABS(SUMIFS(K$5:K$639,$A$5:$A$639,$A356,$C$5:$C$639,$C356-1,$D$5:$D$639,$D356))-1)))</f>
        <v/>
      </c>
      <c r="T356" s="16">
        <f>IF(OR($A356="",L356="",$C356=""),"",IF(COUNTIFS($A$5:$A$639,$A356,$C$5:$C$639,$C356-1,$D$5:$D$639,$D356,L$5:L$639,"&lt;&gt;")=0,"",IF(OR(SUMIFS(L$5:L$639,$A$5:$A$639,$A356,$C$5:$C$639,$C356-1,$D$5:$D$639,$D356)=0,L356*SUMIFS(L$5:L$639,$A$5:$A$639,$A356,$C$5:$C$639,$C356-1,$D$5:$D$639,$D356)&lt;0),"n.s.",ABS(L356)/ABS(SUMIFS(L$5:L$639,$A$5:$A$639,$A356,$C$5:$C$639,$C356-1,$D$5:$D$639,$D356))-1)))</f>
        <v/>
      </c>
      <c r="U356" s="16">
        <f>IF(OR($A356="",M356="",$C356=""),"",IF(COUNTIFS($A$5:$A$639,$A356,$C$5:$C$639,$C356-1,$D$5:$D$639,$D356,M$5:M$639,"&lt;&gt;")=0,"",IF(OR(SUMIFS(M$5:M$639,$A$5:$A$639,$A356,$C$5:$C$639,$C356-1,$D$5:$D$639,$D356)=0,M356*SUMIFS(M$5:M$639,$A$5:$A$639,$A356,$C$5:$C$639,$C356-1,$D$5:$D$639,$D356)&lt;0),"n.s.",ABS(M356)/ABS(SUMIFS(M$5:M$639,$A$5:$A$639,$A356,$C$5:$C$639,$C356-1,$D$5:$D$639,$D356))-1)))</f>
        <v/>
      </c>
    </row>
    <row r="357">
      <c r="A357" s="9" t="inlineStr">
        <is>
          <t>SEMC</t>
        </is>
      </c>
      <c r="B357" s="10">
        <f>IF(A357="","",IFERROR(VLOOKUP(A357,Titres!$A$2:$B$400,2,FALSE),"Ticker inconnu"))</f>
        <v/>
      </c>
      <c r="C357" s="11" t="n">
        <v>2024</v>
      </c>
      <c r="D357" s="11" t="inlineStr">
        <is>
          <t>S1</t>
        </is>
      </c>
      <c r="E357" s="9" t="n"/>
      <c r="F357" s="12" t="n"/>
      <c r="G357" s="9" t="n"/>
      <c r="H357" s="13" t="n"/>
      <c r="I357" s="13" t="n"/>
      <c r="J357" s="13" t="n"/>
      <c r="K357" s="13" t="n"/>
      <c r="L357" s="13" t="n"/>
      <c r="M357" s="13" t="n"/>
      <c r="N357" s="14">
        <f>IF(A357="","",COUNT(H357:M357)/6)</f>
        <v/>
      </c>
      <c r="O357" s="15">
        <f>IF(COUNT(H357:M357)=0,"",IF(LEN(IF(COUNT(I357,J357)=2,IF(J357&gt;I357+1,"EBE &gt; VA ",""),"")&amp;IF(COUNT(H357,M357)=2,IF(ABS(M357)&gt;ABS(H357),"RN &gt; CA ",""),"")&amp;IF(COUNT(H357,K357)=2,IF(ABS(K357)&gt;ABS(H357),"RE &gt; CA ",""),""))=0,"OK",IF(COUNT(I357,J357)=2,IF(J357&gt;I357+1,"EBE &gt; VA ",""),"")&amp;IF(COUNT(H357,M357)=2,IF(ABS(M357)&gt;ABS(H357),"RN &gt; CA ",""),"")&amp;IF(COUNT(H357,K357)=2,IF(ABS(K357)&gt;ABS(H357),"RE &gt; CA ",""),"")))</f>
        <v/>
      </c>
      <c r="P357" s="16">
        <f>IF(OR($A357="",H357="",$C357=""),"",IF(COUNTIFS($A$5:$A$639,$A357,$C$5:$C$639,$C357-1,$D$5:$D$639,$D357,H$5:H$639,"&lt;&gt;")=0,"",IF(OR(SUMIFS(H$5:H$639,$A$5:$A$639,$A357,$C$5:$C$639,$C357-1,$D$5:$D$639,$D357)=0,H357*SUMIFS(H$5:H$639,$A$5:$A$639,$A357,$C$5:$C$639,$C357-1,$D$5:$D$639,$D357)&lt;0),"n.s.",ABS(H357)/ABS(SUMIFS(H$5:H$639,$A$5:$A$639,$A357,$C$5:$C$639,$C357-1,$D$5:$D$639,$D357))-1)))</f>
        <v/>
      </c>
      <c r="Q357" s="16">
        <f>IF(OR($A357="",I357="",$C357=""),"",IF(COUNTIFS($A$5:$A$639,$A357,$C$5:$C$639,$C357-1,$D$5:$D$639,$D357,I$5:I$639,"&lt;&gt;")=0,"",IF(OR(SUMIFS(I$5:I$639,$A$5:$A$639,$A357,$C$5:$C$639,$C357-1,$D$5:$D$639,$D357)=0,I357*SUMIFS(I$5:I$639,$A$5:$A$639,$A357,$C$5:$C$639,$C357-1,$D$5:$D$639,$D357)&lt;0),"n.s.",ABS(I357)/ABS(SUMIFS(I$5:I$639,$A$5:$A$639,$A357,$C$5:$C$639,$C357-1,$D$5:$D$639,$D357))-1)))</f>
        <v/>
      </c>
      <c r="R357" s="16">
        <f>IF(OR($A357="",J357="",$C357=""),"",IF(COUNTIFS($A$5:$A$639,$A357,$C$5:$C$639,$C357-1,$D$5:$D$639,$D357,J$5:J$639,"&lt;&gt;")=0,"",IF(OR(SUMIFS(J$5:J$639,$A$5:$A$639,$A357,$C$5:$C$639,$C357-1,$D$5:$D$639,$D357)=0,J357*SUMIFS(J$5:J$639,$A$5:$A$639,$A357,$C$5:$C$639,$C357-1,$D$5:$D$639,$D357)&lt;0),"n.s.",ABS(J357)/ABS(SUMIFS(J$5:J$639,$A$5:$A$639,$A357,$C$5:$C$639,$C357-1,$D$5:$D$639,$D357))-1)))</f>
        <v/>
      </c>
      <c r="S357" s="16">
        <f>IF(OR($A357="",K357="",$C357=""),"",IF(COUNTIFS($A$5:$A$639,$A357,$C$5:$C$639,$C357-1,$D$5:$D$639,$D357,K$5:K$639,"&lt;&gt;")=0,"",IF(OR(SUMIFS(K$5:K$639,$A$5:$A$639,$A357,$C$5:$C$639,$C357-1,$D$5:$D$639,$D357)=0,K357*SUMIFS(K$5:K$639,$A$5:$A$639,$A357,$C$5:$C$639,$C357-1,$D$5:$D$639,$D357)&lt;0),"n.s.",ABS(K357)/ABS(SUMIFS(K$5:K$639,$A$5:$A$639,$A357,$C$5:$C$639,$C357-1,$D$5:$D$639,$D357))-1)))</f>
        <v/>
      </c>
      <c r="T357" s="16">
        <f>IF(OR($A357="",L357="",$C357=""),"",IF(COUNTIFS($A$5:$A$639,$A357,$C$5:$C$639,$C357-1,$D$5:$D$639,$D357,L$5:L$639,"&lt;&gt;")=0,"",IF(OR(SUMIFS(L$5:L$639,$A$5:$A$639,$A357,$C$5:$C$639,$C357-1,$D$5:$D$639,$D357)=0,L357*SUMIFS(L$5:L$639,$A$5:$A$639,$A357,$C$5:$C$639,$C357-1,$D$5:$D$639,$D357)&lt;0),"n.s.",ABS(L357)/ABS(SUMIFS(L$5:L$639,$A$5:$A$639,$A357,$C$5:$C$639,$C357-1,$D$5:$D$639,$D357))-1)))</f>
        <v/>
      </c>
      <c r="U357" s="16">
        <f>IF(OR($A357="",M357="",$C357=""),"",IF(COUNTIFS($A$5:$A$639,$A357,$C$5:$C$639,$C357-1,$D$5:$D$639,$D357,M$5:M$639,"&lt;&gt;")=0,"",IF(OR(SUMIFS(M$5:M$639,$A$5:$A$639,$A357,$C$5:$C$639,$C357-1,$D$5:$D$639,$D357)=0,M357*SUMIFS(M$5:M$639,$A$5:$A$639,$A357,$C$5:$C$639,$C357-1,$D$5:$D$639,$D357)&lt;0),"n.s.",ABS(M357)/ABS(SUMIFS(M$5:M$639,$A$5:$A$639,$A357,$C$5:$C$639,$C357-1,$D$5:$D$639,$D357))-1)))</f>
        <v/>
      </c>
    </row>
    <row r="358">
      <c r="A358" s="9" t="inlineStr">
        <is>
          <t>SEMC</t>
        </is>
      </c>
      <c r="B358" s="10">
        <f>IF(A358="","",IFERROR(VLOOKUP(A358,Titres!$A$2:$B$400,2,FALSE),"Ticker inconnu"))</f>
        <v/>
      </c>
      <c r="C358" s="11" t="n">
        <v>2024</v>
      </c>
      <c r="D358" s="11" t="inlineStr">
        <is>
          <t>T3</t>
        </is>
      </c>
      <c r="E358" s="9" t="n"/>
      <c r="F358" s="12" t="n"/>
      <c r="G358" s="9" t="n"/>
      <c r="H358" s="13" t="n"/>
      <c r="I358" s="13" t="n"/>
      <c r="J358" s="13" t="n"/>
      <c r="K358" s="13" t="n"/>
      <c r="L358" s="13" t="n"/>
      <c r="M358" s="13" t="n"/>
      <c r="N358" s="14">
        <f>IF(A358="","",COUNT(H358:M358)/6)</f>
        <v/>
      </c>
      <c r="O358" s="15">
        <f>IF(COUNT(H358:M358)=0,"",IF(LEN(IF(COUNT(I358,J358)=2,IF(J358&gt;I358+1,"EBE &gt; VA ",""),"")&amp;IF(COUNT(H358,M358)=2,IF(ABS(M358)&gt;ABS(H358),"RN &gt; CA ",""),"")&amp;IF(COUNT(H358,K358)=2,IF(ABS(K358)&gt;ABS(H358),"RE &gt; CA ",""),""))=0,"OK",IF(COUNT(I358,J358)=2,IF(J358&gt;I358+1,"EBE &gt; VA ",""),"")&amp;IF(COUNT(H358,M358)=2,IF(ABS(M358)&gt;ABS(H358),"RN &gt; CA ",""),"")&amp;IF(COUNT(H358,K358)=2,IF(ABS(K358)&gt;ABS(H358),"RE &gt; CA ",""),"")))</f>
        <v/>
      </c>
      <c r="P358" s="16">
        <f>IF(OR($A358="",H358="",$C358=""),"",IF(COUNTIFS($A$5:$A$639,$A358,$C$5:$C$639,$C358-1,$D$5:$D$639,$D358,H$5:H$639,"&lt;&gt;")=0,"",IF(OR(SUMIFS(H$5:H$639,$A$5:$A$639,$A358,$C$5:$C$639,$C358-1,$D$5:$D$639,$D358)=0,H358*SUMIFS(H$5:H$639,$A$5:$A$639,$A358,$C$5:$C$639,$C358-1,$D$5:$D$639,$D358)&lt;0),"n.s.",ABS(H358)/ABS(SUMIFS(H$5:H$639,$A$5:$A$639,$A358,$C$5:$C$639,$C358-1,$D$5:$D$639,$D358))-1)))</f>
        <v/>
      </c>
      <c r="Q358" s="16">
        <f>IF(OR($A358="",I358="",$C358=""),"",IF(COUNTIFS($A$5:$A$639,$A358,$C$5:$C$639,$C358-1,$D$5:$D$639,$D358,I$5:I$639,"&lt;&gt;")=0,"",IF(OR(SUMIFS(I$5:I$639,$A$5:$A$639,$A358,$C$5:$C$639,$C358-1,$D$5:$D$639,$D358)=0,I358*SUMIFS(I$5:I$639,$A$5:$A$639,$A358,$C$5:$C$639,$C358-1,$D$5:$D$639,$D358)&lt;0),"n.s.",ABS(I358)/ABS(SUMIFS(I$5:I$639,$A$5:$A$639,$A358,$C$5:$C$639,$C358-1,$D$5:$D$639,$D358))-1)))</f>
        <v/>
      </c>
      <c r="R358" s="16">
        <f>IF(OR($A358="",J358="",$C358=""),"",IF(COUNTIFS($A$5:$A$639,$A358,$C$5:$C$639,$C358-1,$D$5:$D$639,$D358,J$5:J$639,"&lt;&gt;")=0,"",IF(OR(SUMIFS(J$5:J$639,$A$5:$A$639,$A358,$C$5:$C$639,$C358-1,$D$5:$D$639,$D358)=0,J358*SUMIFS(J$5:J$639,$A$5:$A$639,$A358,$C$5:$C$639,$C358-1,$D$5:$D$639,$D358)&lt;0),"n.s.",ABS(J358)/ABS(SUMIFS(J$5:J$639,$A$5:$A$639,$A358,$C$5:$C$639,$C358-1,$D$5:$D$639,$D358))-1)))</f>
        <v/>
      </c>
      <c r="S358" s="16">
        <f>IF(OR($A358="",K358="",$C358=""),"",IF(COUNTIFS($A$5:$A$639,$A358,$C$5:$C$639,$C358-1,$D$5:$D$639,$D358,K$5:K$639,"&lt;&gt;")=0,"",IF(OR(SUMIFS(K$5:K$639,$A$5:$A$639,$A358,$C$5:$C$639,$C358-1,$D$5:$D$639,$D358)=0,K358*SUMIFS(K$5:K$639,$A$5:$A$639,$A358,$C$5:$C$639,$C358-1,$D$5:$D$639,$D358)&lt;0),"n.s.",ABS(K358)/ABS(SUMIFS(K$5:K$639,$A$5:$A$639,$A358,$C$5:$C$639,$C358-1,$D$5:$D$639,$D358))-1)))</f>
        <v/>
      </c>
      <c r="T358" s="16">
        <f>IF(OR($A358="",L358="",$C358=""),"",IF(COUNTIFS($A$5:$A$639,$A358,$C$5:$C$639,$C358-1,$D$5:$D$639,$D358,L$5:L$639,"&lt;&gt;")=0,"",IF(OR(SUMIFS(L$5:L$639,$A$5:$A$639,$A358,$C$5:$C$639,$C358-1,$D$5:$D$639,$D358)=0,L358*SUMIFS(L$5:L$639,$A$5:$A$639,$A358,$C$5:$C$639,$C358-1,$D$5:$D$639,$D358)&lt;0),"n.s.",ABS(L358)/ABS(SUMIFS(L$5:L$639,$A$5:$A$639,$A358,$C$5:$C$639,$C358-1,$D$5:$D$639,$D358))-1)))</f>
        <v/>
      </c>
      <c r="U358" s="16">
        <f>IF(OR($A358="",M358="",$C358=""),"",IF(COUNTIFS($A$5:$A$639,$A358,$C$5:$C$639,$C358-1,$D$5:$D$639,$D358,M$5:M$639,"&lt;&gt;")=0,"",IF(OR(SUMIFS(M$5:M$639,$A$5:$A$639,$A358,$C$5:$C$639,$C358-1,$D$5:$D$639,$D358)=0,M358*SUMIFS(M$5:M$639,$A$5:$A$639,$A358,$C$5:$C$639,$C358-1,$D$5:$D$639,$D358)&lt;0),"n.s.",ABS(M358)/ABS(SUMIFS(M$5:M$639,$A$5:$A$639,$A358,$C$5:$C$639,$C358-1,$D$5:$D$639,$D358))-1)))</f>
        <v/>
      </c>
    </row>
    <row r="359">
      <c r="A359" s="9" t="inlineStr">
        <is>
          <t>SEMC</t>
        </is>
      </c>
      <c r="B359" s="10">
        <f>IF(A359="","",IFERROR(VLOOKUP(A359,Titres!$A$2:$B$400,2,FALSE),"Ticker inconnu"))</f>
        <v/>
      </c>
      <c r="C359" s="11" t="n">
        <v>2025</v>
      </c>
      <c r="D359" s="11" t="inlineStr">
        <is>
          <t>T1</t>
        </is>
      </c>
      <c r="E359" s="9" t="n"/>
      <c r="F359" s="12" t="n"/>
      <c r="G359" s="9" t="n"/>
      <c r="H359" s="13" t="n"/>
      <c r="I359" s="13" t="n"/>
      <c r="J359" s="13" t="n"/>
      <c r="K359" s="13" t="n"/>
      <c r="L359" s="13" t="n"/>
      <c r="M359" s="13" t="n"/>
      <c r="N359" s="14">
        <f>IF(A359="","",COUNT(H359:M359)/6)</f>
        <v/>
      </c>
      <c r="O359" s="15">
        <f>IF(COUNT(H359:M359)=0,"",IF(LEN(IF(COUNT(I359,J359)=2,IF(J359&gt;I359+1,"EBE &gt; VA ",""),"")&amp;IF(COUNT(H359,M359)=2,IF(ABS(M359)&gt;ABS(H359),"RN &gt; CA ",""),"")&amp;IF(COUNT(H359,K359)=2,IF(ABS(K359)&gt;ABS(H359),"RE &gt; CA ",""),""))=0,"OK",IF(COUNT(I359,J359)=2,IF(J359&gt;I359+1,"EBE &gt; VA ",""),"")&amp;IF(COUNT(H359,M359)=2,IF(ABS(M359)&gt;ABS(H359),"RN &gt; CA ",""),"")&amp;IF(COUNT(H359,K359)=2,IF(ABS(K359)&gt;ABS(H359),"RE &gt; CA ",""),"")))</f>
        <v/>
      </c>
      <c r="P359" s="16">
        <f>IF(OR($A359="",H359="",$C359=""),"",IF(COUNTIFS($A$5:$A$639,$A359,$C$5:$C$639,$C359-1,$D$5:$D$639,$D359,H$5:H$639,"&lt;&gt;")=0,"",IF(OR(SUMIFS(H$5:H$639,$A$5:$A$639,$A359,$C$5:$C$639,$C359-1,$D$5:$D$639,$D359)=0,H359*SUMIFS(H$5:H$639,$A$5:$A$639,$A359,$C$5:$C$639,$C359-1,$D$5:$D$639,$D359)&lt;0),"n.s.",ABS(H359)/ABS(SUMIFS(H$5:H$639,$A$5:$A$639,$A359,$C$5:$C$639,$C359-1,$D$5:$D$639,$D359))-1)))</f>
        <v/>
      </c>
      <c r="Q359" s="16">
        <f>IF(OR($A359="",I359="",$C359=""),"",IF(COUNTIFS($A$5:$A$639,$A359,$C$5:$C$639,$C359-1,$D$5:$D$639,$D359,I$5:I$639,"&lt;&gt;")=0,"",IF(OR(SUMIFS(I$5:I$639,$A$5:$A$639,$A359,$C$5:$C$639,$C359-1,$D$5:$D$639,$D359)=0,I359*SUMIFS(I$5:I$639,$A$5:$A$639,$A359,$C$5:$C$639,$C359-1,$D$5:$D$639,$D359)&lt;0),"n.s.",ABS(I359)/ABS(SUMIFS(I$5:I$639,$A$5:$A$639,$A359,$C$5:$C$639,$C359-1,$D$5:$D$639,$D359))-1)))</f>
        <v/>
      </c>
      <c r="R359" s="16">
        <f>IF(OR($A359="",J359="",$C359=""),"",IF(COUNTIFS($A$5:$A$639,$A359,$C$5:$C$639,$C359-1,$D$5:$D$639,$D359,J$5:J$639,"&lt;&gt;")=0,"",IF(OR(SUMIFS(J$5:J$639,$A$5:$A$639,$A359,$C$5:$C$639,$C359-1,$D$5:$D$639,$D359)=0,J359*SUMIFS(J$5:J$639,$A$5:$A$639,$A359,$C$5:$C$639,$C359-1,$D$5:$D$639,$D359)&lt;0),"n.s.",ABS(J359)/ABS(SUMIFS(J$5:J$639,$A$5:$A$639,$A359,$C$5:$C$639,$C359-1,$D$5:$D$639,$D359))-1)))</f>
        <v/>
      </c>
      <c r="S359" s="16">
        <f>IF(OR($A359="",K359="",$C359=""),"",IF(COUNTIFS($A$5:$A$639,$A359,$C$5:$C$639,$C359-1,$D$5:$D$639,$D359,K$5:K$639,"&lt;&gt;")=0,"",IF(OR(SUMIFS(K$5:K$639,$A$5:$A$639,$A359,$C$5:$C$639,$C359-1,$D$5:$D$639,$D359)=0,K359*SUMIFS(K$5:K$639,$A$5:$A$639,$A359,$C$5:$C$639,$C359-1,$D$5:$D$639,$D359)&lt;0),"n.s.",ABS(K359)/ABS(SUMIFS(K$5:K$639,$A$5:$A$639,$A359,$C$5:$C$639,$C359-1,$D$5:$D$639,$D359))-1)))</f>
        <v/>
      </c>
      <c r="T359" s="16">
        <f>IF(OR($A359="",L359="",$C359=""),"",IF(COUNTIFS($A$5:$A$639,$A359,$C$5:$C$639,$C359-1,$D$5:$D$639,$D359,L$5:L$639,"&lt;&gt;")=0,"",IF(OR(SUMIFS(L$5:L$639,$A$5:$A$639,$A359,$C$5:$C$639,$C359-1,$D$5:$D$639,$D359)=0,L359*SUMIFS(L$5:L$639,$A$5:$A$639,$A359,$C$5:$C$639,$C359-1,$D$5:$D$639,$D359)&lt;0),"n.s.",ABS(L359)/ABS(SUMIFS(L$5:L$639,$A$5:$A$639,$A359,$C$5:$C$639,$C359-1,$D$5:$D$639,$D359))-1)))</f>
        <v/>
      </c>
      <c r="U359" s="16">
        <f>IF(OR($A359="",M359="",$C359=""),"",IF(COUNTIFS($A$5:$A$639,$A359,$C$5:$C$639,$C359-1,$D$5:$D$639,$D359,M$5:M$639,"&lt;&gt;")=0,"",IF(OR(SUMIFS(M$5:M$639,$A$5:$A$639,$A359,$C$5:$C$639,$C359-1,$D$5:$D$639,$D359)=0,M359*SUMIFS(M$5:M$639,$A$5:$A$639,$A359,$C$5:$C$639,$C359-1,$D$5:$D$639,$D359)&lt;0),"n.s.",ABS(M359)/ABS(SUMIFS(M$5:M$639,$A$5:$A$639,$A359,$C$5:$C$639,$C359-1,$D$5:$D$639,$D359))-1)))</f>
        <v/>
      </c>
    </row>
    <row r="360">
      <c r="A360" s="9" t="inlineStr">
        <is>
          <t>SEMC</t>
        </is>
      </c>
      <c r="B360" s="10">
        <f>IF(A360="","",IFERROR(VLOOKUP(A360,Titres!$A$2:$B$400,2,FALSE),"Ticker inconnu"))</f>
        <v/>
      </c>
      <c r="C360" s="11" t="n">
        <v>2025</v>
      </c>
      <c r="D360" s="11" t="inlineStr">
        <is>
          <t>S1</t>
        </is>
      </c>
      <c r="E360" s="9" t="n"/>
      <c r="F360" s="12" t="n"/>
      <c r="G360" s="9" t="n"/>
      <c r="H360" s="13" t="n"/>
      <c r="I360" s="13" t="n"/>
      <c r="J360" s="13" t="n"/>
      <c r="K360" s="13" t="n"/>
      <c r="L360" s="13" t="n"/>
      <c r="M360" s="13" t="n"/>
      <c r="N360" s="14">
        <f>IF(A360="","",COUNT(H360:M360)/6)</f>
        <v/>
      </c>
      <c r="O360" s="15">
        <f>IF(COUNT(H360:M360)=0,"",IF(LEN(IF(COUNT(I360,J360)=2,IF(J360&gt;I360+1,"EBE &gt; VA ",""),"")&amp;IF(COUNT(H360,M360)=2,IF(ABS(M360)&gt;ABS(H360),"RN &gt; CA ",""),"")&amp;IF(COUNT(H360,K360)=2,IF(ABS(K360)&gt;ABS(H360),"RE &gt; CA ",""),""))=0,"OK",IF(COUNT(I360,J360)=2,IF(J360&gt;I360+1,"EBE &gt; VA ",""),"")&amp;IF(COUNT(H360,M360)=2,IF(ABS(M360)&gt;ABS(H360),"RN &gt; CA ",""),"")&amp;IF(COUNT(H360,K360)=2,IF(ABS(K360)&gt;ABS(H360),"RE &gt; CA ",""),"")))</f>
        <v/>
      </c>
      <c r="P360" s="16">
        <f>IF(OR($A360="",H360="",$C360=""),"",IF(COUNTIFS($A$5:$A$639,$A360,$C$5:$C$639,$C360-1,$D$5:$D$639,$D360,H$5:H$639,"&lt;&gt;")=0,"",IF(OR(SUMIFS(H$5:H$639,$A$5:$A$639,$A360,$C$5:$C$639,$C360-1,$D$5:$D$639,$D360)=0,H360*SUMIFS(H$5:H$639,$A$5:$A$639,$A360,$C$5:$C$639,$C360-1,$D$5:$D$639,$D360)&lt;0),"n.s.",ABS(H360)/ABS(SUMIFS(H$5:H$639,$A$5:$A$639,$A360,$C$5:$C$639,$C360-1,$D$5:$D$639,$D360))-1)))</f>
        <v/>
      </c>
      <c r="Q360" s="16">
        <f>IF(OR($A360="",I360="",$C360=""),"",IF(COUNTIFS($A$5:$A$639,$A360,$C$5:$C$639,$C360-1,$D$5:$D$639,$D360,I$5:I$639,"&lt;&gt;")=0,"",IF(OR(SUMIFS(I$5:I$639,$A$5:$A$639,$A360,$C$5:$C$639,$C360-1,$D$5:$D$639,$D360)=0,I360*SUMIFS(I$5:I$639,$A$5:$A$639,$A360,$C$5:$C$639,$C360-1,$D$5:$D$639,$D360)&lt;0),"n.s.",ABS(I360)/ABS(SUMIFS(I$5:I$639,$A$5:$A$639,$A360,$C$5:$C$639,$C360-1,$D$5:$D$639,$D360))-1)))</f>
        <v/>
      </c>
      <c r="R360" s="16">
        <f>IF(OR($A360="",J360="",$C360=""),"",IF(COUNTIFS($A$5:$A$639,$A360,$C$5:$C$639,$C360-1,$D$5:$D$639,$D360,J$5:J$639,"&lt;&gt;")=0,"",IF(OR(SUMIFS(J$5:J$639,$A$5:$A$639,$A360,$C$5:$C$639,$C360-1,$D$5:$D$639,$D360)=0,J360*SUMIFS(J$5:J$639,$A$5:$A$639,$A360,$C$5:$C$639,$C360-1,$D$5:$D$639,$D360)&lt;0),"n.s.",ABS(J360)/ABS(SUMIFS(J$5:J$639,$A$5:$A$639,$A360,$C$5:$C$639,$C360-1,$D$5:$D$639,$D360))-1)))</f>
        <v/>
      </c>
      <c r="S360" s="16">
        <f>IF(OR($A360="",K360="",$C360=""),"",IF(COUNTIFS($A$5:$A$639,$A360,$C$5:$C$639,$C360-1,$D$5:$D$639,$D360,K$5:K$639,"&lt;&gt;")=0,"",IF(OR(SUMIFS(K$5:K$639,$A$5:$A$639,$A360,$C$5:$C$639,$C360-1,$D$5:$D$639,$D360)=0,K360*SUMIFS(K$5:K$639,$A$5:$A$639,$A360,$C$5:$C$639,$C360-1,$D$5:$D$639,$D360)&lt;0),"n.s.",ABS(K360)/ABS(SUMIFS(K$5:K$639,$A$5:$A$639,$A360,$C$5:$C$639,$C360-1,$D$5:$D$639,$D360))-1)))</f>
        <v/>
      </c>
      <c r="T360" s="16">
        <f>IF(OR($A360="",L360="",$C360=""),"",IF(COUNTIFS($A$5:$A$639,$A360,$C$5:$C$639,$C360-1,$D$5:$D$639,$D360,L$5:L$639,"&lt;&gt;")=0,"",IF(OR(SUMIFS(L$5:L$639,$A$5:$A$639,$A360,$C$5:$C$639,$C360-1,$D$5:$D$639,$D360)=0,L360*SUMIFS(L$5:L$639,$A$5:$A$639,$A360,$C$5:$C$639,$C360-1,$D$5:$D$639,$D360)&lt;0),"n.s.",ABS(L360)/ABS(SUMIFS(L$5:L$639,$A$5:$A$639,$A360,$C$5:$C$639,$C360-1,$D$5:$D$639,$D360))-1)))</f>
        <v/>
      </c>
      <c r="U360" s="16">
        <f>IF(OR($A360="",M360="",$C360=""),"",IF(COUNTIFS($A$5:$A$639,$A360,$C$5:$C$639,$C360-1,$D$5:$D$639,$D360,M$5:M$639,"&lt;&gt;")=0,"",IF(OR(SUMIFS(M$5:M$639,$A$5:$A$639,$A360,$C$5:$C$639,$C360-1,$D$5:$D$639,$D360)=0,M360*SUMIFS(M$5:M$639,$A$5:$A$639,$A360,$C$5:$C$639,$C360-1,$D$5:$D$639,$D360)&lt;0),"n.s.",ABS(M360)/ABS(SUMIFS(M$5:M$639,$A$5:$A$639,$A360,$C$5:$C$639,$C360-1,$D$5:$D$639,$D360))-1)))</f>
        <v/>
      </c>
    </row>
    <row r="361">
      <c r="A361" s="9" t="inlineStr">
        <is>
          <t>SEMC</t>
        </is>
      </c>
      <c r="B361" s="10">
        <f>IF(A361="","",IFERROR(VLOOKUP(A361,Titres!$A$2:$B$400,2,FALSE),"Ticker inconnu"))</f>
        <v/>
      </c>
      <c r="C361" s="11" t="n">
        <v>2025</v>
      </c>
      <c r="D361" s="11" t="inlineStr">
        <is>
          <t>T3</t>
        </is>
      </c>
      <c r="E361" s="9" t="n"/>
      <c r="F361" s="12" t="n"/>
      <c r="G361" s="9" t="n"/>
      <c r="H361" s="13" t="n"/>
      <c r="I361" s="13" t="n"/>
      <c r="J361" s="13" t="n"/>
      <c r="K361" s="13" t="n"/>
      <c r="L361" s="13" t="n"/>
      <c r="M361" s="13" t="n"/>
      <c r="N361" s="14">
        <f>IF(A361="","",COUNT(H361:M361)/6)</f>
        <v/>
      </c>
      <c r="O361" s="15">
        <f>IF(COUNT(H361:M361)=0,"",IF(LEN(IF(COUNT(I361,J361)=2,IF(J361&gt;I361+1,"EBE &gt; VA ",""),"")&amp;IF(COUNT(H361,M361)=2,IF(ABS(M361)&gt;ABS(H361),"RN &gt; CA ",""),"")&amp;IF(COUNT(H361,K361)=2,IF(ABS(K361)&gt;ABS(H361),"RE &gt; CA ",""),""))=0,"OK",IF(COUNT(I361,J361)=2,IF(J361&gt;I361+1,"EBE &gt; VA ",""),"")&amp;IF(COUNT(H361,M361)=2,IF(ABS(M361)&gt;ABS(H361),"RN &gt; CA ",""),"")&amp;IF(COUNT(H361,K361)=2,IF(ABS(K361)&gt;ABS(H361),"RE &gt; CA ",""),"")))</f>
        <v/>
      </c>
      <c r="P361" s="16">
        <f>IF(OR($A361="",H361="",$C361=""),"",IF(COUNTIFS($A$5:$A$639,$A361,$C$5:$C$639,$C361-1,$D$5:$D$639,$D361,H$5:H$639,"&lt;&gt;")=0,"",IF(OR(SUMIFS(H$5:H$639,$A$5:$A$639,$A361,$C$5:$C$639,$C361-1,$D$5:$D$639,$D361)=0,H361*SUMIFS(H$5:H$639,$A$5:$A$639,$A361,$C$5:$C$639,$C361-1,$D$5:$D$639,$D361)&lt;0),"n.s.",ABS(H361)/ABS(SUMIFS(H$5:H$639,$A$5:$A$639,$A361,$C$5:$C$639,$C361-1,$D$5:$D$639,$D361))-1)))</f>
        <v/>
      </c>
      <c r="Q361" s="16">
        <f>IF(OR($A361="",I361="",$C361=""),"",IF(COUNTIFS($A$5:$A$639,$A361,$C$5:$C$639,$C361-1,$D$5:$D$639,$D361,I$5:I$639,"&lt;&gt;")=0,"",IF(OR(SUMIFS(I$5:I$639,$A$5:$A$639,$A361,$C$5:$C$639,$C361-1,$D$5:$D$639,$D361)=0,I361*SUMIFS(I$5:I$639,$A$5:$A$639,$A361,$C$5:$C$639,$C361-1,$D$5:$D$639,$D361)&lt;0),"n.s.",ABS(I361)/ABS(SUMIFS(I$5:I$639,$A$5:$A$639,$A361,$C$5:$C$639,$C361-1,$D$5:$D$639,$D361))-1)))</f>
        <v/>
      </c>
      <c r="R361" s="16">
        <f>IF(OR($A361="",J361="",$C361=""),"",IF(COUNTIFS($A$5:$A$639,$A361,$C$5:$C$639,$C361-1,$D$5:$D$639,$D361,J$5:J$639,"&lt;&gt;")=0,"",IF(OR(SUMIFS(J$5:J$639,$A$5:$A$639,$A361,$C$5:$C$639,$C361-1,$D$5:$D$639,$D361)=0,J361*SUMIFS(J$5:J$639,$A$5:$A$639,$A361,$C$5:$C$639,$C361-1,$D$5:$D$639,$D361)&lt;0),"n.s.",ABS(J361)/ABS(SUMIFS(J$5:J$639,$A$5:$A$639,$A361,$C$5:$C$639,$C361-1,$D$5:$D$639,$D361))-1)))</f>
        <v/>
      </c>
      <c r="S361" s="16">
        <f>IF(OR($A361="",K361="",$C361=""),"",IF(COUNTIFS($A$5:$A$639,$A361,$C$5:$C$639,$C361-1,$D$5:$D$639,$D361,K$5:K$639,"&lt;&gt;")=0,"",IF(OR(SUMIFS(K$5:K$639,$A$5:$A$639,$A361,$C$5:$C$639,$C361-1,$D$5:$D$639,$D361)=0,K361*SUMIFS(K$5:K$639,$A$5:$A$639,$A361,$C$5:$C$639,$C361-1,$D$5:$D$639,$D361)&lt;0),"n.s.",ABS(K361)/ABS(SUMIFS(K$5:K$639,$A$5:$A$639,$A361,$C$5:$C$639,$C361-1,$D$5:$D$639,$D361))-1)))</f>
        <v/>
      </c>
      <c r="T361" s="16">
        <f>IF(OR($A361="",L361="",$C361=""),"",IF(COUNTIFS($A$5:$A$639,$A361,$C$5:$C$639,$C361-1,$D$5:$D$639,$D361,L$5:L$639,"&lt;&gt;")=0,"",IF(OR(SUMIFS(L$5:L$639,$A$5:$A$639,$A361,$C$5:$C$639,$C361-1,$D$5:$D$639,$D361)=0,L361*SUMIFS(L$5:L$639,$A$5:$A$639,$A361,$C$5:$C$639,$C361-1,$D$5:$D$639,$D361)&lt;0),"n.s.",ABS(L361)/ABS(SUMIFS(L$5:L$639,$A$5:$A$639,$A361,$C$5:$C$639,$C361-1,$D$5:$D$639,$D361))-1)))</f>
        <v/>
      </c>
      <c r="U361" s="16">
        <f>IF(OR($A361="",M361="",$C361=""),"",IF(COUNTIFS($A$5:$A$639,$A361,$C$5:$C$639,$C361-1,$D$5:$D$639,$D361,M$5:M$639,"&lt;&gt;")=0,"",IF(OR(SUMIFS(M$5:M$639,$A$5:$A$639,$A361,$C$5:$C$639,$C361-1,$D$5:$D$639,$D361)=0,M361*SUMIFS(M$5:M$639,$A$5:$A$639,$A361,$C$5:$C$639,$C361-1,$D$5:$D$639,$D361)&lt;0),"n.s.",ABS(M361)/ABS(SUMIFS(M$5:M$639,$A$5:$A$639,$A361,$C$5:$C$639,$C361-1,$D$5:$D$639,$D361))-1)))</f>
        <v/>
      </c>
    </row>
    <row r="362">
      <c r="A362" s="9" t="inlineStr">
        <is>
          <t>SEMC</t>
        </is>
      </c>
      <c r="B362" s="10">
        <f>IF(A362="","",IFERROR(VLOOKUP(A362,Titres!$A$2:$B$400,2,FALSE),"Ticker inconnu"))</f>
        <v/>
      </c>
      <c r="C362" s="11" t="n">
        <v>2026</v>
      </c>
      <c r="D362" s="11" t="inlineStr">
        <is>
          <t>T1</t>
        </is>
      </c>
      <c r="E362" s="9" t="n"/>
      <c r="F362" s="12" t="n"/>
      <c r="G362" s="9" t="n"/>
      <c r="H362" s="13" t="n"/>
      <c r="I362" s="13" t="n"/>
      <c r="J362" s="13" t="n"/>
      <c r="K362" s="13" t="n"/>
      <c r="L362" s="13" t="n"/>
      <c r="M362" s="13" t="n"/>
      <c r="N362" s="14">
        <f>IF(A362="","",COUNT(H362:M362)/6)</f>
        <v/>
      </c>
      <c r="O362" s="15">
        <f>IF(COUNT(H362:M362)=0,"",IF(LEN(IF(COUNT(I362,J362)=2,IF(J362&gt;I362+1,"EBE &gt; VA ",""),"")&amp;IF(COUNT(H362,M362)=2,IF(ABS(M362)&gt;ABS(H362),"RN &gt; CA ",""),"")&amp;IF(COUNT(H362,K362)=2,IF(ABS(K362)&gt;ABS(H362),"RE &gt; CA ",""),""))=0,"OK",IF(COUNT(I362,J362)=2,IF(J362&gt;I362+1,"EBE &gt; VA ",""),"")&amp;IF(COUNT(H362,M362)=2,IF(ABS(M362)&gt;ABS(H362),"RN &gt; CA ",""),"")&amp;IF(COUNT(H362,K362)=2,IF(ABS(K362)&gt;ABS(H362),"RE &gt; CA ",""),"")))</f>
        <v/>
      </c>
      <c r="P362" s="16">
        <f>IF(OR($A362="",H362="",$C362=""),"",IF(COUNTIFS($A$5:$A$639,$A362,$C$5:$C$639,$C362-1,$D$5:$D$639,$D362,H$5:H$639,"&lt;&gt;")=0,"",IF(OR(SUMIFS(H$5:H$639,$A$5:$A$639,$A362,$C$5:$C$639,$C362-1,$D$5:$D$639,$D362)=0,H362*SUMIFS(H$5:H$639,$A$5:$A$639,$A362,$C$5:$C$639,$C362-1,$D$5:$D$639,$D362)&lt;0),"n.s.",ABS(H362)/ABS(SUMIFS(H$5:H$639,$A$5:$A$639,$A362,$C$5:$C$639,$C362-1,$D$5:$D$639,$D362))-1)))</f>
        <v/>
      </c>
      <c r="Q362" s="16">
        <f>IF(OR($A362="",I362="",$C362=""),"",IF(COUNTIFS($A$5:$A$639,$A362,$C$5:$C$639,$C362-1,$D$5:$D$639,$D362,I$5:I$639,"&lt;&gt;")=0,"",IF(OR(SUMIFS(I$5:I$639,$A$5:$A$639,$A362,$C$5:$C$639,$C362-1,$D$5:$D$639,$D362)=0,I362*SUMIFS(I$5:I$639,$A$5:$A$639,$A362,$C$5:$C$639,$C362-1,$D$5:$D$639,$D362)&lt;0),"n.s.",ABS(I362)/ABS(SUMIFS(I$5:I$639,$A$5:$A$639,$A362,$C$5:$C$639,$C362-1,$D$5:$D$639,$D362))-1)))</f>
        <v/>
      </c>
      <c r="R362" s="16">
        <f>IF(OR($A362="",J362="",$C362=""),"",IF(COUNTIFS($A$5:$A$639,$A362,$C$5:$C$639,$C362-1,$D$5:$D$639,$D362,J$5:J$639,"&lt;&gt;")=0,"",IF(OR(SUMIFS(J$5:J$639,$A$5:$A$639,$A362,$C$5:$C$639,$C362-1,$D$5:$D$639,$D362)=0,J362*SUMIFS(J$5:J$639,$A$5:$A$639,$A362,$C$5:$C$639,$C362-1,$D$5:$D$639,$D362)&lt;0),"n.s.",ABS(J362)/ABS(SUMIFS(J$5:J$639,$A$5:$A$639,$A362,$C$5:$C$639,$C362-1,$D$5:$D$639,$D362))-1)))</f>
        <v/>
      </c>
      <c r="S362" s="16">
        <f>IF(OR($A362="",K362="",$C362=""),"",IF(COUNTIFS($A$5:$A$639,$A362,$C$5:$C$639,$C362-1,$D$5:$D$639,$D362,K$5:K$639,"&lt;&gt;")=0,"",IF(OR(SUMIFS(K$5:K$639,$A$5:$A$639,$A362,$C$5:$C$639,$C362-1,$D$5:$D$639,$D362)=0,K362*SUMIFS(K$5:K$639,$A$5:$A$639,$A362,$C$5:$C$639,$C362-1,$D$5:$D$639,$D362)&lt;0),"n.s.",ABS(K362)/ABS(SUMIFS(K$5:K$639,$A$5:$A$639,$A362,$C$5:$C$639,$C362-1,$D$5:$D$639,$D362))-1)))</f>
        <v/>
      </c>
      <c r="T362" s="16">
        <f>IF(OR($A362="",L362="",$C362=""),"",IF(COUNTIFS($A$5:$A$639,$A362,$C$5:$C$639,$C362-1,$D$5:$D$639,$D362,L$5:L$639,"&lt;&gt;")=0,"",IF(OR(SUMIFS(L$5:L$639,$A$5:$A$639,$A362,$C$5:$C$639,$C362-1,$D$5:$D$639,$D362)=0,L362*SUMIFS(L$5:L$639,$A$5:$A$639,$A362,$C$5:$C$639,$C362-1,$D$5:$D$639,$D362)&lt;0),"n.s.",ABS(L362)/ABS(SUMIFS(L$5:L$639,$A$5:$A$639,$A362,$C$5:$C$639,$C362-1,$D$5:$D$639,$D362))-1)))</f>
        <v/>
      </c>
      <c r="U362" s="16">
        <f>IF(OR($A362="",M362="",$C362=""),"",IF(COUNTIFS($A$5:$A$639,$A362,$C$5:$C$639,$C362-1,$D$5:$D$639,$D362,M$5:M$639,"&lt;&gt;")=0,"",IF(OR(SUMIFS(M$5:M$639,$A$5:$A$639,$A362,$C$5:$C$639,$C362-1,$D$5:$D$639,$D362)=0,M362*SUMIFS(M$5:M$639,$A$5:$A$639,$A362,$C$5:$C$639,$C362-1,$D$5:$D$639,$D362)&lt;0),"n.s.",ABS(M362)/ABS(SUMIFS(M$5:M$639,$A$5:$A$639,$A362,$C$5:$C$639,$C362-1,$D$5:$D$639,$D362))-1)))</f>
        <v/>
      </c>
    </row>
    <row r="363">
      <c r="A363" s="9" t="inlineStr">
        <is>
          <t>SEMC</t>
        </is>
      </c>
      <c r="B363" s="10">
        <f>IF(A363="","",IFERROR(VLOOKUP(A363,Titres!$A$2:$B$400,2,FALSE),"Ticker inconnu"))</f>
        <v/>
      </c>
      <c r="C363" s="11" t="n">
        <v>2026</v>
      </c>
      <c r="D363" s="11" t="inlineStr">
        <is>
          <t>S1</t>
        </is>
      </c>
      <c r="E363" s="9" t="n"/>
      <c r="F363" s="12" t="n"/>
      <c r="G363" s="9" t="n"/>
      <c r="H363" s="13" t="n"/>
      <c r="I363" s="13" t="n"/>
      <c r="J363" s="13" t="n"/>
      <c r="K363" s="13" t="n"/>
      <c r="L363" s="13" t="n"/>
      <c r="M363" s="13" t="n"/>
      <c r="N363" s="14">
        <f>IF(A363="","",COUNT(H363:M363)/6)</f>
        <v/>
      </c>
      <c r="O363" s="15">
        <f>IF(COUNT(H363:M363)=0,"",IF(LEN(IF(COUNT(I363,J363)=2,IF(J363&gt;I363+1,"EBE &gt; VA ",""),"")&amp;IF(COUNT(H363,M363)=2,IF(ABS(M363)&gt;ABS(H363),"RN &gt; CA ",""),"")&amp;IF(COUNT(H363,K363)=2,IF(ABS(K363)&gt;ABS(H363),"RE &gt; CA ",""),""))=0,"OK",IF(COUNT(I363,J363)=2,IF(J363&gt;I363+1,"EBE &gt; VA ",""),"")&amp;IF(COUNT(H363,M363)=2,IF(ABS(M363)&gt;ABS(H363),"RN &gt; CA ",""),"")&amp;IF(COUNT(H363,K363)=2,IF(ABS(K363)&gt;ABS(H363),"RE &gt; CA ",""),"")))</f>
        <v/>
      </c>
      <c r="P363" s="16">
        <f>IF(OR($A363="",H363="",$C363=""),"",IF(COUNTIFS($A$5:$A$639,$A363,$C$5:$C$639,$C363-1,$D$5:$D$639,$D363,H$5:H$639,"&lt;&gt;")=0,"",IF(OR(SUMIFS(H$5:H$639,$A$5:$A$639,$A363,$C$5:$C$639,$C363-1,$D$5:$D$639,$D363)=0,H363*SUMIFS(H$5:H$639,$A$5:$A$639,$A363,$C$5:$C$639,$C363-1,$D$5:$D$639,$D363)&lt;0),"n.s.",ABS(H363)/ABS(SUMIFS(H$5:H$639,$A$5:$A$639,$A363,$C$5:$C$639,$C363-1,$D$5:$D$639,$D363))-1)))</f>
        <v/>
      </c>
      <c r="Q363" s="16">
        <f>IF(OR($A363="",I363="",$C363=""),"",IF(COUNTIFS($A$5:$A$639,$A363,$C$5:$C$639,$C363-1,$D$5:$D$639,$D363,I$5:I$639,"&lt;&gt;")=0,"",IF(OR(SUMIFS(I$5:I$639,$A$5:$A$639,$A363,$C$5:$C$639,$C363-1,$D$5:$D$639,$D363)=0,I363*SUMIFS(I$5:I$639,$A$5:$A$639,$A363,$C$5:$C$639,$C363-1,$D$5:$D$639,$D363)&lt;0),"n.s.",ABS(I363)/ABS(SUMIFS(I$5:I$639,$A$5:$A$639,$A363,$C$5:$C$639,$C363-1,$D$5:$D$639,$D363))-1)))</f>
        <v/>
      </c>
      <c r="R363" s="16">
        <f>IF(OR($A363="",J363="",$C363=""),"",IF(COUNTIFS($A$5:$A$639,$A363,$C$5:$C$639,$C363-1,$D$5:$D$639,$D363,J$5:J$639,"&lt;&gt;")=0,"",IF(OR(SUMIFS(J$5:J$639,$A$5:$A$639,$A363,$C$5:$C$639,$C363-1,$D$5:$D$639,$D363)=0,J363*SUMIFS(J$5:J$639,$A$5:$A$639,$A363,$C$5:$C$639,$C363-1,$D$5:$D$639,$D363)&lt;0),"n.s.",ABS(J363)/ABS(SUMIFS(J$5:J$639,$A$5:$A$639,$A363,$C$5:$C$639,$C363-1,$D$5:$D$639,$D363))-1)))</f>
        <v/>
      </c>
      <c r="S363" s="16">
        <f>IF(OR($A363="",K363="",$C363=""),"",IF(COUNTIFS($A$5:$A$639,$A363,$C$5:$C$639,$C363-1,$D$5:$D$639,$D363,K$5:K$639,"&lt;&gt;")=0,"",IF(OR(SUMIFS(K$5:K$639,$A$5:$A$639,$A363,$C$5:$C$639,$C363-1,$D$5:$D$639,$D363)=0,K363*SUMIFS(K$5:K$639,$A$5:$A$639,$A363,$C$5:$C$639,$C363-1,$D$5:$D$639,$D363)&lt;0),"n.s.",ABS(K363)/ABS(SUMIFS(K$5:K$639,$A$5:$A$639,$A363,$C$5:$C$639,$C363-1,$D$5:$D$639,$D363))-1)))</f>
        <v/>
      </c>
      <c r="T363" s="16">
        <f>IF(OR($A363="",L363="",$C363=""),"",IF(COUNTIFS($A$5:$A$639,$A363,$C$5:$C$639,$C363-1,$D$5:$D$639,$D363,L$5:L$639,"&lt;&gt;")=0,"",IF(OR(SUMIFS(L$5:L$639,$A$5:$A$639,$A363,$C$5:$C$639,$C363-1,$D$5:$D$639,$D363)=0,L363*SUMIFS(L$5:L$639,$A$5:$A$639,$A363,$C$5:$C$639,$C363-1,$D$5:$D$639,$D363)&lt;0),"n.s.",ABS(L363)/ABS(SUMIFS(L$5:L$639,$A$5:$A$639,$A363,$C$5:$C$639,$C363-1,$D$5:$D$639,$D363))-1)))</f>
        <v/>
      </c>
      <c r="U363" s="16">
        <f>IF(OR($A363="",M363="",$C363=""),"",IF(COUNTIFS($A$5:$A$639,$A363,$C$5:$C$639,$C363-1,$D$5:$D$639,$D363,M$5:M$639,"&lt;&gt;")=0,"",IF(OR(SUMIFS(M$5:M$639,$A$5:$A$639,$A363,$C$5:$C$639,$C363-1,$D$5:$D$639,$D363)=0,M363*SUMIFS(M$5:M$639,$A$5:$A$639,$A363,$C$5:$C$639,$C363-1,$D$5:$D$639,$D363)&lt;0),"n.s.",ABS(M363)/ABS(SUMIFS(M$5:M$639,$A$5:$A$639,$A363,$C$5:$C$639,$C363-1,$D$5:$D$639,$D363))-1)))</f>
        <v/>
      </c>
    </row>
    <row r="364">
      <c r="A364" s="9" t="inlineStr">
        <is>
          <t>SEMC</t>
        </is>
      </c>
      <c r="B364" s="10">
        <f>IF(A364="","",IFERROR(VLOOKUP(A364,Titres!$A$2:$B$400,2,FALSE),"Ticker inconnu"))</f>
        <v/>
      </c>
      <c r="C364" s="11" t="n">
        <v>2026</v>
      </c>
      <c r="D364" s="11" t="inlineStr">
        <is>
          <t>T3</t>
        </is>
      </c>
      <c r="E364" s="9" t="n"/>
      <c r="F364" s="12" t="n"/>
      <c r="G364" s="9" t="n"/>
      <c r="H364" s="13" t="n"/>
      <c r="I364" s="13" t="n"/>
      <c r="J364" s="13" t="n"/>
      <c r="K364" s="13" t="n"/>
      <c r="L364" s="13" t="n"/>
      <c r="M364" s="13" t="n"/>
      <c r="N364" s="14">
        <f>IF(A364="","",COUNT(H364:M364)/6)</f>
        <v/>
      </c>
      <c r="O364" s="15">
        <f>IF(COUNT(H364:M364)=0,"",IF(LEN(IF(COUNT(I364,J364)=2,IF(J364&gt;I364+1,"EBE &gt; VA ",""),"")&amp;IF(COUNT(H364,M364)=2,IF(ABS(M364)&gt;ABS(H364),"RN &gt; CA ",""),"")&amp;IF(COUNT(H364,K364)=2,IF(ABS(K364)&gt;ABS(H364),"RE &gt; CA ",""),""))=0,"OK",IF(COUNT(I364,J364)=2,IF(J364&gt;I364+1,"EBE &gt; VA ",""),"")&amp;IF(COUNT(H364,M364)=2,IF(ABS(M364)&gt;ABS(H364),"RN &gt; CA ",""),"")&amp;IF(COUNT(H364,K364)=2,IF(ABS(K364)&gt;ABS(H364),"RE &gt; CA ",""),"")))</f>
        <v/>
      </c>
      <c r="P364" s="16">
        <f>IF(OR($A364="",H364="",$C364=""),"",IF(COUNTIFS($A$5:$A$639,$A364,$C$5:$C$639,$C364-1,$D$5:$D$639,$D364,H$5:H$639,"&lt;&gt;")=0,"",IF(OR(SUMIFS(H$5:H$639,$A$5:$A$639,$A364,$C$5:$C$639,$C364-1,$D$5:$D$639,$D364)=0,H364*SUMIFS(H$5:H$639,$A$5:$A$639,$A364,$C$5:$C$639,$C364-1,$D$5:$D$639,$D364)&lt;0),"n.s.",ABS(H364)/ABS(SUMIFS(H$5:H$639,$A$5:$A$639,$A364,$C$5:$C$639,$C364-1,$D$5:$D$639,$D364))-1)))</f>
        <v/>
      </c>
      <c r="Q364" s="16">
        <f>IF(OR($A364="",I364="",$C364=""),"",IF(COUNTIFS($A$5:$A$639,$A364,$C$5:$C$639,$C364-1,$D$5:$D$639,$D364,I$5:I$639,"&lt;&gt;")=0,"",IF(OR(SUMIFS(I$5:I$639,$A$5:$A$639,$A364,$C$5:$C$639,$C364-1,$D$5:$D$639,$D364)=0,I364*SUMIFS(I$5:I$639,$A$5:$A$639,$A364,$C$5:$C$639,$C364-1,$D$5:$D$639,$D364)&lt;0),"n.s.",ABS(I364)/ABS(SUMIFS(I$5:I$639,$A$5:$A$639,$A364,$C$5:$C$639,$C364-1,$D$5:$D$639,$D364))-1)))</f>
        <v/>
      </c>
      <c r="R364" s="16">
        <f>IF(OR($A364="",J364="",$C364=""),"",IF(COUNTIFS($A$5:$A$639,$A364,$C$5:$C$639,$C364-1,$D$5:$D$639,$D364,J$5:J$639,"&lt;&gt;")=0,"",IF(OR(SUMIFS(J$5:J$639,$A$5:$A$639,$A364,$C$5:$C$639,$C364-1,$D$5:$D$639,$D364)=0,J364*SUMIFS(J$5:J$639,$A$5:$A$639,$A364,$C$5:$C$639,$C364-1,$D$5:$D$639,$D364)&lt;0),"n.s.",ABS(J364)/ABS(SUMIFS(J$5:J$639,$A$5:$A$639,$A364,$C$5:$C$639,$C364-1,$D$5:$D$639,$D364))-1)))</f>
        <v/>
      </c>
      <c r="S364" s="16">
        <f>IF(OR($A364="",K364="",$C364=""),"",IF(COUNTIFS($A$5:$A$639,$A364,$C$5:$C$639,$C364-1,$D$5:$D$639,$D364,K$5:K$639,"&lt;&gt;")=0,"",IF(OR(SUMIFS(K$5:K$639,$A$5:$A$639,$A364,$C$5:$C$639,$C364-1,$D$5:$D$639,$D364)=0,K364*SUMIFS(K$5:K$639,$A$5:$A$639,$A364,$C$5:$C$639,$C364-1,$D$5:$D$639,$D364)&lt;0),"n.s.",ABS(K364)/ABS(SUMIFS(K$5:K$639,$A$5:$A$639,$A364,$C$5:$C$639,$C364-1,$D$5:$D$639,$D364))-1)))</f>
        <v/>
      </c>
      <c r="T364" s="16">
        <f>IF(OR($A364="",L364="",$C364=""),"",IF(COUNTIFS($A$5:$A$639,$A364,$C$5:$C$639,$C364-1,$D$5:$D$639,$D364,L$5:L$639,"&lt;&gt;")=0,"",IF(OR(SUMIFS(L$5:L$639,$A$5:$A$639,$A364,$C$5:$C$639,$C364-1,$D$5:$D$639,$D364)=0,L364*SUMIFS(L$5:L$639,$A$5:$A$639,$A364,$C$5:$C$639,$C364-1,$D$5:$D$639,$D364)&lt;0),"n.s.",ABS(L364)/ABS(SUMIFS(L$5:L$639,$A$5:$A$639,$A364,$C$5:$C$639,$C364-1,$D$5:$D$639,$D364))-1)))</f>
        <v/>
      </c>
      <c r="U364" s="16">
        <f>IF(OR($A364="",M364="",$C364=""),"",IF(COUNTIFS($A$5:$A$639,$A364,$C$5:$C$639,$C364-1,$D$5:$D$639,$D364,M$5:M$639,"&lt;&gt;")=0,"",IF(OR(SUMIFS(M$5:M$639,$A$5:$A$639,$A364,$C$5:$C$639,$C364-1,$D$5:$D$639,$D364)=0,M364*SUMIFS(M$5:M$639,$A$5:$A$639,$A364,$C$5:$C$639,$C364-1,$D$5:$D$639,$D364)&lt;0),"n.s.",ABS(M364)/ABS(SUMIFS(M$5:M$639,$A$5:$A$639,$A364,$C$5:$C$639,$C364-1,$D$5:$D$639,$D364))-1)))</f>
        <v/>
      </c>
    </row>
    <row r="365">
      <c r="A365" s="9" t="inlineStr">
        <is>
          <t>SIVC</t>
        </is>
      </c>
      <c r="B365" s="10">
        <f>IF(A365="","",IFERROR(VLOOKUP(A365,Titres!$A$2:$B$400,2,FALSE),"Ticker inconnu"))</f>
        <v/>
      </c>
      <c r="C365" s="11" t="n">
        <v>2021</v>
      </c>
      <c r="D365" s="11" t="inlineStr">
        <is>
          <t>T1</t>
        </is>
      </c>
      <c r="E365" s="9" t="n"/>
      <c r="F365" s="12" t="n"/>
      <c r="G365" s="9" t="n"/>
      <c r="H365" s="13" t="n"/>
      <c r="I365" s="13" t="n"/>
      <c r="J365" s="13" t="n"/>
      <c r="K365" s="13" t="n"/>
      <c r="L365" s="13" t="n"/>
      <c r="M365" s="13" t="n"/>
      <c r="N365" s="14">
        <f>IF(A365="","",COUNT(H365:M365)/6)</f>
        <v/>
      </c>
      <c r="O365" s="15">
        <f>IF(COUNT(H365:M365)=0,"",IF(LEN(IF(COUNT(I365,J365)=2,IF(J365&gt;I365+1,"EBE &gt; VA ",""),"")&amp;IF(COUNT(H365,M365)=2,IF(ABS(M365)&gt;ABS(H365),"RN &gt; CA ",""),"")&amp;IF(COUNT(H365,K365)=2,IF(ABS(K365)&gt;ABS(H365),"RE &gt; CA ",""),""))=0,"OK",IF(COUNT(I365,J365)=2,IF(J365&gt;I365+1,"EBE &gt; VA ",""),"")&amp;IF(COUNT(H365,M365)=2,IF(ABS(M365)&gt;ABS(H365),"RN &gt; CA ",""),"")&amp;IF(COUNT(H365,K365)=2,IF(ABS(K365)&gt;ABS(H365),"RE &gt; CA ",""),"")))</f>
        <v/>
      </c>
      <c r="P365" s="16">
        <f>IF(OR($A365="",H365="",$C365=""),"",IF(COUNTIFS($A$5:$A$639,$A365,$C$5:$C$639,$C365-1,$D$5:$D$639,$D365,H$5:H$639,"&lt;&gt;")=0,"",IF(OR(SUMIFS(H$5:H$639,$A$5:$A$639,$A365,$C$5:$C$639,$C365-1,$D$5:$D$639,$D365)=0,H365*SUMIFS(H$5:H$639,$A$5:$A$639,$A365,$C$5:$C$639,$C365-1,$D$5:$D$639,$D365)&lt;0),"n.s.",ABS(H365)/ABS(SUMIFS(H$5:H$639,$A$5:$A$639,$A365,$C$5:$C$639,$C365-1,$D$5:$D$639,$D365))-1)))</f>
        <v/>
      </c>
      <c r="Q365" s="16">
        <f>IF(OR($A365="",I365="",$C365=""),"",IF(COUNTIFS($A$5:$A$639,$A365,$C$5:$C$639,$C365-1,$D$5:$D$639,$D365,I$5:I$639,"&lt;&gt;")=0,"",IF(OR(SUMIFS(I$5:I$639,$A$5:$A$639,$A365,$C$5:$C$639,$C365-1,$D$5:$D$639,$D365)=0,I365*SUMIFS(I$5:I$639,$A$5:$A$639,$A365,$C$5:$C$639,$C365-1,$D$5:$D$639,$D365)&lt;0),"n.s.",ABS(I365)/ABS(SUMIFS(I$5:I$639,$A$5:$A$639,$A365,$C$5:$C$639,$C365-1,$D$5:$D$639,$D365))-1)))</f>
        <v/>
      </c>
      <c r="R365" s="16">
        <f>IF(OR($A365="",J365="",$C365=""),"",IF(COUNTIFS($A$5:$A$639,$A365,$C$5:$C$639,$C365-1,$D$5:$D$639,$D365,J$5:J$639,"&lt;&gt;")=0,"",IF(OR(SUMIFS(J$5:J$639,$A$5:$A$639,$A365,$C$5:$C$639,$C365-1,$D$5:$D$639,$D365)=0,J365*SUMIFS(J$5:J$639,$A$5:$A$639,$A365,$C$5:$C$639,$C365-1,$D$5:$D$639,$D365)&lt;0),"n.s.",ABS(J365)/ABS(SUMIFS(J$5:J$639,$A$5:$A$639,$A365,$C$5:$C$639,$C365-1,$D$5:$D$639,$D365))-1)))</f>
        <v/>
      </c>
      <c r="S365" s="16">
        <f>IF(OR($A365="",K365="",$C365=""),"",IF(COUNTIFS($A$5:$A$639,$A365,$C$5:$C$639,$C365-1,$D$5:$D$639,$D365,K$5:K$639,"&lt;&gt;")=0,"",IF(OR(SUMIFS(K$5:K$639,$A$5:$A$639,$A365,$C$5:$C$639,$C365-1,$D$5:$D$639,$D365)=0,K365*SUMIFS(K$5:K$639,$A$5:$A$639,$A365,$C$5:$C$639,$C365-1,$D$5:$D$639,$D365)&lt;0),"n.s.",ABS(K365)/ABS(SUMIFS(K$5:K$639,$A$5:$A$639,$A365,$C$5:$C$639,$C365-1,$D$5:$D$639,$D365))-1)))</f>
        <v/>
      </c>
      <c r="T365" s="16">
        <f>IF(OR($A365="",L365="",$C365=""),"",IF(COUNTIFS($A$5:$A$639,$A365,$C$5:$C$639,$C365-1,$D$5:$D$639,$D365,L$5:L$639,"&lt;&gt;")=0,"",IF(OR(SUMIFS(L$5:L$639,$A$5:$A$639,$A365,$C$5:$C$639,$C365-1,$D$5:$D$639,$D365)=0,L365*SUMIFS(L$5:L$639,$A$5:$A$639,$A365,$C$5:$C$639,$C365-1,$D$5:$D$639,$D365)&lt;0),"n.s.",ABS(L365)/ABS(SUMIFS(L$5:L$639,$A$5:$A$639,$A365,$C$5:$C$639,$C365-1,$D$5:$D$639,$D365))-1)))</f>
        <v/>
      </c>
      <c r="U365" s="16">
        <f>IF(OR($A365="",M365="",$C365=""),"",IF(COUNTIFS($A$5:$A$639,$A365,$C$5:$C$639,$C365-1,$D$5:$D$639,$D365,M$5:M$639,"&lt;&gt;")=0,"",IF(OR(SUMIFS(M$5:M$639,$A$5:$A$639,$A365,$C$5:$C$639,$C365-1,$D$5:$D$639,$D365)=0,M365*SUMIFS(M$5:M$639,$A$5:$A$639,$A365,$C$5:$C$639,$C365-1,$D$5:$D$639,$D365)&lt;0),"n.s.",ABS(M365)/ABS(SUMIFS(M$5:M$639,$A$5:$A$639,$A365,$C$5:$C$639,$C365-1,$D$5:$D$639,$D365))-1)))</f>
        <v/>
      </c>
    </row>
    <row r="366">
      <c r="A366" s="9" t="inlineStr">
        <is>
          <t>SIVC</t>
        </is>
      </c>
      <c r="B366" s="10">
        <f>IF(A366="","",IFERROR(VLOOKUP(A366,Titres!$A$2:$B$400,2,FALSE),"Ticker inconnu"))</f>
        <v/>
      </c>
      <c r="C366" s="11" t="n">
        <v>2021</v>
      </c>
      <c r="D366" s="11" t="inlineStr">
        <is>
          <t>S1</t>
        </is>
      </c>
      <c r="E366" s="9" t="n"/>
      <c r="F366" s="12" t="n"/>
      <c r="G366" s="9" t="n"/>
      <c r="H366" s="13" t="n"/>
      <c r="I366" s="13" t="n"/>
      <c r="J366" s="13" t="n"/>
      <c r="K366" s="13" t="n"/>
      <c r="L366" s="13" t="n"/>
      <c r="M366" s="13" t="n"/>
      <c r="N366" s="14">
        <f>IF(A366="","",COUNT(H366:M366)/6)</f>
        <v/>
      </c>
      <c r="O366" s="15">
        <f>IF(COUNT(H366:M366)=0,"",IF(LEN(IF(COUNT(I366,J366)=2,IF(J366&gt;I366+1,"EBE &gt; VA ",""),"")&amp;IF(COUNT(H366,M366)=2,IF(ABS(M366)&gt;ABS(H366),"RN &gt; CA ",""),"")&amp;IF(COUNT(H366,K366)=2,IF(ABS(K366)&gt;ABS(H366),"RE &gt; CA ",""),""))=0,"OK",IF(COUNT(I366,J366)=2,IF(J366&gt;I366+1,"EBE &gt; VA ",""),"")&amp;IF(COUNT(H366,M366)=2,IF(ABS(M366)&gt;ABS(H366),"RN &gt; CA ",""),"")&amp;IF(COUNT(H366,K366)=2,IF(ABS(K366)&gt;ABS(H366),"RE &gt; CA ",""),"")))</f>
        <v/>
      </c>
      <c r="P366" s="16">
        <f>IF(OR($A366="",H366="",$C366=""),"",IF(COUNTIFS($A$5:$A$639,$A366,$C$5:$C$639,$C366-1,$D$5:$D$639,$D366,H$5:H$639,"&lt;&gt;")=0,"",IF(OR(SUMIFS(H$5:H$639,$A$5:$A$639,$A366,$C$5:$C$639,$C366-1,$D$5:$D$639,$D366)=0,H366*SUMIFS(H$5:H$639,$A$5:$A$639,$A366,$C$5:$C$639,$C366-1,$D$5:$D$639,$D366)&lt;0),"n.s.",ABS(H366)/ABS(SUMIFS(H$5:H$639,$A$5:$A$639,$A366,$C$5:$C$639,$C366-1,$D$5:$D$639,$D366))-1)))</f>
        <v/>
      </c>
      <c r="Q366" s="16">
        <f>IF(OR($A366="",I366="",$C366=""),"",IF(COUNTIFS($A$5:$A$639,$A366,$C$5:$C$639,$C366-1,$D$5:$D$639,$D366,I$5:I$639,"&lt;&gt;")=0,"",IF(OR(SUMIFS(I$5:I$639,$A$5:$A$639,$A366,$C$5:$C$639,$C366-1,$D$5:$D$639,$D366)=0,I366*SUMIFS(I$5:I$639,$A$5:$A$639,$A366,$C$5:$C$639,$C366-1,$D$5:$D$639,$D366)&lt;0),"n.s.",ABS(I366)/ABS(SUMIFS(I$5:I$639,$A$5:$A$639,$A366,$C$5:$C$639,$C366-1,$D$5:$D$639,$D366))-1)))</f>
        <v/>
      </c>
      <c r="R366" s="16">
        <f>IF(OR($A366="",J366="",$C366=""),"",IF(COUNTIFS($A$5:$A$639,$A366,$C$5:$C$639,$C366-1,$D$5:$D$639,$D366,J$5:J$639,"&lt;&gt;")=0,"",IF(OR(SUMIFS(J$5:J$639,$A$5:$A$639,$A366,$C$5:$C$639,$C366-1,$D$5:$D$639,$D366)=0,J366*SUMIFS(J$5:J$639,$A$5:$A$639,$A366,$C$5:$C$639,$C366-1,$D$5:$D$639,$D366)&lt;0),"n.s.",ABS(J366)/ABS(SUMIFS(J$5:J$639,$A$5:$A$639,$A366,$C$5:$C$639,$C366-1,$D$5:$D$639,$D366))-1)))</f>
        <v/>
      </c>
      <c r="S366" s="16">
        <f>IF(OR($A366="",K366="",$C366=""),"",IF(COUNTIFS($A$5:$A$639,$A366,$C$5:$C$639,$C366-1,$D$5:$D$639,$D366,K$5:K$639,"&lt;&gt;")=0,"",IF(OR(SUMIFS(K$5:K$639,$A$5:$A$639,$A366,$C$5:$C$639,$C366-1,$D$5:$D$639,$D366)=0,K366*SUMIFS(K$5:K$639,$A$5:$A$639,$A366,$C$5:$C$639,$C366-1,$D$5:$D$639,$D366)&lt;0),"n.s.",ABS(K366)/ABS(SUMIFS(K$5:K$639,$A$5:$A$639,$A366,$C$5:$C$639,$C366-1,$D$5:$D$639,$D366))-1)))</f>
        <v/>
      </c>
      <c r="T366" s="16">
        <f>IF(OR($A366="",L366="",$C366=""),"",IF(COUNTIFS($A$5:$A$639,$A366,$C$5:$C$639,$C366-1,$D$5:$D$639,$D366,L$5:L$639,"&lt;&gt;")=0,"",IF(OR(SUMIFS(L$5:L$639,$A$5:$A$639,$A366,$C$5:$C$639,$C366-1,$D$5:$D$639,$D366)=0,L366*SUMIFS(L$5:L$639,$A$5:$A$639,$A366,$C$5:$C$639,$C366-1,$D$5:$D$639,$D366)&lt;0),"n.s.",ABS(L366)/ABS(SUMIFS(L$5:L$639,$A$5:$A$639,$A366,$C$5:$C$639,$C366-1,$D$5:$D$639,$D366))-1)))</f>
        <v/>
      </c>
      <c r="U366" s="16">
        <f>IF(OR($A366="",M366="",$C366=""),"",IF(COUNTIFS($A$5:$A$639,$A366,$C$5:$C$639,$C366-1,$D$5:$D$639,$D366,M$5:M$639,"&lt;&gt;")=0,"",IF(OR(SUMIFS(M$5:M$639,$A$5:$A$639,$A366,$C$5:$C$639,$C366-1,$D$5:$D$639,$D366)=0,M366*SUMIFS(M$5:M$639,$A$5:$A$639,$A366,$C$5:$C$639,$C366-1,$D$5:$D$639,$D366)&lt;0),"n.s.",ABS(M366)/ABS(SUMIFS(M$5:M$639,$A$5:$A$639,$A366,$C$5:$C$639,$C366-1,$D$5:$D$639,$D366))-1)))</f>
        <v/>
      </c>
    </row>
    <row r="367">
      <c r="A367" s="9" t="inlineStr">
        <is>
          <t>SIVC</t>
        </is>
      </c>
      <c r="B367" s="10">
        <f>IF(A367="","",IFERROR(VLOOKUP(A367,Titres!$A$2:$B$400,2,FALSE),"Ticker inconnu"))</f>
        <v/>
      </c>
      <c r="C367" s="11" t="n">
        <v>2021</v>
      </c>
      <c r="D367" s="11" t="inlineStr">
        <is>
          <t>T3</t>
        </is>
      </c>
      <c r="E367" s="9" t="n"/>
      <c r="F367" s="12" t="n"/>
      <c r="G367" s="9" t="n"/>
      <c r="H367" s="13" t="n"/>
      <c r="I367" s="13" t="n"/>
      <c r="J367" s="13" t="n"/>
      <c r="K367" s="13" t="n"/>
      <c r="L367" s="13" t="n"/>
      <c r="M367" s="13" t="n"/>
      <c r="N367" s="14">
        <f>IF(A367="","",COUNT(H367:M367)/6)</f>
        <v/>
      </c>
      <c r="O367" s="15">
        <f>IF(COUNT(H367:M367)=0,"",IF(LEN(IF(COUNT(I367,J367)=2,IF(J367&gt;I367+1,"EBE &gt; VA ",""),"")&amp;IF(COUNT(H367,M367)=2,IF(ABS(M367)&gt;ABS(H367),"RN &gt; CA ",""),"")&amp;IF(COUNT(H367,K367)=2,IF(ABS(K367)&gt;ABS(H367),"RE &gt; CA ",""),""))=0,"OK",IF(COUNT(I367,J367)=2,IF(J367&gt;I367+1,"EBE &gt; VA ",""),"")&amp;IF(COUNT(H367,M367)=2,IF(ABS(M367)&gt;ABS(H367),"RN &gt; CA ",""),"")&amp;IF(COUNT(H367,K367)=2,IF(ABS(K367)&gt;ABS(H367),"RE &gt; CA ",""),"")))</f>
        <v/>
      </c>
      <c r="P367" s="16">
        <f>IF(OR($A367="",H367="",$C367=""),"",IF(COUNTIFS($A$5:$A$639,$A367,$C$5:$C$639,$C367-1,$D$5:$D$639,$D367,H$5:H$639,"&lt;&gt;")=0,"",IF(OR(SUMIFS(H$5:H$639,$A$5:$A$639,$A367,$C$5:$C$639,$C367-1,$D$5:$D$639,$D367)=0,H367*SUMIFS(H$5:H$639,$A$5:$A$639,$A367,$C$5:$C$639,$C367-1,$D$5:$D$639,$D367)&lt;0),"n.s.",ABS(H367)/ABS(SUMIFS(H$5:H$639,$A$5:$A$639,$A367,$C$5:$C$639,$C367-1,$D$5:$D$639,$D367))-1)))</f>
        <v/>
      </c>
      <c r="Q367" s="16">
        <f>IF(OR($A367="",I367="",$C367=""),"",IF(COUNTIFS($A$5:$A$639,$A367,$C$5:$C$639,$C367-1,$D$5:$D$639,$D367,I$5:I$639,"&lt;&gt;")=0,"",IF(OR(SUMIFS(I$5:I$639,$A$5:$A$639,$A367,$C$5:$C$639,$C367-1,$D$5:$D$639,$D367)=0,I367*SUMIFS(I$5:I$639,$A$5:$A$639,$A367,$C$5:$C$639,$C367-1,$D$5:$D$639,$D367)&lt;0),"n.s.",ABS(I367)/ABS(SUMIFS(I$5:I$639,$A$5:$A$639,$A367,$C$5:$C$639,$C367-1,$D$5:$D$639,$D367))-1)))</f>
        <v/>
      </c>
      <c r="R367" s="16">
        <f>IF(OR($A367="",J367="",$C367=""),"",IF(COUNTIFS($A$5:$A$639,$A367,$C$5:$C$639,$C367-1,$D$5:$D$639,$D367,J$5:J$639,"&lt;&gt;")=0,"",IF(OR(SUMIFS(J$5:J$639,$A$5:$A$639,$A367,$C$5:$C$639,$C367-1,$D$5:$D$639,$D367)=0,J367*SUMIFS(J$5:J$639,$A$5:$A$639,$A367,$C$5:$C$639,$C367-1,$D$5:$D$639,$D367)&lt;0),"n.s.",ABS(J367)/ABS(SUMIFS(J$5:J$639,$A$5:$A$639,$A367,$C$5:$C$639,$C367-1,$D$5:$D$639,$D367))-1)))</f>
        <v/>
      </c>
      <c r="S367" s="16">
        <f>IF(OR($A367="",K367="",$C367=""),"",IF(COUNTIFS($A$5:$A$639,$A367,$C$5:$C$639,$C367-1,$D$5:$D$639,$D367,K$5:K$639,"&lt;&gt;")=0,"",IF(OR(SUMIFS(K$5:K$639,$A$5:$A$639,$A367,$C$5:$C$639,$C367-1,$D$5:$D$639,$D367)=0,K367*SUMIFS(K$5:K$639,$A$5:$A$639,$A367,$C$5:$C$639,$C367-1,$D$5:$D$639,$D367)&lt;0),"n.s.",ABS(K367)/ABS(SUMIFS(K$5:K$639,$A$5:$A$639,$A367,$C$5:$C$639,$C367-1,$D$5:$D$639,$D367))-1)))</f>
        <v/>
      </c>
      <c r="T367" s="16">
        <f>IF(OR($A367="",L367="",$C367=""),"",IF(COUNTIFS($A$5:$A$639,$A367,$C$5:$C$639,$C367-1,$D$5:$D$639,$D367,L$5:L$639,"&lt;&gt;")=0,"",IF(OR(SUMIFS(L$5:L$639,$A$5:$A$639,$A367,$C$5:$C$639,$C367-1,$D$5:$D$639,$D367)=0,L367*SUMIFS(L$5:L$639,$A$5:$A$639,$A367,$C$5:$C$639,$C367-1,$D$5:$D$639,$D367)&lt;0),"n.s.",ABS(L367)/ABS(SUMIFS(L$5:L$639,$A$5:$A$639,$A367,$C$5:$C$639,$C367-1,$D$5:$D$639,$D367))-1)))</f>
        <v/>
      </c>
      <c r="U367" s="16">
        <f>IF(OR($A367="",M367="",$C367=""),"",IF(COUNTIFS($A$5:$A$639,$A367,$C$5:$C$639,$C367-1,$D$5:$D$639,$D367,M$5:M$639,"&lt;&gt;")=0,"",IF(OR(SUMIFS(M$5:M$639,$A$5:$A$639,$A367,$C$5:$C$639,$C367-1,$D$5:$D$639,$D367)=0,M367*SUMIFS(M$5:M$639,$A$5:$A$639,$A367,$C$5:$C$639,$C367-1,$D$5:$D$639,$D367)&lt;0),"n.s.",ABS(M367)/ABS(SUMIFS(M$5:M$639,$A$5:$A$639,$A367,$C$5:$C$639,$C367-1,$D$5:$D$639,$D367))-1)))</f>
        <v/>
      </c>
    </row>
    <row r="368">
      <c r="A368" s="9" t="inlineStr">
        <is>
          <t>SIVC</t>
        </is>
      </c>
      <c r="B368" s="10">
        <f>IF(A368="","",IFERROR(VLOOKUP(A368,Titres!$A$2:$B$400,2,FALSE),"Ticker inconnu"))</f>
        <v/>
      </c>
      <c r="C368" s="11" t="n">
        <v>2022</v>
      </c>
      <c r="D368" s="11" t="inlineStr">
        <is>
          <t>T1</t>
        </is>
      </c>
      <c r="E368" s="9" t="n"/>
      <c r="F368" s="12" t="n"/>
      <c r="G368" s="9" t="n"/>
      <c r="H368" s="13" t="n"/>
      <c r="I368" s="13" t="n"/>
      <c r="J368" s="13" t="n"/>
      <c r="K368" s="13" t="n"/>
      <c r="L368" s="13" t="n"/>
      <c r="M368" s="13" t="n"/>
      <c r="N368" s="14">
        <f>IF(A368="","",COUNT(H368:M368)/6)</f>
        <v/>
      </c>
      <c r="O368" s="15">
        <f>IF(COUNT(H368:M368)=0,"",IF(LEN(IF(COUNT(I368,J368)=2,IF(J368&gt;I368+1,"EBE &gt; VA ",""),"")&amp;IF(COUNT(H368,M368)=2,IF(ABS(M368)&gt;ABS(H368),"RN &gt; CA ",""),"")&amp;IF(COUNT(H368,K368)=2,IF(ABS(K368)&gt;ABS(H368),"RE &gt; CA ",""),""))=0,"OK",IF(COUNT(I368,J368)=2,IF(J368&gt;I368+1,"EBE &gt; VA ",""),"")&amp;IF(COUNT(H368,M368)=2,IF(ABS(M368)&gt;ABS(H368),"RN &gt; CA ",""),"")&amp;IF(COUNT(H368,K368)=2,IF(ABS(K368)&gt;ABS(H368),"RE &gt; CA ",""),"")))</f>
        <v/>
      </c>
      <c r="P368" s="16">
        <f>IF(OR($A368="",H368="",$C368=""),"",IF(COUNTIFS($A$5:$A$639,$A368,$C$5:$C$639,$C368-1,$D$5:$D$639,$D368,H$5:H$639,"&lt;&gt;")=0,"",IF(OR(SUMIFS(H$5:H$639,$A$5:$A$639,$A368,$C$5:$C$639,$C368-1,$D$5:$D$639,$D368)=0,H368*SUMIFS(H$5:H$639,$A$5:$A$639,$A368,$C$5:$C$639,$C368-1,$D$5:$D$639,$D368)&lt;0),"n.s.",ABS(H368)/ABS(SUMIFS(H$5:H$639,$A$5:$A$639,$A368,$C$5:$C$639,$C368-1,$D$5:$D$639,$D368))-1)))</f>
        <v/>
      </c>
      <c r="Q368" s="16">
        <f>IF(OR($A368="",I368="",$C368=""),"",IF(COUNTIFS($A$5:$A$639,$A368,$C$5:$C$639,$C368-1,$D$5:$D$639,$D368,I$5:I$639,"&lt;&gt;")=0,"",IF(OR(SUMIFS(I$5:I$639,$A$5:$A$639,$A368,$C$5:$C$639,$C368-1,$D$5:$D$639,$D368)=0,I368*SUMIFS(I$5:I$639,$A$5:$A$639,$A368,$C$5:$C$639,$C368-1,$D$5:$D$639,$D368)&lt;0),"n.s.",ABS(I368)/ABS(SUMIFS(I$5:I$639,$A$5:$A$639,$A368,$C$5:$C$639,$C368-1,$D$5:$D$639,$D368))-1)))</f>
        <v/>
      </c>
      <c r="R368" s="16">
        <f>IF(OR($A368="",J368="",$C368=""),"",IF(COUNTIFS($A$5:$A$639,$A368,$C$5:$C$639,$C368-1,$D$5:$D$639,$D368,J$5:J$639,"&lt;&gt;")=0,"",IF(OR(SUMIFS(J$5:J$639,$A$5:$A$639,$A368,$C$5:$C$639,$C368-1,$D$5:$D$639,$D368)=0,J368*SUMIFS(J$5:J$639,$A$5:$A$639,$A368,$C$5:$C$639,$C368-1,$D$5:$D$639,$D368)&lt;0),"n.s.",ABS(J368)/ABS(SUMIFS(J$5:J$639,$A$5:$A$639,$A368,$C$5:$C$639,$C368-1,$D$5:$D$639,$D368))-1)))</f>
        <v/>
      </c>
      <c r="S368" s="16">
        <f>IF(OR($A368="",K368="",$C368=""),"",IF(COUNTIFS($A$5:$A$639,$A368,$C$5:$C$639,$C368-1,$D$5:$D$639,$D368,K$5:K$639,"&lt;&gt;")=0,"",IF(OR(SUMIFS(K$5:K$639,$A$5:$A$639,$A368,$C$5:$C$639,$C368-1,$D$5:$D$639,$D368)=0,K368*SUMIFS(K$5:K$639,$A$5:$A$639,$A368,$C$5:$C$639,$C368-1,$D$5:$D$639,$D368)&lt;0),"n.s.",ABS(K368)/ABS(SUMIFS(K$5:K$639,$A$5:$A$639,$A368,$C$5:$C$639,$C368-1,$D$5:$D$639,$D368))-1)))</f>
        <v/>
      </c>
      <c r="T368" s="16">
        <f>IF(OR($A368="",L368="",$C368=""),"",IF(COUNTIFS($A$5:$A$639,$A368,$C$5:$C$639,$C368-1,$D$5:$D$639,$D368,L$5:L$639,"&lt;&gt;")=0,"",IF(OR(SUMIFS(L$5:L$639,$A$5:$A$639,$A368,$C$5:$C$639,$C368-1,$D$5:$D$639,$D368)=0,L368*SUMIFS(L$5:L$639,$A$5:$A$639,$A368,$C$5:$C$639,$C368-1,$D$5:$D$639,$D368)&lt;0),"n.s.",ABS(L368)/ABS(SUMIFS(L$5:L$639,$A$5:$A$639,$A368,$C$5:$C$639,$C368-1,$D$5:$D$639,$D368))-1)))</f>
        <v/>
      </c>
      <c r="U368" s="16">
        <f>IF(OR($A368="",M368="",$C368=""),"",IF(COUNTIFS($A$5:$A$639,$A368,$C$5:$C$639,$C368-1,$D$5:$D$639,$D368,M$5:M$639,"&lt;&gt;")=0,"",IF(OR(SUMIFS(M$5:M$639,$A$5:$A$639,$A368,$C$5:$C$639,$C368-1,$D$5:$D$639,$D368)=0,M368*SUMIFS(M$5:M$639,$A$5:$A$639,$A368,$C$5:$C$639,$C368-1,$D$5:$D$639,$D368)&lt;0),"n.s.",ABS(M368)/ABS(SUMIFS(M$5:M$639,$A$5:$A$639,$A368,$C$5:$C$639,$C368-1,$D$5:$D$639,$D368))-1)))</f>
        <v/>
      </c>
    </row>
    <row r="369">
      <c r="A369" s="9" t="inlineStr">
        <is>
          <t>SIVC</t>
        </is>
      </c>
      <c r="B369" s="10">
        <f>IF(A369="","",IFERROR(VLOOKUP(A369,Titres!$A$2:$B$400,2,FALSE),"Ticker inconnu"))</f>
        <v/>
      </c>
      <c r="C369" s="11" t="n">
        <v>2022</v>
      </c>
      <c r="D369" s="11" t="inlineStr">
        <is>
          <t>S1</t>
        </is>
      </c>
      <c r="E369" s="9" t="n"/>
      <c r="F369" s="12" t="n"/>
      <c r="G369" s="9" t="n"/>
      <c r="H369" s="13" t="n"/>
      <c r="I369" s="13" t="n"/>
      <c r="J369" s="13" t="n"/>
      <c r="K369" s="13" t="n"/>
      <c r="L369" s="13" t="n"/>
      <c r="M369" s="13" t="n"/>
      <c r="N369" s="14">
        <f>IF(A369="","",COUNT(H369:M369)/6)</f>
        <v/>
      </c>
      <c r="O369" s="15">
        <f>IF(COUNT(H369:M369)=0,"",IF(LEN(IF(COUNT(I369,J369)=2,IF(J369&gt;I369+1,"EBE &gt; VA ",""),"")&amp;IF(COUNT(H369,M369)=2,IF(ABS(M369)&gt;ABS(H369),"RN &gt; CA ",""),"")&amp;IF(COUNT(H369,K369)=2,IF(ABS(K369)&gt;ABS(H369),"RE &gt; CA ",""),""))=0,"OK",IF(COUNT(I369,J369)=2,IF(J369&gt;I369+1,"EBE &gt; VA ",""),"")&amp;IF(COUNT(H369,M369)=2,IF(ABS(M369)&gt;ABS(H369),"RN &gt; CA ",""),"")&amp;IF(COUNT(H369,K369)=2,IF(ABS(K369)&gt;ABS(H369),"RE &gt; CA ",""),"")))</f>
        <v/>
      </c>
      <c r="P369" s="16">
        <f>IF(OR($A369="",H369="",$C369=""),"",IF(COUNTIFS($A$5:$A$639,$A369,$C$5:$C$639,$C369-1,$D$5:$D$639,$D369,H$5:H$639,"&lt;&gt;")=0,"",IF(OR(SUMIFS(H$5:H$639,$A$5:$A$639,$A369,$C$5:$C$639,$C369-1,$D$5:$D$639,$D369)=0,H369*SUMIFS(H$5:H$639,$A$5:$A$639,$A369,$C$5:$C$639,$C369-1,$D$5:$D$639,$D369)&lt;0),"n.s.",ABS(H369)/ABS(SUMIFS(H$5:H$639,$A$5:$A$639,$A369,$C$5:$C$639,$C369-1,$D$5:$D$639,$D369))-1)))</f>
        <v/>
      </c>
      <c r="Q369" s="16">
        <f>IF(OR($A369="",I369="",$C369=""),"",IF(COUNTIFS($A$5:$A$639,$A369,$C$5:$C$639,$C369-1,$D$5:$D$639,$D369,I$5:I$639,"&lt;&gt;")=0,"",IF(OR(SUMIFS(I$5:I$639,$A$5:$A$639,$A369,$C$5:$C$639,$C369-1,$D$5:$D$639,$D369)=0,I369*SUMIFS(I$5:I$639,$A$5:$A$639,$A369,$C$5:$C$639,$C369-1,$D$5:$D$639,$D369)&lt;0),"n.s.",ABS(I369)/ABS(SUMIFS(I$5:I$639,$A$5:$A$639,$A369,$C$5:$C$639,$C369-1,$D$5:$D$639,$D369))-1)))</f>
        <v/>
      </c>
      <c r="R369" s="16">
        <f>IF(OR($A369="",J369="",$C369=""),"",IF(COUNTIFS($A$5:$A$639,$A369,$C$5:$C$639,$C369-1,$D$5:$D$639,$D369,J$5:J$639,"&lt;&gt;")=0,"",IF(OR(SUMIFS(J$5:J$639,$A$5:$A$639,$A369,$C$5:$C$639,$C369-1,$D$5:$D$639,$D369)=0,J369*SUMIFS(J$5:J$639,$A$5:$A$639,$A369,$C$5:$C$639,$C369-1,$D$5:$D$639,$D369)&lt;0),"n.s.",ABS(J369)/ABS(SUMIFS(J$5:J$639,$A$5:$A$639,$A369,$C$5:$C$639,$C369-1,$D$5:$D$639,$D369))-1)))</f>
        <v/>
      </c>
      <c r="S369" s="16">
        <f>IF(OR($A369="",K369="",$C369=""),"",IF(COUNTIFS($A$5:$A$639,$A369,$C$5:$C$639,$C369-1,$D$5:$D$639,$D369,K$5:K$639,"&lt;&gt;")=0,"",IF(OR(SUMIFS(K$5:K$639,$A$5:$A$639,$A369,$C$5:$C$639,$C369-1,$D$5:$D$639,$D369)=0,K369*SUMIFS(K$5:K$639,$A$5:$A$639,$A369,$C$5:$C$639,$C369-1,$D$5:$D$639,$D369)&lt;0),"n.s.",ABS(K369)/ABS(SUMIFS(K$5:K$639,$A$5:$A$639,$A369,$C$5:$C$639,$C369-1,$D$5:$D$639,$D369))-1)))</f>
        <v/>
      </c>
      <c r="T369" s="16">
        <f>IF(OR($A369="",L369="",$C369=""),"",IF(COUNTIFS($A$5:$A$639,$A369,$C$5:$C$639,$C369-1,$D$5:$D$639,$D369,L$5:L$639,"&lt;&gt;")=0,"",IF(OR(SUMIFS(L$5:L$639,$A$5:$A$639,$A369,$C$5:$C$639,$C369-1,$D$5:$D$639,$D369)=0,L369*SUMIFS(L$5:L$639,$A$5:$A$639,$A369,$C$5:$C$639,$C369-1,$D$5:$D$639,$D369)&lt;0),"n.s.",ABS(L369)/ABS(SUMIFS(L$5:L$639,$A$5:$A$639,$A369,$C$5:$C$639,$C369-1,$D$5:$D$639,$D369))-1)))</f>
        <v/>
      </c>
      <c r="U369" s="16">
        <f>IF(OR($A369="",M369="",$C369=""),"",IF(COUNTIFS($A$5:$A$639,$A369,$C$5:$C$639,$C369-1,$D$5:$D$639,$D369,M$5:M$639,"&lt;&gt;")=0,"",IF(OR(SUMIFS(M$5:M$639,$A$5:$A$639,$A369,$C$5:$C$639,$C369-1,$D$5:$D$639,$D369)=0,M369*SUMIFS(M$5:M$639,$A$5:$A$639,$A369,$C$5:$C$639,$C369-1,$D$5:$D$639,$D369)&lt;0),"n.s.",ABS(M369)/ABS(SUMIFS(M$5:M$639,$A$5:$A$639,$A369,$C$5:$C$639,$C369-1,$D$5:$D$639,$D369))-1)))</f>
        <v/>
      </c>
    </row>
    <row r="370">
      <c r="A370" s="9" t="inlineStr">
        <is>
          <t>SIVC</t>
        </is>
      </c>
      <c r="B370" s="10">
        <f>IF(A370="","",IFERROR(VLOOKUP(A370,Titres!$A$2:$B$400,2,FALSE),"Ticker inconnu"))</f>
        <v/>
      </c>
      <c r="C370" s="11" t="n">
        <v>2022</v>
      </c>
      <c r="D370" s="11" t="inlineStr">
        <is>
          <t>T3</t>
        </is>
      </c>
      <c r="E370" s="9" t="n"/>
      <c r="F370" s="12" t="n"/>
      <c r="G370" s="9" t="n"/>
      <c r="H370" s="13" t="n"/>
      <c r="I370" s="13" t="n"/>
      <c r="J370" s="13" t="n"/>
      <c r="K370" s="13" t="n"/>
      <c r="L370" s="13" t="n"/>
      <c r="M370" s="13" t="n"/>
      <c r="N370" s="14">
        <f>IF(A370="","",COUNT(H370:M370)/6)</f>
        <v/>
      </c>
      <c r="O370" s="15">
        <f>IF(COUNT(H370:M370)=0,"",IF(LEN(IF(COUNT(I370,J370)=2,IF(J370&gt;I370+1,"EBE &gt; VA ",""),"")&amp;IF(COUNT(H370,M370)=2,IF(ABS(M370)&gt;ABS(H370),"RN &gt; CA ",""),"")&amp;IF(COUNT(H370,K370)=2,IF(ABS(K370)&gt;ABS(H370),"RE &gt; CA ",""),""))=0,"OK",IF(COUNT(I370,J370)=2,IF(J370&gt;I370+1,"EBE &gt; VA ",""),"")&amp;IF(COUNT(H370,M370)=2,IF(ABS(M370)&gt;ABS(H370),"RN &gt; CA ",""),"")&amp;IF(COUNT(H370,K370)=2,IF(ABS(K370)&gt;ABS(H370),"RE &gt; CA ",""),"")))</f>
        <v/>
      </c>
      <c r="P370" s="16">
        <f>IF(OR($A370="",H370="",$C370=""),"",IF(COUNTIFS($A$5:$A$639,$A370,$C$5:$C$639,$C370-1,$D$5:$D$639,$D370,H$5:H$639,"&lt;&gt;")=0,"",IF(OR(SUMIFS(H$5:H$639,$A$5:$A$639,$A370,$C$5:$C$639,$C370-1,$D$5:$D$639,$D370)=0,H370*SUMIFS(H$5:H$639,$A$5:$A$639,$A370,$C$5:$C$639,$C370-1,$D$5:$D$639,$D370)&lt;0),"n.s.",ABS(H370)/ABS(SUMIFS(H$5:H$639,$A$5:$A$639,$A370,$C$5:$C$639,$C370-1,$D$5:$D$639,$D370))-1)))</f>
        <v/>
      </c>
      <c r="Q370" s="16">
        <f>IF(OR($A370="",I370="",$C370=""),"",IF(COUNTIFS($A$5:$A$639,$A370,$C$5:$C$639,$C370-1,$D$5:$D$639,$D370,I$5:I$639,"&lt;&gt;")=0,"",IF(OR(SUMIFS(I$5:I$639,$A$5:$A$639,$A370,$C$5:$C$639,$C370-1,$D$5:$D$639,$D370)=0,I370*SUMIFS(I$5:I$639,$A$5:$A$639,$A370,$C$5:$C$639,$C370-1,$D$5:$D$639,$D370)&lt;0),"n.s.",ABS(I370)/ABS(SUMIFS(I$5:I$639,$A$5:$A$639,$A370,$C$5:$C$639,$C370-1,$D$5:$D$639,$D370))-1)))</f>
        <v/>
      </c>
      <c r="R370" s="16">
        <f>IF(OR($A370="",J370="",$C370=""),"",IF(COUNTIFS($A$5:$A$639,$A370,$C$5:$C$639,$C370-1,$D$5:$D$639,$D370,J$5:J$639,"&lt;&gt;")=0,"",IF(OR(SUMIFS(J$5:J$639,$A$5:$A$639,$A370,$C$5:$C$639,$C370-1,$D$5:$D$639,$D370)=0,J370*SUMIFS(J$5:J$639,$A$5:$A$639,$A370,$C$5:$C$639,$C370-1,$D$5:$D$639,$D370)&lt;0),"n.s.",ABS(J370)/ABS(SUMIFS(J$5:J$639,$A$5:$A$639,$A370,$C$5:$C$639,$C370-1,$D$5:$D$639,$D370))-1)))</f>
        <v/>
      </c>
      <c r="S370" s="16">
        <f>IF(OR($A370="",K370="",$C370=""),"",IF(COUNTIFS($A$5:$A$639,$A370,$C$5:$C$639,$C370-1,$D$5:$D$639,$D370,K$5:K$639,"&lt;&gt;")=0,"",IF(OR(SUMIFS(K$5:K$639,$A$5:$A$639,$A370,$C$5:$C$639,$C370-1,$D$5:$D$639,$D370)=0,K370*SUMIFS(K$5:K$639,$A$5:$A$639,$A370,$C$5:$C$639,$C370-1,$D$5:$D$639,$D370)&lt;0),"n.s.",ABS(K370)/ABS(SUMIFS(K$5:K$639,$A$5:$A$639,$A370,$C$5:$C$639,$C370-1,$D$5:$D$639,$D370))-1)))</f>
        <v/>
      </c>
      <c r="T370" s="16">
        <f>IF(OR($A370="",L370="",$C370=""),"",IF(COUNTIFS($A$5:$A$639,$A370,$C$5:$C$639,$C370-1,$D$5:$D$639,$D370,L$5:L$639,"&lt;&gt;")=0,"",IF(OR(SUMIFS(L$5:L$639,$A$5:$A$639,$A370,$C$5:$C$639,$C370-1,$D$5:$D$639,$D370)=0,L370*SUMIFS(L$5:L$639,$A$5:$A$639,$A370,$C$5:$C$639,$C370-1,$D$5:$D$639,$D370)&lt;0),"n.s.",ABS(L370)/ABS(SUMIFS(L$5:L$639,$A$5:$A$639,$A370,$C$5:$C$639,$C370-1,$D$5:$D$639,$D370))-1)))</f>
        <v/>
      </c>
      <c r="U370" s="16">
        <f>IF(OR($A370="",M370="",$C370=""),"",IF(COUNTIFS($A$5:$A$639,$A370,$C$5:$C$639,$C370-1,$D$5:$D$639,$D370,M$5:M$639,"&lt;&gt;")=0,"",IF(OR(SUMIFS(M$5:M$639,$A$5:$A$639,$A370,$C$5:$C$639,$C370-1,$D$5:$D$639,$D370)=0,M370*SUMIFS(M$5:M$639,$A$5:$A$639,$A370,$C$5:$C$639,$C370-1,$D$5:$D$639,$D370)&lt;0),"n.s.",ABS(M370)/ABS(SUMIFS(M$5:M$639,$A$5:$A$639,$A370,$C$5:$C$639,$C370-1,$D$5:$D$639,$D370))-1)))</f>
        <v/>
      </c>
    </row>
    <row r="371">
      <c r="A371" s="9" t="inlineStr">
        <is>
          <t>SIVC</t>
        </is>
      </c>
      <c r="B371" s="10">
        <f>IF(A371="","",IFERROR(VLOOKUP(A371,Titres!$A$2:$B$400,2,FALSE),"Ticker inconnu"))</f>
        <v/>
      </c>
      <c r="C371" s="11" t="n">
        <v>2023</v>
      </c>
      <c r="D371" s="11" t="inlineStr">
        <is>
          <t>T1</t>
        </is>
      </c>
      <c r="E371" s="9" t="n"/>
      <c r="F371" s="12" t="n"/>
      <c r="G371" s="9" t="n"/>
      <c r="H371" s="13" t="n"/>
      <c r="I371" s="13" t="n"/>
      <c r="J371" s="13" t="n"/>
      <c r="K371" s="13" t="n"/>
      <c r="L371" s="13" t="n"/>
      <c r="M371" s="13" t="n"/>
      <c r="N371" s="14">
        <f>IF(A371="","",COUNT(H371:M371)/6)</f>
        <v/>
      </c>
      <c r="O371" s="15">
        <f>IF(COUNT(H371:M371)=0,"",IF(LEN(IF(COUNT(I371,J371)=2,IF(J371&gt;I371+1,"EBE &gt; VA ",""),"")&amp;IF(COUNT(H371,M371)=2,IF(ABS(M371)&gt;ABS(H371),"RN &gt; CA ",""),"")&amp;IF(COUNT(H371,K371)=2,IF(ABS(K371)&gt;ABS(H371),"RE &gt; CA ",""),""))=0,"OK",IF(COUNT(I371,J371)=2,IF(J371&gt;I371+1,"EBE &gt; VA ",""),"")&amp;IF(COUNT(H371,M371)=2,IF(ABS(M371)&gt;ABS(H371),"RN &gt; CA ",""),"")&amp;IF(COUNT(H371,K371)=2,IF(ABS(K371)&gt;ABS(H371),"RE &gt; CA ",""),"")))</f>
        <v/>
      </c>
      <c r="P371" s="16">
        <f>IF(OR($A371="",H371="",$C371=""),"",IF(COUNTIFS($A$5:$A$639,$A371,$C$5:$C$639,$C371-1,$D$5:$D$639,$D371,H$5:H$639,"&lt;&gt;")=0,"",IF(OR(SUMIFS(H$5:H$639,$A$5:$A$639,$A371,$C$5:$C$639,$C371-1,$D$5:$D$639,$D371)=0,H371*SUMIFS(H$5:H$639,$A$5:$A$639,$A371,$C$5:$C$639,$C371-1,$D$5:$D$639,$D371)&lt;0),"n.s.",ABS(H371)/ABS(SUMIFS(H$5:H$639,$A$5:$A$639,$A371,$C$5:$C$639,$C371-1,$D$5:$D$639,$D371))-1)))</f>
        <v/>
      </c>
      <c r="Q371" s="16">
        <f>IF(OR($A371="",I371="",$C371=""),"",IF(COUNTIFS($A$5:$A$639,$A371,$C$5:$C$639,$C371-1,$D$5:$D$639,$D371,I$5:I$639,"&lt;&gt;")=0,"",IF(OR(SUMIFS(I$5:I$639,$A$5:$A$639,$A371,$C$5:$C$639,$C371-1,$D$5:$D$639,$D371)=0,I371*SUMIFS(I$5:I$639,$A$5:$A$639,$A371,$C$5:$C$639,$C371-1,$D$5:$D$639,$D371)&lt;0),"n.s.",ABS(I371)/ABS(SUMIFS(I$5:I$639,$A$5:$A$639,$A371,$C$5:$C$639,$C371-1,$D$5:$D$639,$D371))-1)))</f>
        <v/>
      </c>
      <c r="R371" s="16">
        <f>IF(OR($A371="",J371="",$C371=""),"",IF(COUNTIFS($A$5:$A$639,$A371,$C$5:$C$639,$C371-1,$D$5:$D$639,$D371,J$5:J$639,"&lt;&gt;")=0,"",IF(OR(SUMIFS(J$5:J$639,$A$5:$A$639,$A371,$C$5:$C$639,$C371-1,$D$5:$D$639,$D371)=0,J371*SUMIFS(J$5:J$639,$A$5:$A$639,$A371,$C$5:$C$639,$C371-1,$D$5:$D$639,$D371)&lt;0),"n.s.",ABS(J371)/ABS(SUMIFS(J$5:J$639,$A$5:$A$639,$A371,$C$5:$C$639,$C371-1,$D$5:$D$639,$D371))-1)))</f>
        <v/>
      </c>
      <c r="S371" s="16">
        <f>IF(OR($A371="",K371="",$C371=""),"",IF(COUNTIFS($A$5:$A$639,$A371,$C$5:$C$639,$C371-1,$D$5:$D$639,$D371,K$5:K$639,"&lt;&gt;")=0,"",IF(OR(SUMIFS(K$5:K$639,$A$5:$A$639,$A371,$C$5:$C$639,$C371-1,$D$5:$D$639,$D371)=0,K371*SUMIFS(K$5:K$639,$A$5:$A$639,$A371,$C$5:$C$639,$C371-1,$D$5:$D$639,$D371)&lt;0),"n.s.",ABS(K371)/ABS(SUMIFS(K$5:K$639,$A$5:$A$639,$A371,$C$5:$C$639,$C371-1,$D$5:$D$639,$D371))-1)))</f>
        <v/>
      </c>
      <c r="T371" s="16">
        <f>IF(OR($A371="",L371="",$C371=""),"",IF(COUNTIFS($A$5:$A$639,$A371,$C$5:$C$639,$C371-1,$D$5:$D$639,$D371,L$5:L$639,"&lt;&gt;")=0,"",IF(OR(SUMIFS(L$5:L$639,$A$5:$A$639,$A371,$C$5:$C$639,$C371-1,$D$5:$D$639,$D371)=0,L371*SUMIFS(L$5:L$639,$A$5:$A$639,$A371,$C$5:$C$639,$C371-1,$D$5:$D$639,$D371)&lt;0),"n.s.",ABS(L371)/ABS(SUMIFS(L$5:L$639,$A$5:$A$639,$A371,$C$5:$C$639,$C371-1,$D$5:$D$639,$D371))-1)))</f>
        <v/>
      </c>
      <c r="U371" s="16">
        <f>IF(OR($A371="",M371="",$C371=""),"",IF(COUNTIFS($A$5:$A$639,$A371,$C$5:$C$639,$C371-1,$D$5:$D$639,$D371,M$5:M$639,"&lt;&gt;")=0,"",IF(OR(SUMIFS(M$5:M$639,$A$5:$A$639,$A371,$C$5:$C$639,$C371-1,$D$5:$D$639,$D371)=0,M371*SUMIFS(M$5:M$639,$A$5:$A$639,$A371,$C$5:$C$639,$C371-1,$D$5:$D$639,$D371)&lt;0),"n.s.",ABS(M371)/ABS(SUMIFS(M$5:M$639,$A$5:$A$639,$A371,$C$5:$C$639,$C371-1,$D$5:$D$639,$D371))-1)))</f>
        <v/>
      </c>
    </row>
    <row r="372">
      <c r="A372" s="9" t="inlineStr">
        <is>
          <t>SIVC</t>
        </is>
      </c>
      <c r="B372" s="10">
        <f>IF(A372="","",IFERROR(VLOOKUP(A372,Titres!$A$2:$B$400,2,FALSE),"Ticker inconnu"))</f>
        <v/>
      </c>
      <c r="C372" s="11" t="n">
        <v>2023</v>
      </c>
      <c r="D372" s="11" t="inlineStr">
        <is>
          <t>S1</t>
        </is>
      </c>
      <c r="E372" s="9" t="n"/>
      <c r="F372" s="12" t="n"/>
      <c r="G372" s="9" t="n"/>
      <c r="H372" s="13" t="n"/>
      <c r="I372" s="13" t="n"/>
      <c r="J372" s="13" t="n"/>
      <c r="K372" s="13" t="n"/>
      <c r="L372" s="13" t="n"/>
      <c r="M372" s="13" t="n"/>
      <c r="N372" s="14">
        <f>IF(A372="","",COUNT(H372:M372)/6)</f>
        <v/>
      </c>
      <c r="O372" s="15">
        <f>IF(COUNT(H372:M372)=0,"",IF(LEN(IF(COUNT(I372,J372)=2,IF(J372&gt;I372+1,"EBE &gt; VA ",""),"")&amp;IF(COUNT(H372,M372)=2,IF(ABS(M372)&gt;ABS(H372),"RN &gt; CA ",""),"")&amp;IF(COUNT(H372,K372)=2,IF(ABS(K372)&gt;ABS(H372),"RE &gt; CA ",""),""))=0,"OK",IF(COUNT(I372,J372)=2,IF(J372&gt;I372+1,"EBE &gt; VA ",""),"")&amp;IF(COUNT(H372,M372)=2,IF(ABS(M372)&gt;ABS(H372),"RN &gt; CA ",""),"")&amp;IF(COUNT(H372,K372)=2,IF(ABS(K372)&gt;ABS(H372),"RE &gt; CA ",""),"")))</f>
        <v/>
      </c>
      <c r="P372" s="16">
        <f>IF(OR($A372="",H372="",$C372=""),"",IF(COUNTIFS($A$5:$A$639,$A372,$C$5:$C$639,$C372-1,$D$5:$D$639,$D372,H$5:H$639,"&lt;&gt;")=0,"",IF(OR(SUMIFS(H$5:H$639,$A$5:$A$639,$A372,$C$5:$C$639,$C372-1,$D$5:$D$639,$D372)=0,H372*SUMIFS(H$5:H$639,$A$5:$A$639,$A372,$C$5:$C$639,$C372-1,$D$5:$D$639,$D372)&lt;0),"n.s.",ABS(H372)/ABS(SUMIFS(H$5:H$639,$A$5:$A$639,$A372,$C$5:$C$639,$C372-1,$D$5:$D$639,$D372))-1)))</f>
        <v/>
      </c>
      <c r="Q372" s="16">
        <f>IF(OR($A372="",I372="",$C372=""),"",IF(COUNTIFS($A$5:$A$639,$A372,$C$5:$C$639,$C372-1,$D$5:$D$639,$D372,I$5:I$639,"&lt;&gt;")=0,"",IF(OR(SUMIFS(I$5:I$639,$A$5:$A$639,$A372,$C$5:$C$639,$C372-1,$D$5:$D$639,$D372)=0,I372*SUMIFS(I$5:I$639,$A$5:$A$639,$A372,$C$5:$C$639,$C372-1,$D$5:$D$639,$D372)&lt;0),"n.s.",ABS(I372)/ABS(SUMIFS(I$5:I$639,$A$5:$A$639,$A372,$C$5:$C$639,$C372-1,$D$5:$D$639,$D372))-1)))</f>
        <v/>
      </c>
      <c r="R372" s="16">
        <f>IF(OR($A372="",J372="",$C372=""),"",IF(COUNTIFS($A$5:$A$639,$A372,$C$5:$C$639,$C372-1,$D$5:$D$639,$D372,J$5:J$639,"&lt;&gt;")=0,"",IF(OR(SUMIFS(J$5:J$639,$A$5:$A$639,$A372,$C$5:$C$639,$C372-1,$D$5:$D$639,$D372)=0,J372*SUMIFS(J$5:J$639,$A$5:$A$639,$A372,$C$5:$C$639,$C372-1,$D$5:$D$639,$D372)&lt;0),"n.s.",ABS(J372)/ABS(SUMIFS(J$5:J$639,$A$5:$A$639,$A372,$C$5:$C$639,$C372-1,$D$5:$D$639,$D372))-1)))</f>
        <v/>
      </c>
      <c r="S372" s="16">
        <f>IF(OR($A372="",K372="",$C372=""),"",IF(COUNTIFS($A$5:$A$639,$A372,$C$5:$C$639,$C372-1,$D$5:$D$639,$D372,K$5:K$639,"&lt;&gt;")=0,"",IF(OR(SUMIFS(K$5:K$639,$A$5:$A$639,$A372,$C$5:$C$639,$C372-1,$D$5:$D$639,$D372)=0,K372*SUMIFS(K$5:K$639,$A$5:$A$639,$A372,$C$5:$C$639,$C372-1,$D$5:$D$639,$D372)&lt;0),"n.s.",ABS(K372)/ABS(SUMIFS(K$5:K$639,$A$5:$A$639,$A372,$C$5:$C$639,$C372-1,$D$5:$D$639,$D372))-1)))</f>
        <v/>
      </c>
      <c r="T372" s="16">
        <f>IF(OR($A372="",L372="",$C372=""),"",IF(COUNTIFS($A$5:$A$639,$A372,$C$5:$C$639,$C372-1,$D$5:$D$639,$D372,L$5:L$639,"&lt;&gt;")=0,"",IF(OR(SUMIFS(L$5:L$639,$A$5:$A$639,$A372,$C$5:$C$639,$C372-1,$D$5:$D$639,$D372)=0,L372*SUMIFS(L$5:L$639,$A$5:$A$639,$A372,$C$5:$C$639,$C372-1,$D$5:$D$639,$D372)&lt;0),"n.s.",ABS(L372)/ABS(SUMIFS(L$5:L$639,$A$5:$A$639,$A372,$C$5:$C$639,$C372-1,$D$5:$D$639,$D372))-1)))</f>
        <v/>
      </c>
      <c r="U372" s="16">
        <f>IF(OR($A372="",M372="",$C372=""),"",IF(COUNTIFS($A$5:$A$639,$A372,$C$5:$C$639,$C372-1,$D$5:$D$639,$D372,M$5:M$639,"&lt;&gt;")=0,"",IF(OR(SUMIFS(M$5:M$639,$A$5:$A$639,$A372,$C$5:$C$639,$C372-1,$D$5:$D$639,$D372)=0,M372*SUMIFS(M$5:M$639,$A$5:$A$639,$A372,$C$5:$C$639,$C372-1,$D$5:$D$639,$D372)&lt;0),"n.s.",ABS(M372)/ABS(SUMIFS(M$5:M$639,$A$5:$A$639,$A372,$C$5:$C$639,$C372-1,$D$5:$D$639,$D372))-1)))</f>
        <v/>
      </c>
    </row>
    <row r="373">
      <c r="A373" s="9" t="inlineStr">
        <is>
          <t>SIVC</t>
        </is>
      </c>
      <c r="B373" s="10">
        <f>IF(A373="","",IFERROR(VLOOKUP(A373,Titres!$A$2:$B$400,2,FALSE),"Ticker inconnu"))</f>
        <v/>
      </c>
      <c r="C373" s="11" t="n">
        <v>2023</v>
      </c>
      <c r="D373" s="11" t="inlineStr">
        <is>
          <t>T3</t>
        </is>
      </c>
      <c r="E373" s="9" t="n"/>
      <c r="F373" s="12" t="n"/>
      <c r="G373" s="9" t="n"/>
      <c r="H373" s="13" t="n"/>
      <c r="I373" s="13" t="n"/>
      <c r="J373" s="13" t="n"/>
      <c r="K373" s="13" t="n"/>
      <c r="L373" s="13" t="n"/>
      <c r="M373" s="13" t="n"/>
      <c r="N373" s="14">
        <f>IF(A373="","",COUNT(H373:M373)/6)</f>
        <v/>
      </c>
      <c r="O373" s="15">
        <f>IF(COUNT(H373:M373)=0,"",IF(LEN(IF(COUNT(I373,J373)=2,IF(J373&gt;I373+1,"EBE &gt; VA ",""),"")&amp;IF(COUNT(H373,M373)=2,IF(ABS(M373)&gt;ABS(H373),"RN &gt; CA ",""),"")&amp;IF(COUNT(H373,K373)=2,IF(ABS(K373)&gt;ABS(H373),"RE &gt; CA ",""),""))=0,"OK",IF(COUNT(I373,J373)=2,IF(J373&gt;I373+1,"EBE &gt; VA ",""),"")&amp;IF(COUNT(H373,M373)=2,IF(ABS(M373)&gt;ABS(H373),"RN &gt; CA ",""),"")&amp;IF(COUNT(H373,K373)=2,IF(ABS(K373)&gt;ABS(H373),"RE &gt; CA ",""),"")))</f>
        <v/>
      </c>
      <c r="P373" s="16">
        <f>IF(OR($A373="",H373="",$C373=""),"",IF(COUNTIFS($A$5:$A$639,$A373,$C$5:$C$639,$C373-1,$D$5:$D$639,$D373,H$5:H$639,"&lt;&gt;")=0,"",IF(OR(SUMIFS(H$5:H$639,$A$5:$A$639,$A373,$C$5:$C$639,$C373-1,$D$5:$D$639,$D373)=0,H373*SUMIFS(H$5:H$639,$A$5:$A$639,$A373,$C$5:$C$639,$C373-1,$D$5:$D$639,$D373)&lt;0),"n.s.",ABS(H373)/ABS(SUMIFS(H$5:H$639,$A$5:$A$639,$A373,$C$5:$C$639,$C373-1,$D$5:$D$639,$D373))-1)))</f>
        <v/>
      </c>
      <c r="Q373" s="16">
        <f>IF(OR($A373="",I373="",$C373=""),"",IF(COUNTIFS($A$5:$A$639,$A373,$C$5:$C$639,$C373-1,$D$5:$D$639,$D373,I$5:I$639,"&lt;&gt;")=0,"",IF(OR(SUMIFS(I$5:I$639,$A$5:$A$639,$A373,$C$5:$C$639,$C373-1,$D$5:$D$639,$D373)=0,I373*SUMIFS(I$5:I$639,$A$5:$A$639,$A373,$C$5:$C$639,$C373-1,$D$5:$D$639,$D373)&lt;0),"n.s.",ABS(I373)/ABS(SUMIFS(I$5:I$639,$A$5:$A$639,$A373,$C$5:$C$639,$C373-1,$D$5:$D$639,$D373))-1)))</f>
        <v/>
      </c>
      <c r="R373" s="16">
        <f>IF(OR($A373="",J373="",$C373=""),"",IF(COUNTIFS($A$5:$A$639,$A373,$C$5:$C$639,$C373-1,$D$5:$D$639,$D373,J$5:J$639,"&lt;&gt;")=0,"",IF(OR(SUMIFS(J$5:J$639,$A$5:$A$639,$A373,$C$5:$C$639,$C373-1,$D$5:$D$639,$D373)=0,J373*SUMIFS(J$5:J$639,$A$5:$A$639,$A373,$C$5:$C$639,$C373-1,$D$5:$D$639,$D373)&lt;0),"n.s.",ABS(J373)/ABS(SUMIFS(J$5:J$639,$A$5:$A$639,$A373,$C$5:$C$639,$C373-1,$D$5:$D$639,$D373))-1)))</f>
        <v/>
      </c>
      <c r="S373" s="16">
        <f>IF(OR($A373="",K373="",$C373=""),"",IF(COUNTIFS($A$5:$A$639,$A373,$C$5:$C$639,$C373-1,$D$5:$D$639,$D373,K$5:K$639,"&lt;&gt;")=0,"",IF(OR(SUMIFS(K$5:K$639,$A$5:$A$639,$A373,$C$5:$C$639,$C373-1,$D$5:$D$639,$D373)=0,K373*SUMIFS(K$5:K$639,$A$5:$A$639,$A373,$C$5:$C$639,$C373-1,$D$5:$D$639,$D373)&lt;0),"n.s.",ABS(K373)/ABS(SUMIFS(K$5:K$639,$A$5:$A$639,$A373,$C$5:$C$639,$C373-1,$D$5:$D$639,$D373))-1)))</f>
        <v/>
      </c>
      <c r="T373" s="16">
        <f>IF(OR($A373="",L373="",$C373=""),"",IF(COUNTIFS($A$5:$A$639,$A373,$C$5:$C$639,$C373-1,$D$5:$D$639,$D373,L$5:L$639,"&lt;&gt;")=0,"",IF(OR(SUMIFS(L$5:L$639,$A$5:$A$639,$A373,$C$5:$C$639,$C373-1,$D$5:$D$639,$D373)=0,L373*SUMIFS(L$5:L$639,$A$5:$A$639,$A373,$C$5:$C$639,$C373-1,$D$5:$D$639,$D373)&lt;0),"n.s.",ABS(L373)/ABS(SUMIFS(L$5:L$639,$A$5:$A$639,$A373,$C$5:$C$639,$C373-1,$D$5:$D$639,$D373))-1)))</f>
        <v/>
      </c>
      <c r="U373" s="16">
        <f>IF(OR($A373="",M373="",$C373=""),"",IF(COUNTIFS($A$5:$A$639,$A373,$C$5:$C$639,$C373-1,$D$5:$D$639,$D373,M$5:M$639,"&lt;&gt;")=0,"",IF(OR(SUMIFS(M$5:M$639,$A$5:$A$639,$A373,$C$5:$C$639,$C373-1,$D$5:$D$639,$D373)=0,M373*SUMIFS(M$5:M$639,$A$5:$A$639,$A373,$C$5:$C$639,$C373-1,$D$5:$D$639,$D373)&lt;0),"n.s.",ABS(M373)/ABS(SUMIFS(M$5:M$639,$A$5:$A$639,$A373,$C$5:$C$639,$C373-1,$D$5:$D$639,$D373))-1)))</f>
        <v/>
      </c>
    </row>
    <row r="374">
      <c r="A374" s="9" t="inlineStr">
        <is>
          <t>SIVC</t>
        </is>
      </c>
      <c r="B374" s="10">
        <f>IF(A374="","",IFERROR(VLOOKUP(A374,Titres!$A$2:$B$400,2,FALSE),"Ticker inconnu"))</f>
        <v/>
      </c>
      <c r="C374" s="11" t="n">
        <v>2024</v>
      </c>
      <c r="D374" s="11" t="inlineStr">
        <is>
          <t>T1</t>
        </is>
      </c>
      <c r="E374" s="9" t="n"/>
      <c r="F374" s="12" t="n"/>
      <c r="G374" s="9" t="n"/>
      <c r="H374" s="13" t="n"/>
      <c r="I374" s="13" t="n"/>
      <c r="J374" s="13" t="n"/>
      <c r="K374" s="13" t="n"/>
      <c r="L374" s="13" t="n"/>
      <c r="M374" s="13" t="n"/>
      <c r="N374" s="14">
        <f>IF(A374="","",COUNT(H374:M374)/6)</f>
        <v/>
      </c>
      <c r="O374" s="15">
        <f>IF(COUNT(H374:M374)=0,"",IF(LEN(IF(COUNT(I374,J374)=2,IF(J374&gt;I374+1,"EBE &gt; VA ",""),"")&amp;IF(COUNT(H374,M374)=2,IF(ABS(M374)&gt;ABS(H374),"RN &gt; CA ",""),"")&amp;IF(COUNT(H374,K374)=2,IF(ABS(K374)&gt;ABS(H374),"RE &gt; CA ",""),""))=0,"OK",IF(COUNT(I374,J374)=2,IF(J374&gt;I374+1,"EBE &gt; VA ",""),"")&amp;IF(COUNT(H374,M374)=2,IF(ABS(M374)&gt;ABS(H374),"RN &gt; CA ",""),"")&amp;IF(COUNT(H374,K374)=2,IF(ABS(K374)&gt;ABS(H374),"RE &gt; CA ",""),"")))</f>
        <v/>
      </c>
      <c r="P374" s="16">
        <f>IF(OR($A374="",H374="",$C374=""),"",IF(COUNTIFS($A$5:$A$639,$A374,$C$5:$C$639,$C374-1,$D$5:$D$639,$D374,H$5:H$639,"&lt;&gt;")=0,"",IF(OR(SUMIFS(H$5:H$639,$A$5:$A$639,$A374,$C$5:$C$639,$C374-1,$D$5:$D$639,$D374)=0,H374*SUMIFS(H$5:H$639,$A$5:$A$639,$A374,$C$5:$C$639,$C374-1,$D$5:$D$639,$D374)&lt;0),"n.s.",ABS(H374)/ABS(SUMIFS(H$5:H$639,$A$5:$A$639,$A374,$C$5:$C$639,$C374-1,$D$5:$D$639,$D374))-1)))</f>
        <v/>
      </c>
      <c r="Q374" s="16">
        <f>IF(OR($A374="",I374="",$C374=""),"",IF(COUNTIFS($A$5:$A$639,$A374,$C$5:$C$639,$C374-1,$D$5:$D$639,$D374,I$5:I$639,"&lt;&gt;")=0,"",IF(OR(SUMIFS(I$5:I$639,$A$5:$A$639,$A374,$C$5:$C$639,$C374-1,$D$5:$D$639,$D374)=0,I374*SUMIFS(I$5:I$639,$A$5:$A$639,$A374,$C$5:$C$639,$C374-1,$D$5:$D$639,$D374)&lt;0),"n.s.",ABS(I374)/ABS(SUMIFS(I$5:I$639,$A$5:$A$639,$A374,$C$5:$C$639,$C374-1,$D$5:$D$639,$D374))-1)))</f>
        <v/>
      </c>
      <c r="R374" s="16">
        <f>IF(OR($A374="",J374="",$C374=""),"",IF(COUNTIFS($A$5:$A$639,$A374,$C$5:$C$639,$C374-1,$D$5:$D$639,$D374,J$5:J$639,"&lt;&gt;")=0,"",IF(OR(SUMIFS(J$5:J$639,$A$5:$A$639,$A374,$C$5:$C$639,$C374-1,$D$5:$D$639,$D374)=0,J374*SUMIFS(J$5:J$639,$A$5:$A$639,$A374,$C$5:$C$639,$C374-1,$D$5:$D$639,$D374)&lt;0),"n.s.",ABS(J374)/ABS(SUMIFS(J$5:J$639,$A$5:$A$639,$A374,$C$5:$C$639,$C374-1,$D$5:$D$639,$D374))-1)))</f>
        <v/>
      </c>
      <c r="S374" s="16">
        <f>IF(OR($A374="",K374="",$C374=""),"",IF(COUNTIFS($A$5:$A$639,$A374,$C$5:$C$639,$C374-1,$D$5:$D$639,$D374,K$5:K$639,"&lt;&gt;")=0,"",IF(OR(SUMIFS(K$5:K$639,$A$5:$A$639,$A374,$C$5:$C$639,$C374-1,$D$5:$D$639,$D374)=0,K374*SUMIFS(K$5:K$639,$A$5:$A$639,$A374,$C$5:$C$639,$C374-1,$D$5:$D$639,$D374)&lt;0),"n.s.",ABS(K374)/ABS(SUMIFS(K$5:K$639,$A$5:$A$639,$A374,$C$5:$C$639,$C374-1,$D$5:$D$639,$D374))-1)))</f>
        <v/>
      </c>
      <c r="T374" s="16">
        <f>IF(OR($A374="",L374="",$C374=""),"",IF(COUNTIFS($A$5:$A$639,$A374,$C$5:$C$639,$C374-1,$D$5:$D$639,$D374,L$5:L$639,"&lt;&gt;")=0,"",IF(OR(SUMIFS(L$5:L$639,$A$5:$A$639,$A374,$C$5:$C$639,$C374-1,$D$5:$D$639,$D374)=0,L374*SUMIFS(L$5:L$639,$A$5:$A$639,$A374,$C$5:$C$639,$C374-1,$D$5:$D$639,$D374)&lt;0),"n.s.",ABS(L374)/ABS(SUMIFS(L$5:L$639,$A$5:$A$639,$A374,$C$5:$C$639,$C374-1,$D$5:$D$639,$D374))-1)))</f>
        <v/>
      </c>
      <c r="U374" s="16">
        <f>IF(OR($A374="",M374="",$C374=""),"",IF(COUNTIFS($A$5:$A$639,$A374,$C$5:$C$639,$C374-1,$D$5:$D$639,$D374,M$5:M$639,"&lt;&gt;")=0,"",IF(OR(SUMIFS(M$5:M$639,$A$5:$A$639,$A374,$C$5:$C$639,$C374-1,$D$5:$D$639,$D374)=0,M374*SUMIFS(M$5:M$639,$A$5:$A$639,$A374,$C$5:$C$639,$C374-1,$D$5:$D$639,$D374)&lt;0),"n.s.",ABS(M374)/ABS(SUMIFS(M$5:M$639,$A$5:$A$639,$A374,$C$5:$C$639,$C374-1,$D$5:$D$639,$D374))-1)))</f>
        <v/>
      </c>
    </row>
    <row r="375">
      <c r="A375" s="9" t="inlineStr">
        <is>
          <t>SIVC</t>
        </is>
      </c>
      <c r="B375" s="10">
        <f>IF(A375="","",IFERROR(VLOOKUP(A375,Titres!$A$2:$B$400,2,FALSE),"Ticker inconnu"))</f>
        <v/>
      </c>
      <c r="C375" s="11" t="n">
        <v>2024</v>
      </c>
      <c r="D375" s="11" t="inlineStr">
        <is>
          <t>S1</t>
        </is>
      </c>
      <c r="E375" s="9" t="n"/>
      <c r="F375" s="12" t="n"/>
      <c r="G375" s="9" t="n"/>
      <c r="H375" s="13" t="n"/>
      <c r="I375" s="13" t="n"/>
      <c r="J375" s="13" t="n"/>
      <c r="K375" s="13" t="n"/>
      <c r="L375" s="13" t="n"/>
      <c r="M375" s="13" t="n"/>
      <c r="N375" s="14">
        <f>IF(A375="","",COUNT(H375:M375)/6)</f>
        <v/>
      </c>
      <c r="O375" s="15">
        <f>IF(COUNT(H375:M375)=0,"",IF(LEN(IF(COUNT(I375,J375)=2,IF(J375&gt;I375+1,"EBE &gt; VA ",""),"")&amp;IF(COUNT(H375,M375)=2,IF(ABS(M375)&gt;ABS(H375),"RN &gt; CA ",""),"")&amp;IF(COUNT(H375,K375)=2,IF(ABS(K375)&gt;ABS(H375),"RE &gt; CA ",""),""))=0,"OK",IF(COUNT(I375,J375)=2,IF(J375&gt;I375+1,"EBE &gt; VA ",""),"")&amp;IF(COUNT(H375,M375)=2,IF(ABS(M375)&gt;ABS(H375),"RN &gt; CA ",""),"")&amp;IF(COUNT(H375,K375)=2,IF(ABS(K375)&gt;ABS(H375),"RE &gt; CA ",""),"")))</f>
        <v/>
      </c>
      <c r="P375" s="16">
        <f>IF(OR($A375="",H375="",$C375=""),"",IF(COUNTIFS($A$5:$A$639,$A375,$C$5:$C$639,$C375-1,$D$5:$D$639,$D375,H$5:H$639,"&lt;&gt;")=0,"",IF(OR(SUMIFS(H$5:H$639,$A$5:$A$639,$A375,$C$5:$C$639,$C375-1,$D$5:$D$639,$D375)=0,H375*SUMIFS(H$5:H$639,$A$5:$A$639,$A375,$C$5:$C$639,$C375-1,$D$5:$D$639,$D375)&lt;0),"n.s.",ABS(H375)/ABS(SUMIFS(H$5:H$639,$A$5:$A$639,$A375,$C$5:$C$639,$C375-1,$D$5:$D$639,$D375))-1)))</f>
        <v/>
      </c>
      <c r="Q375" s="16">
        <f>IF(OR($A375="",I375="",$C375=""),"",IF(COUNTIFS($A$5:$A$639,$A375,$C$5:$C$639,$C375-1,$D$5:$D$639,$D375,I$5:I$639,"&lt;&gt;")=0,"",IF(OR(SUMIFS(I$5:I$639,$A$5:$A$639,$A375,$C$5:$C$639,$C375-1,$D$5:$D$639,$D375)=0,I375*SUMIFS(I$5:I$639,$A$5:$A$639,$A375,$C$5:$C$639,$C375-1,$D$5:$D$639,$D375)&lt;0),"n.s.",ABS(I375)/ABS(SUMIFS(I$5:I$639,$A$5:$A$639,$A375,$C$5:$C$639,$C375-1,$D$5:$D$639,$D375))-1)))</f>
        <v/>
      </c>
      <c r="R375" s="16">
        <f>IF(OR($A375="",J375="",$C375=""),"",IF(COUNTIFS($A$5:$A$639,$A375,$C$5:$C$639,$C375-1,$D$5:$D$639,$D375,J$5:J$639,"&lt;&gt;")=0,"",IF(OR(SUMIFS(J$5:J$639,$A$5:$A$639,$A375,$C$5:$C$639,$C375-1,$D$5:$D$639,$D375)=0,J375*SUMIFS(J$5:J$639,$A$5:$A$639,$A375,$C$5:$C$639,$C375-1,$D$5:$D$639,$D375)&lt;0),"n.s.",ABS(J375)/ABS(SUMIFS(J$5:J$639,$A$5:$A$639,$A375,$C$5:$C$639,$C375-1,$D$5:$D$639,$D375))-1)))</f>
        <v/>
      </c>
      <c r="S375" s="16">
        <f>IF(OR($A375="",K375="",$C375=""),"",IF(COUNTIFS($A$5:$A$639,$A375,$C$5:$C$639,$C375-1,$D$5:$D$639,$D375,K$5:K$639,"&lt;&gt;")=0,"",IF(OR(SUMIFS(K$5:K$639,$A$5:$A$639,$A375,$C$5:$C$639,$C375-1,$D$5:$D$639,$D375)=0,K375*SUMIFS(K$5:K$639,$A$5:$A$639,$A375,$C$5:$C$639,$C375-1,$D$5:$D$639,$D375)&lt;0),"n.s.",ABS(K375)/ABS(SUMIFS(K$5:K$639,$A$5:$A$639,$A375,$C$5:$C$639,$C375-1,$D$5:$D$639,$D375))-1)))</f>
        <v/>
      </c>
      <c r="T375" s="16">
        <f>IF(OR($A375="",L375="",$C375=""),"",IF(COUNTIFS($A$5:$A$639,$A375,$C$5:$C$639,$C375-1,$D$5:$D$639,$D375,L$5:L$639,"&lt;&gt;")=0,"",IF(OR(SUMIFS(L$5:L$639,$A$5:$A$639,$A375,$C$5:$C$639,$C375-1,$D$5:$D$639,$D375)=0,L375*SUMIFS(L$5:L$639,$A$5:$A$639,$A375,$C$5:$C$639,$C375-1,$D$5:$D$639,$D375)&lt;0),"n.s.",ABS(L375)/ABS(SUMIFS(L$5:L$639,$A$5:$A$639,$A375,$C$5:$C$639,$C375-1,$D$5:$D$639,$D375))-1)))</f>
        <v/>
      </c>
      <c r="U375" s="16">
        <f>IF(OR($A375="",M375="",$C375=""),"",IF(COUNTIFS($A$5:$A$639,$A375,$C$5:$C$639,$C375-1,$D$5:$D$639,$D375,M$5:M$639,"&lt;&gt;")=0,"",IF(OR(SUMIFS(M$5:M$639,$A$5:$A$639,$A375,$C$5:$C$639,$C375-1,$D$5:$D$639,$D375)=0,M375*SUMIFS(M$5:M$639,$A$5:$A$639,$A375,$C$5:$C$639,$C375-1,$D$5:$D$639,$D375)&lt;0),"n.s.",ABS(M375)/ABS(SUMIFS(M$5:M$639,$A$5:$A$639,$A375,$C$5:$C$639,$C375-1,$D$5:$D$639,$D375))-1)))</f>
        <v/>
      </c>
    </row>
    <row r="376">
      <c r="A376" s="9" t="inlineStr">
        <is>
          <t>SIVC</t>
        </is>
      </c>
      <c r="B376" s="10">
        <f>IF(A376="","",IFERROR(VLOOKUP(A376,Titres!$A$2:$B$400,2,FALSE),"Ticker inconnu"))</f>
        <v/>
      </c>
      <c r="C376" s="11" t="n">
        <v>2024</v>
      </c>
      <c r="D376" s="11" t="inlineStr">
        <is>
          <t>T3</t>
        </is>
      </c>
      <c r="E376" s="9" t="n"/>
      <c r="F376" s="12" t="n"/>
      <c r="G376" s="9" t="n"/>
      <c r="H376" s="13" t="n"/>
      <c r="I376" s="13" t="n"/>
      <c r="J376" s="13" t="n"/>
      <c r="K376" s="13" t="n"/>
      <c r="L376" s="13" t="n"/>
      <c r="M376" s="13" t="n"/>
      <c r="N376" s="14">
        <f>IF(A376="","",COUNT(H376:M376)/6)</f>
        <v/>
      </c>
      <c r="O376" s="15">
        <f>IF(COUNT(H376:M376)=0,"",IF(LEN(IF(COUNT(I376,J376)=2,IF(J376&gt;I376+1,"EBE &gt; VA ",""),"")&amp;IF(COUNT(H376,M376)=2,IF(ABS(M376)&gt;ABS(H376),"RN &gt; CA ",""),"")&amp;IF(COUNT(H376,K376)=2,IF(ABS(K376)&gt;ABS(H376),"RE &gt; CA ",""),""))=0,"OK",IF(COUNT(I376,J376)=2,IF(J376&gt;I376+1,"EBE &gt; VA ",""),"")&amp;IF(COUNT(H376,M376)=2,IF(ABS(M376)&gt;ABS(H376),"RN &gt; CA ",""),"")&amp;IF(COUNT(H376,K376)=2,IF(ABS(K376)&gt;ABS(H376),"RE &gt; CA ",""),"")))</f>
        <v/>
      </c>
      <c r="P376" s="16">
        <f>IF(OR($A376="",H376="",$C376=""),"",IF(COUNTIFS($A$5:$A$639,$A376,$C$5:$C$639,$C376-1,$D$5:$D$639,$D376,H$5:H$639,"&lt;&gt;")=0,"",IF(OR(SUMIFS(H$5:H$639,$A$5:$A$639,$A376,$C$5:$C$639,$C376-1,$D$5:$D$639,$D376)=0,H376*SUMIFS(H$5:H$639,$A$5:$A$639,$A376,$C$5:$C$639,$C376-1,$D$5:$D$639,$D376)&lt;0),"n.s.",ABS(H376)/ABS(SUMIFS(H$5:H$639,$A$5:$A$639,$A376,$C$5:$C$639,$C376-1,$D$5:$D$639,$D376))-1)))</f>
        <v/>
      </c>
      <c r="Q376" s="16">
        <f>IF(OR($A376="",I376="",$C376=""),"",IF(COUNTIFS($A$5:$A$639,$A376,$C$5:$C$639,$C376-1,$D$5:$D$639,$D376,I$5:I$639,"&lt;&gt;")=0,"",IF(OR(SUMIFS(I$5:I$639,$A$5:$A$639,$A376,$C$5:$C$639,$C376-1,$D$5:$D$639,$D376)=0,I376*SUMIFS(I$5:I$639,$A$5:$A$639,$A376,$C$5:$C$639,$C376-1,$D$5:$D$639,$D376)&lt;0),"n.s.",ABS(I376)/ABS(SUMIFS(I$5:I$639,$A$5:$A$639,$A376,$C$5:$C$639,$C376-1,$D$5:$D$639,$D376))-1)))</f>
        <v/>
      </c>
      <c r="R376" s="16">
        <f>IF(OR($A376="",J376="",$C376=""),"",IF(COUNTIFS($A$5:$A$639,$A376,$C$5:$C$639,$C376-1,$D$5:$D$639,$D376,J$5:J$639,"&lt;&gt;")=0,"",IF(OR(SUMIFS(J$5:J$639,$A$5:$A$639,$A376,$C$5:$C$639,$C376-1,$D$5:$D$639,$D376)=0,J376*SUMIFS(J$5:J$639,$A$5:$A$639,$A376,$C$5:$C$639,$C376-1,$D$5:$D$639,$D376)&lt;0),"n.s.",ABS(J376)/ABS(SUMIFS(J$5:J$639,$A$5:$A$639,$A376,$C$5:$C$639,$C376-1,$D$5:$D$639,$D376))-1)))</f>
        <v/>
      </c>
      <c r="S376" s="16">
        <f>IF(OR($A376="",K376="",$C376=""),"",IF(COUNTIFS($A$5:$A$639,$A376,$C$5:$C$639,$C376-1,$D$5:$D$639,$D376,K$5:K$639,"&lt;&gt;")=0,"",IF(OR(SUMIFS(K$5:K$639,$A$5:$A$639,$A376,$C$5:$C$639,$C376-1,$D$5:$D$639,$D376)=0,K376*SUMIFS(K$5:K$639,$A$5:$A$639,$A376,$C$5:$C$639,$C376-1,$D$5:$D$639,$D376)&lt;0),"n.s.",ABS(K376)/ABS(SUMIFS(K$5:K$639,$A$5:$A$639,$A376,$C$5:$C$639,$C376-1,$D$5:$D$639,$D376))-1)))</f>
        <v/>
      </c>
      <c r="T376" s="16">
        <f>IF(OR($A376="",L376="",$C376=""),"",IF(COUNTIFS($A$5:$A$639,$A376,$C$5:$C$639,$C376-1,$D$5:$D$639,$D376,L$5:L$639,"&lt;&gt;")=0,"",IF(OR(SUMIFS(L$5:L$639,$A$5:$A$639,$A376,$C$5:$C$639,$C376-1,$D$5:$D$639,$D376)=0,L376*SUMIFS(L$5:L$639,$A$5:$A$639,$A376,$C$5:$C$639,$C376-1,$D$5:$D$639,$D376)&lt;0),"n.s.",ABS(L376)/ABS(SUMIFS(L$5:L$639,$A$5:$A$639,$A376,$C$5:$C$639,$C376-1,$D$5:$D$639,$D376))-1)))</f>
        <v/>
      </c>
      <c r="U376" s="16">
        <f>IF(OR($A376="",M376="",$C376=""),"",IF(COUNTIFS($A$5:$A$639,$A376,$C$5:$C$639,$C376-1,$D$5:$D$639,$D376,M$5:M$639,"&lt;&gt;")=0,"",IF(OR(SUMIFS(M$5:M$639,$A$5:$A$639,$A376,$C$5:$C$639,$C376-1,$D$5:$D$639,$D376)=0,M376*SUMIFS(M$5:M$639,$A$5:$A$639,$A376,$C$5:$C$639,$C376-1,$D$5:$D$639,$D376)&lt;0),"n.s.",ABS(M376)/ABS(SUMIFS(M$5:M$639,$A$5:$A$639,$A376,$C$5:$C$639,$C376-1,$D$5:$D$639,$D376))-1)))</f>
        <v/>
      </c>
    </row>
    <row r="377">
      <c r="A377" s="9" t="inlineStr">
        <is>
          <t>SIVC</t>
        </is>
      </c>
      <c r="B377" s="10">
        <f>IF(A377="","",IFERROR(VLOOKUP(A377,Titres!$A$2:$B$400,2,FALSE),"Ticker inconnu"))</f>
        <v/>
      </c>
      <c r="C377" s="11" t="n">
        <v>2025</v>
      </c>
      <c r="D377" s="11" t="inlineStr">
        <is>
          <t>T1</t>
        </is>
      </c>
      <c r="E377" s="9" t="n"/>
      <c r="F377" s="12" t="n"/>
      <c r="G377" s="9" t="n"/>
      <c r="H377" s="13" t="n"/>
      <c r="I377" s="13" t="n"/>
      <c r="J377" s="13" t="n"/>
      <c r="K377" s="13" t="n"/>
      <c r="L377" s="13" t="n"/>
      <c r="M377" s="13" t="n"/>
      <c r="N377" s="14">
        <f>IF(A377="","",COUNT(H377:M377)/6)</f>
        <v/>
      </c>
      <c r="O377" s="15">
        <f>IF(COUNT(H377:M377)=0,"",IF(LEN(IF(COUNT(I377,J377)=2,IF(J377&gt;I377+1,"EBE &gt; VA ",""),"")&amp;IF(COUNT(H377,M377)=2,IF(ABS(M377)&gt;ABS(H377),"RN &gt; CA ",""),"")&amp;IF(COUNT(H377,K377)=2,IF(ABS(K377)&gt;ABS(H377),"RE &gt; CA ",""),""))=0,"OK",IF(COUNT(I377,J377)=2,IF(J377&gt;I377+1,"EBE &gt; VA ",""),"")&amp;IF(COUNT(H377,M377)=2,IF(ABS(M377)&gt;ABS(H377),"RN &gt; CA ",""),"")&amp;IF(COUNT(H377,K377)=2,IF(ABS(K377)&gt;ABS(H377),"RE &gt; CA ",""),"")))</f>
        <v/>
      </c>
      <c r="P377" s="16">
        <f>IF(OR($A377="",H377="",$C377=""),"",IF(COUNTIFS($A$5:$A$639,$A377,$C$5:$C$639,$C377-1,$D$5:$D$639,$D377,H$5:H$639,"&lt;&gt;")=0,"",IF(OR(SUMIFS(H$5:H$639,$A$5:$A$639,$A377,$C$5:$C$639,$C377-1,$D$5:$D$639,$D377)=0,H377*SUMIFS(H$5:H$639,$A$5:$A$639,$A377,$C$5:$C$639,$C377-1,$D$5:$D$639,$D377)&lt;0),"n.s.",ABS(H377)/ABS(SUMIFS(H$5:H$639,$A$5:$A$639,$A377,$C$5:$C$639,$C377-1,$D$5:$D$639,$D377))-1)))</f>
        <v/>
      </c>
      <c r="Q377" s="16">
        <f>IF(OR($A377="",I377="",$C377=""),"",IF(COUNTIFS($A$5:$A$639,$A377,$C$5:$C$639,$C377-1,$D$5:$D$639,$D377,I$5:I$639,"&lt;&gt;")=0,"",IF(OR(SUMIFS(I$5:I$639,$A$5:$A$639,$A377,$C$5:$C$639,$C377-1,$D$5:$D$639,$D377)=0,I377*SUMIFS(I$5:I$639,$A$5:$A$639,$A377,$C$5:$C$639,$C377-1,$D$5:$D$639,$D377)&lt;0),"n.s.",ABS(I377)/ABS(SUMIFS(I$5:I$639,$A$5:$A$639,$A377,$C$5:$C$639,$C377-1,$D$5:$D$639,$D377))-1)))</f>
        <v/>
      </c>
      <c r="R377" s="16">
        <f>IF(OR($A377="",J377="",$C377=""),"",IF(COUNTIFS($A$5:$A$639,$A377,$C$5:$C$639,$C377-1,$D$5:$D$639,$D377,J$5:J$639,"&lt;&gt;")=0,"",IF(OR(SUMIFS(J$5:J$639,$A$5:$A$639,$A377,$C$5:$C$639,$C377-1,$D$5:$D$639,$D377)=0,J377*SUMIFS(J$5:J$639,$A$5:$A$639,$A377,$C$5:$C$639,$C377-1,$D$5:$D$639,$D377)&lt;0),"n.s.",ABS(J377)/ABS(SUMIFS(J$5:J$639,$A$5:$A$639,$A377,$C$5:$C$639,$C377-1,$D$5:$D$639,$D377))-1)))</f>
        <v/>
      </c>
      <c r="S377" s="16">
        <f>IF(OR($A377="",K377="",$C377=""),"",IF(COUNTIFS($A$5:$A$639,$A377,$C$5:$C$639,$C377-1,$D$5:$D$639,$D377,K$5:K$639,"&lt;&gt;")=0,"",IF(OR(SUMIFS(K$5:K$639,$A$5:$A$639,$A377,$C$5:$C$639,$C377-1,$D$5:$D$639,$D377)=0,K377*SUMIFS(K$5:K$639,$A$5:$A$639,$A377,$C$5:$C$639,$C377-1,$D$5:$D$639,$D377)&lt;0),"n.s.",ABS(K377)/ABS(SUMIFS(K$5:K$639,$A$5:$A$639,$A377,$C$5:$C$639,$C377-1,$D$5:$D$639,$D377))-1)))</f>
        <v/>
      </c>
      <c r="T377" s="16">
        <f>IF(OR($A377="",L377="",$C377=""),"",IF(COUNTIFS($A$5:$A$639,$A377,$C$5:$C$639,$C377-1,$D$5:$D$639,$D377,L$5:L$639,"&lt;&gt;")=0,"",IF(OR(SUMIFS(L$5:L$639,$A$5:$A$639,$A377,$C$5:$C$639,$C377-1,$D$5:$D$639,$D377)=0,L377*SUMIFS(L$5:L$639,$A$5:$A$639,$A377,$C$5:$C$639,$C377-1,$D$5:$D$639,$D377)&lt;0),"n.s.",ABS(L377)/ABS(SUMIFS(L$5:L$639,$A$5:$A$639,$A377,$C$5:$C$639,$C377-1,$D$5:$D$639,$D377))-1)))</f>
        <v/>
      </c>
      <c r="U377" s="16">
        <f>IF(OR($A377="",M377="",$C377=""),"",IF(COUNTIFS($A$5:$A$639,$A377,$C$5:$C$639,$C377-1,$D$5:$D$639,$D377,M$5:M$639,"&lt;&gt;")=0,"",IF(OR(SUMIFS(M$5:M$639,$A$5:$A$639,$A377,$C$5:$C$639,$C377-1,$D$5:$D$639,$D377)=0,M377*SUMIFS(M$5:M$639,$A$5:$A$639,$A377,$C$5:$C$639,$C377-1,$D$5:$D$639,$D377)&lt;0),"n.s.",ABS(M377)/ABS(SUMIFS(M$5:M$639,$A$5:$A$639,$A377,$C$5:$C$639,$C377-1,$D$5:$D$639,$D377))-1)))</f>
        <v/>
      </c>
    </row>
    <row r="378">
      <c r="A378" s="9" t="inlineStr">
        <is>
          <t>SIVC</t>
        </is>
      </c>
      <c r="B378" s="10">
        <f>IF(A378="","",IFERROR(VLOOKUP(A378,Titres!$A$2:$B$400,2,FALSE),"Ticker inconnu"))</f>
        <v/>
      </c>
      <c r="C378" s="11" t="n">
        <v>2025</v>
      </c>
      <c r="D378" s="11" t="inlineStr">
        <is>
          <t>S1</t>
        </is>
      </c>
      <c r="E378" s="9" t="n"/>
      <c r="F378" s="12" t="n"/>
      <c r="G378" s="9" t="n"/>
      <c r="H378" s="13" t="n"/>
      <c r="I378" s="13" t="n"/>
      <c r="J378" s="13" t="n"/>
      <c r="K378" s="13" t="n"/>
      <c r="L378" s="13" t="n"/>
      <c r="M378" s="13" t="n"/>
      <c r="N378" s="14">
        <f>IF(A378="","",COUNT(H378:M378)/6)</f>
        <v/>
      </c>
      <c r="O378" s="15">
        <f>IF(COUNT(H378:M378)=0,"",IF(LEN(IF(COUNT(I378,J378)=2,IF(J378&gt;I378+1,"EBE &gt; VA ",""),"")&amp;IF(COUNT(H378,M378)=2,IF(ABS(M378)&gt;ABS(H378),"RN &gt; CA ",""),"")&amp;IF(COUNT(H378,K378)=2,IF(ABS(K378)&gt;ABS(H378),"RE &gt; CA ",""),""))=0,"OK",IF(COUNT(I378,J378)=2,IF(J378&gt;I378+1,"EBE &gt; VA ",""),"")&amp;IF(COUNT(H378,M378)=2,IF(ABS(M378)&gt;ABS(H378),"RN &gt; CA ",""),"")&amp;IF(COUNT(H378,K378)=2,IF(ABS(K378)&gt;ABS(H378),"RE &gt; CA ",""),"")))</f>
        <v/>
      </c>
      <c r="P378" s="16">
        <f>IF(OR($A378="",H378="",$C378=""),"",IF(COUNTIFS($A$5:$A$639,$A378,$C$5:$C$639,$C378-1,$D$5:$D$639,$D378,H$5:H$639,"&lt;&gt;")=0,"",IF(OR(SUMIFS(H$5:H$639,$A$5:$A$639,$A378,$C$5:$C$639,$C378-1,$D$5:$D$639,$D378)=0,H378*SUMIFS(H$5:H$639,$A$5:$A$639,$A378,$C$5:$C$639,$C378-1,$D$5:$D$639,$D378)&lt;0),"n.s.",ABS(H378)/ABS(SUMIFS(H$5:H$639,$A$5:$A$639,$A378,$C$5:$C$639,$C378-1,$D$5:$D$639,$D378))-1)))</f>
        <v/>
      </c>
      <c r="Q378" s="16">
        <f>IF(OR($A378="",I378="",$C378=""),"",IF(COUNTIFS($A$5:$A$639,$A378,$C$5:$C$639,$C378-1,$D$5:$D$639,$D378,I$5:I$639,"&lt;&gt;")=0,"",IF(OR(SUMIFS(I$5:I$639,$A$5:$A$639,$A378,$C$5:$C$639,$C378-1,$D$5:$D$639,$D378)=0,I378*SUMIFS(I$5:I$639,$A$5:$A$639,$A378,$C$5:$C$639,$C378-1,$D$5:$D$639,$D378)&lt;0),"n.s.",ABS(I378)/ABS(SUMIFS(I$5:I$639,$A$5:$A$639,$A378,$C$5:$C$639,$C378-1,$D$5:$D$639,$D378))-1)))</f>
        <v/>
      </c>
      <c r="R378" s="16">
        <f>IF(OR($A378="",J378="",$C378=""),"",IF(COUNTIFS($A$5:$A$639,$A378,$C$5:$C$639,$C378-1,$D$5:$D$639,$D378,J$5:J$639,"&lt;&gt;")=0,"",IF(OR(SUMIFS(J$5:J$639,$A$5:$A$639,$A378,$C$5:$C$639,$C378-1,$D$5:$D$639,$D378)=0,J378*SUMIFS(J$5:J$639,$A$5:$A$639,$A378,$C$5:$C$639,$C378-1,$D$5:$D$639,$D378)&lt;0),"n.s.",ABS(J378)/ABS(SUMIFS(J$5:J$639,$A$5:$A$639,$A378,$C$5:$C$639,$C378-1,$D$5:$D$639,$D378))-1)))</f>
        <v/>
      </c>
      <c r="S378" s="16">
        <f>IF(OR($A378="",K378="",$C378=""),"",IF(COUNTIFS($A$5:$A$639,$A378,$C$5:$C$639,$C378-1,$D$5:$D$639,$D378,K$5:K$639,"&lt;&gt;")=0,"",IF(OR(SUMIFS(K$5:K$639,$A$5:$A$639,$A378,$C$5:$C$639,$C378-1,$D$5:$D$639,$D378)=0,K378*SUMIFS(K$5:K$639,$A$5:$A$639,$A378,$C$5:$C$639,$C378-1,$D$5:$D$639,$D378)&lt;0),"n.s.",ABS(K378)/ABS(SUMIFS(K$5:K$639,$A$5:$A$639,$A378,$C$5:$C$639,$C378-1,$D$5:$D$639,$D378))-1)))</f>
        <v/>
      </c>
      <c r="T378" s="16">
        <f>IF(OR($A378="",L378="",$C378=""),"",IF(COUNTIFS($A$5:$A$639,$A378,$C$5:$C$639,$C378-1,$D$5:$D$639,$D378,L$5:L$639,"&lt;&gt;")=0,"",IF(OR(SUMIFS(L$5:L$639,$A$5:$A$639,$A378,$C$5:$C$639,$C378-1,$D$5:$D$639,$D378)=0,L378*SUMIFS(L$5:L$639,$A$5:$A$639,$A378,$C$5:$C$639,$C378-1,$D$5:$D$639,$D378)&lt;0),"n.s.",ABS(L378)/ABS(SUMIFS(L$5:L$639,$A$5:$A$639,$A378,$C$5:$C$639,$C378-1,$D$5:$D$639,$D378))-1)))</f>
        <v/>
      </c>
      <c r="U378" s="16">
        <f>IF(OR($A378="",M378="",$C378=""),"",IF(COUNTIFS($A$5:$A$639,$A378,$C$5:$C$639,$C378-1,$D$5:$D$639,$D378,M$5:M$639,"&lt;&gt;")=0,"",IF(OR(SUMIFS(M$5:M$639,$A$5:$A$639,$A378,$C$5:$C$639,$C378-1,$D$5:$D$639,$D378)=0,M378*SUMIFS(M$5:M$639,$A$5:$A$639,$A378,$C$5:$C$639,$C378-1,$D$5:$D$639,$D378)&lt;0),"n.s.",ABS(M378)/ABS(SUMIFS(M$5:M$639,$A$5:$A$639,$A378,$C$5:$C$639,$C378-1,$D$5:$D$639,$D378))-1)))</f>
        <v/>
      </c>
    </row>
    <row r="379">
      <c r="A379" s="9" t="inlineStr">
        <is>
          <t>SIVC</t>
        </is>
      </c>
      <c r="B379" s="10">
        <f>IF(A379="","",IFERROR(VLOOKUP(A379,Titres!$A$2:$B$400,2,FALSE),"Ticker inconnu"))</f>
        <v/>
      </c>
      <c r="C379" s="11" t="n">
        <v>2025</v>
      </c>
      <c r="D379" s="11" t="inlineStr">
        <is>
          <t>T3</t>
        </is>
      </c>
      <c r="E379" s="9" t="n"/>
      <c r="F379" s="12" t="n"/>
      <c r="G379" s="9" t="n"/>
      <c r="H379" s="13" t="n"/>
      <c r="I379" s="13" t="n"/>
      <c r="J379" s="13" t="n"/>
      <c r="K379" s="13" t="n"/>
      <c r="L379" s="13" t="n"/>
      <c r="M379" s="13" t="n"/>
      <c r="N379" s="14">
        <f>IF(A379="","",COUNT(H379:M379)/6)</f>
        <v/>
      </c>
      <c r="O379" s="15">
        <f>IF(COUNT(H379:M379)=0,"",IF(LEN(IF(COUNT(I379,J379)=2,IF(J379&gt;I379+1,"EBE &gt; VA ",""),"")&amp;IF(COUNT(H379,M379)=2,IF(ABS(M379)&gt;ABS(H379),"RN &gt; CA ",""),"")&amp;IF(COUNT(H379,K379)=2,IF(ABS(K379)&gt;ABS(H379),"RE &gt; CA ",""),""))=0,"OK",IF(COUNT(I379,J379)=2,IF(J379&gt;I379+1,"EBE &gt; VA ",""),"")&amp;IF(COUNT(H379,M379)=2,IF(ABS(M379)&gt;ABS(H379),"RN &gt; CA ",""),"")&amp;IF(COUNT(H379,K379)=2,IF(ABS(K379)&gt;ABS(H379),"RE &gt; CA ",""),"")))</f>
        <v/>
      </c>
      <c r="P379" s="16">
        <f>IF(OR($A379="",H379="",$C379=""),"",IF(COUNTIFS($A$5:$A$639,$A379,$C$5:$C$639,$C379-1,$D$5:$D$639,$D379,H$5:H$639,"&lt;&gt;")=0,"",IF(OR(SUMIFS(H$5:H$639,$A$5:$A$639,$A379,$C$5:$C$639,$C379-1,$D$5:$D$639,$D379)=0,H379*SUMIFS(H$5:H$639,$A$5:$A$639,$A379,$C$5:$C$639,$C379-1,$D$5:$D$639,$D379)&lt;0),"n.s.",ABS(H379)/ABS(SUMIFS(H$5:H$639,$A$5:$A$639,$A379,$C$5:$C$639,$C379-1,$D$5:$D$639,$D379))-1)))</f>
        <v/>
      </c>
      <c r="Q379" s="16">
        <f>IF(OR($A379="",I379="",$C379=""),"",IF(COUNTIFS($A$5:$A$639,$A379,$C$5:$C$639,$C379-1,$D$5:$D$639,$D379,I$5:I$639,"&lt;&gt;")=0,"",IF(OR(SUMIFS(I$5:I$639,$A$5:$A$639,$A379,$C$5:$C$639,$C379-1,$D$5:$D$639,$D379)=0,I379*SUMIFS(I$5:I$639,$A$5:$A$639,$A379,$C$5:$C$639,$C379-1,$D$5:$D$639,$D379)&lt;0),"n.s.",ABS(I379)/ABS(SUMIFS(I$5:I$639,$A$5:$A$639,$A379,$C$5:$C$639,$C379-1,$D$5:$D$639,$D379))-1)))</f>
        <v/>
      </c>
      <c r="R379" s="16">
        <f>IF(OR($A379="",J379="",$C379=""),"",IF(COUNTIFS($A$5:$A$639,$A379,$C$5:$C$639,$C379-1,$D$5:$D$639,$D379,J$5:J$639,"&lt;&gt;")=0,"",IF(OR(SUMIFS(J$5:J$639,$A$5:$A$639,$A379,$C$5:$C$639,$C379-1,$D$5:$D$639,$D379)=0,J379*SUMIFS(J$5:J$639,$A$5:$A$639,$A379,$C$5:$C$639,$C379-1,$D$5:$D$639,$D379)&lt;0),"n.s.",ABS(J379)/ABS(SUMIFS(J$5:J$639,$A$5:$A$639,$A379,$C$5:$C$639,$C379-1,$D$5:$D$639,$D379))-1)))</f>
        <v/>
      </c>
      <c r="S379" s="16">
        <f>IF(OR($A379="",K379="",$C379=""),"",IF(COUNTIFS($A$5:$A$639,$A379,$C$5:$C$639,$C379-1,$D$5:$D$639,$D379,K$5:K$639,"&lt;&gt;")=0,"",IF(OR(SUMIFS(K$5:K$639,$A$5:$A$639,$A379,$C$5:$C$639,$C379-1,$D$5:$D$639,$D379)=0,K379*SUMIFS(K$5:K$639,$A$5:$A$639,$A379,$C$5:$C$639,$C379-1,$D$5:$D$639,$D379)&lt;0),"n.s.",ABS(K379)/ABS(SUMIFS(K$5:K$639,$A$5:$A$639,$A379,$C$5:$C$639,$C379-1,$D$5:$D$639,$D379))-1)))</f>
        <v/>
      </c>
      <c r="T379" s="16">
        <f>IF(OR($A379="",L379="",$C379=""),"",IF(COUNTIFS($A$5:$A$639,$A379,$C$5:$C$639,$C379-1,$D$5:$D$639,$D379,L$5:L$639,"&lt;&gt;")=0,"",IF(OR(SUMIFS(L$5:L$639,$A$5:$A$639,$A379,$C$5:$C$639,$C379-1,$D$5:$D$639,$D379)=0,L379*SUMIFS(L$5:L$639,$A$5:$A$639,$A379,$C$5:$C$639,$C379-1,$D$5:$D$639,$D379)&lt;0),"n.s.",ABS(L379)/ABS(SUMIFS(L$5:L$639,$A$5:$A$639,$A379,$C$5:$C$639,$C379-1,$D$5:$D$639,$D379))-1)))</f>
        <v/>
      </c>
      <c r="U379" s="16">
        <f>IF(OR($A379="",M379="",$C379=""),"",IF(COUNTIFS($A$5:$A$639,$A379,$C$5:$C$639,$C379-1,$D$5:$D$639,$D379,M$5:M$639,"&lt;&gt;")=0,"",IF(OR(SUMIFS(M$5:M$639,$A$5:$A$639,$A379,$C$5:$C$639,$C379-1,$D$5:$D$639,$D379)=0,M379*SUMIFS(M$5:M$639,$A$5:$A$639,$A379,$C$5:$C$639,$C379-1,$D$5:$D$639,$D379)&lt;0),"n.s.",ABS(M379)/ABS(SUMIFS(M$5:M$639,$A$5:$A$639,$A379,$C$5:$C$639,$C379-1,$D$5:$D$639,$D379))-1)))</f>
        <v/>
      </c>
    </row>
    <row r="380">
      <c r="A380" s="9" t="inlineStr">
        <is>
          <t>SIVC</t>
        </is>
      </c>
      <c r="B380" s="10">
        <f>IF(A380="","",IFERROR(VLOOKUP(A380,Titres!$A$2:$B$400,2,FALSE),"Ticker inconnu"))</f>
        <v/>
      </c>
      <c r="C380" s="11" t="n">
        <v>2026</v>
      </c>
      <c r="D380" s="11" t="inlineStr">
        <is>
          <t>T1</t>
        </is>
      </c>
      <c r="E380" s="9" t="n"/>
      <c r="F380" s="12" t="n"/>
      <c r="G380" s="9" t="n"/>
      <c r="H380" s="13" t="n"/>
      <c r="I380" s="13" t="n"/>
      <c r="J380" s="13" t="n"/>
      <c r="K380" s="13" t="n"/>
      <c r="L380" s="13" t="n"/>
      <c r="M380" s="13" t="n"/>
      <c r="N380" s="14">
        <f>IF(A380="","",COUNT(H380:M380)/6)</f>
        <v/>
      </c>
      <c r="O380" s="15">
        <f>IF(COUNT(H380:M380)=0,"",IF(LEN(IF(COUNT(I380,J380)=2,IF(J380&gt;I380+1,"EBE &gt; VA ",""),"")&amp;IF(COUNT(H380,M380)=2,IF(ABS(M380)&gt;ABS(H380),"RN &gt; CA ",""),"")&amp;IF(COUNT(H380,K380)=2,IF(ABS(K380)&gt;ABS(H380),"RE &gt; CA ",""),""))=0,"OK",IF(COUNT(I380,J380)=2,IF(J380&gt;I380+1,"EBE &gt; VA ",""),"")&amp;IF(COUNT(H380,M380)=2,IF(ABS(M380)&gt;ABS(H380),"RN &gt; CA ",""),"")&amp;IF(COUNT(H380,K380)=2,IF(ABS(K380)&gt;ABS(H380),"RE &gt; CA ",""),"")))</f>
        <v/>
      </c>
      <c r="P380" s="16">
        <f>IF(OR($A380="",H380="",$C380=""),"",IF(COUNTIFS($A$5:$A$639,$A380,$C$5:$C$639,$C380-1,$D$5:$D$639,$D380,H$5:H$639,"&lt;&gt;")=0,"",IF(OR(SUMIFS(H$5:H$639,$A$5:$A$639,$A380,$C$5:$C$639,$C380-1,$D$5:$D$639,$D380)=0,H380*SUMIFS(H$5:H$639,$A$5:$A$639,$A380,$C$5:$C$639,$C380-1,$D$5:$D$639,$D380)&lt;0),"n.s.",ABS(H380)/ABS(SUMIFS(H$5:H$639,$A$5:$A$639,$A380,$C$5:$C$639,$C380-1,$D$5:$D$639,$D380))-1)))</f>
        <v/>
      </c>
      <c r="Q380" s="16">
        <f>IF(OR($A380="",I380="",$C380=""),"",IF(COUNTIFS($A$5:$A$639,$A380,$C$5:$C$639,$C380-1,$D$5:$D$639,$D380,I$5:I$639,"&lt;&gt;")=0,"",IF(OR(SUMIFS(I$5:I$639,$A$5:$A$639,$A380,$C$5:$C$639,$C380-1,$D$5:$D$639,$D380)=0,I380*SUMIFS(I$5:I$639,$A$5:$A$639,$A380,$C$5:$C$639,$C380-1,$D$5:$D$639,$D380)&lt;0),"n.s.",ABS(I380)/ABS(SUMIFS(I$5:I$639,$A$5:$A$639,$A380,$C$5:$C$639,$C380-1,$D$5:$D$639,$D380))-1)))</f>
        <v/>
      </c>
      <c r="R380" s="16">
        <f>IF(OR($A380="",J380="",$C380=""),"",IF(COUNTIFS($A$5:$A$639,$A380,$C$5:$C$639,$C380-1,$D$5:$D$639,$D380,J$5:J$639,"&lt;&gt;")=0,"",IF(OR(SUMIFS(J$5:J$639,$A$5:$A$639,$A380,$C$5:$C$639,$C380-1,$D$5:$D$639,$D380)=0,J380*SUMIFS(J$5:J$639,$A$5:$A$639,$A380,$C$5:$C$639,$C380-1,$D$5:$D$639,$D380)&lt;0),"n.s.",ABS(J380)/ABS(SUMIFS(J$5:J$639,$A$5:$A$639,$A380,$C$5:$C$639,$C380-1,$D$5:$D$639,$D380))-1)))</f>
        <v/>
      </c>
      <c r="S380" s="16">
        <f>IF(OR($A380="",K380="",$C380=""),"",IF(COUNTIFS($A$5:$A$639,$A380,$C$5:$C$639,$C380-1,$D$5:$D$639,$D380,K$5:K$639,"&lt;&gt;")=0,"",IF(OR(SUMIFS(K$5:K$639,$A$5:$A$639,$A380,$C$5:$C$639,$C380-1,$D$5:$D$639,$D380)=0,K380*SUMIFS(K$5:K$639,$A$5:$A$639,$A380,$C$5:$C$639,$C380-1,$D$5:$D$639,$D380)&lt;0),"n.s.",ABS(K380)/ABS(SUMIFS(K$5:K$639,$A$5:$A$639,$A380,$C$5:$C$639,$C380-1,$D$5:$D$639,$D380))-1)))</f>
        <v/>
      </c>
      <c r="T380" s="16">
        <f>IF(OR($A380="",L380="",$C380=""),"",IF(COUNTIFS($A$5:$A$639,$A380,$C$5:$C$639,$C380-1,$D$5:$D$639,$D380,L$5:L$639,"&lt;&gt;")=0,"",IF(OR(SUMIFS(L$5:L$639,$A$5:$A$639,$A380,$C$5:$C$639,$C380-1,$D$5:$D$639,$D380)=0,L380*SUMIFS(L$5:L$639,$A$5:$A$639,$A380,$C$5:$C$639,$C380-1,$D$5:$D$639,$D380)&lt;0),"n.s.",ABS(L380)/ABS(SUMIFS(L$5:L$639,$A$5:$A$639,$A380,$C$5:$C$639,$C380-1,$D$5:$D$639,$D380))-1)))</f>
        <v/>
      </c>
      <c r="U380" s="16">
        <f>IF(OR($A380="",M380="",$C380=""),"",IF(COUNTIFS($A$5:$A$639,$A380,$C$5:$C$639,$C380-1,$D$5:$D$639,$D380,M$5:M$639,"&lt;&gt;")=0,"",IF(OR(SUMIFS(M$5:M$639,$A$5:$A$639,$A380,$C$5:$C$639,$C380-1,$D$5:$D$639,$D380)=0,M380*SUMIFS(M$5:M$639,$A$5:$A$639,$A380,$C$5:$C$639,$C380-1,$D$5:$D$639,$D380)&lt;0),"n.s.",ABS(M380)/ABS(SUMIFS(M$5:M$639,$A$5:$A$639,$A380,$C$5:$C$639,$C380-1,$D$5:$D$639,$D380))-1)))</f>
        <v/>
      </c>
    </row>
    <row r="381">
      <c r="A381" s="9" t="inlineStr">
        <is>
          <t>SIVC</t>
        </is>
      </c>
      <c r="B381" s="10">
        <f>IF(A381="","",IFERROR(VLOOKUP(A381,Titres!$A$2:$B$400,2,FALSE),"Ticker inconnu"))</f>
        <v/>
      </c>
      <c r="C381" s="11" t="n">
        <v>2026</v>
      </c>
      <c r="D381" s="11" t="inlineStr">
        <is>
          <t>S1</t>
        </is>
      </c>
      <c r="E381" s="9" t="n"/>
      <c r="F381" s="12" t="n"/>
      <c r="G381" s="9" t="n"/>
      <c r="H381" s="13" t="n"/>
      <c r="I381" s="13" t="n"/>
      <c r="J381" s="13" t="n"/>
      <c r="K381" s="13" t="n"/>
      <c r="L381" s="13" t="n"/>
      <c r="M381" s="13" t="n"/>
      <c r="N381" s="14">
        <f>IF(A381="","",COUNT(H381:M381)/6)</f>
        <v/>
      </c>
      <c r="O381" s="15">
        <f>IF(COUNT(H381:M381)=0,"",IF(LEN(IF(COUNT(I381,J381)=2,IF(J381&gt;I381+1,"EBE &gt; VA ",""),"")&amp;IF(COUNT(H381,M381)=2,IF(ABS(M381)&gt;ABS(H381),"RN &gt; CA ",""),"")&amp;IF(COUNT(H381,K381)=2,IF(ABS(K381)&gt;ABS(H381),"RE &gt; CA ",""),""))=0,"OK",IF(COUNT(I381,J381)=2,IF(J381&gt;I381+1,"EBE &gt; VA ",""),"")&amp;IF(COUNT(H381,M381)=2,IF(ABS(M381)&gt;ABS(H381),"RN &gt; CA ",""),"")&amp;IF(COUNT(H381,K381)=2,IF(ABS(K381)&gt;ABS(H381),"RE &gt; CA ",""),"")))</f>
        <v/>
      </c>
      <c r="P381" s="16">
        <f>IF(OR($A381="",H381="",$C381=""),"",IF(COUNTIFS($A$5:$A$639,$A381,$C$5:$C$639,$C381-1,$D$5:$D$639,$D381,H$5:H$639,"&lt;&gt;")=0,"",IF(OR(SUMIFS(H$5:H$639,$A$5:$A$639,$A381,$C$5:$C$639,$C381-1,$D$5:$D$639,$D381)=0,H381*SUMIFS(H$5:H$639,$A$5:$A$639,$A381,$C$5:$C$639,$C381-1,$D$5:$D$639,$D381)&lt;0),"n.s.",ABS(H381)/ABS(SUMIFS(H$5:H$639,$A$5:$A$639,$A381,$C$5:$C$639,$C381-1,$D$5:$D$639,$D381))-1)))</f>
        <v/>
      </c>
      <c r="Q381" s="16">
        <f>IF(OR($A381="",I381="",$C381=""),"",IF(COUNTIFS($A$5:$A$639,$A381,$C$5:$C$639,$C381-1,$D$5:$D$639,$D381,I$5:I$639,"&lt;&gt;")=0,"",IF(OR(SUMIFS(I$5:I$639,$A$5:$A$639,$A381,$C$5:$C$639,$C381-1,$D$5:$D$639,$D381)=0,I381*SUMIFS(I$5:I$639,$A$5:$A$639,$A381,$C$5:$C$639,$C381-1,$D$5:$D$639,$D381)&lt;0),"n.s.",ABS(I381)/ABS(SUMIFS(I$5:I$639,$A$5:$A$639,$A381,$C$5:$C$639,$C381-1,$D$5:$D$639,$D381))-1)))</f>
        <v/>
      </c>
      <c r="R381" s="16">
        <f>IF(OR($A381="",J381="",$C381=""),"",IF(COUNTIFS($A$5:$A$639,$A381,$C$5:$C$639,$C381-1,$D$5:$D$639,$D381,J$5:J$639,"&lt;&gt;")=0,"",IF(OR(SUMIFS(J$5:J$639,$A$5:$A$639,$A381,$C$5:$C$639,$C381-1,$D$5:$D$639,$D381)=0,J381*SUMIFS(J$5:J$639,$A$5:$A$639,$A381,$C$5:$C$639,$C381-1,$D$5:$D$639,$D381)&lt;0),"n.s.",ABS(J381)/ABS(SUMIFS(J$5:J$639,$A$5:$A$639,$A381,$C$5:$C$639,$C381-1,$D$5:$D$639,$D381))-1)))</f>
        <v/>
      </c>
      <c r="S381" s="16">
        <f>IF(OR($A381="",K381="",$C381=""),"",IF(COUNTIFS($A$5:$A$639,$A381,$C$5:$C$639,$C381-1,$D$5:$D$639,$D381,K$5:K$639,"&lt;&gt;")=0,"",IF(OR(SUMIFS(K$5:K$639,$A$5:$A$639,$A381,$C$5:$C$639,$C381-1,$D$5:$D$639,$D381)=0,K381*SUMIFS(K$5:K$639,$A$5:$A$639,$A381,$C$5:$C$639,$C381-1,$D$5:$D$639,$D381)&lt;0),"n.s.",ABS(K381)/ABS(SUMIFS(K$5:K$639,$A$5:$A$639,$A381,$C$5:$C$639,$C381-1,$D$5:$D$639,$D381))-1)))</f>
        <v/>
      </c>
      <c r="T381" s="16">
        <f>IF(OR($A381="",L381="",$C381=""),"",IF(COUNTIFS($A$5:$A$639,$A381,$C$5:$C$639,$C381-1,$D$5:$D$639,$D381,L$5:L$639,"&lt;&gt;")=0,"",IF(OR(SUMIFS(L$5:L$639,$A$5:$A$639,$A381,$C$5:$C$639,$C381-1,$D$5:$D$639,$D381)=0,L381*SUMIFS(L$5:L$639,$A$5:$A$639,$A381,$C$5:$C$639,$C381-1,$D$5:$D$639,$D381)&lt;0),"n.s.",ABS(L381)/ABS(SUMIFS(L$5:L$639,$A$5:$A$639,$A381,$C$5:$C$639,$C381-1,$D$5:$D$639,$D381))-1)))</f>
        <v/>
      </c>
      <c r="U381" s="16">
        <f>IF(OR($A381="",M381="",$C381=""),"",IF(COUNTIFS($A$5:$A$639,$A381,$C$5:$C$639,$C381-1,$D$5:$D$639,$D381,M$5:M$639,"&lt;&gt;")=0,"",IF(OR(SUMIFS(M$5:M$639,$A$5:$A$639,$A381,$C$5:$C$639,$C381-1,$D$5:$D$639,$D381)=0,M381*SUMIFS(M$5:M$639,$A$5:$A$639,$A381,$C$5:$C$639,$C381-1,$D$5:$D$639,$D381)&lt;0),"n.s.",ABS(M381)/ABS(SUMIFS(M$5:M$639,$A$5:$A$639,$A381,$C$5:$C$639,$C381-1,$D$5:$D$639,$D381))-1)))</f>
        <v/>
      </c>
    </row>
    <row r="382">
      <c r="A382" s="9" t="inlineStr">
        <is>
          <t>SIVC</t>
        </is>
      </c>
      <c r="B382" s="10">
        <f>IF(A382="","",IFERROR(VLOOKUP(A382,Titres!$A$2:$B$400,2,FALSE),"Ticker inconnu"))</f>
        <v/>
      </c>
      <c r="C382" s="11" t="n">
        <v>2026</v>
      </c>
      <c r="D382" s="11" t="inlineStr">
        <is>
          <t>T3</t>
        </is>
      </c>
      <c r="E382" s="9" t="n"/>
      <c r="F382" s="12" t="n"/>
      <c r="G382" s="9" t="n"/>
      <c r="H382" s="13" t="n"/>
      <c r="I382" s="13" t="n"/>
      <c r="J382" s="13" t="n"/>
      <c r="K382" s="13" t="n"/>
      <c r="L382" s="13" t="n"/>
      <c r="M382" s="13" t="n"/>
      <c r="N382" s="14">
        <f>IF(A382="","",COUNT(H382:M382)/6)</f>
        <v/>
      </c>
      <c r="O382" s="15">
        <f>IF(COUNT(H382:M382)=0,"",IF(LEN(IF(COUNT(I382,J382)=2,IF(J382&gt;I382+1,"EBE &gt; VA ",""),"")&amp;IF(COUNT(H382,M382)=2,IF(ABS(M382)&gt;ABS(H382),"RN &gt; CA ",""),"")&amp;IF(COUNT(H382,K382)=2,IF(ABS(K382)&gt;ABS(H382),"RE &gt; CA ",""),""))=0,"OK",IF(COUNT(I382,J382)=2,IF(J382&gt;I382+1,"EBE &gt; VA ",""),"")&amp;IF(COUNT(H382,M382)=2,IF(ABS(M382)&gt;ABS(H382),"RN &gt; CA ",""),"")&amp;IF(COUNT(H382,K382)=2,IF(ABS(K382)&gt;ABS(H382),"RE &gt; CA ",""),"")))</f>
        <v/>
      </c>
      <c r="P382" s="16">
        <f>IF(OR($A382="",H382="",$C382=""),"",IF(COUNTIFS($A$5:$A$639,$A382,$C$5:$C$639,$C382-1,$D$5:$D$639,$D382,H$5:H$639,"&lt;&gt;")=0,"",IF(OR(SUMIFS(H$5:H$639,$A$5:$A$639,$A382,$C$5:$C$639,$C382-1,$D$5:$D$639,$D382)=0,H382*SUMIFS(H$5:H$639,$A$5:$A$639,$A382,$C$5:$C$639,$C382-1,$D$5:$D$639,$D382)&lt;0),"n.s.",ABS(H382)/ABS(SUMIFS(H$5:H$639,$A$5:$A$639,$A382,$C$5:$C$639,$C382-1,$D$5:$D$639,$D382))-1)))</f>
        <v/>
      </c>
      <c r="Q382" s="16">
        <f>IF(OR($A382="",I382="",$C382=""),"",IF(COUNTIFS($A$5:$A$639,$A382,$C$5:$C$639,$C382-1,$D$5:$D$639,$D382,I$5:I$639,"&lt;&gt;")=0,"",IF(OR(SUMIFS(I$5:I$639,$A$5:$A$639,$A382,$C$5:$C$639,$C382-1,$D$5:$D$639,$D382)=0,I382*SUMIFS(I$5:I$639,$A$5:$A$639,$A382,$C$5:$C$639,$C382-1,$D$5:$D$639,$D382)&lt;0),"n.s.",ABS(I382)/ABS(SUMIFS(I$5:I$639,$A$5:$A$639,$A382,$C$5:$C$639,$C382-1,$D$5:$D$639,$D382))-1)))</f>
        <v/>
      </c>
      <c r="R382" s="16">
        <f>IF(OR($A382="",J382="",$C382=""),"",IF(COUNTIFS($A$5:$A$639,$A382,$C$5:$C$639,$C382-1,$D$5:$D$639,$D382,J$5:J$639,"&lt;&gt;")=0,"",IF(OR(SUMIFS(J$5:J$639,$A$5:$A$639,$A382,$C$5:$C$639,$C382-1,$D$5:$D$639,$D382)=0,J382*SUMIFS(J$5:J$639,$A$5:$A$639,$A382,$C$5:$C$639,$C382-1,$D$5:$D$639,$D382)&lt;0),"n.s.",ABS(J382)/ABS(SUMIFS(J$5:J$639,$A$5:$A$639,$A382,$C$5:$C$639,$C382-1,$D$5:$D$639,$D382))-1)))</f>
        <v/>
      </c>
      <c r="S382" s="16">
        <f>IF(OR($A382="",K382="",$C382=""),"",IF(COUNTIFS($A$5:$A$639,$A382,$C$5:$C$639,$C382-1,$D$5:$D$639,$D382,K$5:K$639,"&lt;&gt;")=0,"",IF(OR(SUMIFS(K$5:K$639,$A$5:$A$639,$A382,$C$5:$C$639,$C382-1,$D$5:$D$639,$D382)=0,K382*SUMIFS(K$5:K$639,$A$5:$A$639,$A382,$C$5:$C$639,$C382-1,$D$5:$D$639,$D382)&lt;0),"n.s.",ABS(K382)/ABS(SUMIFS(K$5:K$639,$A$5:$A$639,$A382,$C$5:$C$639,$C382-1,$D$5:$D$639,$D382))-1)))</f>
        <v/>
      </c>
      <c r="T382" s="16">
        <f>IF(OR($A382="",L382="",$C382=""),"",IF(COUNTIFS($A$5:$A$639,$A382,$C$5:$C$639,$C382-1,$D$5:$D$639,$D382,L$5:L$639,"&lt;&gt;")=0,"",IF(OR(SUMIFS(L$5:L$639,$A$5:$A$639,$A382,$C$5:$C$639,$C382-1,$D$5:$D$639,$D382)=0,L382*SUMIFS(L$5:L$639,$A$5:$A$639,$A382,$C$5:$C$639,$C382-1,$D$5:$D$639,$D382)&lt;0),"n.s.",ABS(L382)/ABS(SUMIFS(L$5:L$639,$A$5:$A$639,$A382,$C$5:$C$639,$C382-1,$D$5:$D$639,$D382))-1)))</f>
        <v/>
      </c>
      <c r="U382" s="16">
        <f>IF(OR($A382="",M382="",$C382=""),"",IF(COUNTIFS($A$5:$A$639,$A382,$C$5:$C$639,$C382-1,$D$5:$D$639,$D382,M$5:M$639,"&lt;&gt;")=0,"",IF(OR(SUMIFS(M$5:M$639,$A$5:$A$639,$A382,$C$5:$C$639,$C382-1,$D$5:$D$639,$D382)=0,M382*SUMIFS(M$5:M$639,$A$5:$A$639,$A382,$C$5:$C$639,$C382-1,$D$5:$D$639,$D382)&lt;0),"n.s.",ABS(M382)/ABS(SUMIFS(M$5:M$639,$A$5:$A$639,$A382,$C$5:$C$639,$C382-1,$D$5:$D$639,$D382))-1)))</f>
        <v/>
      </c>
    </row>
    <row r="383">
      <c r="A383" s="9" t="inlineStr">
        <is>
          <t>STAC</t>
        </is>
      </c>
      <c r="B383" s="10">
        <f>IF(A383="","",IFERROR(VLOOKUP(A383,Titres!$A$2:$B$400,2,FALSE),"Ticker inconnu"))</f>
        <v/>
      </c>
      <c r="C383" s="11" t="n">
        <v>2021</v>
      </c>
      <c r="D383" s="11" t="inlineStr">
        <is>
          <t>T1</t>
        </is>
      </c>
      <c r="E383" s="9" t="n"/>
      <c r="F383" s="12" t="n"/>
      <c r="G383" s="9" t="n"/>
      <c r="H383" s="13" t="n"/>
      <c r="I383" s="13" t="n"/>
      <c r="J383" s="13" t="n"/>
      <c r="K383" s="13" t="n"/>
      <c r="L383" s="13" t="n"/>
      <c r="M383" s="13" t="n"/>
      <c r="N383" s="14">
        <f>IF(A383="","",COUNT(H383:M383)/6)</f>
        <v/>
      </c>
      <c r="O383" s="15">
        <f>IF(COUNT(H383:M383)=0,"",IF(LEN(IF(COUNT(I383,J383)=2,IF(J383&gt;I383+1,"EBE &gt; VA ",""),"")&amp;IF(COUNT(H383,M383)=2,IF(ABS(M383)&gt;ABS(H383),"RN &gt; CA ",""),"")&amp;IF(COUNT(H383,K383)=2,IF(ABS(K383)&gt;ABS(H383),"RE &gt; CA ",""),""))=0,"OK",IF(COUNT(I383,J383)=2,IF(J383&gt;I383+1,"EBE &gt; VA ",""),"")&amp;IF(COUNT(H383,M383)=2,IF(ABS(M383)&gt;ABS(H383),"RN &gt; CA ",""),"")&amp;IF(COUNT(H383,K383)=2,IF(ABS(K383)&gt;ABS(H383),"RE &gt; CA ",""),"")))</f>
        <v/>
      </c>
      <c r="P383" s="16">
        <f>IF(OR($A383="",H383="",$C383=""),"",IF(COUNTIFS($A$5:$A$639,$A383,$C$5:$C$639,$C383-1,$D$5:$D$639,$D383,H$5:H$639,"&lt;&gt;")=0,"",IF(OR(SUMIFS(H$5:H$639,$A$5:$A$639,$A383,$C$5:$C$639,$C383-1,$D$5:$D$639,$D383)=0,H383*SUMIFS(H$5:H$639,$A$5:$A$639,$A383,$C$5:$C$639,$C383-1,$D$5:$D$639,$D383)&lt;0),"n.s.",ABS(H383)/ABS(SUMIFS(H$5:H$639,$A$5:$A$639,$A383,$C$5:$C$639,$C383-1,$D$5:$D$639,$D383))-1)))</f>
        <v/>
      </c>
      <c r="Q383" s="16">
        <f>IF(OR($A383="",I383="",$C383=""),"",IF(COUNTIFS($A$5:$A$639,$A383,$C$5:$C$639,$C383-1,$D$5:$D$639,$D383,I$5:I$639,"&lt;&gt;")=0,"",IF(OR(SUMIFS(I$5:I$639,$A$5:$A$639,$A383,$C$5:$C$639,$C383-1,$D$5:$D$639,$D383)=0,I383*SUMIFS(I$5:I$639,$A$5:$A$639,$A383,$C$5:$C$639,$C383-1,$D$5:$D$639,$D383)&lt;0),"n.s.",ABS(I383)/ABS(SUMIFS(I$5:I$639,$A$5:$A$639,$A383,$C$5:$C$639,$C383-1,$D$5:$D$639,$D383))-1)))</f>
        <v/>
      </c>
      <c r="R383" s="16">
        <f>IF(OR($A383="",J383="",$C383=""),"",IF(COUNTIFS($A$5:$A$639,$A383,$C$5:$C$639,$C383-1,$D$5:$D$639,$D383,J$5:J$639,"&lt;&gt;")=0,"",IF(OR(SUMIFS(J$5:J$639,$A$5:$A$639,$A383,$C$5:$C$639,$C383-1,$D$5:$D$639,$D383)=0,J383*SUMIFS(J$5:J$639,$A$5:$A$639,$A383,$C$5:$C$639,$C383-1,$D$5:$D$639,$D383)&lt;0),"n.s.",ABS(J383)/ABS(SUMIFS(J$5:J$639,$A$5:$A$639,$A383,$C$5:$C$639,$C383-1,$D$5:$D$639,$D383))-1)))</f>
        <v/>
      </c>
      <c r="S383" s="16">
        <f>IF(OR($A383="",K383="",$C383=""),"",IF(COUNTIFS($A$5:$A$639,$A383,$C$5:$C$639,$C383-1,$D$5:$D$639,$D383,K$5:K$639,"&lt;&gt;")=0,"",IF(OR(SUMIFS(K$5:K$639,$A$5:$A$639,$A383,$C$5:$C$639,$C383-1,$D$5:$D$639,$D383)=0,K383*SUMIFS(K$5:K$639,$A$5:$A$639,$A383,$C$5:$C$639,$C383-1,$D$5:$D$639,$D383)&lt;0),"n.s.",ABS(K383)/ABS(SUMIFS(K$5:K$639,$A$5:$A$639,$A383,$C$5:$C$639,$C383-1,$D$5:$D$639,$D383))-1)))</f>
        <v/>
      </c>
      <c r="T383" s="16">
        <f>IF(OR($A383="",L383="",$C383=""),"",IF(COUNTIFS($A$5:$A$639,$A383,$C$5:$C$639,$C383-1,$D$5:$D$639,$D383,L$5:L$639,"&lt;&gt;")=0,"",IF(OR(SUMIFS(L$5:L$639,$A$5:$A$639,$A383,$C$5:$C$639,$C383-1,$D$5:$D$639,$D383)=0,L383*SUMIFS(L$5:L$639,$A$5:$A$639,$A383,$C$5:$C$639,$C383-1,$D$5:$D$639,$D383)&lt;0),"n.s.",ABS(L383)/ABS(SUMIFS(L$5:L$639,$A$5:$A$639,$A383,$C$5:$C$639,$C383-1,$D$5:$D$639,$D383))-1)))</f>
        <v/>
      </c>
      <c r="U383" s="16">
        <f>IF(OR($A383="",M383="",$C383=""),"",IF(COUNTIFS($A$5:$A$639,$A383,$C$5:$C$639,$C383-1,$D$5:$D$639,$D383,M$5:M$639,"&lt;&gt;")=0,"",IF(OR(SUMIFS(M$5:M$639,$A$5:$A$639,$A383,$C$5:$C$639,$C383-1,$D$5:$D$639,$D383)=0,M383*SUMIFS(M$5:M$639,$A$5:$A$639,$A383,$C$5:$C$639,$C383-1,$D$5:$D$639,$D383)&lt;0),"n.s.",ABS(M383)/ABS(SUMIFS(M$5:M$639,$A$5:$A$639,$A383,$C$5:$C$639,$C383-1,$D$5:$D$639,$D383))-1)))</f>
        <v/>
      </c>
    </row>
    <row r="384">
      <c r="A384" s="9" t="inlineStr">
        <is>
          <t>STAC</t>
        </is>
      </c>
      <c r="B384" s="10">
        <f>IF(A384="","",IFERROR(VLOOKUP(A384,Titres!$A$2:$B$400,2,FALSE),"Ticker inconnu"))</f>
        <v/>
      </c>
      <c r="C384" s="11" t="n">
        <v>2021</v>
      </c>
      <c r="D384" s="11" t="inlineStr">
        <is>
          <t>S1</t>
        </is>
      </c>
      <c r="E384" s="9" t="n"/>
      <c r="F384" s="12" t="n"/>
      <c r="G384" s="9" t="n"/>
      <c r="H384" s="13" t="n"/>
      <c r="I384" s="13" t="n"/>
      <c r="J384" s="13" t="n"/>
      <c r="K384" s="13" t="n"/>
      <c r="L384" s="13" t="n"/>
      <c r="M384" s="13" t="n"/>
      <c r="N384" s="14">
        <f>IF(A384="","",COUNT(H384:M384)/6)</f>
        <v/>
      </c>
      <c r="O384" s="15">
        <f>IF(COUNT(H384:M384)=0,"",IF(LEN(IF(COUNT(I384,J384)=2,IF(J384&gt;I384+1,"EBE &gt; VA ",""),"")&amp;IF(COUNT(H384,M384)=2,IF(ABS(M384)&gt;ABS(H384),"RN &gt; CA ",""),"")&amp;IF(COUNT(H384,K384)=2,IF(ABS(K384)&gt;ABS(H384),"RE &gt; CA ",""),""))=0,"OK",IF(COUNT(I384,J384)=2,IF(J384&gt;I384+1,"EBE &gt; VA ",""),"")&amp;IF(COUNT(H384,M384)=2,IF(ABS(M384)&gt;ABS(H384),"RN &gt; CA ",""),"")&amp;IF(COUNT(H384,K384)=2,IF(ABS(K384)&gt;ABS(H384),"RE &gt; CA ",""),"")))</f>
        <v/>
      </c>
      <c r="P384" s="16">
        <f>IF(OR($A384="",H384="",$C384=""),"",IF(COUNTIFS($A$5:$A$639,$A384,$C$5:$C$639,$C384-1,$D$5:$D$639,$D384,H$5:H$639,"&lt;&gt;")=0,"",IF(OR(SUMIFS(H$5:H$639,$A$5:$A$639,$A384,$C$5:$C$639,$C384-1,$D$5:$D$639,$D384)=0,H384*SUMIFS(H$5:H$639,$A$5:$A$639,$A384,$C$5:$C$639,$C384-1,$D$5:$D$639,$D384)&lt;0),"n.s.",ABS(H384)/ABS(SUMIFS(H$5:H$639,$A$5:$A$639,$A384,$C$5:$C$639,$C384-1,$D$5:$D$639,$D384))-1)))</f>
        <v/>
      </c>
      <c r="Q384" s="16">
        <f>IF(OR($A384="",I384="",$C384=""),"",IF(COUNTIFS($A$5:$A$639,$A384,$C$5:$C$639,$C384-1,$D$5:$D$639,$D384,I$5:I$639,"&lt;&gt;")=0,"",IF(OR(SUMIFS(I$5:I$639,$A$5:$A$639,$A384,$C$5:$C$639,$C384-1,$D$5:$D$639,$D384)=0,I384*SUMIFS(I$5:I$639,$A$5:$A$639,$A384,$C$5:$C$639,$C384-1,$D$5:$D$639,$D384)&lt;0),"n.s.",ABS(I384)/ABS(SUMIFS(I$5:I$639,$A$5:$A$639,$A384,$C$5:$C$639,$C384-1,$D$5:$D$639,$D384))-1)))</f>
        <v/>
      </c>
      <c r="R384" s="16">
        <f>IF(OR($A384="",J384="",$C384=""),"",IF(COUNTIFS($A$5:$A$639,$A384,$C$5:$C$639,$C384-1,$D$5:$D$639,$D384,J$5:J$639,"&lt;&gt;")=0,"",IF(OR(SUMIFS(J$5:J$639,$A$5:$A$639,$A384,$C$5:$C$639,$C384-1,$D$5:$D$639,$D384)=0,J384*SUMIFS(J$5:J$639,$A$5:$A$639,$A384,$C$5:$C$639,$C384-1,$D$5:$D$639,$D384)&lt;0),"n.s.",ABS(J384)/ABS(SUMIFS(J$5:J$639,$A$5:$A$639,$A384,$C$5:$C$639,$C384-1,$D$5:$D$639,$D384))-1)))</f>
        <v/>
      </c>
      <c r="S384" s="16">
        <f>IF(OR($A384="",K384="",$C384=""),"",IF(COUNTIFS($A$5:$A$639,$A384,$C$5:$C$639,$C384-1,$D$5:$D$639,$D384,K$5:K$639,"&lt;&gt;")=0,"",IF(OR(SUMIFS(K$5:K$639,$A$5:$A$639,$A384,$C$5:$C$639,$C384-1,$D$5:$D$639,$D384)=0,K384*SUMIFS(K$5:K$639,$A$5:$A$639,$A384,$C$5:$C$639,$C384-1,$D$5:$D$639,$D384)&lt;0),"n.s.",ABS(K384)/ABS(SUMIFS(K$5:K$639,$A$5:$A$639,$A384,$C$5:$C$639,$C384-1,$D$5:$D$639,$D384))-1)))</f>
        <v/>
      </c>
      <c r="T384" s="16">
        <f>IF(OR($A384="",L384="",$C384=""),"",IF(COUNTIFS($A$5:$A$639,$A384,$C$5:$C$639,$C384-1,$D$5:$D$639,$D384,L$5:L$639,"&lt;&gt;")=0,"",IF(OR(SUMIFS(L$5:L$639,$A$5:$A$639,$A384,$C$5:$C$639,$C384-1,$D$5:$D$639,$D384)=0,L384*SUMIFS(L$5:L$639,$A$5:$A$639,$A384,$C$5:$C$639,$C384-1,$D$5:$D$639,$D384)&lt;0),"n.s.",ABS(L384)/ABS(SUMIFS(L$5:L$639,$A$5:$A$639,$A384,$C$5:$C$639,$C384-1,$D$5:$D$639,$D384))-1)))</f>
        <v/>
      </c>
      <c r="U384" s="16">
        <f>IF(OR($A384="",M384="",$C384=""),"",IF(COUNTIFS($A$5:$A$639,$A384,$C$5:$C$639,$C384-1,$D$5:$D$639,$D384,M$5:M$639,"&lt;&gt;")=0,"",IF(OR(SUMIFS(M$5:M$639,$A$5:$A$639,$A384,$C$5:$C$639,$C384-1,$D$5:$D$639,$D384)=0,M384*SUMIFS(M$5:M$639,$A$5:$A$639,$A384,$C$5:$C$639,$C384-1,$D$5:$D$639,$D384)&lt;0),"n.s.",ABS(M384)/ABS(SUMIFS(M$5:M$639,$A$5:$A$639,$A384,$C$5:$C$639,$C384-1,$D$5:$D$639,$D384))-1)))</f>
        <v/>
      </c>
    </row>
    <row r="385">
      <c r="A385" s="9" t="inlineStr">
        <is>
          <t>STAC</t>
        </is>
      </c>
      <c r="B385" s="10">
        <f>IF(A385="","",IFERROR(VLOOKUP(A385,Titres!$A$2:$B$400,2,FALSE),"Ticker inconnu"))</f>
        <v/>
      </c>
      <c r="C385" s="11" t="n">
        <v>2021</v>
      </c>
      <c r="D385" s="11" t="inlineStr">
        <is>
          <t>T3</t>
        </is>
      </c>
      <c r="E385" s="9" t="n"/>
      <c r="F385" s="12" t="n"/>
      <c r="G385" s="9" t="n"/>
      <c r="H385" s="13" t="n"/>
      <c r="I385" s="13" t="n"/>
      <c r="J385" s="13" t="n"/>
      <c r="K385" s="13" t="n"/>
      <c r="L385" s="13" t="n"/>
      <c r="M385" s="13" t="n"/>
      <c r="N385" s="14">
        <f>IF(A385="","",COUNT(H385:M385)/6)</f>
        <v/>
      </c>
      <c r="O385" s="15">
        <f>IF(COUNT(H385:M385)=0,"",IF(LEN(IF(COUNT(I385,J385)=2,IF(J385&gt;I385+1,"EBE &gt; VA ",""),"")&amp;IF(COUNT(H385,M385)=2,IF(ABS(M385)&gt;ABS(H385),"RN &gt; CA ",""),"")&amp;IF(COUNT(H385,K385)=2,IF(ABS(K385)&gt;ABS(H385),"RE &gt; CA ",""),""))=0,"OK",IF(COUNT(I385,J385)=2,IF(J385&gt;I385+1,"EBE &gt; VA ",""),"")&amp;IF(COUNT(H385,M385)=2,IF(ABS(M385)&gt;ABS(H385),"RN &gt; CA ",""),"")&amp;IF(COUNT(H385,K385)=2,IF(ABS(K385)&gt;ABS(H385),"RE &gt; CA ",""),"")))</f>
        <v/>
      </c>
      <c r="P385" s="16">
        <f>IF(OR($A385="",H385="",$C385=""),"",IF(COUNTIFS($A$5:$A$639,$A385,$C$5:$C$639,$C385-1,$D$5:$D$639,$D385,H$5:H$639,"&lt;&gt;")=0,"",IF(OR(SUMIFS(H$5:H$639,$A$5:$A$639,$A385,$C$5:$C$639,$C385-1,$D$5:$D$639,$D385)=0,H385*SUMIFS(H$5:H$639,$A$5:$A$639,$A385,$C$5:$C$639,$C385-1,$D$5:$D$639,$D385)&lt;0),"n.s.",ABS(H385)/ABS(SUMIFS(H$5:H$639,$A$5:$A$639,$A385,$C$5:$C$639,$C385-1,$D$5:$D$639,$D385))-1)))</f>
        <v/>
      </c>
      <c r="Q385" s="16">
        <f>IF(OR($A385="",I385="",$C385=""),"",IF(COUNTIFS($A$5:$A$639,$A385,$C$5:$C$639,$C385-1,$D$5:$D$639,$D385,I$5:I$639,"&lt;&gt;")=0,"",IF(OR(SUMIFS(I$5:I$639,$A$5:$A$639,$A385,$C$5:$C$639,$C385-1,$D$5:$D$639,$D385)=0,I385*SUMIFS(I$5:I$639,$A$5:$A$639,$A385,$C$5:$C$639,$C385-1,$D$5:$D$639,$D385)&lt;0),"n.s.",ABS(I385)/ABS(SUMIFS(I$5:I$639,$A$5:$A$639,$A385,$C$5:$C$639,$C385-1,$D$5:$D$639,$D385))-1)))</f>
        <v/>
      </c>
      <c r="R385" s="16">
        <f>IF(OR($A385="",J385="",$C385=""),"",IF(COUNTIFS($A$5:$A$639,$A385,$C$5:$C$639,$C385-1,$D$5:$D$639,$D385,J$5:J$639,"&lt;&gt;")=0,"",IF(OR(SUMIFS(J$5:J$639,$A$5:$A$639,$A385,$C$5:$C$639,$C385-1,$D$5:$D$639,$D385)=0,J385*SUMIFS(J$5:J$639,$A$5:$A$639,$A385,$C$5:$C$639,$C385-1,$D$5:$D$639,$D385)&lt;0),"n.s.",ABS(J385)/ABS(SUMIFS(J$5:J$639,$A$5:$A$639,$A385,$C$5:$C$639,$C385-1,$D$5:$D$639,$D385))-1)))</f>
        <v/>
      </c>
      <c r="S385" s="16">
        <f>IF(OR($A385="",K385="",$C385=""),"",IF(COUNTIFS($A$5:$A$639,$A385,$C$5:$C$639,$C385-1,$D$5:$D$639,$D385,K$5:K$639,"&lt;&gt;")=0,"",IF(OR(SUMIFS(K$5:K$639,$A$5:$A$639,$A385,$C$5:$C$639,$C385-1,$D$5:$D$639,$D385)=0,K385*SUMIFS(K$5:K$639,$A$5:$A$639,$A385,$C$5:$C$639,$C385-1,$D$5:$D$639,$D385)&lt;0),"n.s.",ABS(K385)/ABS(SUMIFS(K$5:K$639,$A$5:$A$639,$A385,$C$5:$C$639,$C385-1,$D$5:$D$639,$D385))-1)))</f>
        <v/>
      </c>
      <c r="T385" s="16">
        <f>IF(OR($A385="",L385="",$C385=""),"",IF(COUNTIFS($A$5:$A$639,$A385,$C$5:$C$639,$C385-1,$D$5:$D$639,$D385,L$5:L$639,"&lt;&gt;")=0,"",IF(OR(SUMIFS(L$5:L$639,$A$5:$A$639,$A385,$C$5:$C$639,$C385-1,$D$5:$D$639,$D385)=0,L385*SUMIFS(L$5:L$639,$A$5:$A$639,$A385,$C$5:$C$639,$C385-1,$D$5:$D$639,$D385)&lt;0),"n.s.",ABS(L385)/ABS(SUMIFS(L$5:L$639,$A$5:$A$639,$A385,$C$5:$C$639,$C385-1,$D$5:$D$639,$D385))-1)))</f>
        <v/>
      </c>
      <c r="U385" s="16">
        <f>IF(OR($A385="",M385="",$C385=""),"",IF(COUNTIFS($A$5:$A$639,$A385,$C$5:$C$639,$C385-1,$D$5:$D$639,$D385,M$5:M$639,"&lt;&gt;")=0,"",IF(OR(SUMIFS(M$5:M$639,$A$5:$A$639,$A385,$C$5:$C$639,$C385-1,$D$5:$D$639,$D385)=0,M385*SUMIFS(M$5:M$639,$A$5:$A$639,$A385,$C$5:$C$639,$C385-1,$D$5:$D$639,$D385)&lt;0),"n.s.",ABS(M385)/ABS(SUMIFS(M$5:M$639,$A$5:$A$639,$A385,$C$5:$C$639,$C385-1,$D$5:$D$639,$D385))-1)))</f>
        <v/>
      </c>
    </row>
    <row r="386">
      <c r="A386" s="9" t="inlineStr">
        <is>
          <t>STAC</t>
        </is>
      </c>
      <c r="B386" s="10">
        <f>IF(A386="","",IFERROR(VLOOKUP(A386,Titres!$A$2:$B$400,2,FALSE),"Ticker inconnu"))</f>
        <v/>
      </c>
      <c r="C386" s="11" t="n">
        <v>2022</v>
      </c>
      <c r="D386" s="11" t="inlineStr">
        <is>
          <t>T1</t>
        </is>
      </c>
      <c r="E386" s="9" t="n"/>
      <c r="F386" s="12" t="n"/>
      <c r="G386" s="9" t="n"/>
      <c r="H386" s="13" t="n"/>
      <c r="I386" s="13" t="n"/>
      <c r="J386" s="13" t="n"/>
      <c r="K386" s="13" t="n"/>
      <c r="L386" s="13" t="n"/>
      <c r="M386" s="13" t="n"/>
      <c r="N386" s="14">
        <f>IF(A386="","",COUNT(H386:M386)/6)</f>
        <v/>
      </c>
      <c r="O386" s="15">
        <f>IF(COUNT(H386:M386)=0,"",IF(LEN(IF(COUNT(I386,J386)=2,IF(J386&gt;I386+1,"EBE &gt; VA ",""),"")&amp;IF(COUNT(H386,M386)=2,IF(ABS(M386)&gt;ABS(H386),"RN &gt; CA ",""),"")&amp;IF(COUNT(H386,K386)=2,IF(ABS(K386)&gt;ABS(H386),"RE &gt; CA ",""),""))=0,"OK",IF(COUNT(I386,J386)=2,IF(J386&gt;I386+1,"EBE &gt; VA ",""),"")&amp;IF(COUNT(H386,M386)=2,IF(ABS(M386)&gt;ABS(H386),"RN &gt; CA ",""),"")&amp;IF(COUNT(H386,K386)=2,IF(ABS(K386)&gt;ABS(H386),"RE &gt; CA ",""),"")))</f>
        <v/>
      </c>
      <c r="P386" s="16">
        <f>IF(OR($A386="",H386="",$C386=""),"",IF(COUNTIFS($A$5:$A$639,$A386,$C$5:$C$639,$C386-1,$D$5:$D$639,$D386,H$5:H$639,"&lt;&gt;")=0,"",IF(OR(SUMIFS(H$5:H$639,$A$5:$A$639,$A386,$C$5:$C$639,$C386-1,$D$5:$D$639,$D386)=0,H386*SUMIFS(H$5:H$639,$A$5:$A$639,$A386,$C$5:$C$639,$C386-1,$D$5:$D$639,$D386)&lt;0),"n.s.",ABS(H386)/ABS(SUMIFS(H$5:H$639,$A$5:$A$639,$A386,$C$5:$C$639,$C386-1,$D$5:$D$639,$D386))-1)))</f>
        <v/>
      </c>
      <c r="Q386" s="16">
        <f>IF(OR($A386="",I386="",$C386=""),"",IF(COUNTIFS($A$5:$A$639,$A386,$C$5:$C$639,$C386-1,$D$5:$D$639,$D386,I$5:I$639,"&lt;&gt;")=0,"",IF(OR(SUMIFS(I$5:I$639,$A$5:$A$639,$A386,$C$5:$C$639,$C386-1,$D$5:$D$639,$D386)=0,I386*SUMIFS(I$5:I$639,$A$5:$A$639,$A386,$C$5:$C$639,$C386-1,$D$5:$D$639,$D386)&lt;0),"n.s.",ABS(I386)/ABS(SUMIFS(I$5:I$639,$A$5:$A$639,$A386,$C$5:$C$639,$C386-1,$D$5:$D$639,$D386))-1)))</f>
        <v/>
      </c>
      <c r="R386" s="16">
        <f>IF(OR($A386="",J386="",$C386=""),"",IF(COUNTIFS($A$5:$A$639,$A386,$C$5:$C$639,$C386-1,$D$5:$D$639,$D386,J$5:J$639,"&lt;&gt;")=0,"",IF(OR(SUMIFS(J$5:J$639,$A$5:$A$639,$A386,$C$5:$C$639,$C386-1,$D$5:$D$639,$D386)=0,J386*SUMIFS(J$5:J$639,$A$5:$A$639,$A386,$C$5:$C$639,$C386-1,$D$5:$D$639,$D386)&lt;0),"n.s.",ABS(J386)/ABS(SUMIFS(J$5:J$639,$A$5:$A$639,$A386,$C$5:$C$639,$C386-1,$D$5:$D$639,$D386))-1)))</f>
        <v/>
      </c>
      <c r="S386" s="16">
        <f>IF(OR($A386="",K386="",$C386=""),"",IF(COUNTIFS($A$5:$A$639,$A386,$C$5:$C$639,$C386-1,$D$5:$D$639,$D386,K$5:K$639,"&lt;&gt;")=0,"",IF(OR(SUMIFS(K$5:K$639,$A$5:$A$639,$A386,$C$5:$C$639,$C386-1,$D$5:$D$639,$D386)=0,K386*SUMIFS(K$5:K$639,$A$5:$A$639,$A386,$C$5:$C$639,$C386-1,$D$5:$D$639,$D386)&lt;0),"n.s.",ABS(K386)/ABS(SUMIFS(K$5:K$639,$A$5:$A$639,$A386,$C$5:$C$639,$C386-1,$D$5:$D$639,$D386))-1)))</f>
        <v/>
      </c>
      <c r="T386" s="16">
        <f>IF(OR($A386="",L386="",$C386=""),"",IF(COUNTIFS($A$5:$A$639,$A386,$C$5:$C$639,$C386-1,$D$5:$D$639,$D386,L$5:L$639,"&lt;&gt;")=0,"",IF(OR(SUMIFS(L$5:L$639,$A$5:$A$639,$A386,$C$5:$C$639,$C386-1,$D$5:$D$639,$D386)=0,L386*SUMIFS(L$5:L$639,$A$5:$A$639,$A386,$C$5:$C$639,$C386-1,$D$5:$D$639,$D386)&lt;0),"n.s.",ABS(L386)/ABS(SUMIFS(L$5:L$639,$A$5:$A$639,$A386,$C$5:$C$639,$C386-1,$D$5:$D$639,$D386))-1)))</f>
        <v/>
      </c>
      <c r="U386" s="16">
        <f>IF(OR($A386="",M386="",$C386=""),"",IF(COUNTIFS($A$5:$A$639,$A386,$C$5:$C$639,$C386-1,$D$5:$D$639,$D386,M$5:M$639,"&lt;&gt;")=0,"",IF(OR(SUMIFS(M$5:M$639,$A$5:$A$639,$A386,$C$5:$C$639,$C386-1,$D$5:$D$639,$D386)=0,M386*SUMIFS(M$5:M$639,$A$5:$A$639,$A386,$C$5:$C$639,$C386-1,$D$5:$D$639,$D386)&lt;0),"n.s.",ABS(M386)/ABS(SUMIFS(M$5:M$639,$A$5:$A$639,$A386,$C$5:$C$639,$C386-1,$D$5:$D$639,$D386))-1)))</f>
        <v/>
      </c>
    </row>
    <row r="387">
      <c r="A387" s="9" t="inlineStr">
        <is>
          <t>STAC</t>
        </is>
      </c>
      <c r="B387" s="10">
        <f>IF(A387="","",IFERROR(VLOOKUP(A387,Titres!$A$2:$B$400,2,FALSE),"Ticker inconnu"))</f>
        <v/>
      </c>
      <c r="C387" s="11" t="n">
        <v>2022</v>
      </c>
      <c r="D387" s="11" t="inlineStr">
        <is>
          <t>S1</t>
        </is>
      </c>
      <c r="E387" s="9" t="n"/>
      <c r="F387" s="12" t="n"/>
      <c r="G387" s="9" t="n"/>
      <c r="H387" s="13" t="n"/>
      <c r="I387" s="13" t="n"/>
      <c r="J387" s="13" t="n"/>
      <c r="K387" s="13" t="n"/>
      <c r="L387" s="13" t="n"/>
      <c r="M387" s="13" t="n"/>
      <c r="N387" s="14">
        <f>IF(A387="","",COUNT(H387:M387)/6)</f>
        <v/>
      </c>
      <c r="O387" s="15">
        <f>IF(COUNT(H387:M387)=0,"",IF(LEN(IF(COUNT(I387,J387)=2,IF(J387&gt;I387+1,"EBE &gt; VA ",""),"")&amp;IF(COUNT(H387,M387)=2,IF(ABS(M387)&gt;ABS(H387),"RN &gt; CA ",""),"")&amp;IF(COUNT(H387,K387)=2,IF(ABS(K387)&gt;ABS(H387),"RE &gt; CA ",""),""))=0,"OK",IF(COUNT(I387,J387)=2,IF(J387&gt;I387+1,"EBE &gt; VA ",""),"")&amp;IF(COUNT(H387,M387)=2,IF(ABS(M387)&gt;ABS(H387),"RN &gt; CA ",""),"")&amp;IF(COUNT(H387,K387)=2,IF(ABS(K387)&gt;ABS(H387),"RE &gt; CA ",""),"")))</f>
        <v/>
      </c>
      <c r="P387" s="16">
        <f>IF(OR($A387="",H387="",$C387=""),"",IF(COUNTIFS($A$5:$A$639,$A387,$C$5:$C$639,$C387-1,$D$5:$D$639,$D387,H$5:H$639,"&lt;&gt;")=0,"",IF(OR(SUMIFS(H$5:H$639,$A$5:$A$639,$A387,$C$5:$C$639,$C387-1,$D$5:$D$639,$D387)=0,H387*SUMIFS(H$5:H$639,$A$5:$A$639,$A387,$C$5:$C$639,$C387-1,$D$5:$D$639,$D387)&lt;0),"n.s.",ABS(H387)/ABS(SUMIFS(H$5:H$639,$A$5:$A$639,$A387,$C$5:$C$639,$C387-1,$D$5:$D$639,$D387))-1)))</f>
        <v/>
      </c>
      <c r="Q387" s="16">
        <f>IF(OR($A387="",I387="",$C387=""),"",IF(COUNTIFS($A$5:$A$639,$A387,$C$5:$C$639,$C387-1,$D$5:$D$639,$D387,I$5:I$639,"&lt;&gt;")=0,"",IF(OR(SUMIFS(I$5:I$639,$A$5:$A$639,$A387,$C$5:$C$639,$C387-1,$D$5:$D$639,$D387)=0,I387*SUMIFS(I$5:I$639,$A$5:$A$639,$A387,$C$5:$C$639,$C387-1,$D$5:$D$639,$D387)&lt;0),"n.s.",ABS(I387)/ABS(SUMIFS(I$5:I$639,$A$5:$A$639,$A387,$C$5:$C$639,$C387-1,$D$5:$D$639,$D387))-1)))</f>
        <v/>
      </c>
      <c r="R387" s="16">
        <f>IF(OR($A387="",J387="",$C387=""),"",IF(COUNTIFS($A$5:$A$639,$A387,$C$5:$C$639,$C387-1,$D$5:$D$639,$D387,J$5:J$639,"&lt;&gt;")=0,"",IF(OR(SUMIFS(J$5:J$639,$A$5:$A$639,$A387,$C$5:$C$639,$C387-1,$D$5:$D$639,$D387)=0,J387*SUMIFS(J$5:J$639,$A$5:$A$639,$A387,$C$5:$C$639,$C387-1,$D$5:$D$639,$D387)&lt;0),"n.s.",ABS(J387)/ABS(SUMIFS(J$5:J$639,$A$5:$A$639,$A387,$C$5:$C$639,$C387-1,$D$5:$D$639,$D387))-1)))</f>
        <v/>
      </c>
      <c r="S387" s="16">
        <f>IF(OR($A387="",K387="",$C387=""),"",IF(COUNTIFS($A$5:$A$639,$A387,$C$5:$C$639,$C387-1,$D$5:$D$639,$D387,K$5:K$639,"&lt;&gt;")=0,"",IF(OR(SUMIFS(K$5:K$639,$A$5:$A$639,$A387,$C$5:$C$639,$C387-1,$D$5:$D$639,$D387)=0,K387*SUMIFS(K$5:K$639,$A$5:$A$639,$A387,$C$5:$C$639,$C387-1,$D$5:$D$639,$D387)&lt;0),"n.s.",ABS(K387)/ABS(SUMIFS(K$5:K$639,$A$5:$A$639,$A387,$C$5:$C$639,$C387-1,$D$5:$D$639,$D387))-1)))</f>
        <v/>
      </c>
      <c r="T387" s="16">
        <f>IF(OR($A387="",L387="",$C387=""),"",IF(COUNTIFS($A$5:$A$639,$A387,$C$5:$C$639,$C387-1,$D$5:$D$639,$D387,L$5:L$639,"&lt;&gt;")=0,"",IF(OR(SUMIFS(L$5:L$639,$A$5:$A$639,$A387,$C$5:$C$639,$C387-1,$D$5:$D$639,$D387)=0,L387*SUMIFS(L$5:L$639,$A$5:$A$639,$A387,$C$5:$C$639,$C387-1,$D$5:$D$639,$D387)&lt;0),"n.s.",ABS(L387)/ABS(SUMIFS(L$5:L$639,$A$5:$A$639,$A387,$C$5:$C$639,$C387-1,$D$5:$D$639,$D387))-1)))</f>
        <v/>
      </c>
      <c r="U387" s="16">
        <f>IF(OR($A387="",M387="",$C387=""),"",IF(COUNTIFS($A$5:$A$639,$A387,$C$5:$C$639,$C387-1,$D$5:$D$639,$D387,M$5:M$639,"&lt;&gt;")=0,"",IF(OR(SUMIFS(M$5:M$639,$A$5:$A$639,$A387,$C$5:$C$639,$C387-1,$D$5:$D$639,$D387)=0,M387*SUMIFS(M$5:M$639,$A$5:$A$639,$A387,$C$5:$C$639,$C387-1,$D$5:$D$639,$D387)&lt;0),"n.s.",ABS(M387)/ABS(SUMIFS(M$5:M$639,$A$5:$A$639,$A387,$C$5:$C$639,$C387-1,$D$5:$D$639,$D387))-1)))</f>
        <v/>
      </c>
    </row>
    <row r="388">
      <c r="A388" s="9" t="inlineStr">
        <is>
          <t>STAC</t>
        </is>
      </c>
      <c r="B388" s="10">
        <f>IF(A388="","",IFERROR(VLOOKUP(A388,Titres!$A$2:$B$400,2,FALSE),"Ticker inconnu"))</f>
        <v/>
      </c>
      <c r="C388" s="11" t="n">
        <v>2022</v>
      </c>
      <c r="D388" s="11" t="inlineStr">
        <is>
          <t>T3</t>
        </is>
      </c>
      <c r="E388" s="9" t="n"/>
      <c r="F388" s="12" t="n"/>
      <c r="G388" s="9" t="n"/>
      <c r="H388" s="13" t="n"/>
      <c r="I388" s="13" t="n"/>
      <c r="J388" s="13" t="n"/>
      <c r="K388" s="13" t="n"/>
      <c r="L388" s="13" t="n"/>
      <c r="M388" s="13" t="n"/>
      <c r="N388" s="14">
        <f>IF(A388="","",COUNT(H388:M388)/6)</f>
        <v/>
      </c>
      <c r="O388" s="15">
        <f>IF(COUNT(H388:M388)=0,"",IF(LEN(IF(COUNT(I388,J388)=2,IF(J388&gt;I388+1,"EBE &gt; VA ",""),"")&amp;IF(COUNT(H388,M388)=2,IF(ABS(M388)&gt;ABS(H388),"RN &gt; CA ",""),"")&amp;IF(COUNT(H388,K388)=2,IF(ABS(K388)&gt;ABS(H388),"RE &gt; CA ",""),""))=0,"OK",IF(COUNT(I388,J388)=2,IF(J388&gt;I388+1,"EBE &gt; VA ",""),"")&amp;IF(COUNT(H388,M388)=2,IF(ABS(M388)&gt;ABS(H388),"RN &gt; CA ",""),"")&amp;IF(COUNT(H388,K388)=2,IF(ABS(K388)&gt;ABS(H388),"RE &gt; CA ",""),"")))</f>
        <v/>
      </c>
      <c r="P388" s="16">
        <f>IF(OR($A388="",H388="",$C388=""),"",IF(COUNTIFS($A$5:$A$639,$A388,$C$5:$C$639,$C388-1,$D$5:$D$639,$D388,H$5:H$639,"&lt;&gt;")=0,"",IF(OR(SUMIFS(H$5:H$639,$A$5:$A$639,$A388,$C$5:$C$639,$C388-1,$D$5:$D$639,$D388)=0,H388*SUMIFS(H$5:H$639,$A$5:$A$639,$A388,$C$5:$C$639,$C388-1,$D$5:$D$639,$D388)&lt;0),"n.s.",ABS(H388)/ABS(SUMIFS(H$5:H$639,$A$5:$A$639,$A388,$C$5:$C$639,$C388-1,$D$5:$D$639,$D388))-1)))</f>
        <v/>
      </c>
      <c r="Q388" s="16">
        <f>IF(OR($A388="",I388="",$C388=""),"",IF(COUNTIFS($A$5:$A$639,$A388,$C$5:$C$639,$C388-1,$D$5:$D$639,$D388,I$5:I$639,"&lt;&gt;")=0,"",IF(OR(SUMIFS(I$5:I$639,$A$5:$A$639,$A388,$C$5:$C$639,$C388-1,$D$5:$D$639,$D388)=0,I388*SUMIFS(I$5:I$639,$A$5:$A$639,$A388,$C$5:$C$639,$C388-1,$D$5:$D$639,$D388)&lt;0),"n.s.",ABS(I388)/ABS(SUMIFS(I$5:I$639,$A$5:$A$639,$A388,$C$5:$C$639,$C388-1,$D$5:$D$639,$D388))-1)))</f>
        <v/>
      </c>
      <c r="R388" s="16">
        <f>IF(OR($A388="",J388="",$C388=""),"",IF(COUNTIFS($A$5:$A$639,$A388,$C$5:$C$639,$C388-1,$D$5:$D$639,$D388,J$5:J$639,"&lt;&gt;")=0,"",IF(OR(SUMIFS(J$5:J$639,$A$5:$A$639,$A388,$C$5:$C$639,$C388-1,$D$5:$D$639,$D388)=0,J388*SUMIFS(J$5:J$639,$A$5:$A$639,$A388,$C$5:$C$639,$C388-1,$D$5:$D$639,$D388)&lt;0),"n.s.",ABS(J388)/ABS(SUMIFS(J$5:J$639,$A$5:$A$639,$A388,$C$5:$C$639,$C388-1,$D$5:$D$639,$D388))-1)))</f>
        <v/>
      </c>
      <c r="S388" s="16">
        <f>IF(OR($A388="",K388="",$C388=""),"",IF(COUNTIFS($A$5:$A$639,$A388,$C$5:$C$639,$C388-1,$D$5:$D$639,$D388,K$5:K$639,"&lt;&gt;")=0,"",IF(OR(SUMIFS(K$5:K$639,$A$5:$A$639,$A388,$C$5:$C$639,$C388-1,$D$5:$D$639,$D388)=0,K388*SUMIFS(K$5:K$639,$A$5:$A$639,$A388,$C$5:$C$639,$C388-1,$D$5:$D$639,$D388)&lt;0),"n.s.",ABS(K388)/ABS(SUMIFS(K$5:K$639,$A$5:$A$639,$A388,$C$5:$C$639,$C388-1,$D$5:$D$639,$D388))-1)))</f>
        <v/>
      </c>
      <c r="T388" s="16">
        <f>IF(OR($A388="",L388="",$C388=""),"",IF(COUNTIFS($A$5:$A$639,$A388,$C$5:$C$639,$C388-1,$D$5:$D$639,$D388,L$5:L$639,"&lt;&gt;")=0,"",IF(OR(SUMIFS(L$5:L$639,$A$5:$A$639,$A388,$C$5:$C$639,$C388-1,$D$5:$D$639,$D388)=0,L388*SUMIFS(L$5:L$639,$A$5:$A$639,$A388,$C$5:$C$639,$C388-1,$D$5:$D$639,$D388)&lt;0),"n.s.",ABS(L388)/ABS(SUMIFS(L$5:L$639,$A$5:$A$639,$A388,$C$5:$C$639,$C388-1,$D$5:$D$639,$D388))-1)))</f>
        <v/>
      </c>
      <c r="U388" s="16">
        <f>IF(OR($A388="",M388="",$C388=""),"",IF(COUNTIFS($A$5:$A$639,$A388,$C$5:$C$639,$C388-1,$D$5:$D$639,$D388,M$5:M$639,"&lt;&gt;")=0,"",IF(OR(SUMIFS(M$5:M$639,$A$5:$A$639,$A388,$C$5:$C$639,$C388-1,$D$5:$D$639,$D388)=0,M388*SUMIFS(M$5:M$639,$A$5:$A$639,$A388,$C$5:$C$639,$C388-1,$D$5:$D$639,$D388)&lt;0),"n.s.",ABS(M388)/ABS(SUMIFS(M$5:M$639,$A$5:$A$639,$A388,$C$5:$C$639,$C388-1,$D$5:$D$639,$D388))-1)))</f>
        <v/>
      </c>
    </row>
    <row r="389">
      <c r="A389" s="9" t="inlineStr">
        <is>
          <t>STAC</t>
        </is>
      </c>
      <c r="B389" s="10">
        <f>IF(A389="","",IFERROR(VLOOKUP(A389,Titres!$A$2:$B$400,2,FALSE),"Ticker inconnu"))</f>
        <v/>
      </c>
      <c r="C389" s="11" t="n">
        <v>2023</v>
      </c>
      <c r="D389" s="11" t="inlineStr">
        <is>
          <t>T1</t>
        </is>
      </c>
      <c r="E389" s="9" t="n"/>
      <c r="F389" s="12" t="n"/>
      <c r="G389" s="9" t="n"/>
      <c r="H389" s="13" t="n"/>
      <c r="I389" s="13" t="n"/>
      <c r="J389" s="13" t="n"/>
      <c r="K389" s="13" t="n"/>
      <c r="L389" s="13" t="n"/>
      <c r="M389" s="13" t="n"/>
      <c r="N389" s="14">
        <f>IF(A389="","",COUNT(H389:M389)/6)</f>
        <v/>
      </c>
      <c r="O389" s="15">
        <f>IF(COUNT(H389:M389)=0,"",IF(LEN(IF(COUNT(I389,J389)=2,IF(J389&gt;I389+1,"EBE &gt; VA ",""),"")&amp;IF(COUNT(H389,M389)=2,IF(ABS(M389)&gt;ABS(H389),"RN &gt; CA ",""),"")&amp;IF(COUNT(H389,K389)=2,IF(ABS(K389)&gt;ABS(H389),"RE &gt; CA ",""),""))=0,"OK",IF(COUNT(I389,J389)=2,IF(J389&gt;I389+1,"EBE &gt; VA ",""),"")&amp;IF(COUNT(H389,M389)=2,IF(ABS(M389)&gt;ABS(H389),"RN &gt; CA ",""),"")&amp;IF(COUNT(H389,K389)=2,IF(ABS(K389)&gt;ABS(H389),"RE &gt; CA ",""),"")))</f>
        <v/>
      </c>
      <c r="P389" s="16">
        <f>IF(OR($A389="",H389="",$C389=""),"",IF(COUNTIFS($A$5:$A$639,$A389,$C$5:$C$639,$C389-1,$D$5:$D$639,$D389,H$5:H$639,"&lt;&gt;")=0,"",IF(OR(SUMIFS(H$5:H$639,$A$5:$A$639,$A389,$C$5:$C$639,$C389-1,$D$5:$D$639,$D389)=0,H389*SUMIFS(H$5:H$639,$A$5:$A$639,$A389,$C$5:$C$639,$C389-1,$D$5:$D$639,$D389)&lt;0),"n.s.",ABS(H389)/ABS(SUMIFS(H$5:H$639,$A$5:$A$639,$A389,$C$5:$C$639,$C389-1,$D$5:$D$639,$D389))-1)))</f>
        <v/>
      </c>
      <c r="Q389" s="16">
        <f>IF(OR($A389="",I389="",$C389=""),"",IF(COUNTIFS($A$5:$A$639,$A389,$C$5:$C$639,$C389-1,$D$5:$D$639,$D389,I$5:I$639,"&lt;&gt;")=0,"",IF(OR(SUMIFS(I$5:I$639,$A$5:$A$639,$A389,$C$5:$C$639,$C389-1,$D$5:$D$639,$D389)=0,I389*SUMIFS(I$5:I$639,$A$5:$A$639,$A389,$C$5:$C$639,$C389-1,$D$5:$D$639,$D389)&lt;0),"n.s.",ABS(I389)/ABS(SUMIFS(I$5:I$639,$A$5:$A$639,$A389,$C$5:$C$639,$C389-1,$D$5:$D$639,$D389))-1)))</f>
        <v/>
      </c>
      <c r="R389" s="16">
        <f>IF(OR($A389="",J389="",$C389=""),"",IF(COUNTIFS($A$5:$A$639,$A389,$C$5:$C$639,$C389-1,$D$5:$D$639,$D389,J$5:J$639,"&lt;&gt;")=0,"",IF(OR(SUMIFS(J$5:J$639,$A$5:$A$639,$A389,$C$5:$C$639,$C389-1,$D$5:$D$639,$D389)=0,J389*SUMIFS(J$5:J$639,$A$5:$A$639,$A389,$C$5:$C$639,$C389-1,$D$5:$D$639,$D389)&lt;0),"n.s.",ABS(J389)/ABS(SUMIFS(J$5:J$639,$A$5:$A$639,$A389,$C$5:$C$639,$C389-1,$D$5:$D$639,$D389))-1)))</f>
        <v/>
      </c>
      <c r="S389" s="16">
        <f>IF(OR($A389="",K389="",$C389=""),"",IF(COUNTIFS($A$5:$A$639,$A389,$C$5:$C$639,$C389-1,$D$5:$D$639,$D389,K$5:K$639,"&lt;&gt;")=0,"",IF(OR(SUMIFS(K$5:K$639,$A$5:$A$639,$A389,$C$5:$C$639,$C389-1,$D$5:$D$639,$D389)=0,K389*SUMIFS(K$5:K$639,$A$5:$A$639,$A389,$C$5:$C$639,$C389-1,$D$5:$D$639,$D389)&lt;0),"n.s.",ABS(K389)/ABS(SUMIFS(K$5:K$639,$A$5:$A$639,$A389,$C$5:$C$639,$C389-1,$D$5:$D$639,$D389))-1)))</f>
        <v/>
      </c>
      <c r="T389" s="16">
        <f>IF(OR($A389="",L389="",$C389=""),"",IF(COUNTIFS($A$5:$A$639,$A389,$C$5:$C$639,$C389-1,$D$5:$D$639,$D389,L$5:L$639,"&lt;&gt;")=0,"",IF(OR(SUMIFS(L$5:L$639,$A$5:$A$639,$A389,$C$5:$C$639,$C389-1,$D$5:$D$639,$D389)=0,L389*SUMIFS(L$5:L$639,$A$5:$A$639,$A389,$C$5:$C$639,$C389-1,$D$5:$D$639,$D389)&lt;0),"n.s.",ABS(L389)/ABS(SUMIFS(L$5:L$639,$A$5:$A$639,$A389,$C$5:$C$639,$C389-1,$D$5:$D$639,$D389))-1)))</f>
        <v/>
      </c>
      <c r="U389" s="16">
        <f>IF(OR($A389="",M389="",$C389=""),"",IF(COUNTIFS($A$5:$A$639,$A389,$C$5:$C$639,$C389-1,$D$5:$D$639,$D389,M$5:M$639,"&lt;&gt;")=0,"",IF(OR(SUMIFS(M$5:M$639,$A$5:$A$639,$A389,$C$5:$C$639,$C389-1,$D$5:$D$639,$D389)=0,M389*SUMIFS(M$5:M$639,$A$5:$A$639,$A389,$C$5:$C$639,$C389-1,$D$5:$D$639,$D389)&lt;0),"n.s.",ABS(M389)/ABS(SUMIFS(M$5:M$639,$A$5:$A$639,$A389,$C$5:$C$639,$C389-1,$D$5:$D$639,$D389))-1)))</f>
        <v/>
      </c>
    </row>
    <row r="390">
      <c r="A390" s="9" t="inlineStr">
        <is>
          <t>STAC</t>
        </is>
      </c>
      <c r="B390" s="10">
        <f>IF(A390="","",IFERROR(VLOOKUP(A390,Titres!$A$2:$B$400,2,FALSE),"Ticker inconnu"))</f>
        <v/>
      </c>
      <c r="C390" s="11" t="n">
        <v>2023</v>
      </c>
      <c r="D390" s="11" t="inlineStr">
        <is>
          <t>S1</t>
        </is>
      </c>
      <c r="E390" s="9" t="n"/>
      <c r="F390" s="12" t="n"/>
      <c r="G390" s="9" t="n"/>
      <c r="H390" s="13" t="n"/>
      <c r="I390" s="13" t="n"/>
      <c r="J390" s="13" t="n"/>
      <c r="K390" s="13" t="n"/>
      <c r="L390" s="13" t="n"/>
      <c r="M390" s="13" t="n"/>
      <c r="N390" s="14">
        <f>IF(A390="","",COUNT(H390:M390)/6)</f>
        <v/>
      </c>
      <c r="O390" s="15">
        <f>IF(COUNT(H390:M390)=0,"",IF(LEN(IF(COUNT(I390,J390)=2,IF(J390&gt;I390+1,"EBE &gt; VA ",""),"")&amp;IF(COUNT(H390,M390)=2,IF(ABS(M390)&gt;ABS(H390),"RN &gt; CA ",""),"")&amp;IF(COUNT(H390,K390)=2,IF(ABS(K390)&gt;ABS(H390),"RE &gt; CA ",""),""))=0,"OK",IF(COUNT(I390,J390)=2,IF(J390&gt;I390+1,"EBE &gt; VA ",""),"")&amp;IF(COUNT(H390,M390)=2,IF(ABS(M390)&gt;ABS(H390),"RN &gt; CA ",""),"")&amp;IF(COUNT(H390,K390)=2,IF(ABS(K390)&gt;ABS(H390),"RE &gt; CA ",""),"")))</f>
        <v/>
      </c>
      <c r="P390" s="16">
        <f>IF(OR($A390="",H390="",$C390=""),"",IF(COUNTIFS($A$5:$A$639,$A390,$C$5:$C$639,$C390-1,$D$5:$D$639,$D390,H$5:H$639,"&lt;&gt;")=0,"",IF(OR(SUMIFS(H$5:H$639,$A$5:$A$639,$A390,$C$5:$C$639,$C390-1,$D$5:$D$639,$D390)=0,H390*SUMIFS(H$5:H$639,$A$5:$A$639,$A390,$C$5:$C$639,$C390-1,$D$5:$D$639,$D390)&lt;0),"n.s.",ABS(H390)/ABS(SUMIFS(H$5:H$639,$A$5:$A$639,$A390,$C$5:$C$639,$C390-1,$D$5:$D$639,$D390))-1)))</f>
        <v/>
      </c>
      <c r="Q390" s="16">
        <f>IF(OR($A390="",I390="",$C390=""),"",IF(COUNTIFS($A$5:$A$639,$A390,$C$5:$C$639,$C390-1,$D$5:$D$639,$D390,I$5:I$639,"&lt;&gt;")=0,"",IF(OR(SUMIFS(I$5:I$639,$A$5:$A$639,$A390,$C$5:$C$639,$C390-1,$D$5:$D$639,$D390)=0,I390*SUMIFS(I$5:I$639,$A$5:$A$639,$A390,$C$5:$C$639,$C390-1,$D$5:$D$639,$D390)&lt;0),"n.s.",ABS(I390)/ABS(SUMIFS(I$5:I$639,$A$5:$A$639,$A390,$C$5:$C$639,$C390-1,$D$5:$D$639,$D390))-1)))</f>
        <v/>
      </c>
      <c r="R390" s="16">
        <f>IF(OR($A390="",J390="",$C390=""),"",IF(COUNTIFS($A$5:$A$639,$A390,$C$5:$C$639,$C390-1,$D$5:$D$639,$D390,J$5:J$639,"&lt;&gt;")=0,"",IF(OR(SUMIFS(J$5:J$639,$A$5:$A$639,$A390,$C$5:$C$639,$C390-1,$D$5:$D$639,$D390)=0,J390*SUMIFS(J$5:J$639,$A$5:$A$639,$A390,$C$5:$C$639,$C390-1,$D$5:$D$639,$D390)&lt;0),"n.s.",ABS(J390)/ABS(SUMIFS(J$5:J$639,$A$5:$A$639,$A390,$C$5:$C$639,$C390-1,$D$5:$D$639,$D390))-1)))</f>
        <v/>
      </c>
      <c r="S390" s="16">
        <f>IF(OR($A390="",K390="",$C390=""),"",IF(COUNTIFS($A$5:$A$639,$A390,$C$5:$C$639,$C390-1,$D$5:$D$639,$D390,K$5:K$639,"&lt;&gt;")=0,"",IF(OR(SUMIFS(K$5:K$639,$A$5:$A$639,$A390,$C$5:$C$639,$C390-1,$D$5:$D$639,$D390)=0,K390*SUMIFS(K$5:K$639,$A$5:$A$639,$A390,$C$5:$C$639,$C390-1,$D$5:$D$639,$D390)&lt;0),"n.s.",ABS(K390)/ABS(SUMIFS(K$5:K$639,$A$5:$A$639,$A390,$C$5:$C$639,$C390-1,$D$5:$D$639,$D390))-1)))</f>
        <v/>
      </c>
      <c r="T390" s="16">
        <f>IF(OR($A390="",L390="",$C390=""),"",IF(COUNTIFS($A$5:$A$639,$A390,$C$5:$C$639,$C390-1,$D$5:$D$639,$D390,L$5:L$639,"&lt;&gt;")=0,"",IF(OR(SUMIFS(L$5:L$639,$A$5:$A$639,$A390,$C$5:$C$639,$C390-1,$D$5:$D$639,$D390)=0,L390*SUMIFS(L$5:L$639,$A$5:$A$639,$A390,$C$5:$C$639,$C390-1,$D$5:$D$639,$D390)&lt;0),"n.s.",ABS(L390)/ABS(SUMIFS(L$5:L$639,$A$5:$A$639,$A390,$C$5:$C$639,$C390-1,$D$5:$D$639,$D390))-1)))</f>
        <v/>
      </c>
      <c r="U390" s="16">
        <f>IF(OR($A390="",M390="",$C390=""),"",IF(COUNTIFS($A$5:$A$639,$A390,$C$5:$C$639,$C390-1,$D$5:$D$639,$D390,M$5:M$639,"&lt;&gt;")=0,"",IF(OR(SUMIFS(M$5:M$639,$A$5:$A$639,$A390,$C$5:$C$639,$C390-1,$D$5:$D$639,$D390)=0,M390*SUMIFS(M$5:M$639,$A$5:$A$639,$A390,$C$5:$C$639,$C390-1,$D$5:$D$639,$D390)&lt;0),"n.s.",ABS(M390)/ABS(SUMIFS(M$5:M$639,$A$5:$A$639,$A390,$C$5:$C$639,$C390-1,$D$5:$D$639,$D390))-1)))</f>
        <v/>
      </c>
    </row>
    <row r="391">
      <c r="A391" s="9" t="inlineStr">
        <is>
          <t>STAC</t>
        </is>
      </c>
      <c r="B391" s="10">
        <f>IF(A391="","",IFERROR(VLOOKUP(A391,Titres!$A$2:$B$400,2,FALSE),"Ticker inconnu"))</f>
        <v/>
      </c>
      <c r="C391" s="11" t="n">
        <v>2023</v>
      </c>
      <c r="D391" s="11" t="inlineStr">
        <is>
          <t>T3</t>
        </is>
      </c>
      <c r="E391" s="9" t="n"/>
      <c r="F391" s="12" t="n"/>
      <c r="G391" s="9" t="n"/>
      <c r="H391" s="13" t="n"/>
      <c r="I391" s="13" t="n"/>
      <c r="J391" s="13" t="n"/>
      <c r="K391" s="13" t="n"/>
      <c r="L391" s="13" t="n"/>
      <c r="M391" s="13" t="n"/>
      <c r="N391" s="14">
        <f>IF(A391="","",COUNT(H391:M391)/6)</f>
        <v/>
      </c>
      <c r="O391" s="15">
        <f>IF(COUNT(H391:M391)=0,"",IF(LEN(IF(COUNT(I391,J391)=2,IF(J391&gt;I391+1,"EBE &gt; VA ",""),"")&amp;IF(COUNT(H391,M391)=2,IF(ABS(M391)&gt;ABS(H391),"RN &gt; CA ",""),"")&amp;IF(COUNT(H391,K391)=2,IF(ABS(K391)&gt;ABS(H391),"RE &gt; CA ",""),""))=0,"OK",IF(COUNT(I391,J391)=2,IF(J391&gt;I391+1,"EBE &gt; VA ",""),"")&amp;IF(COUNT(H391,M391)=2,IF(ABS(M391)&gt;ABS(H391),"RN &gt; CA ",""),"")&amp;IF(COUNT(H391,K391)=2,IF(ABS(K391)&gt;ABS(H391),"RE &gt; CA ",""),"")))</f>
        <v/>
      </c>
      <c r="P391" s="16">
        <f>IF(OR($A391="",H391="",$C391=""),"",IF(COUNTIFS($A$5:$A$639,$A391,$C$5:$C$639,$C391-1,$D$5:$D$639,$D391,H$5:H$639,"&lt;&gt;")=0,"",IF(OR(SUMIFS(H$5:H$639,$A$5:$A$639,$A391,$C$5:$C$639,$C391-1,$D$5:$D$639,$D391)=0,H391*SUMIFS(H$5:H$639,$A$5:$A$639,$A391,$C$5:$C$639,$C391-1,$D$5:$D$639,$D391)&lt;0),"n.s.",ABS(H391)/ABS(SUMIFS(H$5:H$639,$A$5:$A$639,$A391,$C$5:$C$639,$C391-1,$D$5:$D$639,$D391))-1)))</f>
        <v/>
      </c>
      <c r="Q391" s="16">
        <f>IF(OR($A391="",I391="",$C391=""),"",IF(COUNTIFS($A$5:$A$639,$A391,$C$5:$C$639,$C391-1,$D$5:$D$639,$D391,I$5:I$639,"&lt;&gt;")=0,"",IF(OR(SUMIFS(I$5:I$639,$A$5:$A$639,$A391,$C$5:$C$639,$C391-1,$D$5:$D$639,$D391)=0,I391*SUMIFS(I$5:I$639,$A$5:$A$639,$A391,$C$5:$C$639,$C391-1,$D$5:$D$639,$D391)&lt;0),"n.s.",ABS(I391)/ABS(SUMIFS(I$5:I$639,$A$5:$A$639,$A391,$C$5:$C$639,$C391-1,$D$5:$D$639,$D391))-1)))</f>
        <v/>
      </c>
      <c r="R391" s="16">
        <f>IF(OR($A391="",J391="",$C391=""),"",IF(COUNTIFS($A$5:$A$639,$A391,$C$5:$C$639,$C391-1,$D$5:$D$639,$D391,J$5:J$639,"&lt;&gt;")=0,"",IF(OR(SUMIFS(J$5:J$639,$A$5:$A$639,$A391,$C$5:$C$639,$C391-1,$D$5:$D$639,$D391)=0,J391*SUMIFS(J$5:J$639,$A$5:$A$639,$A391,$C$5:$C$639,$C391-1,$D$5:$D$639,$D391)&lt;0),"n.s.",ABS(J391)/ABS(SUMIFS(J$5:J$639,$A$5:$A$639,$A391,$C$5:$C$639,$C391-1,$D$5:$D$639,$D391))-1)))</f>
        <v/>
      </c>
      <c r="S391" s="16">
        <f>IF(OR($A391="",K391="",$C391=""),"",IF(COUNTIFS($A$5:$A$639,$A391,$C$5:$C$639,$C391-1,$D$5:$D$639,$D391,K$5:K$639,"&lt;&gt;")=0,"",IF(OR(SUMIFS(K$5:K$639,$A$5:$A$639,$A391,$C$5:$C$639,$C391-1,$D$5:$D$639,$D391)=0,K391*SUMIFS(K$5:K$639,$A$5:$A$639,$A391,$C$5:$C$639,$C391-1,$D$5:$D$639,$D391)&lt;0),"n.s.",ABS(K391)/ABS(SUMIFS(K$5:K$639,$A$5:$A$639,$A391,$C$5:$C$639,$C391-1,$D$5:$D$639,$D391))-1)))</f>
        <v/>
      </c>
      <c r="T391" s="16">
        <f>IF(OR($A391="",L391="",$C391=""),"",IF(COUNTIFS($A$5:$A$639,$A391,$C$5:$C$639,$C391-1,$D$5:$D$639,$D391,L$5:L$639,"&lt;&gt;")=0,"",IF(OR(SUMIFS(L$5:L$639,$A$5:$A$639,$A391,$C$5:$C$639,$C391-1,$D$5:$D$639,$D391)=0,L391*SUMIFS(L$5:L$639,$A$5:$A$639,$A391,$C$5:$C$639,$C391-1,$D$5:$D$639,$D391)&lt;0),"n.s.",ABS(L391)/ABS(SUMIFS(L$5:L$639,$A$5:$A$639,$A391,$C$5:$C$639,$C391-1,$D$5:$D$639,$D391))-1)))</f>
        <v/>
      </c>
      <c r="U391" s="16">
        <f>IF(OR($A391="",M391="",$C391=""),"",IF(COUNTIFS($A$5:$A$639,$A391,$C$5:$C$639,$C391-1,$D$5:$D$639,$D391,M$5:M$639,"&lt;&gt;")=0,"",IF(OR(SUMIFS(M$5:M$639,$A$5:$A$639,$A391,$C$5:$C$639,$C391-1,$D$5:$D$639,$D391)=0,M391*SUMIFS(M$5:M$639,$A$5:$A$639,$A391,$C$5:$C$639,$C391-1,$D$5:$D$639,$D391)&lt;0),"n.s.",ABS(M391)/ABS(SUMIFS(M$5:M$639,$A$5:$A$639,$A391,$C$5:$C$639,$C391-1,$D$5:$D$639,$D391))-1)))</f>
        <v/>
      </c>
    </row>
    <row r="392">
      <c r="A392" s="9" t="inlineStr">
        <is>
          <t>STAC</t>
        </is>
      </c>
      <c r="B392" s="10">
        <f>IF(A392="","",IFERROR(VLOOKUP(A392,Titres!$A$2:$B$400,2,FALSE),"Ticker inconnu"))</f>
        <v/>
      </c>
      <c r="C392" s="11" t="n">
        <v>2024</v>
      </c>
      <c r="D392" s="11" t="inlineStr">
        <is>
          <t>T1</t>
        </is>
      </c>
      <c r="E392" s="9" t="n"/>
      <c r="F392" s="12" t="n"/>
      <c r="G392" s="9" t="n"/>
      <c r="H392" s="13" t="n"/>
      <c r="I392" s="13" t="n"/>
      <c r="J392" s="13" t="n"/>
      <c r="K392" s="13" t="n"/>
      <c r="L392" s="13" t="n"/>
      <c r="M392" s="13" t="n"/>
      <c r="N392" s="14">
        <f>IF(A392="","",COUNT(H392:M392)/6)</f>
        <v/>
      </c>
      <c r="O392" s="15">
        <f>IF(COUNT(H392:M392)=0,"",IF(LEN(IF(COUNT(I392,J392)=2,IF(J392&gt;I392+1,"EBE &gt; VA ",""),"")&amp;IF(COUNT(H392,M392)=2,IF(ABS(M392)&gt;ABS(H392),"RN &gt; CA ",""),"")&amp;IF(COUNT(H392,K392)=2,IF(ABS(K392)&gt;ABS(H392),"RE &gt; CA ",""),""))=0,"OK",IF(COUNT(I392,J392)=2,IF(J392&gt;I392+1,"EBE &gt; VA ",""),"")&amp;IF(COUNT(H392,M392)=2,IF(ABS(M392)&gt;ABS(H392),"RN &gt; CA ",""),"")&amp;IF(COUNT(H392,K392)=2,IF(ABS(K392)&gt;ABS(H392),"RE &gt; CA ",""),"")))</f>
        <v/>
      </c>
      <c r="P392" s="16">
        <f>IF(OR($A392="",H392="",$C392=""),"",IF(COUNTIFS($A$5:$A$639,$A392,$C$5:$C$639,$C392-1,$D$5:$D$639,$D392,H$5:H$639,"&lt;&gt;")=0,"",IF(OR(SUMIFS(H$5:H$639,$A$5:$A$639,$A392,$C$5:$C$639,$C392-1,$D$5:$D$639,$D392)=0,H392*SUMIFS(H$5:H$639,$A$5:$A$639,$A392,$C$5:$C$639,$C392-1,$D$5:$D$639,$D392)&lt;0),"n.s.",ABS(H392)/ABS(SUMIFS(H$5:H$639,$A$5:$A$639,$A392,$C$5:$C$639,$C392-1,$D$5:$D$639,$D392))-1)))</f>
        <v/>
      </c>
      <c r="Q392" s="16">
        <f>IF(OR($A392="",I392="",$C392=""),"",IF(COUNTIFS($A$5:$A$639,$A392,$C$5:$C$639,$C392-1,$D$5:$D$639,$D392,I$5:I$639,"&lt;&gt;")=0,"",IF(OR(SUMIFS(I$5:I$639,$A$5:$A$639,$A392,$C$5:$C$639,$C392-1,$D$5:$D$639,$D392)=0,I392*SUMIFS(I$5:I$639,$A$5:$A$639,$A392,$C$5:$C$639,$C392-1,$D$5:$D$639,$D392)&lt;0),"n.s.",ABS(I392)/ABS(SUMIFS(I$5:I$639,$A$5:$A$639,$A392,$C$5:$C$639,$C392-1,$D$5:$D$639,$D392))-1)))</f>
        <v/>
      </c>
      <c r="R392" s="16">
        <f>IF(OR($A392="",J392="",$C392=""),"",IF(COUNTIFS($A$5:$A$639,$A392,$C$5:$C$639,$C392-1,$D$5:$D$639,$D392,J$5:J$639,"&lt;&gt;")=0,"",IF(OR(SUMIFS(J$5:J$639,$A$5:$A$639,$A392,$C$5:$C$639,$C392-1,$D$5:$D$639,$D392)=0,J392*SUMIFS(J$5:J$639,$A$5:$A$639,$A392,$C$5:$C$639,$C392-1,$D$5:$D$639,$D392)&lt;0),"n.s.",ABS(J392)/ABS(SUMIFS(J$5:J$639,$A$5:$A$639,$A392,$C$5:$C$639,$C392-1,$D$5:$D$639,$D392))-1)))</f>
        <v/>
      </c>
      <c r="S392" s="16">
        <f>IF(OR($A392="",K392="",$C392=""),"",IF(COUNTIFS($A$5:$A$639,$A392,$C$5:$C$639,$C392-1,$D$5:$D$639,$D392,K$5:K$639,"&lt;&gt;")=0,"",IF(OR(SUMIFS(K$5:K$639,$A$5:$A$639,$A392,$C$5:$C$639,$C392-1,$D$5:$D$639,$D392)=0,K392*SUMIFS(K$5:K$639,$A$5:$A$639,$A392,$C$5:$C$639,$C392-1,$D$5:$D$639,$D392)&lt;0),"n.s.",ABS(K392)/ABS(SUMIFS(K$5:K$639,$A$5:$A$639,$A392,$C$5:$C$639,$C392-1,$D$5:$D$639,$D392))-1)))</f>
        <v/>
      </c>
      <c r="T392" s="16">
        <f>IF(OR($A392="",L392="",$C392=""),"",IF(COUNTIFS($A$5:$A$639,$A392,$C$5:$C$639,$C392-1,$D$5:$D$639,$D392,L$5:L$639,"&lt;&gt;")=0,"",IF(OR(SUMIFS(L$5:L$639,$A$5:$A$639,$A392,$C$5:$C$639,$C392-1,$D$5:$D$639,$D392)=0,L392*SUMIFS(L$5:L$639,$A$5:$A$639,$A392,$C$5:$C$639,$C392-1,$D$5:$D$639,$D392)&lt;0),"n.s.",ABS(L392)/ABS(SUMIFS(L$5:L$639,$A$5:$A$639,$A392,$C$5:$C$639,$C392-1,$D$5:$D$639,$D392))-1)))</f>
        <v/>
      </c>
      <c r="U392" s="16">
        <f>IF(OR($A392="",M392="",$C392=""),"",IF(COUNTIFS($A$5:$A$639,$A392,$C$5:$C$639,$C392-1,$D$5:$D$639,$D392,M$5:M$639,"&lt;&gt;")=0,"",IF(OR(SUMIFS(M$5:M$639,$A$5:$A$639,$A392,$C$5:$C$639,$C392-1,$D$5:$D$639,$D392)=0,M392*SUMIFS(M$5:M$639,$A$5:$A$639,$A392,$C$5:$C$639,$C392-1,$D$5:$D$639,$D392)&lt;0),"n.s.",ABS(M392)/ABS(SUMIFS(M$5:M$639,$A$5:$A$639,$A392,$C$5:$C$639,$C392-1,$D$5:$D$639,$D392))-1)))</f>
        <v/>
      </c>
    </row>
    <row r="393">
      <c r="A393" s="9" t="inlineStr">
        <is>
          <t>STAC</t>
        </is>
      </c>
      <c r="B393" s="10">
        <f>IF(A393="","",IFERROR(VLOOKUP(A393,Titres!$A$2:$B$400,2,FALSE),"Ticker inconnu"))</f>
        <v/>
      </c>
      <c r="C393" s="11" t="n">
        <v>2024</v>
      </c>
      <c r="D393" s="11" t="inlineStr">
        <is>
          <t>S1</t>
        </is>
      </c>
      <c r="E393" s="9" t="n"/>
      <c r="F393" s="12" t="n"/>
      <c r="G393" s="9" t="n"/>
      <c r="H393" s="13" t="n"/>
      <c r="I393" s="13" t="n"/>
      <c r="J393" s="13" t="n"/>
      <c r="K393" s="13" t="n"/>
      <c r="L393" s="13" t="n"/>
      <c r="M393" s="13" t="n"/>
      <c r="N393" s="14">
        <f>IF(A393="","",COUNT(H393:M393)/6)</f>
        <v/>
      </c>
      <c r="O393" s="15">
        <f>IF(COUNT(H393:M393)=0,"",IF(LEN(IF(COUNT(I393,J393)=2,IF(J393&gt;I393+1,"EBE &gt; VA ",""),"")&amp;IF(COUNT(H393,M393)=2,IF(ABS(M393)&gt;ABS(H393),"RN &gt; CA ",""),"")&amp;IF(COUNT(H393,K393)=2,IF(ABS(K393)&gt;ABS(H393),"RE &gt; CA ",""),""))=0,"OK",IF(COUNT(I393,J393)=2,IF(J393&gt;I393+1,"EBE &gt; VA ",""),"")&amp;IF(COUNT(H393,M393)=2,IF(ABS(M393)&gt;ABS(H393),"RN &gt; CA ",""),"")&amp;IF(COUNT(H393,K393)=2,IF(ABS(K393)&gt;ABS(H393),"RE &gt; CA ",""),"")))</f>
        <v/>
      </c>
      <c r="P393" s="16">
        <f>IF(OR($A393="",H393="",$C393=""),"",IF(COUNTIFS($A$5:$A$639,$A393,$C$5:$C$639,$C393-1,$D$5:$D$639,$D393,H$5:H$639,"&lt;&gt;")=0,"",IF(OR(SUMIFS(H$5:H$639,$A$5:$A$639,$A393,$C$5:$C$639,$C393-1,$D$5:$D$639,$D393)=0,H393*SUMIFS(H$5:H$639,$A$5:$A$639,$A393,$C$5:$C$639,$C393-1,$D$5:$D$639,$D393)&lt;0),"n.s.",ABS(H393)/ABS(SUMIFS(H$5:H$639,$A$5:$A$639,$A393,$C$5:$C$639,$C393-1,$D$5:$D$639,$D393))-1)))</f>
        <v/>
      </c>
      <c r="Q393" s="16">
        <f>IF(OR($A393="",I393="",$C393=""),"",IF(COUNTIFS($A$5:$A$639,$A393,$C$5:$C$639,$C393-1,$D$5:$D$639,$D393,I$5:I$639,"&lt;&gt;")=0,"",IF(OR(SUMIFS(I$5:I$639,$A$5:$A$639,$A393,$C$5:$C$639,$C393-1,$D$5:$D$639,$D393)=0,I393*SUMIFS(I$5:I$639,$A$5:$A$639,$A393,$C$5:$C$639,$C393-1,$D$5:$D$639,$D393)&lt;0),"n.s.",ABS(I393)/ABS(SUMIFS(I$5:I$639,$A$5:$A$639,$A393,$C$5:$C$639,$C393-1,$D$5:$D$639,$D393))-1)))</f>
        <v/>
      </c>
      <c r="R393" s="16">
        <f>IF(OR($A393="",J393="",$C393=""),"",IF(COUNTIFS($A$5:$A$639,$A393,$C$5:$C$639,$C393-1,$D$5:$D$639,$D393,J$5:J$639,"&lt;&gt;")=0,"",IF(OR(SUMIFS(J$5:J$639,$A$5:$A$639,$A393,$C$5:$C$639,$C393-1,$D$5:$D$639,$D393)=0,J393*SUMIFS(J$5:J$639,$A$5:$A$639,$A393,$C$5:$C$639,$C393-1,$D$5:$D$639,$D393)&lt;0),"n.s.",ABS(J393)/ABS(SUMIFS(J$5:J$639,$A$5:$A$639,$A393,$C$5:$C$639,$C393-1,$D$5:$D$639,$D393))-1)))</f>
        <v/>
      </c>
      <c r="S393" s="16">
        <f>IF(OR($A393="",K393="",$C393=""),"",IF(COUNTIFS($A$5:$A$639,$A393,$C$5:$C$639,$C393-1,$D$5:$D$639,$D393,K$5:K$639,"&lt;&gt;")=0,"",IF(OR(SUMIFS(K$5:K$639,$A$5:$A$639,$A393,$C$5:$C$639,$C393-1,$D$5:$D$639,$D393)=0,K393*SUMIFS(K$5:K$639,$A$5:$A$639,$A393,$C$5:$C$639,$C393-1,$D$5:$D$639,$D393)&lt;0),"n.s.",ABS(K393)/ABS(SUMIFS(K$5:K$639,$A$5:$A$639,$A393,$C$5:$C$639,$C393-1,$D$5:$D$639,$D393))-1)))</f>
        <v/>
      </c>
      <c r="T393" s="16">
        <f>IF(OR($A393="",L393="",$C393=""),"",IF(COUNTIFS($A$5:$A$639,$A393,$C$5:$C$639,$C393-1,$D$5:$D$639,$D393,L$5:L$639,"&lt;&gt;")=0,"",IF(OR(SUMIFS(L$5:L$639,$A$5:$A$639,$A393,$C$5:$C$639,$C393-1,$D$5:$D$639,$D393)=0,L393*SUMIFS(L$5:L$639,$A$5:$A$639,$A393,$C$5:$C$639,$C393-1,$D$5:$D$639,$D393)&lt;0),"n.s.",ABS(L393)/ABS(SUMIFS(L$5:L$639,$A$5:$A$639,$A393,$C$5:$C$639,$C393-1,$D$5:$D$639,$D393))-1)))</f>
        <v/>
      </c>
      <c r="U393" s="16">
        <f>IF(OR($A393="",M393="",$C393=""),"",IF(COUNTIFS($A$5:$A$639,$A393,$C$5:$C$639,$C393-1,$D$5:$D$639,$D393,M$5:M$639,"&lt;&gt;")=0,"",IF(OR(SUMIFS(M$5:M$639,$A$5:$A$639,$A393,$C$5:$C$639,$C393-1,$D$5:$D$639,$D393)=0,M393*SUMIFS(M$5:M$639,$A$5:$A$639,$A393,$C$5:$C$639,$C393-1,$D$5:$D$639,$D393)&lt;0),"n.s.",ABS(M393)/ABS(SUMIFS(M$5:M$639,$A$5:$A$639,$A393,$C$5:$C$639,$C393-1,$D$5:$D$639,$D393))-1)))</f>
        <v/>
      </c>
    </row>
    <row r="394">
      <c r="A394" s="9" t="inlineStr">
        <is>
          <t>STAC</t>
        </is>
      </c>
      <c r="B394" s="10">
        <f>IF(A394="","",IFERROR(VLOOKUP(A394,Titres!$A$2:$B$400,2,FALSE),"Ticker inconnu"))</f>
        <v/>
      </c>
      <c r="C394" s="11" t="n">
        <v>2024</v>
      </c>
      <c r="D394" s="11" t="inlineStr">
        <is>
          <t>T3</t>
        </is>
      </c>
      <c r="E394" s="9" t="n"/>
      <c r="F394" s="12" t="n"/>
      <c r="G394" s="9" t="n"/>
      <c r="H394" s="13" t="n"/>
      <c r="I394" s="13" t="n"/>
      <c r="J394" s="13" t="n"/>
      <c r="K394" s="13" t="n"/>
      <c r="L394" s="13" t="n"/>
      <c r="M394" s="13" t="n"/>
      <c r="N394" s="14">
        <f>IF(A394="","",COUNT(H394:M394)/6)</f>
        <v/>
      </c>
      <c r="O394" s="15">
        <f>IF(COUNT(H394:M394)=0,"",IF(LEN(IF(COUNT(I394,J394)=2,IF(J394&gt;I394+1,"EBE &gt; VA ",""),"")&amp;IF(COUNT(H394,M394)=2,IF(ABS(M394)&gt;ABS(H394),"RN &gt; CA ",""),"")&amp;IF(COUNT(H394,K394)=2,IF(ABS(K394)&gt;ABS(H394),"RE &gt; CA ",""),""))=0,"OK",IF(COUNT(I394,J394)=2,IF(J394&gt;I394+1,"EBE &gt; VA ",""),"")&amp;IF(COUNT(H394,M394)=2,IF(ABS(M394)&gt;ABS(H394),"RN &gt; CA ",""),"")&amp;IF(COUNT(H394,K394)=2,IF(ABS(K394)&gt;ABS(H394),"RE &gt; CA ",""),"")))</f>
        <v/>
      </c>
      <c r="P394" s="16">
        <f>IF(OR($A394="",H394="",$C394=""),"",IF(COUNTIFS($A$5:$A$639,$A394,$C$5:$C$639,$C394-1,$D$5:$D$639,$D394,H$5:H$639,"&lt;&gt;")=0,"",IF(OR(SUMIFS(H$5:H$639,$A$5:$A$639,$A394,$C$5:$C$639,$C394-1,$D$5:$D$639,$D394)=0,H394*SUMIFS(H$5:H$639,$A$5:$A$639,$A394,$C$5:$C$639,$C394-1,$D$5:$D$639,$D394)&lt;0),"n.s.",ABS(H394)/ABS(SUMIFS(H$5:H$639,$A$5:$A$639,$A394,$C$5:$C$639,$C394-1,$D$5:$D$639,$D394))-1)))</f>
        <v/>
      </c>
      <c r="Q394" s="16">
        <f>IF(OR($A394="",I394="",$C394=""),"",IF(COUNTIFS($A$5:$A$639,$A394,$C$5:$C$639,$C394-1,$D$5:$D$639,$D394,I$5:I$639,"&lt;&gt;")=0,"",IF(OR(SUMIFS(I$5:I$639,$A$5:$A$639,$A394,$C$5:$C$639,$C394-1,$D$5:$D$639,$D394)=0,I394*SUMIFS(I$5:I$639,$A$5:$A$639,$A394,$C$5:$C$639,$C394-1,$D$5:$D$639,$D394)&lt;0),"n.s.",ABS(I394)/ABS(SUMIFS(I$5:I$639,$A$5:$A$639,$A394,$C$5:$C$639,$C394-1,$D$5:$D$639,$D394))-1)))</f>
        <v/>
      </c>
      <c r="R394" s="16">
        <f>IF(OR($A394="",J394="",$C394=""),"",IF(COUNTIFS($A$5:$A$639,$A394,$C$5:$C$639,$C394-1,$D$5:$D$639,$D394,J$5:J$639,"&lt;&gt;")=0,"",IF(OR(SUMIFS(J$5:J$639,$A$5:$A$639,$A394,$C$5:$C$639,$C394-1,$D$5:$D$639,$D394)=0,J394*SUMIFS(J$5:J$639,$A$5:$A$639,$A394,$C$5:$C$639,$C394-1,$D$5:$D$639,$D394)&lt;0),"n.s.",ABS(J394)/ABS(SUMIFS(J$5:J$639,$A$5:$A$639,$A394,$C$5:$C$639,$C394-1,$D$5:$D$639,$D394))-1)))</f>
        <v/>
      </c>
      <c r="S394" s="16">
        <f>IF(OR($A394="",K394="",$C394=""),"",IF(COUNTIFS($A$5:$A$639,$A394,$C$5:$C$639,$C394-1,$D$5:$D$639,$D394,K$5:K$639,"&lt;&gt;")=0,"",IF(OR(SUMIFS(K$5:K$639,$A$5:$A$639,$A394,$C$5:$C$639,$C394-1,$D$5:$D$639,$D394)=0,K394*SUMIFS(K$5:K$639,$A$5:$A$639,$A394,$C$5:$C$639,$C394-1,$D$5:$D$639,$D394)&lt;0),"n.s.",ABS(K394)/ABS(SUMIFS(K$5:K$639,$A$5:$A$639,$A394,$C$5:$C$639,$C394-1,$D$5:$D$639,$D394))-1)))</f>
        <v/>
      </c>
      <c r="T394" s="16">
        <f>IF(OR($A394="",L394="",$C394=""),"",IF(COUNTIFS($A$5:$A$639,$A394,$C$5:$C$639,$C394-1,$D$5:$D$639,$D394,L$5:L$639,"&lt;&gt;")=0,"",IF(OR(SUMIFS(L$5:L$639,$A$5:$A$639,$A394,$C$5:$C$639,$C394-1,$D$5:$D$639,$D394)=0,L394*SUMIFS(L$5:L$639,$A$5:$A$639,$A394,$C$5:$C$639,$C394-1,$D$5:$D$639,$D394)&lt;0),"n.s.",ABS(L394)/ABS(SUMIFS(L$5:L$639,$A$5:$A$639,$A394,$C$5:$C$639,$C394-1,$D$5:$D$639,$D394))-1)))</f>
        <v/>
      </c>
      <c r="U394" s="16">
        <f>IF(OR($A394="",M394="",$C394=""),"",IF(COUNTIFS($A$5:$A$639,$A394,$C$5:$C$639,$C394-1,$D$5:$D$639,$D394,M$5:M$639,"&lt;&gt;")=0,"",IF(OR(SUMIFS(M$5:M$639,$A$5:$A$639,$A394,$C$5:$C$639,$C394-1,$D$5:$D$639,$D394)=0,M394*SUMIFS(M$5:M$639,$A$5:$A$639,$A394,$C$5:$C$639,$C394-1,$D$5:$D$639,$D394)&lt;0),"n.s.",ABS(M394)/ABS(SUMIFS(M$5:M$639,$A$5:$A$639,$A394,$C$5:$C$639,$C394-1,$D$5:$D$639,$D394))-1)))</f>
        <v/>
      </c>
    </row>
    <row r="395">
      <c r="A395" s="9" t="inlineStr">
        <is>
          <t>STAC</t>
        </is>
      </c>
      <c r="B395" s="10">
        <f>IF(A395="","",IFERROR(VLOOKUP(A395,Titres!$A$2:$B$400,2,FALSE),"Ticker inconnu"))</f>
        <v/>
      </c>
      <c r="C395" s="11" t="n">
        <v>2025</v>
      </c>
      <c r="D395" s="11" t="inlineStr">
        <is>
          <t>T1</t>
        </is>
      </c>
      <c r="E395" s="9" t="n"/>
      <c r="F395" s="12" t="n"/>
      <c r="G395" s="9" t="n"/>
      <c r="H395" s="13" t="n"/>
      <c r="I395" s="13" t="n"/>
      <c r="J395" s="13" t="n"/>
      <c r="K395" s="13" t="n"/>
      <c r="L395" s="13" t="n"/>
      <c r="M395" s="13" t="n"/>
      <c r="N395" s="14">
        <f>IF(A395="","",COUNT(H395:M395)/6)</f>
        <v/>
      </c>
      <c r="O395" s="15">
        <f>IF(COUNT(H395:M395)=0,"",IF(LEN(IF(COUNT(I395,J395)=2,IF(J395&gt;I395+1,"EBE &gt; VA ",""),"")&amp;IF(COUNT(H395,M395)=2,IF(ABS(M395)&gt;ABS(H395),"RN &gt; CA ",""),"")&amp;IF(COUNT(H395,K395)=2,IF(ABS(K395)&gt;ABS(H395),"RE &gt; CA ",""),""))=0,"OK",IF(COUNT(I395,J395)=2,IF(J395&gt;I395+1,"EBE &gt; VA ",""),"")&amp;IF(COUNT(H395,M395)=2,IF(ABS(M395)&gt;ABS(H395),"RN &gt; CA ",""),"")&amp;IF(COUNT(H395,K395)=2,IF(ABS(K395)&gt;ABS(H395),"RE &gt; CA ",""),"")))</f>
        <v/>
      </c>
      <c r="P395" s="16">
        <f>IF(OR($A395="",H395="",$C395=""),"",IF(COUNTIFS($A$5:$A$639,$A395,$C$5:$C$639,$C395-1,$D$5:$D$639,$D395,H$5:H$639,"&lt;&gt;")=0,"",IF(OR(SUMIFS(H$5:H$639,$A$5:$A$639,$A395,$C$5:$C$639,$C395-1,$D$5:$D$639,$D395)=0,H395*SUMIFS(H$5:H$639,$A$5:$A$639,$A395,$C$5:$C$639,$C395-1,$D$5:$D$639,$D395)&lt;0),"n.s.",ABS(H395)/ABS(SUMIFS(H$5:H$639,$A$5:$A$639,$A395,$C$5:$C$639,$C395-1,$D$5:$D$639,$D395))-1)))</f>
        <v/>
      </c>
      <c r="Q395" s="16">
        <f>IF(OR($A395="",I395="",$C395=""),"",IF(COUNTIFS($A$5:$A$639,$A395,$C$5:$C$639,$C395-1,$D$5:$D$639,$D395,I$5:I$639,"&lt;&gt;")=0,"",IF(OR(SUMIFS(I$5:I$639,$A$5:$A$639,$A395,$C$5:$C$639,$C395-1,$D$5:$D$639,$D395)=0,I395*SUMIFS(I$5:I$639,$A$5:$A$639,$A395,$C$5:$C$639,$C395-1,$D$5:$D$639,$D395)&lt;0),"n.s.",ABS(I395)/ABS(SUMIFS(I$5:I$639,$A$5:$A$639,$A395,$C$5:$C$639,$C395-1,$D$5:$D$639,$D395))-1)))</f>
        <v/>
      </c>
      <c r="R395" s="16">
        <f>IF(OR($A395="",J395="",$C395=""),"",IF(COUNTIFS($A$5:$A$639,$A395,$C$5:$C$639,$C395-1,$D$5:$D$639,$D395,J$5:J$639,"&lt;&gt;")=0,"",IF(OR(SUMIFS(J$5:J$639,$A$5:$A$639,$A395,$C$5:$C$639,$C395-1,$D$5:$D$639,$D395)=0,J395*SUMIFS(J$5:J$639,$A$5:$A$639,$A395,$C$5:$C$639,$C395-1,$D$5:$D$639,$D395)&lt;0),"n.s.",ABS(J395)/ABS(SUMIFS(J$5:J$639,$A$5:$A$639,$A395,$C$5:$C$639,$C395-1,$D$5:$D$639,$D395))-1)))</f>
        <v/>
      </c>
      <c r="S395" s="16">
        <f>IF(OR($A395="",K395="",$C395=""),"",IF(COUNTIFS($A$5:$A$639,$A395,$C$5:$C$639,$C395-1,$D$5:$D$639,$D395,K$5:K$639,"&lt;&gt;")=0,"",IF(OR(SUMIFS(K$5:K$639,$A$5:$A$639,$A395,$C$5:$C$639,$C395-1,$D$5:$D$639,$D395)=0,K395*SUMIFS(K$5:K$639,$A$5:$A$639,$A395,$C$5:$C$639,$C395-1,$D$5:$D$639,$D395)&lt;0),"n.s.",ABS(K395)/ABS(SUMIFS(K$5:K$639,$A$5:$A$639,$A395,$C$5:$C$639,$C395-1,$D$5:$D$639,$D395))-1)))</f>
        <v/>
      </c>
      <c r="T395" s="16">
        <f>IF(OR($A395="",L395="",$C395=""),"",IF(COUNTIFS($A$5:$A$639,$A395,$C$5:$C$639,$C395-1,$D$5:$D$639,$D395,L$5:L$639,"&lt;&gt;")=0,"",IF(OR(SUMIFS(L$5:L$639,$A$5:$A$639,$A395,$C$5:$C$639,$C395-1,$D$5:$D$639,$D395)=0,L395*SUMIFS(L$5:L$639,$A$5:$A$639,$A395,$C$5:$C$639,$C395-1,$D$5:$D$639,$D395)&lt;0),"n.s.",ABS(L395)/ABS(SUMIFS(L$5:L$639,$A$5:$A$639,$A395,$C$5:$C$639,$C395-1,$D$5:$D$639,$D395))-1)))</f>
        <v/>
      </c>
      <c r="U395" s="16">
        <f>IF(OR($A395="",M395="",$C395=""),"",IF(COUNTIFS($A$5:$A$639,$A395,$C$5:$C$639,$C395-1,$D$5:$D$639,$D395,M$5:M$639,"&lt;&gt;")=0,"",IF(OR(SUMIFS(M$5:M$639,$A$5:$A$639,$A395,$C$5:$C$639,$C395-1,$D$5:$D$639,$D395)=0,M395*SUMIFS(M$5:M$639,$A$5:$A$639,$A395,$C$5:$C$639,$C395-1,$D$5:$D$639,$D395)&lt;0),"n.s.",ABS(M395)/ABS(SUMIFS(M$5:M$639,$A$5:$A$639,$A395,$C$5:$C$639,$C395-1,$D$5:$D$639,$D395))-1)))</f>
        <v/>
      </c>
    </row>
    <row r="396">
      <c r="A396" s="9" t="inlineStr">
        <is>
          <t>STAC</t>
        </is>
      </c>
      <c r="B396" s="10">
        <f>IF(A396="","",IFERROR(VLOOKUP(A396,Titres!$A$2:$B$400,2,FALSE),"Ticker inconnu"))</f>
        <v/>
      </c>
      <c r="C396" s="11" t="n">
        <v>2025</v>
      </c>
      <c r="D396" s="11" t="inlineStr">
        <is>
          <t>S1</t>
        </is>
      </c>
      <c r="E396" s="9" t="n"/>
      <c r="F396" s="12" t="n"/>
      <c r="G396" s="9" t="n"/>
      <c r="H396" s="13" t="n"/>
      <c r="I396" s="13" t="n"/>
      <c r="J396" s="13" t="n"/>
      <c r="K396" s="13" t="n"/>
      <c r="L396" s="13" t="n"/>
      <c r="M396" s="13" t="n"/>
      <c r="N396" s="14">
        <f>IF(A396="","",COUNT(H396:M396)/6)</f>
        <v/>
      </c>
      <c r="O396" s="15">
        <f>IF(COUNT(H396:M396)=0,"",IF(LEN(IF(COUNT(I396,J396)=2,IF(J396&gt;I396+1,"EBE &gt; VA ",""),"")&amp;IF(COUNT(H396,M396)=2,IF(ABS(M396)&gt;ABS(H396),"RN &gt; CA ",""),"")&amp;IF(COUNT(H396,K396)=2,IF(ABS(K396)&gt;ABS(H396),"RE &gt; CA ",""),""))=0,"OK",IF(COUNT(I396,J396)=2,IF(J396&gt;I396+1,"EBE &gt; VA ",""),"")&amp;IF(COUNT(H396,M396)=2,IF(ABS(M396)&gt;ABS(H396),"RN &gt; CA ",""),"")&amp;IF(COUNT(H396,K396)=2,IF(ABS(K396)&gt;ABS(H396),"RE &gt; CA ",""),"")))</f>
        <v/>
      </c>
      <c r="P396" s="16">
        <f>IF(OR($A396="",H396="",$C396=""),"",IF(COUNTIFS($A$5:$A$639,$A396,$C$5:$C$639,$C396-1,$D$5:$D$639,$D396,H$5:H$639,"&lt;&gt;")=0,"",IF(OR(SUMIFS(H$5:H$639,$A$5:$A$639,$A396,$C$5:$C$639,$C396-1,$D$5:$D$639,$D396)=0,H396*SUMIFS(H$5:H$639,$A$5:$A$639,$A396,$C$5:$C$639,$C396-1,$D$5:$D$639,$D396)&lt;0),"n.s.",ABS(H396)/ABS(SUMIFS(H$5:H$639,$A$5:$A$639,$A396,$C$5:$C$639,$C396-1,$D$5:$D$639,$D396))-1)))</f>
        <v/>
      </c>
      <c r="Q396" s="16">
        <f>IF(OR($A396="",I396="",$C396=""),"",IF(COUNTIFS($A$5:$A$639,$A396,$C$5:$C$639,$C396-1,$D$5:$D$639,$D396,I$5:I$639,"&lt;&gt;")=0,"",IF(OR(SUMIFS(I$5:I$639,$A$5:$A$639,$A396,$C$5:$C$639,$C396-1,$D$5:$D$639,$D396)=0,I396*SUMIFS(I$5:I$639,$A$5:$A$639,$A396,$C$5:$C$639,$C396-1,$D$5:$D$639,$D396)&lt;0),"n.s.",ABS(I396)/ABS(SUMIFS(I$5:I$639,$A$5:$A$639,$A396,$C$5:$C$639,$C396-1,$D$5:$D$639,$D396))-1)))</f>
        <v/>
      </c>
      <c r="R396" s="16">
        <f>IF(OR($A396="",J396="",$C396=""),"",IF(COUNTIFS($A$5:$A$639,$A396,$C$5:$C$639,$C396-1,$D$5:$D$639,$D396,J$5:J$639,"&lt;&gt;")=0,"",IF(OR(SUMIFS(J$5:J$639,$A$5:$A$639,$A396,$C$5:$C$639,$C396-1,$D$5:$D$639,$D396)=0,J396*SUMIFS(J$5:J$639,$A$5:$A$639,$A396,$C$5:$C$639,$C396-1,$D$5:$D$639,$D396)&lt;0),"n.s.",ABS(J396)/ABS(SUMIFS(J$5:J$639,$A$5:$A$639,$A396,$C$5:$C$639,$C396-1,$D$5:$D$639,$D396))-1)))</f>
        <v/>
      </c>
      <c r="S396" s="16">
        <f>IF(OR($A396="",K396="",$C396=""),"",IF(COUNTIFS($A$5:$A$639,$A396,$C$5:$C$639,$C396-1,$D$5:$D$639,$D396,K$5:K$639,"&lt;&gt;")=0,"",IF(OR(SUMIFS(K$5:K$639,$A$5:$A$639,$A396,$C$5:$C$639,$C396-1,$D$5:$D$639,$D396)=0,K396*SUMIFS(K$5:K$639,$A$5:$A$639,$A396,$C$5:$C$639,$C396-1,$D$5:$D$639,$D396)&lt;0),"n.s.",ABS(K396)/ABS(SUMIFS(K$5:K$639,$A$5:$A$639,$A396,$C$5:$C$639,$C396-1,$D$5:$D$639,$D396))-1)))</f>
        <v/>
      </c>
      <c r="T396" s="16">
        <f>IF(OR($A396="",L396="",$C396=""),"",IF(COUNTIFS($A$5:$A$639,$A396,$C$5:$C$639,$C396-1,$D$5:$D$639,$D396,L$5:L$639,"&lt;&gt;")=0,"",IF(OR(SUMIFS(L$5:L$639,$A$5:$A$639,$A396,$C$5:$C$639,$C396-1,$D$5:$D$639,$D396)=0,L396*SUMIFS(L$5:L$639,$A$5:$A$639,$A396,$C$5:$C$639,$C396-1,$D$5:$D$639,$D396)&lt;0),"n.s.",ABS(L396)/ABS(SUMIFS(L$5:L$639,$A$5:$A$639,$A396,$C$5:$C$639,$C396-1,$D$5:$D$639,$D396))-1)))</f>
        <v/>
      </c>
      <c r="U396" s="16">
        <f>IF(OR($A396="",M396="",$C396=""),"",IF(COUNTIFS($A$5:$A$639,$A396,$C$5:$C$639,$C396-1,$D$5:$D$639,$D396,M$5:M$639,"&lt;&gt;")=0,"",IF(OR(SUMIFS(M$5:M$639,$A$5:$A$639,$A396,$C$5:$C$639,$C396-1,$D$5:$D$639,$D396)=0,M396*SUMIFS(M$5:M$639,$A$5:$A$639,$A396,$C$5:$C$639,$C396-1,$D$5:$D$639,$D396)&lt;0),"n.s.",ABS(M396)/ABS(SUMIFS(M$5:M$639,$A$5:$A$639,$A396,$C$5:$C$639,$C396-1,$D$5:$D$639,$D396))-1)))</f>
        <v/>
      </c>
    </row>
    <row r="397">
      <c r="A397" s="9" t="inlineStr">
        <is>
          <t>STAC</t>
        </is>
      </c>
      <c r="B397" s="10">
        <f>IF(A397="","",IFERROR(VLOOKUP(A397,Titres!$A$2:$B$400,2,FALSE),"Ticker inconnu"))</f>
        <v/>
      </c>
      <c r="C397" s="11" t="n">
        <v>2025</v>
      </c>
      <c r="D397" s="11" t="inlineStr">
        <is>
          <t>T3</t>
        </is>
      </c>
      <c r="E397" s="9" t="n"/>
      <c r="F397" s="12" t="n"/>
      <c r="G397" s="9" t="n"/>
      <c r="H397" s="13" t="n"/>
      <c r="I397" s="13" t="n"/>
      <c r="J397" s="13" t="n"/>
      <c r="K397" s="13" t="n"/>
      <c r="L397" s="13" t="n"/>
      <c r="M397" s="13" t="n"/>
      <c r="N397" s="14">
        <f>IF(A397="","",COUNT(H397:M397)/6)</f>
        <v/>
      </c>
      <c r="O397" s="15">
        <f>IF(COUNT(H397:M397)=0,"",IF(LEN(IF(COUNT(I397,J397)=2,IF(J397&gt;I397+1,"EBE &gt; VA ",""),"")&amp;IF(COUNT(H397,M397)=2,IF(ABS(M397)&gt;ABS(H397),"RN &gt; CA ",""),"")&amp;IF(COUNT(H397,K397)=2,IF(ABS(K397)&gt;ABS(H397),"RE &gt; CA ",""),""))=0,"OK",IF(COUNT(I397,J397)=2,IF(J397&gt;I397+1,"EBE &gt; VA ",""),"")&amp;IF(COUNT(H397,M397)=2,IF(ABS(M397)&gt;ABS(H397),"RN &gt; CA ",""),"")&amp;IF(COUNT(H397,K397)=2,IF(ABS(K397)&gt;ABS(H397),"RE &gt; CA ",""),"")))</f>
        <v/>
      </c>
      <c r="P397" s="16">
        <f>IF(OR($A397="",H397="",$C397=""),"",IF(COUNTIFS($A$5:$A$639,$A397,$C$5:$C$639,$C397-1,$D$5:$D$639,$D397,H$5:H$639,"&lt;&gt;")=0,"",IF(OR(SUMIFS(H$5:H$639,$A$5:$A$639,$A397,$C$5:$C$639,$C397-1,$D$5:$D$639,$D397)=0,H397*SUMIFS(H$5:H$639,$A$5:$A$639,$A397,$C$5:$C$639,$C397-1,$D$5:$D$639,$D397)&lt;0),"n.s.",ABS(H397)/ABS(SUMIFS(H$5:H$639,$A$5:$A$639,$A397,$C$5:$C$639,$C397-1,$D$5:$D$639,$D397))-1)))</f>
        <v/>
      </c>
      <c r="Q397" s="16">
        <f>IF(OR($A397="",I397="",$C397=""),"",IF(COUNTIFS($A$5:$A$639,$A397,$C$5:$C$639,$C397-1,$D$5:$D$639,$D397,I$5:I$639,"&lt;&gt;")=0,"",IF(OR(SUMIFS(I$5:I$639,$A$5:$A$639,$A397,$C$5:$C$639,$C397-1,$D$5:$D$639,$D397)=0,I397*SUMIFS(I$5:I$639,$A$5:$A$639,$A397,$C$5:$C$639,$C397-1,$D$5:$D$639,$D397)&lt;0),"n.s.",ABS(I397)/ABS(SUMIFS(I$5:I$639,$A$5:$A$639,$A397,$C$5:$C$639,$C397-1,$D$5:$D$639,$D397))-1)))</f>
        <v/>
      </c>
      <c r="R397" s="16">
        <f>IF(OR($A397="",J397="",$C397=""),"",IF(COUNTIFS($A$5:$A$639,$A397,$C$5:$C$639,$C397-1,$D$5:$D$639,$D397,J$5:J$639,"&lt;&gt;")=0,"",IF(OR(SUMIFS(J$5:J$639,$A$5:$A$639,$A397,$C$5:$C$639,$C397-1,$D$5:$D$639,$D397)=0,J397*SUMIFS(J$5:J$639,$A$5:$A$639,$A397,$C$5:$C$639,$C397-1,$D$5:$D$639,$D397)&lt;0),"n.s.",ABS(J397)/ABS(SUMIFS(J$5:J$639,$A$5:$A$639,$A397,$C$5:$C$639,$C397-1,$D$5:$D$639,$D397))-1)))</f>
        <v/>
      </c>
      <c r="S397" s="16">
        <f>IF(OR($A397="",K397="",$C397=""),"",IF(COUNTIFS($A$5:$A$639,$A397,$C$5:$C$639,$C397-1,$D$5:$D$639,$D397,K$5:K$639,"&lt;&gt;")=0,"",IF(OR(SUMIFS(K$5:K$639,$A$5:$A$639,$A397,$C$5:$C$639,$C397-1,$D$5:$D$639,$D397)=0,K397*SUMIFS(K$5:K$639,$A$5:$A$639,$A397,$C$5:$C$639,$C397-1,$D$5:$D$639,$D397)&lt;0),"n.s.",ABS(K397)/ABS(SUMIFS(K$5:K$639,$A$5:$A$639,$A397,$C$5:$C$639,$C397-1,$D$5:$D$639,$D397))-1)))</f>
        <v/>
      </c>
      <c r="T397" s="16">
        <f>IF(OR($A397="",L397="",$C397=""),"",IF(COUNTIFS($A$5:$A$639,$A397,$C$5:$C$639,$C397-1,$D$5:$D$639,$D397,L$5:L$639,"&lt;&gt;")=0,"",IF(OR(SUMIFS(L$5:L$639,$A$5:$A$639,$A397,$C$5:$C$639,$C397-1,$D$5:$D$639,$D397)=0,L397*SUMIFS(L$5:L$639,$A$5:$A$639,$A397,$C$5:$C$639,$C397-1,$D$5:$D$639,$D397)&lt;0),"n.s.",ABS(L397)/ABS(SUMIFS(L$5:L$639,$A$5:$A$639,$A397,$C$5:$C$639,$C397-1,$D$5:$D$639,$D397))-1)))</f>
        <v/>
      </c>
      <c r="U397" s="16">
        <f>IF(OR($A397="",M397="",$C397=""),"",IF(COUNTIFS($A$5:$A$639,$A397,$C$5:$C$639,$C397-1,$D$5:$D$639,$D397,M$5:M$639,"&lt;&gt;")=0,"",IF(OR(SUMIFS(M$5:M$639,$A$5:$A$639,$A397,$C$5:$C$639,$C397-1,$D$5:$D$639,$D397)=0,M397*SUMIFS(M$5:M$639,$A$5:$A$639,$A397,$C$5:$C$639,$C397-1,$D$5:$D$639,$D397)&lt;0),"n.s.",ABS(M397)/ABS(SUMIFS(M$5:M$639,$A$5:$A$639,$A397,$C$5:$C$639,$C397-1,$D$5:$D$639,$D397))-1)))</f>
        <v/>
      </c>
    </row>
    <row r="398">
      <c r="A398" s="9" t="inlineStr">
        <is>
          <t>STAC</t>
        </is>
      </c>
      <c r="B398" s="10">
        <f>IF(A398="","",IFERROR(VLOOKUP(A398,Titres!$A$2:$B$400,2,FALSE),"Ticker inconnu"))</f>
        <v/>
      </c>
      <c r="C398" s="11" t="n">
        <v>2026</v>
      </c>
      <c r="D398" s="11" t="inlineStr">
        <is>
          <t>T1</t>
        </is>
      </c>
      <c r="E398" s="9" t="n"/>
      <c r="F398" s="12" t="n"/>
      <c r="G398" s="9" t="n"/>
      <c r="H398" s="13" t="n"/>
      <c r="I398" s="13" t="n"/>
      <c r="J398" s="13" t="n"/>
      <c r="K398" s="13" t="n"/>
      <c r="L398" s="13" t="n"/>
      <c r="M398" s="13" t="n"/>
      <c r="N398" s="14">
        <f>IF(A398="","",COUNT(H398:M398)/6)</f>
        <v/>
      </c>
      <c r="O398" s="15">
        <f>IF(COUNT(H398:M398)=0,"",IF(LEN(IF(COUNT(I398,J398)=2,IF(J398&gt;I398+1,"EBE &gt; VA ",""),"")&amp;IF(COUNT(H398,M398)=2,IF(ABS(M398)&gt;ABS(H398),"RN &gt; CA ",""),"")&amp;IF(COUNT(H398,K398)=2,IF(ABS(K398)&gt;ABS(H398),"RE &gt; CA ",""),""))=0,"OK",IF(COUNT(I398,J398)=2,IF(J398&gt;I398+1,"EBE &gt; VA ",""),"")&amp;IF(COUNT(H398,M398)=2,IF(ABS(M398)&gt;ABS(H398),"RN &gt; CA ",""),"")&amp;IF(COUNT(H398,K398)=2,IF(ABS(K398)&gt;ABS(H398),"RE &gt; CA ",""),"")))</f>
        <v/>
      </c>
      <c r="P398" s="16">
        <f>IF(OR($A398="",H398="",$C398=""),"",IF(COUNTIFS($A$5:$A$639,$A398,$C$5:$C$639,$C398-1,$D$5:$D$639,$D398,H$5:H$639,"&lt;&gt;")=0,"",IF(OR(SUMIFS(H$5:H$639,$A$5:$A$639,$A398,$C$5:$C$639,$C398-1,$D$5:$D$639,$D398)=0,H398*SUMIFS(H$5:H$639,$A$5:$A$639,$A398,$C$5:$C$639,$C398-1,$D$5:$D$639,$D398)&lt;0),"n.s.",ABS(H398)/ABS(SUMIFS(H$5:H$639,$A$5:$A$639,$A398,$C$5:$C$639,$C398-1,$D$5:$D$639,$D398))-1)))</f>
        <v/>
      </c>
      <c r="Q398" s="16">
        <f>IF(OR($A398="",I398="",$C398=""),"",IF(COUNTIFS($A$5:$A$639,$A398,$C$5:$C$639,$C398-1,$D$5:$D$639,$D398,I$5:I$639,"&lt;&gt;")=0,"",IF(OR(SUMIFS(I$5:I$639,$A$5:$A$639,$A398,$C$5:$C$639,$C398-1,$D$5:$D$639,$D398)=0,I398*SUMIFS(I$5:I$639,$A$5:$A$639,$A398,$C$5:$C$639,$C398-1,$D$5:$D$639,$D398)&lt;0),"n.s.",ABS(I398)/ABS(SUMIFS(I$5:I$639,$A$5:$A$639,$A398,$C$5:$C$639,$C398-1,$D$5:$D$639,$D398))-1)))</f>
        <v/>
      </c>
      <c r="R398" s="16">
        <f>IF(OR($A398="",J398="",$C398=""),"",IF(COUNTIFS($A$5:$A$639,$A398,$C$5:$C$639,$C398-1,$D$5:$D$639,$D398,J$5:J$639,"&lt;&gt;")=0,"",IF(OR(SUMIFS(J$5:J$639,$A$5:$A$639,$A398,$C$5:$C$639,$C398-1,$D$5:$D$639,$D398)=0,J398*SUMIFS(J$5:J$639,$A$5:$A$639,$A398,$C$5:$C$639,$C398-1,$D$5:$D$639,$D398)&lt;0),"n.s.",ABS(J398)/ABS(SUMIFS(J$5:J$639,$A$5:$A$639,$A398,$C$5:$C$639,$C398-1,$D$5:$D$639,$D398))-1)))</f>
        <v/>
      </c>
      <c r="S398" s="16">
        <f>IF(OR($A398="",K398="",$C398=""),"",IF(COUNTIFS($A$5:$A$639,$A398,$C$5:$C$639,$C398-1,$D$5:$D$639,$D398,K$5:K$639,"&lt;&gt;")=0,"",IF(OR(SUMIFS(K$5:K$639,$A$5:$A$639,$A398,$C$5:$C$639,$C398-1,$D$5:$D$639,$D398)=0,K398*SUMIFS(K$5:K$639,$A$5:$A$639,$A398,$C$5:$C$639,$C398-1,$D$5:$D$639,$D398)&lt;0),"n.s.",ABS(K398)/ABS(SUMIFS(K$5:K$639,$A$5:$A$639,$A398,$C$5:$C$639,$C398-1,$D$5:$D$639,$D398))-1)))</f>
        <v/>
      </c>
      <c r="T398" s="16">
        <f>IF(OR($A398="",L398="",$C398=""),"",IF(COUNTIFS($A$5:$A$639,$A398,$C$5:$C$639,$C398-1,$D$5:$D$639,$D398,L$5:L$639,"&lt;&gt;")=0,"",IF(OR(SUMIFS(L$5:L$639,$A$5:$A$639,$A398,$C$5:$C$639,$C398-1,$D$5:$D$639,$D398)=0,L398*SUMIFS(L$5:L$639,$A$5:$A$639,$A398,$C$5:$C$639,$C398-1,$D$5:$D$639,$D398)&lt;0),"n.s.",ABS(L398)/ABS(SUMIFS(L$5:L$639,$A$5:$A$639,$A398,$C$5:$C$639,$C398-1,$D$5:$D$639,$D398))-1)))</f>
        <v/>
      </c>
      <c r="U398" s="16">
        <f>IF(OR($A398="",M398="",$C398=""),"",IF(COUNTIFS($A$5:$A$639,$A398,$C$5:$C$639,$C398-1,$D$5:$D$639,$D398,M$5:M$639,"&lt;&gt;")=0,"",IF(OR(SUMIFS(M$5:M$639,$A$5:$A$639,$A398,$C$5:$C$639,$C398-1,$D$5:$D$639,$D398)=0,M398*SUMIFS(M$5:M$639,$A$5:$A$639,$A398,$C$5:$C$639,$C398-1,$D$5:$D$639,$D398)&lt;0),"n.s.",ABS(M398)/ABS(SUMIFS(M$5:M$639,$A$5:$A$639,$A398,$C$5:$C$639,$C398-1,$D$5:$D$639,$D398))-1)))</f>
        <v/>
      </c>
    </row>
    <row r="399">
      <c r="A399" s="9" t="inlineStr">
        <is>
          <t>STAC</t>
        </is>
      </c>
      <c r="B399" s="10">
        <f>IF(A399="","",IFERROR(VLOOKUP(A399,Titres!$A$2:$B$400,2,FALSE),"Ticker inconnu"))</f>
        <v/>
      </c>
      <c r="C399" s="11" t="n">
        <v>2026</v>
      </c>
      <c r="D399" s="11" t="inlineStr">
        <is>
          <t>S1</t>
        </is>
      </c>
      <c r="E399" s="9" t="n"/>
      <c r="F399" s="12" t="n"/>
      <c r="G399" s="9" t="n"/>
      <c r="H399" s="13" t="n"/>
      <c r="I399" s="13" t="n"/>
      <c r="J399" s="13" t="n"/>
      <c r="K399" s="13" t="n"/>
      <c r="L399" s="13" t="n"/>
      <c r="M399" s="13" t="n"/>
      <c r="N399" s="14">
        <f>IF(A399="","",COUNT(H399:M399)/6)</f>
        <v/>
      </c>
      <c r="O399" s="15">
        <f>IF(COUNT(H399:M399)=0,"",IF(LEN(IF(COUNT(I399,J399)=2,IF(J399&gt;I399+1,"EBE &gt; VA ",""),"")&amp;IF(COUNT(H399,M399)=2,IF(ABS(M399)&gt;ABS(H399),"RN &gt; CA ",""),"")&amp;IF(COUNT(H399,K399)=2,IF(ABS(K399)&gt;ABS(H399),"RE &gt; CA ",""),""))=0,"OK",IF(COUNT(I399,J399)=2,IF(J399&gt;I399+1,"EBE &gt; VA ",""),"")&amp;IF(COUNT(H399,M399)=2,IF(ABS(M399)&gt;ABS(H399),"RN &gt; CA ",""),"")&amp;IF(COUNT(H399,K399)=2,IF(ABS(K399)&gt;ABS(H399),"RE &gt; CA ",""),"")))</f>
        <v/>
      </c>
      <c r="P399" s="16">
        <f>IF(OR($A399="",H399="",$C399=""),"",IF(COUNTIFS($A$5:$A$639,$A399,$C$5:$C$639,$C399-1,$D$5:$D$639,$D399,H$5:H$639,"&lt;&gt;")=0,"",IF(OR(SUMIFS(H$5:H$639,$A$5:$A$639,$A399,$C$5:$C$639,$C399-1,$D$5:$D$639,$D399)=0,H399*SUMIFS(H$5:H$639,$A$5:$A$639,$A399,$C$5:$C$639,$C399-1,$D$5:$D$639,$D399)&lt;0),"n.s.",ABS(H399)/ABS(SUMIFS(H$5:H$639,$A$5:$A$639,$A399,$C$5:$C$639,$C399-1,$D$5:$D$639,$D399))-1)))</f>
        <v/>
      </c>
      <c r="Q399" s="16">
        <f>IF(OR($A399="",I399="",$C399=""),"",IF(COUNTIFS($A$5:$A$639,$A399,$C$5:$C$639,$C399-1,$D$5:$D$639,$D399,I$5:I$639,"&lt;&gt;")=0,"",IF(OR(SUMIFS(I$5:I$639,$A$5:$A$639,$A399,$C$5:$C$639,$C399-1,$D$5:$D$639,$D399)=0,I399*SUMIFS(I$5:I$639,$A$5:$A$639,$A399,$C$5:$C$639,$C399-1,$D$5:$D$639,$D399)&lt;0),"n.s.",ABS(I399)/ABS(SUMIFS(I$5:I$639,$A$5:$A$639,$A399,$C$5:$C$639,$C399-1,$D$5:$D$639,$D399))-1)))</f>
        <v/>
      </c>
      <c r="R399" s="16">
        <f>IF(OR($A399="",J399="",$C399=""),"",IF(COUNTIFS($A$5:$A$639,$A399,$C$5:$C$639,$C399-1,$D$5:$D$639,$D399,J$5:J$639,"&lt;&gt;")=0,"",IF(OR(SUMIFS(J$5:J$639,$A$5:$A$639,$A399,$C$5:$C$639,$C399-1,$D$5:$D$639,$D399)=0,J399*SUMIFS(J$5:J$639,$A$5:$A$639,$A399,$C$5:$C$639,$C399-1,$D$5:$D$639,$D399)&lt;0),"n.s.",ABS(J399)/ABS(SUMIFS(J$5:J$639,$A$5:$A$639,$A399,$C$5:$C$639,$C399-1,$D$5:$D$639,$D399))-1)))</f>
        <v/>
      </c>
      <c r="S399" s="16">
        <f>IF(OR($A399="",K399="",$C399=""),"",IF(COUNTIFS($A$5:$A$639,$A399,$C$5:$C$639,$C399-1,$D$5:$D$639,$D399,K$5:K$639,"&lt;&gt;")=0,"",IF(OR(SUMIFS(K$5:K$639,$A$5:$A$639,$A399,$C$5:$C$639,$C399-1,$D$5:$D$639,$D399)=0,K399*SUMIFS(K$5:K$639,$A$5:$A$639,$A399,$C$5:$C$639,$C399-1,$D$5:$D$639,$D399)&lt;0),"n.s.",ABS(K399)/ABS(SUMIFS(K$5:K$639,$A$5:$A$639,$A399,$C$5:$C$639,$C399-1,$D$5:$D$639,$D399))-1)))</f>
        <v/>
      </c>
      <c r="T399" s="16">
        <f>IF(OR($A399="",L399="",$C399=""),"",IF(COUNTIFS($A$5:$A$639,$A399,$C$5:$C$639,$C399-1,$D$5:$D$639,$D399,L$5:L$639,"&lt;&gt;")=0,"",IF(OR(SUMIFS(L$5:L$639,$A$5:$A$639,$A399,$C$5:$C$639,$C399-1,$D$5:$D$639,$D399)=0,L399*SUMIFS(L$5:L$639,$A$5:$A$639,$A399,$C$5:$C$639,$C399-1,$D$5:$D$639,$D399)&lt;0),"n.s.",ABS(L399)/ABS(SUMIFS(L$5:L$639,$A$5:$A$639,$A399,$C$5:$C$639,$C399-1,$D$5:$D$639,$D399))-1)))</f>
        <v/>
      </c>
      <c r="U399" s="16">
        <f>IF(OR($A399="",M399="",$C399=""),"",IF(COUNTIFS($A$5:$A$639,$A399,$C$5:$C$639,$C399-1,$D$5:$D$639,$D399,M$5:M$639,"&lt;&gt;")=0,"",IF(OR(SUMIFS(M$5:M$639,$A$5:$A$639,$A399,$C$5:$C$639,$C399-1,$D$5:$D$639,$D399)=0,M399*SUMIFS(M$5:M$639,$A$5:$A$639,$A399,$C$5:$C$639,$C399-1,$D$5:$D$639,$D399)&lt;0),"n.s.",ABS(M399)/ABS(SUMIFS(M$5:M$639,$A$5:$A$639,$A399,$C$5:$C$639,$C399-1,$D$5:$D$639,$D399))-1)))</f>
        <v/>
      </c>
    </row>
    <row r="400">
      <c r="A400" s="9" t="inlineStr">
        <is>
          <t>STAC</t>
        </is>
      </c>
      <c r="B400" s="10">
        <f>IF(A400="","",IFERROR(VLOOKUP(A400,Titres!$A$2:$B$400,2,FALSE),"Ticker inconnu"))</f>
        <v/>
      </c>
      <c r="C400" s="11" t="n">
        <v>2026</v>
      </c>
      <c r="D400" s="11" t="inlineStr">
        <is>
          <t>T3</t>
        </is>
      </c>
      <c r="E400" s="9" t="n"/>
      <c r="F400" s="12" t="n"/>
      <c r="G400" s="9" t="n"/>
      <c r="H400" s="13" t="n"/>
      <c r="I400" s="13" t="n"/>
      <c r="J400" s="13" t="n"/>
      <c r="K400" s="13" t="n"/>
      <c r="L400" s="13" t="n"/>
      <c r="M400" s="13" t="n"/>
      <c r="N400" s="14">
        <f>IF(A400="","",COUNT(H400:M400)/6)</f>
        <v/>
      </c>
      <c r="O400" s="15">
        <f>IF(COUNT(H400:M400)=0,"",IF(LEN(IF(COUNT(I400,J400)=2,IF(J400&gt;I400+1,"EBE &gt; VA ",""),"")&amp;IF(COUNT(H400,M400)=2,IF(ABS(M400)&gt;ABS(H400),"RN &gt; CA ",""),"")&amp;IF(COUNT(H400,K400)=2,IF(ABS(K400)&gt;ABS(H400),"RE &gt; CA ",""),""))=0,"OK",IF(COUNT(I400,J400)=2,IF(J400&gt;I400+1,"EBE &gt; VA ",""),"")&amp;IF(COUNT(H400,M400)=2,IF(ABS(M400)&gt;ABS(H400),"RN &gt; CA ",""),"")&amp;IF(COUNT(H400,K400)=2,IF(ABS(K400)&gt;ABS(H400),"RE &gt; CA ",""),"")))</f>
        <v/>
      </c>
      <c r="P400" s="16">
        <f>IF(OR($A400="",H400="",$C400=""),"",IF(COUNTIFS($A$5:$A$639,$A400,$C$5:$C$639,$C400-1,$D$5:$D$639,$D400,H$5:H$639,"&lt;&gt;")=0,"",IF(OR(SUMIFS(H$5:H$639,$A$5:$A$639,$A400,$C$5:$C$639,$C400-1,$D$5:$D$639,$D400)=0,H400*SUMIFS(H$5:H$639,$A$5:$A$639,$A400,$C$5:$C$639,$C400-1,$D$5:$D$639,$D400)&lt;0),"n.s.",ABS(H400)/ABS(SUMIFS(H$5:H$639,$A$5:$A$639,$A400,$C$5:$C$639,$C400-1,$D$5:$D$639,$D400))-1)))</f>
        <v/>
      </c>
      <c r="Q400" s="16">
        <f>IF(OR($A400="",I400="",$C400=""),"",IF(COUNTIFS($A$5:$A$639,$A400,$C$5:$C$639,$C400-1,$D$5:$D$639,$D400,I$5:I$639,"&lt;&gt;")=0,"",IF(OR(SUMIFS(I$5:I$639,$A$5:$A$639,$A400,$C$5:$C$639,$C400-1,$D$5:$D$639,$D400)=0,I400*SUMIFS(I$5:I$639,$A$5:$A$639,$A400,$C$5:$C$639,$C400-1,$D$5:$D$639,$D400)&lt;0),"n.s.",ABS(I400)/ABS(SUMIFS(I$5:I$639,$A$5:$A$639,$A400,$C$5:$C$639,$C400-1,$D$5:$D$639,$D400))-1)))</f>
        <v/>
      </c>
      <c r="R400" s="16">
        <f>IF(OR($A400="",J400="",$C400=""),"",IF(COUNTIFS($A$5:$A$639,$A400,$C$5:$C$639,$C400-1,$D$5:$D$639,$D400,J$5:J$639,"&lt;&gt;")=0,"",IF(OR(SUMIFS(J$5:J$639,$A$5:$A$639,$A400,$C$5:$C$639,$C400-1,$D$5:$D$639,$D400)=0,J400*SUMIFS(J$5:J$639,$A$5:$A$639,$A400,$C$5:$C$639,$C400-1,$D$5:$D$639,$D400)&lt;0),"n.s.",ABS(J400)/ABS(SUMIFS(J$5:J$639,$A$5:$A$639,$A400,$C$5:$C$639,$C400-1,$D$5:$D$639,$D400))-1)))</f>
        <v/>
      </c>
      <c r="S400" s="16">
        <f>IF(OR($A400="",K400="",$C400=""),"",IF(COUNTIFS($A$5:$A$639,$A400,$C$5:$C$639,$C400-1,$D$5:$D$639,$D400,K$5:K$639,"&lt;&gt;")=0,"",IF(OR(SUMIFS(K$5:K$639,$A$5:$A$639,$A400,$C$5:$C$639,$C400-1,$D$5:$D$639,$D400)=0,K400*SUMIFS(K$5:K$639,$A$5:$A$639,$A400,$C$5:$C$639,$C400-1,$D$5:$D$639,$D400)&lt;0),"n.s.",ABS(K400)/ABS(SUMIFS(K$5:K$639,$A$5:$A$639,$A400,$C$5:$C$639,$C400-1,$D$5:$D$639,$D400))-1)))</f>
        <v/>
      </c>
      <c r="T400" s="16">
        <f>IF(OR($A400="",L400="",$C400=""),"",IF(COUNTIFS($A$5:$A$639,$A400,$C$5:$C$639,$C400-1,$D$5:$D$639,$D400,L$5:L$639,"&lt;&gt;")=0,"",IF(OR(SUMIFS(L$5:L$639,$A$5:$A$639,$A400,$C$5:$C$639,$C400-1,$D$5:$D$639,$D400)=0,L400*SUMIFS(L$5:L$639,$A$5:$A$639,$A400,$C$5:$C$639,$C400-1,$D$5:$D$639,$D400)&lt;0),"n.s.",ABS(L400)/ABS(SUMIFS(L$5:L$639,$A$5:$A$639,$A400,$C$5:$C$639,$C400-1,$D$5:$D$639,$D400))-1)))</f>
        <v/>
      </c>
      <c r="U400" s="16">
        <f>IF(OR($A400="",M400="",$C400=""),"",IF(COUNTIFS($A$5:$A$639,$A400,$C$5:$C$639,$C400-1,$D$5:$D$639,$D400,M$5:M$639,"&lt;&gt;")=0,"",IF(OR(SUMIFS(M$5:M$639,$A$5:$A$639,$A400,$C$5:$C$639,$C400-1,$D$5:$D$639,$D400)=0,M400*SUMIFS(M$5:M$639,$A$5:$A$639,$A400,$C$5:$C$639,$C400-1,$D$5:$D$639,$D400)&lt;0),"n.s.",ABS(M400)/ABS(SUMIFS(M$5:M$639,$A$5:$A$639,$A400,$C$5:$C$639,$C400-1,$D$5:$D$639,$D400))-1)))</f>
        <v/>
      </c>
    </row>
    <row r="401">
      <c r="A401" s="9" t="inlineStr">
        <is>
          <t>ETIT</t>
        </is>
      </c>
      <c r="B401" s="10">
        <f>IF(A401="","",IFERROR(VLOOKUP(A401,Titres!$A$2:$B$400,2,FALSE),"Ticker inconnu"))</f>
        <v/>
      </c>
      <c r="C401" s="11" t="n">
        <v>2021</v>
      </c>
      <c r="D401" s="11" t="inlineStr">
        <is>
          <t>T1</t>
        </is>
      </c>
      <c r="E401" s="9" t="n"/>
      <c r="F401" s="12" t="n"/>
      <c r="G401" s="9" t="n"/>
      <c r="H401" s="13" t="n"/>
      <c r="I401" s="13" t="n"/>
      <c r="J401" s="13" t="n"/>
      <c r="K401" s="13" t="n"/>
      <c r="L401" s="13" t="n"/>
      <c r="M401" s="13" t="n"/>
      <c r="N401" s="14">
        <f>IF(A401="","",COUNT(H401:M401)/6)</f>
        <v/>
      </c>
      <c r="O401" s="15">
        <f>IF(COUNT(H401:M401)=0,"",IF(LEN(IF(COUNT(I401,J401)=2,IF(J401&gt;I401+1,"EBE &gt; VA ",""),"")&amp;IF(COUNT(H401,M401)=2,IF(ABS(M401)&gt;ABS(H401),"RN &gt; CA ",""),"")&amp;IF(COUNT(H401,K401)=2,IF(ABS(K401)&gt;ABS(H401),"RE &gt; CA ",""),""))=0,"OK",IF(COUNT(I401,J401)=2,IF(J401&gt;I401+1,"EBE &gt; VA ",""),"")&amp;IF(COUNT(H401,M401)=2,IF(ABS(M401)&gt;ABS(H401),"RN &gt; CA ",""),"")&amp;IF(COUNT(H401,K401)=2,IF(ABS(K401)&gt;ABS(H401),"RE &gt; CA ",""),"")))</f>
        <v/>
      </c>
      <c r="P401" s="16">
        <f>IF(OR($A401="",H401="",$C401=""),"",IF(COUNTIFS($A$5:$A$639,$A401,$C$5:$C$639,$C401-1,$D$5:$D$639,$D401,H$5:H$639,"&lt;&gt;")=0,"",IF(OR(SUMIFS(H$5:H$639,$A$5:$A$639,$A401,$C$5:$C$639,$C401-1,$D$5:$D$639,$D401)=0,H401*SUMIFS(H$5:H$639,$A$5:$A$639,$A401,$C$5:$C$639,$C401-1,$D$5:$D$639,$D401)&lt;0),"n.s.",ABS(H401)/ABS(SUMIFS(H$5:H$639,$A$5:$A$639,$A401,$C$5:$C$639,$C401-1,$D$5:$D$639,$D401))-1)))</f>
        <v/>
      </c>
      <c r="Q401" s="16">
        <f>IF(OR($A401="",I401="",$C401=""),"",IF(COUNTIFS($A$5:$A$639,$A401,$C$5:$C$639,$C401-1,$D$5:$D$639,$D401,I$5:I$639,"&lt;&gt;")=0,"",IF(OR(SUMIFS(I$5:I$639,$A$5:$A$639,$A401,$C$5:$C$639,$C401-1,$D$5:$D$639,$D401)=0,I401*SUMIFS(I$5:I$639,$A$5:$A$639,$A401,$C$5:$C$639,$C401-1,$D$5:$D$639,$D401)&lt;0),"n.s.",ABS(I401)/ABS(SUMIFS(I$5:I$639,$A$5:$A$639,$A401,$C$5:$C$639,$C401-1,$D$5:$D$639,$D401))-1)))</f>
        <v/>
      </c>
      <c r="R401" s="16">
        <f>IF(OR($A401="",J401="",$C401=""),"",IF(COUNTIFS($A$5:$A$639,$A401,$C$5:$C$639,$C401-1,$D$5:$D$639,$D401,J$5:J$639,"&lt;&gt;")=0,"",IF(OR(SUMIFS(J$5:J$639,$A$5:$A$639,$A401,$C$5:$C$639,$C401-1,$D$5:$D$639,$D401)=0,J401*SUMIFS(J$5:J$639,$A$5:$A$639,$A401,$C$5:$C$639,$C401-1,$D$5:$D$639,$D401)&lt;0),"n.s.",ABS(J401)/ABS(SUMIFS(J$5:J$639,$A$5:$A$639,$A401,$C$5:$C$639,$C401-1,$D$5:$D$639,$D401))-1)))</f>
        <v/>
      </c>
      <c r="S401" s="16">
        <f>IF(OR($A401="",K401="",$C401=""),"",IF(COUNTIFS($A$5:$A$639,$A401,$C$5:$C$639,$C401-1,$D$5:$D$639,$D401,K$5:K$639,"&lt;&gt;")=0,"",IF(OR(SUMIFS(K$5:K$639,$A$5:$A$639,$A401,$C$5:$C$639,$C401-1,$D$5:$D$639,$D401)=0,K401*SUMIFS(K$5:K$639,$A$5:$A$639,$A401,$C$5:$C$639,$C401-1,$D$5:$D$639,$D401)&lt;0),"n.s.",ABS(K401)/ABS(SUMIFS(K$5:K$639,$A$5:$A$639,$A401,$C$5:$C$639,$C401-1,$D$5:$D$639,$D401))-1)))</f>
        <v/>
      </c>
      <c r="T401" s="16">
        <f>IF(OR($A401="",L401="",$C401=""),"",IF(COUNTIFS($A$5:$A$639,$A401,$C$5:$C$639,$C401-1,$D$5:$D$639,$D401,L$5:L$639,"&lt;&gt;")=0,"",IF(OR(SUMIFS(L$5:L$639,$A$5:$A$639,$A401,$C$5:$C$639,$C401-1,$D$5:$D$639,$D401)=0,L401*SUMIFS(L$5:L$639,$A$5:$A$639,$A401,$C$5:$C$639,$C401-1,$D$5:$D$639,$D401)&lt;0),"n.s.",ABS(L401)/ABS(SUMIFS(L$5:L$639,$A$5:$A$639,$A401,$C$5:$C$639,$C401-1,$D$5:$D$639,$D401))-1)))</f>
        <v/>
      </c>
      <c r="U401" s="16">
        <f>IF(OR($A401="",M401="",$C401=""),"",IF(COUNTIFS($A$5:$A$639,$A401,$C$5:$C$639,$C401-1,$D$5:$D$639,$D401,M$5:M$639,"&lt;&gt;")=0,"",IF(OR(SUMIFS(M$5:M$639,$A$5:$A$639,$A401,$C$5:$C$639,$C401-1,$D$5:$D$639,$D401)=0,M401*SUMIFS(M$5:M$639,$A$5:$A$639,$A401,$C$5:$C$639,$C401-1,$D$5:$D$639,$D401)&lt;0),"n.s.",ABS(M401)/ABS(SUMIFS(M$5:M$639,$A$5:$A$639,$A401,$C$5:$C$639,$C401-1,$D$5:$D$639,$D401))-1)))</f>
        <v/>
      </c>
    </row>
    <row r="402">
      <c r="A402" s="9" t="inlineStr">
        <is>
          <t>ETIT</t>
        </is>
      </c>
      <c r="B402" s="10">
        <f>IF(A402="","",IFERROR(VLOOKUP(A402,Titres!$A$2:$B$400,2,FALSE),"Ticker inconnu"))</f>
        <v/>
      </c>
      <c r="C402" s="11" t="n">
        <v>2021</v>
      </c>
      <c r="D402" s="11" t="inlineStr">
        <is>
          <t>S1</t>
        </is>
      </c>
      <c r="E402" s="9" t="n"/>
      <c r="F402" s="12" t="n"/>
      <c r="G402" s="9" t="n"/>
      <c r="H402" s="13" t="n"/>
      <c r="I402" s="13" t="n"/>
      <c r="J402" s="13" t="n"/>
      <c r="K402" s="13" t="n"/>
      <c r="L402" s="13" t="n"/>
      <c r="M402" s="13" t="n"/>
      <c r="N402" s="14">
        <f>IF(A402="","",COUNT(H402:M402)/6)</f>
        <v/>
      </c>
      <c r="O402" s="15">
        <f>IF(COUNT(H402:M402)=0,"",IF(LEN(IF(COUNT(I402,J402)=2,IF(J402&gt;I402+1,"EBE &gt; VA ",""),"")&amp;IF(COUNT(H402,M402)=2,IF(ABS(M402)&gt;ABS(H402),"RN &gt; CA ",""),"")&amp;IF(COUNT(H402,K402)=2,IF(ABS(K402)&gt;ABS(H402),"RE &gt; CA ",""),""))=0,"OK",IF(COUNT(I402,J402)=2,IF(J402&gt;I402+1,"EBE &gt; VA ",""),"")&amp;IF(COUNT(H402,M402)=2,IF(ABS(M402)&gt;ABS(H402),"RN &gt; CA ",""),"")&amp;IF(COUNT(H402,K402)=2,IF(ABS(K402)&gt;ABS(H402),"RE &gt; CA ",""),"")))</f>
        <v/>
      </c>
      <c r="P402" s="16">
        <f>IF(OR($A402="",H402="",$C402=""),"",IF(COUNTIFS($A$5:$A$639,$A402,$C$5:$C$639,$C402-1,$D$5:$D$639,$D402,H$5:H$639,"&lt;&gt;")=0,"",IF(OR(SUMIFS(H$5:H$639,$A$5:$A$639,$A402,$C$5:$C$639,$C402-1,$D$5:$D$639,$D402)=0,H402*SUMIFS(H$5:H$639,$A$5:$A$639,$A402,$C$5:$C$639,$C402-1,$D$5:$D$639,$D402)&lt;0),"n.s.",ABS(H402)/ABS(SUMIFS(H$5:H$639,$A$5:$A$639,$A402,$C$5:$C$639,$C402-1,$D$5:$D$639,$D402))-1)))</f>
        <v/>
      </c>
      <c r="Q402" s="16">
        <f>IF(OR($A402="",I402="",$C402=""),"",IF(COUNTIFS($A$5:$A$639,$A402,$C$5:$C$639,$C402-1,$D$5:$D$639,$D402,I$5:I$639,"&lt;&gt;")=0,"",IF(OR(SUMIFS(I$5:I$639,$A$5:$A$639,$A402,$C$5:$C$639,$C402-1,$D$5:$D$639,$D402)=0,I402*SUMIFS(I$5:I$639,$A$5:$A$639,$A402,$C$5:$C$639,$C402-1,$D$5:$D$639,$D402)&lt;0),"n.s.",ABS(I402)/ABS(SUMIFS(I$5:I$639,$A$5:$A$639,$A402,$C$5:$C$639,$C402-1,$D$5:$D$639,$D402))-1)))</f>
        <v/>
      </c>
      <c r="R402" s="16">
        <f>IF(OR($A402="",J402="",$C402=""),"",IF(COUNTIFS($A$5:$A$639,$A402,$C$5:$C$639,$C402-1,$D$5:$D$639,$D402,J$5:J$639,"&lt;&gt;")=0,"",IF(OR(SUMIFS(J$5:J$639,$A$5:$A$639,$A402,$C$5:$C$639,$C402-1,$D$5:$D$639,$D402)=0,J402*SUMIFS(J$5:J$639,$A$5:$A$639,$A402,$C$5:$C$639,$C402-1,$D$5:$D$639,$D402)&lt;0),"n.s.",ABS(J402)/ABS(SUMIFS(J$5:J$639,$A$5:$A$639,$A402,$C$5:$C$639,$C402-1,$D$5:$D$639,$D402))-1)))</f>
        <v/>
      </c>
      <c r="S402" s="16">
        <f>IF(OR($A402="",K402="",$C402=""),"",IF(COUNTIFS($A$5:$A$639,$A402,$C$5:$C$639,$C402-1,$D$5:$D$639,$D402,K$5:K$639,"&lt;&gt;")=0,"",IF(OR(SUMIFS(K$5:K$639,$A$5:$A$639,$A402,$C$5:$C$639,$C402-1,$D$5:$D$639,$D402)=0,K402*SUMIFS(K$5:K$639,$A$5:$A$639,$A402,$C$5:$C$639,$C402-1,$D$5:$D$639,$D402)&lt;0),"n.s.",ABS(K402)/ABS(SUMIFS(K$5:K$639,$A$5:$A$639,$A402,$C$5:$C$639,$C402-1,$D$5:$D$639,$D402))-1)))</f>
        <v/>
      </c>
      <c r="T402" s="16">
        <f>IF(OR($A402="",L402="",$C402=""),"",IF(COUNTIFS($A$5:$A$639,$A402,$C$5:$C$639,$C402-1,$D$5:$D$639,$D402,L$5:L$639,"&lt;&gt;")=0,"",IF(OR(SUMIFS(L$5:L$639,$A$5:$A$639,$A402,$C$5:$C$639,$C402-1,$D$5:$D$639,$D402)=0,L402*SUMIFS(L$5:L$639,$A$5:$A$639,$A402,$C$5:$C$639,$C402-1,$D$5:$D$639,$D402)&lt;0),"n.s.",ABS(L402)/ABS(SUMIFS(L$5:L$639,$A$5:$A$639,$A402,$C$5:$C$639,$C402-1,$D$5:$D$639,$D402))-1)))</f>
        <v/>
      </c>
      <c r="U402" s="16">
        <f>IF(OR($A402="",M402="",$C402=""),"",IF(COUNTIFS($A$5:$A$639,$A402,$C$5:$C$639,$C402-1,$D$5:$D$639,$D402,M$5:M$639,"&lt;&gt;")=0,"",IF(OR(SUMIFS(M$5:M$639,$A$5:$A$639,$A402,$C$5:$C$639,$C402-1,$D$5:$D$639,$D402)=0,M402*SUMIFS(M$5:M$639,$A$5:$A$639,$A402,$C$5:$C$639,$C402-1,$D$5:$D$639,$D402)&lt;0),"n.s.",ABS(M402)/ABS(SUMIFS(M$5:M$639,$A$5:$A$639,$A402,$C$5:$C$639,$C402-1,$D$5:$D$639,$D402))-1)))</f>
        <v/>
      </c>
    </row>
    <row r="403">
      <c r="A403" s="9" t="inlineStr">
        <is>
          <t>ETIT</t>
        </is>
      </c>
      <c r="B403" s="10">
        <f>IF(A403="","",IFERROR(VLOOKUP(A403,Titres!$A$2:$B$400,2,FALSE),"Ticker inconnu"))</f>
        <v/>
      </c>
      <c r="C403" s="11" t="n">
        <v>2021</v>
      </c>
      <c r="D403" s="11" t="inlineStr">
        <is>
          <t>T3</t>
        </is>
      </c>
      <c r="E403" s="9" t="n"/>
      <c r="F403" s="12" t="n"/>
      <c r="G403" s="9" t="n"/>
      <c r="H403" s="13" t="n"/>
      <c r="I403" s="13" t="n"/>
      <c r="J403" s="13" t="n"/>
      <c r="K403" s="13" t="n"/>
      <c r="L403" s="13" t="n"/>
      <c r="M403" s="13" t="n"/>
      <c r="N403" s="14">
        <f>IF(A403="","",COUNT(H403:M403)/6)</f>
        <v/>
      </c>
      <c r="O403" s="15">
        <f>IF(COUNT(H403:M403)=0,"",IF(LEN(IF(COUNT(I403,J403)=2,IF(J403&gt;I403+1,"EBE &gt; VA ",""),"")&amp;IF(COUNT(H403,M403)=2,IF(ABS(M403)&gt;ABS(H403),"RN &gt; CA ",""),"")&amp;IF(COUNT(H403,K403)=2,IF(ABS(K403)&gt;ABS(H403),"RE &gt; CA ",""),""))=0,"OK",IF(COUNT(I403,J403)=2,IF(J403&gt;I403+1,"EBE &gt; VA ",""),"")&amp;IF(COUNT(H403,M403)=2,IF(ABS(M403)&gt;ABS(H403),"RN &gt; CA ",""),"")&amp;IF(COUNT(H403,K403)=2,IF(ABS(K403)&gt;ABS(H403),"RE &gt; CA ",""),"")))</f>
        <v/>
      </c>
      <c r="P403" s="16">
        <f>IF(OR($A403="",H403="",$C403=""),"",IF(COUNTIFS($A$5:$A$639,$A403,$C$5:$C$639,$C403-1,$D$5:$D$639,$D403,H$5:H$639,"&lt;&gt;")=0,"",IF(OR(SUMIFS(H$5:H$639,$A$5:$A$639,$A403,$C$5:$C$639,$C403-1,$D$5:$D$639,$D403)=0,H403*SUMIFS(H$5:H$639,$A$5:$A$639,$A403,$C$5:$C$639,$C403-1,$D$5:$D$639,$D403)&lt;0),"n.s.",ABS(H403)/ABS(SUMIFS(H$5:H$639,$A$5:$A$639,$A403,$C$5:$C$639,$C403-1,$D$5:$D$639,$D403))-1)))</f>
        <v/>
      </c>
      <c r="Q403" s="16">
        <f>IF(OR($A403="",I403="",$C403=""),"",IF(COUNTIFS($A$5:$A$639,$A403,$C$5:$C$639,$C403-1,$D$5:$D$639,$D403,I$5:I$639,"&lt;&gt;")=0,"",IF(OR(SUMIFS(I$5:I$639,$A$5:$A$639,$A403,$C$5:$C$639,$C403-1,$D$5:$D$639,$D403)=0,I403*SUMIFS(I$5:I$639,$A$5:$A$639,$A403,$C$5:$C$639,$C403-1,$D$5:$D$639,$D403)&lt;0),"n.s.",ABS(I403)/ABS(SUMIFS(I$5:I$639,$A$5:$A$639,$A403,$C$5:$C$639,$C403-1,$D$5:$D$639,$D403))-1)))</f>
        <v/>
      </c>
      <c r="R403" s="16">
        <f>IF(OR($A403="",J403="",$C403=""),"",IF(COUNTIFS($A$5:$A$639,$A403,$C$5:$C$639,$C403-1,$D$5:$D$639,$D403,J$5:J$639,"&lt;&gt;")=0,"",IF(OR(SUMIFS(J$5:J$639,$A$5:$A$639,$A403,$C$5:$C$639,$C403-1,$D$5:$D$639,$D403)=0,J403*SUMIFS(J$5:J$639,$A$5:$A$639,$A403,$C$5:$C$639,$C403-1,$D$5:$D$639,$D403)&lt;0),"n.s.",ABS(J403)/ABS(SUMIFS(J$5:J$639,$A$5:$A$639,$A403,$C$5:$C$639,$C403-1,$D$5:$D$639,$D403))-1)))</f>
        <v/>
      </c>
      <c r="S403" s="16">
        <f>IF(OR($A403="",K403="",$C403=""),"",IF(COUNTIFS($A$5:$A$639,$A403,$C$5:$C$639,$C403-1,$D$5:$D$639,$D403,K$5:K$639,"&lt;&gt;")=0,"",IF(OR(SUMIFS(K$5:K$639,$A$5:$A$639,$A403,$C$5:$C$639,$C403-1,$D$5:$D$639,$D403)=0,K403*SUMIFS(K$5:K$639,$A$5:$A$639,$A403,$C$5:$C$639,$C403-1,$D$5:$D$639,$D403)&lt;0),"n.s.",ABS(K403)/ABS(SUMIFS(K$5:K$639,$A$5:$A$639,$A403,$C$5:$C$639,$C403-1,$D$5:$D$639,$D403))-1)))</f>
        <v/>
      </c>
      <c r="T403" s="16">
        <f>IF(OR($A403="",L403="",$C403=""),"",IF(COUNTIFS($A$5:$A$639,$A403,$C$5:$C$639,$C403-1,$D$5:$D$639,$D403,L$5:L$639,"&lt;&gt;")=0,"",IF(OR(SUMIFS(L$5:L$639,$A$5:$A$639,$A403,$C$5:$C$639,$C403-1,$D$5:$D$639,$D403)=0,L403*SUMIFS(L$5:L$639,$A$5:$A$639,$A403,$C$5:$C$639,$C403-1,$D$5:$D$639,$D403)&lt;0),"n.s.",ABS(L403)/ABS(SUMIFS(L$5:L$639,$A$5:$A$639,$A403,$C$5:$C$639,$C403-1,$D$5:$D$639,$D403))-1)))</f>
        <v/>
      </c>
      <c r="U403" s="16">
        <f>IF(OR($A403="",M403="",$C403=""),"",IF(COUNTIFS($A$5:$A$639,$A403,$C$5:$C$639,$C403-1,$D$5:$D$639,$D403,M$5:M$639,"&lt;&gt;")=0,"",IF(OR(SUMIFS(M$5:M$639,$A$5:$A$639,$A403,$C$5:$C$639,$C403-1,$D$5:$D$639,$D403)=0,M403*SUMIFS(M$5:M$639,$A$5:$A$639,$A403,$C$5:$C$639,$C403-1,$D$5:$D$639,$D403)&lt;0),"n.s.",ABS(M403)/ABS(SUMIFS(M$5:M$639,$A$5:$A$639,$A403,$C$5:$C$639,$C403-1,$D$5:$D$639,$D403))-1)))</f>
        <v/>
      </c>
    </row>
    <row r="404">
      <c r="A404" s="9" t="inlineStr">
        <is>
          <t>ETIT</t>
        </is>
      </c>
      <c r="B404" s="10">
        <f>IF(A404="","",IFERROR(VLOOKUP(A404,Titres!$A$2:$B$400,2,FALSE),"Ticker inconnu"))</f>
        <v/>
      </c>
      <c r="C404" s="11" t="n">
        <v>2022</v>
      </c>
      <c r="D404" s="11" t="inlineStr">
        <is>
          <t>T1</t>
        </is>
      </c>
      <c r="E404" s="9" t="n"/>
      <c r="F404" s="12" t="n"/>
      <c r="G404" s="9" t="n"/>
      <c r="H404" s="13" t="n"/>
      <c r="I404" s="13" t="n"/>
      <c r="J404" s="13" t="n"/>
      <c r="K404" s="13" t="n"/>
      <c r="L404" s="13" t="n"/>
      <c r="M404" s="13" t="n"/>
      <c r="N404" s="14">
        <f>IF(A404="","",COUNT(H404:M404)/6)</f>
        <v/>
      </c>
      <c r="O404" s="15">
        <f>IF(COUNT(H404:M404)=0,"",IF(LEN(IF(COUNT(I404,J404)=2,IF(J404&gt;I404+1,"EBE &gt; VA ",""),"")&amp;IF(COUNT(H404,M404)=2,IF(ABS(M404)&gt;ABS(H404),"RN &gt; CA ",""),"")&amp;IF(COUNT(H404,K404)=2,IF(ABS(K404)&gt;ABS(H404),"RE &gt; CA ",""),""))=0,"OK",IF(COUNT(I404,J404)=2,IF(J404&gt;I404+1,"EBE &gt; VA ",""),"")&amp;IF(COUNT(H404,M404)=2,IF(ABS(M404)&gt;ABS(H404),"RN &gt; CA ",""),"")&amp;IF(COUNT(H404,K404)=2,IF(ABS(K404)&gt;ABS(H404),"RE &gt; CA ",""),"")))</f>
        <v/>
      </c>
      <c r="P404" s="16">
        <f>IF(OR($A404="",H404="",$C404=""),"",IF(COUNTIFS($A$5:$A$639,$A404,$C$5:$C$639,$C404-1,$D$5:$D$639,$D404,H$5:H$639,"&lt;&gt;")=0,"",IF(OR(SUMIFS(H$5:H$639,$A$5:$A$639,$A404,$C$5:$C$639,$C404-1,$D$5:$D$639,$D404)=0,H404*SUMIFS(H$5:H$639,$A$5:$A$639,$A404,$C$5:$C$639,$C404-1,$D$5:$D$639,$D404)&lt;0),"n.s.",ABS(H404)/ABS(SUMIFS(H$5:H$639,$A$5:$A$639,$A404,$C$5:$C$639,$C404-1,$D$5:$D$639,$D404))-1)))</f>
        <v/>
      </c>
      <c r="Q404" s="16">
        <f>IF(OR($A404="",I404="",$C404=""),"",IF(COUNTIFS($A$5:$A$639,$A404,$C$5:$C$639,$C404-1,$D$5:$D$639,$D404,I$5:I$639,"&lt;&gt;")=0,"",IF(OR(SUMIFS(I$5:I$639,$A$5:$A$639,$A404,$C$5:$C$639,$C404-1,$D$5:$D$639,$D404)=0,I404*SUMIFS(I$5:I$639,$A$5:$A$639,$A404,$C$5:$C$639,$C404-1,$D$5:$D$639,$D404)&lt;0),"n.s.",ABS(I404)/ABS(SUMIFS(I$5:I$639,$A$5:$A$639,$A404,$C$5:$C$639,$C404-1,$D$5:$D$639,$D404))-1)))</f>
        <v/>
      </c>
      <c r="R404" s="16">
        <f>IF(OR($A404="",J404="",$C404=""),"",IF(COUNTIFS($A$5:$A$639,$A404,$C$5:$C$639,$C404-1,$D$5:$D$639,$D404,J$5:J$639,"&lt;&gt;")=0,"",IF(OR(SUMIFS(J$5:J$639,$A$5:$A$639,$A404,$C$5:$C$639,$C404-1,$D$5:$D$639,$D404)=0,J404*SUMIFS(J$5:J$639,$A$5:$A$639,$A404,$C$5:$C$639,$C404-1,$D$5:$D$639,$D404)&lt;0),"n.s.",ABS(J404)/ABS(SUMIFS(J$5:J$639,$A$5:$A$639,$A404,$C$5:$C$639,$C404-1,$D$5:$D$639,$D404))-1)))</f>
        <v/>
      </c>
      <c r="S404" s="16">
        <f>IF(OR($A404="",K404="",$C404=""),"",IF(COUNTIFS($A$5:$A$639,$A404,$C$5:$C$639,$C404-1,$D$5:$D$639,$D404,K$5:K$639,"&lt;&gt;")=0,"",IF(OR(SUMIFS(K$5:K$639,$A$5:$A$639,$A404,$C$5:$C$639,$C404-1,$D$5:$D$639,$D404)=0,K404*SUMIFS(K$5:K$639,$A$5:$A$639,$A404,$C$5:$C$639,$C404-1,$D$5:$D$639,$D404)&lt;0),"n.s.",ABS(K404)/ABS(SUMIFS(K$5:K$639,$A$5:$A$639,$A404,$C$5:$C$639,$C404-1,$D$5:$D$639,$D404))-1)))</f>
        <v/>
      </c>
      <c r="T404" s="16">
        <f>IF(OR($A404="",L404="",$C404=""),"",IF(COUNTIFS($A$5:$A$639,$A404,$C$5:$C$639,$C404-1,$D$5:$D$639,$D404,L$5:L$639,"&lt;&gt;")=0,"",IF(OR(SUMIFS(L$5:L$639,$A$5:$A$639,$A404,$C$5:$C$639,$C404-1,$D$5:$D$639,$D404)=0,L404*SUMIFS(L$5:L$639,$A$5:$A$639,$A404,$C$5:$C$639,$C404-1,$D$5:$D$639,$D404)&lt;0),"n.s.",ABS(L404)/ABS(SUMIFS(L$5:L$639,$A$5:$A$639,$A404,$C$5:$C$639,$C404-1,$D$5:$D$639,$D404))-1)))</f>
        <v/>
      </c>
      <c r="U404" s="16">
        <f>IF(OR($A404="",M404="",$C404=""),"",IF(COUNTIFS($A$5:$A$639,$A404,$C$5:$C$639,$C404-1,$D$5:$D$639,$D404,M$5:M$639,"&lt;&gt;")=0,"",IF(OR(SUMIFS(M$5:M$639,$A$5:$A$639,$A404,$C$5:$C$639,$C404-1,$D$5:$D$639,$D404)=0,M404*SUMIFS(M$5:M$639,$A$5:$A$639,$A404,$C$5:$C$639,$C404-1,$D$5:$D$639,$D404)&lt;0),"n.s.",ABS(M404)/ABS(SUMIFS(M$5:M$639,$A$5:$A$639,$A404,$C$5:$C$639,$C404-1,$D$5:$D$639,$D404))-1)))</f>
        <v/>
      </c>
    </row>
    <row r="405">
      <c r="A405" s="9" t="inlineStr">
        <is>
          <t>ETIT</t>
        </is>
      </c>
      <c r="B405" s="10">
        <f>IF(A405="","",IFERROR(VLOOKUP(A405,Titres!$A$2:$B$400,2,FALSE),"Ticker inconnu"))</f>
        <v/>
      </c>
      <c r="C405" s="11" t="n">
        <v>2022</v>
      </c>
      <c r="D405" s="11" t="inlineStr">
        <is>
          <t>S1</t>
        </is>
      </c>
      <c r="E405" s="9" t="n"/>
      <c r="F405" s="12" t="n"/>
      <c r="G405" s="9" t="n"/>
      <c r="H405" s="13" t="n"/>
      <c r="I405" s="13" t="n"/>
      <c r="J405" s="13" t="n"/>
      <c r="K405" s="13" t="n"/>
      <c r="L405" s="13" t="n"/>
      <c r="M405" s="13" t="n"/>
      <c r="N405" s="14">
        <f>IF(A405="","",COUNT(H405:M405)/6)</f>
        <v/>
      </c>
      <c r="O405" s="15">
        <f>IF(COUNT(H405:M405)=0,"",IF(LEN(IF(COUNT(I405,J405)=2,IF(J405&gt;I405+1,"EBE &gt; VA ",""),"")&amp;IF(COUNT(H405,M405)=2,IF(ABS(M405)&gt;ABS(H405),"RN &gt; CA ",""),"")&amp;IF(COUNT(H405,K405)=2,IF(ABS(K405)&gt;ABS(H405),"RE &gt; CA ",""),""))=0,"OK",IF(COUNT(I405,J405)=2,IF(J405&gt;I405+1,"EBE &gt; VA ",""),"")&amp;IF(COUNT(H405,M405)=2,IF(ABS(M405)&gt;ABS(H405),"RN &gt; CA ",""),"")&amp;IF(COUNT(H405,K405)=2,IF(ABS(K405)&gt;ABS(H405),"RE &gt; CA ",""),"")))</f>
        <v/>
      </c>
      <c r="P405" s="16">
        <f>IF(OR($A405="",H405="",$C405=""),"",IF(COUNTIFS($A$5:$A$639,$A405,$C$5:$C$639,$C405-1,$D$5:$D$639,$D405,H$5:H$639,"&lt;&gt;")=0,"",IF(OR(SUMIFS(H$5:H$639,$A$5:$A$639,$A405,$C$5:$C$639,$C405-1,$D$5:$D$639,$D405)=0,H405*SUMIFS(H$5:H$639,$A$5:$A$639,$A405,$C$5:$C$639,$C405-1,$D$5:$D$639,$D405)&lt;0),"n.s.",ABS(H405)/ABS(SUMIFS(H$5:H$639,$A$5:$A$639,$A405,$C$5:$C$639,$C405-1,$D$5:$D$639,$D405))-1)))</f>
        <v/>
      </c>
      <c r="Q405" s="16">
        <f>IF(OR($A405="",I405="",$C405=""),"",IF(COUNTIFS($A$5:$A$639,$A405,$C$5:$C$639,$C405-1,$D$5:$D$639,$D405,I$5:I$639,"&lt;&gt;")=0,"",IF(OR(SUMIFS(I$5:I$639,$A$5:$A$639,$A405,$C$5:$C$639,$C405-1,$D$5:$D$639,$D405)=0,I405*SUMIFS(I$5:I$639,$A$5:$A$639,$A405,$C$5:$C$639,$C405-1,$D$5:$D$639,$D405)&lt;0),"n.s.",ABS(I405)/ABS(SUMIFS(I$5:I$639,$A$5:$A$639,$A405,$C$5:$C$639,$C405-1,$D$5:$D$639,$D405))-1)))</f>
        <v/>
      </c>
      <c r="R405" s="16">
        <f>IF(OR($A405="",J405="",$C405=""),"",IF(COUNTIFS($A$5:$A$639,$A405,$C$5:$C$639,$C405-1,$D$5:$D$639,$D405,J$5:J$639,"&lt;&gt;")=0,"",IF(OR(SUMIFS(J$5:J$639,$A$5:$A$639,$A405,$C$5:$C$639,$C405-1,$D$5:$D$639,$D405)=0,J405*SUMIFS(J$5:J$639,$A$5:$A$639,$A405,$C$5:$C$639,$C405-1,$D$5:$D$639,$D405)&lt;0),"n.s.",ABS(J405)/ABS(SUMIFS(J$5:J$639,$A$5:$A$639,$A405,$C$5:$C$639,$C405-1,$D$5:$D$639,$D405))-1)))</f>
        <v/>
      </c>
      <c r="S405" s="16">
        <f>IF(OR($A405="",K405="",$C405=""),"",IF(COUNTIFS($A$5:$A$639,$A405,$C$5:$C$639,$C405-1,$D$5:$D$639,$D405,K$5:K$639,"&lt;&gt;")=0,"",IF(OR(SUMIFS(K$5:K$639,$A$5:$A$639,$A405,$C$5:$C$639,$C405-1,$D$5:$D$639,$D405)=0,K405*SUMIFS(K$5:K$639,$A$5:$A$639,$A405,$C$5:$C$639,$C405-1,$D$5:$D$639,$D405)&lt;0),"n.s.",ABS(K405)/ABS(SUMIFS(K$5:K$639,$A$5:$A$639,$A405,$C$5:$C$639,$C405-1,$D$5:$D$639,$D405))-1)))</f>
        <v/>
      </c>
      <c r="T405" s="16">
        <f>IF(OR($A405="",L405="",$C405=""),"",IF(COUNTIFS($A$5:$A$639,$A405,$C$5:$C$639,$C405-1,$D$5:$D$639,$D405,L$5:L$639,"&lt;&gt;")=0,"",IF(OR(SUMIFS(L$5:L$639,$A$5:$A$639,$A405,$C$5:$C$639,$C405-1,$D$5:$D$639,$D405)=0,L405*SUMIFS(L$5:L$639,$A$5:$A$639,$A405,$C$5:$C$639,$C405-1,$D$5:$D$639,$D405)&lt;0),"n.s.",ABS(L405)/ABS(SUMIFS(L$5:L$639,$A$5:$A$639,$A405,$C$5:$C$639,$C405-1,$D$5:$D$639,$D405))-1)))</f>
        <v/>
      </c>
      <c r="U405" s="16">
        <f>IF(OR($A405="",M405="",$C405=""),"",IF(COUNTIFS($A$5:$A$639,$A405,$C$5:$C$639,$C405-1,$D$5:$D$639,$D405,M$5:M$639,"&lt;&gt;")=0,"",IF(OR(SUMIFS(M$5:M$639,$A$5:$A$639,$A405,$C$5:$C$639,$C405-1,$D$5:$D$639,$D405)=0,M405*SUMIFS(M$5:M$639,$A$5:$A$639,$A405,$C$5:$C$639,$C405-1,$D$5:$D$639,$D405)&lt;0),"n.s.",ABS(M405)/ABS(SUMIFS(M$5:M$639,$A$5:$A$639,$A405,$C$5:$C$639,$C405-1,$D$5:$D$639,$D405))-1)))</f>
        <v/>
      </c>
    </row>
    <row r="406">
      <c r="A406" s="9" t="inlineStr">
        <is>
          <t>ETIT</t>
        </is>
      </c>
      <c r="B406" s="10">
        <f>IF(A406="","",IFERROR(VLOOKUP(A406,Titres!$A$2:$B$400,2,FALSE),"Ticker inconnu"))</f>
        <v/>
      </c>
      <c r="C406" s="11" t="n">
        <v>2022</v>
      </c>
      <c r="D406" s="11" t="inlineStr">
        <is>
          <t>T3</t>
        </is>
      </c>
      <c r="E406" s="9" t="n"/>
      <c r="F406" s="12" t="n"/>
      <c r="G406" s="9" t="n"/>
      <c r="H406" s="13" t="n"/>
      <c r="I406" s="13" t="n"/>
      <c r="J406" s="13" t="n"/>
      <c r="K406" s="13" t="n"/>
      <c r="L406" s="13" t="n"/>
      <c r="M406" s="13" t="n"/>
      <c r="N406" s="14">
        <f>IF(A406="","",COUNT(H406:M406)/6)</f>
        <v/>
      </c>
      <c r="O406" s="15">
        <f>IF(COUNT(H406:M406)=0,"",IF(LEN(IF(COUNT(I406,J406)=2,IF(J406&gt;I406+1,"EBE &gt; VA ",""),"")&amp;IF(COUNT(H406,M406)=2,IF(ABS(M406)&gt;ABS(H406),"RN &gt; CA ",""),"")&amp;IF(COUNT(H406,K406)=2,IF(ABS(K406)&gt;ABS(H406),"RE &gt; CA ",""),""))=0,"OK",IF(COUNT(I406,J406)=2,IF(J406&gt;I406+1,"EBE &gt; VA ",""),"")&amp;IF(COUNT(H406,M406)=2,IF(ABS(M406)&gt;ABS(H406),"RN &gt; CA ",""),"")&amp;IF(COUNT(H406,K406)=2,IF(ABS(K406)&gt;ABS(H406),"RE &gt; CA ",""),"")))</f>
        <v/>
      </c>
      <c r="P406" s="16">
        <f>IF(OR($A406="",H406="",$C406=""),"",IF(COUNTIFS($A$5:$A$639,$A406,$C$5:$C$639,$C406-1,$D$5:$D$639,$D406,H$5:H$639,"&lt;&gt;")=0,"",IF(OR(SUMIFS(H$5:H$639,$A$5:$A$639,$A406,$C$5:$C$639,$C406-1,$D$5:$D$639,$D406)=0,H406*SUMIFS(H$5:H$639,$A$5:$A$639,$A406,$C$5:$C$639,$C406-1,$D$5:$D$639,$D406)&lt;0),"n.s.",ABS(H406)/ABS(SUMIFS(H$5:H$639,$A$5:$A$639,$A406,$C$5:$C$639,$C406-1,$D$5:$D$639,$D406))-1)))</f>
        <v/>
      </c>
      <c r="Q406" s="16">
        <f>IF(OR($A406="",I406="",$C406=""),"",IF(COUNTIFS($A$5:$A$639,$A406,$C$5:$C$639,$C406-1,$D$5:$D$639,$D406,I$5:I$639,"&lt;&gt;")=0,"",IF(OR(SUMIFS(I$5:I$639,$A$5:$A$639,$A406,$C$5:$C$639,$C406-1,$D$5:$D$639,$D406)=0,I406*SUMIFS(I$5:I$639,$A$5:$A$639,$A406,$C$5:$C$639,$C406-1,$D$5:$D$639,$D406)&lt;0),"n.s.",ABS(I406)/ABS(SUMIFS(I$5:I$639,$A$5:$A$639,$A406,$C$5:$C$639,$C406-1,$D$5:$D$639,$D406))-1)))</f>
        <v/>
      </c>
      <c r="R406" s="16">
        <f>IF(OR($A406="",J406="",$C406=""),"",IF(COUNTIFS($A$5:$A$639,$A406,$C$5:$C$639,$C406-1,$D$5:$D$639,$D406,J$5:J$639,"&lt;&gt;")=0,"",IF(OR(SUMIFS(J$5:J$639,$A$5:$A$639,$A406,$C$5:$C$639,$C406-1,$D$5:$D$639,$D406)=0,J406*SUMIFS(J$5:J$639,$A$5:$A$639,$A406,$C$5:$C$639,$C406-1,$D$5:$D$639,$D406)&lt;0),"n.s.",ABS(J406)/ABS(SUMIFS(J$5:J$639,$A$5:$A$639,$A406,$C$5:$C$639,$C406-1,$D$5:$D$639,$D406))-1)))</f>
        <v/>
      </c>
      <c r="S406" s="16">
        <f>IF(OR($A406="",K406="",$C406=""),"",IF(COUNTIFS($A$5:$A$639,$A406,$C$5:$C$639,$C406-1,$D$5:$D$639,$D406,K$5:K$639,"&lt;&gt;")=0,"",IF(OR(SUMIFS(K$5:K$639,$A$5:$A$639,$A406,$C$5:$C$639,$C406-1,$D$5:$D$639,$D406)=0,K406*SUMIFS(K$5:K$639,$A$5:$A$639,$A406,$C$5:$C$639,$C406-1,$D$5:$D$639,$D406)&lt;0),"n.s.",ABS(K406)/ABS(SUMIFS(K$5:K$639,$A$5:$A$639,$A406,$C$5:$C$639,$C406-1,$D$5:$D$639,$D406))-1)))</f>
        <v/>
      </c>
      <c r="T406" s="16">
        <f>IF(OR($A406="",L406="",$C406=""),"",IF(COUNTIFS($A$5:$A$639,$A406,$C$5:$C$639,$C406-1,$D$5:$D$639,$D406,L$5:L$639,"&lt;&gt;")=0,"",IF(OR(SUMIFS(L$5:L$639,$A$5:$A$639,$A406,$C$5:$C$639,$C406-1,$D$5:$D$639,$D406)=0,L406*SUMIFS(L$5:L$639,$A$5:$A$639,$A406,$C$5:$C$639,$C406-1,$D$5:$D$639,$D406)&lt;0),"n.s.",ABS(L406)/ABS(SUMIFS(L$5:L$639,$A$5:$A$639,$A406,$C$5:$C$639,$C406-1,$D$5:$D$639,$D406))-1)))</f>
        <v/>
      </c>
      <c r="U406" s="16">
        <f>IF(OR($A406="",M406="",$C406=""),"",IF(COUNTIFS($A$5:$A$639,$A406,$C$5:$C$639,$C406-1,$D$5:$D$639,$D406,M$5:M$639,"&lt;&gt;")=0,"",IF(OR(SUMIFS(M$5:M$639,$A$5:$A$639,$A406,$C$5:$C$639,$C406-1,$D$5:$D$639,$D406)=0,M406*SUMIFS(M$5:M$639,$A$5:$A$639,$A406,$C$5:$C$639,$C406-1,$D$5:$D$639,$D406)&lt;0),"n.s.",ABS(M406)/ABS(SUMIFS(M$5:M$639,$A$5:$A$639,$A406,$C$5:$C$639,$C406-1,$D$5:$D$639,$D406))-1)))</f>
        <v/>
      </c>
    </row>
    <row r="407">
      <c r="A407" s="9" t="inlineStr">
        <is>
          <t>ETIT</t>
        </is>
      </c>
      <c r="B407" s="10">
        <f>IF(A407="","",IFERROR(VLOOKUP(A407,Titres!$A$2:$B$400,2,FALSE),"Ticker inconnu"))</f>
        <v/>
      </c>
      <c r="C407" s="11" t="n">
        <v>2023</v>
      </c>
      <c r="D407" s="11" t="inlineStr">
        <is>
          <t>T1</t>
        </is>
      </c>
      <c r="E407" s="9" t="n"/>
      <c r="F407" s="12" t="n"/>
      <c r="G407" s="9" t="n"/>
      <c r="H407" s="13" t="n"/>
      <c r="I407" s="13" t="n"/>
      <c r="J407" s="13" t="n"/>
      <c r="K407" s="13" t="n"/>
      <c r="L407" s="13" t="n"/>
      <c r="M407" s="13" t="n"/>
      <c r="N407" s="14">
        <f>IF(A407="","",COUNT(H407:M407)/6)</f>
        <v/>
      </c>
      <c r="O407" s="15">
        <f>IF(COUNT(H407:M407)=0,"",IF(LEN(IF(COUNT(I407,J407)=2,IF(J407&gt;I407+1,"EBE &gt; VA ",""),"")&amp;IF(COUNT(H407,M407)=2,IF(ABS(M407)&gt;ABS(H407),"RN &gt; CA ",""),"")&amp;IF(COUNT(H407,K407)=2,IF(ABS(K407)&gt;ABS(H407),"RE &gt; CA ",""),""))=0,"OK",IF(COUNT(I407,J407)=2,IF(J407&gt;I407+1,"EBE &gt; VA ",""),"")&amp;IF(COUNT(H407,M407)=2,IF(ABS(M407)&gt;ABS(H407),"RN &gt; CA ",""),"")&amp;IF(COUNT(H407,K407)=2,IF(ABS(K407)&gt;ABS(H407),"RE &gt; CA ",""),"")))</f>
        <v/>
      </c>
      <c r="P407" s="16">
        <f>IF(OR($A407="",H407="",$C407=""),"",IF(COUNTIFS($A$5:$A$639,$A407,$C$5:$C$639,$C407-1,$D$5:$D$639,$D407,H$5:H$639,"&lt;&gt;")=0,"",IF(OR(SUMIFS(H$5:H$639,$A$5:$A$639,$A407,$C$5:$C$639,$C407-1,$D$5:$D$639,$D407)=0,H407*SUMIFS(H$5:H$639,$A$5:$A$639,$A407,$C$5:$C$639,$C407-1,$D$5:$D$639,$D407)&lt;0),"n.s.",ABS(H407)/ABS(SUMIFS(H$5:H$639,$A$5:$A$639,$A407,$C$5:$C$639,$C407-1,$D$5:$D$639,$D407))-1)))</f>
        <v/>
      </c>
      <c r="Q407" s="16">
        <f>IF(OR($A407="",I407="",$C407=""),"",IF(COUNTIFS($A$5:$A$639,$A407,$C$5:$C$639,$C407-1,$D$5:$D$639,$D407,I$5:I$639,"&lt;&gt;")=0,"",IF(OR(SUMIFS(I$5:I$639,$A$5:$A$639,$A407,$C$5:$C$639,$C407-1,$D$5:$D$639,$D407)=0,I407*SUMIFS(I$5:I$639,$A$5:$A$639,$A407,$C$5:$C$639,$C407-1,$D$5:$D$639,$D407)&lt;0),"n.s.",ABS(I407)/ABS(SUMIFS(I$5:I$639,$A$5:$A$639,$A407,$C$5:$C$639,$C407-1,$D$5:$D$639,$D407))-1)))</f>
        <v/>
      </c>
      <c r="R407" s="16">
        <f>IF(OR($A407="",J407="",$C407=""),"",IF(COUNTIFS($A$5:$A$639,$A407,$C$5:$C$639,$C407-1,$D$5:$D$639,$D407,J$5:J$639,"&lt;&gt;")=0,"",IF(OR(SUMIFS(J$5:J$639,$A$5:$A$639,$A407,$C$5:$C$639,$C407-1,$D$5:$D$639,$D407)=0,J407*SUMIFS(J$5:J$639,$A$5:$A$639,$A407,$C$5:$C$639,$C407-1,$D$5:$D$639,$D407)&lt;0),"n.s.",ABS(J407)/ABS(SUMIFS(J$5:J$639,$A$5:$A$639,$A407,$C$5:$C$639,$C407-1,$D$5:$D$639,$D407))-1)))</f>
        <v/>
      </c>
      <c r="S407" s="16">
        <f>IF(OR($A407="",K407="",$C407=""),"",IF(COUNTIFS($A$5:$A$639,$A407,$C$5:$C$639,$C407-1,$D$5:$D$639,$D407,K$5:K$639,"&lt;&gt;")=0,"",IF(OR(SUMIFS(K$5:K$639,$A$5:$A$639,$A407,$C$5:$C$639,$C407-1,$D$5:$D$639,$D407)=0,K407*SUMIFS(K$5:K$639,$A$5:$A$639,$A407,$C$5:$C$639,$C407-1,$D$5:$D$639,$D407)&lt;0),"n.s.",ABS(K407)/ABS(SUMIFS(K$5:K$639,$A$5:$A$639,$A407,$C$5:$C$639,$C407-1,$D$5:$D$639,$D407))-1)))</f>
        <v/>
      </c>
      <c r="T407" s="16">
        <f>IF(OR($A407="",L407="",$C407=""),"",IF(COUNTIFS($A$5:$A$639,$A407,$C$5:$C$639,$C407-1,$D$5:$D$639,$D407,L$5:L$639,"&lt;&gt;")=0,"",IF(OR(SUMIFS(L$5:L$639,$A$5:$A$639,$A407,$C$5:$C$639,$C407-1,$D$5:$D$639,$D407)=0,L407*SUMIFS(L$5:L$639,$A$5:$A$639,$A407,$C$5:$C$639,$C407-1,$D$5:$D$639,$D407)&lt;0),"n.s.",ABS(L407)/ABS(SUMIFS(L$5:L$639,$A$5:$A$639,$A407,$C$5:$C$639,$C407-1,$D$5:$D$639,$D407))-1)))</f>
        <v/>
      </c>
      <c r="U407" s="16">
        <f>IF(OR($A407="",M407="",$C407=""),"",IF(COUNTIFS($A$5:$A$639,$A407,$C$5:$C$639,$C407-1,$D$5:$D$639,$D407,M$5:M$639,"&lt;&gt;")=0,"",IF(OR(SUMIFS(M$5:M$639,$A$5:$A$639,$A407,$C$5:$C$639,$C407-1,$D$5:$D$639,$D407)=0,M407*SUMIFS(M$5:M$639,$A$5:$A$639,$A407,$C$5:$C$639,$C407-1,$D$5:$D$639,$D407)&lt;0),"n.s.",ABS(M407)/ABS(SUMIFS(M$5:M$639,$A$5:$A$639,$A407,$C$5:$C$639,$C407-1,$D$5:$D$639,$D407))-1)))</f>
        <v/>
      </c>
    </row>
    <row r="408">
      <c r="A408" s="9" t="inlineStr">
        <is>
          <t>ETIT</t>
        </is>
      </c>
      <c r="B408" s="10">
        <f>IF(A408="","",IFERROR(VLOOKUP(A408,Titres!$A$2:$B$400,2,FALSE),"Ticker inconnu"))</f>
        <v/>
      </c>
      <c r="C408" s="11" t="n">
        <v>2023</v>
      </c>
      <c r="D408" s="11" t="inlineStr">
        <is>
          <t>S1</t>
        </is>
      </c>
      <c r="E408" s="9" t="n"/>
      <c r="F408" s="12" t="n"/>
      <c r="G408" s="9" t="n"/>
      <c r="H408" s="13" t="n"/>
      <c r="I408" s="13" t="n"/>
      <c r="J408" s="13" t="n"/>
      <c r="K408" s="13" t="n"/>
      <c r="L408" s="13" t="n"/>
      <c r="M408" s="13" t="n"/>
      <c r="N408" s="14">
        <f>IF(A408="","",COUNT(H408:M408)/6)</f>
        <v/>
      </c>
      <c r="O408" s="15">
        <f>IF(COUNT(H408:M408)=0,"",IF(LEN(IF(COUNT(I408,J408)=2,IF(J408&gt;I408+1,"EBE &gt; VA ",""),"")&amp;IF(COUNT(H408,M408)=2,IF(ABS(M408)&gt;ABS(H408),"RN &gt; CA ",""),"")&amp;IF(COUNT(H408,K408)=2,IF(ABS(K408)&gt;ABS(H408),"RE &gt; CA ",""),""))=0,"OK",IF(COUNT(I408,J408)=2,IF(J408&gt;I408+1,"EBE &gt; VA ",""),"")&amp;IF(COUNT(H408,M408)=2,IF(ABS(M408)&gt;ABS(H408),"RN &gt; CA ",""),"")&amp;IF(COUNT(H408,K408)=2,IF(ABS(K408)&gt;ABS(H408),"RE &gt; CA ",""),"")))</f>
        <v/>
      </c>
      <c r="P408" s="16">
        <f>IF(OR($A408="",H408="",$C408=""),"",IF(COUNTIFS($A$5:$A$639,$A408,$C$5:$C$639,$C408-1,$D$5:$D$639,$D408,H$5:H$639,"&lt;&gt;")=0,"",IF(OR(SUMIFS(H$5:H$639,$A$5:$A$639,$A408,$C$5:$C$639,$C408-1,$D$5:$D$639,$D408)=0,H408*SUMIFS(H$5:H$639,$A$5:$A$639,$A408,$C$5:$C$639,$C408-1,$D$5:$D$639,$D408)&lt;0),"n.s.",ABS(H408)/ABS(SUMIFS(H$5:H$639,$A$5:$A$639,$A408,$C$5:$C$639,$C408-1,$D$5:$D$639,$D408))-1)))</f>
        <v/>
      </c>
      <c r="Q408" s="16">
        <f>IF(OR($A408="",I408="",$C408=""),"",IF(COUNTIFS($A$5:$A$639,$A408,$C$5:$C$639,$C408-1,$D$5:$D$639,$D408,I$5:I$639,"&lt;&gt;")=0,"",IF(OR(SUMIFS(I$5:I$639,$A$5:$A$639,$A408,$C$5:$C$639,$C408-1,$D$5:$D$639,$D408)=0,I408*SUMIFS(I$5:I$639,$A$5:$A$639,$A408,$C$5:$C$639,$C408-1,$D$5:$D$639,$D408)&lt;0),"n.s.",ABS(I408)/ABS(SUMIFS(I$5:I$639,$A$5:$A$639,$A408,$C$5:$C$639,$C408-1,$D$5:$D$639,$D408))-1)))</f>
        <v/>
      </c>
      <c r="R408" s="16">
        <f>IF(OR($A408="",J408="",$C408=""),"",IF(COUNTIFS($A$5:$A$639,$A408,$C$5:$C$639,$C408-1,$D$5:$D$639,$D408,J$5:J$639,"&lt;&gt;")=0,"",IF(OR(SUMIFS(J$5:J$639,$A$5:$A$639,$A408,$C$5:$C$639,$C408-1,$D$5:$D$639,$D408)=0,J408*SUMIFS(J$5:J$639,$A$5:$A$639,$A408,$C$5:$C$639,$C408-1,$D$5:$D$639,$D408)&lt;0),"n.s.",ABS(J408)/ABS(SUMIFS(J$5:J$639,$A$5:$A$639,$A408,$C$5:$C$639,$C408-1,$D$5:$D$639,$D408))-1)))</f>
        <v/>
      </c>
      <c r="S408" s="16">
        <f>IF(OR($A408="",K408="",$C408=""),"",IF(COUNTIFS($A$5:$A$639,$A408,$C$5:$C$639,$C408-1,$D$5:$D$639,$D408,K$5:K$639,"&lt;&gt;")=0,"",IF(OR(SUMIFS(K$5:K$639,$A$5:$A$639,$A408,$C$5:$C$639,$C408-1,$D$5:$D$639,$D408)=0,K408*SUMIFS(K$5:K$639,$A$5:$A$639,$A408,$C$5:$C$639,$C408-1,$D$5:$D$639,$D408)&lt;0),"n.s.",ABS(K408)/ABS(SUMIFS(K$5:K$639,$A$5:$A$639,$A408,$C$5:$C$639,$C408-1,$D$5:$D$639,$D408))-1)))</f>
        <v/>
      </c>
      <c r="T408" s="16">
        <f>IF(OR($A408="",L408="",$C408=""),"",IF(COUNTIFS($A$5:$A$639,$A408,$C$5:$C$639,$C408-1,$D$5:$D$639,$D408,L$5:L$639,"&lt;&gt;")=0,"",IF(OR(SUMIFS(L$5:L$639,$A$5:$A$639,$A408,$C$5:$C$639,$C408-1,$D$5:$D$639,$D408)=0,L408*SUMIFS(L$5:L$639,$A$5:$A$639,$A408,$C$5:$C$639,$C408-1,$D$5:$D$639,$D408)&lt;0),"n.s.",ABS(L408)/ABS(SUMIFS(L$5:L$639,$A$5:$A$639,$A408,$C$5:$C$639,$C408-1,$D$5:$D$639,$D408))-1)))</f>
        <v/>
      </c>
      <c r="U408" s="16">
        <f>IF(OR($A408="",M408="",$C408=""),"",IF(COUNTIFS($A$5:$A$639,$A408,$C$5:$C$639,$C408-1,$D$5:$D$639,$D408,M$5:M$639,"&lt;&gt;")=0,"",IF(OR(SUMIFS(M$5:M$639,$A$5:$A$639,$A408,$C$5:$C$639,$C408-1,$D$5:$D$639,$D408)=0,M408*SUMIFS(M$5:M$639,$A$5:$A$639,$A408,$C$5:$C$639,$C408-1,$D$5:$D$639,$D408)&lt;0),"n.s.",ABS(M408)/ABS(SUMIFS(M$5:M$639,$A$5:$A$639,$A408,$C$5:$C$639,$C408-1,$D$5:$D$639,$D408))-1)))</f>
        <v/>
      </c>
    </row>
    <row r="409">
      <c r="A409" s="9" t="inlineStr">
        <is>
          <t>ETIT</t>
        </is>
      </c>
      <c r="B409" s="10">
        <f>IF(A409="","",IFERROR(VLOOKUP(A409,Titres!$A$2:$B$400,2,FALSE),"Ticker inconnu"))</f>
        <v/>
      </c>
      <c r="C409" s="11" t="n">
        <v>2023</v>
      </c>
      <c r="D409" s="11" t="inlineStr">
        <is>
          <t>T3</t>
        </is>
      </c>
      <c r="E409" s="9" t="n"/>
      <c r="F409" s="12" t="n"/>
      <c r="G409" s="9" t="n"/>
      <c r="H409" s="13" t="n"/>
      <c r="I409" s="13" t="n"/>
      <c r="J409" s="13" t="n"/>
      <c r="K409" s="13" t="n"/>
      <c r="L409" s="13" t="n"/>
      <c r="M409" s="13" t="n"/>
      <c r="N409" s="14">
        <f>IF(A409="","",COUNT(H409:M409)/6)</f>
        <v/>
      </c>
      <c r="O409" s="15">
        <f>IF(COUNT(H409:M409)=0,"",IF(LEN(IF(COUNT(I409,J409)=2,IF(J409&gt;I409+1,"EBE &gt; VA ",""),"")&amp;IF(COUNT(H409,M409)=2,IF(ABS(M409)&gt;ABS(H409),"RN &gt; CA ",""),"")&amp;IF(COUNT(H409,K409)=2,IF(ABS(K409)&gt;ABS(H409),"RE &gt; CA ",""),""))=0,"OK",IF(COUNT(I409,J409)=2,IF(J409&gt;I409+1,"EBE &gt; VA ",""),"")&amp;IF(COUNT(H409,M409)=2,IF(ABS(M409)&gt;ABS(H409),"RN &gt; CA ",""),"")&amp;IF(COUNT(H409,K409)=2,IF(ABS(K409)&gt;ABS(H409),"RE &gt; CA ",""),"")))</f>
        <v/>
      </c>
      <c r="P409" s="16">
        <f>IF(OR($A409="",H409="",$C409=""),"",IF(COUNTIFS($A$5:$A$639,$A409,$C$5:$C$639,$C409-1,$D$5:$D$639,$D409,H$5:H$639,"&lt;&gt;")=0,"",IF(OR(SUMIFS(H$5:H$639,$A$5:$A$639,$A409,$C$5:$C$639,$C409-1,$D$5:$D$639,$D409)=0,H409*SUMIFS(H$5:H$639,$A$5:$A$639,$A409,$C$5:$C$639,$C409-1,$D$5:$D$639,$D409)&lt;0),"n.s.",ABS(H409)/ABS(SUMIFS(H$5:H$639,$A$5:$A$639,$A409,$C$5:$C$639,$C409-1,$D$5:$D$639,$D409))-1)))</f>
        <v/>
      </c>
      <c r="Q409" s="16">
        <f>IF(OR($A409="",I409="",$C409=""),"",IF(COUNTIFS($A$5:$A$639,$A409,$C$5:$C$639,$C409-1,$D$5:$D$639,$D409,I$5:I$639,"&lt;&gt;")=0,"",IF(OR(SUMIFS(I$5:I$639,$A$5:$A$639,$A409,$C$5:$C$639,$C409-1,$D$5:$D$639,$D409)=0,I409*SUMIFS(I$5:I$639,$A$5:$A$639,$A409,$C$5:$C$639,$C409-1,$D$5:$D$639,$D409)&lt;0),"n.s.",ABS(I409)/ABS(SUMIFS(I$5:I$639,$A$5:$A$639,$A409,$C$5:$C$639,$C409-1,$D$5:$D$639,$D409))-1)))</f>
        <v/>
      </c>
      <c r="R409" s="16">
        <f>IF(OR($A409="",J409="",$C409=""),"",IF(COUNTIFS($A$5:$A$639,$A409,$C$5:$C$639,$C409-1,$D$5:$D$639,$D409,J$5:J$639,"&lt;&gt;")=0,"",IF(OR(SUMIFS(J$5:J$639,$A$5:$A$639,$A409,$C$5:$C$639,$C409-1,$D$5:$D$639,$D409)=0,J409*SUMIFS(J$5:J$639,$A$5:$A$639,$A409,$C$5:$C$639,$C409-1,$D$5:$D$639,$D409)&lt;0),"n.s.",ABS(J409)/ABS(SUMIFS(J$5:J$639,$A$5:$A$639,$A409,$C$5:$C$639,$C409-1,$D$5:$D$639,$D409))-1)))</f>
        <v/>
      </c>
      <c r="S409" s="16">
        <f>IF(OR($A409="",K409="",$C409=""),"",IF(COUNTIFS($A$5:$A$639,$A409,$C$5:$C$639,$C409-1,$D$5:$D$639,$D409,K$5:K$639,"&lt;&gt;")=0,"",IF(OR(SUMIFS(K$5:K$639,$A$5:$A$639,$A409,$C$5:$C$639,$C409-1,$D$5:$D$639,$D409)=0,K409*SUMIFS(K$5:K$639,$A$5:$A$639,$A409,$C$5:$C$639,$C409-1,$D$5:$D$639,$D409)&lt;0),"n.s.",ABS(K409)/ABS(SUMIFS(K$5:K$639,$A$5:$A$639,$A409,$C$5:$C$639,$C409-1,$D$5:$D$639,$D409))-1)))</f>
        <v/>
      </c>
      <c r="T409" s="16">
        <f>IF(OR($A409="",L409="",$C409=""),"",IF(COUNTIFS($A$5:$A$639,$A409,$C$5:$C$639,$C409-1,$D$5:$D$639,$D409,L$5:L$639,"&lt;&gt;")=0,"",IF(OR(SUMIFS(L$5:L$639,$A$5:$A$639,$A409,$C$5:$C$639,$C409-1,$D$5:$D$639,$D409)=0,L409*SUMIFS(L$5:L$639,$A$5:$A$639,$A409,$C$5:$C$639,$C409-1,$D$5:$D$639,$D409)&lt;0),"n.s.",ABS(L409)/ABS(SUMIFS(L$5:L$639,$A$5:$A$639,$A409,$C$5:$C$639,$C409-1,$D$5:$D$639,$D409))-1)))</f>
        <v/>
      </c>
      <c r="U409" s="16">
        <f>IF(OR($A409="",M409="",$C409=""),"",IF(COUNTIFS($A$5:$A$639,$A409,$C$5:$C$639,$C409-1,$D$5:$D$639,$D409,M$5:M$639,"&lt;&gt;")=0,"",IF(OR(SUMIFS(M$5:M$639,$A$5:$A$639,$A409,$C$5:$C$639,$C409-1,$D$5:$D$639,$D409)=0,M409*SUMIFS(M$5:M$639,$A$5:$A$639,$A409,$C$5:$C$639,$C409-1,$D$5:$D$639,$D409)&lt;0),"n.s.",ABS(M409)/ABS(SUMIFS(M$5:M$639,$A$5:$A$639,$A409,$C$5:$C$639,$C409-1,$D$5:$D$639,$D409))-1)))</f>
        <v/>
      </c>
    </row>
    <row r="410">
      <c r="A410" s="9" t="inlineStr">
        <is>
          <t>ETIT</t>
        </is>
      </c>
      <c r="B410" s="10">
        <f>IF(A410="","",IFERROR(VLOOKUP(A410,Titres!$A$2:$B$400,2,FALSE),"Ticker inconnu"))</f>
        <v/>
      </c>
      <c r="C410" s="11" t="n">
        <v>2024</v>
      </c>
      <c r="D410" s="11" t="inlineStr">
        <is>
          <t>T1</t>
        </is>
      </c>
      <c r="E410" s="9" t="n"/>
      <c r="F410" s="12" t="n"/>
      <c r="G410" s="9" t="n"/>
      <c r="H410" s="13" t="n"/>
      <c r="I410" s="13" t="n"/>
      <c r="J410" s="13" t="n"/>
      <c r="K410" s="13" t="n"/>
      <c r="L410" s="13" t="n"/>
      <c r="M410" s="13" t="n"/>
      <c r="N410" s="14">
        <f>IF(A410="","",COUNT(H410:M410)/6)</f>
        <v/>
      </c>
      <c r="O410" s="15">
        <f>IF(COUNT(H410:M410)=0,"",IF(LEN(IF(COUNT(I410,J410)=2,IF(J410&gt;I410+1,"EBE &gt; VA ",""),"")&amp;IF(COUNT(H410,M410)=2,IF(ABS(M410)&gt;ABS(H410),"RN &gt; CA ",""),"")&amp;IF(COUNT(H410,K410)=2,IF(ABS(K410)&gt;ABS(H410),"RE &gt; CA ",""),""))=0,"OK",IF(COUNT(I410,J410)=2,IF(J410&gt;I410+1,"EBE &gt; VA ",""),"")&amp;IF(COUNT(H410,M410)=2,IF(ABS(M410)&gt;ABS(H410),"RN &gt; CA ",""),"")&amp;IF(COUNT(H410,K410)=2,IF(ABS(K410)&gt;ABS(H410),"RE &gt; CA ",""),"")))</f>
        <v/>
      </c>
      <c r="P410" s="16">
        <f>IF(OR($A410="",H410="",$C410=""),"",IF(COUNTIFS($A$5:$A$639,$A410,$C$5:$C$639,$C410-1,$D$5:$D$639,$D410,H$5:H$639,"&lt;&gt;")=0,"",IF(OR(SUMIFS(H$5:H$639,$A$5:$A$639,$A410,$C$5:$C$639,$C410-1,$D$5:$D$639,$D410)=0,H410*SUMIFS(H$5:H$639,$A$5:$A$639,$A410,$C$5:$C$639,$C410-1,$D$5:$D$639,$D410)&lt;0),"n.s.",ABS(H410)/ABS(SUMIFS(H$5:H$639,$A$5:$A$639,$A410,$C$5:$C$639,$C410-1,$D$5:$D$639,$D410))-1)))</f>
        <v/>
      </c>
      <c r="Q410" s="16">
        <f>IF(OR($A410="",I410="",$C410=""),"",IF(COUNTIFS($A$5:$A$639,$A410,$C$5:$C$639,$C410-1,$D$5:$D$639,$D410,I$5:I$639,"&lt;&gt;")=0,"",IF(OR(SUMIFS(I$5:I$639,$A$5:$A$639,$A410,$C$5:$C$639,$C410-1,$D$5:$D$639,$D410)=0,I410*SUMIFS(I$5:I$639,$A$5:$A$639,$A410,$C$5:$C$639,$C410-1,$D$5:$D$639,$D410)&lt;0),"n.s.",ABS(I410)/ABS(SUMIFS(I$5:I$639,$A$5:$A$639,$A410,$C$5:$C$639,$C410-1,$D$5:$D$639,$D410))-1)))</f>
        <v/>
      </c>
      <c r="R410" s="16">
        <f>IF(OR($A410="",J410="",$C410=""),"",IF(COUNTIFS($A$5:$A$639,$A410,$C$5:$C$639,$C410-1,$D$5:$D$639,$D410,J$5:J$639,"&lt;&gt;")=0,"",IF(OR(SUMIFS(J$5:J$639,$A$5:$A$639,$A410,$C$5:$C$639,$C410-1,$D$5:$D$639,$D410)=0,J410*SUMIFS(J$5:J$639,$A$5:$A$639,$A410,$C$5:$C$639,$C410-1,$D$5:$D$639,$D410)&lt;0),"n.s.",ABS(J410)/ABS(SUMIFS(J$5:J$639,$A$5:$A$639,$A410,$C$5:$C$639,$C410-1,$D$5:$D$639,$D410))-1)))</f>
        <v/>
      </c>
      <c r="S410" s="16">
        <f>IF(OR($A410="",K410="",$C410=""),"",IF(COUNTIFS($A$5:$A$639,$A410,$C$5:$C$639,$C410-1,$D$5:$D$639,$D410,K$5:K$639,"&lt;&gt;")=0,"",IF(OR(SUMIFS(K$5:K$639,$A$5:$A$639,$A410,$C$5:$C$639,$C410-1,$D$5:$D$639,$D410)=0,K410*SUMIFS(K$5:K$639,$A$5:$A$639,$A410,$C$5:$C$639,$C410-1,$D$5:$D$639,$D410)&lt;0),"n.s.",ABS(K410)/ABS(SUMIFS(K$5:K$639,$A$5:$A$639,$A410,$C$5:$C$639,$C410-1,$D$5:$D$639,$D410))-1)))</f>
        <v/>
      </c>
      <c r="T410" s="16">
        <f>IF(OR($A410="",L410="",$C410=""),"",IF(COUNTIFS($A$5:$A$639,$A410,$C$5:$C$639,$C410-1,$D$5:$D$639,$D410,L$5:L$639,"&lt;&gt;")=0,"",IF(OR(SUMIFS(L$5:L$639,$A$5:$A$639,$A410,$C$5:$C$639,$C410-1,$D$5:$D$639,$D410)=0,L410*SUMIFS(L$5:L$639,$A$5:$A$639,$A410,$C$5:$C$639,$C410-1,$D$5:$D$639,$D410)&lt;0),"n.s.",ABS(L410)/ABS(SUMIFS(L$5:L$639,$A$5:$A$639,$A410,$C$5:$C$639,$C410-1,$D$5:$D$639,$D410))-1)))</f>
        <v/>
      </c>
      <c r="U410" s="16">
        <f>IF(OR($A410="",M410="",$C410=""),"",IF(COUNTIFS($A$5:$A$639,$A410,$C$5:$C$639,$C410-1,$D$5:$D$639,$D410,M$5:M$639,"&lt;&gt;")=0,"",IF(OR(SUMIFS(M$5:M$639,$A$5:$A$639,$A410,$C$5:$C$639,$C410-1,$D$5:$D$639,$D410)=0,M410*SUMIFS(M$5:M$639,$A$5:$A$639,$A410,$C$5:$C$639,$C410-1,$D$5:$D$639,$D410)&lt;0),"n.s.",ABS(M410)/ABS(SUMIFS(M$5:M$639,$A$5:$A$639,$A410,$C$5:$C$639,$C410-1,$D$5:$D$639,$D410))-1)))</f>
        <v/>
      </c>
    </row>
    <row r="411">
      <c r="A411" s="9" t="inlineStr">
        <is>
          <t>ETIT</t>
        </is>
      </c>
      <c r="B411" s="10">
        <f>IF(A411="","",IFERROR(VLOOKUP(A411,Titres!$A$2:$B$400,2,FALSE),"Ticker inconnu"))</f>
        <v/>
      </c>
      <c r="C411" s="11" t="n">
        <v>2024</v>
      </c>
      <c r="D411" s="11" t="inlineStr">
        <is>
          <t>S1</t>
        </is>
      </c>
      <c r="E411" s="9" t="n"/>
      <c r="F411" s="12" t="n"/>
      <c r="G411" s="9" t="n"/>
      <c r="H411" s="13" t="n"/>
      <c r="I411" s="13" t="n"/>
      <c r="J411" s="13" t="n"/>
      <c r="K411" s="13" t="n"/>
      <c r="L411" s="13" t="n"/>
      <c r="M411" s="13" t="n"/>
      <c r="N411" s="14">
        <f>IF(A411="","",COUNT(H411:M411)/6)</f>
        <v/>
      </c>
      <c r="O411" s="15">
        <f>IF(COUNT(H411:M411)=0,"",IF(LEN(IF(COUNT(I411,J411)=2,IF(J411&gt;I411+1,"EBE &gt; VA ",""),"")&amp;IF(COUNT(H411,M411)=2,IF(ABS(M411)&gt;ABS(H411),"RN &gt; CA ",""),"")&amp;IF(COUNT(H411,K411)=2,IF(ABS(K411)&gt;ABS(H411),"RE &gt; CA ",""),""))=0,"OK",IF(COUNT(I411,J411)=2,IF(J411&gt;I411+1,"EBE &gt; VA ",""),"")&amp;IF(COUNT(H411,M411)=2,IF(ABS(M411)&gt;ABS(H411),"RN &gt; CA ",""),"")&amp;IF(COUNT(H411,K411)=2,IF(ABS(K411)&gt;ABS(H411),"RE &gt; CA ",""),"")))</f>
        <v/>
      </c>
      <c r="P411" s="16">
        <f>IF(OR($A411="",H411="",$C411=""),"",IF(COUNTIFS($A$5:$A$639,$A411,$C$5:$C$639,$C411-1,$D$5:$D$639,$D411,H$5:H$639,"&lt;&gt;")=0,"",IF(OR(SUMIFS(H$5:H$639,$A$5:$A$639,$A411,$C$5:$C$639,$C411-1,$D$5:$D$639,$D411)=0,H411*SUMIFS(H$5:H$639,$A$5:$A$639,$A411,$C$5:$C$639,$C411-1,$D$5:$D$639,$D411)&lt;0),"n.s.",ABS(H411)/ABS(SUMIFS(H$5:H$639,$A$5:$A$639,$A411,$C$5:$C$639,$C411-1,$D$5:$D$639,$D411))-1)))</f>
        <v/>
      </c>
      <c r="Q411" s="16">
        <f>IF(OR($A411="",I411="",$C411=""),"",IF(COUNTIFS($A$5:$A$639,$A411,$C$5:$C$639,$C411-1,$D$5:$D$639,$D411,I$5:I$639,"&lt;&gt;")=0,"",IF(OR(SUMIFS(I$5:I$639,$A$5:$A$639,$A411,$C$5:$C$639,$C411-1,$D$5:$D$639,$D411)=0,I411*SUMIFS(I$5:I$639,$A$5:$A$639,$A411,$C$5:$C$639,$C411-1,$D$5:$D$639,$D411)&lt;0),"n.s.",ABS(I411)/ABS(SUMIFS(I$5:I$639,$A$5:$A$639,$A411,$C$5:$C$639,$C411-1,$D$5:$D$639,$D411))-1)))</f>
        <v/>
      </c>
      <c r="R411" s="16">
        <f>IF(OR($A411="",J411="",$C411=""),"",IF(COUNTIFS($A$5:$A$639,$A411,$C$5:$C$639,$C411-1,$D$5:$D$639,$D411,J$5:J$639,"&lt;&gt;")=0,"",IF(OR(SUMIFS(J$5:J$639,$A$5:$A$639,$A411,$C$5:$C$639,$C411-1,$D$5:$D$639,$D411)=0,J411*SUMIFS(J$5:J$639,$A$5:$A$639,$A411,$C$5:$C$639,$C411-1,$D$5:$D$639,$D411)&lt;0),"n.s.",ABS(J411)/ABS(SUMIFS(J$5:J$639,$A$5:$A$639,$A411,$C$5:$C$639,$C411-1,$D$5:$D$639,$D411))-1)))</f>
        <v/>
      </c>
      <c r="S411" s="16">
        <f>IF(OR($A411="",K411="",$C411=""),"",IF(COUNTIFS($A$5:$A$639,$A411,$C$5:$C$639,$C411-1,$D$5:$D$639,$D411,K$5:K$639,"&lt;&gt;")=0,"",IF(OR(SUMIFS(K$5:K$639,$A$5:$A$639,$A411,$C$5:$C$639,$C411-1,$D$5:$D$639,$D411)=0,K411*SUMIFS(K$5:K$639,$A$5:$A$639,$A411,$C$5:$C$639,$C411-1,$D$5:$D$639,$D411)&lt;0),"n.s.",ABS(K411)/ABS(SUMIFS(K$5:K$639,$A$5:$A$639,$A411,$C$5:$C$639,$C411-1,$D$5:$D$639,$D411))-1)))</f>
        <v/>
      </c>
      <c r="T411" s="16">
        <f>IF(OR($A411="",L411="",$C411=""),"",IF(COUNTIFS($A$5:$A$639,$A411,$C$5:$C$639,$C411-1,$D$5:$D$639,$D411,L$5:L$639,"&lt;&gt;")=0,"",IF(OR(SUMIFS(L$5:L$639,$A$5:$A$639,$A411,$C$5:$C$639,$C411-1,$D$5:$D$639,$D411)=0,L411*SUMIFS(L$5:L$639,$A$5:$A$639,$A411,$C$5:$C$639,$C411-1,$D$5:$D$639,$D411)&lt;0),"n.s.",ABS(L411)/ABS(SUMIFS(L$5:L$639,$A$5:$A$639,$A411,$C$5:$C$639,$C411-1,$D$5:$D$639,$D411))-1)))</f>
        <v/>
      </c>
      <c r="U411" s="16">
        <f>IF(OR($A411="",M411="",$C411=""),"",IF(COUNTIFS($A$5:$A$639,$A411,$C$5:$C$639,$C411-1,$D$5:$D$639,$D411,M$5:M$639,"&lt;&gt;")=0,"",IF(OR(SUMIFS(M$5:M$639,$A$5:$A$639,$A411,$C$5:$C$639,$C411-1,$D$5:$D$639,$D411)=0,M411*SUMIFS(M$5:M$639,$A$5:$A$639,$A411,$C$5:$C$639,$C411-1,$D$5:$D$639,$D411)&lt;0),"n.s.",ABS(M411)/ABS(SUMIFS(M$5:M$639,$A$5:$A$639,$A411,$C$5:$C$639,$C411-1,$D$5:$D$639,$D411))-1)))</f>
        <v/>
      </c>
    </row>
    <row r="412">
      <c r="A412" s="9" t="inlineStr">
        <is>
          <t>ETIT</t>
        </is>
      </c>
      <c r="B412" s="10">
        <f>IF(A412="","",IFERROR(VLOOKUP(A412,Titres!$A$2:$B$400,2,FALSE),"Ticker inconnu"))</f>
        <v/>
      </c>
      <c r="C412" s="11" t="n">
        <v>2024</v>
      </c>
      <c r="D412" s="11" t="inlineStr">
        <is>
          <t>T3</t>
        </is>
      </c>
      <c r="E412" s="9" t="n"/>
      <c r="F412" s="12" t="n"/>
      <c r="G412" s="9" t="n"/>
      <c r="H412" s="13" t="n"/>
      <c r="I412" s="13" t="n"/>
      <c r="J412" s="13" t="n"/>
      <c r="K412" s="13" t="n"/>
      <c r="L412" s="13" t="n"/>
      <c r="M412" s="13" t="n"/>
      <c r="N412" s="14">
        <f>IF(A412="","",COUNT(H412:M412)/6)</f>
        <v/>
      </c>
      <c r="O412" s="15">
        <f>IF(COUNT(H412:M412)=0,"",IF(LEN(IF(COUNT(I412,J412)=2,IF(J412&gt;I412+1,"EBE &gt; VA ",""),"")&amp;IF(COUNT(H412,M412)=2,IF(ABS(M412)&gt;ABS(H412),"RN &gt; CA ",""),"")&amp;IF(COUNT(H412,K412)=2,IF(ABS(K412)&gt;ABS(H412),"RE &gt; CA ",""),""))=0,"OK",IF(COUNT(I412,J412)=2,IF(J412&gt;I412+1,"EBE &gt; VA ",""),"")&amp;IF(COUNT(H412,M412)=2,IF(ABS(M412)&gt;ABS(H412),"RN &gt; CA ",""),"")&amp;IF(COUNT(H412,K412)=2,IF(ABS(K412)&gt;ABS(H412),"RE &gt; CA ",""),"")))</f>
        <v/>
      </c>
      <c r="P412" s="16">
        <f>IF(OR($A412="",H412="",$C412=""),"",IF(COUNTIFS($A$5:$A$639,$A412,$C$5:$C$639,$C412-1,$D$5:$D$639,$D412,H$5:H$639,"&lt;&gt;")=0,"",IF(OR(SUMIFS(H$5:H$639,$A$5:$A$639,$A412,$C$5:$C$639,$C412-1,$D$5:$D$639,$D412)=0,H412*SUMIFS(H$5:H$639,$A$5:$A$639,$A412,$C$5:$C$639,$C412-1,$D$5:$D$639,$D412)&lt;0),"n.s.",ABS(H412)/ABS(SUMIFS(H$5:H$639,$A$5:$A$639,$A412,$C$5:$C$639,$C412-1,$D$5:$D$639,$D412))-1)))</f>
        <v/>
      </c>
      <c r="Q412" s="16">
        <f>IF(OR($A412="",I412="",$C412=""),"",IF(COUNTIFS($A$5:$A$639,$A412,$C$5:$C$639,$C412-1,$D$5:$D$639,$D412,I$5:I$639,"&lt;&gt;")=0,"",IF(OR(SUMIFS(I$5:I$639,$A$5:$A$639,$A412,$C$5:$C$639,$C412-1,$D$5:$D$639,$D412)=0,I412*SUMIFS(I$5:I$639,$A$5:$A$639,$A412,$C$5:$C$639,$C412-1,$D$5:$D$639,$D412)&lt;0),"n.s.",ABS(I412)/ABS(SUMIFS(I$5:I$639,$A$5:$A$639,$A412,$C$5:$C$639,$C412-1,$D$5:$D$639,$D412))-1)))</f>
        <v/>
      </c>
      <c r="R412" s="16">
        <f>IF(OR($A412="",J412="",$C412=""),"",IF(COUNTIFS($A$5:$A$639,$A412,$C$5:$C$639,$C412-1,$D$5:$D$639,$D412,J$5:J$639,"&lt;&gt;")=0,"",IF(OR(SUMIFS(J$5:J$639,$A$5:$A$639,$A412,$C$5:$C$639,$C412-1,$D$5:$D$639,$D412)=0,J412*SUMIFS(J$5:J$639,$A$5:$A$639,$A412,$C$5:$C$639,$C412-1,$D$5:$D$639,$D412)&lt;0),"n.s.",ABS(J412)/ABS(SUMIFS(J$5:J$639,$A$5:$A$639,$A412,$C$5:$C$639,$C412-1,$D$5:$D$639,$D412))-1)))</f>
        <v/>
      </c>
      <c r="S412" s="16">
        <f>IF(OR($A412="",K412="",$C412=""),"",IF(COUNTIFS($A$5:$A$639,$A412,$C$5:$C$639,$C412-1,$D$5:$D$639,$D412,K$5:K$639,"&lt;&gt;")=0,"",IF(OR(SUMIFS(K$5:K$639,$A$5:$A$639,$A412,$C$5:$C$639,$C412-1,$D$5:$D$639,$D412)=0,K412*SUMIFS(K$5:K$639,$A$5:$A$639,$A412,$C$5:$C$639,$C412-1,$D$5:$D$639,$D412)&lt;0),"n.s.",ABS(K412)/ABS(SUMIFS(K$5:K$639,$A$5:$A$639,$A412,$C$5:$C$639,$C412-1,$D$5:$D$639,$D412))-1)))</f>
        <v/>
      </c>
      <c r="T412" s="16">
        <f>IF(OR($A412="",L412="",$C412=""),"",IF(COUNTIFS($A$5:$A$639,$A412,$C$5:$C$639,$C412-1,$D$5:$D$639,$D412,L$5:L$639,"&lt;&gt;")=0,"",IF(OR(SUMIFS(L$5:L$639,$A$5:$A$639,$A412,$C$5:$C$639,$C412-1,$D$5:$D$639,$D412)=0,L412*SUMIFS(L$5:L$639,$A$5:$A$639,$A412,$C$5:$C$639,$C412-1,$D$5:$D$639,$D412)&lt;0),"n.s.",ABS(L412)/ABS(SUMIFS(L$5:L$639,$A$5:$A$639,$A412,$C$5:$C$639,$C412-1,$D$5:$D$639,$D412))-1)))</f>
        <v/>
      </c>
      <c r="U412" s="16">
        <f>IF(OR($A412="",M412="",$C412=""),"",IF(COUNTIFS($A$5:$A$639,$A412,$C$5:$C$639,$C412-1,$D$5:$D$639,$D412,M$5:M$639,"&lt;&gt;")=0,"",IF(OR(SUMIFS(M$5:M$639,$A$5:$A$639,$A412,$C$5:$C$639,$C412-1,$D$5:$D$639,$D412)=0,M412*SUMIFS(M$5:M$639,$A$5:$A$639,$A412,$C$5:$C$639,$C412-1,$D$5:$D$639,$D412)&lt;0),"n.s.",ABS(M412)/ABS(SUMIFS(M$5:M$639,$A$5:$A$639,$A412,$C$5:$C$639,$C412-1,$D$5:$D$639,$D412))-1)))</f>
        <v/>
      </c>
    </row>
    <row r="413">
      <c r="A413" s="9" t="inlineStr">
        <is>
          <t>ETIT</t>
        </is>
      </c>
      <c r="B413" s="10">
        <f>IF(A413="","",IFERROR(VLOOKUP(A413,Titres!$A$2:$B$400,2,FALSE),"Ticker inconnu"))</f>
        <v/>
      </c>
      <c r="C413" s="11" t="n">
        <v>2025</v>
      </c>
      <c r="D413" s="11" t="inlineStr">
        <is>
          <t>T1</t>
        </is>
      </c>
      <c r="E413" s="9" t="n"/>
      <c r="F413" s="12" t="n"/>
      <c r="G413" s="9" t="n"/>
      <c r="H413" s="13" t="n"/>
      <c r="I413" s="13" t="n"/>
      <c r="J413" s="13" t="n"/>
      <c r="K413" s="13" t="n"/>
      <c r="L413" s="13" t="n"/>
      <c r="M413" s="13" t="n"/>
      <c r="N413" s="14">
        <f>IF(A413="","",COUNT(H413:M413)/6)</f>
        <v/>
      </c>
      <c r="O413" s="15">
        <f>IF(COUNT(H413:M413)=0,"",IF(LEN(IF(COUNT(I413,J413)=2,IF(J413&gt;I413+1,"EBE &gt; VA ",""),"")&amp;IF(COUNT(H413,M413)=2,IF(ABS(M413)&gt;ABS(H413),"RN &gt; CA ",""),"")&amp;IF(COUNT(H413,K413)=2,IF(ABS(K413)&gt;ABS(H413),"RE &gt; CA ",""),""))=0,"OK",IF(COUNT(I413,J413)=2,IF(J413&gt;I413+1,"EBE &gt; VA ",""),"")&amp;IF(COUNT(H413,M413)=2,IF(ABS(M413)&gt;ABS(H413),"RN &gt; CA ",""),"")&amp;IF(COUNT(H413,K413)=2,IF(ABS(K413)&gt;ABS(H413),"RE &gt; CA ",""),"")))</f>
        <v/>
      </c>
      <c r="P413" s="16">
        <f>IF(OR($A413="",H413="",$C413=""),"",IF(COUNTIFS($A$5:$A$639,$A413,$C$5:$C$639,$C413-1,$D$5:$D$639,$D413,H$5:H$639,"&lt;&gt;")=0,"",IF(OR(SUMIFS(H$5:H$639,$A$5:$A$639,$A413,$C$5:$C$639,$C413-1,$D$5:$D$639,$D413)=0,H413*SUMIFS(H$5:H$639,$A$5:$A$639,$A413,$C$5:$C$639,$C413-1,$D$5:$D$639,$D413)&lt;0),"n.s.",ABS(H413)/ABS(SUMIFS(H$5:H$639,$A$5:$A$639,$A413,$C$5:$C$639,$C413-1,$D$5:$D$639,$D413))-1)))</f>
        <v/>
      </c>
      <c r="Q413" s="16">
        <f>IF(OR($A413="",I413="",$C413=""),"",IF(COUNTIFS($A$5:$A$639,$A413,$C$5:$C$639,$C413-1,$D$5:$D$639,$D413,I$5:I$639,"&lt;&gt;")=0,"",IF(OR(SUMIFS(I$5:I$639,$A$5:$A$639,$A413,$C$5:$C$639,$C413-1,$D$5:$D$639,$D413)=0,I413*SUMIFS(I$5:I$639,$A$5:$A$639,$A413,$C$5:$C$639,$C413-1,$D$5:$D$639,$D413)&lt;0),"n.s.",ABS(I413)/ABS(SUMIFS(I$5:I$639,$A$5:$A$639,$A413,$C$5:$C$639,$C413-1,$D$5:$D$639,$D413))-1)))</f>
        <v/>
      </c>
      <c r="R413" s="16">
        <f>IF(OR($A413="",J413="",$C413=""),"",IF(COUNTIFS($A$5:$A$639,$A413,$C$5:$C$639,$C413-1,$D$5:$D$639,$D413,J$5:J$639,"&lt;&gt;")=0,"",IF(OR(SUMIFS(J$5:J$639,$A$5:$A$639,$A413,$C$5:$C$639,$C413-1,$D$5:$D$639,$D413)=0,J413*SUMIFS(J$5:J$639,$A$5:$A$639,$A413,$C$5:$C$639,$C413-1,$D$5:$D$639,$D413)&lt;0),"n.s.",ABS(J413)/ABS(SUMIFS(J$5:J$639,$A$5:$A$639,$A413,$C$5:$C$639,$C413-1,$D$5:$D$639,$D413))-1)))</f>
        <v/>
      </c>
      <c r="S413" s="16">
        <f>IF(OR($A413="",K413="",$C413=""),"",IF(COUNTIFS($A$5:$A$639,$A413,$C$5:$C$639,$C413-1,$D$5:$D$639,$D413,K$5:K$639,"&lt;&gt;")=0,"",IF(OR(SUMIFS(K$5:K$639,$A$5:$A$639,$A413,$C$5:$C$639,$C413-1,$D$5:$D$639,$D413)=0,K413*SUMIFS(K$5:K$639,$A$5:$A$639,$A413,$C$5:$C$639,$C413-1,$D$5:$D$639,$D413)&lt;0),"n.s.",ABS(K413)/ABS(SUMIFS(K$5:K$639,$A$5:$A$639,$A413,$C$5:$C$639,$C413-1,$D$5:$D$639,$D413))-1)))</f>
        <v/>
      </c>
      <c r="T413" s="16">
        <f>IF(OR($A413="",L413="",$C413=""),"",IF(COUNTIFS($A$5:$A$639,$A413,$C$5:$C$639,$C413-1,$D$5:$D$639,$D413,L$5:L$639,"&lt;&gt;")=0,"",IF(OR(SUMIFS(L$5:L$639,$A$5:$A$639,$A413,$C$5:$C$639,$C413-1,$D$5:$D$639,$D413)=0,L413*SUMIFS(L$5:L$639,$A$5:$A$639,$A413,$C$5:$C$639,$C413-1,$D$5:$D$639,$D413)&lt;0),"n.s.",ABS(L413)/ABS(SUMIFS(L$5:L$639,$A$5:$A$639,$A413,$C$5:$C$639,$C413-1,$D$5:$D$639,$D413))-1)))</f>
        <v/>
      </c>
      <c r="U413" s="16">
        <f>IF(OR($A413="",M413="",$C413=""),"",IF(COUNTIFS($A$5:$A$639,$A413,$C$5:$C$639,$C413-1,$D$5:$D$639,$D413,M$5:M$639,"&lt;&gt;")=0,"",IF(OR(SUMIFS(M$5:M$639,$A$5:$A$639,$A413,$C$5:$C$639,$C413-1,$D$5:$D$639,$D413)=0,M413*SUMIFS(M$5:M$639,$A$5:$A$639,$A413,$C$5:$C$639,$C413-1,$D$5:$D$639,$D413)&lt;0),"n.s.",ABS(M413)/ABS(SUMIFS(M$5:M$639,$A$5:$A$639,$A413,$C$5:$C$639,$C413-1,$D$5:$D$639,$D413))-1)))</f>
        <v/>
      </c>
    </row>
    <row r="414">
      <c r="A414" s="9" t="inlineStr">
        <is>
          <t>ETIT</t>
        </is>
      </c>
      <c r="B414" s="10">
        <f>IF(A414="","",IFERROR(VLOOKUP(A414,Titres!$A$2:$B$400,2,FALSE),"Ticker inconnu"))</f>
        <v/>
      </c>
      <c r="C414" s="11" t="n">
        <v>2025</v>
      </c>
      <c r="D414" s="11" t="inlineStr">
        <is>
          <t>S1</t>
        </is>
      </c>
      <c r="E414" s="9" t="n"/>
      <c r="F414" s="12" t="n"/>
      <c r="G414" s="9" t="n"/>
      <c r="H414" s="13" t="n"/>
      <c r="I414" s="13" t="n"/>
      <c r="J414" s="13" t="n"/>
      <c r="K414" s="13" t="n"/>
      <c r="L414" s="13" t="n"/>
      <c r="M414" s="13" t="n"/>
      <c r="N414" s="14">
        <f>IF(A414="","",COUNT(H414:M414)/6)</f>
        <v/>
      </c>
      <c r="O414" s="15">
        <f>IF(COUNT(H414:M414)=0,"",IF(LEN(IF(COUNT(I414,J414)=2,IF(J414&gt;I414+1,"EBE &gt; VA ",""),"")&amp;IF(COUNT(H414,M414)=2,IF(ABS(M414)&gt;ABS(H414),"RN &gt; CA ",""),"")&amp;IF(COUNT(H414,K414)=2,IF(ABS(K414)&gt;ABS(H414),"RE &gt; CA ",""),""))=0,"OK",IF(COUNT(I414,J414)=2,IF(J414&gt;I414+1,"EBE &gt; VA ",""),"")&amp;IF(COUNT(H414,M414)=2,IF(ABS(M414)&gt;ABS(H414),"RN &gt; CA ",""),"")&amp;IF(COUNT(H414,K414)=2,IF(ABS(K414)&gt;ABS(H414),"RE &gt; CA ",""),"")))</f>
        <v/>
      </c>
      <c r="P414" s="16">
        <f>IF(OR($A414="",H414="",$C414=""),"",IF(COUNTIFS($A$5:$A$639,$A414,$C$5:$C$639,$C414-1,$D$5:$D$639,$D414,H$5:H$639,"&lt;&gt;")=0,"",IF(OR(SUMIFS(H$5:H$639,$A$5:$A$639,$A414,$C$5:$C$639,$C414-1,$D$5:$D$639,$D414)=0,H414*SUMIFS(H$5:H$639,$A$5:$A$639,$A414,$C$5:$C$639,$C414-1,$D$5:$D$639,$D414)&lt;0),"n.s.",ABS(H414)/ABS(SUMIFS(H$5:H$639,$A$5:$A$639,$A414,$C$5:$C$639,$C414-1,$D$5:$D$639,$D414))-1)))</f>
        <v/>
      </c>
      <c r="Q414" s="16">
        <f>IF(OR($A414="",I414="",$C414=""),"",IF(COUNTIFS($A$5:$A$639,$A414,$C$5:$C$639,$C414-1,$D$5:$D$639,$D414,I$5:I$639,"&lt;&gt;")=0,"",IF(OR(SUMIFS(I$5:I$639,$A$5:$A$639,$A414,$C$5:$C$639,$C414-1,$D$5:$D$639,$D414)=0,I414*SUMIFS(I$5:I$639,$A$5:$A$639,$A414,$C$5:$C$639,$C414-1,$D$5:$D$639,$D414)&lt;0),"n.s.",ABS(I414)/ABS(SUMIFS(I$5:I$639,$A$5:$A$639,$A414,$C$5:$C$639,$C414-1,$D$5:$D$639,$D414))-1)))</f>
        <v/>
      </c>
      <c r="R414" s="16">
        <f>IF(OR($A414="",J414="",$C414=""),"",IF(COUNTIFS($A$5:$A$639,$A414,$C$5:$C$639,$C414-1,$D$5:$D$639,$D414,J$5:J$639,"&lt;&gt;")=0,"",IF(OR(SUMIFS(J$5:J$639,$A$5:$A$639,$A414,$C$5:$C$639,$C414-1,$D$5:$D$639,$D414)=0,J414*SUMIFS(J$5:J$639,$A$5:$A$639,$A414,$C$5:$C$639,$C414-1,$D$5:$D$639,$D414)&lt;0),"n.s.",ABS(J414)/ABS(SUMIFS(J$5:J$639,$A$5:$A$639,$A414,$C$5:$C$639,$C414-1,$D$5:$D$639,$D414))-1)))</f>
        <v/>
      </c>
      <c r="S414" s="16">
        <f>IF(OR($A414="",K414="",$C414=""),"",IF(COUNTIFS($A$5:$A$639,$A414,$C$5:$C$639,$C414-1,$D$5:$D$639,$D414,K$5:K$639,"&lt;&gt;")=0,"",IF(OR(SUMIFS(K$5:K$639,$A$5:$A$639,$A414,$C$5:$C$639,$C414-1,$D$5:$D$639,$D414)=0,K414*SUMIFS(K$5:K$639,$A$5:$A$639,$A414,$C$5:$C$639,$C414-1,$D$5:$D$639,$D414)&lt;0),"n.s.",ABS(K414)/ABS(SUMIFS(K$5:K$639,$A$5:$A$639,$A414,$C$5:$C$639,$C414-1,$D$5:$D$639,$D414))-1)))</f>
        <v/>
      </c>
      <c r="T414" s="16">
        <f>IF(OR($A414="",L414="",$C414=""),"",IF(COUNTIFS($A$5:$A$639,$A414,$C$5:$C$639,$C414-1,$D$5:$D$639,$D414,L$5:L$639,"&lt;&gt;")=0,"",IF(OR(SUMIFS(L$5:L$639,$A$5:$A$639,$A414,$C$5:$C$639,$C414-1,$D$5:$D$639,$D414)=0,L414*SUMIFS(L$5:L$639,$A$5:$A$639,$A414,$C$5:$C$639,$C414-1,$D$5:$D$639,$D414)&lt;0),"n.s.",ABS(L414)/ABS(SUMIFS(L$5:L$639,$A$5:$A$639,$A414,$C$5:$C$639,$C414-1,$D$5:$D$639,$D414))-1)))</f>
        <v/>
      </c>
      <c r="U414" s="16">
        <f>IF(OR($A414="",M414="",$C414=""),"",IF(COUNTIFS($A$5:$A$639,$A414,$C$5:$C$639,$C414-1,$D$5:$D$639,$D414,M$5:M$639,"&lt;&gt;")=0,"",IF(OR(SUMIFS(M$5:M$639,$A$5:$A$639,$A414,$C$5:$C$639,$C414-1,$D$5:$D$639,$D414)=0,M414*SUMIFS(M$5:M$639,$A$5:$A$639,$A414,$C$5:$C$639,$C414-1,$D$5:$D$639,$D414)&lt;0),"n.s.",ABS(M414)/ABS(SUMIFS(M$5:M$639,$A$5:$A$639,$A414,$C$5:$C$639,$C414-1,$D$5:$D$639,$D414))-1)))</f>
        <v/>
      </c>
    </row>
    <row r="415">
      <c r="A415" s="9" t="inlineStr">
        <is>
          <t>ETIT</t>
        </is>
      </c>
      <c r="B415" s="10">
        <f>IF(A415="","",IFERROR(VLOOKUP(A415,Titres!$A$2:$B$400,2,FALSE),"Ticker inconnu"))</f>
        <v/>
      </c>
      <c r="C415" s="11" t="n">
        <v>2025</v>
      </c>
      <c r="D415" s="11" t="inlineStr">
        <is>
          <t>T3</t>
        </is>
      </c>
      <c r="E415" s="9" t="n"/>
      <c r="F415" s="12" t="n"/>
      <c r="G415" s="9" t="n"/>
      <c r="H415" s="13" t="n"/>
      <c r="I415" s="13" t="n"/>
      <c r="J415" s="13" t="n"/>
      <c r="K415" s="13" t="n"/>
      <c r="L415" s="13" t="n"/>
      <c r="M415" s="13" t="n"/>
      <c r="N415" s="14">
        <f>IF(A415="","",COUNT(H415:M415)/6)</f>
        <v/>
      </c>
      <c r="O415" s="15">
        <f>IF(COUNT(H415:M415)=0,"",IF(LEN(IF(COUNT(I415,J415)=2,IF(J415&gt;I415+1,"EBE &gt; VA ",""),"")&amp;IF(COUNT(H415,M415)=2,IF(ABS(M415)&gt;ABS(H415),"RN &gt; CA ",""),"")&amp;IF(COUNT(H415,K415)=2,IF(ABS(K415)&gt;ABS(H415),"RE &gt; CA ",""),""))=0,"OK",IF(COUNT(I415,J415)=2,IF(J415&gt;I415+1,"EBE &gt; VA ",""),"")&amp;IF(COUNT(H415,M415)=2,IF(ABS(M415)&gt;ABS(H415),"RN &gt; CA ",""),"")&amp;IF(COUNT(H415,K415)=2,IF(ABS(K415)&gt;ABS(H415),"RE &gt; CA ",""),"")))</f>
        <v/>
      </c>
      <c r="P415" s="16">
        <f>IF(OR($A415="",H415="",$C415=""),"",IF(COUNTIFS($A$5:$A$639,$A415,$C$5:$C$639,$C415-1,$D$5:$D$639,$D415,H$5:H$639,"&lt;&gt;")=0,"",IF(OR(SUMIFS(H$5:H$639,$A$5:$A$639,$A415,$C$5:$C$639,$C415-1,$D$5:$D$639,$D415)=0,H415*SUMIFS(H$5:H$639,$A$5:$A$639,$A415,$C$5:$C$639,$C415-1,$D$5:$D$639,$D415)&lt;0),"n.s.",ABS(H415)/ABS(SUMIFS(H$5:H$639,$A$5:$A$639,$A415,$C$5:$C$639,$C415-1,$D$5:$D$639,$D415))-1)))</f>
        <v/>
      </c>
      <c r="Q415" s="16">
        <f>IF(OR($A415="",I415="",$C415=""),"",IF(COUNTIFS($A$5:$A$639,$A415,$C$5:$C$639,$C415-1,$D$5:$D$639,$D415,I$5:I$639,"&lt;&gt;")=0,"",IF(OR(SUMIFS(I$5:I$639,$A$5:$A$639,$A415,$C$5:$C$639,$C415-1,$D$5:$D$639,$D415)=0,I415*SUMIFS(I$5:I$639,$A$5:$A$639,$A415,$C$5:$C$639,$C415-1,$D$5:$D$639,$D415)&lt;0),"n.s.",ABS(I415)/ABS(SUMIFS(I$5:I$639,$A$5:$A$639,$A415,$C$5:$C$639,$C415-1,$D$5:$D$639,$D415))-1)))</f>
        <v/>
      </c>
      <c r="R415" s="16">
        <f>IF(OR($A415="",J415="",$C415=""),"",IF(COUNTIFS($A$5:$A$639,$A415,$C$5:$C$639,$C415-1,$D$5:$D$639,$D415,J$5:J$639,"&lt;&gt;")=0,"",IF(OR(SUMIFS(J$5:J$639,$A$5:$A$639,$A415,$C$5:$C$639,$C415-1,$D$5:$D$639,$D415)=0,J415*SUMIFS(J$5:J$639,$A$5:$A$639,$A415,$C$5:$C$639,$C415-1,$D$5:$D$639,$D415)&lt;0),"n.s.",ABS(J415)/ABS(SUMIFS(J$5:J$639,$A$5:$A$639,$A415,$C$5:$C$639,$C415-1,$D$5:$D$639,$D415))-1)))</f>
        <v/>
      </c>
      <c r="S415" s="16">
        <f>IF(OR($A415="",K415="",$C415=""),"",IF(COUNTIFS($A$5:$A$639,$A415,$C$5:$C$639,$C415-1,$D$5:$D$639,$D415,K$5:K$639,"&lt;&gt;")=0,"",IF(OR(SUMIFS(K$5:K$639,$A$5:$A$639,$A415,$C$5:$C$639,$C415-1,$D$5:$D$639,$D415)=0,K415*SUMIFS(K$5:K$639,$A$5:$A$639,$A415,$C$5:$C$639,$C415-1,$D$5:$D$639,$D415)&lt;0),"n.s.",ABS(K415)/ABS(SUMIFS(K$5:K$639,$A$5:$A$639,$A415,$C$5:$C$639,$C415-1,$D$5:$D$639,$D415))-1)))</f>
        <v/>
      </c>
      <c r="T415" s="16">
        <f>IF(OR($A415="",L415="",$C415=""),"",IF(COUNTIFS($A$5:$A$639,$A415,$C$5:$C$639,$C415-1,$D$5:$D$639,$D415,L$5:L$639,"&lt;&gt;")=0,"",IF(OR(SUMIFS(L$5:L$639,$A$5:$A$639,$A415,$C$5:$C$639,$C415-1,$D$5:$D$639,$D415)=0,L415*SUMIFS(L$5:L$639,$A$5:$A$639,$A415,$C$5:$C$639,$C415-1,$D$5:$D$639,$D415)&lt;0),"n.s.",ABS(L415)/ABS(SUMIFS(L$5:L$639,$A$5:$A$639,$A415,$C$5:$C$639,$C415-1,$D$5:$D$639,$D415))-1)))</f>
        <v/>
      </c>
      <c r="U415" s="16">
        <f>IF(OR($A415="",M415="",$C415=""),"",IF(COUNTIFS($A$5:$A$639,$A415,$C$5:$C$639,$C415-1,$D$5:$D$639,$D415,M$5:M$639,"&lt;&gt;")=0,"",IF(OR(SUMIFS(M$5:M$639,$A$5:$A$639,$A415,$C$5:$C$639,$C415-1,$D$5:$D$639,$D415)=0,M415*SUMIFS(M$5:M$639,$A$5:$A$639,$A415,$C$5:$C$639,$C415-1,$D$5:$D$639,$D415)&lt;0),"n.s.",ABS(M415)/ABS(SUMIFS(M$5:M$639,$A$5:$A$639,$A415,$C$5:$C$639,$C415-1,$D$5:$D$639,$D415))-1)))</f>
        <v/>
      </c>
    </row>
    <row r="416">
      <c r="A416" s="9" t="inlineStr">
        <is>
          <t>ETIT</t>
        </is>
      </c>
      <c r="B416" s="10">
        <f>IF(A416="","",IFERROR(VLOOKUP(A416,Titres!$A$2:$B$400,2,FALSE),"Ticker inconnu"))</f>
        <v/>
      </c>
      <c r="C416" s="11" t="n">
        <v>2026</v>
      </c>
      <c r="D416" s="11" t="inlineStr">
        <is>
          <t>T1</t>
        </is>
      </c>
      <c r="E416" s="9" t="n"/>
      <c r="F416" s="12" t="n"/>
      <c r="G416" s="9" t="n"/>
      <c r="H416" s="13" t="n"/>
      <c r="I416" s="13" t="n"/>
      <c r="J416" s="13" t="n"/>
      <c r="K416" s="13" t="n"/>
      <c r="L416" s="13" t="n"/>
      <c r="M416" s="13" t="n"/>
      <c r="N416" s="14">
        <f>IF(A416="","",COUNT(H416:M416)/6)</f>
        <v/>
      </c>
      <c r="O416" s="15">
        <f>IF(COUNT(H416:M416)=0,"",IF(LEN(IF(COUNT(I416,J416)=2,IF(J416&gt;I416+1,"EBE &gt; VA ",""),"")&amp;IF(COUNT(H416,M416)=2,IF(ABS(M416)&gt;ABS(H416),"RN &gt; CA ",""),"")&amp;IF(COUNT(H416,K416)=2,IF(ABS(K416)&gt;ABS(H416),"RE &gt; CA ",""),""))=0,"OK",IF(COUNT(I416,J416)=2,IF(J416&gt;I416+1,"EBE &gt; VA ",""),"")&amp;IF(COUNT(H416,M416)=2,IF(ABS(M416)&gt;ABS(H416),"RN &gt; CA ",""),"")&amp;IF(COUNT(H416,K416)=2,IF(ABS(K416)&gt;ABS(H416),"RE &gt; CA ",""),"")))</f>
        <v/>
      </c>
      <c r="P416" s="16">
        <f>IF(OR($A416="",H416="",$C416=""),"",IF(COUNTIFS($A$5:$A$639,$A416,$C$5:$C$639,$C416-1,$D$5:$D$639,$D416,H$5:H$639,"&lt;&gt;")=0,"",IF(OR(SUMIFS(H$5:H$639,$A$5:$A$639,$A416,$C$5:$C$639,$C416-1,$D$5:$D$639,$D416)=0,H416*SUMIFS(H$5:H$639,$A$5:$A$639,$A416,$C$5:$C$639,$C416-1,$D$5:$D$639,$D416)&lt;0),"n.s.",ABS(H416)/ABS(SUMIFS(H$5:H$639,$A$5:$A$639,$A416,$C$5:$C$639,$C416-1,$D$5:$D$639,$D416))-1)))</f>
        <v/>
      </c>
      <c r="Q416" s="16">
        <f>IF(OR($A416="",I416="",$C416=""),"",IF(COUNTIFS($A$5:$A$639,$A416,$C$5:$C$639,$C416-1,$D$5:$D$639,$D416,I$5:I$639,"&lt;&gt;")=0,"",IF(OR(SUMIFS(I$5:I$639,$A$5:$A$639,$A416,$C$5:$C$639,$C416-1,$D$5:$D$639,$D416)=0,I416*SUMIFS(I$5:I$639,$A$5:$A$639,$A416,$C$5:$C$639,$C416-1,$D$5:$D$639,$D416)&lt;0),"n.s.",ABS(I416)/ABS(SUMIFS(I$5:I$639,$A$5:$A$639,$A416,$C$5:$C$639,$C416-1,$D$5:$D$639,$D416))-1)))</f>
        <v/>
      </c>
      <c r="R416" s="16">
        <f>IF(OR($A416="",J416="",$C416=""),"",IF(COUNTIFS($A$5:$A$639,$A416,$C$5:$C$639,$C416-1,$D$5:$D$639,$D416,J$5:J$639,"&lt;&gt;")=0,"",IF(OR(SUMIFS(J$5:J$639,$A$5:$A$639,$A416,$C$5:$C$639,$C416-1,$D$5:$D$639,$D416)=0,J416*SUMIFS(J$5:J$639,$A$5:$A$639,$A416,$C$5:$C$639,$C416-1,$D$5:$D$639,$D416)&lt;0),"n.s.",ABS(J416)/ABS(SUMIFS(J$5:J$639,$A$5:$A$639,$A416,$C$5:$C$639,$C416-1,$D$5:$D$639,$D416))-1)))</f>
        <v/>
      </c>
      <c r="S416" s="16">
        <f>IF(OR($A416="",K416="",$C416=""),"",IF(COUNTIFS($A$5:$A$639,$A416,$C$5:$C$639,$C416-1,$D$5:$D$639,$D416,K$5:K$639,"&lt;&gt;")=0,"",IF(OR(SUMIFS(K$5:K$639,$A$5:$A$639,$A416,$C$5:$C$639,$C416-1,$D$5:$D$639,$D416)=0,K416*SUMIFS(K$5:K$639,$A$5:$A$639,$A416,$C$5:$C$639,$C416-1,$D$5:$D$639,$D416)&lt;0),"n.s.",ABS(K416)/ABS(SUMIFS(K$5:K$639,$A$5:$A$639,$A416,$C$5:$C$639,$C416-1,$D$5:$D$639,$D416))-1)))</f>
        <v/>
      </c>
      <c r="T416" s="16">
        <f>IF(OR($A416="",L416="",$C416=""),"",IF(COUNTIFS($A$5:$A$639,$A416,$C$5:$C$639,$C416-1,$D$5:$D$639,$D416,L$5:L$639,"&lt;&gt;")=0,"",IF(OR(SUMIFS(L$5:L$639,$A$5:$A$639,$A416,$C$5:$C$639,$C416-1,$D$5:$D$639,$D416)=0,L416*SUMIFS(L$5:L$639,$A$5:$A$639,$A416,$C$5:$C$639,$C416-1,$D$5:$D$639,$D416)&lt;0),"n.s.",ABS(L416)/ABS(SUMIFS(L$5:L$639,$A$5:$A$639,$A416,$C$5:$C$639,$C416-1,$D$5:$D$639,$D416))-1)))</f>
        <v/>
      </c>
      <c r="U416" s="16">
        <f>IF(OR($A416="",M416="",$C416=""),"",IF(COUNTIFS($A$5:$A$639,$A416,$C$5:$C$639,$C416-1,$D$5:$D$639,$D416,M$5:M$639,"&lt;&gt;")=0,"",IF(OR(SUMIFS(M$5:M$639,$A$5:$A$639,$A416,$C$5:$C$639,$C416-1,$D$5:$D$639,$D416)=0,M416*SUMIFS(M$5:M$639,$A$5:$A$639,$A416,$C$5:$C$639,$C416-1,$D$5:$D$639,$D416)&lt;0),"n.s.",ABS(M416)/ABS(SUMIFS(M$5:M$639,$A$5:$A$639,$A416,$C$5:$C$639,$C416-1,$D$5:$D$639,$D416))-1)))</f>
        <v/>
      </c>
    </row>
    <row r="417">
      <c r="A417" s="9" t="inlineStr">
        <is>
          <t>ETIT</t>
        </is>
      </c>
      <c r="B417" s="10">
        <f>IF(A417="","",IFERROR(VLOOKUP(A417,Titres!$A$2:$B$400,2,FALSE),"Ticker inconnu"))</f>
        <v/>
      </c>
      <c r="C417" s="11" t="n">
        <v>2026</v>
      </c>
      <c r="D417" s="11" t="inlineStr">
        <is>
          <t>S1</t>
        </is>
      </c>
      <c r="E417" s="9" t="n"/>
      <c r="F417" s="12" t="n"/>
      <c r="G417" s="9" t="n"/>
      <c r="H417" s="13" t="n"/>
      <c r="I417" s="13" t="n"/>
      <c r="J417" s="13" t="n"/>
      <c r="K417" s="13" t="n"/>
      <c r="L417" s="13" t="n"/>
      <c r="M417" s="13" t="n"/>
      <c r="N417" s="14">
        <f>IF(A417="","",COUNT(H417:M417)/6)</f>
        <v/>
      </c>
      <c r="O417" s="15">
        <f>IF(COUNT(H417:M417)=0,"",IF(LEN(IF(COUNT(I417,J417)=2,IF(J417&gt;I417+1,"EBE &gt; VA ",""),"")&amp;IF(COUNT(H417,M417)=2,IF(ABS(M417)&gt;ABS(H417),"RN &gt; CA ",""),"")&amp;IF(COUNT(H417,K417)=2,IF(ABS(K417)&gt;ABS(H417),"RE &gt; CA ",""),""))=0,"OK",IF(COUNT(I417,J417)=2,IF(J417&gt;I417+1,"EBE &gt; VA ",""),"")&amp;IF(COUNT(H417,M417)=2,IF(ABS(M417)&gt;ABS(H417),"RN &gt; CA ",""),"")&amp;IF(COUNT(H417,K417)=2,IF(ABS(K417)&gt;ABS(H417),"RE &gt; CA ",""),"")))</f>
        <v/>
      </c>
      <c r="P417" s="16">
        <f>IF(OR($A417="",H417="",$C417=""),"",IF(COUNTIFS($A$5:$A$639,$A417,$C$5:$C$639,$C417-1,$D$5:$D$639,$D417,H$5:H$639,"&lt;&gt;")=0,"",IF(OR(SUMIFS(H$5:H$639,$A$5:$A$639,$A417,$C$5:$C$639,$C417-1,$D$5:$D$639,$D417)=0,H417*SUMIFS(H$5:H$639,$A$5:$A$639,$A417,$C$5:$C$639,$C417-1,$D$5:$D$639,$D417)&lt;0),"n.s.",ABS(H417)/ABS(SUMIFS(H$5:H$639,$A$5:$A$639,$A417,$C$5:$C$639,$C417-1,$D$5:$D$639,$D417))-1)))</f>
        <v/>
      </c>
      <c r="Q417" s="16">
        <f>IF(OR($A417="",I417="",$C417=""),"",IF(COUNTIFS($A$5:$A$639,$A417,$C$5:$C$639,$C417-1,$D$5:$D$639,$D417,I$5:I$639,"&lt;&gt;")=0,"",IF(OR(SUMIFS(I$5:I$639,$A$5:$A$639,$A417,$C$5:$C$639,$C417-1,$D$5:$D$639,$D417)=0,I417*SUMIFS(I$5:I$639,$A$5:$A$639,$A417,$C$5:$C$639,$C417-1,$D$5:$D$639,$D417)&lt;0),"n.s.",ABS(I417)/ABS(SUMIFS(I$5:I$639,$A$5:$A$639,$A417,$C$5:$C$639,$C417-1,$D$5:$D$639,$D417))-1)))</f>
        <v/>
      </c>
      <c r="R417" s="16">
        <f>IF(OR($A417="",J417="",$C417=""),"",IF(COUNTIFS($A$5:$A$639,$A417,$C$5:$C$639,$C417-1,$D$5:$D$639,$D417,J$5:J$639,"&lt;&gt;")=0,"",IF(OR(SUMIFS(J$5:J$639,$A$5:$A$639,$A417,$C$5:$C$639,$C417-1,$D$5:$D$639,$D417)=0,J417*SUMIFS(J$5:J$639,$A$5:$A$639,$A417,$C$5:$C$639,$C417-1,$D$5:$D$639,$D417)&lt;0),"n.s.",ABS(J417)/ABS(SUMIFS(J$5:J$639,$A$5:$A$639,$A417,$C$5:$C$639,$C417-1,$D$5:$D$639,$D417))-1)))</f>
        <v/>
      </c>
      <c r="S417" s="16">
        <f>IF(OR($A417="",K417="",$C417=""),"",IF(COUNTIFS($A$5:$A$639,$A417,$C$5:$C$639,$C417-1,$D$5:$D$639,$D417,K$5:K$639,"&lt;&gt;")=0,"",IF(OR(SUMIFS(K$5:K$639,$A$5:$A$639,$A417,$C$5:$C$639,$C417-1,$D$5:$D$639,$D417)=0,K417*SUMIFS(K$5:K$639,$A$5:$A$639,$A417,$C$5:$C$639,$C417-1,$D$5:$D$639,$D417)&lt;0),"n.s.",ABS(K417)/ABS(SUMIFS(K$5:K$639,$A$5:$A$639,$A417,$C$5:$C$639,$C417-1,$D$5:$D$639,$D417))-1)))</f>
        <v/>
      </c>
      <c r="T417" s="16">
        <f>IF(OR($A417="",L417="",$C417=""),"",IF(COUNTIFS($A$5:$A$639,$A417,$C$5:$C$639,$C417-1,$D$5:$D$639,$D417,L$5:L$639,"&lt;&gt;")=0,"",IF(OR(SUMIFS(L$5:L$639,$A$5:$A$639,$A417,$C$5:$C$639,$C417-1,$D$5:$D$639,$D417)=0,L417*SUMIFS(L$5:L$639,$A$5:$A$639,$A417,$C$5:$C$639,$C417-1,$D$5:$D$639,$D417)&lt;0),"n.s.",ABS(L417)/ABS(SUMIFS(L$5:L$639,$A$5:$A$639,$A417,$C$5:$C$639,$C417-1,$D$5:$D$639,$D417))-1)))</f>
        <v/>
      </c>
      <c r="U417" s="16">
        <f>IF(OR($A417="",M417="",$C417=""),"",IF(COUNTIFS($A$5:$A$639,$A417,$C$5:$C$639,$C417-1,$D$5:$D$639,$D417,M$5:M$639,"&lt;&gt;")=0,"",IF(OR(SUMIFS(M$5:M$639,$A$5:$A$639,$A417,$C$5:$C$639,$C417-1,$D$5:$D$639,$D417)=0,M417*SUMIFS(M$5:M$639,$A$5:$A$639,$A417,$C$5:$C$639,$C417-1,$D$5:$D$639,$D417)&lt;0),"n.s.",ABS(M417)/ABS(SUMIFS(M$5:M$639,$A$5:$A$639,$A417,$C$5:$C$639,$C417-1,$D$5:$D$639,$D417))-1)))</f>
        <v/>
      </c>
    </row>
    <row r="418">
      <c r="A418" s="9" t="inlineStr">
        <is>
          <t>ETIT</t>
        </is>
      </c>
      <c r="B418" s="10">
        <f>IF(A418="","",IFERROR(VLOOKUP(A418,Titres!$A$2:$B$400,2,FALSE),"Ticker inconnu"))</f>
        <v/>
      </c>
      <c r="C418" s="11" t="n">
        <v>2026</v>
      </c>
      <c r="D418" s="11" t="inlineStr">
        <is>
          <t>T3</t>
        </is>
      </c>
      <c r="E418" s="9" t="n"/>
      <c r="F418" s="12" t="n"/>
      <c r="G418" s="9" t="n"/>
      <c r="H418" s="13" t="n"/>
      <c r="I418" s="13" t="n"/>
      <c r="J418" s="13" t="n"/>
      <c r="K418" s="13" t="n"/>
      <c r="L418" s="13" t="n"/>
      <c r="M418" s="13" t="n"/>
      <c r="N418" s="14">
        <f>IF(A418="","",COUNT(H418:M418)/6)</f>
        <v/>
      </c>
      <c r="O418" s="15">
        <f>IF(COUNT(H418:M418)=0,"",IF(LEN(IF(COUNT(I418,J418)=2,IF(J418&gt;I418+1,"EBE &gt; VA ",""),"")&amp;IF(COUNT(H418,M418)=2,IF(ABS(M418)&gt;ABS(H418),"RN &gt; CA ",""),"")&amp;IF(COUNT(H418,K418)=2,IF(ABS(K418)&gt;ABS(H418),"RE &gt; CA ",""),""))=0,"OK",IF(COUNT(I418,J418)=2,IF(J418&gt;I418+1,"EBE &gt; VA ",""),"")&amp;IF(COUNT(H418,M418)=2,IF(ABS(M418)&gt;ABS(H418),"RN &gt; CA ",""),"")&amp;IF(COUNT(H418,K418)=2,IF(ABS(K418)&gt;ABS(H418),"RE &gt; CA ",""),"")))</f>
        <v/>
      </c>
      <c r="P418" s="16">
        <f>IF(OR($A418="",H418="",$C418=""),"",IF(COUNTIFS($A$5:$A$639,$A418,$C$5:$C$639,$C418-1,$D$5:$D$639,$D418,H$5:H$639,"&lt;&gt;")=0,"",IF(OR(SUMIFS(H$5:H$639,$A$5:$A$639,$A418,$C$5:$C$639,$C418-1,$D$5:$D$639,$D418)=0,H418*SUMIFS(H$5:H$639,$A$5:$A$639,$A418,$C$5:$C$639,$C418-1,$D$5:$D$639,$D418)&lt;0),"n.s.",ABS(H418)/ABS(SUMIFS(H$5:H$639,$A$5:$A$639,$A418,$C$5:$C$639,$C418-1,$D$5:$D$639,$D418))-1)))</f>
        <v/>
      </c>
      <c r="Q418" s="16">
        <f>IF(OR($A418="",I418="",$C418=""),"",IF(COUNTIFS($A$5:$A$639,$A418,$C$5:$C$639,$C418-1,$D$5:$D$639,$D418,I$5:I$639,"&lt;&gt;")=0,"",IF(OR(SUMIFS(I$5:I$639,$A$5:$A$639,$A418,$C$5:$C$639,$C418-1,$D$5:$D$639,$D418)=0,I418*SUMIFS(I$5:I$639,$A$5:$A$639,$A418,$C$5:$C$639,$C418-1,$D$5:$D$639,$D418)&lt;0),"n.s.",ABS(I418)/ABS(SUMIFS(I$5:I$639,$A$5:$A$639,$A418,$C$5:$C$639,$C418-1,$D$5:$D$639,$D418))-1)))</f>
        <v/>
      </c>
      <c r="R418" s="16">
        <f>IF(OR($A418="",J418="",$C418=""),"",IF(COUNTIFS($A$5:$A$639,$A418,$C$5:$C$639,$C418-1,$D$5:$D$639,$D418,J$5:J$639,"&lt;&gt;")=0,"",IF(OR(SUMIFS(J$5:J$639,$A$5:$A$639,$A418,$C$5:$C$639,$C418-1,$D$5:$D$639,$D418)=0,J418*SUMIFS(J$5:J$639,$A$5:$A$639,$A418,$C$5:$C$639,$C418-1,$D$5:$D$639,$D418)&lt;0),"n.s.",ABS(J418)/ABS(SUMIFS(J$5:J$639,$A$5:$A$639,$A418,$C$5:$C$639,$C418-1,$D$5:$D$639,$D418))-1)))</f>
        <v/>
      </c>
      <c r="S418" s="16">
        <f>IF(OR($A418="",K418="",$C418=""),"",IF(COUNTIFS($A$5:$A$639,$A418,$C$5:$C$639,$C418-1,$D$5:$D$639,$D418,K$5:K$639,"&lt;&gt;")=0,"",IF(OR(SUMIFS(K$5:K$639,$A$5:$A$639,$A418,$C$5:$C$639,$C418-1,$D$5:$D$639,$D418)=0,K418*SUMIFS(K$5:K$639,$A$5:$A$639,$A418,$C$5:$C$639,$C418-1,$D$5:$D$639,$D418)&lt;0),"n.s.",ABS(K418)/ABS(SUMIFS(K$5:K$639,$A$5:$A$639,$A418,$C$5:$C$639,$C418-1,$D$5:$D$639,$D418))-1)))</f>
        <v/>
      </c>
      <c r="T418" s="16">
        <f>IF(OR($A418="",L418="",$C418=""),"",IF(COUNTIFS($A$5:$A$639,$A418,$C$5:$C$639,$C418-1,$D$5:$D$639,$D418,L$5:L$639,"&lt;&gt;")=0,"",IF(OR(SUMIFS(L$5:L$639,$A$5:$A$639,$A418,$C$5:$C$639,$C418-1,$D$5:$D$639,$D418)=0,L418*SUMIFS(L$5:L$639,$A$5:$A$639,$A418,$C$5:$C$639,$C418-1,$D$5:$D$639,$D418)&lt;0),"n.s.",ABS(L418)/ABS(SUMIFS(L$5:L$639,$A$5:$A$639,$A418,$C$5:$C$639,$C418-1,$D$5:$D$639,$D418))-1)))</f>
        <v/>
      </c>
      <c r="U418" s="16">
        <f>IF(OR($A418="",M418="",$C418=""),"",IF(COUNTIFS($A$5:$A$639,$A418,$C$5:$C$639,$C418-1,$D$5:$D$639,$D418,M$5:M$639,"&lt;&gt;")=0,"",IF(OR(SUMIFS(M$5:M$639,$A$5:$A$639,$A418,$C$5:$C$639,$C418-1,$D$5:$D$639,$D418)=0,M418*SUMIFS(M$5:M$639,$A$5:$A$639,$A418,$C$5:$C$639,$C418-1,$D$5:$D$639,$D418)&lt;0),"n.s.",ABS(M418)/ABS(SUMIFS(M$5:M$639,$A$5:$A$639,$A418,$C$5:$C$639,$C418-1,$D$5:$D$639,$D418))-1)))</f>
        <v/>
      </c>
    </row>
    <row r="419">
      <c r="A419" s="9" t="inlineStr">
        <is>
          <t>ORGT</t>
        </is>
      </c>
      <c r="B419" s="10">
        <f>IF(A419="","",IFERROR(VLOOKUP(A419,Titres!$A$2:$B$400,2,FALSE),"Ticker inconnu"))</f>
        <v/>
      </c>
      <c r="C419" s="11" t="n">
        <v>2021</v>
      </c>
      <c r="D419" s="11" t="inlineStr">
        <is>
          <t>T1</t>
        </is>
      </c>
      <c r="E419" s="9" t="n"/>
      <c r="F419" s="12" t="n"/>
      <c r="G419" s="9" t="n"/>
      <c r="H419" s="13" t="n"/>
      <c r="I419" s="13" t="n"/>
      <c r="J419" s="13" t="n"/>
      <c r="K419" s="13" t="n"/>
      <c r="L419" s="13" t="n"/>
      <c r="M419" s="13" t="n"/>
      <c r="N419" s="14">
        <f>IF(A419="","",COUNT(H419:M419)/6)</f>
        <v/>
      </c>
      <c r="O419" s="15">
        <f>IF(COUNT(H419:M419)=0,"",IF(LEN(IF(COUNT(I419,J419)=2,IF(J419&gt;I419+1,"EBE &gt; VA ",""),"")&amp;IF(COUNT(H419,M419)=2,IF(ABS(M419)&gt;ABS(H419),"RN &gt; CA ",""),"")&amp;IF(COUNT(H419,K419)=2,IF(ABS(K419)&gt;ABS(H419),"RE &gt; CA ",""),""))=0,"OK",IF(COUNT(I419,J419)=2,IF(J419&gt;I419+1,"EBE &gt; VA ",""),"")&amp;IF(COUNT(H419,M419)=2,IF(ABS(M419)&gt;ABS(H419),"RN &gt; CA ",""),"")&amp;IF(COUNT(H419,K419)=2,IF(ABS(K419)&gt;ABS(H419),"RE &gt; CA ",""),"")))</f>
        <v/>
      </c>
      <c r="P419" s="16">
        <f>IF(OR($A419="",H419="",$C419=""),"",IF(COUNTIFS($A$5:$A$639,$A419,$C$5:$C$639,$C419-1,$D$5:$D$639,$D419,H$5:H$639,"&lt;&gt;")=0,"",IF(OR(SUMIFS(H$5:H$639,$A$5:$A$639,$A419,$C$5:$C$639,$C419-1,$D$5:$D$639,$D419)=0,H419*SUMIFS(H$5:H$639,$A$5:$A$639,$A419,$C$5:$C$639,$C419-1,$D$5:$D$639,$D419)&lt;0),"n.s.",ABS(H419)/ABS(SUMIFS(H$5:H$639,$A$5:$A$639,$A419,$C$5:$C$639,$C419-1,$D$5:$D$639,$D419))-1)))</f>
        <v/>
      </c>
      <c r="Q419" s="16">
        <f>IF(OR($A419="",I419="",$C419=""),"",IF(COUNTIFS($A$5:$A$639,$A419,$C$5:$C$639,$C419-1,$D$5:$D$639,$D419,I$5:I$639,"&lt;&gt;")=0,"",IF(OR(SUMIFS(I$5:I$639,$A$5:$A$639,$A419,$C$5:$C$639,$C419-1,$D$5:$D$639,$D419)=0,I419*SUMIFS(I$5:I$639,$A$5:$A$639,$A419,$C$5:$C$639,$C419-1,$D$5:$D$639,$D419)&lt;0),"n.s.",ABS(I419)/ABS(SUMIFS(I$5:I$639,$A$5:$A$639,$A419,$C$5:$C$639,$C419-1,$D$5:$D$639,$D419))-1)))</f>
        <v/>
      </c>
      <c r="R419" s="16">
        <f>IF(OR($A419="",J419="",$C419=""),"",IF(COUNTIFS($A$5:$A$639,$A419,$C$5:$C$639,$C419-1,$D$5:$D$639,$D419,J$5:J$639,"&lt;&gt;")=0,"",IF(OR(SUMIFS(J$5:J$639,$A$5:$A$639,$A419,$C$5:$C$639,$C419-1,$D$5:$D$639,$D419)=0,J419*SUMIFS(J$5:J$639,$A$5:$A$639,$A419,$C$5:$C$639,$C419-1,$D$5:$D$639,$D419)&lt;0),"n.s.",ABS(J419)/ABS(SUMIFS(J$5:J$639,$A$5:$A$639,$A419,$C$5:$C$639,$C419-1,$D$5:$D$639,$D419))-1)))</f>
        <v/>
      </c>
      <c r="S419" s="16">
        <f>IF(OR($A419="",K419="",$C419=""),"",IF(COUNTIFS($A$5:$A$639,$A419,$C$5:$C$639,$C419-1,$D$5:$D$639,$D419,K$5:K$639,"&lt;&gt;")=0,"",IF(OR(SUMIFS(K$5:K$639,$A$5:$A$639,$A419,$C$5:$C$639,$C419-1,$D$5:$D$639,$D419)=0,K419*SUMIFS(K$5:K$639,$A$5:$A$639,$A419,$C$5:$C$639,$C419-1,$D$5:$D$639,$D419)&lt;0),"n.s.",ABS(K419)/ABS(SUMIFS(K$5:K$639,$A$5:$A$639,$A419,$C$5:$C$639,$C419-1,$D$5:$D$639,$D419))-1)))</f>
        <v/>
      </c>
      <c r="T419" s="16">
        <f>IF(OR($A419="",L419="",$C419=""),"",IF(COUNTIFS($A$5:$A$639,$A419,$C$5:$C$639,$C419-1,$D$5:$D$639,$D419,L$5:L$639,"&lt;&gt;")=0,"",IF(OR(SUMIFS(L$5:L$639,$A$5:$A$639,$A419,$C$5:$C$639,$C419-1,$D$5:$D$639,$D419)=0,L419*SUMIFS(L$5:L$639,$A$5:$A$639,$A419,$C$5:$C$639,$C419-1,$D$5:$D$639,$D419)&lt;0),"n.s.",ABS(L419)/ABS(SUMIFS(L$5:L$639,$A$5:$A$639,$A419,$C$5:$C$639,$C419-1,$D$5:$D$639,$D419))-1)))</f>
        <v/>
      </c>
      <c r="U419" s="16">
        <f>IF(OR($A419="",M419="",$C419=""),"",IF(COUNTIFS($A$5:$A$639,$A419,$C$5:$C$639,$C419-1,$D$5:$D$639,$D419,M$5:M$639,"&lt;&gt;")=0,"",IF(OR(SUMIFS(M$5:M$639,$A$5:$A$639,$A419,$C$5:$C$639,$C419-1,$D$5:$D$639,$D419)=0,M419*SUMIFS(M$5:M$639,$A$5:$A$639,$A419,$C$5:$C$639,$C419-1,$D$5:$D$639,$D419)&lt;0),"n.s.",ABS(M419)/ABS(SUMIFS(M$5:M$639,$A$5:$A$639,$A419,$C$5:$C$639,$C419-1,$D$5:$D$639,$D419))-1)))</f>
        <v/>
      </c>
    </row>
    <row r="420">
      <c r="A420" s="9" t="inlineStr">
        <is>
          <t>ORGT</t>
        </is>
      </c>
      <c r="B420" s="10">
        <f>IF(A420="","",IFERROR(VLOOKUP(A420,Titres!$A$2:$B$400,2,FALSE),"Ticker inconnu"))</f>
        <v/>
      </c>
      <c r="C420" s="11" t="n">
        <v>2021</v>
      </c>
      <c r="D420" s="11" t="inlineStr">
        <is>
          <t>S1</t>
        </is>
      </c>
      <c r="E420" s="9" t="n"/>
      <c r="F420" s="12" t="n"/>
      <c r="G420" s="9" t="n"/>
      <c r="H420" s="13" t="n"/>
      <c r="I420" s="13" t="n"/>
      <c r="J420" s="13" t="n"/>
      <c r="K420" s="13" t="n"/>
      <c r="L420" s="13" t="n"/>
      <c r="M420" s="13" t="n"/>
      <c r="N420" s="14">
        <f>IF(A420="","",COUNT(H420:M420)/6)</f>
        <v/>
      </c>
      <c r="O420" s="15">
        <f>IF(COUNT(H420:M420)=0,"",IF(LEN(IF(COUNT(I420,J420)=2,IF(J420&gt;I420+1,"EBE &gt; VA ",""),"")&amp;IF(COUNT(H420,M420)=2,IF(ABS(M420)&gt;ABS(H420),"RN &gt; CA ",""),"")&amp;IF(COUNT(H420,K420)=2,IF(ABS(K420)&gt;ABS(H420),"RE &gt; CA ",""),""))=0,"OK",IF(COUNT(I420,J420)=2,IF(J420&gt;I420+1,"EBE &gt; VA ",""),"")&amp;IF(COUNT(H420,M420)=2,IF(ABS(M420)&gt;ABS(H420),"RN &gt; CA ",""),"")&amp;IF(COUNT(H420,K420)=2,IF(ABS(K420)&gt;ABS(H420),"RE &gt; CA ",""),"")))</f>
        <v/>
      </c>
      <c r="P420" s="16">
        <f>IF(OR($A420="",H420="",$C420=""),"",IF(COUNTIFS($A$5:$A$639,$A420,$C$5:$C$639,$C420-1,$D$5:$D$639,$D420,H$5:H$639,"&lt;&gt;")=0,"",IF(OR(SUMIFS(H$5:H$639,$A$5:$A$639,$A420,$C$5:$C$639,$C420-1,$D$5:$D$639,$D420)=0,H420*SUMIFS(H$5:H$639,$A$5:$A$639,$A420,$C$5:$C$639,$C420-1,$D$5:$D$639,$D420)&lt;0),"n.s.",ABS(H420)/ABS(SUMIFS(H$5:H$639,$A$5:$A$639,$A420,$C$5:$C$639,$C420-1,$D$5:$D$639,$D420))-1)))</f>
        <v/>
      </c>
      <c r="Q420" s="16">
        <f>IF(OR($A420="",I420="",$C420=""),"",IF(COUNTIFS($A$5:$A$639,$A420,$C$5:$C$639,$C420-1,$D$5:$D$639,$D420,I$5:I$639,"&lt;&gt;")=0,"",IF(OR(SUMIFS(I$5:I$639,$A$5:$A$639,$A420,$C$5:$C$639,$C420-1,$D$5:$D$639,$D420)=0,I420*SUMIFS(I$5:I$639,$A$5:$A$639,$A420,$C$5:$C$639,$C420-1,$D$5:$D$639,$D420)&lt;0),"n.s.",ABS(I420)/ABS(SUMIFS(I$5:I$639,$A$5:$A$639,$A420,$C$5:$C$639,$C420-1,$D$5:$D$639,$D420))-1)))</f>
        <v/>
      </c>
      <c r="R420" s="16">
        <f>IF(OR($A420="",J420="",$C420=""),"",IF(COUNTIFS($A$5:$A$639,$A420,$C$5:$C$639,$C420-1,$D$5:$D$639,$D420,J$5:J$639,"&lt;&gt;")=0,"",IF(OR(SUMIFS(J$5:J$639,$A$5:$A$639,$A420,$C$5:$C$639,$C420-1,$D$5:$D$639,$D420)=0,J420*SUMIFS(J$5:J$639,$A$5:$A$639,$A420,$C$5:$C$639,$C420-1,$D$5:$D$639,$D420)&lt;0),"n.s.",ABS(J420)/ABS(SUMIFS(J$5:J$639,$A$5:$A$639,$A420,$C$5:$C$639,$C420-1,$D$5:$D$639,$D420))-1)))</f>
        <v/>
      </c>
      <c r="S420" s="16">
        <f>IF(OR($A420="",K420="",$C420=""),"",IF(COUNTIFS($A$5:$A$639,$A420,$C$5:$C$639,$C420-1,$D$5:$D$639,$D420,K$5:K$639,"&lt;&gt;")=0,"",IF(OR(SUMIFS(K$5:K$639,$A$5:$A$639,$A420,$C$5:$C$639,$C420-1,$D$5:$D$639,$D420)=0,K420*SUMIFS(K$5:K$639,$A$5:$A$639,$A420,$C$5:$C$639,$C420-1,$D$5:$D$639,$D420)&lt;0),"n.s.",ABS(K420)/ABS(SUMIFS(K$5:K$639,$A$5:$A$639,$A420,$C$5:$C$639,$C420-1,$D$5:$D$639,$D420))-1)))</f>
        <v/>
      </c>
      <c r="T420" s="16">
        <f>IF(OR($A420="",L420="",$C420=""),"",IF(COUNTIFS($A$5:$A$639,$A420,$C$5:$C$639,$C420-1,$D$5:$D$639,$D420,L$5:L$639,"&lt;&gt;")=0,"",IF(OR(SUMIFS(L$5:L$639,$A$5:$A$639,$A420,$C$5:$C$639,$C420-1,$D$5:$D$639,$D420)=0,L420*SUMIFS(L$5:L$639,$A$5:$A$639,$A420,$C$5:$C$639,$C420-1,$D$5:$D$639,$D420)&lt;0),"n.s.",ABS(L420)/ABS(SUMIFS(L$5:L$639,$A$5:$A$639,$A420,$C$5:$C$639,$C420-1,$D$5:$D$639,$D420))-1)))</f>
        <v/>
      </c>
      <c r="U420" s="16">
        <f>IF(OR($A420="",M420="",$C420=""),"",IF(COUNTIFS($A$5:$A$639,$A420,$C$5:$C$639,$C420-1,$D$5:$D$639,$D420,M$5:M$639,"&lt;&gt;")=0,"",IF(OR(SUMIFS(M$5:M$639,$A$5:$A$639,$A420,$C$5:$C$639,$C420-1,$D$5:$D$639,$D420)=0,M420*SUMIFS(M$5:M$639,$A$5:$A$639,$A420,$C$5:$C$639,$C420-1,$D$5:$D$639,$D420)&lt;0),"n.s.",ABS(M420)/ABS(SUMIFS(M$5:M$639,$A$5:$A$639,$A420,$C$5:$C$639,$C420-1,$D$5:$D$639,$D420))-1)))</f>
        <v/>
      </c>
    </row>
    <row r="421">
      <c r="A421" s="9" t="inlineStr">
        <is>
          <t>ORGT</t>
        </is>
      </c>
      <c r="B421" s="10">
        <f>IF(A421="","",IFERROR(VLOOKUP(A421,Titres!$A$2:$B$400,2,FALSE),"Ticker inconnu"))</f>
        <v/>
      </c>
      <c r="C421" s="11" t="n">
        <v>2021</v>
      </c>
      <c r="D421" s="11" t="inlineStr">
        <is>
          <t>T3</t>
        </is>
      </c>
      <c r="E421" s="9" t="n"/>
      <c r="F421" s="12" t="n"/>
      <c r="G421" s="9" t="n"/>
      <c r="H421" s="13" t="n"/>
      <c r="I421" s="13" t="n"/>
      <c r="J421" s="13" t="n"/>
      <c r="K421" s="13" t="n"/>
      <c r="L421" s="13" t="n"/>
      <c r="M421" s="13" t="n"/>
      <c r="N421" s="14">
        <f>IF(A421="","",COUNT(H421:M421)/6)</f>
        <v/>
      </c>
      <c r="O421" s="15">
        <f>IF(COUNT(H421:M421)=0,"",IF(LEN(IF(COUNT(I421,J421)=2,IF(J421&gt;I421+1,"EBE &gt; VA ",""),"")&amp;IF(COUNT(H421,M421)=2,IF(ABS(M421)&gt;ABS(H421),"RN &gt; CA ",""),"")&amp;IF(COUNT(H421,K421)=2,IF(ABS(K421)&gt;ABS(H421),"RE &gt; CA ",""),""))=0,"OK",IF(COUNT(I421,J421)=2,IF(J421&gt;I421+1,"EBE &gt; VA ",""),"")&amp;IF(COUNT(H421,M421)=2,IF(ABS(M421)&gt;ABS(H421),"RN &gt; CA ",""),"")&amp;IF(COUNT(H421,K421)=2,IF(ABS(K421)&gt;ABS(H421),"RE &gt; CA ",""),"")))</f>
        <v/>
      </c>
      <c r="P421" s="16">
        <f>IF(OR($A421="",H421="",$C421=""),"",IF(COUNTIFS($A$5:$A$639,$A421,$C$5:$C$639,$C421-1,$D$5:$D$639,$D421,H$5:H$639,"&lt;&gt;")=0,"",IF(OR(SUMIFS(H$5:H$639,$A$5:$A$639,$A421,$C$5:$C$639,$C421-1,$D$5:$D$639,$D421)=0,H421*SUMIFS(H$5:H$639,$A$5:$A$639,$A421,$C$5:$C$639,$C421-1,$D$5:$D$639,$D421)&lt;0),"n.s.",ABS(H421)/ABS(SUMIFS(H$5:H$639,$A$5:$A$639,$A421,$C$5:$C$639,$C421-1,$D$5:$D$639,$D421))-1)))</f>
        <v/>
      </c>
      <c r="Q421" s="16">
        <f>IF(OR($A421="",I421="",$C421=""),"",IF(COUNTIFS($A$5:$A$639,$A421,$C$5:$C$639,$C421-1,$D$5:$D$639,$D421,I$5:I$639,"&lt;&gt;")=0,"",IF(OR(SUMIFS(I$5:I$639,$A$5:$A$639,$A421,$C$5:$C$639,$C421-1,$D$5:$D$639,$D421)=0,I421*SUMIFS(I$5:I$639,$A$5:$A$639,$A421,$C$5:$C$639,$C421-1,$D$5:$D$639,$D421)&lt;0),"n.s.",ABS(I421)/ABS(SUMIFS(I$5:I$639,$A$5:$A$639,$A421,$C$5:$C$639,$C421-1,$D$5:$D$639,$D421))-1)))</f>
        <v/>
      </c>
      <c r="R421" s="16">
        <f>IF(OR($A421="",J421="",$C421=""),"",IF(COUNTIFS($A$5:$A$639,$A421,$C$5:$C$639,$C421-1,$D$5:$D$639,$D421,J$5:J$639,"&lt;&gt;")=0,"",IF(OR(SUMIFS(J$5:J$639,$A$5:$A$639,$A421,$C$5:$C$639,$C421-1,$D$5:$D$639,$D421)=0,J421*SUMIFS(J$5:J$639,$A$5:$A$639,$A421,$C$5:$C$639,$C421-1,$D$5:$D$639,$D421)&lt;0),"n.s.",ABS(J421)/ABS(SUMIFS(J$5:J$639,$A$5:$A$639,$A421,$C$5:$C$639,$C421-1,$D$5:$D$639,$D421))-1)))</f>
        <v/>
      </c>
      <c r="S421" s="16">
        <f>IF(OR($A421="",K421="",$C421=""),"",IF(COUNTIFS($A$5:$A$639,$A421,$C$5:$C$639,$C421-1,$D$5:$D$639,$D421,K$5:K$639,"&lt;&gt;")=0,"",IF(OR(SUMIFS(K$5:K$639,$A$5:$A$639,$A421,$C$5:$C$639,$C421-1,$D$5:$D$639,$D421)=0,K421*SUMIFS(K$5:K$639,$A$5:$A$639,$A421,$C$5:$C$639,$C421-1,$D$5:$D$639,$D421)&lt;0),"n.s.",ABS(K421)/ABS(SUMIFS(K$5:K$639,$A$5:$A$639,$A421,$C$5:$C$639,$C421-1,$D$5:$D$639,$D421))-1)))</f>
        <v/>
      </c>
      <c r="T421" s="16">
        <f>IF(OR($A421="",L421="",$C421=""),"",IF(COUNTIFS($A$5:$A$639,$A421,$C$5:$C$639,$C421-1,$D$5:$D$639,$D421,L$5:L$639,"&lt;&gt;")=0,"",IF(OR(SUMIFS(L$5:L$639,$A$5:$A$639,$A421,$C$5:$C$639,$C421-1,$D$5:$D$639,$D421)=0,L421*SUMIFS(L$5:L$639,$A$5:$A$639,$A421,$C$5:$C$639,$C421-1,$D$5:$D$639,$D421)&lt;0),"n.s.",ABS(L421)/ABS(SUMIFS(L$5:L$639,$A$5:$A$639,$A421,$C$5:$C$639,$C421-1,$D$5:$D$639,$D421))-1)))</f>
        <v/>
      </c>
      <c r="U421" s="16">
        <f>IF(OR($A421="",M421="",$C421=""),"",IF(COUNTIFS($A$5:$A$639,$A421,$C$5:$C$639,$C421-1,$D$5:$D$639,$D421,M$5:M$639,"&lt;&gt;")=0,"",IF(OR(SUMIFS(M$5:M$639,$A$5:$A$639,$A421,$C$5:$C$639,$C421-1,$D$5:$D$639,$D421)=0,M421*SUMIFS(M$5:M$639,$A$5:$A$639,$A421,$C$5:$C$639,$C421-1,$D$5:$D$639,$D421)&lt;0),"n.s.",ABS(M421)/ABS(SUMIFS(M$5:M$639,$A$5:$A$639,$A421,$C$5:$C$639,$C421-1,$D$5:$D$639,$D421))-1)))</f>
        <v/>
      </c>
    </row>
    <row r="422">
      <c r="A422" s="9" t="inlineStr">
        <is>
          <t>ORGT</t>
        </is>
      </c>
      <c r="B422" s="10">
        <f>IF(A422="","",IFERROR(VLOOKUP(A422,Titres!$A$2:$B$400,2,FALSE),"Ticker inconnu"))</f>
        <v/>
      </c>
      <c r="C422" s="11" t="n">
        <v>2022</v>
      </c>
      <c r="D422" s="11" t="inlineStr">
        <is>
          <t>T1</t>
        </is>
      </c>
      <c r="E422" s="9" t="n"/>
      <c r="F422" s="12" t="n"/>
      <c r="G422" s="9" t="n"/>
      <c r="H422" s="13" t="n"/>
      <c r="I422" s="13" t="n"/>
      <c r="J422" s="13" t="n"/>
      <c r="K422" s="13" t="n"/>
      <c r="L422" s="13" t="n"/>
      <c r="M422" s="13" t="n"/>
      <c r="N422" s="14">
        <f>IF(A422="","",COUNT(H422:M422)/6)</f>
        <v/>
      </c>
      <c r="O422" s="15">
        <f>IF(COUNT(H422:M422)=0,"",IF(LEN(IF(COUNT(I422,J422)=2,IF(J422&gt;I422+1,"EBE &gt; VA ",""),"")&amp;IF(COUNT(H422,M422)=2,IF(ABS(M422)&gt;ABS(H422),"RN &gt; CA ",""),"")&amp;IF(COUNT(H422,K422)=2,IF(ABS(K422)&gt;ABS(H422),"RE &gt; CA ",""),""))=0,"OK",IF(COUNT(I422,J422)=2,IF(J422&gt;I422+1,"EBE &gt; VA ",""),"")&amp;IF(COUNT(H422,M422)=2,IF(ABS(M422)&gt;ABS(H422),"RN &gt; CA ",""),"")&amp;IF(COUNT(H422,K422)=2,IF(ABS(K422)&gt;ABS(H422),"RE &gt; CA ",""),"")))</f>
        <v/>
      </c>
      <c r="P422" s="16">
        <f>IF(OR($A422="",H422="",$C422=""),"",IF(COUNTIFS($A$5:$A$639,$A422,$C$5:$C$639,$C422-1,$D$5:$D$639,$D422,H$5:H$639,"&lt;&gt;")=0,"",IF(OR(SUMIFS(H$5:H$639,$A$5:$A$639,$A422,$C$5:$C$639,$C422-1,$D$5:$D$639,$D422)=0,H422*SUMIFS(H$5:H$639,$A$5:$A$639,$A422,$C$5:$C$639,$C422-1,$D$5:$D$639,$D422)&lt;0),"n.s.",ABS(H422)/ABS(SUMIFS(H$5:H$639,$A$5:$A$639,$A422,$C$5:$C$639,$C422-1,$D$5:$D$639,$D422))-1)))</f>
        <v/>
      </c>
      <c r="Q422" s="16">
        <f>IF(OR($A422="",I422="",$C422=""),"",IF(COUNTIFS($A$5:$A$639,$A422,$C$5:$C$639,$C422-1,$D$5:$D$639,$D422,I$5:I$639,"&lt;&gt;")=0,"",IF(OR(SUMIFS(I$5:I$639,$A$5:$A$639,$A422,$C$5:$C$639,$C422-1,$D$5:$D$639,$D422)=0,I422*SUMIFS(I$5:I$639,$A$5:$A$639,$A422,$C$5:$C$639,$C422-1,$D$5:$D$639,$D422)&lt;0),"n.s.",ABS(I422)/ABS(SUMIFS(I$5:I$639,$A$5:$A$639,$A422,$C$5:$C$639,$C422-1,$D$5:$D$639,$D422))-1)))</f>
        <v/>
      </c>
      <c r="R422" s="16">
        <f>IF(OR($A422="",J422="",$C422=""),"",IF(COUNTIFS($A$5:$A$639,$A422,$C$5:$C$639,$C422-1,$D$5:$D$639,$D422,J$5:J$639,"&lt;&gt;")=0,"",IF(OR(SUMIFS(J$5:J$639,$A$5:$A$639,$A422,$C$5:$C$639,$C422-1,$D$5:$D$639,$D422)=0,J422*SUMIFS(J$5:J$639,$A$5:$A$639,$A422,$C$5:$C$639,$C422-1,$D$5:$D$639,$D422)&lt;0),"n.s.",ABS(J422)/ABS(SUMIFS(J$5:J$639,$A$5:$A$639,$A422,$C$5:$C$639,$C422-1,$D$5:$D$639,$D422))-1)))</f>
        <v/>
      </c>
      <c r="S422" s="16">
        <f>IF(OR($A422="",K422="",$C422=""),"",IF(COUNTIFS($A$5:$A$639,$A422,$C$5:$C$639,$C422-1,$D$5:$D$639,$D422,K$5:K$639,"&lt;&gt;")=0,"",IF(OR(SUMIFS(K$5:K$639,$A$5:$A$639,$A422,$C$5:$C$639,$C422-1,$D$5:$D$639,$D422)=0,K422*SUMIFS(K$5:K$639,$A$5:$A$639,$A422,$C$5:$C$639,$C422-1,$D$5:$D$639,$D422)&lt;0),"n.s.",ABS(K422)/ABS(SUMIFS(K$5:K$639,$A$5:$A$639,$A422,$C$5:$C$639,$C422-1,$D$5:$D$639,$D422))-1)))</f>
        <v/>
      </c>
      <c r="T422" s="16">
        <f>IF(OR($A422="",L422="",$C422=""),"",IF(COUNTIFS($A$5:$A$639,$A422,$C$5:$C$639,$C422-1,$D$5:$D$639,$D422,L$5:L$639,"&lt;&gt;")=0,"",IF(OR(SUMIFS(L$5:L$639,$A$5:$A$639,$A422,$C$5:$C$639,$C422-1,$D$5:$D$639,$D422)=0,L422*SUMIFS(L$5:L$639,$A$5:$A$639,$A422,$C$5:$C$639,$C422-1,$D$5:$D$639,$D422)&lt;0),"n.s.",ABS(L422)/ABS(SUMIFS(L$5:L$639,$A$5:$A$639,$A422,$C$5:$C$639,$C422-1,$D$5:$D$639,$D422))-1)))</f>
        <v/>
      </c>
      <c r="U422" s="16">
        <f>IF(OR($A422="",M422="",$C422=""),"",IF(COUNTIFS($A$5:$A$639,$A422,$C$5:$C$639,$C422-1,$D$5:$D$639,$D422,M$5:M$639,"&lt;&gt;")=0,"",IF(OR(SUMIFS(M$5:M$639,$A$5:$A$639,$A422,$C$5:$C$639,$C422-1,$D$5:$D$639,$D422)=0,M422*SUMIFS(M$5:M$639,$A$5:$A$639,$A422,$C$5:$C$639,$C422-1,$D$5:$D$639,$D422)&lt;0),"n.s.",ABS(M422)/ABS(SUMIFS(M$5:M$639,$A$5:$A$639,$A422,$C$5:$C$639,$C422-1,$D$5:$D$639,$D422))-1)))</f>
        <v/>
      </c>
    </row>
    <row r="423">
      <c r="A423" s="9" t="inlineStr">
        <is>
          <t>ORGT</t>
        </is>
      </c>
      <c r="B423" s="10">
        <f>IF(A423="","",IFERROR(VLOOKUP(A423,Titres!$A$2:$B$400,2,FALSE),"Ticker inconnu"))</f>
        <v/>
      </c>
      <c r="C423" s="11" t="n">
        <v>2022</v>
      </c>
      <c r="D423" s="11" t="inlineStr">
        <is>
          <t>S1</t>
        </is>
      </c>
      <c r="E423" s="9" t="n"/>
      <c r="F423" s="12" t="n"/>
      <c r="G423" s="9" t="n"/>
      <c r="H423" s="13" t="n"/>
      <c r="I423" s="13" t="n"/>
      <c r="J423" s="13" t="n"/>
      <c r="K423" s="13" t="n"/>
      <c r="L423" s="13" t="n"/>
      <c r="M423" s="13" t="n"/>
      <c r="N423" s="14">
        <f>IF(A423="","",COUNT(H423:M423)/6)</f>
        <v/>
      </c>
      <c r="O423" s="15">
        <f>IF(COUNT(H423:M423)=0,"",IF(LEN(IF(COUNT(I423,J423)=2,IF(J423&gt;I423+1,"EBE &gt; VA ",""),"")&amp;IF(COUNT(H423,M423)=2,IF(ABS(M423)&gt;ABS(H423),"RN &gt; CA ",""),"")&amp;IF(COUNT(H423,K423)=2,IF(ABS(K423)&gt;ABS(H423),"RE &gt; CA ",""),""))=0,"OK",IF(COUNT(I423,J423)=2,IF(J423&gt;I423+1,"EBE &gt; VA ",""),"")&amp;IF(COUNT(H423,M423)=2,IF(ABS(M423)&gt;ABS(H423),"RN &gt; CA ",""),"")&amp;IF(COUNT(H423,K423)=2,IF(ABS(K423)&gt;ABS(H423),"RE &gt; CA ",""),"")))</f>
        <v/>
      </c>
      <c r="P423" s="16">
        <f>IF(OR($A423="",H423="",$C423=""),"",IF(COUNTIFS($A$5:$A$639,$A423,$C$5:$C$639,$C423-1,$D$5:$D$639,$D423,H$5:H$639,"&lt;&gt;")=0,"",IF(OR(SUMIFS(H$5:H$639,$A$5:$A$639,$A423,$C$5:$C$639,$C423-1,$D$5:$D$639,$D423)=0,H423*SUMIFS(H$5:H$639,$A$5:$A$639,$A423,$C$5:$C$639,$C423-1,$D$5:$D$639,$D423)&lt;0),"n.s.",ABS(H423)/ABS(SUMIFS(H$5:H$639,$A$5:$A$639,$A423,$C$5:$C$639,$C423-1,$D$5:$D$639,$D423))-1)))</f>
        <v/>
      </c>
      <c r="Q423" s="16">
        <f>IF(OR($A423="",I423="",$C423=""),"",IF(COUNTIFS($A$5:$A$639,$A423,$C$5:$C$639,$C423-1,$D$5:$D$639,$D423,I$5:I$639,"&lt;&gt;")=0,"",IF(OR(SUMIFS(I$5:I$639,$A$5:$A$639,$A423,$C$5:$C$639,$C423-1,$D$5:$D$639,$D423)=0,I423*SUMIFS(I$5:I$639,$A$5:$A$639,$A423,$C$5:$C$639,$C423-1,$D$5:$D$639,$D423)&lt;0),"n.s.",ABS(I423)/ABS(SUMIFS(I$5:I$639,$A$5:$A$639,$A423,$C$5:$C$639,$C423-1,$D$5:$D$639,$D423))-1)))</f>
        <v/>
      </c>
      <c r="R423" s="16">
        <f>IF(OR($A423="",J423="",$C423=""),"",IF(COUNTIFS($A$5:$A$639,$A423,$C$5:$C$639,$C423-1,$D$5:$D$639,$D423,J$5:J$639,"&lt;&gt;")=0,"",IF(OR(SUMIFS(J$5:J$639,$A$5:$A$639,$A423,$C$5:$C$639,$C423-1,$D$5:$D$639,$D423)=0,J423*SUMIFS(J$5:J$639,$A$5:$A$639,$A423,$C$5:$C$639,$C423-1,$D$5:$D$639,$D423)&lt;0),"n.s.",ABS(J423)/ABS(SUMIFS(J$5:J$639,$A$5:$A$639,$A423,$C$5:$C$639,$C423-1,$D$5:$D$639,$D423))-1)))</f>
        <v/>
      </c>
      <c r="S423" s="16">
        <f>IF(OR($A423="",K423="",$C423=""),"",IF(COUNTIFS($A$5:$A$639,$A423,$C$5:$C$639,$C423-1,$D$5:$D$639,$D423,K$5:K$639,"&lt;&gt;")=0,"",IF(OR(SUMIFS(K$5:K$639,$A$5:$A$639,$A423,$C$5:$C$639,$C423-1,$D$5:$D$639,$D423)=0,K423*SUMIFS(K$5:K$639,$A$5:$A$639,$A423,$C$5:$C$639,$C423-1,$D$5:$D$639,$D423)&lt;0),"n.s.",ABS(K423)/ABS(SUMIFS(K$5:K$639,$A$5:$A$639,$A423,$C$5:$C$639,$C423-1,$D$5:$D$639,$D423))-1)))</f>
        <v/>
      </c>
      <c r="T423" s="16">
        <f>IF(OR($A423="",L423="",$C423=""),"",IF(COUNTIFS($A$5:$A$639,$A423,$C$5:$C$639,$C423-1,$D$5:$D$639,$D423,L$5:L$639,"&lt;&gt;")=0,"",IF(OR(SUMIFS(L$5:L$639,$A$5:$A$639,$A423,$C$5:$C$639,$C423-1,$D$5:$D$639,$D423)=0,L423*SUMIFS(L$5:L$639,$A$5:$A$639,$A423,$C$5:$C$639,$C423-1,$D$5:$D$639,$D423)&lt;0),"n.s.",ABS(L423)/ABS(SUMIFS(L$5:L$639,$A$5:$A$639,$A423,$C$5:$C$639,$C423-1,$D$5:$D$639,$D423))-1)))</f>
        <v/>
      </c>
      <c r="U423" s="16">
        <f>IF(OR($A423="",M423="",$C423=""),"",IF(COUNTIFS($A$5:$A$639,$A423,$C$5:$C$639,$C423-1,$D$5:$D$639,$D423,M$5:M$639,"&lt;&gt;")=0,"",IF(OR(SUMIFS(M$5:M$639,$A$5:$A$639,$A423,$C$5:$C$639,$C423-1,$D$5:$D$639,$D423)=0,M423*SUMIFS(M$5:M$639,$A$5:$A$639,$A423,$C$5:$C$639,$C423-1,$D$5:$D$639,$D423)&lt;0),"n.s.",ABS(M423)/ABS(SUMIFS(M$5:M$639,$A$5:$A$639,$A423,$C$5:$C$639,$C423-1,$D$5:$D$639,$D423))-1)))</f>
        <v/>
      </c>
    </row>
    <row r="424">
      <c r="A424" s="9" t="inlineStr">
        <is>
          <t>ORGT</t>
        </is>
      </c>
      <c r="B424" s="10">
        <f>IF(A424="","",IFERROR(VLOOKUP(A424,Titres!$A$2:$B$400,2,FALSE),"Ticker inconnu"))</f>
        <v/>
      </c>
      <c r="C424" s="11" t="n">
        <v>2022</v>
      </c>
      <c r="D424" s="11" t="inlineStr">
        <is>
          <t>T3</t>
        </is>
      </c>
      <c r="E424" s="9" t="n"/>
      <c r="F424" s="12" t="n"/>
      <c r="G424" s="9" t="n"/>
      <c r="H424" s="13" t="n"/>
      <c r="I424" s="13" t="n"/>
      <c r="J424" s="13" t="n"/>
      <c r="K424" s="13" t="n"/>
      <c r="L424" s="13" t="n"/>
      <c r="M424" s="13" t="n"/>
      <c r="N424" s="14">
        <f>IF(A424="","",COUNT(H424:M424)/6)</f>
        <v/>
      </c>
      <c r="O424" s="15">
        <f>IF(COUNT(H424:M424)=0,"",IF(LEN(IF(COUNT(I424,J424)=2,IF(J424&gt;I424+1,"EBE &gt; VA ",""),"")&amp;IF(COUNT(H424,M424)=2,IF(ABS(M424)&gt;ABS(H424),"RN &gt; CA ",""),"")&amp;IF(COUNT(H424,K424)=2,IF(ABS(K424)&gt;ABS(H424),"RE &gt; CA ",""),""))=0,"OK",IF(COUNT(I424,J424)=2,IF(J424&gt;I424+1,"EBE &gt; VA ",""),"")&amp;IF(COUNT(H424,M424)=2,IF(ABS(M424)&gt;ABS(H424),"RN &gt; CA ",""),"")&amp;IF(COUNT(H424,K424)=2,IF(ABS(K424)&gt;ABS(H424),"RE &gt; CA ",""),"")))</f>
        <v/>
      </c>
      <c r="P424" s="16">
        <f>IF(OR($A424="",H424="",$C424=""),"",IF(COUNTIFS($A$5:$A$639,$A424,$C$5:$C$639,$C424-1,$D$5:$D$639,$D424,H$5:H$639,"&lt;&gt;")=0,"",IF(OR(SUMIFS(H$5:H$639,$A$5:$A$639,$A424,$C$5:$C$639,$C424-1,$D$5:$D$639,$D424)=0,H424*SUMIFS(H$5:H$639,$A$5:$A$639,$A424,$C$5:$C$639,$C424-1,$D$5:$D$639,$D424)&lt;0),"n.s.",ABS(H424)/ABS(SUMIFS(H$5:H$639,$A$5:$A$639,$A424,$C$5:$C$639,$C424-1,$D$5:$D$639,$D424))-1)))</f>
        <v/>
      </c>
      <c r="Q424" s="16">
        <f>IF(OR($A424="",I424="",$C424=""),"",IF(COUNTIFS($A$5:$A$639,$A424,$C$5:$C$639,$C424-1,$D$5:$D$639,$D424,I$5:I$639,"&lt;&gt;")=0,"",IF(OR(SUMIFS(I$5:I$639,$A$5:$A$639,$A424,$C$5:$C$639,$C424-1,$D$5:$D$639,$D424)=0,I424*SUMIFS(I$5:I$639,$A$5:$A$639,$A424,$C$5:$C$639,$C424-1,$D$5:$D$639,$D424)&lt;0),"n.s.",ABS(I424)/ABS(SUMIFS(I$5:I$639,$A$5:$A$639,$A424,$C$5:$C$639,$C424-1,$D$5:$D$639,$D424))-1)))</f>
        <v/>
      </c>
      <c r="R424" s="16">
        <f>IF(OR($A424="",J424="",$C424=""),"",IF(COUNTIFS($A$5:$A$639,$A424,$C$5:$C$639,$C424-1,$D$5:$D$639,$D424,J$5:J$639,"&lt;&gt;")=0,"",IF(OR(SUMIFS(J$5:J$639,$A$5:$A$639,$A424,$C$5:$C$639,$C424-1,$D$5:$D$639,$D424)=0,J424*SUMIFS(J$5:J$639,$A$5:$A$639,$A424,$C$5:$C$639,$C424-1,$D$5:$D$639,$D424)&lt;0),"n.s.",ABS(J424)/ABS(SUMIFS(J$5:J$639,$A$5:$A$639,$A424,$C$5:$C$639,$C424-1,$D$5:$D$639,$D424))-1)))</f>
        <v/>
      </c>
      <c r="S424" s="16">
        <f>IF(OR($A424="",K424="",$C424=""),"",IF(COUNTIFS($A$5:$A$639,$A424,$C$5:$C$639,$C424-1,$D$5:$D$639,$D424,K$5:K$639,"&lt;&gt;")=0,"",IF(OR(SUMIFS(K$5:K$639,$A$5:$A$639,$A424,$C$5:$C$639,$C424-1,$D$5:$D$639,$D424)=0,K424*SUMIFS(K$5:K$639,$A$5:$A$639,$A424,$C$5:$C$639,$C424-1,$D$5:$D$639,$D424)&lt;0),"n.s.",ABS(K424)/ABS(SUMIFS(K$5:K$639,$A$5:$A$639,$A424,$C$5:$C$639,$C424-1,$D$5:$D$639,$D424))-1)))</f>
        <v/>
      </c>
      <c r="T424" s="16">
        <f>IF(OR($A424="",L424="",$C424=""),"",IF(COUNTIFS($A$5:$A$639,$A424,$C$5:$C$639,$C424-1,$D$5:$D$639,$D424,L$5:L$639,"&lt;&gt;")=0,"",IF(OR(SUMIFS(L$5:L$639,$A$5:$A$639,$A424,$C$5:$C$639,$C424-1,$D$5:$D$639,$D424)=0,L424*SUMIFS(L$5:L$639,$A$5:$A$639,$A424,$C$5:$C$639,$C424-1,$D$5:$D$639,$D424)&lt;0),"n.s.",ABS(L424)/ABS(SUMIFS(L$5:L$639,$A$5:$A$639,$A424,$C$5:$C$639,$C424-1,$D$5:$D$639,$D424))-1)))</f>
        <v/>
      </c>
      <c r="U424" s="16">
        <f>IF(OR($A424="",M424="",$C424=""),"",IF(COUNTIFS($A$5:$A$639,$A424,$C$5:$C$639,$C424-1,$D$5:$D$639,$D424,M$5:M$639,"&lt;&gt;")=0,"",IF(OR(SUMIFS(M$5:M$639,$A$5:$A$639,$A424,$C$5:$C$639,$C424-1,$D$5:$D$639,$D424)=0,M424*SUMIFS(M$5:M$639,$A$5:$A$639,$A424,$C$5:$C$639,$C424-1,$D$5:$D$639,$D424)&lt;0),"n.s.",ABS(M424)/ABS(SUMIFS(M$5:M$639,$A$5:$A$639,$A424,$C$5:$C$639,$C424-1,$D$5:$D$639,$D424))-1)))</f>
        <v/>
      </c>
    </row>
    <row r="425">
      <c r="A425" s="9" t="inlineStr">
        <is>
          <t>ORGT</t>
        </is>
      </c>
      <c r="B425" s="10">
        <f>IF(A425="","",IFERROR(VLOOKUP(A425,Titres!$A$2:$B$400,2,FALSE),"Ticker inconnu"))</f>
        <v/>
      </c>
      <c r="C425" s="11" t="n">
        <v>2023</v>
      </c>
      <c r="D425" s="11" t="inlineStr">
        <is>
          <t>T1</t>
        </is>
      </c>
      <c r="E425" s="9" t="n"/>
      <c r="F425" s="12" t="n"/>
      <c r="G425" s="9" t="n"/>
      <c r="H425" s="13" t="n"/>
      <c r="I425" s="13" t="n"/>
      <c r="J425" s="13" t="n"/>
      <c r="K425" s="13" t="n"/>
      <c r="L425" s="13" t="n"/>
      <c r="M425" s="13" t="n"/>
      <c r="N425" s="14">
        <f>IF(A425="","",COUNT(H425:M425)/6)</f>
        <v/>
      </c>
      <c r="O425" s="15">
        <f>IF(COUNT(H425:M425)=0,"",IF(LEN(IF(COUNT(I425,J425)=2,IF(J425&gt;I425+1,"EBE &gt; VA ",""),"")&amp;IF(COUNT(H425,M425)=2,IF(ABS(M425)&gt;ABS(H425),"RN &gt; CA ",""),"")&amp;IF(COUNT(H425,K425)=2,IF(ABS(K425)&gt;ABS(H425),"RE &gt; CA ",""),""))=0,"OK",IF(COUNT(I425,J425)=2,IF(J425&gt;I425+1,"EBE &gt; VA ",""),"")&amp;IF(COUNT(H425,M425)=2,IF(ABS(M425)&gt;ABS(H425),"RN &gt; CA ",""),"")&amp;IF(COUNT(H425,K425)=2,IF(ABS(K425)&gt;ABS(H425),"RE &gt; CA ",""),"")))</f>
        <v/>
      </c>
      <c r="P425" s="16">
        <f>IF(OR($A425="",H425="",$C425=""),"",IF(COUNTIFS($A$5:$A$639,$A425,$C$5:$C$639,$C425-1,$D$5:$D$639,$D425,H$5:H$639,"&lt;&gt;")=0,"",IF(OR(SUMIFS(H$5:H$639,$A$5:$A$639,$A425,$C$5:$C$639,$C425-1,$D$5:$D$639,$D425)=0,H425*SUMIFS(H$5:H$639,$A$5:$A$639,$A425,$C$5:$C$639,$C425-1,$D$5:$D$639,$D425)&lt;0),"n.s.",ABS(H425)/ABS(SUMIFS(H$5:H$639,$A$5:$A$639,$A425,$C$5:$C$639,$C425-1,$D$5:$D$639,$D425))-1)))</f>
        <v/>
      </c>
      <c r="Q425" s="16">
        <f>IF(OR($A425="",I425="",$C425=""),"",IF(COUNTIFS($A$5:$A$639,$A425,$C$5:$C$639,$C425-1,$D$5:$D$639,$D425,I$5:I$639,"&lt;&gt;")=0,"",IF(OR(SUMIFS(I$5:I$639,$A$5:$A$639,$A425,$C$5:$C$639,$C425-1,$D$5:$D$639,$D425)=0,I425*SUMIFS(I$5:I$639,$A$5:$A$639,$A425,$C$5:$C$639,$C425-1,$D$5:$D$639,$D425)&lt;0),"n.s.",ABS(I425)/ABS(SUMIFS(I$5:I$639,$A$5:$A$639,$A425,$C$5:$C$639,$C425-1,$D$5:$D$639,$D425))-1)))</f>
        <v/>
      </c>
      <c r="R425" s="16">
        <f>IF(OR($A425="",J425="",$C425=""),"",IF(COUNTIFS($A$5:$A$639,$A425,$C$5:$C$639,$C425-1,$D$5:$D$639,$D425,J$5:J$639,"&lt;&gt;")=0,"",IF(OR(SUMIFS(J$5:J$639,$A$5:$A$639,$A425,$C$5:$C$639,$C425-1,$D$5:$D$639,$D425)=0,J425*SUMIFS(J$5:J$639,$A$5:$A$639,$A425,$C$5:$C$639,$C425-1,$D$5:$D$639,$D425)&lt;0),"n.s.",ABS(J425)/ABS(SUMIFS(J$5:J$639,$A$5:$A$639,$A425,$C$5:$C$639,$C425-1,$D$5:$D$639,$D425))-1)))</f>
        <v/>
      </c>
      <c r="S425" s="16">
        <f>IF(OR($A425="",K425="",$C425=""),"",IF(COUNTIFS($A$5:$A$639,$A425,$C$5:$C$639,$C425-1,$D$5:$D$639,$D425,K$5:K$639,"&lt;&gt;")=0,"",IF(OR(SUMIFS(K$5:K$639,$A$5:$A$639,$A425,$C$5:$C$639,$C425-1,$D$5:$D$639,$D425)=0,K425*SUMIFS(K$5:K$639,$A$5:$A$639,$A425,$C$5:$C$639,$C425-1,$D$5:$D$639,$D425)&lt;0),"n.s.",ABS(K425)/ABS(SUMIFS(K$5:K$639,$A$5:$A$639,$A425,$C$5:$C$639,$C425-1,$D$5:$D$639,$D425))-1)))</f>
        <v/>
      </c>
      <c r="T425" s="16">
        <f>IF(OR($A425="",L425="",$C425=""),"",IF(COUNTIFS($A$5:$A$639,$A425,$C$5:$C$639,$C425-1,$D$5:$D$639,$D425,L$5:L$639,"&lt;&gt;")=0,"",IF(OR(SUMIFS(L$5:L$639,$A$5:$A$639,$A425,$C$5:$C$639,$C425-1,$D$5:$D$639,$D425)=0,L425*SUMIFS(L$5:L$639,$A$5:$A$639,$A425,$C$5:$C$639,$C425-1,$D$5:$D$639,$D425)&lt;0),"n.s.",ABS(L425)/ABS(SUMIFS(L$5:L$639,$A$5:$A$639,$A425,$C$5:$C$639,$C425-1,$D$5:$D$639,$D425))-1)))</f>
        <v/>
      </c>
      <c r="U425" s="16">
        <f>IF(OR($A425="",M425="",$C425=""),"",IF(COUNTIFS($A$5:$A$639,$A425,$C$5:$C$639,$C425-1,$D$5:$D$639,$D425,M$5:M$639,"&lt;&gt;")=0,"",IF(OR(SUMIFS(M$5:M$639,$A$5:$A$639,$A425,$C$5:$C$639,$C425-1,$D$5:$D$639,$D425)=0,M425*SUMIFS(M$5:M$639,$A$5:$A$639,$A425,$C$5:$C$639,$C425-1,$D$5:$D$639,$D425)&lt;0),"n.s.",ABS(M425)/ABS(SUMIFS(M$5:M$639,$A$5:$A$639,$A425,$C$5:$C$639,$C425-1,$D$5:$D$639,$D425))-1)))</f>
        <v/>
      </c>
    </row>
    <row r="426">
      <c r="A426" s="9" t="inlineStr">
        <is>
          <t>ORGT</t>
        </is>
      </c>
      <c r="B426" s="10">
        <f>IF(A426="","",IFERROR(VLOOKUP(A426,Titres!$A$2:$B$400,2,FALSE),"Ticker inconnu"))</f>
        <v/>
      </c>
      <c r="C426" s="11" t="n">
        <v>2023</v>
      </c>
      <c r="D426" s="11" t="inlineStr">
        <is>
          <t>S1</t>
        </is>
      </c>
      <c r="E426" s="9" t="n"/>
      <c r="F426" s="12" t="n"/>
      <c r="G426" s="9" t="n"/>
      <c r="H426" s="13" t="n"/>
      <c r="I426" s="13" t="n"/>
      <c r="J426" s="13" t="n"/>
      <c r="K426" s="13" t="n"/>
      <c r="L426" s="13" t="n"/>
      <c r="M426" s="13" t="n"/>
      <c r="N426" s="14">
        <f>IF(A426="","",COUNT(H426:M426)/6)</f>
        <v/>
      </c>
      <c r="O426" s="15">
        <f>IF(COUNT(H426:M426)=0,"",IF(LEN(IF(COUNT(I426,J426)=2,IF(J426&gt;I426+1,"EBE &gt; VA ",""),"")&amp;IF(COUNT(H426,M426)=2,IF(ABS(M426)&gt;ABS(H426),"RN &gt; CA ",""),"")&amp;IF(COUNT(H426,K426)=2,IF(ABS(K426)&gt;ABS(H426),"RE &gt; CA ",""),""))=0,"OK",IF(COUNT(I426,J426)=2,IF(J426&gt;I426+1,"EBE &gt; VA ",""),"")&amp;IF(COUNT(H426,M426)=2,IF(ABS(M426)&gt;ABS(H426),"RN &gt; CA ",""),"")&amp;IF(COUNT(H426,K426)=2,IF(ABS(K426)&gt;ABS(H426),"RE &gt; CA ",""),"")))</f>
        <v/>
      </c>
      <c r="P426" s="16">
        <f>IF(OR($A426="",H426="",$C426=""),"",IF(COUNTIFS($A$5:$A$639,$A426,$C$5:$C$639,$C426-1,$D$5:$D$639,$D426,H$5:H$639,"&lt;&gt;")=0,"",IF(OR(SUMIFS(H$5:H$639,$A$5:$A$639,$A426,$C$5:$C$639,$C426-1,$D$5:$D$639,$D426)=0,H426*SUMIFS(H$5:H$639,$A$5:$A$639,$A426,$C$5:$C$639,$C426-1,$D$5:$D$639,$D426)&lt;0),"n.s.",ABS(H426)/ABS(SUMIFS(H$5:H$639,$A$5:$A$639,$A426,$C$5:$C$639,$C426-1,$D$5:$D$639,$D426))-1)))</f>
        <v/>
      </c>
      <c r="Q426" s="16">
        <f>IF(OR($A426="",I426="",$C426=""),"",IF(COUNTIFS($A$5:$A$639,$A426,$C$5:$C$639,$C426-1,$D$5:$D$639,$D426,I$5:I$639,"&lt;&gt;")=0,"",IF(OR(SUMIFS(I$5:I$639,$A$5:$A$639,$A426,$C$5:$C$639,$C426-1,$D$5:$D$639,$D426)=0,I426*SUMIFS(I$5:I$639,$A$5:$A$639,$A426,$C$5:$C$639,$C426-1,$D$5:$D$639,$D426)&lt;0),"n.s.",ABS(I426)/ABS(SUMIFS(I$5:I$639,$A$5:$A$639,$A426,$C$5:$C$639,$C426-1,$D$5:$D$639,$D426))-1)))</f>
        <v/>
      </c>
      <c r="R426" s="16">
        <f>IF(OR($A426="",J426="",$C426=""),"",IF(COUNTIFS($A$5:$A$639,$A426,$C$5:$C$639,$C426-1,$D$5:$D$639,$D426,J$5:J$639,"&lt;&gt;")=0,"",IF(OR(SUMIFS(J$5:J$639,$A$5:$A$639,$A426,$C$5:$C$639,$C426-1,$D$5:$D$639,$D426)=0,J426*SUMIFS(J$5:J$639,$A$5:$A$639,$A426,$C$5:$C$639,$C426-1,$D$5:$D$639,$D426)&lt;0),"n.s.",ABS(J426)/ABS(SUMIFS(J$5:J$639,$A$5:$A$639,$A426,$C$5:$C$639,$C426-1,$D$5:$D$639,$D426))-1)))</f>
        <v/>
      </c>
      <c r="S426" s="16">
        <f>IF(OR($A426="",K426="",$C426=""),"",IF(COUNTIFS($A$5:$A$639,$A426,$C$5:$C$639,$C426-1,$D$5:$D$639,$D426,K$5:K$639,"&lt;&gt;")=0,"",IF(OR(SUMIFS(K$5:K$639,$A$5:$A$639,$A426,$C$5:$C$639,$C426-1,$D$5:$D$639,$D426)=0,K426*SUMIFS(K$5:K$639,$A$5:$A$639,$A426,$C$5:$C$639,$C426-1,$D$5:$D$639,$D426)&lt;0),"n.s.",ABS(K426)/ABS(SUMIFS(K$5:K$639,$A$5:$A$639,$A426,$C$5:$C$639,$C426-1,$D$5:$D$639,$D426))-1)))</f>
        <v/>
      </c>
      <c r="T426" s="16">
        <f>IF(OR($A426="",L426="",$C426=""),"",IF(COUNTIFS($A$5:$A$639,$A426,$C$5:$C$639,$C426-1,$D$5:$D$639,$D426,L$5:L$639,"&lt;&gt;")=0,"",IF(OR(SUMIFS(L$5:L$639,$A$5:$A$639,$A426,$C$5:$C$639,$C426-1,$D$5:$D$639,$D426)=0,L426*SUMIFS(L$5:L$639,$A$5:$A$639,$A426,$C$5:$C$639,$C426-1,$D$5:$D$639,$D426)&lt;0),"n.s.",ABS(L426)/ABS(SUMIFS(L$5:L$639,$A$5:$A$639,$A426,$C$5:$C$639,$C426-1,$D$5:$D$639,$D426))-1)))</f>
        <v/>
      </c>
      <c r="U426" s="16">
        <f>IF(OR($A426="",M426="",$C426=""),"",IF(COUNTIFS($A$5:$A$639,$A426,$C$5:$C$639,$C426-1,$D$5:$D$639,$D426,M$5:M$639,"&lt;&gt;")=0,"",IF(OR(SUMIFS(M$5:M$639,$A$5:$A$639,$A426,$C$5:$C$639,$C426-1,$D$5:$D$639,$D426)=0,M426*SUMIFS(M$5:M$639,$A$5:$A$639,$A426,$C$5:$C$639,$C426-1,$D$5:$D$639,$D426)&lt;0),"n.s.",ABS(M426)/ABS(SUMIFS(M$5:M$639,$A$5:$A$639,$A426,$C$5:$C$639,$C426-1,$D$5:$D$639,$D426))-1)))</f>
        <v/>
      </c>
    </row>
    <row r="427">
      <c r="A427" s="9" t="inlineStr">
        <is>
          <t>ORGT</t>
        </is>
      </c>
      <c r="B427" s="10">
        <f>IF(A427="","",IFERROR(VLOOKUP(A427,Titres!$A$2:$B$400,2,FALSE),"Ticker inconnu"))</f>
        <v/>
      </c>
      <c r="C427" s="11" t="n">
        <v>2023</v>
      </c>
      <c r="D427" s="11" t="inlineStr">
        <is>
          <t>T3</t>
        </is>
      </c>
      <c r="E427" s="9" t="n"/>
      <c r="F427" s="12" t="n"/>
      <c r="G427" s="9" t="n"/>
      <c r="H427" s="13" t="n"/>
      <c r="I427" s="13" t="n"/>
      <c r="J427" s="13" t="n"/>
      <c r="K427" s="13" t="n"/>
      <c r="L427" s="13" t="n"/>
      <c r="M427" s="13" t="n"/>
      <c r="N427" s="14">
        <f>IF(A427="","",COUNT(H427:M427)/6)</f>
        <v/>
      </c>
      <c r="O427" s="15">
        <f>IF(COUNT(H427:M427)=0,"",IF(LEN(IF(COUNT(I427,J427)=2,IF(J427&gt;I427+1,"EBE &gt; VA ",""),"")&amp;IF(COUNT(H427,M427)=2,IF(ABS(M427)&gt;ABS(H427),"RN &gt; CA ",""),"")&amp;IF(COUNT(H427,K427)=2,IF(ABS(K427)&gt;ABS(H427),"RE &gt; CA ",""),""))=0,"OK",IF(COUNT(I427,J427)=2,IF(J427&gt;I427+1,"EBE &gt; VA ",""),"")&amp;IF(COUNT(H427,M427)=2,IF(ABS(M427)&gt;ABS(H427),"RN &gt; CA ",""),"")&amp;IF(COUNT(H427,K427)=2,IF(ABS(K427)&gt;ABS(H427),"RE &gt; CA ",""),"")))</f>
        <v/>
      </c>
      <c r="P427" s="16">
        <f>IF(OR($A427="",H427="",$C427=""),"",IF(COUNTIFS($A$5:$A$639,$A427,$C$5:$C$639,$C427-1,$D$5:$D$639,$D427,H$5:H$639,"&lt;&gt;")=0,"",IF(OR(SUMIFS(H$5:H$639,$A$5:$A$639,$A427,$C$5:$C$639,$C427-1,$D$5:$D$639,$D427)=0,H427*SUMIFS(H$5:H$639,$A$5:$A$639,$A427,$C$5:$C$639,$C427-1,$D$5:$D$639,$D427)&lt;0),"n.s.",ABS(H427)/ABS(SUMIFS(H$5:H$639,$A$5:$A$639,$A427,$C$5:$C$639,$C427-1,$D$5:$D$639,$D427))-1)))</f>
        <v/>
      </c>
      <c r="Q427" s="16">
        <f>IF(OR($A427="",I427="",$C427=""),"",IF(COUNTIFS($A$5:$A$639,$A427,$C$5:$C$639,$C427-1,$D$5:$D$639,$D427,I$5:I$639,"&lt;&gt;")=0,"",IF(OR(SUMIFS(I$5:I$639,$A$5:$A$639,$A427,$C$5:$C$639,$C427-1,$D$5:$D$639,$D427)=0,I427*SUMIFS(I$5:I$639,$A$5:$A$639,$A427,$C$5:$C$639,$C427-1,$D$5:$D$639,$D427)&lt;0),"n.s.",ABS(I427)/ABS(SUMIFS(I$5:I$639,$A$5:$A$639,$A427,$C$5:$C$639,$C427-1,$D$5:$D$639,$D427))-1)))</f>
        <v/>
      </c>
      <c r="R427" s="16">
        <f>IF(OR($A427="",J427="",$C427=""),"",IF(COUNTIFS($A$5:$A$639,$A427,$C$5:$C$639,$C427-1,$D$5:$D$639,$D427,J$5:J$639,"&lt;&gt;")=0,"",IF(OR(SUMIFS(J$5:J$639,$A$5:$A$639,$A427,$C$5:$C$639,$C427-1,$D$5:$D$639,$D427)=0,J427*SUMIFS(J$5:J$639,$A$5:$A$639,$A427,$C$5:$C$639,$C427-1,$D$5:$D$639,$D427)&lt;0),"n.s.",ABS(J427)/ABS(SUMIFS(J$5:J$639,$A$5:$A$639,$A427,$C$5:$C$639,$C427-1,$D$5:$D$639,$D427))-1)))</f>
        <v/>
      </c>
      <c r="S427" s="16">
        <f>IF(OR($A427="",K427="",$C427=""),"",IF(COUNTIFS($A$5:$A$639,$A427,$C$5:$C$639,$C427-1,$D$5:$D$639,$D427,K$5:K$639,"&lt;&gt;")=0,"",IF(OR(SUMIFS(K$5:K$639,$A$5:$A$639,$A427,$C$5:$C$639,$C427-1,$D$5:$D$639,$D427)=0,K427*SUMIFS(K$5:K$639,$A$5:$A$639,$A427,$C$5:$C$639,$C427-1,$D$5:$D$639,$D427)&lt;0),"n.s.",ABS(K427)/ABS(SUMIFS(K$5:K$639,$A$5:$A$639,$A427,$C$5:$C$639,$C427-1,$D$5:$D$639,$D427))-1)))</f>
        <v/>
      </c>
      <c r="T427" s="16">
        <f>IF(OR($A427="",L427="",$C427=""),"",IF(COUNTIFS($A$5:$A$639,$A427,$C$5:$C$639,$C427-1,$D$5:$D$639,$D427,L$5:L$639,"&lt;&gt;")=0,"",IF(OR(SUMIFS(L$5:L$639,$A$5:$A$639,$A427,$C$5:$C$639,$C427-1,$D$5:$D$639,$D427)=0,L427*SUMIFS(L$5:L$639,$A$5:$A$639,$A427,$C$5:$C$639,$C427-1,$D$5:$D$639,$D427)&lt;0),"n.s.",ABS(L427)/ABS(SUMIFS(L$5:L$639,$A$5:$A$639,$A427,$C$5:$C$639,$C427-1,$D$5:$D$639,$D427))-1)))</f>
        <v/>
      </c>
      <c r="U427" s="16">
        <f>IF(OR($A427="",M427="",$C427=""),"",IF(COUNTIFS($A$5:$A$639,$A427,$C$5:$C$639,$C427-1,$D$5:$D$639,$D427,M$5:M$639,"&lt;&gt;")=0,"",IF(OR(SUMIFS(M$5:M$639,$A$5:$A$639,$A427,$C$5:$C$639,$C427-1,$D$5:$D$639,$D427)=0,M427*SUMIFS(M$5:M$639,$A$5:$A$639,$A427,$C$5:$C$639,$C427-1,$D$5:$D$639,$D427)&lt;0),"n.s.",ABS(M427)/ABS(SUMIFS(M$5:M$639,$A$5:$A$639,$A427,$C$5:$C$639,$C427-1,$D$5:$D$639,$D427))-1)))</f>
        <v/>
      </c>
    </row>
    <row r="428">
      <c r="A428" s="9" t="inlineStr">
        <is>
          <t>ORGT</t>
        </is>
      </c>
      <c r="B428" s="10">
        <f>IF(A428="","",IFERROR(VLOOKUP(A428,Titres!$A$2:$B$400,2,FALSE),"Ticker inconnu"))</f>
        <v/>
      </c>
      <c r="C428" s="11" t="n">
        <v>2024</v>
      </c>
      <c r="D428" s="11" t="inlineStr">
        <is>
          <t>T1</t>
        </is>
      </c>
      <c r="E428" s="9" t="n"/>
      <c r="F428" s="12" t="n"/>
      <c r="G428" s="9" t="n"/>
      <c r="H428" s="13" t="n"/>
      <c r="I428" s="13" t="n"/>
      <c r="J428" s="13" t="n"/>
      <c r="K428" s="13" t="n"/>
      <c r="L428" s="13" t="n"/>
      <c r="M428" s="13" t="n"/>
      <c r="N428" s="14">
        <f>IF(A428="","",COUNT(H428:M428)/6)</f>
        <v/>
      </c>
      <c r="O428" s="15">
        <f>IF(COUNT(H428:M428)=0,"",IF(LEN(IF(COUNT(I428,J428)=2,IF(J428&gt;I428+1,"EBE &gt; VA ",""),"")&amp;IF(COUNT(H428,M428)=2,IF(ABS(M428)&gt;ABS(H428),"RN &gt; CA ",""),"")&amp;IF(COUNT(H428,K428)=2,IF(ABS(K428)&gt;ABS(H428),"RE &gt; CA ",""),""))=0,"OK",IF(COUNT(I428,J428)=2,IF(J428&gt;I428+1,"EBE &gt; VA ",""),"")&amp;IF(COUNT(H428,M428)=2,IF(ABS(M428)&gt;ABS(H428),"RN &gt; CA ",""),"")&amp;IF(COUNT(H428,K428)=2,IF(ABS(K428)&gt;ABS(H428),"RE &gt; CA ",""),"")))</f>
        <v/>
      </c>
      <c r="P428" s="16">
        <f>IF(OR($A428="",H428="",$C428=""),"",IF(COUNTIFS($A$5:$A$639,$A428,$C$5:$C$639,$C428-1,$D$5:$D$639,$D428,H$5:H$639,"&lt;&gt;")=0,"",IF(OR(SUMIFS(H$5:H$639,$A$5:$A$639,$A428,$C$5:$C$639,$C428-1,$D$5:$D$639,$D428)=0,H428*SUMIFS(H$5:H$639,$A$5:$A$639,$A428,$C$5:$C$639,$C428-1,$D$5:$D$639,$D428)&lt;0),"n.s.",ABS(H428)/ABS(SUMIFS(H$5:H$639,$A$5:$A$639,$A428,$C$5:$C$639,$C428-1,$D$5:$D$639,$D428))-1)))</f>
        <v/>
      </c>
      <c r="Q428" s="16">
        <f>IF(OR($A428="",I428="",$C428=""),"",IF(COUNTIFS($A$5:$A$639,$A428,$C$5:$C$639,$C428-1,$D$5:$D$639,$D428,I$5:I$639,"&lt;&gt;")=0,"",IF(OR(SUMIFS(I$5:I$639,$A$5:$A$639,$A428,$C$5:$C$639,$C428-1,$D$5:$D$639,$D428)=0,I428*SUMIFS(I$5:I$639,$A$5:$A$639,$A428,$C$5:$C$639,$C428-1,$D$5:$D$639,$D428)&lt;0),"n.s.",ABS(I428)/ABS(SUMIFS(I$5:I$639,$A$5:$A$639,$A428,$C$5:$C$639,$C428-1,$D$5:$D$639,$D428))-1)))</f>
        <v/>
      </c>
      <c r="R428" s="16">
        <f>IF(OR($A428="",J428="",$C428=""),"",IF(COUNTIFS($A$5:$A$639,$A428,$C$5:$C$639,$C428-1,$D$5:$D$639,$D428,J$5:J$639,"&lt;&gt;")=0,"",IF(OR(SUMIFS(J$5:J$639,$A$5:$A$639,$A428,$C$5:$C$639,$C428-1,$D$5:$D$639,$D428)=0,J428*SUMIFS(J$5:J$639,$A$5:$A$639,$A428,$C$5:$C$639,$C428-1,$D$5:$D$639,$D428)&lt;0),"n.s.",ABS(J428)/ABS(SUMIFS(J$5:J$639,$A$5:$A$639,$A428,$C$5:$C$639,$C428-1,$D$5:$D$639,$D428))-1)))</f>
        <v/>
      </c>
      <c r="S428" s="16">
        <f>IF(OR($A428="",K428="",$C428=""),"",IF(COUNTIFS($A$5:$A$639,$A428,$C$5:$C$639,$C428-1,$D$5:$D$639,$D428,K$5:K$639,"&lt;&gt;")=0,"",IF(OR(SUMIFS(K$5:K$639,$A$5:$A$639,$A428,$C$5:$C$639,$C428-1,$D$5:$D$639,$D428)=0,K428*SUMIFS(K$5:K$639,$A$5:$A$639,$A428,$C$5:$C$639,$C428-1,$D$5:$D$639,$D428)&lt;0),"n.s.",ABS(K428)/ABS(SUMIFS(K$5:K$639,$A$5:$A$639,$A428,$C$5:$C$639,$C428-1,$D$5:$D$639,$D428))-1)))</f>
        <v/>
      </c>
      <c r="T428" s="16">
        <f>IF(OR($A428="",L428="",$C428=""),"",IF(COUNTIFS($A$5:$A$639,$A428,$C$5:$C$639,$C428-1,$D$5:$D$639,$D428,L$5:L$639,"&lt;&gt;")=0,"",IF(OR(SUMIFS(L$5:L$639,$A$5:$A$639,$A428,$C$5:$C$639,$C428-1,$D$5:$D$639,$D428)=0,L428*SUMIFS(L$5:L$639,$A$5:$A$639,$A428,$C$5:$C$639,$C428-1,$D$5:$D$639,$D428)&lt;0),"n.s.",ABS(L428)/ABS(SUMIFS(L$5:L$639,$A$5:$A$639,$A428,$C$5:$C$639,$C428-1,$D$5:$D$639,$D428))-1)))</f>
        <v/>
      </c>
      <c r="U428" s="16">
        <f>IF(OR($A428="",M428="",$C428=""),"",IF(COUNTIFS($A$5:$A$639,$A428,$C$5:$C$639,$C428-1,$D$5:$D$639,$D428,M$5:M$639,"&lt;&gt;")=0,"",IF(OR(SUMIFS(M$5:M$639,$A$5:$A$639,$A428,$C$5:$C$639,$C428-1,$D$5:$D$639,$D428)=0,M428*SUMIFS(M$5:M$639,$A$5:$A$639,$A428,$C$5:$C$639,$C428-1,$D$5:$D$639,$D428)&lt;0),"n.s.",ABS(M428)/ABS(SUMIFS(M$5:M$639,$A$5:$A$639,$A428,$C$5:$C$639,$C428-1,$D$5:$D$639,$D428))-1)))</f>
        <v/>
      </c>
    </row>
    <row r="429">
      <c r="A429" s="9" t="inlineStr">
        <is>
          <t>ORGT</t>
        </is>
      </c>
      <c r="B429" s="10">
        <f>IF(A429="","",IFERROR(VLOOKUP(A429,Titres!$A$2:$B$400,2,FALSE),"Ticker inconnu"))</f>
        <v/>
      </c>
      <c r="C429" s="11" t="n">
        <v>2024</v>
      </c>
      <c r="D429" s="11" t="inlineStr">
        <is>
          <t>S1</t>
        </is>
      </c>
      <c r="E429" s="9" t="n"/>
      <c r="F429" s="12" t="n"/>
      <c r="G429" s="9" t="n"/>
      <c r="H429" s="13" t="n"/>
      <c r="I429" s="13" t="n"/>
      <c r="J429" s="13" t="n"/>
      <c r="K429" s="13" t="n"/>
      <c r="L429" s="13" t="n"/>
      <c r="M429" s="13" t="n"/>
      <c r="N429" s="14">
        <f>IF(A429="","",COUNT(H429:M429)/6)</f>
        <v/>
      </c>
      <c r="O429" s="15">
        <f>IF(COUNT(H429:M429)=0,"",IF(LEN(IF(COUNT(I429,J429)=2,IF(J429&gt;I429+1,"EBE &gt; VA ",""),"")&amp;IF(COUNT(H429,M429)=2,IF(ABS(M429)&gt;ABS(H429),"RN &gt; CA ",""),"")&amp;IF(COUNT(H429,K429)=2,IF(ABS(K429)&gt;ABS(H429),"RE &gt; CA ",""),""))=0,"OK",IF(COUNT(I429,J429)=2,IF(J429&gt;I429+1,"EBE &gt; VA ",""),"")&amp;IF(COUNT(H429,M429)=2,IF(ABS(M429)&gt;ABS(H429),"RN &gt; CA ",""),"")&amp;IF(COUNT(H429,K429)=2,IF(ABS(K429)&gt;ABS(H429),"RE &gt; CA ",""),"")))</f>
        <v/>
      </c>
      <c r="P429" s="16">
        <f>IF(OR($A429="",H429="",$C429=""),"",IF(COUNTIFS($A$5:$A$639,$A429,$C$5:$C$639,$C429-1,$D$5:$D$639,$D429,H$5:H$639,"&lt;&gt;")=0,"",IF(OR(SUMIFS(H$5:H$639,$A$5:$A$639,$A429,$C$5:$C$639,$C429-1,$D$5:$D$639,$D429)=0,H429*SUMIFS(H$5:H$639,$A$5:$A$639,$A429,$C$5:$C$639,$C429-1,$D$5:$D$639,$D429)&lt;0),"n.s.",ABS(H429)/ABS(SUMIFS(H$5:H$639,$A$5:$A$639,$A429,$C$5:$C$639,$C429-1,$D$5:$D$639,$D429))-1)))</f>
        <v/>
      </c>
      <c r="Q429" s="16">
        <f>IF(OR($A429="",I429="",$C429=""),"",IF(COUNTIFS($A$5:$A$639,$A429,$C$5:$C$639,$C429-1,$D$5:$D$639,$D429,I$5:I$639,"&lt;&gt;")=0,"",IF(OR(SUMIFS(I$5:I$639,$A$5:$A$639,$A429,$C$5:$C$639,$C429-1,$D$5:$D$639,$D429)=0,I429*SUMIFS(I$5:I$639,$A$5:$A$639,$A429,$C$5:$C$639,$C429-1,$D$5:$D$639,$D429)&lt;0),"n.s.",ABS(I429)/ABS(SUMIFS(I$5:I$639,$A$5:$A$639,$A429,$C$5:$C$639,$C429-1,$D$5:$D$639,$D429))-1)))</f>
        <v/>
      </c>
      <c r="R429" s="16">
        <f>IF(OR($A429="",J429="",$C429=""),"",IF(COUNTIFS($A$5:$A$639,$A429,$C$5:$C$639,$C429-1,$D$5:$D$639,$D429,J$5:J$639,"&lt;&gt;")=0,"",IF(OR(SUMIFS(J$5:J$639,$A$5:$A$639,$A429,$C$5:$C$639,$C429-1,$D$5:$D$639,$D429)=0,J429*SUMIFS(J$5:J$639,$A$5:$A$639,$A429,$C$5:$C$639,$C429-1,$D$5:$D$639,$D429)&lt;0),"n.s.",ABS(J429)/ABS(SUMIFS(J$5:J$639,$A$5:$A$639,$A429,$C$5:$C$639,$C429-1,$D$5:$D$639,$D429))-1)))</f>
        <v/>
      </c>
      <c r="S429" s="16">
        <f>IF(OR($A429="",K429="",$C429=""),"",IF(COUNTIFS($A$5:$A$639,$A429,$C$5:$C$639,$C429-1,$D$5:$D$639,$D429,K$5:K$639,"&lt;&gt;")=0,"",IF(OR(SUMIFS(K$5:K$639,$A$5:$A$639,$A429,$C$5:$C$639,$C429-1,$D$5:$D$639,$D429)=0,K429*SUMIFS(K$5:K$639,$A$5:$A$639,$A429,$C$5:$C$639,$C429-1,$D$5:$D$639,$D429)&lt;0),"n.s.",ABS(K429)/ABS(SUMIFS(K$5:K$639,$A$5:$A$639,$A429,$C$5:$C$639,$C429-1,$D$5:$D$639,$D429))-1)))</f>
        <v/>
      </c>
      <c r="T429" s="16">
        <f>IF(OR($A429="",L429="",$C429=""),"",IF(COUNTIFS($A$5:$A$639,$A429,$C$5:$C$639,$C429-1,$D$5:$D$639,$D429,L$5:L$639,"&lt;&gt;")=0,"",IF(OR(SUMIFS(L$5:L$639,$A$5:$A$639,$A429,$C$5:$C$639,$C429-1,$D$5:$D$639,$D429)=0,L429*SUMIFS(L$5:L$639,$A$5:$A$639,$A429,$C$5:$C$639,$C429-1,$D$5:$D$639,$D429)&lt;0),"n.s.",ABS(L429)/ABS(SUMIFS(L$5:L$639,$A$5:$A$639,$A429,$C$5:$C$639,$C429-1,$D$5:$D$639,$D429))-1)))</f>
        <v/>
      </c>
      <c r="U429" s="16">
        <f>IF(OR($A429="",M429="",$C429=""),"",IF(COUNTIFS($A$5:$A$639,$A429,$C$5:$C$639,$C429-1,$D$5:$D$639,$D429,M$5:M$639,"&lt;&gt;")=0,"",IF(OR(SUMIFS(M$5:M$639,$A$5:$A$639,$A429,$C$5:$C$639,$C429-1,$D$5:$D$639,$D429)=0,M429*SUMIFS(M$5:M$639,$A$5:$A$639,$A429,$C$5:$C$639,$C429-1,$D$5:$D$639,$D429)&lt;0),"n.s.",ABS(M429)/ABS(SUMIFS(M$5:M$639,$A$5:$A$639,$A429,$C$5:$C$639,$C429-1,$D$5:$D$639,$D429))-1)))</f>
        <v/>
      </c>
    </row>
    <row r="430">
      <c r="A430" s="9" t="inlineStr">
        <is>
          <t>ORGT</t>
        </is>
      </c>
      <c r="B430" s="10">
        <f>IF(A430="","",IFERROR(VLOOKUP(A430,Titres!$A$2:$B$400,2,FALSE),"Ticker inconnu"))</f>
        <v/>
      </c>
      <c r="C430" s="11" t="n">
        <v>2024</v>
      </c>
      <c r="D430" s="11" t="inlineStr">
        <is>
          <t>T3</t>
        </is>
      </c>
      <c r="E430" s="9" t="n"/>
      <c r="F430" s="12" t="n"/>
      <c r="G430" s="9" t="n"/>
      <c r="H430" s="13" t="n"/>
      <c r="I430" s="13" t="n"/>
      <c r="J430" s="13" t="n"/>
      <c r="K430" s="13" t="n"/>
      <c r="L430" s="13" t="n"/>
      <c r="M430" s="13" t="n"/>
      <c r="N430" s="14">
        <f>IF(A430="","",COUNT(H430:M430)/6)</f>
        <v/>
      </c>
      <c r="O430" s="15">
        <f>IF(COUNT(H430:M430)=0,"",IF(LEN(IF(COUNT(I430,J430)=2,IF(J430&gt;I430+1,"EBE &gt; VA ",""),"")&amp;IF(COUNT(H430,M430)=2,IF(ABS(M430)&gt;ABS(H430),"RN &gt; CA ",""),"")&amp;IF(COUNT(H430,K430)=2,IF(ABS(K430)&gt;ABS(H430),"RE &gt; CA ",""),""))=0,"OK",IF(COUNT(I430,J430)=2,IF(J430&gt;I430+1,"EBE &gt; VA ",""),"")&amp;IF(COUNT(H430,M430)=2,IF(ABS(M430)&gt;ABS(H430),"RN &gt; CA ",""),"")&amp;IF(COUNT(H430,K430)=2,IF(ABS(K430)&gt;ABS(H430),"RE &gt; CA ",""),"")))</f>
        <v/>
      </c>
      <c r="P430" s="16">
        <f>IF(OR($A430="",H430="",$C430=""),"",IF(COUNTIFS($A$5:$A$639,$A430,$C$5:$C$639,$C430-1,$D$5:$D$639,$D430,H$5:H$639,"&lt;&gt;")=0,"",IF(OR(SUMIFS(H$5:H$639,$A$5:$A$639,$A430,$C$5:$C$639,$C430-1,$D$5:$D$639,$D430)=0,H430*SUMIFS(H$5:H$639,$A$5:$A$639,$A430,$C$5:$C$639,$C430-1,$D$5:$D$639,$D430)&lt;0),"n.s.",ABS(H430)/ABS(SUMIFS(H$5:H$639,$A$5:$A$639,$A430,$C$5:$C$639,$C430-1,$D$5:$D$639,$D430))-1)))</f>
        <v/>
      </c>
      <c r="Q430" s="16">
        <f>IF(OR($A430="",I430="",$C430=""),"",IF(COUNTIFS($A$5:$A$639,$A430,$C$5:$C$639,$C430-1,$D$5:$D$639,$D430,I$5:I$639,"&lt;&gt;")=0,"",IF(OR(SUMIFS(I$5:I$639,$A$5:$A$639,$A430,$C$5:$C$639,$C430-1,$D$5:$D$639,$D430)=0,I430*SUMIFS(I$5:I$639,$A$5:$A$639,$A430,$C$5:$C$639,$C430-1,$D$5:$D$639,$D430)&lt;0),"n.s.",ABS(I430)/ABS(SUMIFS(I$5:I$639,$A$5:$A$639,$A430,$C$5:$C$639,$C430-1,$D$5:$D$639,$D430))-1)))</f>
        <v/>
      </c>
      <c r="R430" s="16">
        <f>IF(OR($A430="",J430="",$C430=""),"",IF(COUNTIFS($A$5:$A$639,$A430,$C$5:$C$639,$C430-1,$D$5:$D$639,$D430,J$5:J$639,"&lt;&gt;")=0,"",IF(OR(SUMIFS(J$5:J$639,$A$5:$A$639,$A430,$C$5:$C$639,$C430-1,$D$5:$D$639,$D430)=0,J430*SUMIFS(J$5:J$639,$A$5:$A$639,$A430,$C$5:$C$639,$C430-1,$D$5:$D$639,$D430)&lt;0),"n.s.",ABS(J430)/ABS(SUMIFS(J$5:J$639,$A$5:$A$639,$A430,$C$5:$C$639,$C430-1,$D$5:$D$639,$D430))-1)))</f>
        <v/>
      </c>
      <c r="S430" s="16">
        <f>IF(OR($A430="",K430="",$C430=""),"",IF(COUNTIFS($A$5:$A$639,$A430,$C$5:$C$639,$C430-1,$D$5:$D$639,$D430,K$5:K$639,"&lt;&gt;")=0,"",IF(OR(SUMIFS(K$5:K$639,$A$5:$A$639,$A430,$C$5:$C$639,$C430-1,$D$5:$D$639,$D430)=0,K430*SUMIFS(K$5:K$639,$A$5:$A$639,$A430,$C$5:$C$639,$C430-1,$D$5:$D$639,$D430)&lt;0),"n.s.",ABS(K430)/ABS(SUMIFS(K$5:K$639,$A$5:$A$639,$A430,$C$5:$C$639,$C430-1,$D$5:$D$639,$D430))-1)))</f>
        <v/>
      </c>
      <c r="T430" s="16">
        <f>IF(OR($A430="",L430="",$C430=""),"",IF(COUNTIFS($A$5:$A$639,$A430,$C$5:$C$639,$C430-1,$D$5:$D$639,$D430,L$5:L$639,"&lt;&gt;")=0,"",IF(OR(SUMIFS(L$5:L$639,$A$5:$A$639,$A430,$C$5:$C$639,$C430-1,$D$5:$D$639,$D430)=0,L430*SUMIFS(L$5:L$639,$A$5:$A$639,$A430,$C$5:$C$639,$C430-1,$D$5:$D$639,$D430)&lt;0),"n.s.",ABS(L430)/ABS(SUMIFS(L$5:L$639,$A$5:$A$639,$A430,$C$5:$C$639,$C430-1,$D$5:$D$639,$D430))-1)))</f>
        <v/>
      </c>
      <c r="U430" s="16">
        <f>IF(OR($A430="",M430="",$C430=""),"",IF(COUNTIFS($A$5:$A$639,$A430,$C$5:$C$639,$C430-1,$D$5:$D$639,$D430,M$5:M$639,"&lt;&gt;")=0,"",IF(OR(SUMIFS(M$5:M$639,$A$5:$A$639,$A430,$C$5:$C$639,$C430-1,$D$5:$D$639,$D430)=0,M430*SUMIFS(M$5:M$639,$A$5:$A$639,$A430,$C$5:$C$639,$C430-1,$D$5:$D$639,$D430)&lt;0),"n.s.",ABS(M430)/ABS(SUMIFS(M$5:M$639,$A$5:$A$639,$A430,$C$5:$C$639,$C430-1,$D$5:$D$639,$D430))-1)))</f>
        <v/>
      </c>
    </row>
    <row r="431">
      <c r="A431" s="9" t="inlineStr">
        <is>
          <t>ORGT</t>
        </is>
      </c>
      <c r="B431" s="10">
        <f>IF(A431="","",IFERROR(VLOOKUP(A431,Titres!$A$2:$B$400,2,FALSE),"Ticker inconnu"))</f>
        <v/>
      </c>
      <c r="C431" s="11" t="n">
        <v>2025</v>
      </c>
      <c r="D431" s="11" t="inlineStr">
        <is>
          <t>T1</t>
        </is>
      </c>
      <c r="E431" s="9" t="n"/>
      <c r="F431" s="12" t="n"/>
      <c r="G431" s="9" t="n"/>
      <c r="H431" s="13" t="n"/>
      <c r="I431" s="13" t="n"/>
      <c r="J431" s="13" t="n"/>
      <c r="K431" s="13" t="n"/>
      <c r="L431" s="13" t="n"/>
      <c r="M431" s="13" t="n"/>
      <c r="N431" s="14">
        <f>IF(A431="","",COUNT(H431:M431)/6)</f>
        <v/>
      </c>
      <c r="O431" s="15">
        <f>IF(COUNT(H431:M431)=0,"",IF(LEN(IF(COUNT(I431,J431)=2,IF(J431&gt;I431+1,"EBE &gt; VA ",""),"")&amp;IF(COUNT(H431,M431)=2,IF(ABS(M431)&gt;ABS(H431),"RN &gt; CA ",""),"")&amp;IF(COUNT(H431,K431)=2,IF(ABS(K431)&gt;ABS(H431),"RE &gt; CA ",""),""))=0,"OK",IF(COUNT(I431,J431)=2,IF(J431&gt;I431+1,"EBE &gt; VA ",""),"")&amp;IF(COUNT(H431,M431)=2,IF(ABS(M431)&gt;ABS(H431),"RN &gt; CA ",""),"")&amp;IF(COUNT(H431,K431)=2,IF(ABS(K431)&gt;ABS(H431),"RE &gt; CA ",""),"")))</f>
        <v/>
      </c>
      <c r="P431" s="16">
        <f>IF(OR($A431="",H431="",$C431=""),"",IF(COUNTIFS($A$5:$A$639,$A431,$C$5:$C$639,$C431-1,$D$5:$D$639,$D431,H$5:H$639,"&lt;&gt;")=0,"",IF(OR(SUMIFS(H$5:H$639,$A$5:$A$639,$A431,$C$5:$C$639,$C431-1,$D$5:$D$639,$D431)=0,H431*SUMIFS(H$5:H$639,$A$5:$A$639,$A431,$C$5:$C$639,$C431-1,$D$5:$D$639,$D431)&lt;0),"n.s.",ABS(H431)/ABS(SUMIFS(H$5:H$639,$A$5:$A$639,$A431,$C$5:$C$639,$C431-1,$D$5:$D$639,$D431))-1)))</f>
        <v/>
      </c>
      <c r="Q431" s="16">
        <f>IF(OR($A431="",I431="",$C431=""),"",IF(COUNTIFS($A$5:$A$639,$A431,$C$5:$C$639,$C431-1,$D$5:$D$639,$D431,I$5:I$639,"&lt;&gt;")=0,"",IF(OR(SUMIFS(I$5:I$639,$A$5:$A$639,$A431,$C$5:$C$639,$C431-1,$D$5:$D$639,$D431)=0,I431*SUMIFS(I$5:I$639,$A$5:$A$639,$A431,$C$5:$C$639,$C431-1,$D$5:$D$639,$D431)&lt;0),"n.s.",ABS(I431)/ABS(SUMIFS(I$5:I$639,$A$5:$A$639,$A431,$C$5:$C$639,$C431-1,$D$5:$D$639,$D431))-1)))</f>
        <v/>
      </c>
      <c r="R431" s="16">
        <f>IF(OR($A431="",J431="",$C431=""),"",IF(COUNTIFS($A$5:$A$639,$A431,$C$5:$C$639,$C431-1,$D$5:$D$639,$D431,J$5:J$639,"&lt;&gt;")=0,"",IF(OR(SUMIFS(J$5:J$639,$A$5:$A$639,$A431,$C$5:$C$639,$C431-1,$D$5:$D$639,$D431)=0,J431*SUMIFS(J$5:J$639,$A$5:$A$639,$A431,$C$5:$C$639,$C431-1,$D$5:$D$639,$D431)&lt;0),"n.s.",ABS(J431)/ABS(SUMIFS(J$5:J$639,$A$5:$A$639,$A431,$C$5:$C$639,$C431-1,$D$5:$D$639,$D431))-1)))</f>
        <v/>
      </c>
      <c r="S431" s="16">
        <f>IF(OR($A431="",K431="",$C431=""),"",IF(COUNTIFS($A$5:$A$639,$A431,$C$5:$C$639,$C431-1,$D$5:$D$639,$D431,K$5:K$639,"&lt;&gt;")=0,"",IF(OR(SUMIFS(K$5:K$639,$A$5:$A$639,$A431,$C$5:$C$639,$C431-1,$D$5:$D$639,$D431)=0,K431*SUMIFS(K$5:K$639,$A$5:$A$639,$A431,$C$5:$C$639,$C431-1,$D$5:$D$639,$D431)&lt;0),"n.s.",ABS(K431)/ABS(SUMIFS(K$5:K$639,$A$5:$A$639,$A431,$C$5:$C$639,$C431-1,$D$5:$D$639,$D431))-1)))</f>
        <v/>
      </c>
      <c r="T431" s="16">
        <f>IF(OR($A431="",L431="",$C431=""),"",IF(COUNTIFS($A$5:$A$639,$A431,$C$5:$C$639,$C431-1,$D$5:$D$639,$D431,L$5:L$639,"&lt;&gt;")=0,"",IF(OR(SUMIFS(L$5:L$639,$A$5:$A$639,$A431,$C$5:$C$639,$C431-1,$D$5:$D$639,$D431)=0,L431*SUMIFS(L$5:L$639,$A$5:$A$639,$A431,$C$5:$C$639,$C431-1,$D$5:$D$639,$D431)&lt;0),"n.s.",ABS(L431)/ABS(SUMIFS(L$5:L$639,$A$5:$A$639,$A431,$C$5:$C$639,$C431-1,$D$5:$D$639,$D431))-1)))</f>
        <v/>
      </c>
      <c r="U431" s="16">
        <f>IF(OR($A431="",M431="",$C431=""),"",IF(COUNTIFS($A$5:$A$639,$A431,$C$5:$C$639,$C431-1,$D$5:$D$639,$D431,M$5:M$639,"&lt;&gt;")=0,"",IF(OR(SUMIFS(M$5:M$639,$A$5:$A$639,$A431,$C$5:$C$639,$C431-1,$D$5:$D$639,$D431)=0,M431*SUMIFS(M$5:M$639,$A$5:$A$639,$A431,$C$5:$C$639,$C431-1,$D$5:$D$639,$D431)&lt;0),"n.s.",ABS(M431)/ABS(SUMIFS(M$5:M$639,$A$5:$A$639,$A431,$C$5:$C$639,$C431-1,$D$5:$D$639,$D431))-1)))</f>
        <v/>
      </c>
    </row>
    <row r="432">
      <c r="A432" s="9" t="inlineStr">
        <is>
          <t>ORGT</t>
        </is>
      </c>
      <c r="B432" s="10">
        <f>IF(A432="","",IFERROR(VLOOKUP(A432,Titres!$A$2:$B$400,2,FALSE),"Ticker inconnu"))</f>
        <v/>
      </c>
      <c r="C432" s="11" t="n">
        <v>2025</v>
      </c>
      <c r="D432" s="11" t="inlineStr">
        <is>
          <t>S1</t>
        </is>
      </c>
      <c r="E432" s="9" t="n"/>
      <c r="F432" s="12" t="n"/>
      <c r="G432" s="9" t="n"/>
      <c r="H432" s="13" t="n"/>
      <c r="I432" s="13" t="n"/>
      <c r="J432" s="13" t="n"/>
      <c r="K432" s="13" t="n"/>
      <c r="L432" s="13" t="n"/>
      <c r="M432" s="13" t="n"/>
      <c r="N432" s="14">
        <f>IF(A432="","",COUNT(H432:M432)/6)</f>
        <v/>
      </c>
      <c r="O432" s="15">
        <f>IF(COUNT(H432:M432)=0,"",IF(LEN(IF(COUNT(I432,J432)=2,IF(J432&gt;I432+1,"EBE &gt; VA ",""),"")&amp;IF(COUNT(H432,M432)=2,IF(ABS(M432)&gt;ABS(H432),"RN &gt; CA ",""),"")&amp;IF(COUNT(H432,K432)=2,IF(ABS(K432)&gt;ABS(H432),"RE &gt; CA ",""),""))=0,"OK",IF(COUNT(I432,J432)=2,IF(J432&gt;I432+1,"EBE &gt; VA ",""),"")&amp;IF(COUNT(H432,M432)=2,IF(ABS(M432)&gt;ABS(H432),"RN &gt; CA ",""),"")&amp;IF(COUNT(H432,K432)=2,IF(ABS(K432)&gt;ABS(H432),"RE &gt; CA ",""),"")))</f>
        <v/>
      </c>
      <c r="P432" s="16">
        <f>IF(OR($A432="",H432="",$C432=""),"",IF(COUNTIFS($A$5:$A$639,$A432,$C$5:$C$639,$C432-1,$D$5:$D$639,$D432,H$5:H$639,"&lt;&gt;")=0,"",IF(OR(SUMIFS(H$5:H$639,$A$5:$A$639,$A432,$C$5:$C$639,$C432-1,$D$5:$D$639,$D432)=0,H432*SUMIFS(H$5:H$639,$A$5:$A$639,$A432,$C$5:$C$639,$C432-1,$D$5:$D$639,$D432)&lt;0),"n.s.",ABS(H432)/ABS(SUMIFS(H$5:H$639,$A$5:$A$639,$A432,$C$5:$C$639,$C432-1,$D$5:$D$639,$D432))-1)))</f>
        <v/>
      </c>
      <c r="Q432" s="16">
        <f>IF(OR($A432="",I432="",$C432=""),"",IF(COUNTIFS($A$5:$A$639,$A432,$C$5:$C$639,$C432-1,$D$5:$D$639,$D432,I$5:I$639,"&lt;&gt;")=0,"",IF(OR(SUMIFS(I$5:I$639,$A$5:$A$639,$A432,$C$5:$C$639,$C432-1,$D$5:$D$639,$D432)=0,I432*SUMIFS(I$5:I$639,$A$5:$A$639,$A432,$C$5:$C$639,$C432-1,$D$5:$D$639,$D432)&lt;0),"n.s.",ABS(I432)/ABS(SUMIFS(I$5:I$639,$A$5:$A$639,$A432,$C$5:$C$639,$C432-1,$D$5:$D$639,$D432))-1)))</f>
        <v/>
      </c>
      <c r="R432" s="16">
        <f>IF(OR($A432="",J432="",$C432=""),"",IF(COUNTIFS($A$5:$A$639,$A432,$C$5:$C$639,$C432-1,$D$5:$D$639,$D432,J$5:J$639,"&lt;&gt;")=0,"",IF(OR(SUMIFS(J$5:J$639,$A$5:$A$639,$A432,$C$5:$C$639,$C432-1,$D$5:$D$639,$D432)=0,J432*SUMIFS(J$5:J$639,$A$5:$A$639,$A432,$C$5:$C$639,$C432-1,$D$5:$D$639,$D432)&lt;0),"n.s.",ABS(J432)/ABS(SUMIFS(J$5:J$639,$A$5:$A$639,$A432,$C$5:$C$639,$C432-1,$D$5:$D$639,$D432))-1)))</f>
        <v/>
      </c>
      <c r="S432" s="16">
        <f>IF(OR($A432="",K432="",$C432=""),"",IF(COUNTIFS($A$5:$A$639,$A432,$C$5:$C$639,$C432-1,$D$5:$D$639,$D432,K$5:K$639,"&lt;&gt;")=0,"",IF(OR(SUMIFS(K$5:K$639,$A$5:$A$639,$A432,$C$5:$C$639,$C432-1,$D$5:$D$639,$D432)=0,K432*SUMIFS(K$5:K$639,$A$5:$A$639,$A432,$C$5:$C$639,$C432-1,$D$5:$D$639,$D432)&lt;0),"n.s.",ABS(K432)/ABS(SUMIFS(K$5:K$639,$A$5:$A$639,$A432,$C$5:$C$639,$C432-1,$D$5:$D$639,$D432))-1)))</f>
        <v/>
      </c>
      <c r="T432" s="16">
        <f>IF(OR($A432="",L432="",$C432=""),"",IF(COUNTIFS($A$5:$A$639,$A432,$C$5:$C$639,$C432-1,$D$5:$D$639,$D432,L$5:L$639,"&lt;&gt;")=0,"",IF(OR(SUMIFS(L$5:L$639,$A$5:$A$639,$A432,$C$5:$C$639,$C432-1,$D$5:$D$639,$D432)=0,L432*SUMIFS(L$5:L$639,$A$5:$A$639,$A432,$C$5:$C$639,$C432-1,$D$5:$D$639,$D432)&lt;0),"n.s.",ABS(L432)/ABS(SUMIFS(L$5:L$639,$A$5:$A$639,$A432,$C$5:$C$639,$C432-1,$D$5:$D$639,$D432))-1)))</f>
        <v/>
      </c>
      <c r="U432" s="16">
        <f>IF(OR($A432="",M432="",$C432=""),"",IF(COUNTIFS($A$5:$A$639,$A432,$C$5:$C$639,$C432-1,$D$5:$D$639,$D432,M$5:M$639,"&lt;&gt;")=0,"",IF(OR(SUMIFS(M$5:M$639,$A$5:$A$639,$A432,$C$5:$C$639,$C432-1,$D$5:$D$639,$D432)=0,M432*SUMIFS(M$5:M$639,$A$5:$A$639,$A432,$C$5:$C$639,$C432-1,$D$5:$D$639,$D432)&lt;0),"n.s.",ABS(M432)/ABS(SUMIFS(M$5:M$639,$A$5:$A$639,$A432,$C$5:$C$639,$C432-1,$D$5:$D$639,$D432))-1)))</f>
        <v/>
      </c>
    </row>
    <row r="433">
      <c r="A433" s="9" t="inlineStr">
        <is>
          <t>ORGT</t>
        </is>
      </c>
      <c r="B433" s="10">
        <f>IF(A433="","",IFERROR(VLOOKUP(A433,Titres!$A$2:$B$400,2,FALSE),"Ticker inconnu"))</f>
        <v/>
      </c>
      <c r="C433" s="11" t="n">
        <v>2025</v>
      </c>
      <c r="D433" s="11" t="inlineStr">
        <is>
          <t>T3</t>
        </is>
      </c>
      <c r="E433" s="9" t="n"/>
      <c r="F433" s="12" t="n"/>
      <c r="G433" s="9" t="n"/>
      <c r="H433" s="13" t="n"/>
      <c r="I433" s="13" t="n"/>
      <c r="J433" s="13" t="n"/>
      <c r="K433" s="13" t="n"/>
      <c r="L433" s="13" t="n"/>
      <c r="M433" s="13" t="n"/>
      <c r="N433" s="14">
        <f>IF(A433="","",COUNT(H433:M433)/6)</f>
        <v/>
      </c>
      <c r="O433" s="15">
        <f>IF(COUNT(H433:M433)=0,"",IF(LEN(IF(COUNT(I433,J433)=2,IF(J433&gt;I433+1,"EBE &gt; VA ",""),"")&amp;IF(COUNT(H433,M433)=2,IF(ABS(M433)&gt;ABS(H433),"RN &gt; CA ",""),"")&amp;IF(COUNT(H433,K433)=2,IF(ABS(K433)&gt;ABS(H433),"RE &gt; CA ",""),""))=0,"OK",IF(COUNT(I433,J433)=2,IF(J433&gt;I433+1,"EBE &gt; VA ",""),"")&amp;IF(COUNT(H433,M433)=2,IF(ABS(M433)&gt;ABS(H433),"RN &gt; CA ",""),"")&amp;IF(COUNT(H433,K433)=2,IF(ABS(K433)&gt;ABS(H433),"RE &gt; CA ",""),"")))</f>
        <v/>
      </c>
      <c r="P433" s="16">
        <f>IF(OR($A433="",H433="",$C433=""),"",IF(COUNTIFS($A$5:$A$639,$A433,$C$5:$C$639,$C433-1,$D$5:$D$639,$D433,H$5:H$639,"&lt;&gt;")=0,"",IF(OR(SUMIFS(H$5:H$639,$A$5:$A$639,$A433,$C$5:$C$639,$C433-1,$D$5:$D$639,$D433)=0,H433*SUMIFS(H$5:H$639,$A$5:$A$639,$A433,$C$5:$C$639,$C433-1,$D$5:$D$639,$D433)&lt;0),"n.s.",ABS(H433)/ABS(SUMIFS(H$5:H$639,$A$5:$A$639,$A433,$C$5:$C$639,$C433-1,$D$5:$D$639,$D433))-1)))</f>
        <v/>
      </c>
      <c r="Q433" s="16">
        <f>IF(OR($A433="",I433="",$C433=""),"",IF(COUNTIFS($A$5:$A$639,$A433,$C$5:$C$639,$C433-1,$D$5:$D$639,$D433,I$5:I$639,"&lt;&gt;")=0,"",IF(OR(SUMIFS(I$5:I$639,$A$5:$A$639,$A433,$C$5:$C$639,$C433-1,$D$5:$D$639,$D433)=0,I433*SUMIFS(I$5:I$639,$A$5:$A$639,$A433,$C$5:$C$639,$C433-1,$D$5:$D$639,$D433)&lt;0),"n.s.",ABS(I433)/ABS(SUMIFS(I$5:I$639,$A$5:$A$639,$A433,$C$5:$C$639,$C433-1,$D$5:$D$639,$D433))-1)))</f>
        <v/>
      </c>
      <c r="R433" s="16">
        <f>IF(OR($A433="",J433="",$C433=""),"",IF(COUNTIFS($A$5:$A$639,$A433,$C$5:$C$639,$C433-1,$D$5:$D$639,$D433,J$5:J$639,"&lt;&gt;")=0,"",IF(OR(SUMIFS(J$5:J$639,$A$5:$A$639,$A433,$C$5:$C$639,$C433-1,$D$5:$D$639,$D433)=0,J433*SUMIFS(J$5:J$639,$A$5:$A$639,$A433,$C$5:$C$639,$C433-1,$D$5:$D$639,$D433)&lt;0),"n.s.",ABS(J433)/ABS(SUMIFS(J$5:J$639,$A$5:$A$639,$A433,$C$5:$C$639,$C433-1,$D$5:$D$639,$D433))-1)))</f>
        <v/>
      </c>
      <c r="S433" s="16">
        <f>IF(OR($A433="",K433="",$C433=""),"",IF(COUNTIFS($A$5:$A$639,$A433,$C$5:$C$639,$C433-1,$D$5:$D$639,$D433,K$5:K$639,"&lt;&gt;")=0,"",IF(OR(SUMIFS(K$5:K$639,$A$5:$A$639,$A433,$C$5:$C$639,$C433-1,$D$5:$D$639,$D433)=0,K433*SUMIFS(K$5:K$639,$A$5:$A$639,$A433,$C$5:$C$639,$C433-1,$D$5:$D$639,$D433)&lt;0),"n.s.",ABS(K433)/ABS(SUMIFS(K$5:K$639,$A$5:$A$639,$A433,$C$5:$C$639,$C433-1,$D$5:$D$639,$D433))-1)))</f>
        <v/>
      </c>
      <c r="T433" s="16">
        <f>IF(OR($A433="",L433="",$C433=""),"",IF(COUNTIFS($A$5:$A$639,$A433,$C$5:$C$639,$C433-1,$D$5:$D$639,$D433,L$5:L$639,"&lt;&gt;")=0,"",IF(OR(SUMIFS(L$5:L$639,$A$5:$A$639,$A433,$C$5:$C$639,$C433-1,$D$5:$D$639,$D433)=0,L433*SUMIFS(L$5:L$639,$A$5:$A$639,$A433,$C$5:$C$639,$C433-1,$D$5:$D$639,$D433)&lt;0),"n.s.",ABS(L433)/ABS(SUMIFS(L$5:L$639,$A$5:$A$639,$A433,$C$5:$C$639,$C433-1,$D$5:$D$639,$D433))-1)))</f>
        <v/>
      </c>
      <c r="U433" s="16">
        <f>IF(OR($A433="",M433="",$C433=""),"",IF(COUNTIFS($A$5:$A$639,$A433,$C$5:$C$639,$C433-1,$D$5:$D$639,$D433,M$5:M$639,"&lt;&gt;")=0,"",IF(OR(SUMIFS(M$5:M$639,$A$5:$A$639,$A433,$C$5:$C$639,$C433-1,$D$5:$D$639,$D433)=0,M433*SUMIFS(M$5:M$639,$A$5:$A$639,$A433,$C$5:$C$639,$C433-1,$D$5:$D$639,$D433)&lt;0),"n.s.",ABS(M433)/ABS(SUMIFS(M$5:M$639,$A$5:$A$639,$A433,$C$5:$C$639,$C433-1,$D$5:$D$639,$D433))-1)))</f>
        <v/>
      </c>
    </row>
    <row r="434">
      <c r="A434" s="9" t="inlineStr">
        <is>
          <t>ORGT</t>
        </is>
      </c>
      <c r="B434" s="10">
        <f>IF(A434="","",IFERROR(VLOOKUP(A434,Titres!$A$2:$B$400,2,FALSE),"Ticker inconnu"))</f>
        <v/>
      </c>
      <c r="C434" s="11" t="n">
        <v>2026</v>
      </c>
      <c r="D434" s="11" t="inlineStr">
        <is>
          <t>T1</t>
        </is>
      </c>
      <c r="E434" s="9" t="n"/>
      <c r="F434" s="12" t="n"/>
      <c r="G434" s="9" t="n"/>
      <c r="H434" s="13" t="n"/>
      <c r="I434" s="13" t="n"/>
      <c r="J434" s="13" t="n"/>
      <c r="K434" s="13" t="n"/>
      <c r="L434" s="13" t="n"/>
      <c r="M434" s="13" t="n"/>
      <c r="N434" s="14">
        <f>IF(A434="","",COUNT(H434:M434)/6)</f>
        <v/>
      </c>
      <c r="O434" s="15">
        <f>IF(COUNT(H434:M434)=0,"",IF(LEN(IF(COUNT(I434,J434)=2,IF(J434&gt;I434+1,"EBE &gt; VA ",""),"")&amp;IF(COUNT(H434,M434)=2,IF(ABS(M434)&gt;ABS(H434),"RN &gt; CA ",""),"")&amp;IF(COUNT(H434,K434)=2,IF(ABS(K434)&gt;ABS(H434),"RE &gt; CA ",""),""))=0,"OK",IF(COUNT(I434,J434)=2,IF(J434&gt;I434+1,"EBE &gt; VA ",""),"")&amp;IF(COUNT(H434,M434)=2,IF(ABS(M434)&gt;ABS(H434),"RN &gt; CA ",""),"")&amp;IF(COUNT(H434,K434)=2,IF(ABS(K434)&gt;ABS(H434),"RE &gt; CA ",""),"")))</f>
        <v/>
      </c>
      <c r="P434" s="16">
        <f>IF(OR($A434="",H434="",$C434=""),"",IF(COUNTIFS($A$5:$A$639,$A434,$C$5:$C$639,$C434-1,$D$5:$D$639,$D434,H$5:H$639,"&lt;&gt;")=0,"",IF(OR(SUMIFS(H$5:H$639,$A$5:$A$639,$A434,$C$5:$C$639,$C434-1,$D$5:$D$639,$D434)=0,H434*SUMIFS(H$5:H$639,$A$5:$A$639,$A434,$C$5:$C$639,$C434-1,$D$5:$D$639,$D434)&lt;0),"n.s.",ABS(H434)/ABS(SUMIFS(H$5:H$639,$A$5:$A$639,$A434,$C$5:$C$639,$C434-1,$D$5:$D$639,$D434))-1)))</f>
        <v/>
      </c>
      <c r="Q434" s="16">
        <f>IF(OR($A434="",I434="",$C434=""),"",IF(COUNTIFS($A$5:$A$639,$A434,$C$5:$C$639,$C434-1,$D$5:$D$639,$D434,I$5:I$639,"&lt;&gt;")=0,"",IF(OR(SUMIFS(I$5:I$639,$A$5:$A$639,$A434,$C$5:$C$639,$C434-1,$D$5:$D$639,$D434)=0,I434*SUMIFS(I$5:I$639,$A$5:$A$639,$A434,$C$5:$C$639,$C434-1,$D$5:$D$639,$D434)&lt;0),"n.s.",ABS(I434)/ABS(SUMIFS(I$5:I$639,$A$5:$A$639,$A434,$C$5:$C$639,$C434-1,$D$5:$D$639,$D434))-1)))</f>
        <v/>
      </c>
      <c r="R434" s="16">
        <f>IF(OR($A434="",J434="",$C434=""),"",IF(COUNTIFS($A$5:$A$639,$A434,$C$5:$C$639,$C434-1,$D$5:$D$639,$D434,J$5:J$639,"&lt;&gt;")=0,"",IF(OR(SUMIFS(J$5:J$639,$A$5:$A$639,$A434,$C$5:$C$639,$C434-1,$D$5:$D$639,$D434)=0,J434*SUMIFS(J$5:J$639,$A$5:$A$639,$A434,$C$5:$C$639,$C434-1,$D$5:$D$639,$D434)&lt;0),"n.s.",ABS(J434)/ABS(SUMIFS(J$5:J$639,$A$5:$A$639,$A434,$C$5:$C$639,$C434-1,$D$5:$D$639,$D434))-1)))</f>
        <v/>
      </c>
      <c r="S434" s="16">
        <f>IF(OR($A434="",K434="",$C434=""),"",IF(COUNTIFS($A$5:$A$639,$A434,$C$5:$C$639,$C434-1,$D$5:$D$639,$D434,K$5:K$639,"&lt;&gt;")=0,"",IF(OR(SUMIFS(K$5:K$639,$A$5:$A$639,$A434,$C$5:$C$639,$C434-1,$D$5:$D$639,$D434)=0,K434*SUMIFS(K$5:K$639,$A$5:$A$639,$A434,$C$5:$C$639,$C434-1,$D$5:$D$639,$D434)&lt;0),"n.s.",ABS(K434)/ABS(SUMIFS(K$5:K$639,$A$5:$A$639,$A434,$C$5:$C$639,$C434-1,$D$5:$D$639,$D434))-1)))</f>
        <v/>
      </c>
      <c r="T434" s="16">
        <f>IF(OR($A434="",L434="",$C434=""),"",IF(COUNTIFS($A$5:$A$639,$A434,$C$5:$C$639,$C434-1,$D$5:$D$639,$D434,L$5:L$639,"&lt;&gt;")=0,"",IF(OR(SUMIFS(L$5:L$639,$A$5:$A$639,$A434,$C$5:$C$639,$C434-1,$D$5:$D$639,$D434)=0,L434*SUMIFS(L$5:L$639,$A$5:$A$639,$A434,$C$5:$C$639,$C434-1,$D$5:$D$639,$D434)&lt;0),"n.s.",ABS(L434)/ABS(SUMIFS(L$5:L$639,$A$5:$A$639,$A434,$C$5:$C$639,$C434-1,$D$5:$D$639,$D434))-1)))</f>
        <v/>
      </c>
      <c r="U434" s="16">
        <f>IF(OR($A434="",M434="",$C434=""),"",IF(COUNTIFS($A$5:$A$639,$A434,$C$5:$C$639,$C434-1,$D$5:$D$639,$D434,M$5:M$639,"&lt;&gt;")=0,"",IF(OR(SUMIFS(M$5:M$639,$A$5:$A$639,$A434,$C$5:$C$639,$C434-1,$D$5:$D$639,$D434)=0,M434*SUMIFS(M$5:M$639,$A$5:$A$639,$A434,$C$5:$C$639,$C434-1,$D$5:$D$639,$D434)&lt;0),"n.s.",ABS(M434)/ABS(SUMIFS(M$5:M$639,$A$5:$A$639,$A434,$C$5:$C$639,$C434-1,$D$5:$D$639,$D434))-1)))</f>
        <v/>
      </c>
    </row>
    <row r="435">
      <c r="A435" s="9" t="inlineStr">
        <is>
          <t>ORGT</t>
        </is>
      </c>
      <c r="B435" s="10">
        <f>IF(A435="","",IFERROR(VLOOKUP(A435,Titres!$A$2:$B$400,2,FALSE),"Ticker inconnu"))</f>
        <v/>
      </c>
      <c r="C435" s="11" t="n">
        <v>2026</v>
      </c>
      <c r="D435" s="11" t="inlineStr">
        <is>
          <t>S1</t>
        </is>
      </c>
      <c r="E435" s="9" t="n"/>
      <c r="F435" s="12" t="n"/>
      <c r="G435" s="9" t="n"/>
      <c r="H435" s="13" t="n"/>
      <c r="I435" s="13" t="n"/>
      <c r="J435" s="13" t="n"/>
      <c r="K435" s="13" t="n"/>
      <c r="L435" s="13" t="n"/>
      <c r="M435" s="13" t="n"/>
      <c r="N435" s="14">
        <f>IF(A435="","",COUNT(H435:M435)/6)</f>
        <v/>
      </c>
      <c r="O435" s="15">
        <f>IF(COUNT(H435:M435)=0,"",IF(LEN(IF(COUNT(I435,J435)=2,IF(J435&gt;I435+1,"EBE &gt; VA ",""),"")&amp;IF(COUNT(H435,M435)=2,IF(ABS(M435)&gt;ABS(H435),"RN &gt; CA ",""),"")&amp;IF(COUNT(H435,K435)=2,IF(ABS(K435)&gt;ABS(H435),"RE &gt; CA ",""),""))=0,"OK",IF(COUNT(I435,J435)=2,IF(J435&gt;I435+1,"EBE &gt; VA ",""),"")&amp;IF(COUNT(H435,M435)=2,IF(ABS(M435)&gt;ABS(H435),"RN &gt; CA ",""),"")&amp;IF(COUNT(H435,K435)=2,IF(ABS(K435)&gt;ABS(H435),"RE &gt; CA ",""),"")))</f>
        <v/>
      </c>
      <c r="P435" s="16">
        <f>IF(OR($A435="",H435="",$C435=""),"",IF(COUNTIFS($A$5:$A$639,$A435,$C$5:$C$639,$C435-1,$D$5:$D$639,$D435,H$5:H$639,"&lt;&gt;")=0,"",IF(OR(SUMIFS(H$5:H$639,$A$5:$A$639,$A435,$C$5:$C$639,$C435-1,$D$5:$D$639,$D435)=0,H435*SUMIFS(H$5:H$639,$A$5:$A$639,$A435,$C$5:$C$639,$C435-1,$D$5:$D$639,$D435)&lt;0),"n.s.",ABS(H435)/ABS(SUMIFS(H$5:H$639,$A$5:$A$639,$A435,$C$5:$C$639,$C435-1,$D$5:$D$639,$D435))-1)))</f>
        <v/>
      </c>
      <c r="Q435" s="16">
        <f>IF(OR($A435="",I435="",$C435=""),"",IF(COUNTIFS($A$5:$A$639,$A435,$C$5:$C$639,$C435-1,$D$5:$D$639,$D435,I$5:I$639,"&lt;&gt;")=0,"",IF(OR(SUMIFS(I$5:I$639,$A$5:$A$639,$A435,$C$5:$C$639,$C435-1,$D$5:$D$639,$D435)=0,I435*SUMIFS(I$5:I$639,$A$5:$A$639,$A435,$C$5:$C$639,$C435-1,$D$5:$D$639,$D435)&lt;0),"n.s.",ABS(I435)/ABS(SUMIFS(I$5:I$639,$A$5:$A$639,$A435,$C$5:$C$639,$C435-1,$D$5:$D$639,$D435))-1)))</f>
        <v/>
      </c>
      <c r="R435" s="16">
        <f>IF(OR($A435="",J435="",$C435=""),"",IF(COUNTIFS($A$5:$A$639,$A435,$C$5:$C$639,$C435-1,$D$5:$D$639,$D435,J$5:J$639,"&lt;&gt;")=0,"",IF(OR(SUMIFS(J$5:J$639,$A$5:$A$639,$A435,$C$5:$C$639,$C435-1,$D$5:$D$639,$D435)=0,J435*SUMIFS(J$5:J$639,$A$5:$A$639,$A435,$C$5:$C$639,$C435-1,$D$5:$D$639,$D435)&lt;0),"n.s.",ABS(J435)/ABS(SUMIFS(J$5:J$639,$A$5:$A$639,$A435,$C$5:$C$639,$C435-1,$D$5:$D$639,$D435))-1)))</f>
        <v/>
      </c>
      <c r="S435" s="16">
        <f>IF(OR($A435="",K435="",$C435=""),"",IF(COUNTIFS($A$5:$A$639,$A435,$C$5:$C$639,$C435-1,$D$5:$D$639,$D435,K$5:K$639,"&lt;&gt;")=0,"",IF(OR(SUMIFS(K$5:K$639,$A$5:$A$639,$A435,$C$5:$C$639,$C435-1,$D$5:$D$639,$D435)=0,K435*SUMIFS(K$5:K$639,$A$5:$A$639,$A435,$C$5:$C$639,$C435-1,$D$5:$D$639,$D435)&lt;0),"n.s.",ABS(K435)/ABS(SUMIFS(K$5:K$639,$A$5:$A$639,$A435,$C$5:$C$639,$C435-1,$D$5:$D$639,$D435))-1)))</f>
        <v/>
      </c>
      <c r="T435" s="16">
        <f>IF(OR($A435="",L435="",$C435=""),"",IF(COUNTIFS($A$5:$A$639,$A435,$C$5:$C$639,$C435-1,$D$5:$D$639,$D435,L$5:L$639,"&lt;&gt;")=0,"",IF(OR(SUMIFS(L$5:L$639,$A$5:$A$639,$A435,$C$5:$C$639,$C435-1,$D$5:$D$639,$D435)=0,L435*SUMIFS(L$5:L$639,$A$5:$A$639,$A435,$C$5:$C$639,$C435-1,$D$5:$D$639,$D435)&lt;0),"n.s.",ABS(L435)/ABS(SUMIFS(L$5:L$639,$A$5:$A$639,$A435,$C$5:$C$639,$C435-1,$D$5:$D$639,$D435))-1)))</f>
        <v/>
      </c>
      <c r="U435" s="16">
        <f>IF(OR($A435="",M435="",$C435=""),"",IF(COUNTIFS($A$5:$A$639,$A435,$C$5:$C$639,$C435-1,$D$5:$D$639,$D435,M$5:M$639,"&lt;&gt;")=0,"",IF(OR(SUMIFS(M$5:M$639,$A$5:$A$639,$A435,$C$5:$C$639,$C435-1,$D$5:$D$639,$D435)=0,M435*SUMIFS(M$5:M$639,$A$5:$A$639,$A435,$C$5:$C$639,$C435-1,$D$5:$D$639,$D435)&lt;0),"n.s.",ABS(M435)/ABS(SUMIFS(M$5:M$639,$A$5:$A$639,$A435,$C$5:$C$639,$C435-1,$D$5:$D$639,$D435))-1)))</f>
        <v/>
      </c>
    </row>
    <row r="436">
      <c r="A436" s="9" t="inlineStr">
        <is>
          <t>ORGT</t>
        </is>
      </c>
      <c r="B436" s="10">
        <f>IF(A436="","",IFERROR(VLOOKUP(A436,Titres!$A$2:$B$400,2,FALSE),"Ticker inconnu"))</f>
        <v/>
      </c>
      <c r="C436" s="11" t="n">
        <v>2026</v>
      </c>
      <c r="D436" s="11" t="inlineStr">
        <is>
          <t>T3</t>
        </is>
      </c>
      <c r="E436" s="9" t="n"/>
      <c r="F436" s="12" t="n"/>
      <c r="G436" s="9" t="n"/>
      <c r="H436" s="13" t="n"/>
      <c r="I436" s="13" t="n"/>
      <c r="J436" s="13" t="n"/>
      <c r="K436" s="13" t="n"/>
      <c r="L436" s="13" t="n"/>
      <c r="M436" s="13" t="n"/>
      <c r="N436" s="14">
        <f>IF(A436="","",COUNT(H436:M436)/6)</f>
        <v/>
      </c>
      <c r="O436" s="15">
        <f>IF(COUNT(H436:M436)=0,"",IF(LEN(IF(COUNT(I436,J436)=2,IF(J436&gt;I436+1,"EBE &gt; VA ",""),"")&amp;IF(COUNT(H436,M436)=2,IF(ABS(M436)&gt;ABS(H436),"RN &gt; CA ",""),"")&amp;IF(COUNT(H436,K436)=2,IF(ABS(K436)&gt;ABS(H436),"RE &gt; CA ",""),""))=0,"OK",IF(COUNT(I436,J436)=2,IF(J436&gt;I436+1,"EBE &gt; VA ",""),"")&amp;IF(COUNT(H436,M436)=2,IF(ABS(M436)&gt;ABS(H436),"RN &gt; CA ",""),"")&amp;IF(COUNT(H436,K436)=2,IF(ABS(K436)&gt;ABS(H436),"RE &gt; CA ",""),"")))</f>
        <v/>
      </c>
      <c r="P436" s="16">
        <f>IF(OR($A436="",H436="",$C436=""),"",IF(COUNTIFS($A$5:$A$639,$A436,$C$5:$C$639,$C436-1,$D$5:$D$639,$D436,H$5:H$639,"&lt;&gt;")=0,"",IF(OR(SUMIFS(H$5:H$639,$A$5:$A$639,$A436,$C$5:$C$639,$C436-1,$D$5:$D$639,$D436)=0,H436*SUMIFS(H$5:H$639,$A$5:$A$639,$A436,$C$5:$C$639,$C436-1,$D$5:$D$639,$D436)&lt;0),"n.s.",ABS(H436)/ABS(SUMIFS(H$5:H$639,$A$5:$A$639,$A436,$C$5:$C$639,$C436-1,$D$5:$D$639,$D436))-1)))</f>
        <v/>
      </c>
      <c r="Q436" s="16">
        <f>IF(OR($A436="",I436="",$C436=""),"",IF(COUNTIFS($A$5:$A$639,$A436,$C$5:$C$639,$C436-1,$D$5:$D$639,$D436,I$5:I$639,"&lt;&gt;")=0,"",IF(OR(SUMIFS(I$5:I$639,$A$5:$A$639,$A436,$C$5:$C$639,$C436-1,$D$5:$D$639,$D436)=0,I436*SUMIFS(I$5:I$639,$A$5:$A$639,$A436,$C$5:$C$639,$C436-1,$D$5:$D$639,$D436)&lt;0),"n.s.",ABS(I436)/ABS(SUMIFS(I$5:I$639,$A$5:$A$639,$A436,$C$5:$C$639,$C436-1,$D$5:$D$639,$D436))-1)))</f>
        <v/>
      </c>
      <c r="R436" s="16">
        <f>IF(OR($A436="",J436="",$C436=""),"",IF(COUNTIFS($A$5:$A$639,$A436,$C$5:$C$639,$C436-1,$D$5:$D$639,$D436,J$5:J$639,"&lt;&gt;")=0,"",IF(OR(SUMIFS(J$5:J$639,$A$5:$A$639,$A436,$C$5:$C$639,$C436-1,$D$5:$D$639,$D436)=0,J436*SUMIFS(J$5:J$639,$A$5:$A$639,$A436,$C$5:$C$639,$C436-1,$D$5:$D$639,$D436)&lt;0),"n.s.",ABS(J436)/ABS(SUMIFS(J$5:J$639,$A$5:$A$639,$A436,$C$5:$C$639,$C436-1,$D$5:$D$639,$D436))-1)))</f>
        <v/>
      </c>
      <c r="S436" s="16">
        <f>IF(OR($A436="",K436="",$C436=""),"",IF(COUNTIFS($A$5:$A$639,$A436,$C$5:$C$639,$C436-1,$D$5:$D$639,$D436,K$5:K$639,"&lt;&gt;")=0,"",IF(OR(SUMIFS(K$5:K$639,$A$5:$A$639,$A436,$C$5:$C$639,$C436-1,$D$5:$D$639,$D436)=0,K436*SUMIFS(K$5:K$639,$A$5:$A$639,$A436,$C$5:$C$639,$C436-1,$D$5:$D$639,$D436)&lt;0),"n.s.",ABS(K436)/ABS(SUMIFS(K$5:K$639,$A$5:$A$639,$A436,$C$5:$C$639,$C436-1,$D$5:$D$639,$D436))-1)))</f>
        <v/>
      </c>
      <c r="T436" s="16">
        <f>IF(OR($A436="",L436="",$C436=""),"",IF(COUNTIFS($A$5:$A$639,$A436,$C$5:$C$639,$C436-1,$D$5:$D$639,$D436,L$5:L$639,"&lt;&gt;")=0,"",IF(OR(SUMIFS(L$5:L$639,$A$5:$A$639,$A436,$C$5:$C$639,$C436-1,$D$5:$D$639,$D436)=0,L436*SUMIFS(L$5:L$639,$A$5:$A$639,$A436,$C$5:$C$639,$C436-1,$D$5:$D$639,$D436)&lt;0),"n.s.",ABS(L436)/ABS(SUMIFS(L$5:L$639,$A$5:$A$639,$A436,$C$5:$C$639,$C436-1,$D$5:$D$639,$D436))-1)))</f>
        <v/>
      </c>
      <c r="U436" s="16">
        <f>IF(OR($A436="",M436="",$C436=""),"",IF(COUNTIFS($A$5:$A$639,$A436,$C$5:$C$639,$C436-1,$D$5:$D$639,$D436,M$5:M$639,"&lt;&gt;")=0,"",IF(OR(SUMIFS(M$5:M$639,$A$5:$A$639,$A436,$C$5:$C$639,$C436-1,$D$5:$D$639,$D436)=0,M436*SUMIFS(M$5:M$639,$A$5:$A$639,$A436,$C$5:$C$639,$C436-1,$D$5:$D$639,$D436)&lt;0),"n.s.",ABS(M436)/ABS(SUMIFS(M$5:M$639,$A$5:$A$639,$A436,$C$5:$C$639,$C436-1,$D$5:$D$639,$D436))-1)))</f>
        <v/>
      </c>
    </row>
    <row r="437">
      <c r="A437" s="9" t="inlineStr">
        <is>
          <t>CIEC</t>
        </is>
      </c>
      <c r="B437" s="10">
        <f>IF(A437="","",IFERROR(VLOOKUP(A437,Titres!$A$2:$B$400,2,FALSE),"Ticker inconnu"))</f>
        <v/>
      </c>
      <c r="C437" s="11" t="n">
        <v>2021</v>
      </c>
      <c r="D437" s="11" t="inlineStr">
        <is>
          <t>T1</t>
        </is>
      </c>
      <c r="E437" s="9" t="n"/>
      <c r="F437" s="12" t="n"/>
      <c r="G437" s="9" t="n"/>
      <c r="H437" s="13" t="n"/>
      <c r="I437" s="13" t="n"/>
      <c r="J437" s="13" t="n"/>
      <c r="K437" s="13" t="n"/>
      <c r="L437" s="13" t="n"/>
      <c r="M437" s="13" t="n"/>
      <c r="N437" s="14">
        <f>IF(A437="","",COUNT(H437:M437)/6)</f>
        <v/>
      </c>
      <c r="O437" s="15">
        <f>IF(COUNT(H437:M437)=0,"",IF(LEN(IF(COUNT(I437,J437)=2,IF(J437&gt;I437+1,"EBE &gt; VA ",""),"")&amp;IF(COUNT(H437,M437)=2,IF(ABS(M437)&gt;ABS(H437),"RN &gt; CA ",""),"")&amp;IF(COUNT(H437,K437)=2,IF(ABS(K437)&gt;ABS(H437),"RE &gt; CA ",""),""))=0,"OK",IF(COUNT(I437,J437)=2,IF(J437&gt;I437+1,"EBE &gt; VA ",""),"")&amp;IF(COUNT(H437,M437)=2,IF(ABS(M437)&gt;ABS(H437),"RN &gt; CA ",""),"")&amp;IF(COUNT(H437,K437)=2,IF(ABS(K437)&gt;ABS(H437),"RE &gt; CA ",""),"")))</f>
        <v/>
      </c>
      <c r="P437" s="16">
        <f>IF(OR($A437="",H437="",$C437=""),"",IF(COUNTIFS($A$5:$A$639,$A437,$C$5:$C$639,$C437-1,$D$5:$D$639,$D437,H$5:H$639,"&lt;&gt;")=0,"",IF(OR(SUMIFS(H$5:H$639,$A$5:$A$639,$A437,$C$5:$C$639,$C437-1,$D$5:$D$639,$D437)=0,H437*SUMIFS(H$5:H$639,$A$5:$A$639,$A437,$C$5:$C$639,$C437-1,$D$5:$D$639,$D437)&lt;0),"n.s.",ABS(H437)/ABS(SUMIFS(H$5:H$639,$A$5:$A$639,$A437,$C$5:$C$639,$C437-1,$D$5:$D$639,$D437))-1)))</f>
        <v/>
      </c>
      <c r="Q437" s="16">
        <f>IF(OR($A437="",I437="",$C437=""),"",IF(COUNTIFS($A$5:$A$639,$A437,$C$5:$C$639,$C437-1,$D$5:$D$639,$D437,I$5:I$639,"&lt;&gt;")=0,"",IF(OR(SUMIFS(I$5:I$639,$A$5:$A$639,$A437,$C$5:$C$639,$C437-1,$D$5:$D$639,$D437)=0,I437*SUMIFS(I$5:I$639,$A$5:$A$639,$A437,$C$5:$C$639,$C437-1,$D$5:$D$639,$D437)&lt;0),"n.s.",ABS(I437)/ABS(SUMIFS(I$5:I$639,$A$5:$A$639,$A437,$C$5:$C$639,$C437-1,$D$5:$D$639,$D437))-1)))</f>
        <v/>
      </c>
      <c r="R437" s="16">
        <f>IF(OR($A437="",J437="",$C437=""),"",IF(COUNTIFS($A$5:$A$639,$A437,$C$5:$C$639,$C437-1,$D$5:$D$639,$D437,J$5:J$639,"&lt;&gt;")=0,"",IF(OR(SUMIFS(J$5:J$639,$A$5:$A$639,$A437,$C$5:$C$639,$C437-1,$D$5:$D$639,$D437)=0,J437*SUMIFS(J$5:J$639,$A$5:$A$639,$A437,$C$5:$C$639,$C437-1,$D$5:$D$639,$D437)&lt;0),"n.s.",ABS(J437)/ABS(SUMIFS(J$5:J$639,$A$5:$A$639,$A437,$C$5:$C$639,$C437-1,$D$5:$D$639,$D437))-1)))</f>
        <v/>
      </c>
      <c r="S437" s="16">
        <f>IF(OR($A437="",K437="",$C437=""),"",IF(COUNTIFS($A$5:$A$639,$A437,$C$5:$C$639,$C437-1,$D$5:$D$639,$D437,K$5:K$639,"&lt;&gt;")=0,"",IF(OR(SUMIFS(K$5:K$639,$A$5:$A$639,$A437,$C$5:$C$639,$C437-1,$D$5:$D$639,$D437)=0,K437*SUMIFS(K$5:K$639,$A$5:$A$639,$A437,$C$5:$C$639,$C437-1,$D$5:$D$639,$D437)&lt;0),"n.s.",ABS(K437)/ABS(SUMIFS(K$5:K$639,$A$5:$A$639,$A437,$C$5:$C$639,$C437-1,$D$5:$D$639,$D437))-1)))</f>
        <v/>
      </c>
      <c r="T437" s="16">
        <f>IF(OR($A437="",L437="",$C437=""),"",IF(COUNTIFS($A$5:$A$639,$A437,$C$5:$C$639,$C437-1,$D$5:$D$639,$D437,L$5:L$639,"&lt;&gt;")=0,"",IF(OR(SUMIFS(L$5:L$639,$A$5:$A$639,$A437,$C$5:$C$639,$C437-1,$D$5:$D$639,$D437)=0,L437*SUMIFS(L$5:L$639,$A$5:$A$639,$A437,$C$5:$C$639,$C437-1,$D$5:$D$639,$D437)&lt;0),"n.s.",ABS(L437)/ABS(SUMIFS(L$5:L$639,$A$5:$A$639,$A437,$C$5:$C$639,$C437-1,$D$5:$D$639,$D437))-1)))</f>
        <v/>
      </c>
      <c r="U437" s="16">
        <f>IF(OR($A437="",M437="",$C437=""),"",IF(COUNTIFS($A$5:$A$639,$A437,$C$5:$C$639,$C437-1,$D$5:$D$639,$D437,M$5:M$639,"&lt;&gt;")=0,"",IF(OR(SUMIFS(M$5:M$639,$A$5:$A$639,$A437,$C$5:$C$639,$C437-1,$D$5:$D$639,$D437)=0,M437*SUMIFS(M$5:M$639,$A$5:$A$639,$A437,$C$5:$C$639,$C437-1,$D$5:$D$639,$D437)&lt;0),"n.s.",ABS(M437)/ABS(SUMIFS(M$5:M$639,$A$5:$A$639,$A437,$C$5:$C$639,$C437-1,$D$5:$D$639,$D437))-1)))</f>
        <v/>
      </c>
    </row>
    <row r="438">
      <c r="A438" s="9" t="inlineStr">
        <is>
          <t>CIEC</t>
        </is>
      </c>
      <c r="B438" s="10">
        <f>IF(A438="","",IFERROR(VLOOKUP(A438,Titres!$A$2:$B$400,2,FALSE),"Ticker inconnu"))</f>
        <v/>
      </c>
      <c r="C438" s="11" t="n">
        <v>2021</v>
      </c>
      <c r="D438" s="11" t="inlineStr">
        <is>
          <t>S1</t>
        </is>
      </c>
      <c r="E438" s="9" t="n"/>
      <c r="F438" s="12" t="n"/>
      <c r="G438" s="9" t="n"/>
      <c r="H438" s="13" t="n"/>
      <c r="I438" s="13" t="n"/>
      <c r="J438" s="13" t="n"/>
      <c r="K438" s="13" t="n"/>
      <c r="L438" s="13" t="n"/>
      <c r="M438" s="13" t="n"/>
      <c r="N438" s="14">
        <f>IF(A438="","",COUNT(H438:M438)/6)</f>
        <v/>
      </c>
      <c r="O438" s="15">
        <f>IF(COUNT(H438:M438)=0,"",IF(LEN(IF(COUNT(I438,J438)=2,IF(J438&gt;I438+1,"EBE &gt; VA ",""),"")&amp;IF(COUNT(H438,M438)=2,IF(ABS(M438)&gt;ABS(H438),"RN &gt; CA ",""),"")&amp;IF(COUNT(H438,K438)=2,IF(ABS(K438)&gt;ABS(H438),"RE &gt; CA ",""),""))=0,"OK",IF(COUNT(I438,J438)=2,IF(J438&gt;I438+1,"EBE &gt; VA ",""),"")&amp;IF(COUNT(H438,M438)=2,IF(ABS(M438)&gt;ABS(H438),"RN &gt; CA ",""),"")&amp;IF(COUNT(H438,K438)=2,IF(ABS(K438)&gt;ABS(H438),"RE &gt; CA ",""),"")))</f>
        <v/>
      </c>
      <c r="P438" s="16">
        <f>IF(OR($A438="",H438="",$C438=""),"",IF(COUNTIFS($A$5:$A$639,$A438,$C$5:$C$639,$C438-1,$D$5:$D$639,$D438,H$5:H$639,"&lt;&gt;")=0,"",IF(OR(SUMIFS(H$5:H$639,$A$5:$A$639,$A438,$C$5:$C$639,$C438-1,$D$5:$D$639,$D438)=0,H438*SUMIFS(H$5:H$639,$A$5:$A$639,$A438,$C$5:$C$639,$C438-1,$D$5:$D$639,$D438)&lt;0),"n.s.",ABS(H438)/ABS(SUMIFS(H$5:H$639,$A$5:$A$639,$A438,$C$5:$C$639,$C438-1,$D$5:$D$639,$D438))-1)))</f>
        <v/>
      </c>
      <c r="Q438" s="16">
        <f>IF(OR($A438="",I438="",$C438=""),"",IF(COUNTIFS($A$5:$A$639,$A438,$C$5:$C$639,$C438-1,$D$5:$D$639,$D438,I$5:I$639,"&lt;&gt;")=0,"",IF(OR(SUMIFS(I$5:I$639,$A$5:$A$639,$A438,$C$5:$C$639,$C438-1,$D$5:$D$639,$D438)=0,I438*SUMIFS(I$5:I$639,$A$5:$A$639,$A438,$C$5:$C$639,$C438-1,$D$5:$D$639,$D438)&lt;0),"n.s.",ABS(I438)/ABS(SUMIFS(I$5:I$639,$A$5:$A$639,$A438,$C$5:$C$639,$C438-1,$D$5:$D$639,$D438))-1)))</f>
        <v/>
      </c>
      <c r="R438" s="16">
        <f>IF(OR($A438="",J438="",$C438=""),"",IF(COUNTIFS($A$5:$A$639,$A438,$C$5:$C$639,$C438-1,$D$5:$D$639,$D438,J$5:J$639,"&lt;&gt;")=0,"",IF(OR(SUMIFS(J$5:J$639,$A$5:$A$639,$A438,$C$5:$C$639,$C438-1,$D$5:$D$639,$D438)=0,J438*SUMIFS(J$5:J$639,$A$5:$A$639,$A438,$C$5:$C$639,$C438-1,$D$5:$D$639,$D438)&lt;0),"n.s.",ABS(J438)/ABS(SUMIFS(J$5:J$639,$A$5:$A$639,$A438,$C$5:$C$639,$C438-1,$D$5:$D$639,$D438))-1)))</f>
        <v/>
      </c>
      <c r="S438" s="16">
        <f>IF(OR($A438="",K438="",$C438=""),"",IF(COUNTIFS($A$5:$A$639,$A438,$C$5:$C$639,$C438-1,$D$5:$D$639,$D438,K$5:K$639,"&lt;&gt;")=0,"",IF(OR(SUMIFS(K$5:K$639,$A$5:$A$639,$A438,$C$5:$C$639,$C438-1,$D$5:$D$639,$D438)=0,K438*SUMIFS(K$5:K$639,$A$5:$A$639,$A438,$C$5:$C$639,$C438-1,$D$5:$D$639,$D438)&lt;0),"n.s.",ABS(K438)/ABS(SUMIFS(K$5:K$639,$A$5:$A$639,$A438,$C$5:$C$639,$C438-1,$D$5:$D$639,$D438))-1)))</f>
        <v/>
      </c>
      <c r="T438" s="16">
        <f>IF(OR($A438="",L438="",$C438=""),"",IF(COUNTIFS($A$5:$A$639,$A438,$C$5:$C$639,$C438-1,$D$5:$D$639,$D438,L$5:L$639,"&lt;&gt;")=0,"",IF(OR(SUMIFS(L$5:L$639,$A$5:$A$639,$A438,$C$5:$C$639,$C438-1,$D$5:$D$639,$D438)=0,L438*SUMIFS(L$5:L$639,$A$5:$A$639,$A438,$C$5:$C$639,$C438-1,$D$5:$D$639,$D438)&lt;0),"n.s.",ABS(L438)/ABS(SUMIFS(L$5:L$639,$A$5:$A$639,$A438,$C$5:$C$639,$C438-1,$D$5:$D$639,$D438))-1)))</f>
        <v/>
      </c>
      <c r="U438" s="16">
        <f>IF(OR($A438="",M438="",$C438=""),"",IF(COUNTIFS($A$5:$A$639,$A438,$C$5:$C$639,$C438-1,$D$5:$D$639,$D438,M$5:M$639,"&lt;&gt;")=0,"",IF(OR(SUMIFS(M$5:M$639,$A$5:$A$639,$A438,$C$5:$C$639,$C438-1,$D$5:$D$639,$D438)=0,M438*SUMIFS(M$5:M$639,$A$5:$A$639,$A438,$C$5:$C$639,$C438-1,$D$5:$D$639,$D438)&lt;0),"n.s.",ABS(M438)/ABS(SUMIFS(M$5:M$639,$A$5:$A$639,$A438,$C$5:$C$639,$C438-1,$D$5:$D$639,$D438))-1)))</f>
        <v/>
      </c>
    </row>
    <row r="439">
      <c r="A439" s="9" t="inlineStr">
        <is>
          <t>CIEC</t>
        </is>
      </c>
      <c r="B439" s="10">
        <f>IF(A439="","",IFERROR(VLOOKUP(A439,Titres!$A$2:$B$400,2,FALSE),"Ticker inconnu"))</f>
        <v/>
      </c>
      <c r="C439" s="11" t="n">
        <v>2021</v>
      </c>
      <c r="D439" s="11" t="inlineStr">
        <is>
          <t>T3</t>
        </is>
      </c>
      <c r="E439" s="9" t="n"/>
      <c r="F439" s="12" t="n"/>
      <c r="G439" s="9" t="n"/>
      <c r="H439" s="13" t="n"/>
      <c r="I439" s="13" t="n"/>
      <c r="J439" s="13" t="n"/>
      <c r="K439" s="13" t="n"/>
      <c r="L439" s="13" t="n"/>
      <c r="M439" s="13" t="n"/>
      <c r="N439" s="14">
        <f>IF(A439="","",COUNT(H439:M439)/6)</f>
        <v/>
      </c>
      <c r="O439" s="15">
        <f>IF(COUNT(H439:M439)=0,"",IF(LEN(IF(COUNT(I439,J439)=2,IF(J439&gt;I439+1,"EBE &gt; VA ",""),"")&amp;IF(COUNT(H439,M439)=2,IF(ABS(M439)&gt;ABS(H439),"RN &gt; CA ",""),"")&amp;IF(COUNT(H439,K439)=2,IF(ABS(K439)&gt;ABS(H439),"RE &gt; CA ",""),""))=0,"OK",IF(COUNT(I439,J439)=2,IF(J439&gt;I439+1,"EBE &gt; VA ",""),"")&amp;IF(COUNT(H439,M439)=2,IF(ABS(M439)&gt;ABS(H439),"RN &gt; CA ",""),"")&amp;IF(COUNT(H439,K439)=2,IF(ABS(K439)&gt;ABS(H439),"RE &gt; CA ",""),"")))</f>
        <v/>
      </c>
      <c r="P439" s="16">
        <f>IF(OR($A439="",H439="",$C439=""),"",IF(COUNTIFS($A$5:$A$639,$A439,$C$5:$C$639,$C439-1,$D$5:$D$639,$D439,H$5:H$639,"&lt;&gt;")=0,"",IF(OR(SUMIFS(H$5:H$639,$A$5:$A$639,$A439,$C$5:$C$639,$C439-1,$D$5:$D$639,$D439)=0,H439*SUMIFS(H$5:H$639,$A$5:$A$639,$A439,$C$5:$C$639,$C439-1,$D$5:$D$639,$D439)&lt;0),"n.s.",ABS(H439)/ABS(SUMIFS(H$5:H$639,$A$5:$A$639,$A439,$C$5:$C$639,$C439-1,$D$5:$D$639,$D439))-1)))</f>
        <v/>
      </c>
      <c r="Q439" s="16">
        <f>IF(OR($A439="",I439="",$C439=""),"",IF(COUNTIFS($A$5:$A$639,$A439,$C$5:$C$639,$C439-1,$D$5:$D$639,$D439,I$5:I$639,"&lt;&gt;")=0,"",IF(OR(SUMIFS(I$5:I$639,$A$5:$A$639,$A439,$C$5:$C$639,$C439-1,$D$5:$D$639,$D439)=0,I439*SUMIFS(I$5:I$639,$A$5:$A$639,$A439,$C$5:$C$639,$C439-1,$D$5:$D$639,$D439)&lt;0),"n.s.",ABS(I439)/ABS(SUMIFS(I$5:I$639,$A$5:$A$639,$A439,$C$5:$C$639,$C439-1,$D$5:$D$639,$D439))-1)))</f>
        <v/>
      </c>
      <c r="R439" s="16">
        <f>IF(OR($A439="",J439="",$C439=""),"",IF(COUNTIFS($A$5:$A$639,$A439,$C$5:$C$639,$C439-1,$D$5:$D$639,$D439,J$5:J$639,"&lt;&gt;")=0,"",IF(OR(SUMIFS(J$5:J$639,$A$5:$A$639,$A439,$C$5:$C$639,$C439-1,$D$5:$D$639,$D439)=0,J439*SUMIFS(J$5:J$639,$A$5:$A$639,$A439,$C$5:$C$639,$C439-1,$D$5:$D$639,$D439)&lt;0),"n.s.",ABS(J439)/ABS(SUMIFS(J$5:J$639,$A$5:$A$639,$A439,$C$5:$C$639,$C439-1,$D$5:$D$639,$D439))-1)))</f>
        <v/>
      </c>
      <c r="S439" s="16">
        <f>IF(OR($A439="",K439="",$C439=""),"",IF(COUNTIFS($A$5:$A$639,$A439,$C$5:$C$639,$C439-1,$D$5:$D$639,$D439,K$5:K$639,"&lt;&gt;")=0,"",IF(OR(SUMIFS(K$5:K$639,$A$5:$A$639,$A439,$C$5:$C$639,$C439-1,$D$5:$D$639,$D439)=0,K439*SUMIFS(K$5:K$639,$A$5:$A$639,$A439,$C$5:$C$639,$C439-1,$D$5:$D$639,$D439)&lt;0),"n.s.",ABS(K439)/ABS(SUMIFS(K$5:K$639,$A$5:$A$639,$A439,$C$5:$C$639,$C439-1,$D$5:$D$639,$D439))-1)))</f>
        <v/>
      </c>
      <c r="T439" s="16">
        <f>IF(OR($A439="",L439="",$C439=""),"",IF(COUNTIFS($A$5:$A$639,$A439,$C$5:$C$639,$C439-1,$D$5:$D$639,$D439,L$5:L$639,"&lt;&gt;")=0,"",IF(OR(SUMIFS(L$5:L$639,$A$5:$A$639,$A439,$C$5:$C$639,$C439-1,$D$5:$D$639,$D439)=0,L439*SUMIFS(L$5:L$639,$A$5:$A$639,$A439,$C$5:$C$639,$C439-1,$D$5:$D$639,$D439)&lt;0),"n.s.",ABS(L439)/ABS(SUMIFS(L$5:L$639,$A$5:$A$639,$A439,$C$5:$C$639,$C439-1,$D$5:$D$639,$D439))-1)))</f>
        <v/>
      </c>
      <c r="U439" s="16">
        <f>IF(OR($A439="",M439="",$C439=""),"",IF(COUNTIFS($A$5:$A$639,$A439,$C$5:$C$639,$C439-1,$D$5:$D$639,$D439,M$5:M$639,"&lt;&gt;")=0,"",IF(OR(SUMIFS(M$5:M$639,$A$5:$A$639,$A439,$C$5:$C$639,$C439-1,$D$5:$D$639,$D439)=0,M439*SUMIFS(M$5:M$639,$A$5:$A$639,$A439,$C$5:$C$639,$C439-1,$D$5:$D$639,$D439)&lt;0),"n.s.",ABS(M439)/ABS(SUMIFS(M$5:M$639,$A$5:$A$639,$A439,$C$5:$C$639,$C439-1,$D$5:$D$639,$D439))-1)))</f>
        <v/>
      </c>
    </row>
    <row r="440">
      <c r="A440" s="9" t="inlineStr">
        <is>
          <t>CIEC</t>
        </is>
      </c>
      <c r="B440" s="10">
        <f>IF(A440="","",IFERROR(VLOOKUP(A440,Titres!$A$2:$B$400,2,FALSE),"Ticker inconnu"))</f>
        <v/>
      </c>
      <c r="C440" s="11" t="n">
        <v>2022</v>
      </c>
      <c r="D440" s="11" t="inlineStr">
        <is>
          <t>T1</t>
        </is>
      </c>
      <c r="E440" s="9" t="n"/>
      <c r="F440" s="12" t="n"/>
      <c r="G440" s="9" t="n"/>
      <c r="H440" s="13" t="n"/>
      <c r="I440" s="13" t="n"/>
      <c r="J440" s="13" t="n"/>
      <c r="K440" s="13" t="n"/>
      <c r="L440" s="13" t="n"/>
      <c r="M440" s="13" t="n"/>
      <c r="N440" s="14">
        <f>IF(A440="","",COUNT(H440:M440)/6)</f>
        <v/>
      </c>
      <c r="O440" s="15">
        <f>IF(COUNT(H440:M440)=0,"",IF(LEN(IF(COUNT(I440,J440)=2,IF(J440&gt;I440+1,"EBE &gt; VA ",""),"")&amp;IF(COUNT(H440,M440)=2,IF(ABS(M440)&gt;ABS(H440),"RN &gt; CA ",""),"")&amp;IF(COUNT(H440,K440)=2,IF(ABS(K440)&gt;ABS(H440),"RE &gt; CA ",""),""))=0,"OK",IF(COUNT(I440,J440)=2,IF(J440&gt;I440+1,"EBE &gt; VA ",""),"")&amp;IF(COUNT(H440,M440)=2,IF(ABS(M440)&gt;ABS(H440),"RN &gt; CA ",""),"")&amp;IF(COUNT(H440,K440)=2,IF(ABS(K440)&gt;ABS(H440),"RE &gt; CA ",""),"")))</f>
        <v/>
      </c>
      <c r="P440" s="16">
        <f>IF(OR($A440="",H440="",$C440=""),"",IF(COUNTIFS($A$5:$A$639,$A440,$C$5:$C$639,$C440-1,$D$5:$D$639,$D440,H$5:H$639,"&lt;&gt;")=0,"",IF(OR(SUMIFS(H$5:H$639,$A$5:$A$639,$A440,$C$5:$C$639,$C440-1,$D$5:$D$639,$D440)=0,H440*SUMIFS(H$5:H$639,$A$5:$A$639,$A440,$C$5:$C$639,$C440-1,$D$5:$D$639,$D440)&lt;0),"n.s.",ABS(H440)/ABS(SUMIFS(H$5:H$639,$A$5:$A$639,$A440,$C$5:$C$639,$C440-1,$D$5:$D$639,$D440))-1)))</f>
        <v/>
      </c>
      <c r="Q440" s="16">
        <f>IF(OR($A440="",I440="",$C440=""),"",IF(COUNTIFS($A$5:$A$639,$A440,$C$5:$C$639,$C440-1,$D$5:$D$639,$D440,I$5:I$639,"&lt;&gt;")=0,"",IF(OR(SUMIFS(I$5:I$639,$A$5:$A$639,$A440,$C$5:$C$639,$C440-1,$D$5:$D$639,$D440)=0,I440*SUMIFS(I$5:I$639,$A$5:$A$639,$A440,$C$5:$C$639,$C440-1,$D$5:$D$639,$D440)&lt;0),"n.s.",ABS(I440)/ABS(SUMIFS(I$5:I$639,$A$5:$A$639,$A440,$C$5:$C$639,$C440-1,$D$5:$D$639,$D440))-1)))</f>
        <v/>
      </c>
      <c r="R440" s="16">
        <f>IF(OR($A440="",J440="",$C440=""),"",IF(COUNTIFS($A$5:$A$639,$A440,$C$5:$C$639,$C440-1,$D$5:$D$639,$D440,J$5:J$639,"&lt;&gt;")=0,"",IF(OR(SUMIFS(J$5:J$639,$A$5:$A$639,$A440,$C$5:$C$639,$C440-1,$D$5:$D$639,$D440)=0,J440*SUMIFS(J$5:J$639,$A$5:$A$639,$A440,$C$5:$C$639,$C440-1,$D$5:$D$639,$D440)&lt;0),"n.s.",ABS(J440)/ABS(SUMIFS(J$5:J$639,$A$5:$A$639,$A440,$C$5:$C$639,$C440-1,$D$5:$D$639,$D440))-1)))</f>
        <v/>
      </c>
      <c r="S440" s="16">
        <f>IF(OR($A440="",K440="",$C440=""),"",IF(COUNTIFS($A$5:$A$639,$A440,$C$5:$C$639,$C440-1,$D$5:$D$639,$D440,K$5:K$639,"&lt;&gt;")=0,"",IF(OR(SUMIFS(K$5:K$639,$A$5:$A$639,$A440,$C$5:$C$639,$C440-1,$D$5:$D$639,$D440)=0,K440*SUMIFS(K$5:K$639,$A$5:$A$639,$A440,$C$5:$C$639,$C440-1,$D$5:$D$639,$D440)&lt;0),"n.s.",ABS(K440)/ABS(SUMIFS(K$5:K$639,$A$5:$A$639,$A440,$C$5:$C$639,$C440-1,$D$5:$D$639,$D440))-1)))</f>
        <v/>
      </c>
      <c r="T440" s="16">
        <f>IF(OR($A440="",L440="",$C440=""),"",IF(COUNTIFS($A$5:$A$639,$A440,$C$5:$C$639,$C440-1,$D$5:$D$639,$D440,L$5:L$639,"&lt;&gt;")=0,"",IF(OR(SUMIFS(L$5:L$639,$A$5:$A$639,$A440,$C$5:$C$639,$C440-1,$D$5:$D$639,$D440)=0,L440*SUMIFS(L$5:L$639,$A$5:$A$639,$A440,$C$5:$C$639,$C440-1,$D$5:$D$639,$D440)&lt;0),"n.s.",ABS(L440)/ABS(SUMIFS(L$5:L$639,$A$5:$A$639,$A440,$C$5:$C$639,$C440-1,$D$5:$D$639,$D440))-1)))</f>
        <v/>
      </c>
      <c r="U440" s="16">
        <f>IF(OR($A440="",M440="",$C440=""),"",IF(COUNTIFS($A$5:$A$639,$A440,$C$5:$C$639,$C440-1,$D$5:$D$639,$D440,M$5:M$639,"&lt;&gt;")=0,"",IF(OR(SUMIFS(M$5:M$639,$A$5:$A$639,$A440,$C$5:$C$639,$C440-1,$D$5:$D$639,$D440)=0,M440*SUMIFS(M$5:M$639,$A$5:$A$639,$A440,$C$5:$C$639,$C440-1,$D$5:$D$639,$D440)&lt;0),"n.s.",ABS(M440)/ABS(SUMIFS(M$5:M$639,$A$5:$A$639,$A440,$C$5:$C$639,$C440-1,$D$5:$D$639,$D440))-1)))</f>
        <v/>
      </c>
    </row>
    <row r="441">
      <c r="A441" s="9" t="inlineStr">
        <is>
          <t>CIEC</t>
        </is>
      </c>
      <c r="B441" s="10">
        <f>IF(A441="","",IFERROR(VLOOKUP(A441,Titres!$A$2:$B$400,2,FALSE),"Ticker inconnu"))</f>
        <v/>
      </c>
      <c r="C441" s="11" t="n">
        <v>2022</v>
      </c>
      <c r="D441" s="11" t="inlineStr">
        <is>
          <t>S1</t>
        </is>
      </c>
      <c r="E441" s="9" t="n"/>
      <c r="F441" s="12" t="n"/>
      <c r="G441" s="9" t="n"/>
      <c r="H441" s="13" t="n"/>
      <c r="I441" s="13" t="n"/>
      <c r="J441" s="13" t="n"/>
      <c r="K441" s="13" t="n"/>
      <c r="L441" s="13" t="n"/>
      <c r="M441" s="13" t="n"/>
      <c r="N441" s="14">
        <f>IF(A441="","",COUNT(H441:M441)/6)</f>
        <v/>
      </c>
      <c r="O441" s="15">
        <f>IF(COUNT(H441:M441)=0,"",IF(LEN(IF(COUNT(I441,J441)=2,IF(J441&gt;I441+1,"EBE &gt; VA ",""),"")&amp;IF(COUNT(H441,M441)=2,IF(ABS(M441)&gt;ABS(H441),"RN &gt; CA ",""),"")&amp;IF(COUNT(H441,K441)=2,IF(ABS(K441)&gt;ABS(H441),"RE &gt; CA ",""),""))=0,"OK",IF(COUNT(I441,J441)=2,IF(J441&gt;I441+1,"EBE &gt; VA ",""),"")&amp;IF(COUNT(H441,M441)=2,IF(ABS(M441)&gt;ABS(H441),"RN &gt; CA ",""),"")&amp;IF(COUNT(H441,K441)=2,IF(ABS(K441)&gt;ABS(H441),"RE &gt; CA ",""),"")))</f>
        <v/>
      </c>
      <c r="P441" s="16">
        <f>IF(OR($A441="",H441="",$C441=""),"",IF(COUNTIFS($A$5:$A$639,$A441,$C$5:$C$639,$C441-1,$D$5:$D$639,$D441,H$5:H$639,"&lt;&gt;")=0,"",IF(OR(SUMIFS(H$5:H$639,$A$5:$A$639,$A441,$C$5:$C$639,$C441-1,$D$5:$D$639,$D441)=0,H441*SUMIFS(H$5:H$639,$A$5:$A$639,$A441,$C$5:$C$639,$C441-1,$D$5:$D$639,$D441)&lt;0),"n.s.",ABS(H441)/ABS(SUMIFS(H$5:H$639,$A$5:$A$639,$A441,$C$5:$C$639,$C441-1,$D$5:$D$639,$D441))-1)))</f>
        <v/>
      </c>
      <c r="Q441" s="16">
        <f>IF(OR($A441="",I441="",$C441=""),"",IF(COUNTIFS($A$5:$A$639,$A441,$C$5:$C$639,$C441-1,$D$5:$D$639,$D441,I$5:I$639,"&lt;&gt;")=0,"",IF(OR(SUMIFS(I$5:I$639,$A$5:$A$639,$A441,$C$5:$C$639,$C441-1,$D$5:$D$639,$D441)=0,I441*SUMIFS(I$5:I$639,$A$5:$A$639,$A441,$C$5:$C$639,$C441-1,$D$5:$D$639,$D441)&lt;0),"n.s.",ABS(I441)/ABS(SUMIFS(I$5:I$639,$A$5:$A$639,$A441,$C$5:$C$639,$C441-1,$D$5:$D$639,$D441))-1)))</f>
        <v/>
      </c>
      <c r="R441" s="16">
        <f>IF(OR($A441="",J441="",$C441=""),"",IF(COUNTIFS($A$5:$A$639,$A441,$C$5:$C$639,$C441-1,$D$5:$D$639,$D441,J$5:J$639,"&lt;&gt;")=0,"",IF(OR(SUMIFS(J$5:J$639,$A$5:$A$639,$A441,$C$5:$C$639,$C441-1,$D$5:$D$639,$D441)=0,J441*SUMIFS(J$5:J$639,$A$5:$A$639,$A441,$C$5:$C$639,$C441-1,$D$5:$D$639,$D441)&lt;0),"n.s.",ABS(J441)/ABS(SUMIFS(J$5:J$639,$A$5:$A$639,$A441,$C$5:$C$639,$C441-1,$D$5:$D$639,$D441))-1)))</f>
        <v/>
      </c>
      <c r="S441" s="16">
        <f>IF(OR($A441="",K441="",$C441=""),"",IF(COUNTIFS($A$5:$A$639,$A441,$C$5:$C$639,$C441-1,$D$5:$D$639,$D441,K$5:K$639,"&lt;&gt;")=0,"",IF(OR(SUMIFS(K$5:K$639,$A$5:$A$639,$A441,$C$5:$C$639,$C441-1,$D$5:$D$639,$D441)=0,K441*SUMIFS(K$5:K$639,$A$5:$A$639,$A441,$C$5:$C$639,$C441-1,$D$5:$D$639,$D441)&lt;0),"n.s.",ABS(K441)/ABS(SUMIFS(K$5:K$639,$A$5:$A$639,$A441,$C$5:$C$639,$C441-1,$D$5:$D$639,$D441))-1)))</f>
        <v/>
      </c>
      <c r="T441" s="16">
        <f>IF(OR($A441="",L441="",$C441=""),"",IF(COUNTIFS($A$5:$A$639,$A441,$C$5:$C$639,$C441-1,$D$5:$D$639,$D441,L$5:L$639,"&lt;&gt;")=0,"",IF(OR(SUMIFS(L$5:L$639,$A$5:$A$639,$A441,$C$5:$C$639,$C441-1,$D$5:$D$639,$D441)=0,L441*SUMIFS(L$5:L$639,$A$5:$A$639,$A441,$C$5:$C$639,$C441-1,$D$5:$D$639,$D441)&lt;0),"n.s.",ABS(L441)/ABS(SUMIFS(L$5:L$639,$A$5:$A$639,$A441,$C$5:$C$639,$C441-1,$D$5:$D$639,$D441))-1)))</f>
        <v/>
      </c>
      <c r="U441" s="16">
        <f>IF(OR($A441="",M441="",$C441=""),"",IF(COUNTIFS($A$5:$A$639,$A441,$C$5:$C$639,$C441-1,$D$5:$D$639,$D441,M$5:M$639,"&lt;&gt;")=0,"",IF(OR(SUMIFS(M$5:M$639,$A$5:$A$639,$A441,$C$5:$C$639,$C441-1,$D$5:$D$639,$D441)=0,M441*SUMIFS(M$5:M$639,$A$5:$A$639,$A441,$C$5:$C$639,$C441-1,$D$5:$D$639,$D441)&lt;0),"n.s.",ABS(M441)/ABS(SUMIFS(M$5:M$639,$A$5:$A$639,$A441,$C$5:$C$639,$C441-1,$D$5:$D$639,$D441))-1)))</f>
        <v/>
      </c>
    </row>
    <row r="442">
      <c r="A442" s="9" t="inlineStr">
        <is>
          <t>CIEC</t>
        </is>
      </c>
      <c r="B442" s="10">
        <f>IF(A442="","",IFERROR(VLOOKUP(A442,Titres!$A$2:$B$400,2,FALSE),"Ticker inconnu"))</f>
        <v/>
      </c>
      <c r="C442" s="11" t="n">
        <v>2022</v>
      </c>
      <c r="D442" s="11" t="inlineStr">
        <is>
          <t>T3</t>
        </is>
      </c>
      <c r="E442" s="9" t="n"/>
      <c r="F442" s="12" t="n"/>
      <c r="G442" s="9" t="n"/>
      <c r="H442" s="13" t="n"/>
      <c r="I442" s="13" t="n"/>
      <c r="J442" s="13" t="n"/>
      <c r="K442" s="13" t="n"/>
      <c r="L442" s="13" t="n"/>
      <c r="M442" s="13" t="n"/>
      <c r="N442" s="14">
        <f>IF(A442="","",COUNT(H442:M442)/6)</f>
        <v/>
      </c>
      <c r="O442" s="15">
        <f>IF(COUNT(H442:M442)=0,"",IF(LEN(IF(COUNT(I442,J442)=2,IF(J442&gt;I442+1,"EBE &gt; VA ",""),"")&amp;IF(COUNT(H442,M442)=2,IF(ABS(M442)&gt;ABS(H442),"RN &gt; CA ",""),"")&amp;IF(COUNT(H442,K442)=2,IF(ABS(K442)&gt;ABS(H442),"RE &gt; CA ",""),""))=0,"OK",IF(COUNT(I442,J442)=2,IF(J442&gt;I442+1,"EBE &gt; VA ",""),"")&amp;IF(COUNT(H442,M442)=2,IF(ABS(M442)&gt;ABS(H442),"RN &gt; CA ",""),"")&amp;IF(COUNT(H442,K442)=2,IF(ABS(K442)&gt;ABS(H442),"RE &gt; CA ",""),"")))</f>
        <v/>
      </c>
      <c r="P442" s="16">
        <f>IF(OR($A442="",H442="",$C442=""),"",IF(COUNTIFS($A$5:$A$639,$A442,$C$5:$C$639,$C442-1,$D$5:$D$639,$D442,H$5:H$639,"&lt;&gt;")=0,"",IF(OR(SUMIFS(H$5:H$639,$A$5:$A$639,$A442,$C$5:$C$639,$C442-1,$D$5:$D$639,$D442)=0,H442*SUMIFS(H$5:H$639,$A$5:$A$639,$A442,$C$5:$C$639,$C442-1,$D$5:$D$639,$D442)&lt;0),"n.s.",ABS(H442)/ABS(SUMIFS(H$5:H$639,$A$5:$A$639,$A442,$C$5:$C$639,$C442-1,$D$5:$D$639,$D442))-1)))</f>
        <v/>
      </c>
      <c r="Q442" s="16">
        <f>IF(OR($A442="",I442="",$C442=""),"",IF(COUNTIFS($A$5:$A$639,$A442,$C$5:$C$639,$C442-1,$D$5:$D$639,$D442,I$5:I$639,"&lt;&gt;")=0,"",IF(OR(SUMIFS(I$5:I$639,$A$5:$A$639,$A442,$C$5:$C$639,$C442-1,$D$5:$D$639,$D442)=0,I442*SUMIFS(I$5:I$639,$A$5:$A$639,$A442,$C$5:$C$639,$C442-1,$D$5:$D$639,$D442)&lt;0),"n.s.",ABS(I442)/ABS(SUMIFS(I$5:I$639,$A$5:$A$639,$A442,$C$5:$C$639,$C442-1,$D$5:$D$639,$D442))-1)))</f>
        <v/>
      </c>
      <c r="R442" s="16">
        <f>IF(OR($A442="",J442="",$C442=""),"",IF(COUNTIFS($A$5:$A$639,$A442,$C$5:$C$639,$C442-1,$D$5:$D$639,$D442,J$5:J$639,"&lt;&gt;")=0,"",IF(OR(SUMIFS(J$5:J$639,$A$5:$A$639,$A442,$C$5:$C$639,$C442-1,$D$5:$D$639,$D442)=0,J442*SUMIFS(J$5:J$639,$A$5:$A$639,$A442,$C$5:$C$639,$C442-1,$D$5:$D$639,$D442)&lt;0),"n.s.",ABS(J442)/ABS(SUMIFS(J$5:J$639,$A$5:$A$639,$A442,$C$5:$C$639,$C442-1,$D$5:$D$639,$D442))-1)))</f>
        <v/>
      </c>
      <c r="S442" s="16">
        <f>IF(OR($A442="",K442="",$C442=""),"",IF(COUNTIFS($A$5:$A$639,$A442,$C$5:$C$639,$C442-1,$D$5:$D$639,$D442,K$5:K$639,"&lt;&gt;")=0,"",IF(OR(SUMIFS(K$5:K$639,$A$5:$A$639,$A442,$C$5:$C$639,$C442-1,$D$5:$D$639,$D442)=0,K442*SUMIFS(K$5:K$639,$A$5:$A$639,$A442,$C$5:$C$639,$C442-1,$D$5:$D$639,$D442)&lt;0),"n.s.",ABS(K442)/ABS(SUMIFS(K$5:K$639,$A$5:$A$639,$A442,$C$5:$C$639,$C442-1,$D$5:$D$639,$D442))-1)))</f>
        <v/>
      </c>
      <c r="T442" s="16">
        <f>IF(OR($A442="",L442="",$C442=""),"",IF(COUNTIFS($A$5:$A$639,$A442,$C$5:$C$639,$C442-1,$D$5:$D$639,$D442,L$5:L$639,"&lt;&gt;")=0,"",IF(OR(SUMIFS(L$5:L$639,$A$5:$A$639,$A442,$C$5:$C$639,$C442-1,$D$5:$D$639,$D442)=0,L442*SUMIFS(L$5:L$639,$A$5:$A$639,$A442,$C$5:$C$639,$C442-1,$D$5:$D$639,$D442)&lt;0),"n.s.",ABS(L442)/ABS(SUMIFS(L$5:L$639,$A$5:$A$639,$A442,$C$5:$C$639,$C442-1,$D$5:$D$639,$D442))-1)))</f>
        <v/>
      </c>
      <c r="U442" s="16">
        <f>IF(OR($A442="",M442="",$C442=""),"",IF(COUNTIFS($A$5:$A$639,$A442,$C$5:$C$639,$C442-1,$D$5:$D$639,$D442,M$5:M$639,"&lt;&gt;")=0,"",IF(OR(SUMIFS(M$5:M$639,$A$5:$A$639,$A442,$C$5:$C$639,$C442-1,$D$5:$D$639,$D442)=0,M442*SUMIFS(M$5:M$639,$A$5:$A$639,$A442,$C$5:$C$639,$C442-1,$D$5:$D$639,$D442)&lt;0),"n.s.",ABS(M442)/ABS(SUMIFS(M$5:M$639,$A$5:$A$639,$A442,$C$5:$C$639,$C442-1,$D$5:$D$639,$D442))-1)))</f>
        <v/>
      </c>
    </row>
    <row r="443">
      <c r="A443" s="9" t="inlineStr">
        <is>
          <t>CIEC</t>
        </is>
      </c>
      <c r="B443" s="10">
        <f>IF(A443="","",IFERROR(VLOOKUP(A443,Titres!$A$2:$B$400,2,FALSE),"Ticker inconnu"))</f>
        <v/>
      </c>
      <c r="C443" s="11" t="n">
        <v>2023</v>
      </c>
      <c r="D443" s="11" t="inlineStr">
        <is>
          <t>T1</t>
        </is>
      </c>
      <c r="E443" s="9" t="n"/>
      <c r="F443" s="12" t="n"/>
      <c r="G443" s="9" t="n"/>
      <c r="H443" s="13" t="n"/>
      <c r="I443" s="13" t="n"/>
      <c r="J443" s="13" t="n"/>
      <c r="K443" s="13" t="n"/>
      <c r="L443" s="13" t="n"/>
      <c r="M443" s="13" t="n"/>
      <c r="N443" s="14">
        <f>IF(A443="","",COUNT(H443:M443)/6)</f>
        <v/>
      </c>
      <c r="O443" s="15">
        <f>IF(COUNT(H443:M443)=0,"",IF(LEN(IF(COUNT(I443,J443)=2,IF(J443&gt;I443+1,"EBE &gt; VA ",""),"")&amp;IF(COUNT(H443,M443)=2,IF(ABS(M443)&gt;ABS(H443),"RN &gt; CA ",""),"")&amp;IF(COUNT(H443,K443)=2,IF(ABS(K443)&gt;ABS(H443),"RE &gt; CA ",""),""))=0,"OK",IF(COUNT(I443,J443)=2,IF(J443&gt;I443+1,"EBE &gt; VA ",""),"")&amp;IF(COUNT(H443,M443)=2,IF(ABS(M443)&gt;ABS(H443),"RN &gt; CA ",""),"")&amp;IF(COUNT(H443,K443)=2,IF(ABS(K443)&gt;ABS(H443),"RE &gt; CA ",""),"")))</f>
        <v/>
      </c>
      <c r="P443" s="16">
        <f>IF(OR($A443="",H443="",$C443=""),"",IF(COUNTIFS($A$5:$A$639,$A443,$C$5:$C$639,$C443-1,$D$5:$D$639,$D443,H$5:H$639,"&lt;&gt;")=0,"",IF(OR(SUMIFS(H$5:H$639,$A$5:$A$639,$A443,$C$5:$C$639,$C443-1,$D$5:$D$639,$D443)=0,H443*SUMIFS(H$5:H$639,$A$5:$A$639,$A443,$C$5:$C$639,$C443-1,$D$5:$D$639,$D443)&lt;0),"n.s.",ABS(H443)/ABS(SUMIFS(H$5:H$639,$A$5:$A$639,$A443,$C$5:$C$639,$C443-1,$D$5:$D$639,$D443))-1)))</f>
        <v/>
      </c>
      <c r="Q443" s="16">
        <f>IF(OR($A443="",I443="",$C443=""),"",IF(COUNTIFS($A$5:$A$639,$A443,$C$5:$C$639,$C443-1,$D$5:$D$639,$D443,I$5:I$639,"&lt;&gt;")=0,"",IF(OR(SUMIFS(I$5:I$639,$A$5:$A$639,$A443,$C$5:$C$639,$C443-1,$D$5:$D$639,$D443)=0,I443*SUMIFS(I$5:I$639,$A$5:$A$639,$A443,$C$5:$C$639,$C443-1,$D$5:$D$639,$D443)&lt;0),"n.s.",ABS(I443)/ABS(SUMIFS(I$5:I$639,$A$5:$A$639,$A443,$C$5:$C$639,$C443-1,$D$5:$D$639,$D443))-1)))</f>
        <v/>
      </c>
      <c r="R443" s="16">
        <f>IF(OR($A443="",J443="",$C443=""),"",IF(COUNTIFS($A$5:$A$639,$A443,$C$5:$C$639,$C443-1,$D$5:$D$639,$D443,J$5:J$639,"&lt;&gt;")=0,"",IF(OR(SUMIFS(J$5:J$639,$A$5:$A$639,$A443,$C$5:$C$639,$C443-1,$D$5:$D$639,$D443)=0,J443*SUMIFS(J$5:J$639,$A$5:$A$639,$A443,$C$5:$C$639,$C443-1,$D$5:$D$639,$D443)&lt;0),"n.s.",ABS(J443)/ABS(SUMIFS(J$5:J$639,$A$5:$A$639,$A443,$C$5:$C$639,$C443-1,$D$5:$D$639,$D443))-1)))</f>
        <v/>
      </c>
      <c r="S443" s="16">
        <f>IF(OR($A443="",K443="",$C443=""),"",IF(COUNTIFS($A$5:$A$639,$A443,$C$5:$C$639,$C443-1,$D$5:$D$639,$D443,K$5:K$639,"&lt;&gt;")=0,"",IF(OR(SUMIFS(K$5:K$639,$A$5:$A$639,$A443,$C$5:$C$639,$C443-1,$D$5:$D$639,$D443)=0,K443*SUMIFS(K$5:K$639,$A$5:$A$639,$A443,$C$5:$C$639,$C443-1,$D$5:$D$639,$D443)&lt;0),"n.s.",ABS(K443)/ABS(SUMIFS(K$5:K$639,$A$5:$A$639,$A443,$C$5:$C$639,$C443-1,$D$5:$D$639,$D443))-1)))</f>
        <v/>
      </c>
      <c r="T443" s="16">
        <f>IF(OR($A443="",L443="",$C443=""),"",IF(COUNTIFS($A$5:$A$639,$A443,$C$5:$C$639,$C443-1,$D$5:$D$639,$D443,L$5:L$639,"&lt;&gt;")=0,"",IF(OR(SUMIFS(L$5:L$639,$A$5:$A$639,$A443,$C$5:$C$639,$C443-1,$D$5:$D$639,$D443)=0,L443*SUMIFS(L$5:L$639,$A$5:$A$639,$A443,$C$5:$C$639,$C443-1,$D$5:$D$639,$D443)&lt;0),"n.s.",ABS(L443)/ABS(SUMIFS(L$5:L$639,$A$5:$A$639,$A443,$C$5:$C$639,$C443-1,$D$5:$D$639,$D443))-1)))</f>
        <v/>
      </c>
      <c r="U443" s="16">
        <f>IF(OR($A443="",M443="",$C443=""),"",IF(COUNTIFS($A$5:$A$639,$A443,$C$5:$C$639,$C443-1,$D$5:$D$639,$D443,M$5:M$639,"&lt;&gt;")=0,"",IF(OR(SUMIFS(M$5:M$639,$A$5:$A$639,$A443,$C$5:$C$639,$C443-1,$D$5:$D$639,$D443)=0,M443*SUMIFS(M$5:M$639,$A$5:$A$639,$A443,$C$5:$C$639,$C443-1,$D$5:$D$639,$D443)&lt;0),"n.s.",ABS(M443)/ABS(SUMIFS(M$5:M$639,$A$5:$A$639,$A443,$C$5:$C$639,$C443-1,$D$5:$D$639,$D443))-1)))</f>
        <v/>
      </c>
    </row>
    <row r="444">
      <c r="A444" s="9" t="inlineStr">
        <is>
          <t>CIEC</t>
        </is>
      </c>
      <c r="B444" s="10">
        <f>IF(A444="","",IFERROR(VLOOKUP(A444,Titres!$A$2:$B$400,2,FALSE),"Ticker inconnu"))</f>
        <v/>
      </c>
      <c r="C444" s="11" t="n">
        <v>2023</v>
      </c>
      <c r="D444" s="11" t="inlineStr">
        <is>
          <t>S1</t>
        </is>
      </c>
      <c r="E444" s="9" t="n"/>
      <c r="F444" s="12" t="n"/>
      <c r="G444" s="9" t="n"/>
      <c r="H444" s="13" t="n"/>
      <c r="I444" s="13" t="n"/>
      <c r="J444" s="13" t="n"/>
      <c r="K444" s="13" t="n"/>
      <c r="L444" s="13" t="n"/>
      <c r="M444" s="13" t="n"/>
      <c r="N444" s="14">
        <f>IF(A444="","",COUNT(H444:M444)/6)</f>
        <v/>
      </c>
      <c r="O444" s="15">
        <f>IF(COUNT(H444:M444)=0,"",IF(LEN(IF(COUNT(I444,J444)=2,IF(J444&gt;I444+1,"EBE &gt; VA ",""),"")&amp;IF(COUNT(H444,M444)=2,IF(ABS(M444)&gt;ABS(H444),"RN &gt; CA ",""),"")&amp;IF(COUNT(H444,K444)=2,IF(ABS(K444)&gt;ABS(H444),"RE &gt; CA ",""),""))=0,"OK",IF(COUNT(I444,J444)=2,IF(J444&gt;I444+1,"EBE &gt; VA ",""),"")&amp;IF(COUNT(H444,M444)=2,IF(ABS(M444)&gt;ABS(H444),"RN &gt; CA ",""),"")&amp;IF(COUNT(H444,K444)=2,IF(ABS(K444)&gt;ABS(H444),"RE &gt; CA ",""),"")))</f>
        <v/>
      </c>
      <c r="P444" s="16">
        <f>IF(OR($A444="",H444="",$C444=""),"",IF(COUNTIFS($A$5:$A$639,$A444,$C$5:$C$639,$C444-1,$D$5:$D$639,$D444,H$5:H$639,"&lt;&gt;")=0,"",IF(OR(SUMIFS(H$5:H$639,$A$5:$A$639,$A444,$C$5:$C$639,$C444-1,$D$5:$D$639,$D444)=0,H444*SUMIFS(H$5:H$639,$A$5:$A$639,$A444,$C$5:$C$639,$C444-1,$D$5:$D$639,$D444)&lt;0),"n.s.",ABS(H444)/ABS(SUMIFS(H$5:H$639,$A$5:$A$639,$A444,$C$5:$C$639,$C444-1,$D$5:$D$639,$D444))-1)))</f>
        <v/>
      </c>
      <c r="Q444" s="16">
        <f>IF(OR($A444="",I444="",$C444=""),"",IF(COUNTIFS($A$5:$A$639,$A444,$C$5:$C$639,$C444-1,$D$5:$D$639,$D444,I$5:I$639,"&lt;&gt;")=0,"",IF(OR(SUMIFS(I$5:I$639,$A$5:$A$639,$A444,$C$5:$C$639,$C444-1,$D$5:$D$639,$D444)=0,I444*SUMIFS(I$5:I$639,$A$5:$A$639,$A444,$C$5:$C$639,$C444-1,$D$5:$D$639,$D444)&lt;0),"n.s.",ABS(I444)/ABS(SUMIFS(I$5:I$639,$A$5:$A$639,$A444,$C$5:$C$639,$C444-1,$D$5:$D$639,$D444))-1)))</f>
        <v/>
      </c>
      <c r="R444" s="16">
        <f>IF(OR($A444="",J444="",$C444=""),"",IF(COUNTIFS($A$5:$A$639,$A444,$C$5:$C$639,$C444-1,$D$5:$D$639,$D444,J$5:J$639,"&lt;&gt;")=0,"",IF(OR(SUMIFS(J$5:J$639,$A$5:$A$639,$A444,$C$5:$C$639,$C444-1,$D$5:$D$639,$D444)=0,J444*SUMIFS(J$5:J$639,$A$5:$A$639,$A444,$C$5:$C$639,$C444-1,$D$5:$D$639,$D444)&lt;0),"n.s.",ABS(J444)/ABS(SUMIFS(J$5:J$639,$A$5:$A$639,$A444,$C$5:$C$639,$C444-1,$D$5:$D$639,$D444))-1)))</f>
        <v/>
      </c>
      <c r="S444" s="16">
        <f>IF(OR($A444="",K444="",$C444=""),"",IF(COUNTIFS($A$5:$A$639,$A444,$C$5:$C$639,$C444-1,$D$5:$D$639,$D444,K$5:K$639,"&lt;&gt;")=0,"",IF(OR(SUMIFS(K$5:K$639,$A$5:$A$639,$A444,$C$5:$C$639,$C444-1,$D$5:$D$639,$D444)=0,K444*SUMIFS(K$5:K$639,$A$5:$A$639,$A444,$C$5:$C$639,$C444-1,$D$5:$D$639,$D444)&lt;0),"n.s.",ABS(K444)/ABS(SUMIFS(K$5:K$639,$A$5:$A$639,$A444,$C$5:$C$639,$C444-1,$D$5:$D$639,$D444))-1)))</f>
        <v/>
      </c>
      <c r="T444" s="16">
        <f>IF(OR($A444="",L444="",$C444=""),"",IF(COUNTIFS($A$5:$A$639,$A444,$C$5:$C$639,$C444-1,$D$5:$D$639,$D444,L$5:L$639,"&lt;&gt;")=0,"",IF(OR(SUMIFS(L$5:L$639,$A$5:$A$639,$A444,$C$5:$C$639,$C444-1,$D$5:$D$639,$D444)=0,L444*SUMIFS(L$5:L$639,$A$5:$A$639,$A444,$C$5:$C$639,$C444-1,$D$5:$D$639,$D444)&lt;0),"n.s.",ABS(L444)/ABS(SUMIFS(L$5:L$639,$A$5:$A$639,$A444,$C$5:$C$639,$C444-1,$D$5:$D$639,$D444))-1)))</f>
        <v/>
      </c>
      <c r="U444" s="16">
        <f>IF(OR($A444="",M444="",$C444=""),"",IF(COUNTIFS($A$5:$A$639,$A444,$C$5:$C$639,$C444-1,$D$5:$D$639,$D444,M$5:M$639,"&lt;&gt;")=0,"",IF(OR(SUMIFS(M$5:M$639,$A$5:$A$639,$A444,$C$5:$C$639,$C444-1,$D$5:$D$639,$D444)=0,M444*SUMIFS(M$5:M$639,$A$5:$A$639,$A444,$C$5:$C$639,$C444-1,$D$5:$D$639,$D444)&lt;0),"n.s.",ABS(M444)/ABS(SUMIFS(M$5:M$639,$A$5:$A$639,$A444,$C$5:$C$639,$C444-1,$D$5:$D$639,$D444))-1)))</f>
        <v/>
      </c>
    </row>
    <row r="445">
      <c r="A445" s="9" t="inlineStr">
        <is>
          <t>CIEC</t>
        </is>
      </c>
      <c r="B445" s="10">
        <f>IF(A445="","",IFERROR(VLOOKUP(A445,Titres!$A$2:$B$400,2,FALSE),"Ticker inconnu"))</f>
        <v/>
      </c>
      <c r="C445" s="11" t="n">
        <v>2023</v>
      </c>
      <c r="D445" s="11" t="inlineStr">
        <is>
          <t>T3</t>
        </is>
      </c>
      <c r="E445" s="9" t="n"/>
      <c r="F445" s="12" t="n"/>
      <c r="G445" s="9" t="n"/>
      <c r="H445" s="13" t="n"/>
      <c r="I445" s="13" t="n"/>
      <c r="J445" s="13" t="n"/>
      <c r="K445" s="13" t="n"/>
      <c r="L445" s="13" t="n"/>
      <c r="M445" s="13" t="n"/>
      <c r="N445" s="14">
        <f>IF(A445="","",COUNT(H445:M445)/6)</f>
        <v/>
      </c>
      <c r="O445" s="15">
        <f>IF(COUNT(H445:M445)=0,"",IF(LEN(IF(COUNT(I445,J445)=2,IF(J445&gt;I445+1,"EBE &gt; VA ",""),"")&amp;IF(COUNT(H445,M445)=2,IF(ABS(M445)&gt;ABS(H445),"RN &gt; CA ",""),"")&amp;IF(COUNT(H445,K445)=2,IF(ABS(K445)&gt;ABS(H445),"RE &gt; CA ",""),""))=0,"OK",IF(COUNT(I445,J445)=2,IF(J445&gt;I445+1,"EBE &gt; VA ",""),"")&amp;IF(COUNT(H445,M445)=2,IF(ABS(M445)&gt;ABS(H445),"RN &gt; CA ",""),"")&amp;IF(COUNT(H445,K445)=2,IF(ABS(K445)&gt;ABS(H445),"RE &gt; CA ",""),"")))</f>
        <v/>
      </c>
      <c r="P445" s="16">
        <f>IF(OR($A445="",H445="",$C445=""),"",IF(COUNTIFS($A$5:$A$639,$A445,$C$5:$C$639,$C445-1,$D$5:$D$639,$D445,H$5:H$639,"&lt;&gt;")=0,"",IF(OR(SUMIFS(H$5:H$639,$A$5:$A$639,$A445,$C$5:$C$639,$C445-1,$D$5:$D$639,$D445)=0,H445*SUMIFS(H$5:H$639,$A$5:$A$639,$A445,$C$5:$C$639,$C445-1,$D$5:$D$639,$D445)&lt;0),"n.s.",ABS(H445)/ABS(SUMIFS(H$5:H$639,$A$5:$A$639,$A445,$C$5:$C$639,$C445-1,$D$5:$D$639,$D445))-1)))</f>
        <v/>
      </c>
      <c r="Q445" s="16">
        <f>IF(OR($A445="",I445="",$C445=""),"",IF(COUNTIFS($A$5:$A$639,$A445,$C$5:$C$639,$C445-1,$D$5:$D$639,$D445,I$5:I$639,"&lt;&gt;")=0,"",IF(OR(SUMIFS(I$5:I$639,$A$5:$A$639,$A445,$C$5:$C$639,$C445-1,$D$5:$D$639,$D445)=0,I445*SUMIFS(I$5:I$639,$A$5:$A$639,$A445,$C$5:$C$639,$C445-1,$D$5:$D$639,$D445)&lt;0),"n.s.",ABS(I445)/ABS(SUMIFS(I$5:I$639,$A$5:$A$639,$A445,$C$5:$C$639,$C445-1,$D$5:$D$639,$D445))-1)))</f>
        <v/>
      </c>
      <c r="R445" s="16">
        <f>IF(OR($A445="",J445="",$C445=""),"",IF(COUNTIFS($A$5:$A$639,$A445,$C$5:$C$639,$C445-1,$D$5:$D$639,$D445,J$5:J$639,"&lt;&gt;")=0,"",IF(OR(SUMIFS(J$5:J$639,$A$5:$A$639,$A445,$C$5:$C$639,$C445-1,$D$5:$D$639,$D445)=0,J445*SUMIFS(J$5:J$639,$A$5:$A$639,$A445,$C$5:$C$639,$C445-1,$D$5:$D$639,$D445)&lt;0),"n.s.",ABS(J445)/ABS(SUMIFS(J$5:J$639,$A$5:$A$639,$A445,$C$5:$C$639,$C445-1,$D$5:$D$639,$D445))-1)))</f>
        <v/>
      </c>
      <c r="S445" s="16">
        <f>IF(OR($A445="",K445="",$C445=""),"",IF(COUNTIFS($A$5:$A$639,$A445,$C$5:$C$639,$C445-1,$D$5:$D$639,$D445,K$5:K$639,"&lt;&gt;")=0,"",IF(OR(SUMIFS(K$5:K$639,$A$5:$A$639,$A445,$C$5:$C$639,$C445-1,$D$5:$D$639,$D445)=0,K445*SUMIFS(K$5:K$639,$A$5:$A$639,$A445,$C$5:$C$639,$C445-1,$D$5:$D$639,$D445)&lt;0),"n.s.",ABS(K445)/ABS(SUMIFS(K$5:K$639,$A$5:$A$639,$A445,$C$5:$C$639,$C445-1,$D$5:$D$639,$D445))-1)))</f>
        <v/>
      </c>
      <c r="T445" s="16">
        <f>IF(OR($A445="",L445="",$C445=""),"",IF(COUNTIFS($A$5:$A$639,$A445,$C$5:$C$639,$C445-1,$D$5:$D$639,$D445,L$5:L$639,"&lt;&gt;")=0,"",IF(OR(SUMIFS(L$5:L$639,$A$5:$A$639,$A445,$C$5:$C$639,$C445-1,$D$5:$D$639,$D445)=0,L445*SUMIFS(L$5:L$639,$A$5:$A$639,$A445,$C$5:$C$639,$C445-1,$D$5:$D$639,$D445)&lt;0),"n.s.",ABS(L445)/ABS(SUMIFS(L$5:L$639,$A$5:$A$639,$A445,$C$5:$C$639,$C445-1,$D$5:$D$639,$D445))-1)))</f>
        <v/>
      </c>
      <c r="U445" s="16">
        <f>IF(OR($A445="",M445="",$C445=""),"",IF(COUNTIFS($A$5:$A$639,$A445,$C$5:$C$639,$C445-1,$D$5:$D$639,$D445,M$5:M$639,"&lt;&gt;")=0,"",IF(OR(SUMIFS(M$5:M$639,$A$5:$A$639,$A445,$C$5:$C$639,$C445-1,$D$5:$D$639,$D445)=0,M445*SUMIFS(M$5:M$639,$A$5:$A$639,$A445,$C$5:$C$639,$C445-1,$D$5:$D$639,$D445)&lt;0),"n.s.",ABS(M445)/ABS(SUMIFS(M$5:M$639,$A$5:$A$639,$A445,$C$5:$C$639,$C445-1,$D$5:$D$639,$D445))-1)))</f>
        <v/>
      </c>
    </row>
    <row r="446">
      <c r="A446" s="9" t="inlineStr">
        <is>
          <t>CIEC</t>
        </is>
      </c>
      <c r="B446" s="10">
        <f>IF(A446="","",IFERROR(VLOOKUP(A446,Titres!$A$2:$B$400,2,FALSE),"Ticker inconnu"))</f>
        <v/>
      </c>
      <c r="C446" s="11" t="n">
        <v>2024</v>
      </c>
      <c r="D446" s="11" t="inlineStr">
        <is>
          <t>T1</t>
        </is>
      </c>
      <c r="E446" s="9" t="n"/>
      <c r="F446" s="12" t="n"/>
      <c r="G446" s="9" t="n"/>
      <c r="H446" s="13" t="n"/>
      <c r="I446" s="13" t="n"/>
      <c r="J446" s="13" t="n"/>
      <c r="K446" s="13" t="n"/>
      <c r="L446" s="13" t="n"/>
      <c r="M446" s="13" t="n"/>
      <c r="N446" s="14">
        <f>IF(A446="","",COUNT(H446:M446)/6)</f>
        <v/>
      </c>
      <c r="O446" s="15">
        <f>IF(COUNT(H446:M446)=0,"",IF(LEN(IF(COUNT(I446,J446)=2,IF(J446&gt;I446+1,"EBE &gt; VA ",""),"")&amp;IF(COUNT(H446,M446)=2,IF(ABS(M446)&gt;ABS(H446),"RN &gt; CA ",""),"")&amp;IF(COUNT(H446,K446)=2,IF(ABS(K446)&gt;ABS(H446),"RE &gt; CA ",""),""))=0,"OK",IF(COUNT(I446,J446)=2,IF(J446&gt;I446+1,"EBE &gt; VA ",""),"")&amp;IF(COUNT(H446,M446)=2,IF(ABS(M446)&gt;ABS(H446),"RN &gt; CA ",""),"")&amp;IF(COUNT(H446,K446)=2,IF(ABS(K446)&gt;ABS(H446),"RE &gt; CA ",""),"")))</f>
        <v/>
      </c>
      <c r="P446" s="16">
        <f>IF(OR($A446="",H446="",$C446=""),"",IF(COUNTIFS($A$5:$A$639,$A446,$C$5:$C$639,$C446-1,$D$5:$D$639,$D446,H$5:H$639,"&lt;&gt;")=0,"",IF(OR(SUMIFS(H$5:H$639,$A$5:$A$639,$A446,$C$5:$C$639,$C446-1,$D$5:$D$639,$D446)=0,H446*SUMIFS(H$5:H$639,$A$5:$A$639,$A446,$C$5:$C$639,$C446-1,$D$5:$D$639,$D446)&lt;0),"n.s.",ABS(H446)/ABS(SUMIFS(H$5:H$639,$A$5:$A$639,$A446,$C$5:$C$639,$C446-1,$D$5:$D$639,$D446))-1)))</f>
        <v/>
      </c>
      <c r="Q446" s="16">
        <f>IF(OR($A446="",I446="",$C446=""),"",IF(COUNTIFS($A$5:$A$639,$A446,$C$5:$C$639,$C446-1,$D$5:$D$639,$D446,I$5:I$639,"&lt;&gt;")=0,"",IF(OR(SUMIFS(I$5:I$639,$A$5:$A$639,$A446,$C$5:$C$639,$C446-1,$D$5:$D$639,$D446)=0,I446*SUMIFS(I$5:I$639,$A$5:$A$639,$A446,$C$5:$C$639,$C446-1,$D$5:$D$639,$D446)&lt;0),"n.s.",ABS(I446)/ABS(SUMIFS(I$5:I$639,$A$5:$A$639,$A446,$C$5:$C$639,$C446-1,$D$5:$D$639,$D446))-1)))</f>
        <v/>
      </c>
      <c r="R446" s="16">
        <f>IF(OR($A446="",J446="",$C446=""),"",IF(COUNTIFS($A$5:$A$639,$A446,$C$5:$C$639,$C446-1,$D$5:$D$639,$D446,J$5:J$639,"&lt;&gt;")=0,"",IF(OR(SUMIFS(J$5:J$639,$A$5:$A$639,$A446,$C$5:$C$639,$C446-1,$D$5:$D$639,$D446)=0,J446*SUMIFS(J$5:J$639,$A$5:$A$639,$A446,$C$5:$C$639,$C446-1,$D$5:$D$639,$D446)&lt;0),"n.s.",ABS(J446)/ABS(SUMIFS(J$5:J$639,$A$5:$A$639,$A446,$C$5:$C$639,$C446-1,$D$5:$D$639,$D446))-1)))</f>
        <v/>
      </c>
      <c r="S446" s="16">
        <f>IF(OR($A446="",K446="",$C446=""),"",IF(COUNTIFS($A$5:$A$639,$A446,$C$5:$C$639,$C446-1,$D$5:$D$639,$D446,K$5:K$639,"&lt;&gt;")=0,"",IF(OR(SUMIFS(K$5:K$639,$A$5:$A$639,$A446,$C$5:$C$639,$C446-1,$D$5:$D$639,$D446)=0,K446*SUMIFS(K$5:K$639,$A$5:$A$639,$A446,$C$5:$C$639,$C446-1,$D$5:$D$639,$D446)&lt;0),"n.s.",ABS(K446)/ABS(SUMIFS(K$5:K$639,$A$5:$A$639,$A446,$C$5:$C$639,$C446-1,$D$5:$D$639,$D446))-1)))</f>
        <v/>
      </c>
      <c r="T446" s="16">
        <f>IF(OR($A446="",L446="",$C446=""),"",IF(COUNTIFS($A$5:$A$639,$A446,$C$5:$C$639,$C446-1,$D$5:$D$639,$D446,L$5:L$639,"&lt;&gt;")=0,"",IF(OR(SUMIFS(L$5:L$639,$A$5:$A$639,$A446,$C$5:$C$639,$C446-1,$D$5:$D$639,$D446)=0,L446*SUMIFS(L$5:L$639,$A$5:$A$639,$A446,$C$5:$C$639,$C446-1,$D$5:$D$639,$D446)&lt;0),"n.s.",ABS(L446)/ABS(SUMIFS(L$5:L$639,$A$5:$A$639,$A446,$C$5:$C$639,$C446-1,$D$5:$D$639,$D446))-1)))</f>
        <v/>
      </c>
      <c r="U446" s="16">
        <f>IF(OR($A446="",M446="",$C446=""),"",IF(COUNTIFS($A$5:$A$639,$A446,$C$5:$C$639,$C446-1,$D$5:$D$639,$D446,M$5:M$639,"&lt;&gt;")=0,"",IF(OR(SUMIFS(M$5:M$639,$A$5:$A$639,$A446,$C$5:$C$639,$C446-1,$D$5:$D$639,$D446)=0,M446*SUMIFS(M$5:M$639,$A$5:$A$639,$A446,$C$5:$C$639,$C446-1,$D$5:$D$639,$D446)&lt;0),"n.s.",ABS(M446)/ABS(SUMIFS(M$5:M$639,$A$5:$A$639,$A446,$C$5:$C$639,$C446-1,$D$5:$D$639,$D446))-1)))</f>
        <v/>
      </c>
    </row>
    <row r="447">
      <c r="A447" s="9" t="inlineStr">
        <is>
          <t>CIEC</t>
        </is>
      </c>
      <c r="B447" s="10">
        <f>IF(A447="","",IFERROR(VLOOKUP(A447,Titres!$A$2:$B$400,2,FALSE),"Ticker inconnu"))</f>
        <v/>
      </c>
      <c r="C447" s="11" t="n">
        <v>2024</v>
      </c>
      <c r="D447" s="11" t="inlineStr">
        <is>
          <t>S1</t>
        </is>
      </c>
      <c r="E447" s="9" t="n"/>
      <c r="F447" s="12" t="n"/>
      <c r="G447" s="9" t="n"/>
      <c r="H447" s="13" t="n"/>
      <c r="I447" s="13" t="n"/>
      <c r="J447" s="13" t="n"/>
      <c r="K447" s="13" t="n"/>
      <c r="L447" s="13" t="n"/>
      <c r="M447" s="13" t="n"/>
      <c r="N447" s="14">
        <f>IF(A447="","",COUNT(H447:M447)/6)</f>
        <v/>
      </c>
      <c r="O447" s="15">
        <f>IF(COUNT(H447:M447)=0,"",IF(LEN(IF(COUNT(I447,J447)=2,IF(J447&gt;I447+1,"EBE &gt; VA ",""),"")&amp;IF(COUNT(H447,M447)=2,IF(ABS(M447)&gt;ABS(H447),"RN &gt; CA ",""),"")&amp;IF(COUNT(H447,K447)=2,IF(ABS(K447)&gt;ABS(H447),"RE &gt; CA ",""),""))=0,"OK",IF(COUNT(I447,J447)=2,IF(J447&gt;I447+1,"EBE &gt; VA ",""),"")&amp;IF(COUNT(H447,M447)=2,IF(ABS(M447)&gt;ABS(H447),"RN &gt; CA ",""),"")&amp;IF(COUNT(H447,K447)=2,IF(ABS(K447)&gt;ABS(H447),"RE &gt; CA ",""),"")))</f>
        <v/>
      </c>
      <c r="P447" s="16">
        <f>IF(OR($A447="",H447="",$C447=""),"",IF(COUNTIFS($A$5:$A$639,$A447,$C$5:$C$639,$C447-1,$D$5:$D$639,$D447,H$5:H$639,"&lt;&gt;")=0,"",IF(OR(SUMIFS(H$5:H$639,$A$5:$A$639,$A447,$C$5:$C$639,$C447-1,$D$5:$D$639,$D447)=0,H447*SUMIFS(H$5:H$639,$A$5:$A$639,$A447,$C$5:$C$639,$C447-1,$D$5:$D$639,$D447)&lt;0),"n.s.",ABS(H447)/ABS(SUMIFS(H$5:H$639,$A$5:$A$639,$A447,$C$5:$C$639,$C447-1,$D$5:$D$639,$D447))-1)))</f>
        <v/>
      </c>
      <c r="Q447" s="16">
        <f>IF(OR($A447="",I447="",$C447=""),"",IF(COUNTIFS($A$5:$A$639,$A447,$C$5:$C$639,$C447-1,$D$5:$D$639,$D447,I$5:I$639,"&lt;&gt;")=0,"",IF(OR(SUMIFS(I$5:I$639,$A$5:$A$639,$A447,$C$5:$C$639,$C447-1,$D$5:$D$639,$D447)=0,I447*SUMIFS(I$5:I$639,$A$5:$A$639,$A447,$C$5:$C$639,$C447-1,$D$5:$D$639,$D447)&lt;0),"n.s.",ABS(I447)/ABS(SUMIFS(I$5:I$639,$A$5:$A$639,$A447,$C$5:$C$639,$C447-1,$D$5:$D$639,$D447))-1)))</f>
        <v/>
      </c>
      <c r="R447" s="16">
        <f>IF(OR($A447="",J447="",$C447=""),"",IF(COUNTIFS($A$5:$A$639,$A447,$C$5:$C$639,$C447-1,$D$5:$D$639,$D447,J$5:J$639,"&lt;&gt;")=0,"",IF(OR(SUMIFS(J$5:J$639,$A$5:$A$639,$A447,$C$5:$C$639,$C447-1,$D$5:$D$639,$D447)=0,J447*SUMIFS(J$5:J$639,$A$5:$A$639,$A447,$C$5:$C$639,$C447-1,$D$5:$D$639,$D447)&lt;0),"n.s.",ABS(J447)/ABS(SUMIFS(J$5:J$639,$A$5:$A$639,$A447,$C$5:$C$639,$C447-1,$D$5:$D$639,$D447))-1)))</f>
        <v/>
      </c>
      <c r="S447" s="16">
        <f>IF(OR($A447="",K447="",$C447=""),"",IF(COUNTIFS($A$5:$A$639,$A447,$C$5:$C$639,$C447-1,$D$5:$D$639,$D447,K$5:K$639,"&lt;&gt;")=0,"",IF(OR(SUMIFS(K$5:K$639,$A$5:$A$639,$A447,$C$5:$C$639,$C447-1,$D$5:$D$639,$D447)=0,K447*SUMIFS(K$5:K$639,$A$5:$A$639,$A447,$C$5:$C$639,$C447-1,$D$5:$D$639,$D447)&lt;0),"n.s.",ABS(K447)/ABS(SUMIFS(K$5:K$639,$A$5:$A$639,$A447,$C$5:$C$639,$C447-1,$D$5:$D$639,$D447))-1)))</f>
        <v/>
      </c>
      <c r="T447" s="16">
        <f>IF(OR($A447="",L447="",$C447=""),"",IF(COUNTIFS($A$5:$A$639,$A447,$C$5:$C$639,$C447-1,$D$5:$D$639,$D447,L$5:L$639,"&lt;&gt;")=0,"",IF(OR(SUMIFS(L$5:L$639,$A$5:$A$639,$A447,$C$5:$C$639,$C447-1,$D$5:$D$639,$D447)=0,L447*SUMIFS(L$5:L$639,$A$5:$A$639,$A447,$C$5:$C$639,$C447-1,$D$5:$D$639,$D447)&lt;0),"n.s.",ABS(L447)/ABS(SUMIFS(L$5:L$639,$A$5:$A$639,$A447,$C$5:$C$639,$C447-1,$D$5:$D$639,$D447))-1)))</f>
        <v/>
      </c>
      <c r="U447" s="16">
        <f>IF(OR($A447="",M447="",$C447=""),"",IF(COUNTIFS($A$5:$A$639,$A447,$C$5:$C$639,$C447-1,$D$5:$D$639,$D447,M$5:M$639,"&lt;&gt;")=0,"",IF(OR(SUMIFS(M$5:M$639,$A$5:$A$639,$A447,$C$5:$C$639,$C447-1,$D$5:$D$639,$D447)=0,M447*SUMIFS(M$5:M$639,$A$5:$A$639,$A447,$C$5:$C$639,$C447-1,$D$5:$D$639,$D447)&lt;0),"n.s.",ABS(M447)/ABS(SUMIFS(M$5:M$639,$A$5:$A$639,$A447,$C$5:$C$639,$C447-1,$D$5:$D$639,$D447))-1)))</f>
        <v/>
      </c>
    </row>
    <row r="448">
      <c r="A448" s="9" t="inlineStr">
        <is>
          <t>CIEC</t>
        </is>
      </c>
      <c r="B448" s="10">
        <f>IF(A448="","",IFERROR(VLOOKUP(A448,Titres!$A$2:$B$400,2,FALSE),"Ticker inconnu"))</f>
        <v/>
      </c>
      <c r="C448" s="11" t="n">
        <v>2024</v>
      </c>
      <c r="D448" s="11" t="inlineStr">
        <is>
          <t>T3</t>
        </is>
      </c>
      <c r="E448" s="9" t="n"/>
      <c r="F448" s="12" t="n"/>
      <c r="G448" s="9" t="n"/>
      <c r="H448" s="13" t="n"/>
      <c r="I448" s="13" t="n"/>
      <c r="J448" s="13" t="n"/>
      <c r="K448" s="13" t="n"/>
      <c r="L448" s="13" t="n"/>
      <c r="M448" s="13" t="n"/>
      <c r="N448" s="14">
        <f>IF(A448="","",COUNT(H448:M448)/6)</f>
        <v/>
      </c>
      <c r="O448" s="15">
        <f>IF(COUNT(H448:M448)=0,"",IF(LEN(IF(COUNT(I448,J448)=2,IF(J448&gt;I448+1,"EBE &gt; VA ",""),"")&amp;IF(COUNT(H448,M448)=2,IF(ABS(M448)&gt;ABS(H448),"RN &gt; CA ",""),"")&amp;IF(COUNT(H448,K448)=2,IF(ABS(K448)&gt;ABS(H448),"RE &gt; CA ",""),""))=0,"OK",IF(COUNT(I448,J448)=2,IF(J448&gt;I448+1,"EBE &gt; VA ",""),"")&amp;IF(COUNT(H448,M448)=2,IF(ABS(M448)&gt;ABS(H448),"RN &gt; CA ",""),"")&amp;IF(COUNT(H448,K448)=2,IF(ABS(K448)&gt;ABS(H448),"RE &gt; CA ",""),"")))</f>
        <v/>
      </c>
      <c r="P448" s="16">
        <f>IF(OR($A448="",H448="",$C448=""),"",IF(COUNTIFS($A$5:$A$639,$A448,$C$5:$C$639,$C448-1,$D$5:$D$639,$D448,H$5:H$639,"&lt;&gt;")=0,"",IF(OR(SUMIFS(H$5:H$639,$A$5:$A$639,$A448,$C$5:$C$639,$C448-1,$D$5:$D$639,$D448)=0,H448*SUMIFS(H$5:H$639,$A$5:$A$639,$A448,$C$5:$C$639,$C448-1,$D$5:$D$639,$D448)&lt;0),"n.s.",ABS(H448)/ABS(SUMIFS(H$5:H$639,$A$5:$A$639,$A448,$C$5:$C$639,$C448-1,$D$5:$D$639,$D448))-1)))</f>
        <v/>
      </c>
      <c r="Q448" s="16">
        <f>IF(OR($A448="",I448="",$C448=""),"",IF(COUNTIFS($A$5:$A$639,$A448,$C$5:$C$639,$C448-1,$D$5:$D$639,$D448,I$5:I$639,"&lt;&gt;")=0,"",IF(OR(SUMIFS(I$5:I$639,$A$5:$A$639,$A448,$C$5:$C$639,$C448-1,$D$5:$D$639,$D448)=0,I448*SUMIFS(I$5:I$639,$A$5:$A$639,$A448,$C$5:$C$639,$C448-1,$D$5:$D$639,$D448)&lt;0),"n.s.",ABS(I448)/ABS(SUMIFS(I$5:I$639,$A$5:$A$639,$A448,$C$5:$C$639,$C448-1,$D$5:$D$639,$D448))-1)))</f>
        <v/>
      </c>
      <c r="R448" s="16">
        <f>IF(OR($A448="",J448="",$C448=""),"",IF(COUNTIFS($A$5:$A$639,$A448,$C$5:$C$639,$C448-1,$D$5:$D$639,$D448,J$5:J$639,"&lt;&gt;")=0,"",IF(OR(SUMIFS(J$5:J$639,$A$5:$A$639,$A448,$C$5:$C$639,$C448-1,$D$5:$D$639,$D448)=0,J448*SUMIFS(J$5:J$639,$A$5:$A$639,$A448,$C$5:$C$639,$C448-1,$D$5:$D$639,$D448)&lt;0),"n.s.",ABS(J448)/ABS(SUMIFS(J$5:J$639,$A$5:$A$639,$A448,$C$5:$C$639,$C448-1,$D$5:$D$639,$D448))-1)))</f>
        <v/>
      </c>
      <c r="S448" s="16">
        <f>IF(OR($A448="",K448="",$C448=""),"",IF(COUNTIFS($A$5:$A$639,$A448,$C$5:$C$639,$C448-1,$D$5:$D$639,$D448,K$5:K$639,"&lt;&gt;")=0,"",IF(OR(SUMIFS(K$5:K$639,$A$5:$A$639,$A448,$C$5:$C$639,$C448-1,$D$5:$D$639,$D448)=0,K448*SUMIFS(K$5:K$639,$A$5:$A$639,$A448,$C$5:$C$639,$C448-1,$D$5:$D$639,$D448)&lt;0),"n.s.",ABS(K448)/ABS(SUMIFS(K$5:K$639,$A$5:$A$639,$A448,$C$5:$C$639,$C448-1,$D$5:$D$639,$D448))-1)))</f>
        <v/>
      </c>
      <c r="T448" s="16">
        <f>IF(OR($A448="",L448="",$C448=""),"",IF(COUNTIFS($A$5:$A$639,$A448,$C$5:$C$639,$C448-1,$D$5:$D$639,$D448,L$5:L$639,"&lt;&gt;")=0,"",IF(OR(SUMIFS(L$5:L$639,$A$5:$A$639,$A448,$C$5:$C$639,$C448-1,$D$5:$D$639,$D448)=0,L448*SUMIFS(L$5:L$639,$A$5:$A$639,$A448,$C$5:$C$639,$C448-1,$D$5:$D$639,$D448)&lt;0),"n.s.",ABS(L448)/ABS(SUMIFS(L$5:L$639,$A$5:$A$639,$A448,$C$5:$C$639,$C448-1,$D$5:$D$639,$D448))-1)))</f>
        <v/>
      </c>
      <c r="U448" s="16">
        <f>IF(OR($A448="",M448="",$C448=""),"",IF(COUNTIFS($A$5:$A$639,$A448,$C$5:$C$639,$C448-1,$D$5:$D$639,$D448,M$5:M$639,"&lt;&gt;")=0,"",IF(OR(SUMIFS(M$5:M$639,$A$5:$A$639,$A448,$C$5:$C$639,$C448-1,$D$5:$D$639,$D448)=0,M448*SUMIFS(M$5:M$639,$A$5:$A$639,$A448,$C$5:$C$639,$C448-1,$D$5:$D$639,$D448)&lt;0),"n.s.",ABS(M448)/ABS(SUMIFS(M$5:M$639,$A$5:$A$639,$A448,$C$5:$C$639,$C448-1,$D$5:$D$639,$D448))-1)))</f>
        <v/>
      </c>
    </row>
    <row r="449">
      <c r="A449" s="9" t="inlineStr">
        <is>
          <t>CIEC</t>
        </is>
      </c>
      <c r="B449" s="10">
        <f>IF(A449="","",IFERROR(VLOOKUP(A449,Titres!$A$2:$B$400,2,FALSE),"Ticker inconnu"))</f>
        <v/>
      </c>
      <c r="C449" s="11" t="n">
        <v>2025</v>
      </c>
      <c r="D449" s="11" t="inlineStr">
        <is>
          <t>T1</t>
        </is>
      </c>
      <c r="E449" s="9" t="n"/>
      <c r="F449" s="12" t="n"/>
      <c r="G449" s="9" t="n"/>
      <c r="H449" s="13" t="n"/>
      <c r="I449" s="13" t="n"/>
      <c r="J449" s="13" t="n"/>
      <c r="K449" s="13" t="n"/>
      <c r="L449" s="13" t="n"/>
      <c r="M449" s="13" t="n"/>
      <c r="N449" s="14">
        <f>IF(A449="","",COUNT(H449:M449)/6)</f>
        <v/>
      </c>
      <c r="O449" s="15">
        <f>IF(COUNT(H449:M449)=0,"",IF(LEN(IF(COUNT(I449,J449)=2,IF(J449&gt;I449+1,"EBE &gt; VA ",""),"")&amp;IF(COUNT(H449,M449)=2,IF(ABS(M449)&gt;ABS(H449),"RN &gt; CA ",""),"")&amp;IF(COUNT(H449,K449)=2,IF(ABS(K449)&gt;ABS(H449),"RE &gt; CA ",""),""))=0,"OK",IF(COUNT(I449,J449)=2,IF(J449&gt;I449+1,"EBE &gt; VA ",""),"")&amp;IF(COUNT(H449,M449)=2,IF(ABS(M449)&gt;ABS(H449),"RN &gt; CA ",""),"")&amp;IF(COUNT(H449,K449)=2,IF(ABS(K449)&gt;ABS(H449),"RE &gt; CA ",""),"")))</f>
        <v/>
      </c>
      <c r="P449" s="16">
        <f>IF(OR($A449="",H449="",$C449=""),"",IF(COUNTIFS($A$5:$A$639,$A449,$C$5:$C$639,$C449-1,$D$5:$D$639,$D449,H$5:H$639,"&lt;&gt;")=0,"",IF(OR(SUMIFS(H$5:H$639,$A$5:$A$639,$A449,$C$5:$C$639,$C449-1,$D$5:$D$639,$D449)=0,H449*SUMIFS(H$5:H$639,$A$5:$A$639,$A449,$C$5:$C$639,$C449-1,$D$5:$D$639,$D449)&lt;0),"n.s.",ABS(H449)/ABS(SUMIFS(H$5:H$639,$A$5:$A$639,$A449,$C$5:$C$639,$C449-1,$D$5:$D$639,$D449))-1)))</f>
        <v/>
      </c>
      <c r="Q449" s="16">
        <f>IF(OR($A449="",I449="",$C449=""),"",IF(COUNTIFS($A$5:$A$639,$A449,$C$5:$C$639,$C449-1,$D$5:$D$639,$D449,I$5:I$639,"&lt;&gt;")=0,"",IF(OR(SUMIFS(I$5:I$639,$A$5:$A$639,$A449,$C$5:$C$639,$C449-1,$D$5:$D$639,$D449)=0,I449*SUMIFS(I$5:I$639,$A$5:$A$639,$A449,$C$5:$C$639,$C449-1,$D$5:$D$639,$D449)&lt;0),"n.s.",ABS(I449)/ABS(SUMIFS(I$5:I$639,$A$5:$A$639,$A449,$C$5:$C$639,$C449-1,$D$5:$D$639,$D449))-1)))</f>
        <v/>
      </c>
      <c r="R449" s="16">
        <f>IF(OR($A449="",J449="",$C449=""),"",IF(COUNTIFS($A$5:$A$639,$A449,$C$5:$C$639,$C449-1,$D$5:$D$639,$D449,J$5:J$639,"&lt;&gt;")=0,"",IF(OR(SUMIFS(J$5:J$639,$A$5:$A$639,$A449,$C$5:$C$639,$C449-1,$D$5:$D$639,$D449)=0,J449*SUMIFS(J$5:J$639,$A$5:$A$639,$A449,$C$5:$C$639,$C449-1,$D$5:$D$639,$D449)&lt;0),"n.s.",ABS(J449)/ABS(SUMIFS(J$5:J$639,$A$5:$A$639,$A449,$C$5:$C$639,$C449-1,$D$5:$D$639,$D449))-1)))</f>
        <v/>
      </c>
      <c r="S449" s="16">
        <f>IF(OR($A449="",K449="",$C449=""),"",IF(COUNTIFS($A$5:$A$639,$A449,$C$5:$C$639,$C449-1,$D$5:$D$639,$D449,K$5:K$639,"&lt;&gt;")=0,"",IF(OR(SUMIFS(K$5:K$639,$A$5:$A$639,$A449,$C$5:$C$639,$C449-1,$D$5:$D$639,$D449)=0,K449*SUMIFS(K$5:K$639,$A$5:$A$639,$A449,$C$5:$C$639,$C449-1,$D$5:$D$639,$D449)&lt;0),"n.s.",ABS(K449)/ABS(SUMIFS(K$5:K$639,$A$5:$A$639,$A449,$C$5:$C$639,$C449-1,$D$5:$D$639,$D449))-1)))</f>
        <v/>
      </c>
      <c r="T449" s="16">
        <f>IF(OR($A449="",L449="",$C449=""),"",IF(COUNTIFS($A$5:$A$639,$A449,$C$5:$C$639,$C449-1,$D$5:$D$639,$D449,L$5:L$639,"&lt;&gt;")=0,"",IF(OR(SUMIFS(L$5:L$639,$A$5:$A$639,$A449,$C$5:$C$639,$C449-1,$D$5:$D$639,$D449)=0,L449*SUMIFS(L$5:L$639,$A$5:$A$639,$A449,$C$5:$C$639,$C449-1,$D$5:$D$639,$D449)&lt;0),"n.s.",ABS(L449)/ABS(SUMIFS(L$5:L$639,$A$5:$A$639,$A449,$C$5:$C$639,$C449-1,$D$5:$D$639,$D449))-1)))</f>
        <v/>
      </c>
      <c r="U449" s="16">
        <f>IF(OR($A449="",M449="",$C449=""),"",IF(COUNTIFS($A$5:$A$639,$A449,$C$5:$C$639,$C449-1,$D$5:$D$639,$D449,M$5:M$639,"&lt;&gt;")=0,"",IF(OR(SUMIFS(M$5:M$639,$A$5:$A$639,$A449,$C$5:$C$639,$C449-1,$D$5:$D$639,$D449)=0,M449*SUMIFS(M$5:M$639,$A$5:$A$639,$A449,$C$5:$C$639,$C449-1,$D$5:$D$639,$D449)&lt;0),"n.s.",ABS(M449)/ABS(SUMIFS(M$5:M$639,$A$5:$A$639,$A449,$C$5:$C$639,$C449-1,$D$5:$D$639,$D449))-1)))</f>
        <v/>
      </c>
    </row>
    <row r="450">
      <c r="A450" s="9" t="inlineStr">
        <is>
          <t>CIEC</t>
        </is>
      </c>
      <c r="B450" s="10">
        <f>IF(A450="","",IFERROR(VLOOKUP(A450,Titres!$A$2:$B$400,2,FALSE),"Ticker inconnu"))</f>
        <v/>
      </c>
      <c r="C450" s="11" t="n">
        <v>2025</v>
      </c>
      <c r="D450" s="11" t="inlineStr">
        <is>
          <t>S1</t>
        </is>
      </c>
      <c r="E450" s="9" t="n"/>
      <c r="F450" s="12" t="n"/>
      <c r="G450" s="9" t="n"/>
      <c r="H450" s="13" t="n"/>
      <c r="I450" s="13" t="n"/>
      <c r="J450" s="13" t="n"/>
      <c r="K450" s="13" t="n"/>
      <c r="L450" s="13" t="n"/>
      <c r="M450" s="13" t="n"/>
      <c r="N450" s="14">
        <f>IF(A450="","",COUNT(H450:M450)/6)</f>
        <v/>
      </c>
      <c r="O450" s="15">
        <f>IF(COUNT(H450:M450)=0,"",IF(LEN(IF(COUNT(I450,J450)=2,IF(J450&gt;I450+1,"EBE &gt; VA ",""),"")&amp;IF(COUNT(H450,M450)=2,IF(ABS(M450)&gt;ABS(H450),"RN &gt; CA ",""),"")&amp;IF(COUNT(H450,K450)=2,IF(ABS(K450)&gt;ABS(H450),"RE &gt; CA ",""),""))=0,"OK",IF(COUNT(I450,J450)=2,IF(J450&gt;I450+1,"EBE &gt; VA ",""),"")&amp;IF(COUNT(H450,M450)=2,IF(ABS(M450)&gt;ABS(H450),"RN &gt; CA ",""),"")&amp;IF(COUNT(H450,K450)=2,IF(ABS(K450)&gt;ABS(H450),"RE &gt; CA ",""),"")))</f>
        <v/>
      </c>
      <c r="P450" s="16">
        <f>IF(OR($A450="",H450="",$C450=""),"",IF(COUNTIFS($A$5:$A$639,$A450,$C$5:$C$639,$C450-1,$D$5:$D$639,$D450,H$5:H$639,"&lt;&gt;")=0,"",IF(OR(SUMIFS(H$5:H$639,$A$5:$A$639,$A450,$C$5:$C$639,$C450-1,$D$5:$D$639,$D450)=0,H450*SUMIFS(H$5:H$639,$A$5:$A$639,$A450,$C$5:$C$639,$C450-1,$D$5:$D$639,$D450)&lt;0),"n.s.",ABS(H450)/ABS(SUMIFS(H$5:H$639,$A$5:$A$639,$A450,$C$5:$C$639,$C450-1,$D$5:$D$639,$D450))-1)))</f>
        <v/>
      </c>
      <c r="Q450" s="16">
        <f>IF(OR($A450="",I450="",$C450=""),"",IF(COUNTIFS($A$5:$A$639,$A450,$C$5:$C$639,$C450-1,$D$5:$D$639,$D450,I$5:I$639,"&lt;&gt;")=0,"",IF(OR(SUMIFS(I$5:I$639,$A$5:$A$639,$A450,$C$5:$C$639,$C450-1,$D$5:$D$639,$D450)=0,I450*SUMIFS(I$5:I$639,$A$5:$A$639,$A450,$C$5:$C$639,$C450-1,$D$5:$D$639,$D450)&lt;0),"n.s.",ABS(I450)/ABS(SUMIFS(I$5:I$639,$A$5:$A$639,$A450,$C$5:$C$639,$C450-1,$D$5:$D$639,$D450))-1)))</f>
        <v/>
      </c>
      <c r="R450" s="16">
        <f>IF(OR($A450="",J450="",$C450=""),"",IF(COUNTIFS($A$5:$A$639,$A450,$C$5:$C$639,$C450-1,$D$5:$D$639,$D450,J$5:J$639,"&lt;&gt;")=0,"",IF(OR(SUMIFS(J$5:J$639,$A$5:$A$639,$A450,$C$5:$C$639,$C450-1,$D$5:$D$639,$D450)=0,J450*SUMIFS(J$5:J$639,$A$5:$A$639,$A450,$C$5:$C$639,$C450-1,$D$5:$D$639,$D450)&lt;0),"n.s.",ABS(J450)/ABS(SUMIFS(J$5:J$639,$A$5:$A$639,$A450,$C$5:$C$639,$C450-1,$D$5:$D$639,$D450))-1)))</f>
        <v/>
      </c>
      <c r="S450" s="16">
        <f>IF(OR($A450="",K450="",$C450=""),"",IF(COUNTIFS($A$5:$A$639,$A450,$C$5:$C$639,$C450-1,$D$5:$D$639,$D450,K$5:K$639,"&lt;&gt;")=0,"",IF(OR(SUMIFS(K$5:K$639,$A$5:$A$639,$A450,$C$5:$C$639,$C450-1,$D$5:$D$639,$D450)=0,K450*SUMIFS(K$5:K$639,$A$5:$A$639,$A450,$C$5:$C$639,$C450-1,$D$5:$D$639,$D450)&lt;0),"n.s.",ABS(K450)/ABS(SUMIFS(K$5:K$639,$A$5:$A$639,$A450,$C$5:$C$639,$C450-1,$D$5:$D$639,$D450))-1)))</f>
        <v/>
      </c>
      <c r="T450" s="16">
        <f>IF(OR($A450="",L450="",$C450=""),"",IF(COUNTIFS($A$5:$A$639,$A450,$C$5:$C$639,$C450-1,$D$5:$D$639,$D450,L$5:L$639,"&lt;&gt;")=0,"",IF(OR(SUMIFS(L$5:L$639,$A$5:$A$639,$A450,$C$5:$C$639,$C450-1,$D$5:$D$639,$D450)=0,L450*SUMIFS(L$5:L$639,$A$5:$A$639,$A450,$C$5:$C$639,$C450-1,$D$5:$D$639,$D450)&lt;0),"n.s.",ABS(L450)/ABS(SUMIFS(L$5:L$639,$A$5:$A$639,$A450,$C$5:$C$639,$C450-1,$D$5:$D$639,$D450))-1)))</f>
        <v/>
      </c>
      <c r="U450" s="16">
        <f>IF(OR($A450="",M450="",$C450=""),"",IF(COUNTIFS($A$5:$A$639,$A450,$C$5:$C$639,$C450-1,$D$5:$D$639,$D450,M$5:M$639,"&lt;&gt;")=0,"",IF(OR(SUMIFS(M$5:M$639,$A$5:$A$639,$A450,$C$5:$C$639,$C450-1,$D$5:$D$639,$D450)=0,M450*SUMIFS(M$5:M$639,$A$5:$A$639,$A450,$C$5:$C$639,$C450-1,$D$5:$D$639,$D450)&lt;0),"n.s.",ABS(M450)/ABS(SUMIFS(M$5:M$639,$A$5:$A$639,$A450,$C$5:$C$639,$C450-1,$D$5:$D$639,$D450))-1)))</f>
        <v/>
      </c>
    </row>
    <row r="451">
      <c r="A451" s="9" t="inlineStr">
        <is>
          <t>CIEC</t>
        </is>
      </c>
      <c r="B451" s="10">
        <f>IF(A451="","",IFERROR(VLOOKUP(A451,Titres!$A$2:$B$400,2,FALSE),"Ticker inconnu"))</f>
        <v/>
      </c>
      <c r="C451" s="11" t="n">
        <v>2025</v>
      </c>
      <c r="D451" s="11" t="inlineStr">
        <is>
          <t>T3</t>
        </is>
      </c>
      <c r="E451" s="9" t="n"/>
      <c r="F451" s="12" t="n"/>
      <c r="G451" s="9" t="n"/>
      <c r="H451" s="13" t="n"/>
      <c r="I451" s="13" t="n"/>
      <c r="J451" s="13" t="n"/>
      <c r="K451" s="13" t="n"/>
      <c r="L451" s="13" t="n"/>
      <c r="M451" s="13" t="n"/>
      <c r="N451" s="14">
        <f>IF(A451="","",COUNT(H451:M451)/6)</f>
        <v/>
      </c>
      <c r="O451" s="15">
        <f>IF(COUNT(H451:M451)=0,"",IF(LEN(IF(COUNT(I451,J451)=2,IF(J451&gt;I451+1,"EBE &gt; VA ",""),"")&amp;IF(COUNT(H451,M451)=2,IF(ABS(M451)&gt;ABS(H451),"RN &gt; CA ",""),"")&amp;IF(COUNT(H451,K451)=2,IF(ABS(K451)&gt;ABS(H451),"RE &gt; CA ",""),""))=0,"OK",IF(COUNT(I451,J451)=2,IF(J451&gt;I451+1,"EBE &gt; VA ",""),"")&amp;IF(COUNT(H451,M451)=2,IF(ABS(M451)&gt;ABS(H451),"RN &gt; CA ",""),"")&amp;IF(COUNT(H451,K451)=2,IF(ABS(K451)&gt;ABS(H451),"RE &gt; CA ",""),"")))</f>
        <v/>
      </c>
      <c r="P451" s="16">
        <f>IF(OR($A451="",H451="",$C451=""),"",IF(COUNTIFS($A$5:$A$639,$A451,$C$5:$C$639,$C451-1,$D$5:$D$639,$D451,H$5:H$639,"&lt;&gt;")=0,"",IF(OR(SUMIFS(H$5:H$639,$A$5:$A$639,$A451,$C$5:$C$639,$C451-1,$D$5:$D$639,$D451)=0,H451*SUMIFS(H$5:H$639,$A$5:$A$639,$A451,$C$5:$C$639,$C451-1,$D$5:$D$639,$D451)&lt;0),"n.s.",ABS(H451)/ABS(SUMIFS(H$5:H$639,$A$5:$A$639,$A451,$C$5:$C$639,$C451-1,$D$5:$D$639,$D451))-1)))</f>
        <v/>
      </c>
      <c r="Q451" s="16">
        <f>IF(OR($A451="",I451="",$C451=""),"",IF(COUNTIFS($A$5:$A$639,$A451,$C$5:$C$639,$C451-1,$D$5:$D$639,$D451,I$5:I$639,"&lt;&gt;")=0,"",IF(OR(SUMIFS(I$5:I$639,$A$5:$A$639,$A451,$C$5:$C$639,$C451-1,$D$5:$D$639,$D451)=0,I451*SUMIFS(I$5:I$639,$A$5:$A$639,$A451,$C$5:$C$639,$C451-1,$D$5:$D$639,$D451)&lt;0),"n.s.",ABS(I451)/ABS(SUMIFS(I$5:I$639,$A$5:$A$639,$A451,$C$5:$C$639,$C451-1,$D$5:$D$639,$D451))-1)))</f>
        <v/>
      </c>
      <c r="R451" s="16">
        <f>IF(OR($A451="",J451="",$C451=""),"",IF(COUNTIFS($A$5:$A$639,$A451,$C$5:$C$639,$C451-1,$D$5:$D$639,$D451,J$5:J$639,"&lt;&gt;")=0,"",IF(OR(SUMIFS(J$5:J$639,$A$5:$A$639,$A451,$C$5:$C$639,$C451-1,$D$5:$D$639,$D451)=0,J451*SUMIFS(J$5:J$639,$A$5:$A$639,$A451,$C$5:$C$639,$C451-1,$D$5:$D$639,$D451)&lt;0),"n.s.",ABS(J451)/ABS(SUMIFS(J$5:J$639,$A$5:$A$639,$A451,$C$5:$C$639,$C451-1,$D$5:$D$639,$D451))-1)))</f>
        <v/>
      </c>
      <c r="S451" s="16">
        <f>IF(OR($A451="",K451="",$C451=""),"",IF(COUNTIFS($A$5:$A$639,$A451,$C$5:$C$639,$C451-1,$D$5:$D$639,$D451,K$5:K$639,"&lt;&gt;")=0,"",IF(OR(SUMIFS(K$5:K$639,$A$5:$A$639,$A451,$C$5:$C$639,$C451-1,$D$5:$D$639,$D451)=0,K451*SUMIFS(K$5:K$639,$A$5:$A$639,$A451,$C$5:$C$639,$C451-1,$D$5:$D$639,$D451)&lt;0),"n.s.",ABS(K451)/ABS(SUMIFS(K$5:K$639,$A$5:$A$639,$A451,$C$5:$C$639,$C451-1,$D$5:$D$639,$D451))-1)))</f>
        <v/>
      </c>
      <c r="T451" s="16">
        <f>IF(OR($A451="",L451="",$C451=""),"",IF(COUNTIFS($A$5:$A$639,$A451,$C$5:$C$639,$C451-1,$D$5:$D$639,$D451,L$5:L$639,"&lt;&gt;")=0,"",IF(OR(SUMIFS(L$5:L$639,$A$5:$A$639,$A451,$C$5:$C$639,$C451-1,$D$5:$D$639,$D451)=0,L451*SUMIFS(L$5:L$639,$A$5:$A$639,$A451,$C$5:$C$639,$C451-1,$D$5:$D$639,$D451)&lt;0),"n.s.",ABS(L451)/ABS(SUMIFS(L$5:L$639,$A$5:$A$639,$A451,$C$5:$C$639,$C451-1,$D$5:$D$639,$D451))-1)))</f>
        <v/>
      </c>
      <c r="U451" s="16">
        <f>IF(OR($A451="",M451="",$C451=""),"",IF(COUNTIFS($A$5:$A$639,$A451,$C$5:$C$639,$C451-1,$D$5:$D$639,$D451,M$5:M$639,"&lt;&gt;")=0,"",IF(OR(SUMIFS(M$5:M$639,$A$5:$A$639,$A451,$C$5:$C$639,$C451-1,$D$5:$D$639,$D451)=0,M451*SUMIFS(M$5:M$639,$A$5:$A$639,$A451,$C$5:$C$639,$C451-1,$D$5:$D$639,$D451)&lt;0),"n.s.",ABS(M451)/ABS(SUMIFS(M$5:M$639,$A$5:$A$639,$A451,$C$5:$C$639,$C451-1,$D$5:$D$639,$D451))-1)))</f>
        <v/>
      </c>
    </row>
    <row r="452">
      <c r="A452" s="9" t="inlineStr">
        <is>
          <t>CIEC</t>
        </is>
      </c>
      <c r="B452" s="10">
        <f>IF(A452="","",IFERROR(VLOOKUP(A452,Titres!$A$2:$B$400,2,FALSE),"Ticker inconnu"))</f>
        <v/>
      </c>
      <c r="C452" s="11" t="n">
        <v>2026</v>
      </c>
      <c r="D452" s="11" t="inlineStr">
        <is>
          <t>T1</t>
        </is>
      </c>
      <c r="E452" s="9" t="n"/>
      <c r="F452" s="12" t="n"/>
      <c r="G452" s="9" t="n"/>
      <c r="H452" s="13" t="n"/>
      <c r="I452" s="13" t="n"/>
      <c r="J452" s="13" t="n"/>
      <c r="K452" s="13" t="n"/>
      <c r="L452" s="13" t="n"/>
      <c r="M452" s="13" t="n"/>
      <c r="N452" s="14">
        <f>IF(A452="","",COUNT(H452:M452)/6)</f>
        <v/>
      </c>
      <c r="O452" s="15">
        <f>IF(COUNT(H452:M452)=0,"",IF(LEN(IF(COUNT(I452,J452)=2,IF(J452&gt;I452+1,"EBE &gt; VA ",""),"")&amp;IF(COUNT(H452,M452)=2,IF(ABS(M452)&gt;ABS(H452),"RN &gt; CA ",""),"")&amp;IF(COUNT(H452,K452)=2,IF(ABS(K452)&gt;ABS(H452),"RE &gt; CA ",""),""))=0,"OK",IF(COUNT(I452,J452)=2,IF(J452&gt;I452+1,"EBE &gt; VA ",""),"")&amp;IF(COUNT(H452,M452)=2,IF(ABS(M452)&gt;ABS(H452),"RN &gt; CA ",""),"")&amp;IF(COUNT(H452,K452)=2,IF(ABS(K452)&gt;ABS(H452),"RE &gt; CA ",""),"")))</f>
        <v/>
      </c>
      <c r="P452" s="16">
        <f>IF(OR($A452="",H452="",$C452=""),"",IF(COUNTIFS($A$5:$A$639,$A452,$C$5:$C$639,$C452-1,$D$5:$D$639,$D452,H$5:H$639,"&lt;&gt;")=0,"",IF(OR(SUMIFS(H$5:H$639,$A$5:$A$639,$A452,$C$5:$C$639,$C452-1,$D$5:$D$639,$D452)=0,H452*SUMIFS(H$5:H$639,$A$5:$A$639,$A452,$C$5:$C$639,$C452-1,$D$5:$D$639,$D452)&lt;0),"n.s.",ABS(H452)/ABS(SUMIFS(H$5:H$639,$A$5:$A$639,$A452,$C$5:$C$639,$C452-1,$D$5:$D$639,$D452))-1)))</f>
        <v/>
      </c>
      <c r="Q452" s="16">
        <f>IF(OR($A452="",I452="",$C452=""),"",IF(COUNTIFS($A$5:$A$639,$A452,$C$5:$C$639,$C452-1,$D$5:$D$639,$D452,I$5:I$639,"&lt;&gt;")=0,"",IF(OR(SUMIFS(I$5:I$639,$A$5:$A$639,$A452,$C$5:$C$639,$C452-1,$D$5:$D$639,$D452)=0,I452*SUMIFS(I$5:I$639,$A$5:$A$639,$A452,$C$5:$C$639,$C452-1,$D$5:$D$639,$D452)&lt;0),"n.s.",ABS(I452)/ABS(SUMIFS(I$5:I$639,$A$5:$A$639,$A452,$C$5:$C$639,$C452-1,$D$5:$D$639,$D452))-1)))</f>
        <v/>
      </c>
      <c r="R452" s="16">
        <f>IF(OR($A452="",J452="",$C452=""),"",IF(COUNTIFS($A$5:$A$639,$A452,$C$5:$C$639,$C452-1,$D$5:$D$639,$D452,J$5:J$639,"&lt;&gt;")=0,"",IF(OR(SUMIFS(J$5:J$639,$A$5:$A$639,$A452,$C$5:$C$639,$C452-1,$D$5:$D$639,$D452)=0,J452*SUMIFS(J$5:J$639,$A$5:$A$639,$A452,$C$5:$C$639,$C452-1,$D$5:$D$639,$D452)&lt;0),"n.s.",ABS(J452)/ABS(SUMIFS(J$5:J$639,$A$5:$A$639,$A452,$C$5:$C$639,$C452-1,$D$5:$D$639,$D452))-1)))</f>
        <v/>
      </c>
      <c r="S452" s="16">
        <f>IF(OR($A452="",K452="",$C452=""),"",IF(COUNTIFS($A$5:$A$639,$A452,$C$5:$C$639,$C452-1,$D$5:$D$639,$D452,K$5:K$639,"&lt;&gt;")=0,"",IF(OR(SUMIFS(K$5:K$639,$A$5:$A$639,$A452,$C$5:$C$639,$C452-1,$D$5:$D$639,$D452)=0,K452*SUMIFS(K$5:K$639,$A$5:$A$639,$A452,$C$5:$C$639,$C452-1,$D$5:$D$639,$D452)&lt;0),"n.s.",ABS(K452)/ABS(SUMIFS(K$5:K$639,$A$5:$A$639,$A452,$C$5:$C$639,$C452-1,$D$5:$D$639,$D452))-1)))</f>
        <v/>
      </c>
      <c r="T452" s="16">
        <f>IF(OR($A452="",L452="",$C452=""),"",IF(COUNTIFS($A$5:$A$639,$A452,$C$5:$C$639,$C452-1,$D$5:$D$639,$D452,L$5:L$639,"&lt;&gt;")=0,"",IF(OR(SUMIFS(L$5:L$639,$A$5:$A$639,$A452,$C$5:$C$639,$C452-1,$D$5:$D$639,$D452)=0,L452*SUMIFS(L$5:L$639,$A$5:$A$639,$A452,$C$5:$C$639,$C452-1,$D$5:$D$639,$D452)&lt;0),"n.s.",ABS(L452)/ABS(SUMIFS(L$5:L$639,$A$5:$A$639,$A452,$C$5:$C$639,$C452-1,$D$5:$D$639,$D452))-1)))</f>
        <v/>
      </c>
      <c r="U452" s="16">
        <f>IF(OR($A452="",M452="",$C452=""),"",IF(COUNTIFS($A$5:$A$639,$A452,$C$5:$C$639,$C452-1,$D$5:$D$639,$D452,M$5:M$639,"&lt;&gt;")=0,"",IF(OR(SUMIFS(M$5:M$639,$A$5:$A$639,$A452,$C$5:$C$639,$C452-1,$D$5:$D$639,$D452)=0,M452*SUMIFS(M$5:M$639,$A$5:$A$639,$A452,$C$5:$C$639,$C452-1,$D$5:$D$639,$D452)&lt;0),"n.s.",ABS(M452)/ABS(SUMIFS(M$5:M$639,$A$5:$A$639,$A452,$C$5:$C$639,$C452-1,$D$5:$D$639,$D452))-1)))</f>
        <v/>
      </c>
    </row>
    <row r="453">
      <c r="A453" s="9" t="inlineStr">
        <is>
          <t>CIEC</t>
        </is>
      </c>
      <c r="B453" s="10">
        <f>IF(A453="","",IFERROR(VLOOKUP(A453,Titres!$A$2:$B$400,2,FALSE),"Ticker inconnu"))</f>
        <v/>
      </c>
      <c r="C453" s="11" t="n">
        <v>2026</v>
      </c>
      <c r="D453" s="11" t="inlineStr">
        <is>
          <t>S1</t>
        </is>
      </c>
      <c r="E453" s="9" t="n"/>
      <c r="F453" s="12" t="n"/>
      <c r="G453" s="9" t="n"/>
      <c r="H453" s="13" t="n"/>
      <c r="I453" s="13" t="n"/>
      <c r="J453" s="13" t="n"/>
      <c r="K453" s="13" t="n"/>
      <c r="L453" s="13" t="n"/>
      <c r="M453" s="13" t="n"/>
      <c r="N453" s="14">
        <f>IF(A453="","",COUNT(H453:M453)/6)</f>
        <v/>
      </c>
      <c r="O453" s="15">
        <f>IF(COUNT(H453:M453)=0,"",IF(LEN(IF(COUNT(I453,J453)=2,IF(J453&gt;I453+1,"EBE &gt; VA ",""),"")&amp;IF(COUNT(H453,M453)=2,IF(ABS(M453)&gt;ABS(H453),"RN &gt; CA ",""),"")&amp;IF(COUNT(H453,K453)=2,IF(ABS(K453)&gt;ABS(H453),"RE &gt; CA ",""),""))=0,"OK",IF(COUNT(I453,J453)=2,IF(J453&gt;I453+1,"EBE &gt; VA ",""),"")&amp;IF(COUNT(H453,M453)=2,IF(ABS(M453)&gt;ABS(H453),"RN &gt; CA ",""),"")&amp;IF(COUNT(H453,K453)=2,IF(ABS(K453)&gt;ABS(H453),"RE &gt; CA ",""),"")))</f>
        <v/>
      </c>
      <c r="P453" s="16">
        <f>IF(OR($A453="",H453="",$C453=""),"",IF(COUNTIFS($A$5:$A$639,$A453,$C$5:$C$639,$C453-1,$D$5:$D$639,$D453,H$5:H$639,"&lt;&gt;")=0,"",IF(OR(SUMIFS(H$5:H$639,$A$5:$A$639,$A453,$C$5:$C$639,$C453-1,$D$5:$D$639,$D453)=0,H453*SUMIFS(H$5:H$639,$A$5:$A$639,$A453,$C$5:$C$639,$C453-1,$D$5:$D$639,$D453)&lt;0),"n.s.",ABS(H453)/ABS(SUMIFS(H$5:H$639,$A$5:$A$639,$A453,$C$5:$C$639,$C453-1,$D$5:$D$639,$D453))-1)))</f>
        <v/>
      </c>
      <c r="Q453" s="16">
        <f>IF(OR($A453="",I453="",$C453=""),"",IF(COUNTIFS($A$5:$A$639,$A453,$C$5:$C$639,$C453-1,$D$5:$D$639,$D453,I$5:I$639,"&lt;&gt;")=0,"",IF(OR(SUMIFS(I$5:I$639,$A$5:$A$639,$A453,$C$5:$C$639,$C453-1,$D$5:$D$639,$D453)=0,I453*SUMIFS(I$5:I$639,$A$5:$A$639,$A453,$C$5:$C$639,$C453-1,$D$5:$D$639,$D453)&lt;0),"n.s.",ABS(I453)/ABS(SUMIFS(I$5:I$639,$A$5:$A$639,$A453,$C$5:$C$639,$C453-1,$D$5:$D$639,$D453))-1)))</f>
        <v/>
      </c>
      <c r="R453" s="16">
        <f>IF(OR($A453="",J453="",$C453=""),"",IF(COUNTIFS($A$5:$A$639,$A453,$C$5:$C$639,$C453-1,$D$5:$D$639,$D453,J$5:J$639,"&lt;&gt;")=0,"",IF(OR(SUMIFS(J$5:J$639,$A$5:$A$639,$A453,$C$5:$C$639,$C453-1,$D$5:$D$639,$D453)=0,J453*SUMIFS(J$5:J$639,$A$5:$A$639,$A453,$C$5:$C$639,$C453-1,$D$5:$D$639,$D453)&lt;0),"n.s.",ABS(J453)/ABS(SUMIFS(J$5:J$639,$A$5:$A$639,$A453,$C$5:$C$639,$C453-1,$D$5:$D$639,$D453))-1)))</f>
        <v/>
      </c>
      <c r="S453" s="16">
        <f>IF(OR($A453="",K453="",$C453=""),"",IF(COUNTIFS($A$5:$A$639,$A453,$C$5:$C$639,$C453-1,$D$5:$D$639,$D453,K$5:K$639,"&lt;&gt;")=0,"",IF(OR(SUMIFS(K$5:K$639,$A$5:$A$639,$A453,$C$5:$C$639,$C453-1,$D$5:$D$639,$D453)=0,K453*SUMIFS(K$5:K$639,$A$5:$A$639,$A453,$C$5:$C$639,$C453-1,$D$5:$D$639,$D453)&lt;0),"n.s.",ABS(K453)/ABS(SUMIFS(K$5:K$639,$A$5:$A$639,$A453,$C$5:$C$639,$C453-1,$D$5:$D$639,$D453))-1)))</f>
        <v/>
      </c>
      <c r="T453" s="16">
        <f>IF(OR($A453="",L453="",$C453=""),"",IF(COUNTIFS($A$5:$A$639,$A453,$C$5:$C$639,$C453-1,$D$5:$D$639,$D453,L$5:L$639,"&lt;&gt;")=0,"",IF(OR(SUMIFS(L$5:L$639,$A$5:$A$639,$A453,$C$5:$C$639,$C453-1,$D$5:$D$639,$D453)=0,L453*SUMIFS(L$5:L$639,$A$5:$A$639,$A453,$C$5:$C$639,$C453-1,$D$5:$D$639,$D453)&lt;0),"n.s.",ABS(L453)/ABS(SUMIFS(L$5:L$639,$A$5:$A$639,$A453,$C$5:$C$639,$C453-1,$D$5:$D$639,$D453))-1)))</f>
        <v/>
      </c>
      <c r="U453" s="16">
        <f>IF(OR($A453="",M453="",$C453=""),"",IF(COUNTIFS($A$5:$A$639,$A453,$C$5:$C$639,$C453-1,$D$5:$D$639,$D453,M$5:M$639,"&lt;&gt;")=0,"",IF(OR(SUMIFS(M$5:M$639,$A$5:$A$639,$A453,$C$5:$C$639,$C453-1,$D$5:$D$639,$D453)=0,M453*SUMIFS(M$5:M$639,$A$5:$A$639,$A453,$C$5:$C$639,$C453-1,$D$5:$D$639,$D453)&lt;0),"n.s.",ABS(M453)/ABS(SUMIFS(M$5:M$639,$A$5:$A$639,$A453,$C$5:$C$639,$C453-1,$D$5:$D$639,$D453))-1)))</f>
        <v/>
      </c>
    </row>
    <row r="454">
      <c r="A454" s="9" t="inlineStr">
        <is>
          <t>CIEC</t>
        </is>
      </c>
      <c r="B454" s="10">
        <f>IF(A454="","",IFERROR(VLOOKUP(A454,Titres!$A$2:$B$400,2,FALSE),"Ticker inconnu"))</f>
        <v/>
      </c>
      <c r="C454" s="11" t="n">
        <v>2026</v>
      </c>
      <c r="D454" s="11" t="inlineStr">
        <is>
          <t>T3</t>
        </is>
      </c>
      <c r="E454" s="9" t="n"/>
      <c r="F454" s="12" t="n"/>
      <c r="G454" s="9" t="n"/>
      <c r="H454" s="13" t="n"/>
      <c r="I454" s="13" t="n"/>
      <c r="J454" s="13" t="n"/>
      <c r="K454" s="13" t="n"/>
      <c r="L454" s="13" t="n"/>
      <c r="M454" s="13" t="n"/>
      <c r="N454" s="14">
        <f>IF(A454="","",COUNT(H454:M454)/6)</f>
        <v/>
      </c>
      <c r="O454" s="15">
        <f>IF(COUNT(H454:M454)=0,"",IF(LEN(IF(COUNT(I454,J454)=2,IF(J454&gt;I454+1,"EBE &gt; VA ",""),"")&amp;IF(COUNT(H454,M454)=2,IF(ABS(M454)&gt;ABS(H454),"RN &gt; CA ",""),"")&amp;IF(COUNT(H454,K454)=2,IF(ABS(K454)&gt;ABS(H454),"RE &gt; CA ",""),""))=0,"OK",IF(COUNT(I454,J454)=2,IF(J454&gt;I454+1,"EBE &gt; VA ",""),"")&amp;IF(COUNT(H454,M454)=2,IF(ABS(M454)&gt;ABS(H454),"RN &gt; CA ",""),"")&amp;IF(COUNT(H454,K454)=2,IF(ABS(K454)&gt;ABS(H454),"RE &gt; CA ",""),"")))</f>
        <v/>
      </c>
      <c r="P454" s="16">
        <f>IF(OR($A454="",H454="",$C454=""),"",IF(COUNTIFS($A$5:$A$639,$A454,$C$5:$C$639,$C454-1,$D$5:$D$639,$D454,H$5:H$639,"&lt;&gt;")=0,"",IF(OR(SUMIFS(H$5:H$639,$A$5:$A$639,$A454,$C$5:$C$639,$C454-1,$D$5:$D$639,$D454)=0,H454*SUMIFS(H$5:H$639,$A$5:$A$639,$A454,$C$5:$C$639,$C454-1,$D$5:$D$639,$D454)&lt;0),"n.s.",ABS(H454)/ABS(SUMIFS(H$5:H$639,$A$5:$A$639,$A454,$C$5:$C$639,$C454-1,$D$5:$D$639,$D454))-1)))</f>
        <v/>
      </c>
      <c r="Q454" s="16">
        <f>IF(OR($A454="",I454="",$C454=""),"",IF(COUNTIFS($A$5:$A$639,$A454,$C$5:$C$639,$C454-1,$D$5:$D$639,$D454,I$5:I$639,"&lt;&gt;")=0,"",IF(OR(SUMIFS(I$5:I$639,$A$5:$A$639,$A454,$C$5:$C$639,$C454-1,$D$5:$D$639,$D454)=0,I454*SUMIFS(I$5:I$639,$A$5:$A$639,$A454,$C$5:$C$639,$C454-1,$D$5:$D$639,$D454)&lt;0),"n.s.",ABS(I454)/ABS(SUMIFS(I$5:I$639,$A$5:$A$639,$A454,$C$5:$C$639,$C454-1,$D$5:$D$639,$D454))-1)))</f>
        <v/>
      </c>
      <c r="R454" s="16">
        <f>IF(OR($A454="",J454="",$C454=""),"",IF(COUNTIFS($A$5:$A$639,$A454,$C$5:$C$639,$C454-1,$D$5:$D$639,$D454,J$5:J$639,"&lt;&gt;")=0,"",IF(OR(SUMIFS(J$5:J$639,$A$5:$A$639,$A454,$C$5:$C$639,$C454-1,$D$5:$D$639,$D454)=0,J454*SUMIFS(J$5:J$639,$A$5:$A$639,$A454,$C$5:$C$639,$C454-1,$D$5:$D$639,$D454)&lt;0),"n.s.",ABS(J454)/ABS(SUMIFS(J$5:J$639,$A$5:$A$639,$A454,$C$5:$C$639,$C454-1,$D$5:$D$639,$D454))-1)))</f>
        <v/>
      </c>
      <c r="S454" s="16">
        <f>IF(OR($A454="",K454="",$C454=""),"",IF(COUNTIFS($A$5:$A$639,$A454,$C$5:$C$639,$C454-1,$D$5:$D$639,$D454,K$5:K$639,"&lt;&gt;")=0,"",IF(OR(SUMIFS(K$5:K$639,$A$5:$A$639,$A454,$C$5:$C$639,$C454-1,$D$5:$D$639,$D454)=0,K454*SUMIFS(K$5:K$639,$A$5:$A$639,$A454,$C$5:$C$639,$C454-1,$D$5:$D$639,$D454)&lt;0),"n.s.",ABS(K454)/ABS(SUMIFS(K$5:K$639,$A$5:$A$639,$A454,$C$5:$C$639,$C454-1,$D$5:$D$639,$D454))-1)))</f>
        <v/>
      </c>
      <c r="T454" s="16">
        <f>IF(OR($A454="",L454="",$C454=""),"",IF(COUNTIFS($A$5:$A$639,$A454,$C$5:$C$639,$C454-1,$D$5:$D$639,$D454,L$5:L$639,"&lt;&gt;")=0,"",IF(OR(SUMIFS(L$5:L$639,$A$5:$A$639,$A454,$C$5:$C$639,$C454-1,$D$5:$D$639,$D454)=0,L454*SUMIFS(L$5:L$639,$A$5:$A$639,$A454,$C$5:$C$639,$C454-1,$D$5:$D$639,$D454)&lt;0),"n.s.",ABS(L454)/ABS(SUMIFS(L$5:L$639,$A$5:$A$639,$A454,$C$5:$C$639,$C454-1,$D$5:$D$639,$D454))-1)))</f>
        <v/>
      </c>
      <c r="U454" s="16">
        <f>IF(OR($A454="",M454="",$C454=""),"",IF(COUNTIFS($A$5:$A$639,$A454,$C$5:$C$639,$C454-1,$D$5:$D$639,$D454,M$5:M$639,"&lt;&gt;")=0,"",IF(OR(SUMIFS(M$5:M$639,$A$5:$A$639,$A454,$C$5:$C$639,$C454-1,$D$5:$D$639,$D454)=0,M454*SUMIFS(M$5:M$639,$A$5:$A$639,$A454,$C$5:$C$639,$C454-1,$D$5:$D$639,$D454)&lt;0),"n.s.",ABS(M454)/ABS(SUMIFS(M$5:M$639,$A$5:$A$639,$A454,$C$5:$C$639,$C454-1,$D$5:$D$639,$D454))-1)))</f>
        <v/>
      </c>
    </row>
    <row r="455">
      <c r="A455" s="9" t="inlineStr">
        <is>
          <t>SDCC</t>
        </is>
      </c>
      <c r="B455" s="10">
        <f>IF(A455="","",IFERROR(VLOOKUP(A455,Titres!$A$2:$B$400,2,FALSE),"Ticker inconnu"))</f>
        <v/>
      </c>
      <c r="C455" s="11" t="n">
        <v>2021</v>
      </c>
      <c r="D455" s="11" t="inlineStr">
        <is>
          <t>T1</t>
        </is>
      </c>
      <c r="E455" s="9" t="n"/>
      <c r="F455" s="12" t="n"/>
      <c r="G455" s="9" t="n"/>
      <c r="H455" s="13" t="n"/>
      <c r="I455" s="13" t="n"/>
      <c r="J455" s="13" t="n"/>
      <c r="K455" s="13" t="n"/>
      <c r="L455" s="13" t="n"/>
      <c r="M455" s="13" t="n"/>
      <c r="N455" s="14">
        <f>IF(A455="","",COUNT(H455:M455)/6)</f>
        <v/>
      </c>
      <c r="O455" s="15">
        <f>IF(COUNT(H455:M455)=0,"",IF(LEN(IF(COUNT(I455,J455)=2,IF(J455&gt;I455+1,"EBE &gt; VA ",""),"")&amp;IF(COUNT(H455,M455)=2,IF(ABS(M455)&gt;ABS(H455),"RN &gt; CA ",""),"")&amp;IF(COUNT(H455,K455)=2,IF(ABS(K455)&gt;ABS(H455),"RE &gt; CA ",""),""))=0,"OK",IF(COUNT(I455,J455)=2,IF(J455&gt;I455+1,"EBE &gt; VA ",""),"")&amp;IF(COUNT(H455,M455)=2,IF(ABS(M455)&gt;ABS(H455),"RN &gt; CA ",""),"")&amp;IF(COUNT(H455,K455)=2,IF(ABS(K455)&gt;ABS(H455),"RE &gt; CA ",""),"")))</f>
        <v/>
      </c>
      <c r="P455" s="16">
        <f>IF(OR($A455="",H455="",$C455=""),"",IF(COUNTIFS($A$5:$A$639,$A455,$C$5:$C$639,$C455-1,$D$5:$D$639,$D455,H$5:H$639,"&lt;&gt;")=0,"",IF(OR(SUMIFS(H$5:H$639,$A$5:$A$639,$A455,$C$5:$C$639,$C455-1,$D$5:$D$639,$D455)=0,H455*SUMIFS(H$5:H$639,$A$5:$A$639,$A455,$C$5:$C$639,$C455-1,$D$5:$D$639,$D455)&lt;0),"n.s.",ABS(H455)/ABS(SUMIFS(H$5:H$639,$A$5:$A$639,$A455,$C$5:$C$639,$C455-1,$D$5:$D$639,$D455))-1)))</f>
        <v/>
      </c>
      <c r="Q455" s="16">
        <f>IF(OR($A455="",I455="",$C455=""),"",IF(COUNTIFS($A$5:$A$639,$A455,$C$5:$C$639,$C455-1,$D$5:$D$639,$D455,I$5:I$639,"&lt;&gt;")=0,"",IF(OR(SUMIFS(I$5:I$639,$A$5:$A$639,$A455,$C$5:$C$639,$C455-1,$D$5:$D$639,$D455)=0,I455*SUMIFS(I$5:I$639,$A$5:$A$639,$A455,$C$5:$C$639,$C455-1,$D$5:$D$639,$D455)&lt;0),"n.s.",ABS(I455)/ABS(SUMIFS(I$5:I$639,$A$5:$A$639,$A455,$C$5:$C$639,$C455-1,$D$5:$D$639,$D455))-1)))</f>
        <v/>
      </c>
      <c r="R455" s="16">
        <f>IF(OR($A455="",J455="",$C455=""),"",IF(COUNTIFS($A$5:$A$639,$A455,$C$5:$C$639,$C455-1,$D$5:$D$639,$D455,J$5:J$639,"&lt;&gt;")=0,"",IF(OR(SUMIFS(J$5:J$639,$A$5:$A$639,$A455,$C$5:$C$639,$C455-1,$D$5:$D$639,$D455)=0,J455*SUMIFS(J$5:J$639,$A$5:$A$639,$A455,$C$5:$C$639,$C455-1,$D$5:$D$639,$D455)&lt;0),"n.s.",ABS(J455)/ABS(SUMIFS(J$5:J$639,$A$5:$A$639,$A455,$C$5:$C$639,$C455-1,$D$5:$D$639,$D455))-1)))</f>
        <v/>
      </c>
      <c r="S455" s="16">
        <f>IF(OR($A455="",K455="",$C455=""),"",IF(COUNTIFS($A$5:$A$639,$A455,$C$5:$C$639,$C455-1,$D$5:$D$639,$D455,K$5:K$639,"&lt;&gt;")=0,"",IF(OR(SUMIFS(K$5:K$639,$A$5:$A$639,$A455,$C$5:$C$639,$C455-1,$D$5:$D$639,$D455)=0,K455*SUMIFS(K$5:K$639,$A$5:$A$639,$A455,$C$5:$C$639,$C455-1,$D$5:$D$639,$D455)&lt;0),"n.s.",ABS(K455)/ABS(SUMIFS(K$5:K$639,$A$5:$A$639,$A455,$C$5:$C$639,$C455-1,$D$5:$D$639,$D455))-1)))</f>
        <v/>
      </c>
      <c r="T455" s="16">
        <f>IF(OR($A455="",L455="",$C455=""),"",IF(COUNTIFS($A$5:$A$639,$A455,$C$5:$C$639,$C455-1,$D$5:$D$639,$D455,L$5:L$639,"&lt;&gt;")=0,"",IF(OR(SUMIFS(L$5:L$639,$A$5:$A$639,$A455,$C$5:$C$639,$C455-1,$D$5:$D$639,$D455)=0,L455*SUMIFS(L$5:L$639,$A$5:$A$639,$A455,$C$5:$C$639,$C455-1,$D$5:$D$639,$D455)&lt;0),"n.s.",ABS(L455)/ABS(SUMIFS(L$5:L$639,$A$5:$A$639,$A455,$C$5:$C$639,$C455-1,$D$5:$D$639,$D455))-1)))</f>
        <v/>
      </c>
      <c r="U455" s="16">
        <f>IF(OR($A455="",M455="",$C455=""),"",IF(COUNTIFS($A$5:$A$639,$A455,$C$5:$C$639,$C455-1,$D$5:$D$639,$D455,M$5:M$639,"&lt;&gt;")=0,"",IF(OR(SUMIFS(M$5:M$639,$A$5:$A$639,$A455,$C$5:$C$639,$C455-1,$D$5:$D$639,$D455)=0,M455*SUMIFS(M$5:M$639,$A$5:$A$639,$A455,$C$5:$C$639,$C455-1,$D$5:$D$639,$D455)&lt;0),"n.s.",ABS(M455)/ABS(SUMIFS(M$5:M$639,$A$5:$A$639,$A455,$C$5:$C$639,$C455-1,$D$5:$D$639,$D455))-1)))</f>
        <v/>
      </c>
    </row>
    <row r="456">
      <c r="A456" s="9" t="inlineStr">
        <is>
          <t>SDCC</t>
        </is>
      </c>
      <c r="B456" s="10">
        <f>IF(A456="","",IFERROR(VLOOKUP(A456,Titres!$A$2:$B$400,2,FALSE),"Ticker inconnu"))</f>
        <v/>
      </c>
      <c r="C456" s="11" t="n">
        <v>2021</v>
      </c>
      <c r="D456" s="11" t="inlineStr">
        <is>
          <t>S1</t>
        </is>
      </c>
      <c r="E456" s="9" t="n"/>
      <c r="F456" s="12" t="n"/>
      <c r="G456" s="9" t="n"/>
      <c r="H456" s="13" t="n"/>
      <c r="I456" s="13" t="n"/>
      <c r="J456" s="13" t="n"/>
      <c r="K456" s="13" t="n"/>
      <c r="L456" s="13" t="n"/>
      <c r="M456" s="13" t="n"/>
      <c r="N456" s="14">
        <f>IF(A456="","",COUNT(H456:M456)/6)</f>
        <v/>
      </c>
      <c r="O456" s="15">
        <f>IF(COUNT(H456:M456)=0,"",IF(LEN(IF(COUNT(I456,J456)=2,IF(J456&gt;I456+1,"EBE &gt; VA ",""),"")&amp;IF(COUNT(H456,M456)=2,IF(ABS(M456)&gt;ABS(H456),"RN &gt; CA ",""),"")&amp;IF(COUNT(H456,K456)=2,IF(ABS(K456)&gt;ABS(H456),"RE &gt; CA ",""),""))=0,"OK",IF(COUNT(I456,J456)=2,IF(J456&gt;I456+1,"EBE &gt; VA ",""),"")&amp;IF(COUNT(H456,M456)=2,IF(ABS(M456)&gt;ABS(H456),"RN &gt; CA ",""),"")&amp;IF(COUNT(H456,K456)=2,IF(ABS(K456)&gt;ABS(H456),"RE &gt; CA ",""),"")))</f>
        <v/>
      </c>
      <c r="P456" s="16">
        <f>IF(OR($A456="",H456="",$C456=""),"",IF(COUNTIFS($A$5:$A$639,$A456,$C$5:$C$639,$C456-1,$D$5:$D$639,$D456,H$5:H$639,"&lt;&gt;")=0,"",IF(OR(SUMIFS(H$5:H$639,$A$5:$A$639,$A456,$C$5:$C$639,$C456-1,$D$5:$D$639,$D456)=0,H456*SUMIFS(H$5:H$639,$A$5:$A$639,$A456,$C$5:$C$639,$C456-1,$D$5:$D$639,$D456)&lt;0),"n.s.",ABS(H456)/ABS(SUMIFS(H$5:H$639,$A$5:$A$639,$A456,$C$5:$C$639,$C456-1,$D$5:$D$639,$D456))-1)))</f>
        <v/>
      </c>
      <c r="Q456" s="16">
        <f>IF(OR($A456="",I456="",$C456=""),"",IF(COUNTIFS($A$5:$A$639,$A456,$C$5:$C$639,$C456-1,$D$5:$D$639,$D456,I$5:I$639,"&lt;&gt;")=0,"",IF(OR(SUMIFS(I$5:I$639,$A$5:$A$639,$A456,$C$5:$C$639,$C456-1,$D$5:$D$639,$D456)=0,I456*SUMIFS(I$5:I$639,$A$5:$A$639,$A456,$C$5:$C$639,$C456-1,$D$5:$D$639,$D456)&lt;0),"n.s.",ABS(I456)/ABS(SUMIFS(I$5:I$639,$A$5:$A$639,$A456,$C$5:$C$639,$C456-1,$D$5:$D$639,$D456))-1)))</f>
        <v/>
      </c>
      <c r="R456" s="16">
        <f>IF(OR($A456="",J456="",$C456=""),"",IF(COUNTIFS($A$5:$A$639,$A456,$C$5:$C$639,$C456-1,$D$5:$D$639,$D456,J$5:J$639,"&lt;&gt;")=0,"",IF(OR(SUMIFS(J$5:J$639,$A$5:$A$639,$A456,$C$5:$C$639,$C456-1,$D$5:$D$639,$D456)=0,J456*SUMIFS(J$5:J$639,$A$5:$A$639,$A456,$C$5:$C$639,$C456-1,$D$5:$D$639,$D456)&lt;0),"n.s.",ABS(J456)/ABS(SUMIFS(J$5:J$639,$A$5:$A$639,$A456,$C$5:$C$639,$C456-1,$D$5:$D$639,$D456))-1)))</f>
        <v/>
      </c>
      <c r="S456" s="16">
        <f>IF(OR($A456="",K456="",$C456=""),"",IF(COUNTIFS($A$5:$A$639,$A456,$C$5:$C$639,$C456-1,$D$5:$D$639,$D456,K$5:K$639,"&lt;&gt;")=0,"",IF(OR(SUMIFS(K$5:K$639,$A$5:$A$639,$A456,$C$5:$C$639,$C456-1,$D$5:$D$639,$D456)=0,K456*SUMIFS(K$5:K$639,$A$5:$A$639,$A456,$C$5:$C$639,$C456-1,$D$5:$D$639,$D456)&lt;0),"n.s.",ABS(K456)/ABS(SUMIFS(K$5:K$639,$A$5:$A$639,$A456,$C$5:$C$639,$C456-1,$D$5:$D$639,$D456))-1)))</f>
        <v/>
      </c>
      <c r="T456" s="16">
        <f>IF(OR($A456="",L456="",$C456=""),"",IF(COUNTIFS($A$5:$A$639,$A456,$C$5:$C$639,$C456-1,$D$5:$D$639,$D456,L$5:L$639,"&lt;&gt;")=0,"",IF(OR(SUMIFS(L$5:L$639,$A$5:$A$639,$A456,$C$5:$C$639,$C456-1,$D$5:$D$639,$D456)=0,L456*SUMIFS(L$5:L$639,$A$5:$A$639,$A456,$C$5:$C$639,$C456-1,$D$5:$D$639,$D456)&lt;0),"n.s.",ABS(L456)/ABS(SUMIFS(L$5:L$639,$A$5:$A$639,$A456,$C$5:$C$639,$C456-1,$D$5:$D$639,$D456))-1)))</f>
        <v/>
      </c>
      <c r="U456" s="16">
        <f>IF(OR($A456="",M456="",$C456=""),"",IF(COUNTIFS($A$5:$A$639,$A456,$C$5:$C$639,$C456-1,$D$5:$D$639,$D456,M$5:M$639,"&lt;&gt;")=0,"",IF(OR(SUMIFS(M$5:M$639,$A$5:$A$639,$A456,$C$5:$C$639,$C456-1,$D$5:$D$639,$D456)=0,M456*SUMIFS(M$5:M$639,$A$5:$A$639,$A456,$C$5:$C$639,$C456-1,$D$5:$D$639,$D456)&lt;0),"n.s.",ABS(M456)/ABS(SUMIFS(M$5:M$639,$A$5:$A$639,$A456,$C$5:$C$639,$C456-1,$D$5:$D$639,$D456))-1)))</f>
        <v/>
      </c>
    </row>
    <row r="457">
      <c r="A457" s="9" t="inlineStr">
        <is>
          <t>SDCC</t>
        </is>
      </c>
      <c r="B457" s="10">
        <f>IF(A457="","",IFERROR(VLOOKUP(A457,Titres!$A$2:$B$400,2,FALSE),"Ticker inconnu"))</f>
        <v/>
      </c>
      <c r="C457" s="11" t="n">
        <v>2021</v>
      </c>
      <c r="D457" s="11" t="inlineStr">
        <is>
          <t>T3</t>
        </is>
      </c>
      <c r="E457" s="9" t="n"/>
      <c r="F457" s="12" t="n"/>
      <c r="G457" s="9" t="n"/>
      <c r="H457" s="13" t="n"/>
      <c r="I457" s="13" t="n"/>
      <c r="J457" s="13" t="n"/>
      <c r="K457" s="13" t="n"/>
      <c r="L457" s="13" t="n"/>
      <c r="M457" s="13" t="n"/>
      <c r="N457" s="14">
        <f>IF(A457="","",COUNT(H457:M457)/6)</f>
        <v/>
      </c>
      <c r="O457" s="15">
        <f>IF(COUNT(H457:M457)=0,"",IF(LEN(IF(COUNT(I457,J457)=2,IF(J457&gt;I457+1,"EBE &gt; VA ",""),"")&amp;IF(COUNT(H457,M457)=2,IF(ABS(M457)&gt;ABS(H457),"RN &gt; CA ",""),"")&amp;IF(COUNT(H457,K457)=2,IF(ABS(K457)&gt;ABS(H457),"RE &gt; CA ",""),""))=0,"OK",IF(COUNT(I457,J457)=2,IF(J457&gt;I457+1,"EBE &gt; VA ",""),"")&amp;IF(COUNT(H457,M457)=2,IF(ABS(M457)&gt;ABS(H457),"RN &gt; CA ",""),"")&amp;IF(COUNT(H457,K457)=2,IF(ABS(K457)&gt;ABS(H457),"RE &gt; CA ",""),"")))</f>
        <v/>
      </c>
      <c r="P457" s="16">
        <f>IF(OR($A457="",H457="",$C457=""),"",IF(COUNTIFS($A$5:$A$639,$A457,$C$5:$C$639,$C457-1,$D$5:$D$639,$D457,H$5:H$639,"&lt;&gt;")=0,"",IF(OR(SUMIFS(H$5:H$639,$A$5:$A$639,$A457,$C$5:$C$639,$C457-1,$D$5:$D$639,$D457)=0,H457*SUMIFS(H$5:H$639,$A$5:$A$639,$A457,$C$5:$C$639,$C457-1,$D$5:$D$639,$D457)&lt;0),"n.s.",ABS(H457)/ABS(SUMIFS(H$5:H$639,$A$5:$A$639,$A457,$C$5:$C$639,$C457-1,$D$5:$D$639,$D457))-1)))</f>
        <v/>
      </c>
      <c r="Q457" s="16">
        <f>IF(OR($A457="",I457="",$C457=""),"",IF(COUNTIFS($A$5:$A$639,$A457,$C$5:$C$639,$C457-1,$D$5:$D$639,$D457,I$5:I$639,"&lt;&gt;")=0,"",IF(OR(SUMIFS(I$5:I$639,$A$5:$A$639,$A457,$C$5:$C$639,$C457-1,$D$5:$D$639,$D457)=0,I457*SUMIFS(I$5:I$639,$A$5:$A$639,$A457,$C$5:$C$639,$C457-1,$D$5:$D$639,$D457)&lt;0),"n.s.",ABS(I457)/ABS(SUMIFS(I$5:I$639,$A$5:$A$639,$A457,$C$5:$C$639,$C457-1,$D$5:$D$639,$D457))-1)))</f>
        <v/>
      </c>
      <c r="R457" s="16">
        <f>IF(OR($A457="",J457="",$C457=""),"",IF(COUNTIFS($A$5:$A$639,$A457,$C$5:$C$639,$C457-1,$D$5:$D$639,$D457,J$5:J$639,"&lt;&gt;")=0,"",IF(OR(SUMIFS(J$5:J$639,$A$5:$A$639,$A457,$C$5:$C$639,$C457-1,$D$5:$D$639,$D457)=0,J457*SUMIFS(J$5:J$639,$A$5:$A$639,$A457,$C$5:$C$639,$C457-1,$D$5:$D$639,$D457)&lt;0),"n.s.",ABS(J457)/ABS(SUMIFS(J$5:J$639,$A$5:$A$639,$A457,$C$5:$C$639,$C457-1,$D$5:$D$639,$D457))-1)))</f>
        <v/>
      </c>
      <c r="S457" s="16">
        <f>IF(OR($A457="",K457="",$C457=""),"",IF(COUNTIFS($A$5:$A$639,$A457,$C$5:$C$639,$C457-1,$D$5:$D$639,$D457,K$5:K$639,"&lt;&gt;")=0,"",IF(OR(SUMIFS(K$5:K$639,$A$5:$A$639,$A457,$C$5:$C$639,$C457-1,$D$5:$D$639,$D457)=0,K457*SUMIFS(K$5:K$639,$A$5:$A$639,$A457,$C$5:$C$639,$C457-1,$D$5:$D$639,$D457)&lt;0),"n.s.",ABS(K457)/ABS(SUMIFS(K$5:K$639,$A$5:$A$639,$A457,$C$5:$C$639,$C457-1,$D$5:$D$639,$D457))-1)))</f>
        <v/>
      </c>
      <c r="T457" s="16">
        <f>IF(OR($A457="",L457="",$C457=""),"",IF(COUNTIFS($A$5:$A$639,$A457,$C$5:$C$639,$C457-1,$D$5:$D$639,$D457,L$5:L$639,"&lt;&gt;")=0,"",IF(OR(SUMIFS(L$5:L$639,$A$5:$A$639,$A457,$C$5:$C$639,$C457-1,$D$5:$D$639,$D457)=0,L457*SUMIFS(L$5:L$639,$A$5:$A$639,$A457,$C$5:$C$639,$C457-1,$D$5:$D$639,$D457)&lt;0),"n.s.",ABS(L457)/ABS(SUMIFS(L$5:L$639,$A$5:$A$639,$A457,$C$5:$C$639,$C457-1,$D$5:$D$639,$D457))-1)))</f>
        <v/>
      </c>
      <c r="U457" s="16">
        <f>IF(OR($A457="",M457="",$C457=""),"",IF(COUNTIFS($A$5:$A$639,$A457,$C$5:$C$639,$C457-1,$D$5:$D$639,$D457,M$5:M$639,"&lt;&gt;")=0,"",IF(OR(SUMIFS(M$5:M$639,$A$5:$A$639,$A457,$C$5:$C$639,$C457-1,$D$5:$D$639,$D457)=0,M457*SUMIFS(M$5:M$639,$A$5:$A$639,$A457,$C$5:$C$639,$C457-1,$D$5:$D$639,$D457)&lt;0),"n.s.",ABS(M457)/ABS(SUMIFS(M$5:M$639,$A$5:$A$639,$A457,$C$5:$C$639,$C457-1,$D$5:$D$639,$D457))-1)))</f>
        <v/>
      </c>
    </row>
    <row r="458">
      <c r="A458" s="9" t="inlineStr">
        <is>
          <t>SDCC</t>
        </is>
      </c>
      <c r="B458" s="10">
        <f>IF(A458="","",IFERROR(VLOOKUP(A458,Titres!$A$2:$B$400,2,FALSE),"Ticker inconnu"))</f>
        <v/>
      </c>
      <c r="C458" s="11" t="n">
        <v>2022</v>
      </c>
      <c r="D458" s="11" t="inlineStr">
        <is>
          <t>T1</t>
        </is>
      </c>
      <c r="E458" s="9" t="n"/>
      <c r="F458" s="12" t="n"/>
      <c r="G458" s="9" t="n"/>
      <c r="H458" s="13" t="n"/>
      <c r="I458" s="13" t="n"/>
      <c r="J458" s="13" t="n"/>
      <c r="K458" s="13" t="n"/>
      <c r="L458" s="13" t="n"/>
      <c r="M458" s="13" t="n"/>
      <c r="N458" s="14">
        <f>IF(A458="","",COUNT(H458:M458)/6)</f>
        <v/>
      </c>
      <c r="O458" s="15">
        <f>IF(COUNT(H458:M458)=0,"",IF(LEN(IF(COUNT(I458,J458)=2,IF(J458&gt;I458+1,"EBE &gt; VA ",""),"")&amp;IF(COUNT(H458,M458)=2,IF(ABS(M458)&gt;ABS(H458),"RN &gt; CA ",""),"")&amp;IF(COUNT(H458,K458)=2,IF(ABS(K458)&gt;ABS(H458),"RE &gt; CA ",""),""))=0,"OK",IF(COUNT(I458,J458)=2,IF(J458&gt;I458+1,"EBE &gt; VA ",""),"")&amp;IF(COUNT(H458,M458)=2,IF(ABS(M458)&gt;ABS(H458),"RN &gt; CA ",""),"")&amp;IF(COUNT(H458,K458)=2,IF(ABS(K458)&gt;ABS(H458),"RE &gt; CA ",""),"")))</f>
        <v/>
      </c>
      <c r="P458" s="16">
        <f>IF(OR($A458="",H458="",$C458=""),"",IF(COUNTIFS($A$5:$A$639,$A458,$C$5:$C$639,$C458-1,$D$5:$D$639,$D458,H$5:H$639,"&lt;&gt;")=0,"",IF(OR(SUMIFS(H$5:H$639,$A$5:$A$639,$A458,$C$5:$C$639,$C458-1,$D$5:$D$639,$D458)=0,H458*SUMIFS(H$5:H$639,$A$5:$A$639,$A458,$C$5:$C$639,$C458-1,$D$5:$D$639,$D458)&lt;0),"n.s.",ABS(H458)/ABS(SUMIFS(H$5:H$639,$A$5:$A$639,$A458,$C$5:$C$639,$C458-1,$D$5:$D$639,$D458))-1)))</f>
        <v/>
      </c>
      <c r="Q458" s="16">
        <f>IF(OR($A458="",I458="",$C458=""),"",IF(COUNTIFS($A$5:$A$639,$A458,$C$5:$C$639,$C458-1,$D$5:$D$639,$D458,I$5:I$639,"&lt;&gt;")=0,"",IF(OR(SUMIFS(I$5:I$639,$A$5:$A$639,$A458,$C$5:$C$639,$C458-1,$D$5:$D$639,$D458)=0,I458*SUMIFS(I$5:I$639,$A$5:$A$639,$A458,$C$5:$C$639,$C458-1,$D$5:$D$639,$D458)&lt;0),"n.s.",ABS(I458)/ABS(SUMIFS(I$5:I$639,$A$5:$A$639,$A458,$C$5:$C$639,$C458-1,$D$5:$D$639,$D458))-1)))</f>
        <v/>
      </c>
      <c r="R458" s="16">
        <f>IF(OR($A458="",J458="",$C458=""),"",IF(COUNTIFS($A$5:$A$639,$A458,$C$5:$C$639,$C458-1,$D$5:$D$639,$D458,J$5:J$639,"&lt;&gt;")=0,"",IF(OR(SUMIFS(J$5:J$639,$A$5:$A$639,$A458,$C$5:$C$639,$C458-1,$D$5:$D$639,$D458)=0,J458*SUMIFS(J$5:J$639,$A$5:$A$639,$A458,$C$5:$C$639,$C458-1,$D$5:$D$639,$D458)&lt;0),"n.s.",ABS(J458)/ABS(SUMIFS(J$5:J$639,$A$5:$A$639,$A458,$C$5:$C$639,$C458-1,$D$5:$D$639,$D458))-1)))</f>
        <v/>
      </c>
      <c r="S458" s="16">
        <f>IF(OR($A458="",K458="",$C458=""),"",IF(COUNTIFS($A$5:$A$639,$A458,$C$5:$C$639,$C458-1,$D$5:$D$639,$D458,K$5:K$639,"&lt;&gt;")=0,"",IF(OR(SUMIFS(K$5:K$639,$A$5:$A$639,$A458,$C$5:$C$639,$C458-1,$D$5:$D$639,$D458)=0,K458*SUMIFS(K$5:K$639,$A$5:$A$639,$A458,$C$5:$C$639,$C458-1,$D$5:$D$639,$D458)&lt;0),"n.s.",ABS(K458)/ABS(SUMIFS(K$5:K$639,$A$5:$A$639,$A458,$C$5:$C$639,$C458-1,$D$5:$D$639,$D458))-1)))</f>
        <v/>
      </c>
      <c r="T458" s="16">
        <f>IF(OR($A458="",L458="",$C458=""),"",IF(COUNTIFS($A$5:$A$639,$A458,$C$5:$C$639,$C458-1,$D$5:$D$639,$D458,L$5:L$639,"&lt;&gt;")=0,"",IF(OR(SUMIFS(L$5:L$639,$A$5:$A$639,$A458,$C$5:$C$639,$C458-1,$D$5:$D$639,$D458)=0,L458*SUMIFS(L$5:L$639,$A$5:$A$639,$A458,$C$5:$C$639,$C458-1,$D$5:$D$639,$D458)&lt;0),"n.s.",ABS(L458)/ABS(SUMIFS(L$5:L$639,$A$5:$A$639,$A458,$C$5:$C$639,$C458-1,$D$5:$D$639,$D458))-1)))</f>
        <v/>
      </c>
      <c r="U458" s="16">
        <f>IF(OR($A458="",M458="",$C458=""),"",IF(COUNTIFS($A$5:$A$639,$A458,$C$5:$C$639,$C458-1,$D$5:$D$639,$D458,M$5:M$639,"&lt;&gt;")=0,"",IF(OR(SUMIFS(M$5:M$639,$A$5:$A$639,$A458,$C$5:$C$639,$C458-1,$D$5:$D$639,$D458)=0,M458*SUMIFS(M$5:M$639,$A$5:$A$639,$A458,$C$5:$C$639,$C458-1,$D$5:$D$639,$D458)&lt;0),"n.s.",ABS(M458)/ABS(SUMIFS(M$5:M$639,$A$5:$A$639,$A458,$C$5:$C$639,$C458-1,$D$5:$D$639,$D458))-1)))</f>
        <v/>
      </c>
    </row>
    <row r="459">
      <c r="A459" s="9" t="inlineStr">
        <is>
          <t>SDCC</t>
        </is>
      </c>
      <c r="B459" s="10">
        <f>IF(A459="","",IFERROR(VLOOKUP(A459,Titres!$A$2:$B$400,2,FALSE),"Ticker inconnu"))</f>
        <v/>
      </c>
      <c r="C459" s="11" t="n">
        <v>2022</v>
      </c>
      <c r="D459" s="11" t="inlineStr">
        <is>
          <t>S1</t>
        </is>
      </c>
      <c r="E459" s="9" t="n"/>
      <c r="F459" s="12" t="n"/>
      <c r="G459" s="9" t="n"/>
      <c r="H459" s="13" t="n"/>
      <c r="I459" s="13" t="n"/>
      <c r="J459" s="13" t="n"/>
      <c r="K459" s="13" t="n"/>
      <c r="L459" s="13" t="n"/>
      <c r="M459" s="13" t="n"/>
      <c r="N459" s="14">
        <f>IF(A459="","",COUNT(H459:M459)/6)</f>
        <v/>
      </c>
      <c r="O459" s="15">
        <f>IF(COUNT(H459:M459)=0,"",IF(LEN(IF(COUNT(I459,J459)=2,IF(J459&gt;I459+1,"EBE &gt; VA ",""),"")&amp;IF(COUNT(H459,M459)=2,IF(ABS(M459)&gt;ABS(H459),"RN &gt; CA ",""),"")&amp;IF(COUNT(H459,K459)=2,IF(ABS(K459)&gt;ABS(H459),"RE &gt; CA ",""),""))=0,"OK",IF(COUNT(I459,J459)=2,IF(J459&gt;I459+1,"EBE &gt; VA ",""),"")&amp;IF(COUNT(H459,M459)=2,IF(ABS(M459)&gt;ABS(H459),"RN &gt; CA ",""),"")&amp;IF(COUNT(H459,K459)=2,IF(ABS(K459)&gt;ABS(H459),"RE &gt; CA ",""),"")))</f>
        <v/>
      </c>
      <c r="P459" s="16">
        <f>IF(OR($A459="",H459="",$C459=""),"",IF(COUNTIFS($A$5:$A$639,$A459,$C$5:$C$639,$C459-1,$D$5:$D$639,$D459,H$5:H$639,"&lt;&gt;")=0,"",IF(OR(SUMIFS(H$5:H$639,$A$5:$A$639,$A459,$C$5:$C$639,$C459-1,$D$5:$D$639,$D459)=0,H459*SUMIFS(H$5:H$639,$A$5:$A$639,$A459,$C$5:$C$639,$C459-1,$D$5:$D$639,$D459)&lt;0),"n.s.",ABS(H459)/ABS(SUMIFS(H$5:H$639,$A$5:$A$639,$A459,$C$5:$C$639,$C459-1,$D$5:$D$639,$D459))-1)))</f>
        <v/>
      </c>
      <c r="Q459" s="16">
        <f>IF(OR($A459="",I459="",$C459=""),"",IF(COUNTIFS($A$5:$A$639,$A459,$C$5:$C$639,$C459-1,$D$5:$D$639,$D459,I$5:I$639,"&lt;&gt;")=0,"",IF(OR(SUMIFS(I$5:I$639,$A$5:$A$639,$A459,$C$5:$C$639,$C459-1,$D$5:$D$639,$D459)=0,I459*SUMIFS(I$5:I$639,$A$5:$A$639,$A459,$C$5:$C$639,$C459-1,$D$5:$D$639,$D459)&lt;0),"n.s.",ABS(I459)/ABS(SUMIFS(I$5:I$639,$A$5:$A$639,$A459,$C$5:$C$639,$C459-1,$D$5:$D$639,$D459))-1)))</f>
        <v/>
      </c>
      <c r="R459" s="16">
        <f>IF(OR($A459="",J459="",$C459=""),"",IF(COUNTIFS($A$5:$A$639,$A459,$C$5:$C$639,$C459-1,$D$5:$D$639,$D459,J$5:J$639,"&lt;&gt;")=0,"",IF(OR(SUMIFS(J$5:J$639,$A$5:$A$639,$A459,$C$5:$C$639,$C459-1,$D$5:$D$639,$D459)=0,J459*SUMIFS(J$5:J$639,$A$5:$A$639,$A459,$C$5:$C$639,$C459-1,$D$5:$D$639,$D459)&lt;0),"n.s.",ABS(J459)/ABS(SUMIFS(J$5:J$639,$A$5:$A$639,$A459,$C$5:$C$639,$C459-1,$D$5:$D$639,$D459))-1)))</f>
        <v/>
      </c>
      <c r="S459" s="16">
        <f>IF(OR($A459="",K459="",$C459=""),"",IF(COUNTIFS($A$5:$A$639,$A459,$C$5:$C$639,$C459-1,$D$5:$D$639,$D459,K$5:K$639,"&lt;&gt;")=0,"",IF(OR(SUMIFS(K$5:K$639,$A$5:$A$639,$A459,$C$5:$C$639,$C459-1,$D$5:$D$639,$D459)=0,K459*SUMIFS(K$5:K$639,$A$5:$A$639,$A459,$C$5:$C$639,$C459-1,$D$5:$D$639,$D459)&lt;0),"n.s.",ABS(K459)/ABS(SUMIFS(K$5:K$639,$A$5:$A$639,$A459,$C$5:$C$639,$C459-1,$D$5:$D$639,$D459))-1)))</f>
        <v/>
      </c>
      <c r="T459" s="16">
        <f>IF(OR($A459="",L459="",$C459=""),"",IF(COUNTIFS($A$5:$A$639,$A459,$C$5:$C$639,$C459-1,$D$5:$D$639,$D459,L$5:L$639,"&lt;&gt;")=0,"",IF(OR(SUMIFS(L$5:L$639,$A$5:$A$639,$A459,$C$5:$C$639,$C459-1,$D$5:$D$639,$D459)=0,L459*SUMIFS(L$5:L$639,$A$5:$A$639,$A459,$C$5:$C$639,$C459-1,$D$5:$D$639,$D459)&lt;0),"n.s.",ABS(L459)/ABS(SUMIFS(L$5:L$639,$A$5:$A$639,$A459,$C$5:$C$639,$C459-1,$D$5:$D$639,$D459))-1)))</f>
        <v/>
      </c>
      <c r="U459" s="16">
        <f>IF(OR($A459="",M459="",$C459=""),"",IF(COUNTIFS($A$5:$A$639,$A459,$C$5:$C$639,$C459-1,$D$5:$D$639,$D459,M$5:M$639,"&lt;&gt;")=0,"",IF(OR(SUMIFS(M$5:M$639,$A$5:$A$639,$A459,$C$5:$C$639,$C459-1,$D$5:$D$639,$D459)=0,M459*SUMIFS(M$5:M$639,$A$5:$A$639,$A459,$C$5:$C$639,$C459-1,$D$5:$D$639,$D459)&lt;0),"n.s.",ABS(M459)/ABS(SUMIFS(M$5:M$639,$A$5:$A$639,$A459,$C$5:$C$639,$C459-1,$D$5:$D$639,$D459))-1)))</f>
        <v/>
      </c>
    </row>
    <row r="460">
      <c r="A460" s="9" t="inlineStr">
        <is>
          <t>SDCC</t>
        </is>
      </c>
      <c r="B460" s="10">
        <f>IF(A460="","",IFERROR(VLOOKUP(A460,Titres!$A$2:$B$400,2,FALSE),"Ticker inconnu"))</f>
        <v/>
      </c>
      <c r="C460" s="11" t="n">
        <v>2022</v>
      </c>
      <c r="D460" s="11" t="inlineStr">
        <is>
          <t>T3</t>
        </is>
      </c>
      <c r="E460" s="9" t="n"/>
      <c r="F460" s="12" t="n"/>
      <c r="G460" s="9" t="n"/>
      <c r="H460" s="13" t="n"/>
      <c r="I460" s="13" t="n"/>
      <c r="J460" s="13" t="n"/>
      <c r="K460" s="13" t="n"/>
      <c r="L460" s="13" t="n"/>
      <c r="M460" s="13" t="n"/>
      <c r="N460" s="14">
        <f>IF(A460="","",COUNT(H460:M460)/6)</f>
        <v/>
      </c>
      <c r="O460" s="15">
        <f>IF(COUNT(H460:M460)=0,"",IF(LEN(IF(COUNT(I460,J460)=2,IF(J460&gt;I460+1,"EBE &gt; VA ",""),"")&amp;IF(COUNT(H460,M460)=2,IF(ABS(M460)&gt;ABS(H460),"RN &gt; CA ",""),"")&amp;IF(COUNT(H460,K460)=2,IF(ABS(K460)&gt;ABS(H460),"RE &gt; CA ",""),""))=0,"OK",IF(COUNT(I460,J460)=2,IF(J460&gt;I460+1,"EBE &gt; VA ",""),"")&amp;IF(COUNT(H460,M460)=2,IF(ABS(M460)&gt;ABS(H460),"RN &gt; CA ",""),"")&amp;IF(COUNT(H460,K460)=2,IF(ABS(K460)&gt;ABS(H460),"RE &gt; CA ",""),"")))</f>
        <v/>
      </c>
      <c r="P460" s="16">
        <f>IF(OR($A460="",H460="",$C460=""),"",IF(COUNTIFS($A$5:$A$639,$A460,$C$5:$C$639,$C460-1,$D$5:$D$639,$D460,H$5:H$639,"&lt;&gt;")=0,"",IF(OR(SUMIFS(H$5:H$639,$A$5:$A$639,$A460,$C$5:$C$639,$C460-1,$D$5:$D$639,$D460)=0,H460*SUMIFS(H$5:H$639,$A$5:$A$639,$A460,$C$5:$C$639,$C460-1,$D$5:$D$639,$D460)&lt;0),"n.s.",ABS(H460)/ABS(SUMIFS(H$5:H$639,$A$5:$A$639,$A460,$C$5:$C$639,$C460-1,$D$5:$D$639,$D460))-1)))</f>
        <v/>
      </c>
      <c r="Q460" s="16">
        <f>IF(OR($A460="",I460="",$C460=""),"",IF(COUNTIFS($A$5:$A$639,$A460,$C$5:$C$639,$C460-1,$D$5:$D$639,$D460,I$5:I$639,"&lt;&gt;")=0,"",IF(OR(SUMIFS(I$5:I$639,$A$5:$A$639,$A460,$C$5:$C$639,$C460-1,$D$5:$D$639,$D460)=0,I460*SUMIFS(I$5:I$639,$A$5:$A$639,$A460,$C$5:$C$639,$C460-1,$D$5:$D$639,$D460)&lt;0),"n.s.",ABS(I460)/ABS(SUMIFS(I$5:I$639,$A$5:$A$639,$A460,$C$5:$C$639,$C460-1,$D$5:$D$639,$D460))-1)))</f>
        <v/>
      </c>
      <c r="R460" s="16">
        <f>IF(OR($A460="",J460="",$C460=""),"",IF(COUNTIFS($A$5:$A$639,$A460,$C$5:$C$639,$C460-1,$D$5:$D$639,$D460,J$5:J$639,"&lt;&gt;")=0,"",IF(OR(SUMIFS(J$5:J$639,$A$5:$A$639,$A460,$C$5:$C$639,$C460-1,$D$5:$D$639,$D460)=0,J460*SUMIFS(J$5:J$639,$A$5:$A$639,$A460,$C$5:$C$639,$C460-1,$D$5:$D$639,$D460)&lt;0),"n.s.",ABS(J460)/ABS(SUMIFS(J$5:J$639,$A$5:$A$639,$A460,$C$5:$C$639,$C460-1,$D$5:$D$639,$D460))-1)))</f>
        <v/>
      </c>
      <c r="S460" s="16">
        <f>IF(OR($A460="",K460="",$C460=""),"",IF(COUNTIFS($A$5:$A$639,$A460,$C$5:$C$639,$C460-1,$D$5:$D$639,$D460,K$5:K$639,"&lt;&gt;")=0,"",IF(OR(SUMIFS(K$5:K$639,$A$5:$A$639,$A460,$C$5:$C$639,$C460-1,$D$5:$D$639,$D460)=0,K460*SUMIFS(K$5:K$639,$A$5:$A$639,$A460,$C$5:$C$639,$C460-1,$D$5:$D$639,$D460)&lt;0),"n.s.",ABS(K460)/ABS(SUMIFS(K$5:K$639,$A$5:$A$639,$A460,$C$5:$C$639,$C460-1,$D$5:$D$639,$D460))-1)))</f>
        <v/>
      </c>
      <c r="T460" s="16">
        <f>IF(OR($A460="",L460="",$C460=""),"",IF(COUNTIFS($A$5:$A$639,$A460,$C$5:$C$639,$C460-1,$D$5:$D$639,$D460,L$5:L$639,"&lt;&gt;")=0,"",IF(OR(SUMIFS(L$5:L$639,$A$5:$A$639,$A460,$C$5:$C$639,$C460-1,$D$5:$D$639,$D460)=0,L460*SUMIFS(L$5:L$639,$A$5:$A$639,$A460,$C$5:$C$639,$C460-1,$D$5:$D$639,$D460)&lt;0),"n.s.",ABS(L460)/ABS(SUMIFS(L$5:L$639,$A$5:$A$639,$A460,$C$5:$C$639,$C460-1,$D$5:$D$639,$D460))-1)))</f>
        <v/>
      </c>
      <c r="U460" s="16">
        <f>IF(OR($A460="",M460="",$C460=""),"",IF(COUNTIFS($A$5:$A$639,$A460,$C$5:$C$639,$C460-1,$D$5:$D$639,$D460,M$5:M$639,"&lt;&gt;")=0,"",IF(OR(SUMIFS(M$5:M$639,$A$5:$A$639,$A460,$C$5:$C$639,$C460-1,$D$5:$D$639,$D460)=0,M460*SUMIFS(M$5:M$639,$A$5:$A$639,$A460,$C$5:$C$639,$C460-1,$D$5:$D$639,$D460)&lt;0),"n.s.",ABS(M460)/ABS(SUMIFS(M$5:M$639,$A$5:$A$639,$A460,$C$5:$C$639,$C460-1,$D$5:$D$639,$D460))-1)))</f>
        <v/>
      </c>
    </row>
    <row r="461">
      <c r="A461" s="9" t="inlineStr">
        <is>
          <t>SDCC</t>
        </is>
      </c>
      <c r="B461" s="10">
        <f>IF(A461="","",IFERROR(VLOOKUP(A461,Titres!$A$2:$B$400,2,FALSE),"Ticker inconnu"))</f>
        <v/>
      </c>
      <c r="C461" s="11" t="n">
        <v>2023</v>
      </c>
      <c r="D461" s="11" t="inlineStr">
        <is>
          <t>T1</t>
        </is>
      </c>
      <c r="E461" s="9" t="n"/>
      <c r="F461" s="12" t="n"/>
      <c r="G461" s="9" t="n"/>
      <c r="H461" s="13" t="n"/>
      <c r="I461" s="13" t="n"/>
      <c r="J461" s="13" t="n"/>
      <c r="K461" s="13" t="n"/>
      <c r="L461" s="13" t="n"/>
      <c r="M461" s="13" t="n"/>
      <c r="N461" s="14">
        <f>IF(A461="","",COUNT(H461:M461)/6)</f>
        <v/>
      </c>
      <c r="O461" s="15">
        <f>IF(COUNT(H461:M461)=0,"",IF(LEN(IF(COUNT(I461,J461)=2,IF(J461&gt;I461+1,"EBE &gt; VA ",""),"")&amp;IF(COUNT(H461,M461)=2,IF(ABS(M461)&gt;ABS(H461),"RN &gt; CA ",""),"")&amp;IF(COUNT(H461,K461)=2,IF(ABS(K461)&gt;ABS(H461),"RE &gt; CA ",""),""))=0,"OK",IF(COUNT(I461,J461)=2,IF(J461&gt;I461+1,"EBE &gt; VA ",""),"")&amp;IF(COUNT(H461,M461)=2,IF(ABS(M461)&gt;ABS(H461),"RN &gt; CA ",""),"")&amp;IF(COUNT(H461,K461)=2,IF(ABS(K461)&gt;ABS(H461),"RE &gt; CA ",""),"")))</f>
        <v/>
      </c>
      <c r="P461" s="16">
        <f>IF(OR($A461="",H461="",$C461=""),"",IF(COUNTIFS($A$5:$A$639,$A461,$C$5:$C$639,$C461-1,$D$5:$D$639,$D461,H$5:H$639,"&lt;&gt;")=0,"",IF(OR(SUMIFS(H$5:H$639,$A$5:$A$639,$A461,$C$5:$C$639,$C461-1,$D$5:$D$639,$D461)=0,H461*SUMIFS(H$5:H$639,$A$5:$A$639,$A461,$C$5:$C$639,$C461-1,$D$5:$D$639,$D461)&lt;0),"n.s.",ABS(H461)/ABS(SUMIFS(H$5:H$639,$A$5:$A$639,$A461,$C$5:$C$639,$C461-1,$D$5:$D$639,$D461))-1)))</f>
        <v/>
      </c>
      <c r="Q461" s="16">
        <f>IF(OR($A461="",I461="",$C461=""),"",IF(COUNTIFS($A$5:$A$639,$A461,$C$5:$C$639,$C461-1,$D$5:$D$639,$D461,I$5:I$639,"&lt;&gt;")=0,"",IF(OR(SUMIFS(I$5:I$639,$A$5:$A$639,$A461,$C$5:$C$639,$C461-1,$D$5:$D$639,$D461)=0,I461*SUMIFS(I$5:I$639,$A$5:$A$639,$A461,$C$5:$C$639,$C461-1,$D$5:$D$639,$D461)&lt;0),"n.s.",ABS(I461)/ABS(SUMIFS(I$5:I$639,$A$5:$A$639,$A461,$C$5:$C$639,$C461-1,$D$5:$D$639,$D461))-1)))</f>
        <v/>
      </c>
      <c r="R461" s="16">
        <f>IF(OR($A461="",J461="",$C461=""),"",IF(COUNTIFS($A$5:$A$639,$A461,$C$5:$C$639,$C461-1,$D$5:$D$639,$D461,J$5:J$639,"&lt;&gt;")=0,"",IF(OR(SUMIFS(J$5:J$639,$A$5:$A$639,$A461,$C$5:$C$639,$C461-1,$D$5:$D$639,$D461)=0,J461*SUMIFS(J$5:J$639,$A$5:$A$639,$A461,$C$5:$C$639,$C461-1,$D$5:$D$639,$D461)&lt;0),"n.s.",ABS(J461)/ABS(SUMIFS(J$5:J$639,$A$5:$A$639,$A461,$C$5:$C$639,$C461-1,$D$5:$D$639,$D461))-1)))</f>
        <v/>
      </c>
      <c r="S461" s="16">
        <f>IF(OR($A461="",K461="",$C461=""),"",IF(COUNTIFS($A$5:$A$639,$A461,$C$5:$C$639,$C461-1,$D$5:$D$639,$D461,K$5:K$639,"&lt;&gt;")=0,"",IF(OR(SUMIFS(K$5:K$639,$A$5:$A$639,$A461,$C$5:$C$639,$C461-1,$D$5:$D$639,$D461)=0,K461*SUMIFS(K$5:K$639,$A$5:$A$639,$A461,$C$5:$C$639,$C461-1,$D$5:$D$639,$D461)&lt;0),"n.s.",ABS(K461)/ABS(SUMIFS(K$5:K$639,$A$5:$A$639,$A461,$C$5:$C$639,$C461-1,$D$5:$D$639,$D461))-1)))</f>
        <v/>
      </c>
      <c r="T461" s="16">
        <f>IF(OR($A461="",L461="",$C461=""),"",IF(COUNTIFS($A$5:$A$639,$A461,$C$5:$C$639,$C461-1,$D$5:$D$639,$D461,L$5:L$639,"&lt;&gt;")=0,"",IF(OR(SUMIFS(L$5:L$639,$A$5:$A$639,$A461,$C$5:$C$639,$C461-1,$D$5:$D$639,$D461)=0,L461*SUMIFS(L$5:L$639,$A$5:$A$639,$A461,$C$5:$C$639,$C461-1,$D$5:$D$639,$D461)&lt;0),"n.s.",ABS(L461)/ABS(SUMIFS(L$5:L$639,$A$5:$A$639,$A461,$C$5:$C$639,$C461-1,$D$5:$D$639,$D461))-1)))</f>
        <v/>
      </c>
      <c r="U461" s="16">
        <f>IF(OR($A461="",M461="",$C461=""),"",IF(COUNTIFS($A$5:$A$639,$A461,$C$5:$C$639,$C461-1,$D$5:$D$639,$D461,M$5:M$639,"&lt;&gt;")=0,"",IF(OR(SUMIFS(M$5:M$639,$A$5:$A$639,$A461,$C$5:$C$639,$C461-1,$D$5:$D$639,$D461)=0,M461*SUMIFS(M$5:M$639,$A$5:$A$639,$A461,$C$5:$C$639,$C461-1,$D$5:$D$639,$D461)&lt;0),"n.s.",ABS(M461)/ABS(SUMIFS(M$5:M$639,$A$5:$A$639,$A461,$C$5:$C$639,$C461-1,$D$5:$D$639,$D461))-1)))</f>
        <v/>
      </c>
    </row>
    <row r="462">
      <c r="A462" s="9" t="inlineStr">
        <is>
          <t>SDCC</t>
        </is>
      </c>
      <c r="B462" s="10">
        <f>IF(A462="","",IFERROR(VLOOKUP(A462,Titres!$A$2:$B$400,2,FALSE),"Ticker inconnu"))</f>
        <v/>
      </c>
      <c r="C462" s="11" t="n">
        <v>2023</v>
      </c>
      <c r="D462" s="11" t="inlineStr">
        <is>
          <t>S1</t>
        </is>
      </c>
      <c r="E462" s="9" t="n"/>
      <c r="F462" s="12" t="n"/>
      <c r="G462" s="9" t="n"/>
      <c r="H462" s="13" t="n"/>
      <c r="I462" s="13" t="n"/>
      <c r="J462" s="13" t="n"/>
      <c r="K462" s="13" t="n"/>
      <c r="L462" s="13" t="n"/>
      <c r="M462" s="13" t="n"/>
      <c r="N462" s="14">
        <f>IF(A462="","",COUNT(H462:M462)/6)</f>
        <v/>
      </c>
      <c r="O462" s="15">
        <f>IF(COUNT(H462:M462)=0,"",IF(LEN(IF(COUNT(I462,J462)=2,IF(J462&gt;I462+1,"EBE &gt; VA ",""),"")&amp;IF(COUNT(H462,M462)=2,IF(ABS(M462)&gt;ABS(H462),"RN &gt; CA ",""),"")&amp;IF(COUNT(H462,K462)=2,IF(ABS(K462)&gt;ABS(H462),"RE &gt; CA ",""),""))=0,"OK",IF(COUNT(I462,J462)=2,IF(J462&gt;I462+1,"EBE &gt; VA ",""),"")&amp;IF(COUNT(H462,M462)=2,IF(ABS(M462)&gt;ABS(H462),"RN &gt; CA ",""),"")&amp;IF(COUNT(H462,K462)=2,IF(ABS(K462)&gt;ABS(H462),"RE &gt; CA ",""),"")))</f>
        <v/>
      </c>
      <c r="P462" s="16">
        <f>IF(OR($A462="",H462="",$C462=""),"",IF(COUNTIFS($A$5:$A$639,$A462,$C$5:$C$639,$C462-1,$D$5:$D$639,$D462,H$5:H$639,"&lt;&gt;")=0,"",IF(OR(SUMIFS(H$5:H$639,$A$5:$A$639,$A462,$C$5:$C$639,$C462-1,$D$5:$D$639,$D462)=0,H462*SUMIFS(H$5:H$639,$A$5:$A$639,$A462,$C$5:$C$639,$C462-1,$D$5:$D$639,$D462)&lt;0),"n.s.",ABS(H462)/ABS(SUMIFS(H$5:H$639,$A$5:$A$639,$A462,$C$5:$C$639,$C462-1,$D$5:$D$639,$D462))-1)))</f>
        <v/>
      </c>
      <c r="Q462" s="16">
        <f>IF(OR($A462="",I462="",$C462=""),"",IF(COUNTIFS($A$5:$A$639,$A462,$C$5:$C$639,$C462-1,$D$5:$D$639,$D462,I$5:I$639,"&lt;&gt;")=0,"",IF(OR(SUMIFS(I$5:I$639,$A$5:$A$639,$A462,$C$5:$C$639,$C462-1,$D$5:$D$639,$D462)=0,I462*SUMIFS(I$5:I$639,$A$5:$A$639,$A462,$C$5:$C$639,$C462-1,$D$5:$D$639,$D462)&lt;0),"n.s.",ABS(I462)/ABS(SUMIFS(I$5:I$639,$A$5:$A$639,$A462,$C$5:$C$639,$C462-1,$D$5:$D$639,$D462))-1)))</f>
        <v/>
      </c>
      <c r="R462" s="16">
        <f>IF(OR($A462="",J462="",$C462=""),"",IF(COUNTIFS($A$5:$A$639,$A462,$C$5:$C$639,$C462-1,$D$5:$D$639,$D462,J$5:J$639,"&lt;&gt;")=0,"",IF(OR(SUMIFS(J$5:J$639,$A$5:$A$639,$A462,$C$5:$C$639,$C462-1,$D$5:$D$639,$D462)=0,J462*SUMIFS(J$5:J$639,$A$5:$A$639,$A462,$C$5:$C$639,$C462-1,$D$5:$D$639,$D462)&lt;0),"n.s.",ABS(J462)/ABS(SUMIFS(J$5:J$639,$A$5:$A$639,$A462,$C$5:$C$639,$C462-1,$D$5:$D$639,$D462))-1)))</f>
        <v/>
      </c>
      <c r="S462" s="16">
        <f>IF(OR($A462="",K462="",$C462=""),"",IF(COUNTIFS($A$5:$A$639,$A462,$C$5:$C$639,$C462-1,$D$5:$D$639,$D462,K$5:K$639,"&lt;&gt;")=0,"",IF(OR(SUMIFS(K$5:K$639,$A$5:$A$639,$A462,$C$5:$C$639,$C462-1,$D$5:$D$639,$D462)=0,K462*SUMIFS(K$5:K$639,$A$5:$A$639,$A462,$C$5:$C$639,$C462-1,$D$5:$D$639,$D462)&lt;0),"n.s.",ABS(K462)/ABS(SUMIFS(K$5:K$639,$A$5:$A$639,$A462,$C$5:$C$639,$C462-1,$D$5:$D$639,$D462))-1)))</f>
        <v/>
      </c>
      <c r="T462" s="16">
        <f>IF(OR($A462="",L462="",$C462=""),"",IF(COUNTIFS($A$5:$A$639,$A462,$C$5:$C$639,$C462-1,$D$5:$D$639,$D462,L$5:L$639,"&lt;&gt;")=0,"",IF(OR(SUMIFS(L$5:L$639,$A$5:$A$639,$A462,$C$5:$C$639,$C462-1,$D$5:$D$639,$D462)=0,L462*SUMIFS(L$5:L$639,$A$5:$A$639,$A462,$C$5:$C$639,$C462-1,$D$5:$D$639,$D462)&lt;0),"n.s.",ABS(L462)/ABS(SUMIFS(L$5:L$639,$A$5:$A$639,$A462,$C$5:$C$639,$C462-1,$D$5:$D$639,$D462))-1)))</f>
        <v/>
      </c>
      <c r="U462" s="16">
        <f>IF(OR($A462="",M462="",$C462=""),"",IF(COUNTIFS($A$5:$A$639,$A462,$C$5:$C$639,$C462-1,$D$5:$D$639,$D462,M$5:M$639,"&lt;&gt;")=0,"",IF(OR(SUMIFS(M$5:M$639,$A$5:$A$639,$A462,$C$5:$C$639,$C462-1,$D$5:$D$639,$D462)=0,M462*SUMIFS(M$5:M$639,$A$5:$A$639,$A462,$C$5:$C$639,$C462-1,$D$5:$D$639,$D462)&lt;0),"n.s.",ABS(M462)/ABS(SUMIFS(M$5:M$639,$A$5:$A$639,$A462,$C$5:$C$639,$C462-1,$D$5:$D$639,$D462))-1)))</f>
        <v/>
      </c>
    </row>
    <row r="463">
      <c r="A463" s="9" t="inlineStr">
        <is>
          <t>SDCC</t>
        </is>
      </c>
      <c r="B463" s="10">
        <f>IF(A463="","",IFERROR(VLOOKUP(A463,Titres!$A$2:$B$400,2,FALSE),"Ticker inconnu"))</f>
        <v/>
      </c>
      <c r="C463" s="11" t="n">
        <v>2023</v>
      </c>
      <c r="D463" s="11" t="inlineStr">
        <is>
          <t>T3</t>
        </is>
      </c>
      <c r="E463" s="9" t="n"/>
      <c r="F463" s="12" t="n"/>
      <c r="G463" s="9" t="n"/>
      <c r="H463" s="13" t="n"/>
      <c r="I463" s="13" t="n"/>
      <c r="J463" s="13" t="n"/>
      <c r="K463" s="13" t="n"/>
      <c r="L463" s="13" t="n"/>
      <c r="M463" s="13" t="n"/>
      <c r="N463" s="14">
        <f>IF(A463="","",COUNT(H463:M463)/6)</f>
        <v/>
      </c>
      <c r="O463" s="15">
        <f>IF(COUNT(H463:M463)=0,"",IF(LEN(IF(COUNT(I463,J463)=2,IF(J463&gt;I463+1,"EBE &gt; VA ",""),"")&amp;IF(COUNT(H463,M463)=2,IF(ABS(M463)&gt;ABS(H463),"RN &gt; CA ",""),"")&amp;IF(COUNT(H463,K463)=2,IF(ABS(K463)&gt;ABS(H463),"RE &gt; CA ",""),""))=0,"OK",IF(COUNT(I463,J463)=2,IF(J463&gt;I463+1,"EBE &gt; VA ",""),"")&amp;IF(COUNT(H463,M463)=2,IF(ABS(M463)&gt;ABS(H463),"RN &gt; CA ",""),"")&amp;IF(COUNT(H463,K463)=2,IF(ABS(K463)&gt;ABS(H463),"RE &gt; CA ",""),"")))</f>
        <v/>
      </c>
      <c r="P463" s="16">
        <f>IF(OR($A463="",H463="",$C463=""),"",IF(COUNTIFS($A$5:$A$639,$A463,$C$5:$C$639,$C463-1,$D$5:$D$639,$D463,H$5:H$639,"&lt;&gt;")=0,"",IF(OR(SUMIFS(H$5:H$639,$A$5:$A$639,$A463,$C$5:$C$639,$C463-1,$D$5:$D$639,$D463)=0,H463*SUMIFS(H$5:H$639,$A$5:$A$639,$A463,$C$5:$C$639,$C463-1,$D$5:$D$639,$D463)&lt;0),"n.s.",ABS(H463)/ABS(SUMIFS(H$5:H$639,$A$5:$A$639,$A463,$C$5:$C$639,$C463-1,$D$5:$D$639,$D463))-1)))</f>
        <v/>
      </c>
      <c r="Q463" s="16">
        <f>IF(OR($A463="",I463="",$C463=""),"",IF(COUNTIFS($A$5:$A$639,$A463,$C$5:$C$639,$C463-1,$D$5:$D$639,$D463,I$5:I$639,"&lt;&gt;")=0,"",IF(OR(SUMIFS(I$5:I$639,$A$5:$A$639,$A463,$C$5:$C$639,$C463-1,$D$5:$D$639,$D463)=0,I463*SUMIFS(I$5:I$639,$A$5:$A$639,$A463,$C$5:$C$639,$C463-1,$D$5:$D$639,$D463)&lt;0),"n.s.",ABS(I463)/ABS(SUMIFS(I$5:I$639,$A$5:$A$639,$A463,$C$5:$C$639,$C463-1,$D$5:$D$639,$D463))-1)))</f>
        <v/>
      </c>
      <c r="R463" s="16">
        <f>IF(OR($A463="",J463="",$C463=""),"",IF(COUNTIFS($A$5:$A$639,$A463,$C$5:$C$639,$C463-1,$D$5:$D$639,$D463,J$5:J$639,"&lt;&gt;")=0,"",IF(OR(SUMIFS(J$5:J$639,$A$5:$A$639,$A463,$C$5:$C$639,$C463-1,$D$5:$D$639,$D463)=0,J463*SUMIFS(J$5:J$639,$A$5:$A$639,$A463,$C$5:$C$639,$C463-1,$D$5:$D$639,$D463)&lt;0),"n.s.",ABS(J463)/ABS(SUMIFS(J$5:J$639,$A$5:$A$639,$A463,$C$5:$C$639,$C463-1,$D$5:$D$639,$D463))-1)))</f>
        <v/>
      </c>
      <c r="S463" s="16">
        <f>IF(OR($A463="",K463="",$C463=""),"",IF(COUNTIFS($A$5:$A$639,$A463,$C$5:$C$639,$C463-1,$D$5:$D$639,$D463,K$5:K$639,"&lt;&gt;")=0,"",IF(OR(SUMIFS(K$5:K$639,$A$5:$A$639,$A463,$C$5:$C$639,$C463-1,$D$5:$D$639,$D463)=0,K463*SUMIFS(K$5:K$639,$A$5:$A$639,$A463,$C$5:$C$639,$C463-1,$D$5:$D$639,$D463)&lt;0),"n.s.",ABS(K463)/ABS(SUMIFS(K$5:K$639,$A$5:$A$639,$A463,$C$5:$C$639,$C463-1,$D$5:$D$639,$D463))-1)))</f>
        <v/>
      </c>
      <c r="T463" s="16">
        <f>IF(OR($A463="",L463="",$C463=""),"",IF(COUNTIFS($A$5:$A$639,$A463,$C$5:$C$639,$C463-1,$D$5:$D$639,$D463,L$5:L$639,"&lt;&gt;")=0,"",IF(OR(SUMIFS(L$5:L$639,$A$5:$A$639,$A463,$C$5:$C$639,$C463-1,$D$5:$D$639,$D463)=0,L463*SUMIFS(L$5:L$639,$A$5:$A$639,$A463,$C$5:$C$639,$C463-1,$D$5:$D$639,$D463)&lt;0),"n.s.",ABS(L463)/ABS(SUMIFS(L$5:L$639,$A$5:$A$639,$A463,$C$5:$C$639,$C463-1,$D$5:$D$639,$D463))-1)))</f>
        <v/>
      </c>
      <c r="U463" s="16">
        <f>IF(OR($A463="",M463="",$C463=""),"",IF(COUNTIFS($A$5:$A$639,$A463,$C$5:$C$639,$C463-1,$D$5:$D$639,$D463,M$5:M$639,"&lt;&gt;")=0,"",IF(OR(SUMIFS(M$5:M$639,$A$5:$A$639,$A463,$C$5:$C$639,$C463-1,$D$5:$D$639,$D463)=0,M463*SUMIFS(M$5:M$639,$A$5:$A$639,$A463,$C$5:$C$639,$C463-1,$D$5:$D$639,$D463)&lt;0),"n.s.",ABS(M463)/ABS(SUMIFS(M$5:M$639,$A$5:$A$639,$A463,$C$5:$C$639,$C463-1,$D$5:$D$639,$D463))-1)))</f>
        <v/>
      </c>
    </row>
    <row r="464">
      <c r="A464" s="9" t="inlineStr">
        <is>
          <t>SDCC</t>
        </is>
      </c>
      <c r="B464" s="10">
        <f>IF(A464="","",IFERROR(VLOOKUP(A464,Titres!$A$2:$B$400,2,FALSE),"Ticker inconnu"))</f>
        <v/>
      </c>
      <c r="C464" s="11" t="n">
        <v>2024</v>
      </c>
      <c r="D464" s="11" t="inlineStr">
        <is>
          <t>T1</t>
        </is>
      </c>
      <c r="E464" s="9" t="n"/>
      <c r="F464" s="12" t="n"/>
      <c r="G464" s="9" t="n"/>
      <c r="H464" s="13" t="n"/>
      <c r="I464" s="13" t="n"/>
      <c r="J464" s="13" t="n"/>
      <c r="K464" s="13" t="n"/>
      <c r="L464" s="13" t="n"/>
      <c r="M464" s="13" t="n"/>
      <c r="N464" s="14">
        <f>IF(A464="","",COUNT(H464:M464)/6)</f>
        <v/>
      </c>
      <c r="O464" s="15">
        <f>IF(COUNT(H464:M464)=0,"",IF(LEN(IF(COUNT(I464,J464)=2,IF(J464&gt;I464+1,"EBE &gt; VA ",""),"")&amp;IF(COUNT(H464,M464)=2,IF(ABS(M464)&gt;ABS(H464),"RN &gt; CA ",""),"")&amp;IF(COUNT(H464,K464)=2,IF(ABS(K464)&gt;ABS(H464),"RE &gt; CA ",""),""))=0,"OK",IF(COUNT(I464,J464)=2,IF(J464&gt;I464+1,"EBE &gt; VA ",""),"")&amp;IF(COUNT(H464,M464)=2,IF(ABS(M464)&gt;ABS(H464),"RN &gt; CA ",""),"")&amp;IF(COUNT(H464,K464)=2,IF(ABS(K464)&gt;ABS(H464),"RE &gt; CA ",""),"")))</f>
        <v/>
      </c>
      <c r="P464" s="16">
        <f>IF(OR($A464="",H464="",$C464=""),"",IF(COUNTIFS($A$5:$A$639,$A464,$C$5:$C$639,$C464-1,$D$5:$D$639,$D464,H$5:H$639,"&lt;&gt;")=0,"",IF(OR(SUMIFS(H$5:H$639,$A$5:$A$639,$A464,$C$5:$C$639,$C464-1,$D$5:$D$639,$D464)=0,H464*SUMIFS(H$5:H$639,$A$5:$A$639,$A464,$C$5:$C$639,$C464-1,$D$5:$D$639,$D464)&lt;0),"n.s.",ABS(H464)/ABS(SUMIFS(H$5:H$639,$A$5:$A$639,$A464,$C$5:$C$639,$C464-1,$D$5:$D$639,$D464))-1)))</f>
        <v/>
      </c>
      <c r="Q464" s="16">
        <f>IF(OR($A464="",I464="",$C464=""),"",IF(COUNTIFS($A$5:$A$639,$A464,$C$5:$C$639,$C464-1,$D$5:$D$639,$D464,I$5:I$639,"&lt;&gt;")=0,"",IF(OR(SUMIFS(I$5:I$639,$A$5:$A$639,$A464,$C$5:$C$639,$C464-1,$D$5:$D$639,$D464)=0,I464*SUMIFS(I$5:I$639,$A$5:$A$639,$A464,$C$5:$C$639,$C464-1,$D$5:$D$639,$D464)&lt;0),"n.s.",ABS(I464)/ABS(SUMIFS(I$5:I$639,$A$5:$A$639,$A464,$C$5:$C$639,$C464-1,$D$5:$D$639,$D464))-1)))</f>
        <v/>
      </c>
      <c r="R464" s="16">
        <f>IF(OR($A464="",J464="",$C464=""),"",IF(COUNTIFS($A$5:$A$639,$A464,$C$5:$C$639,$C464-1,$D$5:$D$639,$D464,J$5:J$639,"&lt;&gt;")=0,"",IF(OR(SUMIFS(J$5:J$639,$A$5:$A$639,$A464,$C$5:$C$639,$C464-1,$D$5:$D$639,$D464)=0,J464*SUMIFS(J$5:J$639,$A$5:$A$639,$A464,$C$5:$C$639,$C464-1,$D$5:$D$639,$D464)&lt;0),"n.s.",ABS(J464)/ABS(SUMIFS(J$5:J$639,$A$5:$A$639,$A464,$C$5:$C$639,$C464-1,$D$5:$D$639,$D464))-1)))</f>
        <v/>
      </c>
      <c r="S464" s="16">
        <f>IF(OR($A464="",K464="",$C464=""),"",IF(COUNTIFS($A$5:$A$639,$A464,$C$5:$C$639,$C464-1,$D$5:$D$639,$D464,K$5:K$639,"&lt;&gt;")=0,"",IF(OR(SUMIFS(K$5:K$639,$A$5:$A$639,$A464,$C$5:$C$639,$C464-1,$D$5:$D$639,$D464)=0,K464*SUMIFS(K$5:K$639,$A$5:$A$639,$A464,$C$5:$C$639,$C464-1,$D$5:$D$639,$D464)&lt;0),"n.s.",ABS(K464)/ABS(SUMIFS(K$5:K$639,$A$5:$A$639,$A464,$C$5:$C$639,$C464-1,$D$5:$D$639,$D464))-1)))</f>
        <v/>
      </c>
      <c r="T464" s="16">
        <f>IF(OR($A464="",L464="",$C464=""),"",IF(COUNTIFS($A$5:$A$639,$A464,$C$5:$C$639,$C464-1,$D$5:$D$639,$D464,L$5:L$639,"&lt;&gt;")=0,"",IF(OR(SUMIFS(L$5:L$639,$A$5:$A$639,$A464,$C$5:$C$639,$C464-1,$D$5:$D$639,$D464)=0,L464*SUMIFS(L$5:L$639,$A$5:$A$639,$A464,$C$5:$C$639,$C464-1,$D$5:$D$639,$D464)&lt;0),"n.s.",ABS(L464)/ABS(SUMIFS(L$5:L$639,$A$5:$A$639,$A464,$C$5:$C$639,$C464-1,$D$5:$D$639,$D464))-1)))</f>
        <v/>
      </c>
      <c r="U464" s="16">
        <f>IF(OR($A464="",M464="",$C464=""),"",IF(COUNTIFS($A$5:$A$639,$A464,$C$5:$C$639,$C464-1,$D$5:$D$639,$D464,M$5:M$639,"&lt;&gt;")=0,"",IF(OR(SUMIFS(M$5:M$639,$A$5:$A$639,$A464,$C$5:$C$639,$C464-1,$D$5:$D$639,$D464)=0,M464*SUMIFS(M$5:M$639,$A$5:$A$639,$A464,$C$5:$C$639,$C464-1,$D$5:$D$639,$D464)&lt;0),"n.s.",ABS(M464)/ABS(SUMIFS(M$5:M$639,$A$5:$A$639,$A464,$C$5:$C$639,$C464-1,$D$5:$D$639,$D464))-1)))</f>
        <v/>
      </c>
    </row>
    <row r="465">
      <c r="A465" s="9" t="inlineStr">
        <is>
          <t>SDCC</t>
        </is>
      </c>
      <c r="B465" s="10">
        <f>IF(A465="","",IFERROR(VLOOKUP(A465,Titres!$A$2:$B$400,2,FALSE),"Ticker inconnu"))</f>
        <v/>
      </c>
      <c r="C465" s="11" t="n">
        <v>2024</v>
      </c>
      <c r="D465" s="11" t="inlineStr">
        <is>
          <t>S1</t>
        </is>
      </c>
      <c r="E465" s="9" t="n"/>
      <c r="F465" s="12" t="n"/>
      <c r="G465" s="9" t="n"/>
      <c r="H465" s="13" t="n"/>
      <c r="I465" s="13" t="n"/>
      <c r="J465" s="13" t="n"/>
      <c r="K465" s="13" t="n"/>
      <c r="L465" s="13" t="n"/>
      <c r="M465" s="13" t="n"/>
      <c r="N465" s="14">
        <f>IF(A465="","",COUNT(H465:M465)/6)</f>
        <v/>
      </c>
      <c r="O465" s="15">
        <f>IF(COUNT(H465:M465)=0,"",IF(LEN(IF(COUNT(I465,J465)=2,IF(J465&gt;I465+1,"EBE &gt; VA ",""),"")&amp;IF(COUNT(H465,M465)=2,IF(ABS(M465)&gt;ABS(H465),"RN &gt; CA ",""),"")&amp;IF(COUNT(H465,K465)=2,IF(ABS(K465)&gt;ABS(H465),"RE &gt; CA ",""),""))=0,"OK",IF(COUNT(I465,J465)=2,IF(J465&gt;I465+1,"EBE &gt; VA ",""),"")&amp;IF(COUNT(H465,M465)=2,IF(ABS(M465)&gt;ABS(H465),"RN &gt; CA ",""),"")&amp;IF(COUNT(H465,K465)=2,IF(ABS(K465)&gt;ABS(H465),"RE &gt; CA ",""),"")))</f>
        <v/>
      </c>
      <c r="P465" s="16">
        <f>IF(OR($A465="",H465="",$C465=""),"",IF(COUNTIFS($A$5:$A$639,$A465,$C$5:$C$639,$C465-1,$D$5:$D$639,$D465,H$5:H$639,"&lt;&gt;")=0,"",IF(OR(SUMIFS(H$5:H$639,$A$5:$A$639,$A465,$C$5:$C$639,$C465-1,$D$5:$D$639,$D465)=0,H465*SUMIFS(H$5:H$639,$A$5:$A$639,$A465,$C$5:$C$639,$C465-1,$D$5:$D$639,$D465)&lt;0),"n.s.",ABS(H465)/ABS(SUMIFS(H$5:H$639,$A$5:$A$639,$A465,$C$5:$C$639,$C465-1,$D$5:$D$639,$D465))-1)))</f>
        <v/>
      </c>
      <c r="Q465" s="16">
        <f>IF(OR($A465="",I465="",$C465=""),"",IF(COUNTIFS($A$5:$A$639,$A465,$C$5:$C$639,$C465-1,$D$5:$D$639,$D465,I$5:I$639,"&lt;&gt;")=0,"",IF(OR(SUMIFS(I$5:I$639,$A$5:$A$639,$A465,$C$5:$C$639,$C465-1,$D$5:$D$639,$D465)=0,I465*SUMIFS(I$5:I$639,$A$5:$A$639,$A465,$C$5:$C$639,$C465-1,$D$5:$D$639,$D465)&lt;0),"n.s.",ABS(I465)/ABS(SUMIFS(I$5:I$639,$A$5:$A$639,$A465,$C$5:$C$639,$C465-1,$D$5:$D$639,$D465))-1)))</f>
        <v/>
      </c>
      <c r="R465" s="16">
        <f>IF(OR($A465="",J465="",$C465=""),"",IF(COUNTIFS($A$5:$A$639,$A465,$C$5:$C$639,$C465-1,$D$5:$D$639,$D465,J$5:J$639,"&lt;&gt;")=0,"",IF(OR(SUMIFS(J$5:J$639,$A$5:$A$639,$A465,$C$5:$C$639,$C465-1,$D$5:$D$639,$D465)=0,J465*SUMIFS(J$5:J$639,$A$5:$A$639,$A465,$C$5:$C$639,$C465-1,$D$5:$D$639,$D465)&lt;0),"n.s.",ABS(J465)/ABS(SUMIFS(J$5:J$639,$A$5:$A$639,$A465,$C$5:$C$639,$C465-1,$D$5:$D$639,$D465))-1)))</f>
        <v/>
      </c>
      <c r="S465" s="16">
        <f>IF(OR($A465="",K465="",$C465=""),"",IF(COUNTIFS($A$5:$A$639,$A465,$C$5:$C$639,$C465-1,$D$5:$D$639,$D465,K$5:K$639,"&lt;&gt;")=0,"",IF(OR(SUMIFS(K$5:K$639,$A$5:$A$639,$A465,$C$5:$C$639,$C465-1,$D$5:$D$639,$D465)=0,K465*SUMIFS(K$5:K$639,$A$5:$A$639,$A465,$C$5:$C$639,$C465-1,$D$5:$D$639,$D465)&lt;0),"n.s.",ABS(K465)/ABS(SUMIFS(K$5:K$639,$A$5:$A$639,$A465,$C$5:$C$639,$C465-1,$D$5:$D$639,$D465))-1)))</f>
        <v/>
      </c>
      <c r="T465" s="16">
        <f>IF(OR($A465="",L465="",$C465=""),"",IF(COUNTIFS($A$5:$A$639,$A465,$C$5:$C$639,$C465-1,$D$5:$D$639,$D465,L$5:L$639,"&lt;&gt;")=0,"",IF(OR(SUMIFS(L$5:L$639,$A$5:$A$639,$A465,$C$5:$C$639,$C465-1,$D$5:$D$639,$D465)=0,L465*SUMIFS(L$5:L$639,$A$5:$A$639,$A465,$C$5:$C$639,$C465-1,$D$5:$D$639,$D465)&lt;0),"n.s.",ABS(L465)/ABS(SUMIFS(L$5:L$639,$A$5:$A$639,$A465,$C$5:$C$639,$C465-1,$D$5:$D$639,$D465))-1)))</f>
        <v/>
      </c>
      <c r="U465" s="16">
        <f>IF(OR($A465="",M465="",$C465=""),"",IF(COUNTIFS($A$5:$A$639,$A465,$C$5:$C$639,$C465-1,$D$5:$D$639,$D465,M$5:M$639,"&lt;&gt;")=0,"",IF(OR(SUMIFS(M$5:M$639,$A$5:$A$639,$A465,$C$5:$C$639,$C465-1,$D$5:$D$639,$D465)=0,M465*SUMIFS(M$5:M$639,$A$5:$A$639,$A465,$C$5:$C$639,$C465-1,$D$5:$D$639,$D465)&lt;0),"n.s.",ABS(M465)/ABS(SUMIFS(M$5:M$639,$A$5:$A$639,$A465,$C$5:$C$639,$C465-1,$D$5:$D$639,$D465))-1)))</f>
        <v/>
      </c>
    </row>
    <row r="466">
      <c r="A466" s="9" t="inlineStr">
        <is>
          <t>SDCC</t>
        </is>
      </c>
      <c r="B466" s="10">
        <f>IF(A466="","",IFERROR(VLOOKUP(A466,Titres!$A$2:$B$400,2,FALSE),"Ticker inconnu"))</f>
        <v/>
      </c>
      <c r="C466" s="11" t="n">
        <v>2024</v>
      </c>
      <c r="D466" s="11" t="inlineStr">
        <is>
          <t>T3</t>
        </is>
      </c>
      <c r="E466" s="9" t="n"/>
      <c r="F466" s="12" t="n"/>
      <c r="G466" s="9" t="n"/>
      <c r="H466" s="13" t="n"/>
      <c r="I466" s="13" t="n"/>
      <c r="J466" s="13" t="n"/>
      <c r="K466" s="13" t="n"/>
      <c r="L466" s="13" t="n"/>
      <c r="M466" s="13" t="n"/>
      <c r="N466" s="14">
        <f>IF(A466="","",COUNT(H466:M466)/6)</f>
        <v/>
      </c>
      <c r="O466" s="15">
        <f>IF(COUNT(H466:M466)=0,"",IF(LEN(IF(COUNT(I466,J466)=2,IF(J466&gt;I466+1,"EBE &gt; VA ",""),"")&amp;IF(COUNT(H466,M466)=2,IF(ABS(M466)&gt;ABS(H466),"RN &gt; CA ",""),"")&amp;IF(COUNT(H466,K466)=2,IF(ABS(K466)&gt;ABS(H466),"RE &gt; CA ",""),""))=0,"OK",IF(COUNT(I466,J466)=2,IF(J466&gt;I466+1,"EBE &gt; VA ",""),"")&amp;IF(COUNT(H466,M466)=2,IF(ABS(M466)&gt;ABS(H466),"RN &gt; CA ",""),"")&amp;IF(COUNT(H466,K466)=2,IF(ABS(K466)&gt;ABS(H466),"RE &gt; CA ",""),"")))</f>
        <v/>
      </c>
      <c r="P466" s="16">
        <f>IF(OR($A466="",H466="",$C466=""),"",IF(COUNTIFS($A$5:$A$639,$A466,$C$5:$C$639,$C466-1,$D$5:$D$639,$D466,H$5:H$639,"&lt;&gt;")=0,"",IF(OR(SUMIFS(H$5:H$639,$A$5:$A$639,$A466,$C$5:$C$639,$C466-1,$D$5:$D$639,$D466)=0,H466*SUMIFS(H$5:H$639,$A$5:$A$639,$A466,$C$5:$C$639,$C466-1,$D$5:$D$639,$D466)&lt;0),"n.s.",ABS(H466)/ABS(SUMIFS(H$5:H$639,$A$5:$A$639,$A466,$C$5:$C$639,$C466-1,$D$5:$D$639,$D466))-1)))</f>
        <v/>
      </c>
      <c r="Q466" s="16">
        <f>IF(OR($A466="",I466="",$C466=""),"",IF(COUNTIFS($A$5:$A$639,$A466,$C$5:$C$639,$C466-1,$D$5:$D$639,$D466,I$5:I$639,"&lt;&gt;")=0,"",IF(OR(SUMIFS(I$5:I$639,$A$5:$A$639,$A466,$C$5:$C$639,$C466-1,$D$5:$D$639,$D466)=0,I466*SUMIFS(I$5:I$639,$A$5:$A$639,$A466,$C$5:$C$639,$C466-1,$D$5:$D$639,$D466)&lt;0),"n.s.",ABS(I466)/ABS(SUMIFS(I$5:I$639,$A$5:$A$639,$A466,$C$5:$C$639,$C466-1,$D$5:$D$639,$D466))-1)))</f>
        <v/>
      </c>
      <c r="R466" s="16">
        <f>IF(OR($A466="",J466="",$C466=""),"",IF(COUNTIFS($A$5:$A$639,$A466,$C$5:$C$639,$C466-1,$D$5:$D$639,$D466,J$5:J$639,"&lt;&gt;")=0,"",IF(OR(SUMIFS(J$5:J$639,$A$5:$A$639,$A466,$C$5:$C$639,$C466-1,$D$5:$D$639,$D466)=0,J466*SUMIFS(J$5:J$639,$A$5:$A$639,$A466,$C$5:$C$639,$C466-1,$D$5:$D$639,$D466)&lt;0),"n.s.",ABS(J466)/ABS(SUMIFS(J$5:J$639,$A$5:$A$639,$A466,$C$5:$C$639,$C466-1,$D$5:$D$639,$D466))-1)))</f>
        <v/>
      </c>
      <c r="S466" s="16">
        <f>IF(OR($A466="",K466="",$C466=""),"",IF(COUNTIFS($A$5:$A$639,$A466,$C$5:$C$639,$C466-1,$D$5:$D$639,$D466,K$5:K$639,"&lt;&gt;")=0,"",IF(OR(SUMIFS(K$5:K$639,$A$5:$A$639,$A466,$C$5:$C$639,$C466-1,$D$5:$D$639,$D466)=0,K466*SUMIFS(K$5:K$639,$A$5:$A$639,$A466,$C$5:$C$639,$C466-1,$D$5:$D$639,$D466)&lt;0),"n.s.",ABS(K466)/ABS(SUMIFS(K$5:K$639,$A$5:$A$639,$A466,$C$5:$C$639,$C466-1,$D$5:$D$639,$D466))-1)))</f>
        <v/>
      </c>
      <c r="T466" s="16">
        <f>IF(OR($A466="",L466="",$C466=""),"",IF(COUNTIFS($A$5:$A$639,$A466,$C$5:$C$639,$C466-1,$D$5:$D$639,$D466,L$5:L$639,"&lt;&gt;")=0,"",IF(OR(SUMIFS(L$5:L$639,$A$5:$A$639,$A466,$C$5:$C$639,$C466-1,$D$5:$D$639,$D466)=0,L466*SUMIFS(L$5:L$639,$A$5:$A$639,$A466,$C$5:$C$639,$C466-1,$D$5:$D$639,$D466)&lt;0),"n.s.",ABS(L466)/ABS(SUMIFS(L$5:L$639,$A$5:$A$639,$A466,$C$5:$C$639,$C466-1,$D$5:$D$639,$D466))-1)))</f>
        <v/>
      </c>
      <c r="U466" s="16">
        <f>IF(OR($A466="",M466="",$C466=""),"",IF(COUNTIFS($A$5:$A$639,$A466,$C$5:$C$639,$C466-1,$D$5:$D$639,$D466,M$5:M$639,"&lt;&gt;")=0,"",IF(OR(SUMIFS(M$5:M$639,$A$5:$A$639,$A466,$C$5:$C$639,$C466-1,$D$5:$D$639,$D466)=0,M466*SUMIFS(M$5:M$639,$A$5:$A$639,$A466,$C$5:$C$639,$C466-1,$D$5:$D$639,$D466)&lt;0),"n.s.",ABS(M466)/ABS(SUMIFS(M$5:M$639,$A$5:$A$639,$A466,$C$5:$C$639,$C466-1,$D$5:$D$639,$D466))-1)))</f>
        <v/>
      </c>
    </row>
    <row r="467">
      <c r="A467" s="9" t="inlineStr">
        <is>
          <t>SDCC</t>
        </is>
      </c>
      <c r="B467" s="10">
        <f>IF(A467="","",IFERROR(VLOOKUP(A467,Titres!$A$2:$B$400,2,FALSE),"Ticker inconnu"))</f>
        <v/>
      </c>
      <c r="C467" s="11" t="n">
        <v>2025</v>
      </c>
      <c r="D467" s="11" t="inlineStr">
        <is>
          <t>T1</t>
        </is>
      </c>
      <c r="E467" s="9" t="n"/>
      <c r="F467" s="12" t="n"/>
      <c r="G467" s="9" t="n"/>
      <c r="H467" s="13" t="n"/>
      <c r="I467" s="13" t="n"/>
      <c r="J467" s="13" t="n"/>
      <c r="K467" s="13" t="n"/>
      <c r="L467" s="13" t="n"/>
      <c r="M467" s="13" t="n"/>
      <c r="N467" s="14">
        <f>IF(A467="","",COUNT(H467:M467)/6)</f>
        <v/>
      </c>
      <c r="O467" s="15">
        <f>IF(COUNT(H467:M467)=0,"",IF(LEN(IF(COUNT(I467,J467)=2,IF(J467&gt;I467+1,"EBE &gt; VA ",""),"")&amp;IF(COUNT(H467,M467)=2,IF(ABS(M467)&gt;ABS(H467),"RN &gt; CA ",""),"")&amp;IF(COUNT(H467,K467)=2,IF(ABS(K467)&gt;ABS(H467),"RE &gt; CA ",""),""))=0,"OK",IF(COUNT(I467,J467)=2,IF(J467&gt;I467+1,"EBE &gt; VA ",""),"")&amp;IF(COUNT(H467,M467)=2,IF(ABS(M467)&gt;ABS(H467),"RN &gt; CA ",""),"")&amp;IF(COUNT(H467,K467)=2,IF(ABS(K467)&gt;ABS(H467),"RE &gt; CA ",""),"")))</f>
        <v/>
      </c>
      <c r="P467" s="16">
        <f>IF(OR($A467="",H467="",$C467=""),"",IF(COUNTIFS($A$5:$A$639,$A467,$C$5:$C$639,$C467-1,$D$5:$D$639,$D467,H$5:H$639,"&lt;&gt;")=0,"",IF(OR(SUMIFS(H$5:H$639,$A$5:$A$639,$A467,$C$5:$C$639,$C467-1,$D$5:$D$639,$D467)=0,H467*SUMIFS(H$5:H$639,$A$5:$A$639,$A467,$C$5:$C$639,$C467-1,$D$5:$D$639,$D467)&lt;0),"n.s.",ABS(H467)/ABS(SUMIFS(H$5:H$639,$A$5:$A$639,$A467,$C$5:$C$639,$C467-1,$D$5:$D$639,$D467))-1)))</f>
        <v/>
      </c>
      <c r="Q467" s="16">
        <f>IF(OR($A467="",I467="",$C467=""),"",IF(COUNTIFS($A$5:$A$639,$A467,$C$5:$C$639,$C467-1,$D$5:$D$639,$D467,I$5:I$639,"&lt;&gt;")=0,"",IF(OR(SUMIFS(I$5:I$639,$A$5:$A$639,$A467,$C$5:$C$639,$C467-1,$D$5:$D$639,$D467)=0,I467*SUMIFS(I$5:I$639,$A$5:$A$639,$A467,$C$5:$C$639,$C467-1,$D$5:$D$639,$D467)&lt;0),"n.s.",ABS(I467)/ABS(SUMIFS(I$5:I$639,$A$5:$A$639,$A467,$C$5:$C$639,$C467-1,$D$5:$D$639,$D467))-1)))</f>
        <v/>
      </c>
      <c r="R467" s="16">
        <f>IF(OR($A467="",J467="",$C467=""),"",IF(COUNTIFS($A$5:$A$639,$A467,$C$5:$C$639,$C467-1,$D$5:$D$639,$D467,J$5:J$639,"&lt;&gt;")=0,"",IF(OR(SUMIFS(J$5:J$639,$A$5:$A$639,$A467,$C$5:$C$639,$C467-1,$D$5:$D$639,$D467)=0,J467*SUMIFS(J$5:J$639,$A$5:$A$639,$A467,$C$5:$C$639,$C467-1,$D$5:$D$639,$D467)&lt;0),"n.s.",ABS(J467)/ABS(SUMIFS(J$5:J$639,$A$5:$A$639,$A467,$C$5:$C$639,$C467-1,$D$5:$D$639,$D467))-1)))</f>
        <v/>
      </c>
      <c r="S467" s="16">
        <f>IF(OR($A467="",K467="",$C467=""),"",IF(COUNTIFS($A$5:$A$639,$A467,$C$5:$C$639,$C467-1,$D$5:$D$639,$D467,K$5:K$639,"&lt;&gt;")=0,"",IF(OR(SUMIFS(K$5:K$639,$A$5:$A$639,$A467,$C$5:$C$639,$C467-1,$D$5:$D$639,$D467)=0,K467*SUMIFS(K$5:K$639,$A$5:$A$639,$A467,$C$5:$C$639,$C467-1,$D$5:$D$639,$D467)&lt;0),"n.s.",ABS(K467)/ABS(SUMIFS(K$5:K$639,$A$5:$A$639,$A467,$C$5:$C$639,$C467-1,$D$5:$D$639,$D467))-1)))</f>
        <v/>
      </c>
      <c r="T467" s="16">
        <f>IF(OR($A467="",L467="",$C467=""),"",IF(COUNTIFS($A$5:$A$639,$A467,$C$5:$C$639,$C467-1,$D$5:$D$639,$D467,L$5:L$639,"&lt;&gt;")=0,"",IF(OR(SUMIFS(L$5:L$639,$A$5:$A$639,$A467,$C$5:$C$639,$C467-1,$D$5:$D$639,$D467)=0,L467*SUMIFS(L$5:L$639,$A$5:$A$639,$A467,$C$5:$C$639,$C467-1,$D$5:$D$639,$D467)&lt;0),"n.s.",ABS(L467)/ABS(SUMIFS(L$5:L$639,$A$5:$A$639,$A467,$C$5:$C$639,$C467-1,$D$5:$D$639,$D467))-1)))</f>
        <v/>
      </c>
      <c r="U467" s="16">
        <f>IF(OR($A467="",M467="",$C467=""),"",IF(COUNTIFS($A$5:$A$639,$A467,$C$5:$C$639,$C467-1,$D$5:$D$639,$D467,M$5:M$639,"&lt;&gt;")=0,"",IF(OR(SUMIFS(M$5:M$639,$A$5:$A$639,$A467,$C$5:$C$639,$C467-1,$D$5:$D$639,$D467)=0,M467*SUMIFS(M$5:M$639,$A$5:$A$639,$A467,$C$5:$C$639,$C467-1,$D$5:$D$639,$D467)&lt;0),"n.s.",ABS(M467)/ABS(SUMIFS(M$5:M$639,$A$5:$A$639,$A467,$C$5:$C$639,$C467-1,$D$5:$D$639,$D467))-1)))</f>
        <v/>
      </c>
    </row>
    <row r="468">
      <c r="A468" s="9" t="inlineStr">
        <is>
          <t>SDCC</t>
        </is>
      </c>
      <c r="B468" s="10">
        <f>IF(A468="","",IFERROR(VLOOKUP(A468,Titres!$A$2:$B$400,2,FALSE),"Ticker inconnu"))</f>
        <v/>
      </c>
      <c r="C468" s="11" t="n">
        <v>2025</v>
      </c>
      <c r="D468" s="11" t="inlineStr">
        <is>
          <t>S1</t>
        </is>
      </c>
      <c r="E468" s="9" t="n"/>
      <c r="F468" s="12" t="n"/>
      <c r="G468" s="9" t="n"/>
      <c r="H468" s="13" t="n"/>
      <c r="I468" s="13" t="n"/>
      <c r="J468" s="13" t="n"/>
      <c r="K468" s="13" t="n"/>
      <c r="L468" s="13" t="n"/>
      <c r="M468" s="13" t="n"/>
      <c r="N468" s="14">
        <f>IF(A468="","",COUNT(H468:M468)/6)</f>
        <v/>
      </c>
      <c r="O468" s="15">
        <f>IF(COUNT(H468:M468)=0,"",IF(LEN(IF(COUNT(I468,J468)=2,IF(J468&gt;I468+1,"EBE &gt; VA ",""),"")&amp;IF(COUNT(H468,M468)=2,IF(ABS(M468)&gt;ABS(H468),"RN &gt; CA ",""),"")&amp;IF(COUNT(H468,K468)=2,IF(ABS(K468)&gt;ABS(H468),"RE &gt; CA ",""),""))=0,"OK",IF(COUNT(I468,J468)=2,IF(J468&gt;I468+1,"EBE &gt; VA ",""),"")&amp;IF(COUNT(H468,M468)=2,IF(ABS(M468)&gt;ABS(H468),"RN &gt; CA ",""),"")&amp;IF(COUNT(H468,K468)=2,IF(ABS(K468)&gt;ABS(H468),"RE &gt; CA ",""),"")))</f>
        <v/>
      </c>
      <c r="P468" s="16">
        <f>IF(OR($A468="",H468="",$C468=""),"",IF(COUNTIFS($A$5:$A$639,$A468,$C$5:$C$639,$C468-1,$D$5:$D$639,$D468,H$5:H$639,"&lt;&gt;")=0,"",IF(OR(SUMIFS(H$5:H$639,$A$5:$A$639,$A468,$C$5:$C$639,$C468-1,$D$5:$D$639,$D468)=0,H468*SUMIFS(H$5:H$639,$A$5:$A$639,$A468,$C$5:$C$639,$C468-1,$D$5:$D$639,$D468)&lt;0),"n.s.",ABS(H468)/ABS(SUMIFS(H$5:H$639,$A$5:$A$639,$A468,$C$5:$C$639,$C468-1,$D$5:$D$639,$D468))-1)))</f>
        <v/>
      </c>
      <c r="Q468" s="16">
        <f>IF(OR($A468="",I468="",$C468=""),"",IF(COUNTIFS($A$5:$A$639,$A468,$C$5:$C$639,$C468-1,$D$5:$D$639,$D468,I$5:I$639,"&lt;&gt;")=0,"",IF(OR(SUMIFS(I$5:I$639,$A$5:$A$639,$A468,$C$5:$C$639,$C468-1,$D$5:$D$639,$D468)=0,I468*SUMIFS(I$5:I$639,$A$5:$A$639,$A468,$C$5:$C$639,$C468-1,$D$5:$D$639,$D468)&lt;0),"n.s.",ABS(I468)/ABS(SUMIFS(I$5:I$639,$A$5:$A$639,$A468,$C$5:$C$639,$C468-1,$D$5:$D$639,$D468))-1)))</f>
        <v/>
      </c>
      <c r="R468" s="16">
        <f>IF(OR($A468="",J468="",$C468=""),"",IF(COUNTIFS($A$5:$A$639,$A468,$C$5:$C$639,$C468-1,$D$5:$D$639,$D468,J$5:J$639,"&lt;&gt;")=0,"",IF(OR(SUMIFS(J$5:J$639,$A$5:$A$639,$A468,$C$5:$C$639,$C468-1,$D$5:$D$639,$D468)=0,J468*SUMIFS(J$5:J$639,$A$5:$A$639,$A468,$C$5:$C$639,$C468-1,$D$5:$D$639,$D468)&lt;0),"n.s.",ABS(J468)/ABS(SUMIFS(J$5:J$639,$A$5:$A$639,$A468,$C$5:$C$639,$C468-1,$D$5:$D$639,$D468))-1)))</f>
        <v/>
      </c>
      <c r="S468" s="16">
        <f>IF(OR($A468="",K468="",$C468=""),"",IF(COUNTIFS($A$5:$A$639,$A468,$C$5:$C$639,$C468-1,$D$5:$D$639,$D468,K$5:K$639,"&lt;&gt;")=0,"",IF(OR(SUMIFS(K$5:K$639,$A$5:$A$639,$A468,$C$5:$C$639,$C468-1,$D$5:$D$639,$D468)=0,K468*SUMIFS(K$5:K$639,$A$5:$A$639,$A468,$C$5:$C$639,$C468-1,$D$5:$D$639,$D468)&lt;0),"n.s.",ABS(K468)/ABS(SUMIFS(K$5:K$639,$A$5:$A$639,$A468,$C$5:$C$639,$C468-1,$D$5:$D$639,$D468))-1)))</f>
        <v/>
      </c>
      <c r="T468" s="16">
        <f>IF(OR($A468="",L468="",$C468=""),"",IF(COUNTIFS($A$5:$A$639,$A468,$C$5:$C$639,$C468-1,$D$5:$D$639,$D468,L$5:L$639,"&lt;&gt;")=0,"",IF(OR(SUMIFS(L$5:L$639,$A$5:$A$639,$A468,$C$5:$C$639,$C468-1,$D$5:$D$639,$D468)=0,L468*SUMIFS(L$5:L$639,$A$5:$A$639,$A468,$C$5:$C$639,$C468-1,$D$5:$D$639,$D468)&lt;0),"n.s.",ABS(L468)/ABS(SUMIFS(L$5:L$639,$A$5:$A$639,$A468,$C$5:$C$639,$C468-1,$D$5:$D$639,$D468))-1)))</f>
        <v/>
      </c>
      <c r="U468" s="16">
        <f>IF(OR($A468="",M468="",$C468=""),"",IF(COUNTIFS($A$5:$A$639,$A468,$C$5:$C$639,$C468-1,$D$5:$D$639,$D468,M$5:M$639,"&lt;&gt;")=0,"",IF(OR(SUMIFS(M$5:M$639,$A$5:$A$639,$A468,$C$5:$C$639,$C468-1,$D$5:$D$639,$D468)=0,M468*SUMIFS(M$5:M$639,$A$5:$A$639,$A468,$C$5:$C$639,$C468-1,$D$5:$D$639,$D468)&lt;0),"n.s.",ABS(M468)/ABS(SUMIFS(M$5:M$639,$A$5:$A$639,$A468,$C$5:$C$639,$C468-1,$D$5:$D$639,$D468))-1)))</f>
        <v/>
      </c>
    </row>
    <row r="469">
      <c r="A469" s="9" t="inlineStr">
        <is>
          <t>SDCC</t>
        </is>
      </c>
      <c r="B469" s="10">
        <f>IF(A469="","",IFERROR(VLOOKUP(A469,Titres!$A$2:$B$400,2,FALSE),"Ticker inconnu"))</f>
        <v/>
      </c>
      <c r="C469" s="11" t="n">
        <v>2025</v>
      </c>
      <c r="D469" s="11" t="inlineStr">
        <is>
          <t>T3</t>
        </is>
      </c>
      <c r="E469" s="9" t="n"/>
      <c r="F469" s="12" t="n"/>
      <c r="G469" s="9" t="n"/>
      <c r="H469" s="13" t="n"/>
      <c r="I469" s="13" t="n"/>
      <c r="J469" s="13" t="n"/>
      <c r="K469" s="13" t="n"/>
      <c r="L469" s="13" t="n"/>
      <c r="M469" s="13" t="n"/>
      <c r="N469" s="14">
        <f>IF(A469="","",COUNT(H469:M469)/6)</f>
        <v/>
      </c>
      <c r="O469" s="15">
        <f>IF(COUNT(H469:M469)=0,"",IF(LEN(IF(COUNT(I469,J469)=2,IF(J469&gt;I469+1,"EBE &gt; VA ",""),"")&amp;IF(COUNT(H469,M469)=2,IF(ABS(M469)&gt;ABS(H469),"RN &gt; CA ",""),"")&amp;IF(COUNT(H469,K469)=2,IF(ABS(K469)&gt;ABS(H469),"RE &gt; CA ",""),""))=0,"OK",IF(COUNT(I469,J469)=2,IF(J469&gt;I469+1,"EBE &gt; VA ",""),"")&amp;IF(COUNT(H469,M469)=2,IF(ABS(M469)&gt;ABS(H469),"RN &gt; CA ",""),"")&amp;IF(COUNT(H469,K469)=2,IF(ABS(K469)&gt;ABS(H469),"RE &gt; CA ",""),"")))</f>
        <v/>
      </c>
      <c r="P469" s="16">
        <f>IF(OR($A469="",H469="",$C469=""),"",IF(COUNTIFS($A$5:$A$639,$A469,$C$5:$C$639,$C469-1,$D$5:$D$639,$D469,H$5:H$639,"&lt;&gt;")=0,"",IF(OR(SUMIFS(H$5:H$639,$A$5:$A$639,$A469,$C$5:$C$639,$C469-1,$D$5:$D$639,$D469)=0,H469*SUMIFS(H$5:H$639,$A$5:$A$639,$A469,$C$5:$C$639,$C469-1,$D$5:$D$639,$D469)&lt;0),"n.s.",ABS(H469)/ABS(SUMIFS(H$5:H$639,$A$5:$A$639,$A469,$C$5:$C$639,$C469-1,$D$5:$D$639,$D469))-1)))</f>
        <v/>
      </c>
      <c r="Q469" s="16">
        <f>IF(OR($A469="",I469="",$C469=""),"",IF(COUNTIFS($A$5:$A$639,$A469,$C$5:$C$639,$C469-1,$D$5:$D$639,$D469,I$5:I$639,"&lt;&gt;")=0,"",IF(OR(SUMIFS(I$5:I$639,$A$5:$A$639,$A469,$C$5:$C$639,$C469-1,$D$5:$D$639,$D469)=0,I469*SUMIFS(I$5:I$639,$A$5:$A$639,$A469,$C$5:$C$639,$C469-1,$D$5:$D$639,$D469)&lt;0),"n.s.",ABS(I469)/ABS(SUMIFS(I$5:I$639,$A$5:$A$639,$A469,$C$5:$C$639,$C469-1,$D$5:$D$639,$D469))-1)))</f>
        <v/>
      </c>
      <c r="R469" s="16">
        <f>IF(OR($A469="",J469="",$C469=""),"",IF(COUNTIFS($A$5:$A$639,$A469,$C$5:$C$639,$C469-1,$D$5:$D$639,$D469,J$5:J$639,"&lt;&gt;")=0,"",IF(OR(SUMIFS(J$5:J$639,$A$5:$A$639,$A469,$C$5:$C$639,$C469-1,$D$5:$D$639,$D469)=0,J469*SUMIFS(J$5:J$639,$A$5:$A$639,$A469,$C$5:$C$639,$C469-1,$D$5:$D$639,$D469)&lt;0),"n.s.",ABS(J469)/ABS(SUMIFS(J$5:J$639,$A$5:$A$639,$A469,$C$5:$C$639,$C469-1,$D$5:$D$639,$D469))-1)))</f>
        <v/>
      </c>
      <c r="S469" s="16">
        <f>IF(OR($A469="",K469="",$C469=""),"",IF(COUNTIFS($A$5:$A$639,$A469,$C$5:$C$639,$C469-1,$D$5:$D$639,$D469,K$5:K$639,"&lt;&gt;")=0,"",IF(OR(SUMIFS(K$5:K$639,$A$5:$A$639,$A469,$C$5:$C$639,$C469-1,$D$5:$D$639,$D469)=0,K469*SUMIFS(K$5:K$639,$A$5:$A$639,$A469,$C$5:$C$639,$C469-1,$D$5:$D$639,$D469)&lt;0),"n.s.",ABS(K469)/ABS(SUMIFS(K$5:K$639,$A$5:$A$639,$A469,$C$5:$C$639,$C469-1,$D$5:$D$639,$D469))-1)))</f>
        <v/>
      </c>
      <c r="T469" s="16">
        <f>IF(OR($A469="",L469="",$C469=""),"",IF(COUNTIFS($A$5:$A$639,$A469,$C$5:$C$639,$C469-1,$D$5:$D$639,$D469,L$5:L$639,"&lt;&gt;")=0,"",IF(OR(SUMIFS(L$5:L$639,$A$5:$A$639,$A469,$C$5:$C$639,$C469-1,$D$5:$D$639,$D469)=0,L469*SUMIFS(L$5:L$639,$A$5:$A$639,$A469,$C$5:$C$639,$C469-1,$D$5:$D$639,$D469)&lt;0),"n.s.",ABS(L469)/ABS(SUMIFS(L$5:L$639,$A$5:$A$639,$A469,$C$5:$C$639,$C469-1,$D$5:$D$639,$D469))-1)))</f>
        <v/>
      </c>
      <c r="U469" s="16">
        <f>IF(OR($A469="",M469="",$C469=""),"",IF(COUNTIFS($A$5:$A$639,$A469,$C$5:$C$639,$C469-1,$D$5:$D$639,$D469,M$5:M$639,"&lt;&gt;")=0,"",IF(OR(SUMIFS(M$5:M$639,$A$5:$A$639,$A469,$C$5:$C$639,$C469-1,$D$5:$D$639,$D469)=0,M469*SUMIFS(M$5:M$639,$A$5:$A$639,$A469,$C$5:$C$639,$C469-1,$D$5:$D$639,$D469)&lt;0),"n.s.",ABS(M469)/ABS(SUMIFS(M$5:M$639,$A$5:$A$639,$A469,$C$5:$C$639,$C469-1,$D$5:$D$639,$D469))-1)))</f>
        <v/>
      </c>
    </row>
    <row r="470">
      <c r="A470" s="9" t="inlineStr">
        <is>
          <t>SDCC</t>
        </is>
      </c>
      <c r="B470" s="10">
        <f>IF(A470="","",IFERROR(VLOOKUP(A470,Titres!$A$2:$B$400,2,FALSE),"Ticker inconnu"))</f>
        <v/>
      </c>
      <c r="C470" s="11" t="n">
        <v>2026</v>
      </c>
      <c r="D470" s="11" t="inlineStr">
        <is>
          <t>T1</t>
        </is>
      </c>
      <c r="E470" s="9" t="n"/>
      <c r="F470" s="12" t="n"/>
      <c r="G470" s="9" t="n"/>
      <c r="H470" s="13" t="n"/>
      <c r="I470" s="13" t="n"/>
      <c r="J470" s="13" t="n"/>
      <c r="K470" s="13" t="n"/>
      <c r="L470" s="13" t="n"/>
      <c r="M470" s="13" t="n"/>
      <c r="N470" s="14">
        <f>IF(A470="","",COUNT(H470:M470)/6)</f>
        <v/>
      </c>
      <c r="O470" s="15">
        <f>IF(COUNT(H470:M470)=0,"",IF(LEN(IF(COUNT(I470,J470)=2,IF(J470&gt;I470+1,"EBE &gt; VA ",""),"")&amp;IF(COUNT(H470,M470)=2,IF(ABS(M470)&gt;ABS(H470),"RN &gt; CA ",""),"")&amp;IF(COUNT(H470,K470)=2,IF(ABS(K470)&gt;ABS(H470),"RE &gt; CA ",""),""))=0,"OK",IF(COUNT(I470,J470)=2,IF(J470&gt;I470+1,"EBE &gt; VA ",""),"")&amp;IF(COUNT(H470,M470)=2,IF(ABS(M470)&gt;ABS(H470),"RN &gt; CA ",""),"")&amp;IF(COUNT(H470,K470)=2,IF(ABS(K470)&gt;ABS(H470),"RE &gt; CA ",""),"")))</f>
        <v/>
      </c>
      <c r="P470" s="16">
        <f>IF(OR($A470="",H470="",$C470=""),"",IF(COUNTIFS($A$5:$A$639,$A470,$C$5:$C$639,$C470-1,$D$5:$D$639,$D470,H$5:H$639,"&lt;&gt;")=0,"",IF(OR(SUMIFS(H$5:H$639,$A$5:$A$639,$A470,$C$5:$C$639,$C470-1,$D$5:$D$639,$D470)=0,H470*SUMIFS(H$5:H$639,$A$5:$A$639,$A470,$C$5:$C$639,$C470-1,$D$5:$D$639,$D470)&lt;0),"n.s.",ABS(H470)/ABS(SUMIFS(H$5:H$639,$A$5:$A$639,$A470,$C$5:$C$639,$C470-1,$D$5:$D$639,$D470))-1)))</f>
        <v/>
      </c>
      <c r="Q470" s="16">
        <f>IF(OR($A470="",I470="",$C470=""),"",IF(COUNTIFS($A$5:$A$639,$A470,$C$5:$C$639,$C470-1,$D$5:$D$639,$D470,I$5:I$639,"&lt;&gt;")=0,"",IF(OR(SUMIFS(I$5:I$639,$A$5:$A$639,$A470,$C$5:$C$639,$C470-1,$D$5:$D$639,$D470)=0,I470*SUMIFS(I$5:I$639,$A$5:$A$639,$A470,$C$5:$C$639,$C470-1,$D$5:$D$639,$D470)&lt;0),"n.s.",ABS(I470)/ABS(SUMIFS(I$5:I$639,$A$5:$A$639,$A470,$C$5:$C$639,$C470-1,$D$5:$D$639,$D470))-1)))</f>
        <v/>
      </c>
      <c r="R470" s="16">
        <f>IF(OR($A470="",J470="",$C470=""),"",IF(COUNTIFS($A$5:$A$639,$A470,$C$5:$C$639,$C470-1,$D$5:$D$639,$D470,J$5:J$639,"&lt;&gt;")=0,"",IF(OR(SUMIFS(J$5:J$639,$A$5:$A$639,$A470,$C$5:$C$639,$C470-1,$D$5:$D$639,$D470)=0,J470*SUMIFS(J$5:J$639,$A$5:$A$639,$A470,$C$5:$C$639,$C470-1,$D$5:$D$639,$D470)&lt;0),"n.s.",ABS(J470)/ABS(SUMIFS(J$5:J$639,$A$5:$A$639,$A470,$C$5:$C$639,$C470-1,$D$5:$D$639,$D470))-1)))</f>
        <v/>
      </c>
      <c r="S470" s="16">
        <f>IF(OR($A470="",K470="",$C470=""),"",IF(COUNTIFS($A$5:$A$639,$A470,$C$5:$C$639,$C470-1,$D$5:$D$639,$D470,K$5:K$639,"&lt;&gt;")=0,"",IF(OR(SUMIFS(K$5:K$639,$A$5:$A$639,$A470,$C$5:$C$639,$C470-1,$D$5:$D$639,$D470)=0,K470*SUMIFS(K$5:K$639,$A$5:$A$639,$A470,$C$5:$C$639,$C470-1,$D$5:$D$639,$D470)&lt;0),"n.s.",ABS(K470)/ABS(SUMIFS(K$5:K$639,$A$5:$A$639,$A470,$C$5:$C$639,$C470-1,$D$5:$D$639,$D470))-1)))</f>
        <v/>
      </c>
      <c r="T470" s="16">
        <f>IF(OR($A470="",L470="",$C470=""),"",IF(COUNTIFS($A$5:$A$639,$A470,$C$5:$C$639,$C470-1,$D$5:$D$639,$D470,L$5:L$639,"&lt;&gt;")=0,"",IF(OR(SUMIFS(L$5:L$639,$A$5:$A$639,$A470,$C$5:$C$639,$C470-1,$D$5:$D$639,$D470)=0,L470*SUMIFS(L$5:L$639,$A$5:$A$639,$A470,$C$5:$C$639,$C470-1,$D$5:$D$639,$D470)&lt;0),"n.s.",ABS(L470)/ABS(SUMIFS(L$5:L$639,$A$5:$A$639,$A470,$C$5:$C$639,$C470-1,$D$5:$D$639,$D470))-1)))</f>
        <v/>
      </c>
      <c r="U470" s="16">
        <f>IF(OR($A470="",M470="",$C470=""),"",IF(COUNTIFS($A$5:$A$639,$A470,$C$5:$C$639,$C470-1,$D$5:$D$639,$D470,M$5:M$639,"&lt;&gt;")=0,"",IF(OR(SUMIFS(M$5:M$639,$A$5:$A$639,$A470,$C$5:$C$639,$C470-1,$D$5:$D$639,$D470)=0,M470*SUMIFS(M$5:M$639,$A$5:$A$639,$A470,$C$5:$C$639,$C470-1,$D$5:$D$639,$D470)&lt;0),"n.s.",ABS(M470)/ABS(SUMIFS(M$5:M$639,$A$5:$A$639,$A470,$C$5:$C$639,$C470-1,$D$5:$D$639,$D470))-1)))</f>
        <v/>
      </c>
    </row>
    <row r="471">
      <c r="A471" s="9" t="inlineStr">
        <is>
          <t>SDCC</t>
        </is>
      </c>
      <c r="B471" s="10">
        <f>IF(A471="","",IFERROR(VLOOKUP(A471,Titres!$A$2:$B$400,2,FALSE),"Ticker inconnu"))</f>
        <v/>
      </c>
      <c r="C471" s="11" t="n">
        <v>2026</v>
      </c>
      <c r="D471" s="11" t="inlineStr">
        <is>
          <t>S1</t>
        </is>
      </c>
      <c r="E471" s="9" t="n"/>
      <c r="F471" s="12" t="n"/>
      <c r="G471" s="9" t="n"/>
      <c r="H471" s="13" t="n"/>
      <c r="I471" s="13" t="n"/>
      <c r="J471" s="13" t="n"/>
      <c r="K471" s="13" t="n"/>
      <c r="L471" s="13" t="n"/>
      <c r="M471" s="13" t="n"/>
      <c r="N471" s="14">
        <f>IF(A471="","",COUNT(H471:M471)/6)</f>
        <v/>
      </c>
      <c r="O471" s="15">
        <f>IF(COUNT(H471:M471)=0,"",IF(LEN(IF(COUNT(I471,J471)=2,IF(J471&gt;I471+1,"EBE &gt; VA ",""),"")&amp;IF(COUNT(H471,M471)=2,IF(ABS(M471)&gt;ABS(H471),"RN &gt; CA ",""),"")&amp;IF(COUNT(H471,K471)=2,IF(ABS(K471)&gt;ABS(H471),"RE &gt; CA ",""),""))=0,"OK",IF(COUNT(I471,J471)=2,IF(J471&gt;I471+1,"EBE &gt; VA ",""),"")&amp;IF(COUNT(H471,M471)=2,IF(ABS(M471)&gt;ABS(H471),"RN &gt; CA ",""),"")&amp;IF(COUNT(H471,K471)=2,IF(ABS(K471)&gt;ABS(H471),"RE &gt; CA ",""),"")))</f>
        <v/>
      </c>
      <c r="P471" s="16">
        <f>IF(OR($A471="",H471="",$C471=""),"",IF(COUNTIFS($A$5:$A$639,$A471,$C$5:$C$639,$C471-1,$D$5:$D$639,$D471,H$5:H$639,"&lt;&gt;")=0,"",IF(OR(SUMIFS(H$5:H$639,$A$5:$A$639,$A471,$C$5:$C$639,$C471-1,$D$5:$D$639,$D471)=0,H471*SUMIFS(H$5:H$639,$A$5:$A$639,$A471,$C$5:$C$639,$C471-1,$D$5:$D$639,$D471)&lt;0),"n.s.",ABS(H471)/ABS(SUMIFS(H$5:H$639,$A$5:$A$639,$A471,$C$5:$C$639,$C471-1,$D$5:$D$639,$D471))-1)))</f>
        <v/>
      </c>
      <c r="Q471" s="16">
        <f>IF(OR($A471="",I471="",$C471=""),"",IF(COUNTIFS($A$5:$A$639,$A471,$C$5:$C$639,$C471-1,$D$5:$D$639,$D471,I$5:I$639,"&lt;&gt;")=0,"",IF(OR(SUMIFS(I$5:I$639,$A$5:$A$639,$A471,$C$5:$C$639,$C471-1,$D$5:$D$639,$D471)=0,I471*SUMIFS(I$5:I$639,$A$5:$A$639,$A471,$C$5:$C$639,$C471-1,$D$5:$D$639,$D471)&lt;0),"n.s.",ABS(I471)/ABS(SUMIFS(I$5:I$639,$A$5:$A$639,$A471,$C$5:$C$639,$C471-1,$D$5:$D$639,$D471))-1)))</f>
        <v/>
      </c>
      <c r="R471" s="16">
        <f>IF(OR($A471="",J471="",$C471=""),"",IF(COUNTIFS($A$5:$A$639,$A471,$C$5:$C$639,$C471-1,$D$5:$D$639,$D471,J$5:J$639,"&lt;&gt;")=0,"",IF(OR(SUMIFS(J$5:J$639,$A$5:$A$639,$A471,$C$5:$C$639,$C471-1,$D$5:$D$639,$D471)=0,J471*SUMIFS(J$5:J$639,$A$5:$A$639,$A471,$C$5:$C$639,$C471-1,$D$5:$D$639,$D471)&lt;0),"n.s.",ABS(J471)/ABS(SUMIFS(J$5:J$639,$A$5:$A$639,$A471,$C$5:$C$639,$C471-1,$D$5:$D$639,$D471))-1)))</f>
        <v/>
      </c>
      <c r="S471" s="16">
        <f>IF(OR($A471="",K471="",$C471=""),"",IF(COUNTIFS($A$5:$A$639,$A471,$C$5:$C$639,$C471-1,$D$5:$D$639,$D471,K$5:K$639,"&lt;&gt;")=0,"",IF(OR(SUMIFS(K$5:K$639,$A$5:$A$639,$A471,$C$5:$C$639,$C471-1,$D$5:$D$639,$D471)=0,K471*SUMIFS(K$5:K$639,$A$5:$A$639,$A471,$C$5:$C$639,$C471-1,$D$5:$D$639,$D471)&lt;0),"n.s.",ABS(K471)/ABS(SUMIFS(K$5:K$639,$A$5:$A$639,$A471,$C$5:$C$639,$C471-1,$D$5:$D$639,$D471))-1)))</f>
        <v/>
      </c>
      <c r="T471" s="16">
        <f>IF(OR($A471="",L471="",$C471=""),"",IF(COUNTIFS($A$5:$A$639,$A471,$C$5:$C$639,$C471-1,$D$5:$D$639,$D471,L$5:L$639,"&lt;&gt;")=0,"",IF(OR(SUMIFS(L$5:L$639,$A$5:$A$639,$A471,$C$5:$C$639,$C471-1,$D$5:$D$639,$D471)=0,L471*SUMIFS(L$5:L$639,$A$5:$A$639,$A471,$C$5:$C$639,$C471-1,$D$5:$D$639,$D471)&lt;0),"n.s.",ABS(L471)/ABS(SUMIFS(L$5:L$639,$A$5:$A$639,$A471,$C$5:$C$639,$C471-1,$D$5:$D$639,$D471))-1)))</f>
        <v/>
      </c>
      <c r="U471" s="16">
        <f>IF(OR($A471="",M471="",$C471=""),"",IF(COUNTIFS($A$5:$A$639,$A471,$C$5:$C$639,$C471-1,$D$5:$D$639,$D471,M$5:M$639,"&lt;&gt;")=0,"",IF(OR(SUMIFS(M$5:M$639,$A$5:$A$639,$A471,$C$5:$C$639,$C471-1,$D$5:$D$639,$D471)=0,M471*SUMIFS(M$5:M$639,$A$5:$A$639,$A471,$C$5:$C$639,$C471-1,$D$5:$D$639,$D471)&lt;0),"n.s.",ABS(M471)/ABS(SUMIFS(M$5:M$639,$A$5:$A$639,$A471,$C$5:$C$639,$C471-1,$D$5:$D$639,$D471))-1)))</f>
        <v/>
      </c>
    </row>
    <row r="472">
      <c r="A472" s="9" t="inlineStr">
        <is>
          <t>SDCC</t>
        </is>
      </c>
      <c r="B472" s="10">
        <f>IF(A472="","",IFERROR(VLOOKUP(A472,Titres!$A$2:$B$400,2,FALSE),"Ticker inconnu"))</f>
        <v/>
      </c>
      <c r="C472" s="11" t="n">
        <v>2026</v>
      </c>
      <c r="D472" s="11" t="inlineStr">
        <is>
          <t>T3</t>
        </is>
      </c>
      <c r="E472" s="9" t="n"/>
      <c r="F472" s="12" t="n"/>
      <c r="G472" s="9" t="n"/>
      <c r="H472" s="13" t="n"/>
      <c r="I472" s="13" t="n"/>
      <c r="J472" s="13" t="n"/>
      <c r="K472" s="13" t="n"/>
      <c r="L472" s="13" t="n"/>
      <c r="M472" s="13" t="n"/>
      <c r="N472" s="14">
        <f>IF(A472="","",COUNT(H472:M472)/6)</f>
        <v/>
      </c>
      <c r="O472" s="15">
        <f>IF(COUNT(H472:M472)=0,"",IF(LEN(IF(COUNT(I472,J472)=2,IF(J472&gt;I472+1,"EBE &gt; VA ",""),"")&amp;IF(COUNT(H472,M472)=2,IF(ABS(M472)&gt;ABS(H472),"RN &gt; CA ",""),"")&amp;IF(COUNT(H472,K472)=2,IF(ABS(K472)&gt;ABS(H472),"RE &gt; CA ",""),""))=0,"OK",IF(COUNT(I472,J472)=2,IF(J472&gt;I472+1,"EBE &gt; VA ",""),"")&amp;IF(COUNT(H472,M472)=2,IF(ABS(M472)&gt;ABS(H472),"RN &gt; CA ",""),"")&amp;IF(COUNT(H472,K472)=2,IF(ABS(K472)&gt;ABS(H472),"RE &gt; CA ",""),"")))</f>
        <v/>
      </c>
      <c r="P472" s="16">
        <f>IF(OR($A472="",H472="",$C472=""),"",IF(COUNTIFS($A$5:$A$639,$A472,$C$5:$C$639,$C472-1,$D$5:$D$639,$D472,H$5:H$639,"&lt;&gt;")=0,"",IF(OR(SUMIFS(H$5:H$639,$A$5:$A$639,$A472,$C$5:$C$639,$C472-1,$D$5:$D$639,$D472)=0,H472*SUMIFS(H$5:H$639,$A$5:$A$639,$A472,$C$5:$C$639,$C472-1,$D$5:$D$639,$D472)&lt;0),"n.s.",ABS(H472)/ABS(SUMIFS(H$5:H$639,$A$5:$A$639,$A472,$C$5:$C$639,$C472-1,$D$5:$D$639,$D472))-1)))</f>
        <v/>
      </c>
      <c r="Q472" s="16">
        <f>IF(OR($A472="",I472="",$C472=""),"",IF(COUNTIFS($A$5:$A$639,$A472,$C$5:$C$639,$C472-1,$D$5:$D$639,$D472,I$5:I$639,"&lt;&gt;")=0,"",IF(OR(SUMIFS(I$5:I$639,$A$5:$A$639,$A472,$C$5:$C$639,$C472-1,$D$5:$D$639,$D472)=0,I472*SUMIFS(I$5:I$639,$A$5:$A$639,$A472,$C$5:$C$639,$C472-1,$D$5:$D$639,$D472)&lt;0),"n.s.",ABS(I472)/ABS(SUMIFS(I$5:I$639,$A$5:$A$639,$A472,$C$5:$C$639,$C472-1,$D$5:$D$639,$D472))-1)))</f>
        <v/>
      </c>
      <c r="R472" s="16">
        <f>IF(OR($A472="",J472="",$C472=""),"",IF(COUNTIFS($A$5:$A$639,$A472,$C$5:$C$639,$C472-1,$D$5:$D$639,$D472,J$5:J$639,"&lt;&gt;")=0,"",IF(OR(SUMIFS(J$5:J$639,$A$5:$A$639,$A472,$C$5:$C$639,$C472-1,$D$5:$D$639,$D472)=0,J472*SUMIFS(J$5:J$639,$A$5:$A$639,$A472,$C$5:$C$639,$C472-1,$D$5:$D$639,$D472)&lt;0),"n.s.",ABS(J472)/ABS(SUMIFS(J$5:J$639,$A$5:$A$639,$A472,$C$5:$C$639,$C472-1,$D$5:$D$639,$D472))-1)))</f>
        <v/>
      </c>
      <c r="S472" s="16">
        <f>IF(OR($A472="",K472="",$C472=""),"",IF(COUNTIFS($A$5:$A$639,$A472,$C$5:$C$639,$C472-1,$D$5:$D$639,$D472,K$5:K$639,"&lt;&gt;")=0,"",IF(OR(SUMIFS(K$5:K$639,$A$5:$A$639,$A472,$C$5:$C$639,$C472-1,$D$5:$D$639,$D472)=0,K472*SUMIFS(K$5:K$639,$A$5:$A$639,$A472,$C$5:$C$639,$C472-1,$D$5:$D$639,$D472)&lt;0),"n.s.",ABS(K472)/ABS(SUMIFS(K$5:K$639,$A$5:$A$639,$A472,$C$5:$C$639,$C472-1,$D$5:$D$639,$D472))-1)))</f>
        <v/>
      </c>
      <c r="T472" s="16">
        <f>IF(OR($A472="",L472="",$C472=""),"",IF(COUNTIFS($A$5:$A$639,$A472,$C$5:$C$639,$C472-1,$D$5:$D$639,$D472,L$5:L$639,"&lt;&gt;")=0,"",IF(OR(SUMIFS(L$5:L$639,$A$5:$A$639,$A472,$C$5:$C$639,$C472-1,$D$5:$D$639,$D472)=0,L472*SUMIFS(L$5:L$639,$A$5:$A$639,$A472,$C$5:$C$639,$C472-1,$D$5:$D$639,$D472)&lt;0),"n.s.",ABS(L472)/ABS(SUMIFS(L$5:L$639,$A$5:$A$639,$A472,$C$5:$C$639,$C472-1,$D$5:$D$639,$D472))-1)))</f>
        <v/>
      </c>
      <c r="U472" s="16">
        <f>IF(OR($A472="",M472="",$C472=""),"",IF(COUNTIFS($A$5:$A$639,$A472,$C$5:$C$639,$C472-1,$D$5:$D$639,$D472,M$5:M$639,"&lt;&gt;")=0,"",IF(OR(SUMIFS(M$5:M$639,$A$5:$A$639,$A472,$C$5:$C$639,$C472-1,$D$5:$D$639,$D472)=0,M472*SUMIFS(M$5:M$639,$A$5:$A$639,$A472,$C$5:$C$639,$C472-1,$D$5:$D$639,$D472)&lt;0),"n.s.",ABS(M472)/ABS(SUMIFS(M$5:M$639,$A$5:$A$639,$A472,$C$5:$C$639,$C472-1,$D$5:$D$639,$D472))-1)))</f>
        <v/>
      </c>
    </row>
    <row r="473">
      <c r="A473" s="9" t="inlineStr">
        <is>
          <t>ONTBF</t>
        </is>
      </c>
      <c r="B473" s="10">
        <f>IF(A473="","",IFERROR(VLOOKUP(A473,Titres!$A$2:$B$400,2,FALSE),"Ticker inconnu"))</f>
        <v/>
      </c>
      <c r="C473" s="11" t="n">
        <v>2021</v>
      </c>
      <c r="D473" s="11" t="inlineStr">
        <is>
          <t>T1</t>
        </is>
      </c>
      <c r="E473" s="9" t="n"/>
      <c r="F473" s="12" t="n"/>
      <c r="G473" s="9" t="n"/>
      <c r="H473" s="13" t="n"/>
      <c r="I473" s="13" t="n"/>
      <c r="J473" s="13" t="n"/>
      <c r="K473" s="13" t="n"/>
      <c r="L473" s="13" t="n"/>
      <c r="M473" s="13" t="n"/>
      <c r="N473" s="14">
        <f>IF(A473="","",COUNT(H473:M473)/6)</f>
        <v/>
      </c>
      <c r="O473" s="15">
        <f>IF(COUNT(H473:M473)=0,"",IF(LEN(IF(COUNT(I473,J473)=2,IF(J473&gt;I473+1,"EBE &gt; VA ",""),"")&amp;IF(COUNT(H473,M473)=2,IF(ABS(M473)&gt;ABS(H473),"RN &gt; CA ",""),"")&amp;IF(COUNT(H473,K473)=2,IF(ABS(K473)&gt;ABS(H473),"RE &gt; CA ",""),""))=0,"OK",IF(COUNT(I473,J473)=2,IF(J473&gt;I473+1,"EBE &gt; VA ",""),"")&amp;IF(COUNT(H473,M473)=2,IF(ABS(M473)&gt;ABS(H473),"RN &gt; CA ",""),"")&amp;IF(COUNT(H473,K473)=2,IF(ABS(K473)&gt;ABS(H473),"RE &gt; CA ",""),"")))</f>
        <v/>
      </c>
      <c r="P473" s="16">
        <f>IF(OR($A473="",H473="",$C473=""),"",IF(COUNTIFS($A$5:$A$639,$A473,$C$5:$C$639,$C473-1,$D$5:$D$639,$D473,H$5:H$639,"&lt;&gt;")=0,"",IF(OR(SUMIFS(H$5:H$639,$A$5:$A$639,$A473,$C$5:$C$639,$C473-1,$D$5:$D$639,$D473)=0,H473*SUMIFS(H$5:H$639,$A$5:$A$639,$A473,$C$5:$C$639,$C473-1,$D$5:$D$639,$D473)&lt;0),"n.s.",ABS(H473)/ABS(SUMIFS(H$5:H$639,$A$5:$A$639,$A473,$C$5:$C$639,$C473-1,$D$5:$D$639,$D473))-1)))</f>
        <v/>
      </c>
      <c r="Q473" s="16">
        <f>IF(OR($A473="",I473="",$C473=""),"",IF(COUNTIFS($A$5:$A$639,$A473,$C$5:$C$639,$C473-1,$D$5:$D$639,$D473,I$5:I$639,"&lt;&gt;")=0,"",IF(OR(SUMIFS(I$5:I$639,$A$5:$A$639,$A473,$C$5:$C$639,$C473-1,$D$5:$D$639,$D473)=0,I473*SUMIFS(I$5:I$639,$A$5:$A$639,$A473,$C$5:$C$639,$C473-1,$D$5:$D$639,$D473)&lt;0),"n.s.",ABS(I473)/ABS(SUMIFS(I$5:I$639,$A$5:$A$639,$A473,$C$5:$C$639,$C473-1,$D$5:$D$639,$D473))-1)))</f>
        <v/>
      </c>
      <c r="R473" s="16">
        <f>IF(OR($A473="",J473="",$C473=""),"",IF(COUNTIFS($A$5:$A$639,$A473,$C$5:$C$639,$C473-1,$D$5:$D$639,$D473,J$5:J$639,"&lt;&gt;")=0,"",IF(OR(SUMIFS(J$5:J$639,$A$5:$A$639,$A473,$C$5:$C$639,$C473-1,$D$5:$D$639,$D473)=0,J473*SUMIFS(J$5:J$639,$A$5:$A$639,$A473,$C$5:$C$639,$C473-1,$D$5:$D$639,$D473)&lt;0),"n.s.",ABS(J473)/ABS(SUMIFS(J$5:J$639,$A$5:$A$639,$A473,$C$5:$C$639,$C473-1,$D$5:$D$639,$D473))-1)))</f>
        <v/>
      </c>
      <c r="S473" s="16">
        <f>IF(OR($A473="",K473="",$C473=""),"",IF(COUNTIFS($A$5:$A$639,$A473,$C$5:$C$639,$C473-1,$D$5:$D$639,$D473,K$5:K$639,"&lt;&gt;")=0,"",IF(OR(SUMIFS(K$5:K$639,$A$5:$A$639,$A473,$C$5:$C$639,$C473-1,$D$5:$D$639,$D473)=0,K473*SUMIFS(K$5:K$639,$A$5:$A$639,$A473,$C$5:$C$639,$C473-1,$D$5:$D$639,$D473)&lt;0),"n.s.",ABS(K473)/ABS(SUMIFS(K$5:K$639,$A$5:$A$639,$A473,$C$5:$C$639,$C473-1,$D$5:$D$639,$D473))-1)))</f>
        <v/>
      </c>
      <c r="T473" s="16">
        <f>IF(OR($A473="",L473="",$C473=""),"",IF(COUNTIFS($A$5:$A$639,$A473,$C$5:$C$639,$C473-1,$D$5:$D$639,$D473,L$5:L$639,"&lt;&gt;")=0,"",IF(OR(SUMIFS(L$5:L$639,$A$5:$A$639,$A473,$C$5:$C$639,$C473-1,$D$5:$D$639,$D473)=0,L473*SUMIFS(L$5:L$639,$A$5:$A$639,$A473,$C$5:$C$639,$C473-1,$D$5:$D$639,$D473)&lt;0),"n.s.",ABS(L473)/ABS(SUMIFS(L$5:L$639,$A$5:$A$639,$A473,$C$5:$C$639,$C473-1,$D$5:$D$639,$D473))-1)))</f>
        <v/>
      </c>
      <c r="U473" s="16">
        <f>IF(OR($A473="",M473="",$C473=""),"",IF(COUNTIFS($A$5:$A$639,$A473,$C$5:$C$639,$C473-1,$D$5:$D$639,$D473,M$5:M$639,"&lt;&gt;")=0,"",IF(OR(SUMIFS(M$5:M$639,$A$5:$A$639,$A473,$C$5:$C$639,$C473-1,$D$5:$D$639,$D473)=0,M473*SUMIFS(M$5:M$639,$A$5:$A$639,$A473,$C$5:$C$639,$C473-1,$D$5:$D$639,$D473)&lt;0),"n.s.",ABS(M473)/ABS(SUMIFS(M$5:M$639,$A$5:$A$639,$A473,$C$5:$C$639,$C473-1,$D$5:$D$639,$D473))-1)))</f>
        <v/>
      </c>
    </row>
    <row r="474">
      <c r="A474" s="9" t="inlineStr">
        <is>
          <t>ONTBF</t>
        </is>
      </c>
      <c r="B474" s="10">
        <f>IF(A474="","",IFERROR(VLOOKUP(A474,Titres!$A$2:$B$400,2,FALSE),"Ticker inconnu"))</f>
        <v/>
      </c>
      <c r="C474" s="11" t="n">
        <v>2021</v>
      </c>
      <c r="D474" s="11" t="inlineStr">
        <is>
          <t>S1</t>
        </is>
      </c>
      <c r="E474" s="9" t="n"/>
      <c r="F474" s="12" t="n"/>
      <c r="G474" s="9" t="n"/>
      <c r="H474" s="13" t="n"/>
      <c r="I474" s="13" t="n"/>
      <c r="J474" s="13" t="n"/>
      <c r="K474" s="13" t="n"/>
      <c r="L474" s="13" t="n"/>
      <c r="M474" s="13" t="n"/>
      <c r="N474" s="14">
        <f>IF(A474="","",COUNT(H474:M474)/6)</f>
        <v/>
      </c>
      <c r="O474" s="15">
        <f>IF(COUNT(H474:M474)=0,"",IF(LEN(IF(COUNT(I474,J474)=2,IF(J474&gt;I474+1,"EBE &gt; VA ",""),"")&amp;IF(COUNT(H474,M474)=2,IF(ABS(M474)&gt;ABS(H474),"RN &gt; CA ",""),"")&amp;IF(COUNT(H474,K474)=2,IF(ABS(K474)&gt;ABS(H474),"RE &gt; CA ",""),""))=0,"OK",IF(COUNT(I474,J474)=2,IF(J474&gt;I474+1,"EBE &gt; VA ",""),"")&amp;IF(COUNT(H474,M474)=2,IF(ABS(M474)&gt;ABS(H474),"RN &gt; CA ",""),"")&amp;IF(COUNT(H474,K474)=2,IF(ABS(K474)&gt;ABS(H474),"RE &gt; CA ",""),"")))</f>
        <v/>
      </c>
      <c r="P474" s="16">
        <f>IF(OR($A474="",H474="",$C474=""),"",IF(COUNTIFS($A$5:$A$639,$A474,$C$5:$C$639,$C474-1,$D$5:$D$639,$D474,H$5:H$639,"&lt;&gt;")=0,"",IF(OR(SUMIFS(H$5:H$639,$A$5:$A$639,$A474,$C$5:$C$639,$C474-1,$D$5:$D$639,$D474)=0,H474*SUMIFS(H$5:H$639,$A$5:$A$639,$A474,$C$5:$C$639,$C474-1,$D$5:$D$639,$D474)&lt;0),"n.s.",ABS(H474)/ABS(SUMIFS(H$5:H$639,$A$5:$A$639,$A474,$C$5:$C$639,$C474-1,$D$5:$D$639,$D474))-1)))</f>
        <v/>
      </c>
      <c r="Q474" s="16">
        <f>IF(OR($A474="",I474="",$C474=""),"",IF(COUNTIFS($A$5:$A$639,$A474,$C$5:$C$639,$C474-1,$D$5:$D$639,$D474,I$5:I$639,"&lt;&gt;")=0,"",IF(OR(SUMIFS(I$5:I$639,$A$5:$A$639,$A474,$C$5:$C$639,$C474-1,$D$5:$D$639,$D474)=0,I474*SUMIFS(I$5:I$639,$A$5:$A$639,$A474,$C$5:$C$639,$C474-1,$D$5:$D$639,$D474)&lt;0),"n.s.",ABS(I474)/ABS(SUMIFS(I$5:I$639,$A$5:$A$639,$A474,$C$5:$C$639,$C474-1,$D$5:$D$639,$D474))-1)))</f>
        <v/>
      </c>
      <c r="R474" s="16">
        <f>IF(OR($A474="",J474="",$C474=""),"",IF(COUNTIFS($A$5:$A$639,$A474,$C$5:$C$639,$C474-1,$D$5:$D$639,$D474,J$5:J$639,"&lt;&gt;")=0,"",IF(OR(SUMIFS(J$5:J$639,$A$5:$A$639,$A474,$C$5:$C$639,$C474-1,$D$5:$D$639,$D474)=0,J474*SUMIFS(J$5:J$639,$A$5:$A$639,$A474,$C$5:$C$639,$C474-1,$D$5:$D$639,$D474)&lt;0),"n.s.",ABS(J474)/ABS(SUMIFS(J$5:J$639,$A$5:$A$639,$A474,$C$5:$C$639,$C474-1,$D$5:$D$639,$D474))-1)))</f>
        <v/>
      </c>
      <c r="S474" s="16">
        <f>IF(OR($A474="",K474="",$C474=""),"",IF(COUNTIFS($A$5:$A$639,$A474,$C$5:$C$639,$C474-1,$D$5:$D$639,$D474,K$5:K$639,"&lt;&gt;")=0,"",IF(OR(SUMIFS(K$5:K$639,$A$5:$A$639,$A474,$C$5:$C$639,$C474-1,$D$5:$D$639,$D474)=0,K474*SUMIFS(K$5:K$639,$A$5:$A$639,$A474,$C$5:$C$639,$C474-1,$D$5:$D$639,$D474)&lt;0),"n.s.",ABS(K474)/ABS(SUMIFS(K$5:K$639,$A$5:$A$639,$A474,$C$5:$C$639,$C474-1,$D$5:$D$639,$D474))-1)))</f>
        <v/>
      </c>
      <c r="T474" s="16">
        <f>IF(OR($A474="",L474="",$C474=""),"",IF(COUNTIFS($A$5:$A$639,$A474,$C$5:$C$639,$C474-1,$D$5:$D$639,$D474,L$5:L$639,"&lt;&gt;")=0,"",IF(OR(SUMIFS(L$5:L$639,$A$5:$A$639,$A474,$C$5:$C$639,$C474-1,$D$5:$D$639,$D474)=0,L474*SUMIFS(L$5:L$639,$A$5:$A$639,$A474,$C$5:$C$639,$C474-1,$D$5:$D$639,$D474)&lt;0),"n.s.",ABS(L474)/ABS(SUMIFS(L$5:L$639,$A$5:$A$639,$A474,$C$5:$C$639,$C474-1,$D$5:$D$639,$D474))-1)))</f>
        <v/>
      </c>
      <c r="U474" s="16">
        <f>IF(OR($A474="",M474="",$C474=""),"",IF(COUNTIFS($A$5:$A$639,$A474,$C$5:$C$639,$C474-1,$D$5:$D$639,$D474,M$5:M$639,"&lt;&gt;")=0,"",IF(OR(SUMIFS(M$5:M$639,$A$5:$A$639,$A474,$C$5:$C$639,$C474-1,$D$5:$D$639,$D474)=0,M474*SUMIFS(M$5:M$639,$A$5:$A$639,$A474,$C$5:$C$639,$C474-1,$D$5:$D$639,$D474)&lt;0),"n.s.",ABS(M474)/ABS(SUMIFS(M$5:M$639,$A$5:$A$639,$A474,$C$5:$C$639,$C474-1,$D$5:$D$639,$D474))-1)))</f>
        <v/>
      </c>
    </row>
    <row r="475">
      <c r="A475" s="9" t="inlineStr">
        <is>
          <t>ONTBF</t>
        </is>
      </c>
      <c r="B475" s="10">
        <f>IF(A475="","",IFERROR(VLOOKUP(A475,Titres!$A$2:$B$400,2,FALSE),"Ticker inconnu"))</f>
        <v/>
      </c>
      <c r="C475" s="11" t="n">
        <v>2021</v>
      </c>
      <c r="D475" s="11" t="inlineStr">
        <is>
          <t>T3</t>
        </is>
      </c>
      <c r="E475" s="9" t="n"/>
      <c r="F475" s="12" t="n"/>
      <c r="G475" s="9" t="n"/>
      <c r="H475" s="13" t="n"/>
      <c r="I475" s="13" t="n"/>
      <c r="J475" s="13" t="n"/>
      <c r="K475" s="13" t="n"/>
      <c r="L475" s="13" t="n"/>
      <c r="M475" s="13" t="n"/>
      <c r="N475" s="14">
        <f>IF(A475="","",COUNT(H475:M475)/6)</f>
        <v/>
      </c>
      <c r="O475" s="15">
        <f>IF(COUNT(H475:M475)=0,"",IF(LEN(IF(COUNT(I475,J475)=2,IF(J475&gt;I475+1,"EBE &gt; VA ",""),"")&amp;IF(COUNT(H475,M475)=2,IF(ABS(M475)&gt;ABS(H475),"RN &gt; CA ",""),"")&amp;IF(COUNT(H475,K475)=2,IF(ABS(K475)&gt;ABS(H475),"RE &gt; CA ",""),""))=0,"OK",IF(COUNT(I475,J475)=2,IF(J475&gt;I475+1,"EBE &gt; VA ",""),"")&amp;IF(COUNT(H475,M475)=2,IF(ABS(M475)&gt;ABS(H475),"RN &gt; CA ",""),"")&amp;IF(COUNT(H475,K475)=2,IF(ABS(K475)&gt;ABS(H475),"RE &gt; CA ",""),"")))</f>
        <v/>
      </c>
      <c r="P475" s="16">
        <f>IF(OR($A475="",H475="",$C475=""),"",IF(COUNTIFS($A$5:$A$639,$A475,$C$5:$C$639,$C475-1,$D$5:$D$639,$D475,H$5:H$639,"&lt;&gt;")=0,"",IF(OR(SUMIFS(H$5:H$639,$A$5:$A$639,$A475,$C$5:$C$639,$C475-1,$D$5:$D$639,$D475)=0,H475*SUMIFS(H$5:H$639,$A$5:$A$639,$A475,$C$5:$C$639,$C475-1,$D$5:$D$639,$D475)&lt;0),"n.s.",ABS(H475)/ABS(SUMIFS(H$5:H$639,$A$5:$A$639,$A475,$C$5:$C$639,$C475-1,$D$5:$D$639,$D475))-1)))</f>
        <v/>
      </c>
      <c r="Q475" s="16">
        <f>IF(OR($A475="",I475="",$C475=""),"",IF(COUNTIFS($A$5:$A$639,$A475,$C$5:$C$639,$C475-1,$D$5:$D$639,$D475,I$5:I$639,"&lt;&gt;")=0,"",IF(OR(SUMIFS(I$5:I$639,$A$5:$A$639,$A475,$C$5:$C$639,$C475-1,$D$5:$D$639,$D475)=0,I475*SUMIFS(I$5:I$639,$A$5:$A$639,$A475,$C$5:$C$639,$C475-1,$D$5:$D$639,$D475)&lt;0),"n.s.",ABS(I475)/ABS(SUMIFS(I$5:I$639,$A$5:$A$639,$A475,$C$5:$C$639,$C475-1,$D$5:$D$639,$D475))-1)))</f>
        <v/>
      </c>
      <c r="R475" s="16">
        <f>IF(OR($A475="",J475="",$C475=""),"",IF(COUNTIFS($A$5:$A$639,$A475,$C$5:$C$639,$C475-1,$D$5:$D$639,$D475,J$5:J$639,"&lt;&gt;")=0,"",IF(OR(SUMIFS(J$5:J$639,$A$5:$A$639,$A475,$C$5:$C$639,$C475-1,$D$5:$D$639,$D475)=0,J475*SUMIFS(J$5:J$639,$A$5:$A$639,$A475,$C$5:$C$639,$C475-1,$D$5:$D$639,$D475)&lt;0),"n.s.",ABS(J475)/ABS(SUMIFS(J$5:J$639,$A$5:$A$639,$A475,$C$5:$C$639,$C475-1,$D$5:$D$639,$D475))-1)))</f>
        <v/>
      </c>
      <c r="S475" s="16">
        <f>IF(OR($A475="",K475="",$C475=""),"",IF(COUNTIFS($A$5:$A$639,$A475,$C$5:$C$639,$C475-1,$D$5:$D$639,$D475,K$5:K$639,"&lt;&gt;")=0,"",IF(OR(SUMIFS(K$5:K$639,$A$5:$A$639,$A475,$C$5:$C$639,$C475-1,$D$5:$D$639,$D475)=0,K475*SUMIFS(K$5:K$639,$A$5:$A$639,$A475,$C$5:$C$639,$C475-1,$D$5:$D$639,$D475)&lt;0),"n.s.",ABS(K475)/ABS(SUMIFS(K$5:K$639,$A$5:$A$639,$A475,$C$5:$C$639,$C475-1,$D$5:$D$639,$D475))-1)))</f>
        <v/>
      </c>
      <c r="T475" s="16">
        <f>IF(OR($A475="",L475="",$C475=""),"",IF(COUNTIFS($A$5:$A$639,$A475,$C$5:$C$639,$C475-1,$D$5:$D$639,$D475,L$5:L$639,"&lt;&gt;")=0,"",IF(OR(SUMIFS(L$5:L$639,$A$5:$A$639,$A475,$C$5:$C$639,$C475-1,$D$5:$D$639,$D475)=0,L475*SUMIFS(L$5:L$639,$A$5:$A$639,$A475,$C$5:$C$639,$C475-1,$D$5:$D$639,$D475)&lt;0),"n.s.",ABS(L475)/ABS(SUMIFS(L$5:L$639,$A$5:$A$639,$A475,$C$5:$C$639,$C475-1,$D$5:$D$639,$D475))-1)))</f>
        <v/>
      </c>
      <c r="U475" s="16">
        <f>IF(OR($A475="",M475="",$C475=""),"",IF(COUNTIFS($A$5:$A$639,$A475,$C$5:$C$639,$C475-1,$D$5:$D$639,$D475,M$5:M$639,"&lt;&gt;")=0,"",IF(OR(SUMIFS(M$5:M$639,$A$5:$A$639,$A475,$C$5:$C$639,$C475-1,$D$5:$D$639,$D475)=0,M475*SUMIFS(M$5:M$639,$A$5:$A$639,$A475,$C$5:$C$639,$C475-1,$D$5:$D$639,$D475)&lt;0),"n.s.",ABS(M475)/ABS(SUMIFS(M$5:M$639,$A$5:$A$639,$A475,$C$5:$C$639,$C475-1,$D$5:$D$639,$D475))-1)))</f>
        <v/>
      </c>
    </row>
    <row r="476">
      <c r="A476" s="9" t="inlineStr">
        <is>
          <t>ONTBF</t>
        </is>
      </c>
      <c r="B476" s="10">
        <f>IF(A476="","",IFERROR(VLOOKUP(A476,Titres!$A$2:$B$400,2,FALSE),"Ticker inconnu"))</f>
        <v/>
      </c>
      <c r="C476" s="11" t="n">
        <v>2022</v>
      </c>
      <c r="D476" s="11" t="inlineStr">
        <is>
          <t>T1</t>
        </is>
      </c>
      <c r="E476" s="9" t="n"/>
      <c r="F476" s="12" t="n"/>
      <c r="G476" s="9" t="n"/>
      <c r="H476" s="13" t="n"/>
      <c r="I476" s="13" t="n"/>
      <c r="J476" s="13" t="n"/>
      <c r="K476" s="13" t="n"/>
      <c r="L476" s="13" t="n"/>
      <c r="M476" s="13" t="n"/>
      <c r="N476" s="14">
        <f>IF(A476="","",COUNT(H476:M476)/6)</f>
        <v/>
      </c>
      <c r="O476" s="15">
        <f>IF(COUNT(H476:M476)=0,"",IF(LEN(IF(COUNT(I476,J476)=2,IF(J476&gt;I476+1,"EBE &gt; VA ",""),"")&amp;IF(COUNT(H476,M476)=2,IF(ABS(M476)&gt;ABS(H476),"RN &gt; CA ",""),"")&amp;IF(COUNT(H476,K476)=2,IF(ABS(K476)&gt;ABS(H476),"RE &gt; CA ",""),""))=0,"OK",IF(COUNT(I476,J476)=2,IF(J476&gt;I476+1,"EBE &gt; VA ",""),"")&amp;IF(COUNT(H476,M476)=2,IF(ABS(M476)&gt;ABS(H476),"RN &gt; CA ",""),"")&amp;IF(COUNT(H476,K476)=2,IF(ABS(K476)&gt;ABS(H476),"RE &gt; CA ",""),"")))</f>
        <v/>
      </c>
      <c r="P476" s="16">
        <f>IF(OR($A476="",H476="",$C476=""),"",IF(COUNTIFS($A$5:$A$639,$A476,$C$5:$C$639,$C476-1,$D$5:$D$639,$D476,H$5:H$639,"&lt;&gt;")=0,"",IF(OR(SUMIFS(H$5:H$639,$A$5:$A$639,$A476,$C$5:$C$639,$C476-1,$D$5:$D$639,$D476)=0,H476*SUMIFS(H$5:H$639,$A$5:$A$639,$A476,$C$5:$C$639,$C476-1,$D$5:$D$639,$D476)&lt;0),"n.s.",ABS(H476)/ABS(SUMIFS(H$5:H$639,$A$5:$A$639,$A476,$C$5:$C$639,$C476-1,$D$5:$D$639,$D476))-1)))</f>
        <v/>
      </c>
      <c r="Q476" s="16">
        <f>IF(OR($A476="",I476="",$C476=""),"",IF(COUNTIFS($A$5:$A$639,$A476,$C$5:$C$639,$C476-1,$D$5:$D$639,$D476,I$5:I$639,"&lt;&gt;")=0,"",IF(OR(SUMIFS(I$5:I$639,$A$5:$A$639,$A476,$C$5:$C$639,$C476-1,$D$5:$D$639,$D476)=0,I476*SUMIFS(I$5:I$639,$A$5:$A$639,$A476,$C$5:$C$639,$C476-1,$D$5:$D$639,$D476)&lt;0),"n.s.",ABS(I476)/ABS(SUMIFS(I$5:I$639,$A$5:$A$639,$A476,$C$5:$C$639,$C476-1,$D$5:$D$639,$D476))-1)))</f>
        <v/>
      </c>
      <c r="R476" s="16">
        <f>IF(OR($A476="",J476="",$C476=""),"",IF(COUNTIFS($A$5:$A$639,$A476,$C$5:$C$639,$C476-1,$D$5:$D$639,$D476,J$5:J$639,"&lt;&gt;")=0,"",IF(OR(SUMIFS(J$5:J$639,$A$5:$A$639,$A476,$C$5:$C$639,$C476-1,$D$5:$D$639,$D476)=0,J476*SUMIFS(J$5:J$639,$A$5:$A$639,$A476,$C$5:$C$639,$C476-1,$D$5:$D$639,$D476)&lt;0),"n.s.",ABS(J476)/ABS(SUMIFS(J$5:J$639,$A$5:$A$639,$A476,$C$5:$C$639,$C476-1,$D$5:$D$639,$D476))-1)))</f>
        <v/>
      </c>
      <c r="S476" s="16">
        <f>IF(OR($A476="",K476="",$C476=""),"",IF(COUNTIFS($A$5:$A$639,$A476,$C$5:$C$639,$C476-1,$D$5:$D$639,$D476,K$5:K$639,"&lt;&gt;")=0,"",IF(OR(SUMIFS(K$5:K$639,$A$5:$A$639,$A476,$C$5:$C$639,$C476-1,$D$5:$D$639,$D476)=0,K476*SUMIFS(K$5:K$639,$A$5:$A$639,$A476,$C$5:$C$639,$C476-1,$D$5:$D$639,$D476)&lt;0),"n.s.",ABS(K476)/ABS(SUMIFS(K$5:K$639,$A$5:$A$639,$A476,$C$5:$C$639,$C476-1,$D$5:$D$639,$D476))-1)))</f>
        <v/>
      </c>
      <c r="T476" s="16">
        <f>IF(OR($A476="",L476="",$C476=""),"",IF(COUNTIFS($A$5:$A$639,$A476,$C$5:$C$639,$C476-1,$D$5:$D$639,$D476,L$5:L$639,"&lt;&gt;")=0,"",IF(OR(SUMIFS(L$5:L$639,$A$5:$A$639,$A476,$C$5:$C$639,$C476-1,$D$5:$D$639,$D476)=0,L476*SUMIFS(L$5:L$639,$A$5:$A$639,$A476,$C$5:$C$639,$C476-1,$D$5:$D$639,$D476)&lt;0),"n.s.",ABS(L476)/ABS(SUMIFS(L$5:L$639,$A$5:$A$639,$A476,$C$5:$C$639,$C476-1,$D$5:$D$639,$D476))-1)))</f>
        <v/>
      </c>
      <c r="U476" s="16">
        <f>IF(OR($A476="",M476="",$C476=""),"",IF(COUNTIFS($A$5:$A$639,$A476,$C$5:$C$639,$C476-1,$D$5:$D$639,$D476,M$5:M$639,"&lt;&gt;")=0,"",IF(OR(SUMIFS(M$5:M$639,$A$5:$A$639,$A476,$C$5:$C$639,$C476-1,$D$5:$D$639,$D476)=0,M476*SUMIFS(M$5:M$639,$A$5:$A$639,$A476,$C$5:$C$639,$C476-1,$D$5:$D$639,$D476)&lt;0),"n.s.",ABS(M476)/ABS(SUMIFS(M$5:M$639,$A$5:$A$639,$A476,$C$5:$C$639,$C476-1,$D$5:$D$639,$D476))-1)))</f>
        <v/>
      </c>
    </row>
    <row r="477">
      <c r="A477" s="9" t="inlineStr">
        <is>
          <t>ONTBF</t>
        </is>
      </c>
      <c r="B477" s="10">
        <f>IF(A477="","",IFERROR(VLOOKUP(A477,Titres!$A$2:$B$400,2,FALSE),"Ticker inconnu"))</f>
        <v/>
      </c>
      <c r="C477" s="11" t="n">
        <v>2022</v>
      </c>
      <c r="D477" s="11" t="inlineStr">
        <is>
          <t>S1</t>
        </is>
      </c>
      <c r="E477" s="9" t="n"/>
      <c r="F477" s="12" t="n"/>
      <c r="G477" s="9" t="n"/>
      <c r="H477" s="13" t="n"/>
      <c r="I477" s="13" t="n"/>
      <c r="J477" s="13" t="n"/>
      <c r="K477" s="13" t="n"/>
      <c r="L477" s="13" t="n"/>
      <c r="M477" s="13" t="n"/>
      <c r="N477" s="14">
        <f>IF(A477="","",COUNT(H477:M477)/6)</f>
        <v/>
      </c>
      <c r="O477" s="15">
        <f>IF(COUNT(H477:M477)=0,"",IF(LEN(IF(COUNT(I477,J477)=2,IF(J477&gt;I477+1,"EBE &gt; VA ",""),"")&amp;IF(COUNT(H477,M477)=2,IF(ABS(M477)&gt;ABS(H477),"RN &gt; CA ",""),"")&amp;IF(COUNT(H477,K477)=2,IF(ABS(K477)&gt;ABS(H477),"RE &gt; CA ",""),""))=0,"OK",IF(COUNT(I477,J477)=2,IF(J477&gt;I477+1,"EBE &gt; VA ",""),"")&amp;IF(COUNT(H477,M477)=2,IF(ABS(M477)&gt;ABS(H477),"RN &gt; CA ",""),"")&amp;IF(COUNT(H477,K477)=2,IF(ABS(K477)&gt;ABS(H477),"RE &gt; CA ",""),"")))</f>
        <v/>
      </c>
      <c r="P477" s="16">
        <f>IF(OR($A477="",H477="",$C477=""),"",IF(COUNTIFS($A$5:$A$639,$A477,$C$5:$C$639,$C477-1,$D$5:$D$639,$D477,H$5:H$639,"&lt;&gt;")=0,"",IF(OR(SUMIFS(H$5:H$639,$A$5:$A$639,$A477,$C$5:$C$639,$C477-1,$D$5:$D$639,$D477)=0,H477*SUMIFS(H$5:H$639,$A$5:$A$639,$A477,$C$5:$C$639,$C477-1,$D$5:$D$639,$D477)&lt;0),"n.s.",ABS(H477)/ABS(SUMIFS(H$5:H$639,$A$5:$A$639,$A477,$C$5:$C$639,$C477-1,$D$5:$D$639,$D477))-1)))</f>
        <v/>
      </c>
      <c r="Q477" s="16">
        <f>IF(OR($A477="",I477="",$C477=""),"",IF(COUNTIFS($A$5:$A$639,$A477,$C$5:$C$639,$C477-1,$D$5:$D$639,$D477,I$5:I$639,"&lt;&gt;")=0,"",IF(OR(SUMIFS(I$5:I$639,$A$5:$A$639,$A477,$C$5:$C$639,$C477-1,$D$5:$D$639,$D477)=0,I477*SUMIFS(I$5:I$639,$A$5:$A$639,$A477,$C$5:$C$639,$C477-1,$D$5:$D$639,$D477)&lt;0),"n.s.",ABS(I477)/ABS(SUMIFS(I$5:I$639,$A$5:$A$639,$A477,$C$5:$C$639,$C477-1,$D$5:$D$639,$D477))-1)))</f>
        <v/>
      </c>
      <c r="R477" s="16">
        <f>IF(OR($A477="",J477="",$C477=""),"",IF(COUNTIFS($A$5:$A$639,$A477,$C$5:$C$639,$C477-1,$D$5:$D$639,$D477,J$5:J$639,"&lt;&gt;")=0,"",IF(OR(SUMIFS(J$5:J$639,$A$5:$A$639,$A477,$C$5:$C$639,$C477-1,$D$5:$D$639,$D477)=0,J477*SUMIFS(J$5:J$639,$A$5:$A$639,$A477,$C$5:$C$639,$C477-1,$D$5:$D$639,$D477)&lt;0),"n.s.",ABS(J477)/ABS(SUMIFS(J$5:J$639,$A$5:$A$639,$A477,$C$5:$C$639,$C477-1,$D$5:$D$639,$D477))-1)))</f>
        <v/>
      </c>
      <c r="S477" s="16">
        <f>IF(OR($A477="",K477="",$C477=""),"",IF(COUNTIFS($A$5:$A$639,$A477,$C$5:$C$639,$C477-1,$D$5:$D$639,$D477,K$5:K$639,"&lt;&gt;")=0,"",IF(OR(SUMIFS(K$5:K$639,$A$5:$A$639,$A477,$C$5:$C$639,$C477-1,$D$5:$D$639,$D477)=0,K477*SUMIFS(K$5:K$639,$A$5:$A$639,$A477,$C$5:$C$639,$C477-1,$D$5:$D$639,$D477)&lt;0),"n.s.",ABS(K477)/ABS(SUMIFS(K$5:K$639,$A$5:$A$639,$A477,$C$5:$C$639,$C477-1,$D$5:$D$639,$D477))-1)))</f>
        <v/>
      </c>
      <c r="T477" s="16">
        <f>IF(OR($A477="",L477="",$C477=""),"",IF(COUNTIFS($A$5:$A$639,$A477,$C$5:$C$639,$C477-1,$D$5:$D$639,$D477,L$5:L$639,"&lt;&gt;")=0,"",IF(OR(SUMIFS(L$5:L$639,$A$5:$A$639,$A477,$C$5:$C$639,$C477-1,$D$5:$D$639,$D477)=0,L477*SUMIFS(L$5:L$639,$A$5:$A$639,$A477,$C$5:$C$639,$C477-1,$D$5:$D$639,$D477)&lt;0),"n.s.",ABS(L477)/ABS(SUMIFS(L$5:L$639,$A$5:$A$639,$A477,$C$5:$C$639,$C477-1,$D$5:$D$639,$D477))-1)))</f>
        <v/>
      </c>
      <c r="U477" s="16">
        <f>IF(OR($A477="",M477="",$C477=""),"",IF(COUNTIFS($A$5:$A$639,$A477,$C$5:$C$639,$C477-1,$D$5:$D$639,$D477,M$5:M$639,"&lt;&gt;")=0,"",IF(OR(SUMIFS(M$5:M$639,$A$5:$A$639,$A477,$C$5:$C$639,$C477-1,$D$5:$D$639,$D477)=0,M477*SUMIFS(M$5:M$639,$A$5:$A$639,$A477,$C$5:$C$639,$C477-1,$D$5:$D$639,$D477)&lt;0),"n.s.",ABS(M477)/ABS(SUMIFS(M$5:M$639,$A$5:$A$639,$A477,$C$5:$C$639,$C477-1,$D$5:$D$639,$D477))-1)))</f>
        <v/>
      </c>
    </row>
    <row r="478">
      <c r="A478" s="9" t="inlineStr">
        <is>
          <t>ONTBF</t>
        </is>
      </c>
      <c r="B478" s="10">
        <f>IF(A478="","",IFERROR(VLOOKUP(A478,Titres!$A$2:$B$400,2,FALSE),"Ticker inconnu"))</f>
        <v/>
      </c>
      <c r="C478" s="11" t="n">
        <v>2022</v>
      </c>
      <c r="D478" s="11" t="inlineStr">
        <is>
          <t>T3</t>
        </is>
      </c>
      <c r="E478" s="9" t="n"/>
      <c r="F478" s="12" t="n"/>
      <c r="G478" s="9" t="n"/>
      <c r="H478" s="13" t="n"/>
      <c r="I478" s="13" t="n"/>
      <c r="J478" s="13" t="n"/>
      <c r="K478" s="13" t="n"/>
      <c r="L478" s="13" t="n"/>
      <c r="M478" s="13" t="n"/>
      <c r="N478" s="14">
        <f>IF(A478="","",COUNT(H478:M478)/6)</f>
        <v/>
      </c>
      <c r="O478" s="15">
        <f>IF(COUNT(H478:M478)=0,"",IF(LEN(IF(COUNT(I478,J478)=2,IF(J478&gt;I478+1,"EBE &gt; VA ",""),"")&amp;IF(COUNT(H478,M478)=2,IF(ABS(M478)&gt;ABS(H478),"RN &gt; CA ",""),"")&amp;IF(COUNT(H478,K478)=2,IF(ABS(K478)&gt;ABS(H478),"RE &gt; CA ",""),""))=0,"OK",IF(COUNT(I478,J478)=2,IF(J478&gt;I478+1,"EBE &gt; VA ",""),"")&amp;IF(COUNT(H478,M478)=2,IF(ABS(M478)&gt;ABS(H478),"RN &gt; CA ",""),"")&amp;IF(COUNT(H478,K478)=2,IF(ABS(K478)&gt;ABS(H478),"RE &gt; CA ",""),"")))</f>
        <v/>
      </c>
      <c r="P478" s="16">
        <f>IF(OR($A478="",H478="",$C478=""),"",IF(COUNTIFS($A$5:$A$639,$A478,$C$5:$C$639,$C478-1,$D$5:$D$639,$D478,H$5:H$639,"&lt;&gt;")=0,"",IF(OR(SUMIFS(H$5:H$639,$A$5:$A$639,$A478,$C$5:$C$639,$C478-1,$D$5:$D$639,$D478)=0,H478*SUMIFS(H$5:H$639,$A$5:$A$639,$A478,$C$5:$C$639,$C478-1,$D$5:$D$639,$D478)&lt;0),"n.s.",ABS(H478)/ABS(SUMIFS(H$5:H$639,$A$5:$A$639,$A478,$C$5:$C$639,$C478-1,$D$5:$D$639,$D478))-1)))</f>
        <v/>
      </c>
      <c r="Q478" s="16">
        <f>IF(OR($A478="",I478="",$C478=""),"",IF(COUNTIFS($A$5:$A$639,$A478,$C$5:$C$639,$C478-1,$D$5:$D$639,$D478,I$5:I$639,"&lt;&gt;")=0,"",IF(OR(SUMIFS(I$5:I$639,$A$5:$A$639,$A478,$C$5:$C$639,$C478-1,$D$5:$D$639,$D478)=0,I478*SUMIFS(I$5:I$639,$A$5:$A$639,$A478,$C$5:$C$639,$C478-1,$D$5:$D$639,$D478)&lt;0),"n.s.",ABS(I478)/ABS(SUMIFS(I$5:I$639,$A$5:$A$639,$A478,$C$5:$C$639,$C478-1,$D$5:$D$639,$D478))-1)))</f>
        <v/>
      </c>
      <c r="R478" s="16">
        <f>IF(OR($A478="",J478="",$C478=""),"",IF(COUNTIFS($A$5:$A$639,$A478,$C$5:$C$639,$C478-1,$D$5:$D$639,$D478,J$5:J$639,"&lt;&gt;")=0,"",IF(OR(SUMIFS(J$5:J$639,$A$5:$A$639,$A478,$C$5:$C$639,$C478-1,$D$5:$D$639,$D478)=0,J478*SUMIFS(J$5:J$639,$A$5:$A$639,$A478,$C$5:$C$639,$C478-1,$D$5:$D$639,$D478)&lt;0),"n.s.",ABS(J478)/ABS(SUMIFS(J$5:J$639,$A$5:$A$639,$A478,$C$5:$C$639,$C478-1,$D$5:$D$639,$D478))-1)))</f>
        <v/>
      </c>
      <c r="S478" s="16">
        <f>IF(OR($A478="",K478="",$C478=""),"",IF(COUNTIFS($A$5:$A$639,$A478,$C$5:$C$639,$C478-1,$D$5:$D$639,$D478,K$5:K$639,"&lt;&gt;")=0,"",IF(OR(SUMIFS(K$5:K$639,$A$5:$A$639,$A478,$C$5:$C$639,$C478-1,$D$5:$D$639,$D478)=0,K478*SUMIFS(K$5:K$639,$A$5:$A$639,$A478,$C$5:$C$639,$C478-1,$D$5:$D$639,$D478)&lt;0),"n.s.",ABS(K478)/ABS(SUMIFS(K$5:K$639,$A$5:$A$639,$A478,$C$5:$C$639,$C478-1,$D$5:$D$639,$D478))-1)))</f>
        <v/>
      </c>
      <c r="T478" s="16">
        <f>IF(OR($A478="",L478="",$C478=""),"",IF(COUNTIFS($A$5:$A$639,$A478,$C$5:$C$639,$C478-1,$D$5:$D$639,$D478,L$5:L$639,"&lt;&gt;")=0,"",IF(OR(SUMIFS(L$5:L$639,$A$5:$A$639,$A478,$C$5:$C$639,$C478-1,$D$5:$D$639,$D478)=0,L478*SUMIFS(L$5:L$639,$A$5:$A$639,$A478,$C$5:$C$639,$C478-1,$D$5:$D$639,$D478)&lt;0),"n.s.",ABS(L478)/ABS(SUMIFS(L$5:L$639,$A$5:$A$639,$A478,$C$5:$C$639,$C478-1,$D$5:$D$639,$D478))-1)))</f>
        <v/>
      </c>
      <c r="U478" s="16">
        <f>IF(OR($A478="",M478="",$C478=""),"",IF(COUNTIFS($A$5:$A$639,$A478,$C$5:$C$639,$C478-1,$D$5:$D$639,$D478,M$5:M$639,"&lt;&gt;")=0,"",IF(OR(SUMIFS(M$5:M$639,$A$5:$A$639,$A478,$C$5:$C$639,$C478-1,$D$5:$D$639,$D478)=0,M478*SUMIFS(M$5:M$639,$A$5:$A$639,$A478,$C$5:$C$639,$C478-1,$D$5:$D$639,$D478)&lt;0),"n.s.",ABS(M478)/ABS(SUMIFS(M$5:M$639,$A$5:$A$639,$A478,$C$5:$C$639,$C478-1,$D$5:$D$639,$D478))-1)))</f>
        <v/>
      </c>
    </row>
    <row r="479">
      <c r="A479" s="9" t="inlineStr">
        <is>
          <t>ONTBF</t>
        </is>
      </c>
      <c r="B479" s="10">
        <f>IF(A479="","",IFERROR(VLOOKUP(A479,Titres!$A$2:$B$400,2,FALSE),"Ticker inconnu"))</f>
        <v/>
      </c>
      <c r="C479" s="11" t="n">
        <v>2023</v>
      </c>
      <c r="D479" s="11" t="inlineStr">
        <is>
          <t>T1</t>
        </is>
      </c>
      <c r="E479" s="9" t="n"/>
      <c r="F479" s="12" t="n"/>
      <c r="G479" s="9" t="n"/>
      <c r="H479" s="13" t="n"/>
      <c r="I479" s="13" t="n"/>
      <c r="J479" s="13" t="n"/>
      <c r="K479" s="13" t="n"/>
      <c r="L479" s="13" t="n"/>
      <c r="M479" s="13" t="n"/>
      <c r="N479" s="14">
        <f>IF(A479="","",COUNT(H479:M479)/6)</f>
        <v/>
      </c>
      <c r="O479" s="15">
        <f>IF(COUNT(H479:M479)=0,"",IF(LEN(IF(COUNT(I479,J479)=2,IF(J479&gt;I479+1,"EBE &gt; VA ",""),"")&amp;IF(COUNT(H479,M479)=2,IF(ABS(M479)&gt;ABS(H479),"RN &gt; CA ",""),"")&amp;IF(COUNT(H479,K479)=2,IF(ABS(K479)&gt;ABS(H479),"RE &gt; CA ",""),""))=0,"OK",IF(COUNT(I479,J479)=2,IF(J479&gt;I479+1,"EBE &gt; VA ",""),"")&amp;IF(COUNT(H479,M479)=2,IF(ABS(M479)&gt;ABS(H479),"RN &gt; CA ",""),"")&amp;IF(COUNT(H479,K479)=2,IF(ABS(K479)&gt;ABS(H479),"RE &gt; CA ",""),"")))</f>
        <v/>
      </c>
      <c r="P479" s="16">
        <f>IF(OR($A479="",H479="",$C479=""),"",IF(COUNTIFS($A$5:$A$639,$A479,$C$5:$C$639,$C479-1,$D$5:$D$639,$D479,H$5:H$639,"&lt;&gt;")=0,"",IF(OR(SUMIFS(H$5:H$639,$A$5:$A$639,$A479,$C$5:$C$639,$C479-1,$D$5:$D$639,$D479)=0,H479*SUMIFS(H$5:H$639,$A$5:$A$639,$A479,$C$5:$C$639,$C479-1,$D$5:$D$639,$D479)&lt;0),"n.s.",ABS(H479)/ABS(SUMIFS(H$5:H$639,$A$5:$A$639,$A479,$C$5:$C$639,$C479-1,$D$5:$D$639,$D479))-1)))</f>
        <v/>
      </c>
      <c r="Q479" s="16">
        <f>IF(OR($A479="",I479="",$C479=""),"",IF(COUNTIFS($A$5:$A$639,$A479,$C$5:$C$639,$C479-1,$D$5:$D$639,$D479,I$5:I$639,"&lt;&gt;")=0,"",IF(OR(SUMIFS(I$5:I$639,$A$5:$A$639,$A479,$C$5:$C$639,$C479-1,$D$5:$D$639,$D479)=0,I479*SUMIFS(I$5:I$639,$A$5:$A$639,$A479,$C$5:$C$639,$C479-1,$D$5:$D$639,$D479)&lt;0),"n.s.",ABS(I479)/ABS(SUMIFS(I$5:I$639,$A$5:$A$639,$A479,$C$5:$C$639,$C479-1,$D$5:$D$639,$D479))-1)))</f>
        <v/>
      </c>
      <c r="R479" s="16">
        <f>IF(OR($A479="",J479="",$C479=""),"",IF(COUNTIFS($A$5:$A$639,$A479,$C$5:$C$639,$C479-1,$D$5:$D$639,$D479,J$5:J$639,"&lt;&gt;")=0,"",IF(OR(SUMIFS(J$5:J$639,$A$5:$A$639,$A479,$C$5:$C$639,$C479-1,$D$5:$D$639,$D479)=0,J479*SUMIFS(J$5:J$639,$A$5:$A$639,$A479,$C$5:$C$639,$C479-1,$D$5:$D$639,$D479)&lt;0),"n.s.",ABS(J479)/ABS(SUMIFS(J$5:J$639,$A$5:$A$639,$A479,$C$5:$C$639,$C479-1,$D$5:$D$639,$D479))-1)))</f>
        <v/>
      </c>
      <c r="S479" s="16">
        <f>IF(OR($A479="",K479="",$C479=""),"",IF(COUNTIFS($A$5:$A$639,$A479,$C$5:$C$639,$C479-1,$D$5:$D$639,$D479,K$5:K$639,"&lt;&gt;")=0,"",IF(OR(SUMIFS(K$5:K$639,$A$5:$A$639,$A479,$C$5:$C$639,$C479-1,$D$5:$D$639,$D479)=0,K479*SUMIFS(K$5:K$639,$A$5:$A$639,$A479,$C$5:$C$639,$C479-1,$D$5:$D$639,$D479)&lt;0),"n.s.",ABS(K479)/ABS(SUMIFS(K$5:K$639,$A$5:$A$639,$A479,$C$5:$C$639,$C479-1,$D$5:$D$639,$D479))-1)))</f>
        <v/>
      </c>
      <c r="T479" s="16">
        <f>IF(OR($A479="",L479="",$C479=""),"",IF(COUNTIFS($A$5:$A$639,$A479,$C$5:$C$639,$C479-1,$D$5:$D$639,$D479,L$5:L$639,"&lt;&gt;")=0,"",IF(OR(SUMIFS(L$5:L$639,$A$5:$A$639,$A479,$C$5:$C$639,$C479-1,$D$5:$D$639,$D479)=0,L479*SUMIFS(L$5:L$639,$A$5:$A$639,$A479,$C$5:$C$639,$C479-1,$D$5:$D$639,$D479)&lt;0),"n.s.",ABS(L479)/ABS(SUMIFS(L$5:L$639,$A$5:$A$639,$A479,$C$5:$C$639,$C479-1,$D$5:$D$639,$D479))-1)))</f>
        <v/>
      </c>
      <c r="U479" s="16">
        <f>IF(OR($A479="",M479="",$C479=""),"",IF(COUNTIFS($A$5:$A$639,$A479,$C$5:$C$639,$C479-1,$D$5:$D$639,$D479,M$5:M$639,"&lt;&gt;")=0,"",IF(OR(SUMIFS(M$5:M$639,$A$5:$A$639,$A479,$C$5:$C$639,$C479-1,$D$5:$D$639,$D479)=0,M479*SUMIFS(M$5:M$639,$A$5:$A$639,$A479,$C$5:$C$639,$C479-1,$D$5:$D$639,$D479)&lt;0),"n.s.",ABS(M479)/ABS(SUMIFS(M$5:M$639,$A$5:$A$639,$A479,$C$5:$C$639,$C479-1,$D$5:$D$639,$D479))-1)))</f>
        <v/>
      </c>
    </row>
    <row r="480">
      <c r="A480" s="9" t="inlineStr">
        <is>
          <t>ONTBF</t>
        </is>
      </c>
      <c r="B480" s="10">
        <f>IF(A480="","",IFERROR(VLOOKUP(A480,Titres!$A$2:$B$400,2,FALSE),"Ticker inconnu"))</f>
        <v/>
      </c>
      <c r="C480" s="11" t="n">
        <v>2023</v>
      </c>
      <c r="D480" s="11" t="inlineStr">
        <is>
          <t>S1</t>
        </is>
      </c>
      <c r="E480" s="9" t="n"/>
      <c r="F480" s="12" t="n"/>
      <c r="G480" s="9" t="n"/>
      <c r="H480" s="13" t="n"/>
      <c r="I480" s="13" t="n"/>
      <c r="J480" s="13" t="n"/>
      <c r="K480" s="13" t="n"/>
      <c r="L480" s="13" t="n"/>
      <c r="M480" s="13" t="n"/>
      <c r="N480" s="14">
        <f>IF(A480="","",COUNT(H480:M480)/6)</f>
        <v/>
      </c>
      <c r="O480" s="15">
        <f>IF(COUNT(H480:M480)=0,"",IF(LEN(IF(COUNT(I480,J480)=2,IF(J480&gt;I480+1,"EBE &gt; VA ",""),"")&amp;IF(COUNT(H480,M480)=2,IF(ABS(M480)&gt;ABS(H480),"RN &gt; CA ",""),"")&amp;IF(COUNT(H480,K480)=2,IF(ABS(K480)&gt;ABS(H480),"RE &gt; CA ",""),""))=0,"OK",IF(COUNT(I480,J480)=2,IF(J480&gt;I480+1,"EBE &gt; VA ",""),"")&amp;IF(COUNT(H480,M480)=2,IF(ABS(M480)&gt;ABS(H480),"RN &gt; CA ",""),"")&amp;IF(COUNT(H480,K480)=2,IF(ABS(K480)&gt;ABS(H480),"RE &gt; CA ",""),"")))</f>
        <v/>
      </c>
      <c r="P480" s="16">
        <f>IF(OR($A480="",H480="",$C480=""),"",IF(COUNTIFS($A$5:$A$639,$A480,$C$5:$C$639,$C480-1,$D$5:$D$639,$D480,H$5:H$639,"&lt;&gt;")=0,"",IF(OR(SUMIFS(H$5:H$639,$A$5:$A$639,$A480,$C$5:$C$639,$C480-1,$D$5:$D$639,$D480)=0,H480*SUMIFS(H$5:H$639,$A$5:$A$639,$A480,$C$5:$C$639,$C480-1,$D$5:$D$639,$D480)&lt;0),"n.s.",ABS(H480)/ABS(SUMIFS(H$5:H$639,$A$5:$A$639,$A480,$C$5:$C$639,$C480-1,$D$5:$D$639,$D480))-1)))</f>
        <v/>
      </c>
      <c r="Q480" s="16">
        <f>IF(OR($A480="",I480="",$C480=""),"",IF(COUNTIFS($A$5:$A$639,$A480,$C$5:$C$639,$C480-1,$D$5:$D$639,$D480,I$5:I$639,"&lt;&gt;")=0,"",IF(OR(SUMIFS(I$5:I$639,$A$5:$A$639,$A480,$C$5:$C$639,$C480-1,$D$5:$D$639,$D480)=0,I480*SUMIFS(I$5:I$639,$A$5:$A$639,$A480,$C$5:$C$639,$C480-1,$D$5:$D$639,$D480)&lt;0),"n.s.",ABS(I480)/ABS(SUMIFS(I$5:I$639,$A$5:$A$639,$A480,$C$5:$C$639,$C480-1,$D$5:$D$639,$D480))-1)))</f>
        <v/>
      </c>
      <c r="R480" s="16">
        <f>IF(OR($A480="",J480="",$C480=""),"",IF(COUNTIFS($A$5:$A$639,$A480,$C$5:$C$639,$C480-1,$D$5:$D$639,$D480,J$5:J$639,"&lt;&gt;")=0,"",IF(OR(SUMIFS(J$5:J$639,$A$5:$A$639,$A480,$C$5:$C$639,$C480-1,$D$5:$D$639,$D480)=0,J480*SUMIFS(J$5:J$639,$A$5:$A$639,$A480,$C$5:$C$639,$C480-1,$D$5:$D$639,$D480)&lt;0),"n.s.",ABS(J480)/ABS(SUMIFS(J$5:J$639,$A$5:$A$639,$A480,$C$5:$C$639,$C480-1,$D$5:$D$639,$D480))-1)))</f>
        <v/>
      </c>
      <c r="S480" s="16">
        <f>IF(OR($A480="",K480="",$C480=""),"",IF(COUNTIFS($A$5:$A$639,$A480,$C$5:$C$639,$C480-1,$D$5:$D$639,$D480,K$5:K$639,"&lt;&gt;")=0,"",IF(OR(SUMIFS(K$5:K$639,$A$5:$A$639,$A480,$C$5:$C$639,$C480-1,$D$5:$D$639,$D480)=0,K480*SUMIFS(K$5:K$639,$A$5:$A$639,$A480,$C$5:$C$639,$C480-1,$D$5:$D$639,$D480)&lt;0),"n.s.",ABS(K480)/ABS(SUMIFS(K$5:K$639,$A$5:$A$639,$A480,$C$5:$C$639,$C480-1,$D$5:$D$639,$D480))-1)))</f>
        <v/>
      </c>
      <c r="T480" s="16">
        <f>IF(OR($A480="",L480="",$C480=""),"",IF(COUNTIFS($A$5:$A$639,$A480,$C$5:$C$639,$C480-1,$D$5:$D$639,$D480,L$5:L$639,"&lt;&gt;")=0,"",IF(OR(SUMIFS(L$5:L$639,$A$5:$A$639,$A480,$C$5:$C$639,$C480-1,$D$5:$D$639,$D480)=0,L480*SUMIFS(L$5:L$639,$A$5:$A$639,$A480,$C$5:$C$639,$C480-1,$D$5:$D$639,$D480)&lt;0),"n.s.",ABS(L480)/ABS(SUMIFS(L$5:L$639,$A$5:$A$639,$A480,$C$5:$C$639,$C480-1,$D$5:$D$639,$D480))-1)))</f>
        <v/>
      </c>
      <c r="U480" s="16">
        <f>IF(OR($A480="",M480="",$C480=""),"",IF(COUNTIFS($A$5:$A$639,$A480,$C$5:$C$639,$C480-1,$D$5:$D$639,$D480,M$5:M$639,"&lt;&gt;")=0,"",IF(OR(SUMIFS(M$5:M$639,$A$5:$A$639,$A480,$C$5:$C$639,$C480-1,$D$5:$D$639,$D480)=0,M480*SUMIFS(M$5:M$639,$A$5:$A$639,$A480,$C$5:$C$639,$C480-1,$D$5:$D$639,$D480)&lt;0),"n.s.",ABS(M480)/ABS(SUMIFS(M$5:M$639,$A$5:$A$639,$A480,$C$5:$C$639,$C480-1,$D$5:$D$639,$D480))-1)))</f>
        <v/>
      </c>
    </row>
    <row r="481">
      <c r="A481" s="9" t="inlineStr">
        <is>
          <t>ONTBF</t>
        </is>
      </c>
      <c r="B481" s="10">
        <f>IF(A481="","",IFERROR(VLOOKUP(A481,Titres!$A$2:$B$400,2,FALSE),"Ticker inconnu"))</f>
        <v/>
      </c>
      <c r="C481" s="11" t="n">
        <v>2023</v>
      </c>
      <c r="D481" s="11" t="inlineStr">
        <is>
          <t>T3</t>
        </is>
      </c>
      <c r="E481" s="9" t="n"/>
      <c r="F481" s="12" t="n"/>
      <c r="G481" s="9" t="n"/>
      <c r="H481" s="13" t="n"/>
      <c r="I481" s="13" t="n"/>
      <c r="J481" s="13" t="n"/>
      <c r="K481" s="13" t="n"/>
      <c r="L481" s="13" t="n"/>
      <c r="M481" s="13" t="n"/>
      <c r="N481" s="14">
        <f>IF(A481="","",COUNT(H481:M481)/6)</f>
        <v/>
      </c>
      <c r="O481" s="15">
        <f>IF(COUNT(H481:M481)=0,"",IF(LEN(IF(COUNT(I481,J481)=2,IF(J481&gt;I481+1,"EBE &gt; VA ",""),"")&amp;IF(COUNT(H481,M481)=2,IF(ABS(M481)&gt;ABS(H481),"RN &gt; CA ",""),"")&amp;IF(COUNT(H481,K481)=2,IF(ABS(K481)&gt;ABS(H481),"RE &gt; CA ",""),""))=0,"OK",IF(COUNT(I481,J481)=2,IF(J481&gt;I481+1,"EBE &gt; VA ",""),"")&amp;IF(COUNT(H481,M481)=2,IF(ABS(M481)&gt;ABS(H481),"RN &gt; CA ",""),"")&amp;IF(COUNT(H481,K481)=2,IF(ABS(K481)&gt;ABS(H481),"RE &gt; CA ",""),"")))</f>
        <v/>
      </c>
      <c r="P481" s="16">
        <f>IF(OR($A481="",H481="",$C481=""),"",IF(COUNTIFS($A$5:$A$639,$A481,$C$5:$C$639,$C481-1,$D$5:$D$639,$D481,H$5:H$639,"&lt;&gt;")=0,"",IF(OR(SUMIFS(H$5:H$639,$A$5:$A$639,$A481,$C$5:$C$639,$C481-1,$D$5:$D$639,$D481)=0,H481*SUMIFS(H$5:H$639,$A$5:$A$639,$A481,$C$5:$C$639,$C481-1,$D$5:$D$639,$D481)&lt;0),"n.s.",ABS(H481)/ABS(SUMIFS(H$5:H$639,$A$5:$A$639,$A481,$C$5:$C$639,$C481-1,$D$5:$D$639,$D481))-1)))</f>
        <v/>
      </c>
      <c r="Q481" s="16">
        <f>IF(OR($A481="",I481="",$C481=""),"",IF(COUNTIFS($A$5:$A$639,$A481,$C$5:$C$639,$C481-1,$D$5:$D$639,$D481,I$5:I$639,"&lt;&gt;")=0,"",IF(OR(SUMIFS(I$5:I$639,$A$5:$A$639,$A481,$C$5:$C$639,$C481-1,$D$5:$D$639,$D481)=0,I481*SUMIFS(I$5:I$639,$A$5:$A$639,$A481,$C$5:$C$639,$C481-1,$D$5:$D$639,$D481)&lt;0),"n.s.",ABS(I481)/ABS(SUMIFS(I$5:I$639,$A$5:$A$639,$A481,$C$5:$C$639,$C481-1,$D$5:$D$639,$D481))-1)))</f>
        <v/>
      </c>
      <c r="R481" s="16">
        <f>IF(OR($A481="",J481="",$C481=""),"",IF(COUNTIFS($A$5:$A$639,$A481,$C$5:$C$639,$C481-1,$D$5:$D$639,$D481,J$5:J$639,"&lt;&gt;")=0,"",IF(OR(SUMIFS(J$5:J$639,$A$5:$A$639,$A481,$C$5:$C$639,$C481-1,$D$5:$D$639,$D481)=0,J481*SUMIFS(J$5:J$639,$A$5:$A$639,$A481,$C$5:$C$639,$C481-1,$D$5:$D$639,$D481)&lt;0),"n.s.",ABS(J481)/ABS(SUMIFS(J$5:J$639,$A$5:$A$639,$A481,$C$5:$C$639,$C481-1,$D$5:$D$639,$D481))-1)))</f>
        <v/>
      </c>
      <c r="S481" s="16">
        <f>IF(OR($A481="",K481="",$C481=""),"",IF(COUNTIFS($A$5:$A$639,$A481,$C$5:$C$639,$C481-1,$D$5:$D$639,$D481,K$5:K$639,"&lt;&gt;")=0,"",IF(OR(SUMIFS(K$5:K$639,$A$5:$A$639,$A481,$C$5:$C$639,$C481-1,$D$5:$D$639,$D481)=0,K481*SUMIFS(K$5:K$639,$A$5:$A$639,$A481,$C$5:$C$639,$C481-1,$D$5:$D$639,$D481)&lt;0),"n.s.",ABS(K481)/ABS(SUMIFS(K$5:K$639,$A$5:$A$639,$A481,$C$5:$C$639,$C481-1,$D$5:$D$639,$D481))-1)))</f>
        <v/>
      </c>
      <c r="T481" s="16">
        <f>IF(OR($A481="",L481="",$C481=""),"",IF(COUNTIFS($A$5:$A$639,$A481,$C$5:$C$639,$C481-1,$D$5:$D$639,$D481,L$5:L$639,"&lt;&gt;")=0,"",IF(OR(SUMIFS(L$5:L$639,$A$5:$A$639,$A481,$C$5:$C$639,$C481-1,$D$5:$D$639,$D481)=0,L481*SUMIFS(L$5:L$639,$A$5:$A$639,$A481,$C$5:$C$639,$C481-1,$D$5:$D$639,$D481)&lt;0),"n.s.",ABS(L481)/ABS(SUMIFS(L$5:L$639,$A$5:$A$639,$A481,$C$5:$C$639,$C481-1,$D$5:$D$639,$D481))-1)))</f>
        <v/>
      </c>
      <c r="U481" s="16">
        <f>IF(OR($A481="",M481="",$C481=""),"",IF(COUNTIFS($A$5:$A$639,$A481,$C$5:$C$639,$C481-1,$D$5:$D$639,$D481,M$5:M$639,"&lt;&gt;")=0,"",IF(OR(SUMIFS(M$5:M$639,$A$5:$A$639,$A481,$C$5:$C$639,$C481-1,$D$5:$D$639,$D481)=0,M481*SUMIFS(M$5:M$639,$A$5:$A$639,$A481,$C$5:$C$639,$C481-1,$D$5:$D$639,$D481)&lt;0),"n.s.",ABS(M481)/ABS(SUMIFS(M$5:M$639,$A$5:$A$639,$A481,$C$5:$C$639,$C481-1,$D$5:$D$639,$D481))-1)))</f>
        <v/>
      </c>
    </row>
    <row r="482">
      <c r="A482" s="9" t="inlineStr">
        <is>
          <t>ONTBF</t>
        </is>
      </c>
      <c r="B482" s="10">
        <f>IF(A482="","",IFERROR(VLOOKUP(A482,Titres!$A$2:$B$400,2,FALSE),"Ticker inconnu"))</f>
        <v/>
      </c>
      <c r="C482" s="11" t="n">
        <v>2024</v>
      </c>
      <c r="D482" s="11" t="inlineStr">
        <is>
          <t>T1</t>
        </is>
      </c>
      <c r="E482" s="9" t="n"/>
      <c r="F482" s="12" t="n"/>
      <c r="G482" s="9" t="n"/>
      <c r="H482" s="13" t="n"/>
      <c r="I482" s="13" t="n"/>
      <c r="J482" s="13" t="n"/>
      <c r="K482" s="13" t="n"/>
      <c r="L482" s="13" t="n"/>
      <c r="M482" s="13" t="n"/>
      <c r="N482" s="14">
        <f>IF(A482="","",COUNT(H482:M482)/6)</f>
        <v/>
      </c>
      <c r="O482" s="15">
        <f>IF(COUNT(H482:M482)=0,"",IF(LEN(IF(COUNT(I482,J482)=2,IF(J482&gt;I482+1,"EBE &gt; VA ",""),"")&amp;IF(COUNT(H482,M482)=2,IF(ABS(M482)&gt;ABS(H482),"RN &gt; CA ",""),"")&amp;IF(COUNT(H482,K482)=2,IF(ABS(K482)&gt;ABS(H482),"RE &gt; CA ",""),""))=0,"OK",IF(COUNT(I482,J482)=2,IF(J482&gt;I482+1,"EBE &gt; VA ",""),"")&amp;IF(COUNT(H482,M482)=2,IF(ABS(M482)&gt;ABS(H482),"RN &gt; CA ",""),"")&amp;IF(COUNT(H482,K482)=2,IF(ABS(K482)&gt;ABS(H482),"RE &gt; CA ",""),"")))</f>
        <v/>
      </c>
      <c r="P482" s="16">
        <f>IF(OR($A482="",H482="",$C482=""),"",IF(COUNTIFS($A$5:$A$639,$A482,$C$5:$C$639,$C482-1,$D$5:$D$639,$D482,H$5:H$639,"&lt;&gt;")=0,"",IF(OR(SUMIFS(H$5:H$639,$A$5:$A$639,$A482,$C$5:$C$639,$C482-1,$D$5:$D$639,$D482)=0,H482*SUMIFS(H$5:H$639,$A$5:$A$639,$A482,$C$5:$C$639,$C482-1,$D$5:$D$639,$D482)&lt;0),"n.s.",ABS(H482)/ABS(SUMIFS(H$5:H$639,$A$5:$A$639,$A482,$C$5:$C$639,$C482-1,$D$5:$D$639,$D482))-1)))</f>
        <v/>
      </c>
      <c r="Q482" s="16">
        <f>IF(OR($A482="",I482="",$C482=""),"",IF(COUNTIFS($A$5:$A$639,$A482,$C$5:$C$639,$C482-1,$D$5:$D$639,$D482,I$5:I$639,"&lt;&gt;")=0,"",IF(OR(SUMIFS(I$5:I$639,$A$5:$A$639,$A482,$C$5:$C$639,$C482-1,$D$5:$D$639,$D482)=0,I482*SUMIFS(I$5:I$639,$A$5:$A$639,$A482,$C$5:$C$639,$C482-1,$D$5:$D$639,$D482)&lt;0),"n.s.",ABS(I482)/ABS(SUMIFS(I$5:I$639,$A$5:$A$639,$A482,$C$5:$C$639,$C482-1,$D$5:$D$639,$D482))-1)))</f>
        <v/>
      </c>
      <c r="R482" s="16">
        <f>IF(OR($A482="",J482="",$C482=""),"",IF(COUNTIFS($A$5:$A$639,$A482,$C$5:$C$639,$C482-1,$D$5:$D$639,$D482,J$5:J$639,"&lt;&gt;")=0,"",IF(OR(SUMIFS(J$5:J$639,$A$5:$A$639,$A482,$C$5:$C$639,$C482-1,$D$5:$D$639,$D482)=0,J482*SUMIFS(J$5:J$639,$A$5:$A$639,$A482,$C$5:$C$639,$C482-1,$D$5:$D$639,$D482)&lt;0),"n.s.",ABS(J482)/ABS(SUMIFS(J$5:J$639,$A$5:$A$639,$A482,$C$5:$C$639,$C482-1,$D$5:$D$639,$D482))-1)))</f>
        <v/>
      </c>
      <c r="S482" s="16">
        <f>IF(OR($A482="",K482="",$C482=""),"",IF(COUNTIFS($A$5:$A$639,$A482,$C$5:$C$639,$C482-1,$D$5:$D$639,$D482,K$5:K$639,"&lt;&gt;")=0,"",IF(OR(SUMIFS(K$5:K$639,$A$5:$A$639,$A482,$C$5:$C$639,$C482-1,$D$5:$D$639,$D482)=0,K482*SUMIFS(K$5:K$639,$A$5:$A$639,$A482,$C$5:$C$639,$C482-1,$D$5:$D$639,$D482)&lt;0),"n.s.",ABS(K482)/ABS(SUMIFS(K$5:K$639,$A$5:$A$639,$A482,$C$5:$C$639,$C482-1,$D$5:$D$639,$D482))-1)))</f>
        <v/>
      </c>
      <c r="T482" s="16">
        <f>IF(OR($A482="",L482="",$C482=""),"",IF(COUNTIFS($A$5:$A$639,$A482,$C$5:$C$639,$C482-1,$D$5:$D$639,$D482,L$5:L$639,"&lt;&gt;")=0,"",IF(OR(SUMIFS(L$5:L$639,$A$5:$A$639,$A482,$C$5:$C$639,$C482-1,$D$5:$D$639,$D482)=0,L482*SUMIFS(L$5:L$639,$A$5:$A$639,$A482,$C$5:$C$639,$C482-1,$D$5:$D$639,$D482)&lt;0),"n.s.",ABS(L482)/ABS(SUMIFS(L$5:L$639,$A$5:$A$639,$A482,$C$5:$C$639,$C482-1,$D$5:$D$639,$D482))-1)))</f>
        <v/>
      </c>
      <c r="U482" s="16">
        <f>IF(OR($A482="",M482="",$C482=""),"",IF(COUNTIFS($A$5:$A$639,$A482,$C$5:$C$639,$C482-1,$D$5:$D$639,$D482,M$5:M$639,"&lt;&gt;")=0,"",IF(OR(SUMIFS(M$5:M$639,$A$5:$A$639,$A482,$C$5:$C$639,$C482-1,$D$5:$D$639,$D482)=0,M482*SUMIFS(M$5:M$639,$A$5:$A$639,$A482,$C$5:$C$639,$C482-1,$D$5:$D$639,$D482)&lt;0),"n.s.",ABS(M482)/ABS(SUMIFS(M$5:M$639,$A$5:$A$639,$A482,$C$5:$C$639,$C482-1,$D$5:$D$639,$D482))-1)))</f>
        <v/>
      </c>
    </row>
    <row r="483">
      <c r="A483" s="9" t="inlineStr">
        <is>
          <t>ONTBF</t>
        </is>
      </c>
      <c r="B483" s="10">
        <f>IF(A483="","",IFERROR(VLOOKUP(A483,Titres!$A$2:$B$400,2,FALSE),"Ticker inconnu"))</f>
        <v/>
      </c>
      <c r="C483" s="11" t="n">
        <v>2024</v>
      </c>
      <c r="D483" s="11" t="inlineStr">
        <is>
          <t>S1</t>
        </is>
      </c>
      <c r="E483" s="9" t="n"/>
      <c r="F483" s="12" t="n"/>
      <c r="G483" s="9" t="n"/>
      <c r="H483" s="13" t="n"/>
      <c r="I483" s="13" t="n"/>
      <c r="J483" s="13" t="n"/>
      <c r="K483" s="13" t="n"/>
      <c r="L483" s="13" t="n"/>
      <c r="M483" s="13" t="n"/>
      <c r="N483" s="14">
        <f>IF(A483="","",COUNT(H483:M483)/6)</f>
        <v/>
      </c>
      <c r="O483" s="15">
        <f>IF(COUNT(H483:M483)=0,"",IF(LEN(IF(COUNT(I483,J483)=2,IF(J483&gt;I483+1,"EBE &gt; VA ",""),"")&amp;IF(COUNT(H483,M483)=2,IF(ABS(M483)&gt;ABS(H483),"RN &gt; CA ",""),"")&amp;IF(COUNT(H483,K483)=2,IF(ABS(K483)&gt;ABS(H483),"RE &gt; CA ",""),""))=0,"OK",IF(COUNT(I483,J483)=2,IF(J483&gt;I483+1,"EBE &gt; VA ",""),"")&amp;IF(COUNT(H483,M483)=2,IF(ABS(M483)&gt;ABS(H483),"RN &gt; CA ",""),"")&amp;IF(COUNT(H483,K483)=2,IF(ABS(K483)&gt;ABS(H483),"RE &gt; CA ",""),"")))</f>
        <v/>
      </c>
      <c r="P483" s="16">
        <f>IF(OR($A483="",H483="",$C483=""),"",IF(COUNTIFS($A$5:$A$639,$A483,$C$5:$C$639,$C483-1,$D$5:$D$639,$D483,H$5:H$639,"&lt;&gt;")=0,"",IF(OR(SUMIFS(H$5:H$639,$A$5:$A$639,$A483,$C$5:$C$639,$C483-1,$D$5:$D$639,$D483)=0,H483*SUMIFS(H$5:H$639,$A$5:$A$639,$A483,$C$5:$C$639,$C483-1,$D$5:$D$639,$D483)&lt;0),"n.s.",ABS(H483)/ABS(SUMIFS(H$5:H$639,$A$5:$A$639,$A483,$C$5:$C$639,$C483-1,$D$5:$D$639,$D483))-1)))</f>
        <v/>
      </c>
      <c r="Q483" s="16">
        <f>IF(OR($A483="",I483="",$C483=""),"",IF(COUNTIFS($A$5:$A$639,$A483,$C$5:$C$639,$C483-1,$D$5:$D$639,$D483,I$5:I$639,"&lt;&gt;")=0,"",IF(OR(SUMIFS(I$5:I$639,$A$5:$A$639,$A483,$C$5:$C$639,$C483-1,$D$5:$D$639,$D483)=0,I483*SUMIFS(I$5:I$639,$A$5:$A$639,$A483,$C$5:$C$639,$C483-1,$D$5:$D$639,$D483)&lt;0),"n.s.",ABS(I483)/ABS(SUMIFS(I$5:I$639,$A$5:$A$639,$A483,$C$5:$C$639,$C483-1,$D$5:$D$639,$D483))-1)))</f>
        <v/>
      </c>
      <c r="R483" s="16">
        <f>IF(OR($A483="",J483="",$C483=""),"",IF(COUNTIFS($A$5:$A$639,$A483,$C$5:$C$639,$C483-1,$D$5:$D$639,$D483,J$5:J$639,"&lt;&gt;")=0,"",IF(OR(SUMIFS(J$5:J$639,$A$5:$A$639,$A483,$C$5:$C$639,$C483-1,$D$5:$D$639,$D483)=0,J483*SUMIFS(J$5:J$639,$A$5:$A$639,$A483,$C$5:$C$639,$C483-1,$D$5:$D$639,$D483)&lt;0),"n.s.",ABS(J483)/ABS(SUMIFS(J$5:J$639,$A$5:$A$639,$A483,$C$5:$C$639,$C483-1,$D$5:$D$639,$D483))-1)))</f>
        <v/>
      </c>
      <c r="S483" s="16">
        <f>IF(OR($A483="",K483="",$C483=""),"",IF(COUNTIFS($A$5:$A$639,$A483,$C$5:$C$639,$C483-1,$D$5:$D$639,$D483,K$5:K$639,"&lt;&gt;")=0,"",IF(OR(SUMIFS(K$5:K$639,$A$5:$A$639,$A483,$C$5:$C$639,$C483-1,$D$5:$D$639,$D483)=0,K483*SUMIFS(K$5:K$639,$A$5:$A$639,$A483,$C$5:$C$639,$C483-1,$D$5:$D$639,$D483)&lt;0),"n.s.",ABS(K483)/ABS(SUMIFS(K$5:K$639,$A$5:$A$639,$A483,$C$5:$C$639,$C483-1,$D$5:$D$639,$D483))-1)))</f>
        <v/>
      </c>
      <c r="T483" s="16">
        <f>IF(OR($A483="",L483="",$C483=""),"",IF(COUNTIFS($A$5:$A$639,$A483,$C$5:$C$639,$C483-1,$D$5:$D$639,$D483,L$5:L$639,"&lt;&gt;")=0,"",IF(OR(SUMIFS(L$5:L$639,$A$5:$A$639,$A483,$C$5:$C$639,$C483-1,$D$5:$D$639,$D483)=0,L483*SUMIFS(L$5:L$639,$A$5:$A$639,$A483,$C$5:$C$639,$C483-1,$D$5:$D$639,$D483)&lt;0),"n.s.",ABS(L483)/ABS(SUMIFS(L$5:L$639,$A$5:$A$639,$A483,$C$5:$C$639,$C483-1,$D$5:$D$639,$D483))-1)))</f>
        <v/>
      </c>
      <c r="U483" s="16">
        <f>IF(OR($A483="",M483="",$C483=""),"",IF(COUNTIFS($A$5:$A$639,$A483,$C$5:$C$639,$C483-1,$D$5:$D$639,$D483,M$5:M$639,"&lt;&gt;")=0,"",IF(OR(SUMIFS(M$5:M$639,$A$5:$A$639,$A483,$C$5:$C$639,$C483-1,$D$5:$D$639,$D483)=0,M483*SUMIFS(M$5:M$639,$A$5:$A$639,$A483,$C$5:$C$639,$C483-1,$D$5:$D$639,$D483)&lt;0),"n.s.",ABS(M483)/ABS(SUMIFS(M$5:M$639,$A$5:$A$639,$A483,$C$5:$C$639,$C483-1,$D$5:$D$639,$D483))-1)))</f>
        <v/>
      </c>
    </row>
    <row r="484">
      <c r="A484" s="9" t="inlineStr">
        <is>
          <t>ONTBF</t>
        </is>
      </c>
      <c r="B484" s="10">
        <f>IF(A484="","",IFERROR(VLOOKUP(A484,Titres!$A$2:$B$400,2,FALSE),"Ticker inconnu"))</f>
        <v/>
      </c>
      <c r="C484" s="11" t="n">
        <v>2024</v>
      </c>
      <c r="D484" s="11" t="inlineStr">
        <is>
          <t>T3</t>
        </is>
      </c>
      <c r="E484" s="9" t="n"/>
      <c r="F484" s="12" t="n"/>
      <c r="G484" s="9" t="n"/>
      <c r="H484" s="13" t="n"/>
      <c r="I484" s="13" t="n"/>
      <c r="J484" s="13" t="n"/>
      <c r="K484" s="13" t="n"/>
      <c r="L484" s="13" t="n"/>
      <c r="M484" s="13" t="n"/>
      <c r="N484" s="14">
        <f>IF(A484="","",COUNT(H484:M484)/6)</f>
        <v/>
      </c>
      <c r="O484" s="15">
        <f>IF(COUNT(H484:M484)=0,"",IF(LEN(IF(COUNT(I484,J484)=2,IF(J484&gt;I484+1,"EBE &gt; VA ",""),"")&amp;IF(COUNT(H484,M484)=2,IF(ABS(M484)&gt;ABS(H484),"RN &gt; CA ",""),"")&amp;IF(COUNT(H484,K484)=2,IF(ABS(K484)&gt;ABS(H484),"RE &gt; CA ",""),""))=0,"OK",IF(COUNT(I484,J484)=2,IF(J484&gt;I484+1,"EBE &gt; VA ",""),"")&amp;IF(COUNT(H484,M484)=2,IF(ABS(M484)&gt;ABS(H484),"RN &gt; CA ",""),"")&amp;IF(COUNT(H484,K484)=2,IF(ABS(K484)&gt;ABS(H484),"RE &gt; CA ",""),"")))</f>
        <v/>
      </c>
      <c r="P484" s="16">
        <f>IF(OR($A484="",H484="",$C484=""),"",IF(COUNTIFS($A$5:$A$639,$A484,$C$5:$C$639,$C484-1,$D$5:$D$639,$D484,H$5:H$639,"&lt;&gt;")=0,"",IF(OR(SUMIFS(H$5:H$639,$A$5:$A$639,$A484,$C$5:$C$639,$C484-1,$D$5:$D$639,$D484)=0,H484*SUMIFS(H$5:H$639,$A$5:$A$639,$A484,$C$5:$C$639,$C484-1,$D$5:$D$639,$D484)&lt;0),"n.s.",ABS(H484)/ABS(SUMIFS(H$5:H$639,$A$5:$A$639,$A484,$C$5:$C$639,$C484-1,$D$5:$D$639,$D484))-1)))</f>
        <v/>
      </c>
      <c r="Q484" s="16">
        <f>IF(OR($A484="",I484="",$C484=""),"",IF(COUNTIFS($A$5:$A$639,$A484,$C$5:$C$639,$C484-1,$D$5:$D$639,$D484,I$5:I$639,"&lt;&gt;")=0,"",IF(OR(SUMIFS(I$5:I$639,$A$5:$A$639,$A484,$C$5:$C$639,$C484-1,$D$5:$D$639,$D484)=0,I484*SUMIFS(I$5:I$639,$A$5:$A$639,$A484,$C$5:$C$639,$C484-1,$D$5:$D$639,$D484)&lt;0),"n.s.",ABS(I484)/ABS(SUMIFS(I$5:I$639,$A$5:$A$639,$A484,$C$5:$C$639,$C484-1,$D$5:$D$639,$D484))-1)))</f>
        <v/>
      </c>
      <c r="R484" s="16">
        <f>IF(OR($A484="",J484="",$C484=""),"",IF(COUNTIFS($A$5:$A$639,$A484,$C$5:$C$639,$C484-1,$D$5:$D$639,$D484,J$5:J$639,"&lt;&gt;")=0,"",IF(OR(SUMIFS(J$5:J$639,$A$5:$A$639,$A484,$C$5:$C$639,$C484-1,$D$5:$D$639,$D484)=0,J484*SUMIFS(J$5:J$639,$A$5:$A$639,$A484,$C$5:$C$639,$C484-1,$D$5:$D$639,$D484)&lt;0),"n.s.",ABS(J484)/ABS(SUMIFS(J$5:J$639,$A$5:$A$639,$A484,$C$5:$C$639,$C484-1,$D$5:$D$639,$D484))-1)))</f>
        <v/>
      </c>
      <c r="S484" s="16">
        <f>IF(OR($A484="",K484="",$C484=""),"",IF(COUNTIFS($A$5:$A$639,$A484,$C$5:$C$639,$C484-1,$D$5:$D$639,$D484,K$5:K$639,"&lt;&gt;")=0,"",IF(OR(SUMIFS(K$5:K$639,$A$5:$A$639,$A484,$C$5:$C$639,$C484-1,$D$5:$D$639,$D484)=0,K484*SUMIFS(K$5:K$639,$A$5:$A$639,$A484,$C$5:$C$639,$C484-1,$D$5:$D$639,$D484)&lt;0),"n.s.",ABS(K484)/ABS(SUMIFS(K$5:K$639,$A$5:$A$639,$A484,$C$5:$C$639,$C484-1,$D$5:$D$639,$D484))-1)))</f>
        <v/>
      </c>
      <c r="T484" s="16">
        <f>IF(OR($A484="",L484="",$C484=""),"",IF(COUNTIFS($A$5:$A$639,$A484,$C$5:$C$639,$C484-1,$D$5:$D$639,$D484,L$5:L$639,"&lt;&gt;")=0,"",IF(OR(SUMIFS(L$5:L$639,$A$5:$A$639,$A484,$C$5:$C$639,$C484-1,$D$5:$D$639,$D484)=0,L484*SUMIFS(L$5:L$639,$A$5:$A$639,$A484,$C$5:$C$639,$C484-1,$D$5:$D$639,$D484)&lt;0),"n.s.",ABS(L484)/ABS(SUMIFS(L$5:L$639,$A$5:$A$639,$A484,$C$5:$C$639,$C484-1,$D$5:$D$639,$D484))-1)))</f>
        <v/>
      </c>
      <c r="U484" s="16">
        <f>IF(OR($A484="",M484="",$C484=""),"",IF(COUNTIFS($A$5:$A$639,$A484,$C$5:$C$639,$C484-1,$D$5:$D$639,$D484,M$5:M$639,"&lt;&gt;")=0,"",IF(OR(SUMIFS(M$5:M$639,$A$5:$A$639,$A484,$C$5:$C$639,$C484-1,$D$5:$D$639,$D484)=0,M484*SUMIFS(M$5:M$639,$A$5:$A$639,$A484,$C$5:$C$639,$C484-1,$D$5:$D$639,$D484)&lt;0),"n.s.",ABS(M484)/ABS(SUMIFS(M$5:M$639,$A$5:$A$639,$A484,$C$5:$C$639,$C484-1,$D$5:$D$639,$D484))-1)))</f>
        <v/>
      </c>
    </row>
    <row r="485">
      <c r="A485" s="9" t="inlineStr">
        <is>
          <t>ONTBF</t>
        </is>
      </c>
      <c r="B485" s="10">
        <f>IF(A485="","",IFERROR(VLOOKUP(A485,Titres!$A$2:$B$400,2,FALSE),"Ticker inconnu"))</f>
        <v/>
      </c>
      <c r="C485" s="11" t="n">
        <v>2025</v>
      </c>
      <c r="D485" s="11" t="inlineStr">
        <is>
          <t>T1</t>
        </is>
      </c>
      <c r="E485" s="9" t="n"/>
      <c r="F485" s="12" t="n"/>
      <c r="G485" s="9" t="n"/>
      <c r="H485" s="13" t="n"/>
      <c r="I485" s="13" t="n"/>
      <c r="J485" s="13" t="n"/>
      <c r="K485" s="13" t="n"/>
      <c r="L485" s="13" t="n"/>
      <c r="M485" s="13" t="n"/>
      <c r="N485" s="14">
        <f>IF(A485="","",COUNT(H485:M485)/6)</f>
        <v/>
      </c>
      <c r="O485" s="15">
        <f>IF(COUNT(H485:M485)=0,"",IF(LEN(IF(COUNT(I485,J485)=2,IF(J485&gt;I485+1,"EBE &gt; VA ",""),"")&amp;IF(COUNT(H485,M485)=2,IF(ABS(M485)&gt;ABS(H485),"RN &gt; CA ",""),"")&amp;IF(COUNT(H485,K485)=2,IF(ABS(K485)&gt;ABS(H485),"RE &gt; CA ",""),""))=0,"OK",IF(COUNT(I485,J485)=2,IF(J485&gt;I485+1,"EBE &gt; VA ",""),"")&amp;IF(COUNT(H485,M485)=2,IF(ABS(M485)&gt;ABS(H485),"RN &gt; CA ",""),"")&amp;IF(COUNT(H485,K485)=2,IF(ABS(K485)&gt;ABS(H485),"RE &gt; CA ",""),"")))</f>
        <v/>
      </c>
      <c r="P485" s="16">
        <f>IF(OR($A485="",H485="",$C485=""),"",IF(COUNTIFS($A$5:$A$639,$A485,$C$5:$C$639,$C485-1,$D$5:$D$639,$D485,H$5:H$639,"&lt;&gt;")=0,"",IF(OR(SUMIFS(H$5:H$639,$A$5:$A$639,$A485,$C$5:$C$639,$C485-1,$D$5:$D$639,$D485)=0,H485*SUMIFS(H$5:H$639,$A$5:$A$639,$A485,$C$5:$C$639,$C485-1,$D$5:$D$639,$D485)&lt;0),"n.s.",ABS(H485)/ABS(SUMIFS(H$5:H$639,$A$5:$A$639,$A485,$C$5:$C$639,$C485-1,$D$5:$D$639,$D485))-1)))</f>
        <v/>
      </c>
      <c r="Q485" s="16">
        <f>IF(OR($A485="",I485="",$C485=""),"",IF(COUNTIFS($A$5:$A$639,$A485,$C$5:$C$639,$C485-1,$D$5:$D$639,$D485,I$5:I$639,"&lt;&gt;")=0,"",IF(OR(SUMIFS(I$5:I$639,$A$5:$A$639,$A485,$C$5:$C$639,$C485-1,$D$5:$D$639,$D485)=0,I485*SUMIFS(I$5:I$639,$A$5:$A$639,$A485,$C$5:$C$639,$C485-1,$D$5:$D$639,$D485)&lt;0),"n.s.",ABS(I485)/ABS(SUMIFS(I$5:I$639,$A$5:$A$639,$A485,$C$5:$C$639,$C485-1,$D$5:$D$639,$D485))-1)))</f>
        <v/>
      </c>
      <c r="R485" s="16">
        <f>IF(OR($A485="",J485="",$C485=""),"",IF(COUNTIFS($A$5:$A$639,$A485,$C$5:$C$639,$C485-1,$D$5:$D$639,$D485,J$5:J$639,"&lt;&gt;")=0,"",IF(OR(SUMIFS(J$5:J$639,$A$5:$A$639,$A485,$C$5:$C$639,$C485-1,$D$5:$D$639,$D485)=0,J485*SUMIFS(J$5:J$639,$A$5:$A$639,$A485,$C$5:$C$639,$C485-1,$D$5:$D$639,$D485)&lt;0),"n.s.",ABS(J485)/ABS(SUMIFS(J$5:J$639,$A$5:$A$639,$A485,$C$5:$C$639,$C485-1,$D$5:$D$639,$D485))-1)))</f>
        <v/>
      </c>
      <c r="S485" s="16">
        <f>IF(OR($A485="",K485="",$C485=""),"",IF(COUNTIFS($A$5:$A$639,$A485,$C$5:$C$639,$C485-1,$D$5:$D$639,$D485,K$5:K$639,"&lt;&gt;")=0,"",IF(OR(SUMIFS(K$5:K$639,$A$5:$A$639,$A485,$C$5:$C$639,$C485-1,$D$5:$D$639,$D485)=0,K485*SUMIFS(K$5:K$639,$A$5:$A$639,$A485,$C$5:$C$639,$C485-1,$D$5:$D$639,$D485)&lt;0),"n.s.",ABS(K485)/ABS(SUMIFS(K$5:K$639,$A$5:$A$639,$A485,$C$5:$C$639,$C485-1,$D$5:$D$639,$D485))-1)))</f>
        <v/>
      </c>
      <c r="T485" s="16">
        <f>IF(OR($A485="",L485="",$C485=""),"",IF(COUNTIFS($A$5:$A$639,$A485,$C$5:$C$639,$C485-1,$D$5:$D$639,$D485,L$5:L$639,"&lt;&gt;")=0,"",IF(OR(SUMIFS(L$5:L$639,$A$5:$A$639,$A485,$C$5:$C$639,$C485-1,$D$5:$D$639,$D485)=0,L485*SUMIFS(L$5:L$639,$A$5:$A$639,$A485,$C$5:$C$639,$C485-1,$D$5:$D$639,$D485)&lt;0),"n.s.",ABS(L485)/ABS(SUMIFS(L$5:L$639,$A$5:$A$639,$A485,$C$5:$C$639,$C485-1,$D$5:$D$639,$D485))-1)))</f>
        <v/>
      </c>
      <c r="U485" s="16">
        <f>IF(OR($A485="",M485="",$C485=""),"",IF(COUNTIFS($A$5:$A$639,$A485,$C$5:$C$639,$C485-1,$D$5:$D$639,$D485,M$5:M$639,"&lt;&gt;")=0,"",IF(OR(SUMIFS(M$5:M$639,$A$5:$A$639,$A485,$C$5:$C$639,$C485-1,$D$5:$D$639,$D485)=0,M485*SUMIFS(M$5:M$639,$A$5:$A$639,$A485,$C$5:$C$639,$C485-1,$D$5:$D$639,$D485)&lt;0),"n.s.",ABS(M485)/ABS(SUMIFS(M$5:M$639,$A$5:$A$639,$A485,$C$5:$C$639,$C485-1,$D$5:$D$639,$D485))-1)))</f>
        <v/>
      </c>
    </row>
    <row r="486">
      <c r="A486" s="9" t="inlineStr">
        <is>
          <t>ONTBF</t>
        </is>
      </c>
      <c r="B486" s="10">
        <f>IF(A486="","",IFERROR(VLOOKUP(A486,Titres!$A$2:$B$400,2,FALSE),"Ticker inconnu"))</f>
        <v/>
      </c>
      <c r="C486" s="11" t="n">
        <v>2025</v>
      </c>
      <c r="D486" s="11" t="inlineStr">
        <is>
          <t>S1</t>
        </is>
      </c>
      <c r="E486" s="9" t="n"/>
      <c r="F486" s="12" t="n"/>
      <c r="G486" s="9" t="n"/>
      <c r="H486" s="13" t="n"/>
      <c r="I486" s="13" t="n"/>
      <c r="J486" s="13" t="n"/>
      <c r="K486" s="13" t="n"/>
      <c r="L486" s="13" t="n"/>
      <c r="M486" s="13" t="n"/>
      <c r="N486" s="14">
        <f>IF(A486="","",COUNT(H486:M486)/6)</f>
        <v/>
      </c>
      <c r="O486" s="15">
        <f>IF(COUNT(H486:M486)=0,"",IF(LEN(IF(COUNT(I486,J486)=2,IF(J486&gt;I486+1,"EBE &gt; VA ",""),"")&amp;IF(COUNT(H486,M486)=2,IF(ABS(M486)&gt;ABS(H486),"RN &gt; CA ",""),"")&amp;IF(COUNT(H486,K486)=2,IF(ABS(K486)&gt;ABS(H486),"RE &gt; CA ",""),""))=0,"OK",IF(COUNT(I486,J486)=2,IF(J486&gt;I486+1,"EBE &gt; VA ",""),"")&amp;IF(COUNT(H486,M486)=2,IF(ABS(M486)&gt;ABS(H486),"RN &gt; CA ",""),"")&amp;IF(COUNT(H486,K486)=2,IF(ABS(K486)&gt;ABS(H486),"RE &gt; CA ",""),"")))</f>
        <v/>
      </c>
      <c r="P486" s="16">
        <f>IF(OR($A486="",H486="",$C486=""),"",IF(COUNTIFS($A$5:$A$639,$A486,$C$5:$C$639,$C486-1,$D$5:$D$639,$D486,H$5:H$639,"&lt;&gt;")=0,"",IF(OR(SUMIFS(H$5:H$639,$A$5:$A$639,$A486,$C$5:$C$639,$C486-1,$D$5:$D$639,$D486)=0,H486*SUMIFS(H$5:H$639,$A$5:$A$639,$A486,$C$5:$C$639,$C486-1,$D$5:$D$639,$D486)&lt;0),"n.s.",ABS(H486)/ABS(SUMIFS(H$5:H$639,$A$5:$A$639,$A486,$C$5:$C$639,$C486-1,$D$5:$D$639,$D486))-1)))</f>
        <v/>
      </c>
      <c r="Q486" s="16">
        <f>IF(OR($A486="",I486="",$C486=""),"",IF(COUNTIFS($A$5:$A$639,$A486,$C$5:$C$639,$C486-1,$D$5:$D$639,$D486,I$5:I$639,"&lt;&gt;")=0,"",IF(OR(SUMIFS(I$5:I$639,$A$5:$A$639,$A486,$C$5:$C$639,$C486-1,$D$5:$D$639,$D486)=0,I486*SUMIFS(I$5:I$639,$A$5:$A$639,$A486,$C$5:$C$639,$C486-1,$D$5:$D$639,$D486)&lt;0),"n.s.",ABS(I486)/ABS(SUMIFS(I$5:I$639,$A$5:$A$639,$A486,$C$5:$C$639,$C486-1,$D$5:$D$639,$D486))-1)))</f>
        <v/>
      </c>
      <c r="R486" s="16">
        <f>IF(OR($A486="",J486="",$C486=""),"",IF(COUNTIFS($A$5:$A$639,$A486,$C$5:$C$639,$C486-1,$D$5:$D$639,$D486,J$5:J$639,"&lt;&gt;")=0,"",IF(OR(SUMIFS(J$5:J$639,$A$5:$A$639,$A486,$C$5:$C$639,$C486-1,$D$5:$D$639,$D486)=0,J486*SUMIFS(J$5:J$639,$A$5:$A$639,$A486,$C$5:$C$639,$C486-1,$D$5:$D$639,$D486)&lt;0),"n.s.",ABS(J486)/ABS(SUMIFS(J$5:J$639,$A$5:$A$639,$A486,$C$5:$C$639,$C486-1,$D$5:$D$639,$D486))-1)))</f>
        <v/>
      </c>
      <c r="S486" s="16">
        <f>IF(OR($A486="",K486="",$C486=""),"",IF(COUNTIFS($A$5:$A$639,$A486,$C$5:$C$639,$C486-1,$D$5:$D$639,$D486,K$5:K$639,"&lt;&gt;")=0,"",IF(OR(SUMIFS(K$5:K$639,$A$5:$A$639,$A486,$C$5:$C$639,$C486-1,$D$5:$D$639,$D486)=0,K486*SUMIFS(K$5:K$639,$A$5:$A$639,$A486,$C$5:$C$639,$C486-1,$D$5:$D$639,$D486)&lt;0),"n.s.",ABS(K486)/ABS(SUMIFS(K$5:K$639,$A$5:$A$639,$A486,$C$5:$C$639,$C486-1,$D$5:$D$639,$D486))-1)))</f>
        <v/>
      </c>
      <c r="T486" s="16">
        <f>IF(OR($A486="",L486="",$C486=""),"",IF(COUNTIFS($A$5:$A$639,$A486,$C$5:$C$639,$C486-1,$D$5:$D$639,$D486,L$5:L$639,"&lt;&gt;")=0,"",IF(OR(SUMIFS(L$5:L$639,$A$5:$A$639,$A486,$C$5:$C$639,$C486-1,$D$5:$D$639,$D486)=0,L486*SUMIFS(L$5:L$639,$A$5:$A$639,$A486,$C$5:$C$639,$C486-1,$D$5:$D$639,$D486)&lt;0),"n.s.",ABS(L486)/ABS(SUMIFS(L$5:L$639,$A$5:$A$639,$A486,$C$5:$C$639,$C486-1,$D$5:$D$639,$D486))-1)))</f>
        <v/>
      </c>
      <c r="U486" s="16">
        <f>IF(OR($A486="",M486="",$C486=""),"",IF(COUNTIFS($A$5:$A$639,$A486,$C$5:$C$639,$C486-1,$D$5:$D$639,$D486,M$5:M$639,"&lt;&gt;")=0,"",IF(OR(SUMIFS(M$5:M$639,$A$5:$A$639,$A486,$C$5:$C$639,$C486-1,$D$5:$D$639,$D486)=0,M486*SUMIFS(M$5:M$639,$A$5:$A$639,$A486,$C$5:$C$639,$C486-1,$D$5:$D$639,$D486)&lt;0),"n.s.",ABS(M486)/ABS(SUMIFS(M$5:M$639,$A$5:$A$639,$A486,$C$5:$C$639,$C486-1,$D$5:$D$639,$D486))-1)))</f>
        <v/>
      </c>
    </row>
    <row r="487">
      <c r="A487" s="9" t="inlineStr">
        <is>
          <t>ONTBF</t>
        </is>
      </c>
      <c r="B487" s="10">
        <f>IF(A487="","",IFERROR(VLOOKUP(A487,Titres!$A$2:$B$400,2,FALSE),"Ticker inconnu"))</f>
        <v/>
      </c>
      <c r="C487" s="11" t="n">
        <v>2025</v>
      </c>
      <c r="D487" s="11" t="inlineStr">
        <is>
          <t>T3</t>
        </is>
      </c>
      <c r="E487" s="9" t="n"/>
      <c r="F487" s="12" t="n"/>
      <c r="G487" s="9" t="n"/>
      <c r="H487" s="13" t="n"/>
      <c r="I487" s="13" t="n"/>
      <c r="J487" s="13" t="n"/>
      <c r="K487" s="13" t="n"/>
      <c r="L487" s="13" t="n"/>
      <c r="M487" s="13" t="n"/>
      <c r="N487" s="14">
        <f>IF(A487="","",COUNT(H487:M487)/6)</f>
        <v/>
      </c>
      <c r="O487" s="15">
        <f>IF(COUNT(H487:M487)=0,"",IF(LEN(IF(COUNT(I487,J487)=2,IF(J487&gt;I487+1,"EBE &gt; VA ",""),"")&amp;IF(COUNT(H487,M487)=2,IF(ABS(M487)&gt;ABS(H487),"RN &gt; CA ",""),"")&amp;IF(COUNT(H487,K487)=2,IF(ABS(K487)&gt;ABS(H487),"RE &gt; CA ",""),""))=0,"OK",IF(COUNT(I487,J487)=2,IF(J487&gt;I487+1,"EBE &gt; VA ",""),"")&amp;IF(COUNT(H487,M487)=2,IF(ABS(M487)&gt;ABS(H487),"RN &gt; CA ",""),"")&amp;IF(COUNT(H487,K487)=2,IF(ABS(K487)&gt;ABS(H487),"RE &gt; CA ",""),"")))</f>
        <v/>
      </c>
      <c r="P487" s="16">
        <f>IF(OR($A487="",H487="",$C487=""),"",IF(COUNTIFS($A$5:$A$639,$A487,$C$5:$C$639,$C487-1,$D$5:$D$639,$D487,H$5:H$639,"&lt;&gt;")=0,"",IF(OR(SUMIFS(H$5:H$639,$A$5:$A$639,$A487,$C$5:$C$639,$C487-1,$D$5:$D$639,$D487)=0,H487*SUMIFS(H$5:H$639,$A$5:$A$639,$A487,$C$5:$C$639,$C487-1,$D$5:$D$639,$D487)&lt;0),"n.s.",ABS(H487)/ABS(SUMIFS(H$5:H$639,$A$5:$A$639,$A487,$C$5:$C$639,$C487-1,$D$5:$D$639,$D487))-1)))</f>
        <v/>
      </c>
      <c r="Q487" s="16">
        <f>IF(OR($A487="",I487="",$C487=""),"",IF(COUNTIFS($A$5:$A$639,$A487,$C$5:$C$639,$C487-1,$D$5:$D$639,$D487,I$5:I$639,"&lt;&gt;")=0,"",IF(OR(SUMIFS(I$5:I$639,$A$5:$A$639,$A487,$C$5:$C$639,$C487-1,$D$5:$D$639,$D487)=0,I487*SUMIFS(I$5:I$639,$A$5:$A$639,$A487,$C$5:$C$639,$C487-1,$D$5:$D$639,$D487)&lt;0),"n.s.",ABS(I487)/ABS(SUMIFS(I$5:I$639,$A$5:$A$639,$A487,$C$5:$C$639,$C487-1,$D$5:$D$639,$D487))-1)))</f>
        <v/>
      </c>
      <c r="R487" s="16">
        <f>IF(OR($A487="",J487="",$C487=""),"",IF(COUNTIFS($A$5:$A$639,$A487,$C$5:$C$639,$C487-1,$D$5:$D$639,$D487,J$5:J$639,"&lt;&gt;")=0,"",IF(OR(SUMIFS(J$5:J$639,$A$5:$A$639,$A487,$C$5:$C$639,$C487-1,$D$5:$D$639,$D487)=0,J487*SUMIFS(J$5:J$639,$A$5:$A$639,$A487,$C$5:$C$639,$C487-1,$D$5:$D$639,$D487)&lt;0),"n.s.",ABS(J487)/ABS(SUMIFS(J$5:J$639,$A$5:$A$639,$A487,$C$5:$C$639,$C487-1,$D$5:$D$639,$D487))-1)))</f>
        <v/>
      </c>
      <c r="S487" s="16">
        <f>IF(OR($A487="",K487="",$C487=""),"",IF(COUNTIFS($A$5:$A$639,$A487,$C$5:$C$639,$C487-1,$D$5:$D$639,$D487,K$5:K$639,"&lt;&gt;")=0,"",IF(OR(SUMIFS(K$5:K$639,$A$5:$A$639,$A487,$C$5:$C$639,$C487-1,$D$5:$D$639,$D487)=0,K487*SUMIFS(K$5:K$639,$A$5:$A$639,$A487,$C$5:$C$639,$C487-1,$D$5:$D$639,$D487)&lt;0),"n.s.",ABS(K487)/ABS(SUMIFS(K$5:K$639,$A$5:$A$639,$A487,$C$5:$C$639,$C487-1,$D$5:$D$639,$D487))-1)))</f>
        <v/>
      </c>
      <c r="T487" s="16">
        <f>IF(OR($A487="",L487="",$C487=""),"",IF(COUNTIFS($A$5:$A$639,$A487,$C$5:$C$639,$C487-1,$D$5:$D$639,$D487,L$5:L$639,"&lt;&gt;")=0,"",IF(OR(SUMIFS(L$5:L$639,$A$5:$A$639,$A487,$C$5:$C$639,$C487-1,$D$5:$D$639,$D487)=0,L487*SUMIFS(L$5:L$639,$A$5:$A$639,$A487,$C$5:$C$639,$C487-1,$D$5:$D$639,$D487)&lt;0),"n.s.",ABS(L487)/ABS(SUMIFS(L$5:L$639,$A$5:$A$639,$A487,$C$5:$C$639,$C487-1,$D$5:$D$639,$D487))-1)))</f>
        <v/>
      </c>
      <c r="U487" s="16">
        <f>IF(OR($A487="",M487="",$C487=""),"",IF(COUNTIFS($A$5:$A$639,$A487,$C$5:$C$639,$C487-1,$D$5:$D$639,$D487,M$5:M$639,"&lt;&gt;")=0,"",IF(OR(SUMIFS(M$5:M$639,$A$5:$A$639,$A487,$C$5:$C$639,$C487-1,$D$5:$D$639,$D487)=0,M487*SUMIFS(M$5:M$639,$A$5:$A$639,$A487,$C$5:$C$639,$C487-1,$D$5:$D$639,$D487)&lt;0),"n.s.",ABS(M487)/ABS(SUMIFS(M$5:M$639,$A$5:$A$639,$A487,$C$5:$C$639,$C487-1,$D$5:$D$639,$D487))-1)))</f>
        <v/>
      </c>
    </row>
    <row r="488">
      <c r="A488" s="9" t="inlineStr">
        <is>
          <t>ONTBF</t>
        </is>
      </c>
      <c r="B488" s="10">
        <f>IF(A488="","",IFERROR(VLOOKUP(A488,Titres!$A$2:$B$400,2,FALSE),"Ticker inconnu"))</f>
        <v/>
      </c>
      <c r="C488" s="11" t="n">
        <v>2026</v>
      </c>
      <c r="D488" s="11" t="inlineStr">
        <is>
          <t>T1</t>
        </is>
      </c>
      <c r="E488" s="9" t="n"/>
      <c r="F488" s="12" t="n"/>
      <c r="G488" s="9" t="n"/>
      <c r="H488" s="13" t="n"/>
      <c r="I488" s="13" t="n"/>
      <c r="J488" s="13" t="n"/>
      <c r="K488" s="13" t="n"/>
      <c r="L488" s="13" t="n"/>
      <c r="M488" s="13" t="n"/>
      <c r="N488" s="14">
        <f>IF(A488="","",COUNT(H488:M488)/6)</f>
        <v/>
      </c>
      <c r="O488" s="15">
        <f>IF(COUNT(H488:M488)=0,"",IF(LEN(IF(COUNT(I488,J488)=2,IF(J488&gt;I488+1,"EBE &gt; VA ",""),"")&amp;IF(COUNT(H488,M488)=2,IF(ABS(M488)&gt;ABS(H488),"RN &gt; CA ",""),"")&amp;IF(COUNT(H488,K488)=2,IF(ABS(K488)&gt;ABS(H488),"RE &gt; CA ",""),""))=0,"OK",IF(COUNT(I488,J488)=2,IF(J488&gt;I488+1,"EBE &gt; VA ",""),"")&amp;IF(COUNT(H488,M488)=2,IF(ABS(M488)&gt;ABS(H488),"RN &gt; CA ",""),"")&amp;IF(COUNT(H488,K488)=2,IF(ABS(K488)&gt;ABS(H488),"RE &gt; CA ",""),"")))</f>
        <v/>
      </c>
      <c r="P488" s="16">
        <f>IF(OR($A488="",H488="",$C488=""),"",IF(COUNTIFS($A$5:$A$639,$A488,$C$5:$C$639,$C488-1,$D$5:$D$639,$D488,H$5:H$639,"&lt;&gt;")=0,"",IF(OR(SUMIFS(H$5:H$639,$A$5:$A$639,$A488,$C$5:$C$639,$C488-1,$D$5:$D$639,$D488)=0,H488*SUMIFS(H$5:H$639,$A$5:$A$639,$A488,$C$5:$C$639,$C488-1,$D$5:$D$639,$D488)&lt;0),"n.s.",ABS(H488)/ABS(SUMIFS(H$5:H$639,$A$5:$A$639,$A488,$C$5:$C$639,$C488-1,$D$5:$D$639,$D488))-1)))</f>
        <v/>
      </c>
      <c r="Q488" s="16">
        <f>IF(OR($A488="",I488="",$C488=""),"",IF(COUNTIFS($A$5:$A$639,$A488,$C$5:$C$639,$C488-1,$D$5:$D$639,$D488,I$5:I$639,"&lt;&gt;")=0,"",IF(OR(SUMIFS(I$5:I$639,$A$5:$A$639,$A488,$C$5:$C$639,$C488-1,$D$5:$D$639,$D488)=0,I488*SUMIFS(I$5:I$639,$A$5:$A$639,$A488,$C$5:$C$639,$C488-1,$D$5:$D$639,$D488)&lt;0),"n.s.",ABS(I488)/ABS(SUMIFS(I$5:I$639,$A$5:$A$639,$A488,$C$5:$C$639,$C488-1,$D$5:$D$639,$D488))-1)))</f>
        <v/>
      </c>
      <c r="R488" s="16">
        <f>IF(OR($A488="",J488="",$C488=""),"",IF(COUNTIFS($A$5:$A$639,$A488,$C$5:$C$639,$C488-1,$D$5:$D$639,$D488,J$5:J$639,"&lt;&gt;")=0,"",IF(OR(SUMIFS(J$5:J$639,$A$5:$A$639,$A488,$C$5:$C$639,$C488-1,$D$5:$D$639,$D488)=0,J488*SUMIFS(J$5:J$639,$A$5:$A$639,$A488,$C$5:$C$639,$C488-1,$D$5:$D$639,$D488)&lt;0),"n.s.",ABS(J488)/ABS(SUMIFS(J$5:J$639,$A$5:$A$639,$A488,$C$5:$C$639,$C488-1,$D$5:$D$639,$D488))-1)))</f>
        <v/>
      </c>
      <c r="S488" s="16">
        <f>IF(OR($A488="",K488="",$C488=""),"",IF(COUNTIFS($A$5:$A$639,$A488,$C$5:$C$639,$C488-1,$D$5:$D$639,$D488,K$5:K$639,"&lt;&gt;")=0,"",IF(OR(SUMIFS(K$5:K$639,$A$5:$A$639,$A488,$C$5:$C$639,$C488-1,$D$5:$D$639,$D488)=0,K488*SUMIFS(K$5:K$639,$A$5:$A$639,$A488,$C$5:$C$639,$C488-1,$D$5:$D$639,$D488)&lt;0),"n.s.",ABS(K488)/ABS(SUMIFS(K$5:K$639,$A$5:$A$639,$A488,$C$5:$C$639,$C488-1,$D$5:$D$639,$D488))-1)))</f>
        <v/>
      </c>
      <c r="T488" s="16">
        <f>IF(OR($A488="",L488="",$C488=""),"",IF(COUNTIFS($A$5:$A$639,$A488,$C$5:$C$639,$C488-1,$D$5:$D$639,$D488,L$5:L$639,"&lt;&gt;")=0,"",IF(OR(SUMIFS(L$5:L$639,$A$5:$A$639,$A488,$C$5:$C$639,$C488-1,$D$5:$D$639,$D488)=0,L488*SUMIFS(L$5:L$639,$A$5:$A$639,$A488,$C$5:$C$639,$C488-1,$D$5:$D$639,$D488)&lt;0),"n.s.",ABS(L488)/ABS(SUMIFS(L$5:L$639,$A$5:$A$639,$A488,$C$5:$C$639,$C488-1,$D$5:$D$639,$D488))-1)))</f>
        <v/>
      </c>
      <c r="U488" s="16">
        <f>IF(OR($A488="",M488="",$C488=""),"",IF(COUNTIFS($A$5:$A$639,$A488,$C$5:$C$639,$C488-1,$D$5:$D$639,$D488,M$5:M$639,"&lt;&gt;")=0,"",IF(OR(SUMIFS(M$5:M$639,$A$5:$A$639,$A488,$C$5:$C$639,$C488-1,$D$5:$D$639,$D488)=0,M488*SUMIFS(M$5:M$639,$A$5:$A$639,$A488,$C$5:$C$639,$C488-1,$D$5:$D$639,$D488)&lt;0),"n.s.",ABS(M488)/ABS(SUMIFS(M$5:M$639,$A$5:$A$639,$A488,$C$5:$C$639,$C488-1,$D$5:$D$639,$D488))-1)))</f>
        <v/>
      </c>
    </row>
    <row r="489">
      <c r="A489" s="9" t="inlineStr">
        <is>
          <t>ONTBF</t>
        </is>
      </c>
      <c r="B489" s="10">
        <f>IF(A489="","",IFERROR(VLOOKUP(A489,Titres!$A$2:$B$400,2,FALSE),"Ticker inconnu"))</f>
        <v/>
      </c>
      <c r="C489" s="11" t="n">
        <v>2026</v>
      </c>
      <c r="D489" s="11" t="inlineStr">
        <is>
          <t>S1</t>
        </is>
      </c>
      <c r="E489" s="9" t="n"/>
      <c r="F489" s="12" t="n"/>
      <c r="G489" s="9" t="n"/>
      <c r="H489" s="13" t="n"/>
      <c r="I489" s="13" t="n"/>
      <c r="J489" s="13" t="n"/>
      <c r="K489" s="13" t="n"/>
      <c r="L489" s="13" t="n"/>
      <c r="M489" s="13" t="n"/>
      <c r="N489" s="14">
        <f>IF(A489="","",COUNT(H489:M489)/6)</f>
        <v/>
      </c>
      <c r="O489" s="15">
        <f>IF(COUNT(H489:M489)=0,"",IF(LEN(IF(COUNT(I489,J489)=2,IF(J489&gt;I489+1,"EBE &gt; VA ",""),"")&amp;IF(COUNT(H489,M489)=2,IF(ABS(M489)&gt;ABS(H489),"RN &gt; CA ",""),"")&amp;IF(COUNT(H489,K489)=2,IF(ABS(K489)&gt;ABS(H489),"RE &gt; CA ",""),""))=0,"OK",IF(COUNT(I489,J489)=2,IF(J489&gt;I489+1,"EBE &gt; VA ",""),"")&amp;IF(COUNT(H489,M489)=2,IF(ABS(M489)&gt;ABS(H489),"RN &gt; CA ",""),"")&amp;IF(COUNT(H489,K489)=2,IF(ABS(K489)&gt;ABS(H489),"RE &gt; CA ",""),"")))</f>
        <v/>
      </c>
      <c r="P489" s="16">
        <f>IF(OR($A489="",H489="",$C489=""),"",IF(COUNTIFS($A$5:$A$639,$A489,$C$5:$C$639,$C489-1,$D$5:$D$639,$D489,H$5:H$639,"&lt;&gt;")=0,"",IF(OR(SUMIFS(H$5:H$639,$A$5:$A$639,$A489,$C$5:$C$639,$C489-1,$D$5:$D$639,$D489)=0,H489*SUMIFS(H$5:H$639,$A$5:$A$639,$A489,$C$5:$C$639,$C489-1,$D$5:$D$639,$D489)&lt;0),"n.s.",ABS(H489)/ABS(SUMIFS(H$5:H$639,$A$5:$A$639,$A489,$C$5:$C$639,$C489-1,$D$5:$D$639,$D489))-1)))</f>
        <v/>
      </c>
      <c r="Q489" s="16">
        <f>IF(OR($A489="",I489="",$C489=""),"",IF(COUNTIFS($A$5:$A$639,$A489,$C$5:$C$639,$C489-1,$D$5:$D$639,$D489,I$5:I$639,"&lt;&gt;")=0,"",IF(OR(SUMIFS(I$5:I$639,$A$5:$A$639,$A489,$C$5:$C$639,$C489-1,$D$5:$D$639,$D489)=0,I489*SUMIFS(I$5:I$639,$A$5:$A$639,$A489,$C$5:$C$639,$C489-1,$D$5:$D$639,$D489)&lt;0),"n.s.",ABS(I489)/ABS(SUMIFS(I$5:I$639,$A$5:$A$639,$A489,$C$5:$C$639,$C489-1,$D$5:$D$639,$D489))-1)))</f>
        <v/>
      </c>
      <c r="R489" s="16">
        <f>IF(OR($A489="",J489="",$C489=""),"",IF(COUNTIFS($A$5:$A$639,$A489,$C$5:$C$639,$C489-1,$D$5:$D$639,$D489,J$5:J$639,"&lt;&gt;")=0,"",IF(OR(SUMIFS(J$5:J$639,$A$5:$A$639,$A489,$C$5:$C$639,$C489-1,$D$5:$D$639,$D489)=0,J489*SUMIFS(J$5:J$639,$A$5:$A$639,$A489,$C$5:$C$639,$C489-1,$D$5:$D$639,$D489)&lt;0),"n.s.",ABS(J489)/ABS(SUMIFS(J$5:J$639,$A$5:$A$639,$A489,$C$5:$C$639,$C489-1,$D$5:$D$639,$D489))-1)))</f>
        <v/>
      </c>
      <c r="S489" s="16">
        <f>IF(OR($A489="",K489="",$C489=""),"",IF(COUNTIFS($A$5:$A$639,$A489,$C$5:$C$639,$C489-1,$D$5:$D$639,$D489,K$5:K$639,"&lt;&gt;")=0,"",IF(OR(SUMIFS(K$5:K$639,$A$5:$A$639,$A489,$C$5:$C$639,$C489-1,$D$5:$D$639,$D489)=0,K489*SUMIFS(K$5:K$639,$A$5:$A$639,$A489,$C$5:$C$639,$C489-1,$D$5:$D$639,$D489)&lt;0),"n.s.",ABS(K489)/ABS(SUMIFS(K$5:K$639,$A$5:$A$639,$A489,$C$5:$C$639,$C489-1,$D$5:$D$639,$D489))-1)))</f>
        <v/>
      </c>
      <c r="T489" s="16">
        <f>IF(OR($A489="",L489="",$C489=""),"",IF(COUNTIFS($A$5:$A$639,$A489,$C$5:$C$639,$C489-1,$D$5:$D$639,$D489,L$5:L$639,"&lt;&gt;")=0,"",IF(OR(SUMIFS(L$5:L$639,$A$5:$A$639,$A489,$C$5:$C$639,$C489-1,$D$5:$D$639,$D489)=0,L489*SUMIFS(L$5:L$639,$A$5:$A$639,$A489,$C$5:$C$639,$C489-1,$D$5:$D$639,$D489)&lt;0),"n.s.",ABS(L489)/ABS(SUMIFS(L$5:L$639,$A$5:$A$639,$A489,$C$5:$C$639,$C489-1,$D$5:$D$639,$D489))-1)))</f>
        <v/>
      </c>
      <c r="U489" s="16">
        <f>IF(OR($A489="",M489="",$C489=""),"",IF(COUNTIFS($A$5:$A$639,$A489,$C$5:$C$639,$C489-1,$D$5:$D$639,$D489,M$5:M$639,"&lt;&gt;")=0,"",IF(OR(SUMIFS(M$5:M$639,$A$5:$A$639,$A489,$C$5:$C$639,$C489-1,$D$5:$D$639,$D489)=0,M489*SUMIFS(M$5:M$639,$A$5:$A$639,$A489,$C$5:$C$639,$C489-1,$D$5:$D$639,$D489)&lt;0),"n.s.",ABS(M489)/ABS(SUMIFS(M$5:M$639,$A$5:$A$639,$A489,$C$5:$C$639,$C489-1,$D$5:$D$639,$D489))-1)))</f>
        <v/>
      </c>
    </row>
    <row r="490">
      <c r="A490" s="9" t="inlineStr">
        <is>
          <t>ONTBF</t>
        </is>
      </c>
      <c r="B490" s="10">
        <f>IF(A490="","",IFERROR(VLOOKUP(A490,Titres!$A$2:$B$400,2,FALSE),"Ticker inconnu"))</f>
        <v/>
      </c>
      <c r="C490" s="11" t="n">
        <v>2026</v>
      </c>
      <c r="D490" s="11" t="inlineStr">
        <is>
          <t>T3</t>
        </is>
      </c>
      <c r="E490" s="9" t="n"/>
      <c r="F490" s="12" t="n"/>
      <c r="G490" s="9" t="n"/>
      <c r="H490" s="13" t="n"/>
      <c r="I490" s="13" t="n"/>
      <c r="J490" s="13" t="n"/>
      <c r="K490" s="13" t="n"/>
      <c r="L490" s="13" t="n"/>
      <c r="M490" s="13" t="n"/>
      <c r="N490" s="14">
        <f>IF(A490="","",COUNT(H490:M490)/6)</f>
        <v/>
      </c>
      <c r="O490" s="15">
        <f>IF(COUNT(H490:M490)=0,"",IF(LEN(IF(COUNT(I490,J490)=2,IF(J490&gt;I490+1,"EBE &gt; VA ",""),"")&amp;IF(COUNT(H490,M490)=2,IF(ABS(M490)&gt;ABS(H490),"RN &gt; CA ",""),"")&amp;IF(COUNT(H490,K490)=2,IF(ABS(K490)&gt;ABS(H490),"RE &gt; CA ",""),""))=0,"OK",IF(COUNT(I490,J490)=2,IF(J490&gt;I490+1,"EBE &gt; VA ",""),"")&amp;IF(COUNT(H490,M490)=2,IF(ABS(M490)&gt;ABS(H490),"RN &gt; CA ",""),"")&amp;IF(COUNT(H490,K490)=2,IF(ABS(K490)&gt;ABS(H490),"RE &gt; CA ",""),"")))</f>
        <v/>
      </c>
      <c r="P490" s="16">
        <f>IF(OR($A490="",H490="",$C490=""),"",IF(COUNTIFS($A$5:$A$639,$A490,$C$5:$C$639,$C490-1,$D$5:$D$639,$D490,H$5:H$639,"&lt;&gt;")=0,"",IF(OR(SUMIFS(H$5:H$639,$A$5:$A$639,$A490,$C$5:$C$639,$C490-1,$D$5:$D$639,$D490)=0,H490*SUMIFS(H$5:H$639,$A$5:$A$639,$A490,$C$5:$C$639,$C490-1,$D$5:$D$639,$D490)&lt;0),"n.s.",ABS(H490)/ABS(SUMIFS(H$5:H$639,$A$5:$A$639,$A490,$C$5:$C$639,$C490-1,$D$5:$D$639,$D490))-1)))</f>
        <v/>
      </c>
      <c r="Q490" s="16">
        <f>IF(OR($A490="",I490="",$C490=""),"",IF(COUNTIFS($A$5:$A$639,$A490,$C$5:$C$639,$C490-1,$D$5:$D$639,$D490,I$5:I$639,"&lt;&gt;")=0,"",IF(OR(SUMIFS(I$5:I$639,$A$5:$A$639,$A490,$C$5:$C$639,$C490-1,$D$5:$D$639,$D490)=0,I490*SUMIFS(I$5:I$639,$A$5:$A$639,$A490,$C$5:$C$639,$C490-1,$D$5:$D$639,$D490)&lt;0),"n.s.",ABS(I490)/ABS(SUMIFS(I$5:I$639,$A$5:$A$639,$A490,$C$5:$C$639,$C490-1,$D$5:$D$639,$D490))-1)))</f>
        <v/>
      </c>
      <c r="R490" s="16">
        <f>IF(OR($A490="",J490="",$C490=""),"",IF(COUNTIFS($A$5:$A$639,$A490,$C$5:$C$639,$C490-1,$D$5:$D$639,$D490,J$5:J$639,"&lt;&gt;")=0,"",IF(OR(SUMIFS(J$5:J$639,$A$5:$A$639,$A490,$C$5:$C$639,$C490-1,$D$5:$D$639,$D490)=0,J490*SUMIFS(J$5:J$639,$A$5:$A$639,$A490,$C$5:$C$639,$C490-1,$D$5:$D$639,$D490)&lt;0),"n.s.",ABS(J490)/ABS(SUMIFS(J$5:J$639,$A$5:$A$639,$A490,$C$5:$C$639,$C490-1,$D$5:$D$639,$D490))-1)))</f>
        <v/>
      </c>
      <c r="S490" s="16">
        <f>IF(OR($A490="",K490="",$C490=""),"",IF(COUNTIFS($A$5:$A$639,$A490,$C$5:$C$639,$C490-1,$D$5:$D$639,$D490,K$5:K$639,"&lt;&gt;")=0,"",IF(OR(SUMIFS(K$5:K$639,$A$5:$A$639,$A490,$C$5:$C$639,$C490-1,$D$5:$D$639,$D490)=0,K490*SUMIFS(K$5:K$639,$A$5:$A$639,$A490,$C$5:$C$639,$C490-1,$D$5:$D$639,$D490)&lt;0),"n.s.",ABS(K490)/ABS(SUMIFS(K$5:K$639,$A$5:$A$639,$A490,$C$5:$C$639,$C490-1,$D$5:$D$639,$D490))-1)))</f>
        <v/>
      </c>
      <c r="T490" s="16">
        <f>IF(OR($A490="",L490="",$C490=""),"",IF(COUNTIFS($A$5:$A$639,$A490,$C$5:$C$639,$C490-1,$D$5:$D$639,$D490,L$5:L$639,"&lt;&gt;")=0,"",IF(OR(SUMIFS(L$5:L$639,$A$5:$A$639,$A490,$C$5:$C$639,$C490-1,$D$5:$D$639,$D490)=0,L490*SUMIFS(L$5:L$639,$A$5:$A$639,$A490,$C$5:$C$639,$C490-1,$D$5:$D$639,$D490)&lt;0),"n.s.",ABS(L490)/ABS(SUMIFS(L$5:L$639,$A$5:$A$639,$A490,$C$5:$C$639,$C490-1,$D$5:$D$639,$D490))-1)))</f>
        <v/>
      </c>
      <c r="U490" s="16">
        <f>IF(OR($A490="",M490="",$C490=""),"",IF(COUNTIFS($A$5:$A$639,$A490,$C$5:$C$639,$C490-1,$D$5:$D$639,$D490,M$5:M$639,"&lt;&gt;")=0,"",IF(OR(SUMIFS(M$5:M$639,$A$5:$A$639,$A490,$C$5:$C$639,$C490-1,$D$5:$D$639,$D490)=0,M490*SUMIFS(M$5:M$639,$A$5:$A$639,$A490,$C$5:$C$639,$C490-1,$D$5:$D$639,$D490)&lt;0),"n.s.",ABS(M490)/ABS(SUMIFS(M$5:M$639,$A$5:$A$639,$A490,$C$5:$C$639,$C490-1,$D$5:$D$639,$D490))-1)))</f>
        <v/>
      </c>
    </row>
    <row r="491">
      <c r="A491" s="9" t="inlineStr">
        <is>
          <t>ORAC</t>
        </is>
      </c>
      <c r="B491" s="10">
        <f>IF(A491="","",IFERROR(VLOOKUP(A491,Titres!$A$2:$B$400,2,FALSE),"Ticker inconnu"))</f>
        <v/>
      </c>
      <c r="C491" s="11" t="n">
        <v>2021</v>
      </c>
      <c r="D491" s="11" t="inlineStr">
        <is>
          <t>T1</t>
        </is>
      </c>
      <c r="E491" s="9" t="n"/>
      <c r="F491" s="12" t="n"/>
      <c r="G491" s="9" t="n"/>
      <c r="H491" s="13" t="n"/>
      <c r="I491" s="13" t="n"/>
      <c r="J491" s="13" t="n"/>
      <c r="K491" s="13" t="n"/>
      <c r="L491" s="13" t="n"/>
      <c r="M491" s="13" t="n"/>
      <c r="N491" s="14">
        <f>IF(A491="","",COUNT(H491:M491)/6)</f>
        <v/>
      </c>
      <c r="O491" s="15">
        <f>IF(COUNT(H491:M491)=0,"",IF(LEN(IF(COUNT(I491,J491)=2,IF(J491&gt;I491+1,"EBE &gt; VA ",""),"")&amp;IF(COUNT(H491,M491)=2,IF(ABS(M491)&gt;ABS(H491),"RN &gt; CA ",""),"")&amp;IF(COUNT(H491,K491)=2,IF(ABS(K491)&gt;ABS(H491),"RE &gt; CA ",""),""))=0,"OK",IF(COUNT(I491,J491)=2,IF(J491&gt;I491+1,"EBE &gt; VA ",""),"")&amp;IF(COUNT(H491,M491)=2,IF(ABS(M491)&gt;ABS(H491),"RN &gt; CA ",""),"")&amp;IF(COUNT(H491,K491)=2,IF(ABS(K491)&gt;ABS(H491),"RE &gt; CA ",""),"")))</f>
        <v/>
      </c>
      <c r="P491" s="16">
        <f>IF(OR($A491="",H491="",$C491=""),"",IF(COUNTIFS($A$5:$A$639,$A491,$C$5:$C$639,$C491-1,$D$5:$D$639,$D491,H$5:H$639,"&lt;&gt;")=0,"",IF(OR(SUMIFS(H$5:H$639,$A$5:$A$639,$A491,$C$5:$C$639,$C491-1,$D$5:$D$639,$D491)=0,H491*SUMIFS(H$5:H$639,$A$5:$A$639,$A491,$C$5:$C$639,$C491-1,$D$5:$D$639,$D491)&lt;0),"n.s.",ABS(H491)/ABS(SUMIFS(H$5:H$639,$A$5:$A$639,$A491,$C$5:$C$639,$C491-1,$D$5:$D$639,$D491))-1)))</f>
        <v/>
      </c>
      <c r="Q491" s="16">
        <f>IF(OR($A491="",I491="",$C491=""),"",IF(COUNTIFS($A$5:$A$639,$A491,$C$5:$C$639,$C491-1,$D$5:$D$639,$D491,I$5:I$639,"&lt;&gt;")=0,"",IF(OR(SUMIFS(I$5:I$639,$A$5:$A$639,$A491,$C$5:$C$639,$C491-1,$D$5:$D$639,$D491)=0,I491*SUMIFS(I$5:I$639,$A$5:$A$639,$A491,$C$5:$C$639,$C491-1,$D$5:$D$639,$D491)&lt;0),"n.s.",ABS(I491)/ABS(SUMIFS(I$5:I$639,$A$5:$A$639,$A491,$C$5:$C$639,$C491-1,$D$5:$D$639,$D491))-1)))</f>
        <v/>
      </c>
      <c r="R491" s="16">
        <f>IF(OR($A491="",J491="",$C491=""),"",IF(COUNTIFS($A$5:$A$639,$A491,$C$5:$C$639,$C491-1,$D$5:$D$639,$D491,J$5:J$639,"&lt;&gt;")=0,"",IF(OR(SUMIFS(J$5:J$639,$A$5:$A$639,$A491,$C$5:$C$639,$C491-1,$D$5:$D$639,$D491)=0,J491*SUMIFS(J$5:J$639,$A$5:$A$639,$A491,$C$5:$C$639,$C491-1,$D$5:$D$639,$D491)&lt;0),"n.s.",ABS(J491)/ABS(SUMIFS(J$5:J$639,$A$5:$A$639,$A491,$C$5:$C$639,$C491-1,$D$5:$D$639,$D491))-1)))</f>
        <v/>
      </c>
      <c r="S491" s="16">
        <f>IF(OR($A491="",K491="",$C491=""),"",IF(COUNTIFS($A$5:$A$639,$A491,$C$5:$C$639,$C491-1,$D$5:$D$639,$D491,K$5:K$639,"&lt;&gt;")=0,"",IF(OR(SUMIFS(K$5:K$639,$A$5:$A$639,$A491,$C$5:$C$639,$C491-1,$D$5:$D$639,$D491)=0,K491*SUMIFS(K$5:K$639,$A$5:$A$639,$A491,$C$5:$C$639,$C491-1,$D$5:$D$639,$D491)&lt;0),"n.s.",ABS(K491)/ABS(SUMIFS(K$5:K$639,$A$5:$A$639,$A491,$C$5:$C$639,$C491-1,$D$5:$D$639,$D491))-1)))</f>
        <v/>
      </c>
      <c r="T491" s="16">
        <f>IF(OR($A491="",L491="",$C491=""),"",IF(COUNTIFS($A$5:$A$639,$A491,$C$5:$C$639,$C491-1,$D$5:$D$639,$D491,L$5:L$639,"&lt;&gt;")=0,"",IF(OR(SUMIFS(L$5:L$639,$A$5:$A$639,$A491,$C$5:$C$639,$C491-1,$D$5:$D$639,$D491)=0,L491*SUMIFS(L$5:L$639,$A$5:$A$639,$A491,$C$5:$C$639,$C491-1,$D$5:$D$639,$D491)&lt;0),"n.s.",ABS(L491)/ABS(SUMIFS(L$5:L$639,$A$5:$A$639,$A491,$C$5:$C$639,$C491-1,$D$5:$D$639,$D491))-1)))</f>
        <v/>
      </c>
      <c r="U491" s="16">
        <f>IF(OR($A491="",M491="",$C491=""),"",IF(COUNTIFS($A$5:$A$639,$A491,$C$5:$C$639,$C491-1,$D$5:$D$639,$D491,M$5:M$639,"&lt;&gt;")=0,"",IF(OR(SUMIFS(M$5:M$639,$A$5:$A$639,$A491,$C$5:$C$639,$C491-1,$D$5:$D$639,$D491)=0,M491*SUMIFS(M$5:M$639,$A$5:$A$639,$A491,$C$5:$C$639,$C491-1,$D$5:$D$639,$D491)&lt;0),"n.s.",ABS(M491)/ABS(SUMIFS(M$5:M$639,$A$5:$A$639,$A491,$C$5:$C$639,$C491-1,$D$5:$D$639,$D491))-1)))</f>
        <v/>
      </c>
    </row>
    <row r="492">
      <c r="A492" s="9" t="inlineStr">
        <is>
          <t>ORAC</t>
        </is>
      </c>
      <c r="B492" s="10">
        <f>IF(A492="","",IFERROR(VLOOKUP(A492,Titres!$A$2:$B$400,2,FALSE),"Ticker inconnu"))</f>
        <v/>
      </c>
      <c r="C492" s="11" t="n">
        <v>2021</v>
      </c>
      <c r="D492" s="11" t="inlineStr">
        <is>
          <t>S1</t>
        </is>
      </c>
      <c r="E492" s="9" t="n"/>
      <c r="F492" s="12" t="n"/>
      <c r="G492" s="9" t="n"/>
      <c r="H492" s="13" t="n"/>
      <c r="I492" s="13" t="n"/>
      <c r="J492" s="13" t="n"/>
      <c r="K492" s="13" t="n"/>
      <c r="L492" s="13" t="n"/>
      <c r="M492" s="13" t="n"/>
      <c r="N492" s="14">
        <f>IF(A492="","",COUNT(H492:M492)/6)</f>
        <v/>
      </c>
      <c r="O492" s="15">
        <f>IF(COUNT(H492:M492)=0,"",IF(LEN(IF(COUNT(I492,J492)=2,IF(J492&gt;I492+1,"EBE &gt; VA ",""),"")&amp;IF(COUNT(H492,M492)=2,IF(ABS(M492)&gt;ABS(H492),"RN &gt; CA ",""),"")&amp;IF(COUNT(H492,K492)=2,IF(ABS(K492)&gt;ABS(H492),"RE &gt; CA ",""),""))=0,"OK",IF(COUNT(I492,J492)=2,IF(J492&gt;I492+1,"EBE &gt; VA ",""),"")&amp;IF(COUNT(H492,M492)=2,IF(ABS(M492)&gt;ABS(H492),"RN &gt; CA ",""),"")&amp;IF(COUNT(H492,K492)=2,IF(ABS(K492)&gt;ABS(H492),"RE &gt; CA ",""),"")))</f>
        <v/>
      </c>
      <c r="P492" s="16">
        <f>IF(OR($A492="",H492="",$C492=""),"",IF(COUNTIFS($A$5:$A$639,$A492,$C$5:$C$639,$C492-1,$D$5:$D$639,$D492,H$5:H$639,"&lt;&gt;")=0,"",IF(OR(SUMIFS(H$5:H$639,$A$5:$A$639,$A492,$C$5:$C$639,$C492-1,$D$5:$D$639,$D492)=0,H492*SUMIFS(H$5:H$639,$A$5:$A$639,$A492,$C$5:$C$639,$C492-1,$D$5:$D$639,$D492)&lt;0),"n.s.",ABS(H492)/ABS(SUMIFS(H$5:H$639,$A$5:$A$639,$A492,$C$5:$C$639,$C492-1,$D$5:$D$639,$D492))-1)))</f>
        <v/>
      </c>
      <c r="Q492" s="16">
        <f>IF(OR($A492="",I492="",$C492=""),"",IF(COUNTIFS($A$5:$A$639,$A492,$C$5:$C$639,$C492-1,$D$5:$D$639,$D492,I$5:I$639,"&lt;&gt;")=0,"",IF(OR(SUMIFS(I$5:I$639,$A$5:$A$639,$A492,$C$5:$C$639,$C492-1,$D$5:$D$639,$D492)=0,I492*SUMIFS(I$5:I$639,$A$5:$A$639,$A492,$C$5:$C$639,$C492-1,$D$5:$D$639,$D492)&lt;0),"n.s.",ABS(I492)/ABS(SUMIFS(I$5:I$639,$A$5:$A$639,$A492,$C$5:$C$639,$C492-1,$D$5:$D$639,$D492))-1)))</f>
        <v/>
      </c>
      <c r="R492" s="16">
        <f>IF(OR($A492="",J492="",$C492=""),"",IF(COUNTIFS($A$5:$A$639,$A492,$C$5:$C$639,$C492-1,$D$5:$D$639,$D492,J$5:J$639,"&lt;&gt;")=0,"",IF(OR(SUMIFS(J$5:J$639,$A$5:$A$639,$A492,$C$5:$C$639,$C492-1,$D$5:$D$639,$D492)=0,J492*SUMIFS(J$5:J$639,$A$5:$A$639,$A492,$C$5:$C$639,$C492-1,$D$5:$D$639,$D492)&lt;0),"n.s.",ABS(J492)/ABS(SUMIFS(J$5:J$639,$A$5:$A$639,$A492,$C$5:$C$639,$C492-1,$D$5:$D$639,$D492))-1)))</f>
        <v/>
      </c>
      <c r="S492" s="16">
        <f>IF(OR($A492="",K492="",$C492=""),"",IF(COUNTIFS($A$5:$A$639,$A492,$C$5:$C$639,$C492-1,$D$5:$D$639,$D492,K$5:K$639,"&lt;&gt;")=0,"",IF(OR(SUMIFS(K$5:K$639,$A$5:$A$639,$A492,$C$5:$C$639,$C492-1,$D$5:$D$639,$D492)=0,K492*SUMIFS(K$5:K$639,$A$5:$A$639,$A492,$C$5:$C$639,$C492-1,$D$5:$D$639,$D492)&lt;0),"n.s.",ABS(K492)/ABS(SUMIFS(K$5:K$639,$A$5:$A$639,$A492,$C$5:$C$639,$C492-1,$D$5:$D$639,$D492))-1)))</f>
        <v/>
      </c>
      <c r="T492" s="16">
        <f>IF(OR($A492="",L492="",$C492=""),"",IF(COUNTIFS($A$5:$A$639,$A492,$C$5:$C$639,$C492-1,$D$5:$D$639,$D492,L$5:L$639,"&lt;&gt;")=0,"",IF(OR(SUMIFS(L$5:L$639,$A$5:$A$639,$A492,$C$5:$C$639,$C492-1,$D$5:$D$639,$D492)=0,L492*SUMIFS(L$5:L$639,$A$5:$A$639,$A492,$C$5:$C$639,$C492-1,$D$5:$D$639,$D492)&lt;0),"n.s.",ABS(L492)/ABS(SUMIFS(L$5:L$639,$A$5:$A$639,$A492,$C$5:$C$639,$C492-1,$D$5:$D$639,$D492))-1)))</f>
        <v/>
      </c>
      <c r="U492" s="16">
        <f>IF(OR($A492="",M492="",$C492=""),"",IF(COUNTIFS($A$5:$A$639,$A492,$C$5:$C$639,$C492-1,$D$5:$D$639,$D492,M$5:M$639,"&lt;&gt;")=0,"",IF(OR(SUMIFS(M$5:M$639,$A$5:$A$639,$A492,$C$5:$C$639,$C492-1,$D$5:$D$639,$D492)=0,M492*SUMIFS(M$5:M$639,$A$5:$A$639,$A492,$C$5:$C$639,$C492-1,$D$5:$D$639,$D492)&lt;0),"n.s.",ABS(M492)/ABS(SUMIFS(M$5:M$639,$A$5:$A$639,$A492,$C$5:$C$639,$C492-1,$D$5:$D$639,$D492))-1)))</f>
        <v/>
      </c>
    </row>
    <row r="493">
      <c r="A493" s="9" t="inlineStr">
        <is>
          <t>ORAC</t>
        </is>
      </c>
      <c r="B493" s="10">
        <f>IF(A493="","",IFERROR(VLOOKUP(A493,Titres!$A$2:$B$400,2,FALSE),"Ticker inconnu"))</f>
        <v/>
      </c>
      <c r="C493" s="11" t="n">
        <v>2021</v>
      </c>
      <c r="D493" s="11" t="inlineStr">
        <is>
          <t>T3</t>
        </is>
      </c>
      <c r="E493" s="9" t="n"/>
      <c r="F493" s="12" t="n"/>
      <c r="G493" s="9" t="n"/>
      <c r="H493" s="13" t="n"/>
      <c r="I493" s="13" t="n"/>
      <c r="J493" s="13" t="n"/>
      <c r="K493" s="13" t="n"/>
      <c r="L493" s="13" t="n"/>
      <c r="M493" s="13" t="n"/>
      <c r="N493" s="14">
        <f>IF(A493="","",COUNT(H493:M493)/6)</f>
        <v/>
      </c>
      <c r="O493" s="15">
        <f>IF(COUNT(H493:M493)=0,"",IF(LEN(IF(COUNT(I493,J493)=2,IF(J493&gt;I493+1,"EBE &gt; VA ",""),"")&amp;IF(COUNT(H493,M493)=2,IF(ABS(M493)&gt;ABS(H493),"RN &gt; CA ",""),"")&amp;IF(COUNT(H493,K493)=2,IF(ABS(K493)&gt;ABS(H493),"RE &gt; CA ",""),""))=0,"OK",IF(COUNT(I493,J493)=2,IF(J493&gt;I493+1,"EBE &gt; VA ",""),"")&amp;IF(COUNT(H493,M493)=2,IF(ABS(M493)&gt;ABS(H493),"RN &gt; CA ",""),"")&amp;IF(COUNT(H493,K493)=2,IF(ABS(K493)&gt;ABS(H493),"RE &gt; CA ",""),"")))</f>
        <v/>
      </c>
      <c r="P493" s="16">
        <f>IF(OR($A493="",H493="",$C493=""),"",IF(COUNTIFS($A$5:$A$639,$A493,$C$5:$C$639,$C493-1,$D$5:$D$639,$D493,H$5:H$639,"&lt;&gt;")=0,"",IF(OR(SUMIFS(H$5:H$639,$A$5:$A$639,$A493,$C$5:$C$639,$C493-1,$D$5:$D$639,$D493)=0,H493*SUMIFS(H$5:H$639,$A$5:$A$639,$A493,$C$5:$C$639,$C493-1,$D$5:$D$639,$D493)&lt;0),"n.s.",ABS(H493)/ABS(SUMIFS(H$5:H$639,$A$5:$A$639,$A493,$C$5:$C$639,$C493-1,$D$5:$D$639,$D493))-1)))</f>
        <v/>
      </c>
      <c r="Q493" s="16">
        <f>IF(OR($A493="",I493="",$C493=""),"",IF(COUNTIFS($A$5:$A$639,$A493,$C$5:$C$639,$C493-1,$D$5:$D$639,$D493,I$5:I$639,"&lt;&gt;")=0,"",IF(OR(SUMIFS(I$5:I$639,$A$5:$A$639,$A493,$C$5:$C$639,$C493-1,$D$5:$D$639,$D493)=0,I493*SUMIFS(I$5:I$639,$A$5:$A$639,$A493,$C$5:$C$639,$C493-1,$D$5:$D$639,$D493)&lt;0),"n.s.",ABS(I493)/ABS(SUMIFS(I$5:I$639,$A$5:$A$639,$A493,$C$5:$C$639,$C493-1,$D$5:$D$639,$D493))-1)))</f>
        <v/>
      </c>
      <c r="R493" s="16">
        <f>IF(OR($A493="",J493="",$C493=""),"",IF(COUNTIFS($A$5:$A$639,$A493,$C$5:$C$639,$C493-1,$D$5:$D$639,$D493,J$5:J$639,"&lt;&gt;")=0,"",IF(OR(SUMIFS(J$5:J$639,$A$5:$A$639,$A493,$C$5:$C$639,$C493-1,$D$5:$D$639,$D493)=0,J493*SUMIFS(J$5:J$639,$A$5:$A$639,$A493,$C$5:$C$639,$C493-1,$D$5:$D$639,$D493)&lt;0),"n.s.",ABS(J493)/ABS(SUMIFS(J$5:J$639,$A$5:$A$639,$A493,$C$5:$C$639,$C493-1,$D$5:$D$639,$D493))-1)))</f>
        <v/>
      </c>
      <c r="S493" s="16">
        <f>IF(OR($A493="",K493="",$C493=""),"",IF(COUNTIFS($A$5:$A$639,$A493,$C$5:$C$639,$C493-1,$D$5:$D$639,$D493,K$5:K$639,"&lt;&gt;")=0,"",IF(OR(SUMIFS(K$5:K$639,$A$5:$A$639,$A493,$C$5:$C$639,$C493-1,$D$5:$D$639,$D493)=0,K493*SUMIFS(K$5:K$639,$A$5:$A$639,$A493,$C$5:$C$639,$C493-1,$D$5:$D$639,$D493)&lt;0),"n.s.",ABS(K493)/ABS(SUMIFS(K$5:K$639,$A$5:$A$639,$A493,$C$5:$C$639,$C493-1,$D$5:$D$639,$D493))-1)))</f>
        <v/>
      </c>
      <c r="T493" s="16">
        <f>IF(OR($A493="",L493="",$C493=""),"",IF(COUNTIFS($A$5:$A$639,$A493,$C$5:$C$639,$C493-1,$D$5:$D$639,$D493,L$5:L$639,"&lt;&gt;")=0,"",IF(OR(SUMIFS(L$5:L$639,$A$5:$A$639,$A493,$C$5:$C$639,$C493-1,$D$5:$D$639,$D493)=0,L493*SUMIFS(L$5:L$639,$A$5:$A$639,$A493,$C$5:$C$639,$C493-1,$D$5:$D$639,$D493)&lt;0),"n.s.",ABS(L493)/ABS(SUMIFS(L$5:L$639,$A$5:$A$639,$A493,$C$5:$C$639,$C493-1,$D$5:$D$639,$D493))-1)))</f>
        <v/>
      </c>
      <c r="U493" s="16">
        <f>IF(OR($A493="",M493="",$C493=""),"",IF(COUNTIFS($A$5:$A$639,$A493,$C$5:$C$639,$C493-1,$D$5:$D$639,$D493,M$5:M$639,"&lt;&gt;")=0,"",IF(OR(SUMIFS(M$5:M$639,$A$5:$A$639,$A493,$C$5:$C$639,$C493-1,$D$5:$D$639,$D493)=0,M493*SUMIFS(M$5:M$639,$A$5:$A$639,$A493,$C$5:$C$639,$C493-1,$D$5:$D$639,$D493)&lt;0),"n.s.",ABS(M493)/ABS(SUMIFS(M$5:M$639,$A$5:$A$639,$A493,$C$5:$C$639,$C493-1,$D$5:$D$639,$D493))-1)))</f>
        <v/>
      </c>
    </row>
    <row r="494">
      <c r="A494" s="9" t="inlineStr">
        <is>
          <t>ORAC</t>
        </is>
      </c>
      <c r="B494" s="10">
        <f>IF(A494="","",IFERROR(VLOOKUP(A494,Titres!$A$2:$B$400,2,FALSE),"Ticker inconnu"))</f>
        <v/>
      </c>
      <c r="C494" s="11" t="n">
        <v>2022</v>
      </c>
      <c r="D494" s="11" t="inlineStr">
        <is>
          <t>T1</t>
        </is>
      </c>
      <c r="E494" s="9" t="n"/>
      <c r="F494" s="12" t="n"/>
      <c r="G494" s="9" t="n"/>
      <c r="H494" s="13" t="n"/>
      <c r="I494" s="13" t="n"/>
      <c r="J494" s="13" t="n"/>
      <c r="K494" s="13" t="n"/>
      <c r="L494" s="13" t="n"/>
      <c r="M494" s="13" t="n"/>
      <c r="N494" s="14">
        <f>IF(A494="","",COUNT(H494:M494)/6)</f>
        <v/>
      </c>
      <c r="O494" s="15">
        <f>IF(COUNT(H494:M494)=0,"",IF(LEN(IF(COUNT(I494,J494)=2,IF(J494&gt;I494+1,"EBE &gt; VA ",""),"")&amp;IF(COUNT(H494,M494)=2,IF(ABS(M494)&gt;ABS(H494),"RN &gt; CA ",""),"")&amp;IF(COUNT(H494,K494)=2,IF(ABS(K494)&gt;ABS(H494),"RE &gt; CA ",""),""))=0,"OK",IF(COUNT(I494,J494)=2,IF(J494&gt;I494+1,"EBE &gt; VA ",""),"")&amp;IF(COUNT(H494,M494)=2,IF(ABS(M494)&gt;ABS(H494),"RN &gt; CA ",""),"")&amp;IF(COUNT(H494,K494)=2,IF(ABS(K494)&gt;ABS(H494),"RE &gt; CA ",""),"")))</f>
        <v/>
      </c>
      <c r="P494" s="16">
        <f>IF(OR($A494="",H494="",$C494=""),"",IF(COUNTIFS($A$5:$A$639,$A494,$C$5:$C$639,$C494-1,$D$5:$D$639,$D494,H$5:H$639,"&lt;&gt;")=0,"",IF(OR(SUMIFS(H$5:H$639,$A$5:$A$639,$A494,$C$5:$C$639,$C494-1,$D$5:$D$639,$D494)=0,H494*SUMIFS(H$5:H$639,$A$5:$A$639,$A494,$C$5:$C$639,$C494-1,$D$5:$D$639,$D494)&lt;0),"n.s.",ABS(H494)/ABS(SUMIFS(H$5:H$639,$A$5:$A$639,$A494,$C$5:$C$639,$C494-1,$D$5:$D$639,$D494))-1)))</f>
        <v/>
      </c>
      <c r="Q494" s="16">
        <f>IF(OR($A494="",I494="",$C494=""),"",IF(COUNTIFS($A$5:$A$639,$A494,$C$5:$C$639,$C494-1,$D$5:$D$639,$D494,I$5:I$639,"&lt;&gt;")=0,"",IF(OR(SUMIFS(I$5:I$639,$A$5:$A$639,$A494,$C$5:$C$639,$C494-1,$D$5:$D$639,$D494)=0,I494*SUMIFS(I$5:I$639,$A$5:$A$639,$A494,$C$5:$C$639,$C494-1,$D$5:$D$639,$D494)&lt;0),"n.s.",ABS(I494)/ABS(SUMIFS(I$5:I$639,$A$5:$A$639,$A494,$C$5:$C$639,$C494-1,$D$5:$D$639,$D494))-1)))</f>
        <v/>
      </c>
      <c r="R494" s="16">
        <f>IF(OR($A494="",J494="",$C494=""),"",IF(COUNTIFS($A$5:$A$639,$A494,$C$5:$C$639,$C494-1,$D$5:$D$639,$D494,J$5:J$639,"&lt;&gt;")=0,"",IF(OR(SUMIFS(J$5:J$639,$A$5:$A$639,$A494,$C$5:$C$639,$C494-1,$D$5:$D$639,$D494)=0,J494*SUMIFS(J$5:J$639,$A$5:$A$639,$A494,$C$5:$C$639,$C494-1,$D$5:$D$639,$D494)&lt;0),"n.s.",ABS(J494)/ABS(SUMIFS(J$5:J$639,$A$5:$A$639,$A494,$C$5:$C$639,$C494-1,$D$5:$D$639,$D494))-1)))</f>
        <v/>
      </c>
      <c r="S494" s="16">
        <f>IF(OR($A494="",K494="",$C494=""),"",IF(COUNTIFS($A$5:$A$639,$A494,$C$5:$C$639,$C494-1,$D$5:$D$639,$D494,K$5:K$639,"&lt;&gt;")=0,"",IF(OR(SUMIFS(K$5:K$639,$A$5:$A$639,$A494,$C$5:$C$639,$C494-1,$D$5:$D$639,$D494)=0,K494*SUMIFS(K$5:K$639,$A$5:$A$639,$A494,$C$5:$C$639,$C494-1,$D$5:$D$639,$D494)&lt;0),"n.s.",ABS(K494)/ABS(SUMIFS(K$5:K$639,$A$5:$A$639,$A494,$C$5:$C$639,$C494-1,$D$5:$D$639,$D494))-1)))</f>
        <v/>
      </c>
      <c r="T494" s="16">
        <f>IF(OR($A494="",L494="",$C494=""),"",IF(COUNTIFS($A$5:$A$639,$A494,$C$5:$C$639,$C494-1,$D$5:$D$639,$D494,L$5:L$639,"&lt;&gt;")=0,"",IF(OR(SUMIFS(L$5:L$639,$A$5:$A$639,$A494,$C$5:$C$639,$C494-1,$D$5:$D$639,$D494)=0,L494*SUMIFS(L$5:L$639,$A$5:$A$639,$A494,$C$5:$C$639,$C494-1,$D$5:$D$639,$D494)&lt;0),"n.s.",ABS(L494)/ABS(SUMIFS(L$5:L$639,$A$5:$A$639,$A494,$C$5:$C$639,$C494-1,$D$5:$D$639,$D494))-1)))</f>
        <v/>
      </c>
      <c r="U494" s="16">
        <f>IF(OR($A494="",M494="",$C494=""),"",IF(COUNTIFS($A$5:$A$639,$A494,$C$5:$C$639,$C494-1,$D$5:$D$639,$D494,M$5:M$639,"&lt;&gt;")=0,"",IF(OR(SUMIFS(M$5:M$639,$A$5:$A$639,$A494,$C$5:$C$639,$C494-1,$D$5:$D$639,$D494)=0,M494*SUMIFS(M$5:M$639,$A$5:$A$639,$A494,$C$5:$C$639,$C494-1,$D$5:$D$639,$D494)&lt;0),"n.s.",ABS(M494)/ABS(SUMIFS(M$5:M$639,$A$5:$A$639,$A494,$C$5:$C$639,$C494-1,$D$5:$D$639,$D494))-1)))</f>
        <v/>
      </c>
    </row>
    <row r="495">
      <c r="A495" s="9" t="inlineStr">
        <is>
          <t>ORAC</t>
        </is>
      </c>
      <c r="B495" s="10">
        <f>IF(A495="","",IFERROR(VLOOKUP(A495,Titres!$A$2:$B$400,2,FALSE),"Ticker inconnu"))</f>
        <v/>
      </c>
      <c r="C495" s="11" t="n">
        <v>2022</v>
      </c>
      <c r="D495" s="11" t="inlineStr">
        <is>
          <t>S1</t>
        </is>
      </c>
      <c r="E495" s="9" t="n"/>
      <c r="F495" s="12" t="n"/>
      <c r="G495" s="9" t="n"/>
      <c r="H495" s="13" t="n"/>
      <c r="I495" s="13" t="n"/>
      <c r="J495" s="13" t="n"/>
      <c r="K495" s="13" t="n"/>
      <c r="L495" s="13" t="n"/>
      <c r="M495" s="13" t="n"/>
      <c r="N495" s="14">
        <f>IF(A495="","",COUNT(H495:M495)/6)</f>
        <v/>
      </c>
      <c r="O495" s="15">
        <f>IF(COUNT(H495:M495)=0,"",IF(LEN(IF(COUNT(I495,J495)=2,IF(J495&gt;I495+1,"EBE &gt; VA ",""),"")&amp;IF(COUNT(H495,M495)=2,IF(ABS(M495)&gt;ABS(H495),"RN &gt; CA ",""),"")&amp;IF(COUNT(H495,K495)=2,IF(ABS(K495)&gt;ABS(H495),"RE &gt; CA ",""),""))=0,"OK",IF(COUNT(I495,J495)=2,IF(J495&gt;I495+1,"EBE &gt; VA ",""),"")&amp;IF(COUNT(H495,M495)=2,IF(ABS(M495)&gt;ABS(H495),"RN &gt; CA ",""),"")&amp;IF(COUNT(H495,K495)=2,IF(ABS(K495)&gt;ABS(H495),"RE &gt; CA ",""),"")))</f>
        <v/>
      </c>
      <c r="P495" s="16">
        <f>IF(OR($A495="",H495="",$C495=""),"",IF(COUNTIFS($A$5:$A$639,$A495,$C$5:$C$639,$C495-1,$D$5:$D$639,$D495,H$5:H$639,"&lt;&gt;")=0,"",IF(OR(SUMIFS(H$5:H$639,$A$5:$A$639,$A495,$C$5:$C$639,$C495-1,$D$5:$D$639,$D495)=0,H495*SUMIFS(H$5:H$639,$A$5:$A$639,$A495,$C$5:$C$639,$C495-1,$D$5:$D$639,$D495)&lt;0),"n.s.",ABS(H495)/ABS(SUMIFS(H$5:H$639,$A$5:$A$639,$A495,$C$5:$C$639,$C495-1,$D$5:$D$639,$D495))-1)))</f>
        <v/>
      </c>
      <c r="Q495" s="16">
        <f>IF(OR($A495="",I495="",$C495=""),"",IF(COUNTIFS($A$5:$A$639,$A495,$C$5:$C$639,$C495-1,$D$5:$D$639,$D495,I$5:I$639,"&lt;&gt;")=0,"",IF(OR(SUMIFS(I$5:I$639,$A$5:$A$639,$A495,$C$5:$C$639,$C495-1,$D$5:$D$639,$D495)=0,I495*SUMIFS(I$5:I$639,$A$5:$A$639,$A495,$C$5:$C$639,$C495-1,$D$5:$D$639,$D495)&lt;0),"n.s.",ABS(I495)/ABS(SUMIFS(I$5:I$639,$A$5:$A$639,$A495,$C$5:$C$639,$C495-1,$D$5:$D$639,$D495))-1)))</f>
        <v/>
      </c>
      <c r="R495" s="16">
        <f>IF(OR($A495="",J495="",$C495=""),"",IF(COUNTIFS($A$5:$A$639,$A495,$C$5:$C$639,$C495-1,$D$5:$D$639,$D495,J$5:J$639,"&lt;&gt;")=0,"",IF(OR(SUMIFS(J$5:J$639,$A$5:$A$639,$A495,$C$5:$C$639,$C495-1,$D$5:$D$639,$D495)=0,J495*SUMIFS(J$5:J$639,$A$5:$A$639,$A495,$C$5:$C$639,$C495-1,$D$5:$D$639,$D495)&lt;0),"n.s.",ABS(J495)/ABS(SUMIFS(J$5:J$639,$A$5:$A$639,$A495,$C$5:$C$639,$C495-1,$D$5:$D$639,$D495))-1)))</f>
        <v/>
      </c>
      <c r="S495" s="16">
        <f>IF(OR($A495="",K495="",$C495=""),"",IF(COUNTIFS($A$5:$A$639,$A495,$C$5:$C$639,$C495-1,$D$5:$D$639,$D495,K$5:K$639,"&lt;&gt;")=0,"",IF(OR(SUMIFS(K$5:K$639,$A$5:$A$639,$A495,$C$5:$C$639,$C495-1,$D$5:$D$639,$D495)=0,K495*SUMIFS(K$5:K$639,$A$5:$A$639,$A495,$C$5:$C$639,$C495-1,$D$5:$D$639,$D495)&lt;0),"n.s.",ABS(K495)/ABS(SUMIFS(K$5:K$639,$A$5:$A$639,$A495,$C$5:$C$639,$C495-1,$D$5:$D$639,$D495))-1)))</f>
        <v/>
      </c>
      <c r="T495" s="16">
        <f>IF(OR($A495="",L495="",$C495=""),"",IF(COUNTIFS($A$5:$A$639,$A495,$C$5:$C$639,$C495-1,$D$5:$D$639,$D495,L$5:L$639,"&lt;&gt;")=0,"",IF(OR(SUMIFS(L$5:L$639,$A$5:$A$639,$A495,$C$5:$C$639,$C495-1,$D$5:$D$639,$D495)=0,L495*SUMIFS(L$5:L$639,$A$5:$A$639,$A495,$C$5:$C$639,$C495-1,$D$5:$D$639,$D495)&lt;0),"n.s.",ABS(L495)/ABS(SUMIFS(L$5:L$639,$A$5:$A$639,$A495,$C$5:$C$639,$C495-1,$D$5:$D$639,$D495))-1)))</f>
        <v/>
      </c>
      <c r="U495" s="16">
        <f>IF(OR($A495="",M495="",$C495=""),"",IF(COUNTIFS($A$5:$A$639,$A495,$C$5:$C$639,$C495-1,$D$5:$D$639,$D495,M$5:M$639,"&lt;&gt;")=0,"",IF(OR(SUMIFS(M$5:M$639,$A$5:$A$639,$A495,$C$5:$C$639,$C495-1,$D$5:$D$639,$D495)=0,M495*SUMIFS(M$5:M$639,$A$5:$A$639,$A495,$C$5:$C$639,$C495-1,$D$5:$D$639,$D495)&lt;0),"n.s.",ABS(M495)/ABS(SUMIFS(M$5:M$639,$A$5:$A$639,$A495,$C$5:$C$639,$C495-1,$D$5:$D$639,$D495))-1)))</f>
        <v/>
      </c>
    </row>
    <row r="496">
      <c r="A496" s="9" t="inlineStr">
        <is>
          <t>ORAC</t>
        </is>
      </c>
      <c r="B496" s="10">
        <f>IF(A496="","",IFERROR(VLOOKUP(A496,Titres!$A$2:$B$400,2,FALSE),"Ticker inconnu"))</f>
        <v/>
      </c>
      <c r="C496" s="11" t="n">
        <v>2022</v>
      </c>
      <c r="D496" s="11" t="inlineStr">
        <is>
          <t>T3</t>
        </is>
      </c>
      <c r="E496" s="9" t="n"/>
      <c r="F496" s="12" t="n"/>
      <c r="G496" s="9" t="n"/>
      <c r="H496" s="13" t="n"/>
      <c r="I496" s="13" t="n"/>
      <c r="J496" s="13" t="n"/>
      <c r="K496" s="13" t="n"/>
      <c r="L496" s="13" t="n"/>
      <c r="M496" s="13" t="n"/>
      <c r="N496" s="14">
        <f>IF(A496="","",COUNT(H496:M496)/6)</f>
        <v/>
      </c>
      <c r="O496" s="15">
        <f>IF(COUNT(H496:M496)=0,"",IF(LEN(IF(COUNT(I496,J496)=2,IF(J496&gt;I496+1,"EBE &gt; VA ",""),"")&amp;IF(COUNT(H496,M496)=2,IF(ABS(M496)&gt;ABS(H496),"RN &gt; CA ",""),"")&amp;IF(COUNT(H496,K496)=2,IF(ABS(K496)&gt;ABS(H496),"RE &gt; CA ",""),""))=0,"OK",IF(COUNT(I496,J496)=2,IF(J496&gt;I496+1,"EBE &gt; VA ",""),"")&amp;IF(COUNT(H496,M496)=2,IF(ABS(M496)&gt;ABS(H496),"RN &gt; CA ",""),"")&amp;IF(COUNT(H496,K496)=2,IF(ABS(K496)&gt;ABS(H496),"RE &gt; CA ",""),"")))</f>
        <v/>
      </c>
      <c r="P496" s="16">
        <f>IF(OR($A496="",H496="",$C496=""),"",IF(COUNTIFS($A$5:$A$639,$A496,$C$5:$C$639,$C496-1,$D$5:$D$639,$D496,H$5:H$639,"&lt;&gt;")=0,"",IF(OR(SUMIFS(H$5:H$639,$A$5:$A$639,$A496,$C$5:$C$639,$C496-1,$D$5:$D$639,$D496)=0,H496*SUMIFS(H$5:H$639,$A$5:$A$639,$A496,$C$5:$C$639,$C496-1,$D$5:$D$639,$D496)&lt;0),"n.s.",ABS(H496)/ABS(SUMIFS(H$5:H$639,$A$5:$A$639,$A496,$C$5:$C$639,$C496-1,$D$5:$D$639,$D496))-1)))</f>
        <v/>
      </c>
      <c r="Q496" s="16">
        <f>IF(OR($A496="",I496="",$C496=""),"",IF(COUNTIFS($A$5:$A$639,$A496,$C$5:$C$639,$C496-1,$D$5:$D$639,$D496,I$5:I$639,"&lt;&gt;")=0,"",IF(OR(SUMIFS(I$5:I$639,$A$5:$A$639,$A496,$C$5:$C$639,$C496-1,$D$5:$D$639,$D496)=0,I496*SUMIFS(I$5:I$639,$A$5:$A$639,$A496,$C$5:$C$639,$C496-1,$D$5:$D$639,$D496)&lt;0),"n.s.",ABS(I496)/ABS(SUMIFS(I$5:I$639,$A$5:$A$639,$A496,$C$5:$C$639,$C496-1,$D$5:$D$639,$D496))-1)))</f>
        <v/>
      </c>
      <c r="R496" s="16">
        <f>IF(OR($A496="",J496="",$C496=""),"",IF(COUNTIFS($A$5:$A$639,$A496,$C$5:$C$639,$C496-1,$D$5:$D$639,$D496,J$5:J$639,"&lt;&gt;")=0,"",IF(OR(SUMIFS(J$5:J$639,$A$5:$A$639,$A496,$C$5:$C$639,$C496-1,$D$5:$D$639,$D496)=0,J496*SUMIFS(J$5:J$639,$A$5:$A$639,$A496,$C$5:$C$639,$C496-1,$D$5:$D$639,$D496)&lt;0),"n.s.",ABS(J496)/ABS(SUMIFS(J$5:J$639,$A$5:$A$639,$A496,$C$5:$C$639,$C496-1,$D$5:$D$639,$D496))-1)))</f>
        <v/>
      </c>
      <c r="S496" s="16">
        <f>IF(OR($A496="",K496="",$C496=""),"",IF(COUNTIFS($A$5:$A$639,$A496,$C$5:$C$639,$C496-1,$D$5:$D$639,$D496,K$5:K$639,"&lt;&gt;")=0,"",IF(OR(SUMIFS(K$5:K$639,$A$5:$A$639,$A496,$C$5:$C$639,$C496-1,$D$5:$D$639,$D496)=0,K496*SUMIFS(K$5:K$639,$A$5:$A$639,$A496,$C$5:$C$639,$C496-1,$D$5:$D$639,$D496)&lt;0),"n.s.",ABS(K496)/ABS(SUMIFS(K$5:K$639,$A$5:$A$639,$A496,$C$5:$C$639,$C496-1,$D$5:$D$639,$D496))-1)))</f>
        <v/>
      </c>
      <c r="T496" s="16">
        <f>IF(OR($A496="",L496="",$C496=""),"",IF(COUNTIFS($A$5:$A$639,$A496,$C$5:$C$639,$C496-1,$D$5:$D$639,$D496,L$5:L$639,"&lt;&gt;")=0,"",IF(OR(SUMIFS(L$5:L$639,$A$5:$A$639,$A496,$C$5:$C$639,$C496-1,$D$5:$D$639,$D496)=0,L496*SUMIFS(L$5:L$639,$A$5:$A$639,$A496,$C$5:$C$639,$C496-1,$D$5:$D$639,$D496)&lt;0),"n.s.",ABS(L496)/ABS(SUMIFS(L$5:L$639,$A$5:$A$639,$A496,$C$5:$C$639,$C496-1,$D$5:$D$639,$D496))-1)))</f>
        <v/>
      </c>
      <c r="U496" s="16">
        <f>IF(OR($A496="",M496="",$C496=""),"",IF(COUNTIFS($A$5:$A$639,$A496,$C$5:$C$639,$C496-1,$D$5:$D$639,$D496,M$5:M$639,"&lt;&gt;")=0,"",IF(OR(SUMIFS(M$5:M$639,$A$5:$A$639,$A496,$C$5:$C$639,$C496-1,$D$5:$D$639,$D496)=0,M496*SUMIFS(M$5:M$639,$A$5:$A$639,$A496,$C$5:$C$639,$C496-1,$D$5:$D$639,$D496)&lt;0),"n.s.",ABS(M496)/ABS(SUMIFS(M$5:M$639,$A$5:$A$639,$A496,$C$5:$C$639,$C496-1,$D$5:$D$639,$D496))-1)))</f>
        <v/>
      </c>
    </row>
    <row r="497">
      <c r="A497" s="9" t="inlineStr">
        <is>
          <t>ORAC</t>
        </is>
      </c>
      <c r="B497" s="10">
        <f>IF(A497="","",IFERROR(VLOOKUP(A497,Titres!$A$2:$B$400,2,FALSE),"Ticker inconnu"))</f>
        <v/>
      </c>
      <c r="C497" s="11" t="n">
        <v>2023</v>
      </c>
      <c r="D497" s="11" t="inlineStr">
        <is>
          <t>T1</t>
        </is>
      </c>
      <c r="E497" s="9" t="n"/>
      <c r="F497" s="12" t="n"/>
      <c r="G497" s="9" t="n"/>
      <c r="H497" s="13" t="n"/>
      <c r="I497" s="13" t="n"/>
      <c r="J497" s="13" t="n"/>
      <c r="K497" s="13" t="n"/>
      <c r="L497" s="13" t="n"/>
      <c r="M497" s="13" t="n"/>
      <c r="N497" s="14">
        <f>IF(A497="","",COUNT(H497:M497)/6)</f>
        <v/>
      </c>
      <c r="O497" s="15">
        <f>IF(COUNT(H497:M497)=0,"",IF(LEN(IF(COUNT(I497,J497)=2,IF(J497&gt;I497+1,"EBE &gt; VA ",""),"")&amp;IF(COUNT(H497,M497)=2,IF(ABS(M497)&gt;ABS(H497),"RN &gt; CA ",""),"")&amp;IF(COUNT(H497,K497)=2,IF(ABS(K497)&gt;ABS(H497),"RE &gt; CA ",""),""))=0,"OK",IF(COUNT(I497,J497)=2,IF(J497&gt;I497+1,"EBE &gt; VA ",""),"")&amp;IF(COUNT(H497,M497)=2,IF(ABS(M497)&gt;ABS(H497),"RN &gt; CA ",""),"")&amp;IF(COUNT(H497,K497)=2,IF(ABS(K497)&gt;ABS(H497),"RE &gt; CA ",""),"")))</f>
        <v/>
      </c>
      <c r="P497" s="16">
        <f>IF(OR($A497="",H497="",$C497=""),"",IF(COUNTIFS($A$5:$A$639,$A497,$C$5:$C$639,$C497-1,$D$5:$D$639,$D497,H$5:H$639,"&lt;&gt;")=0,"",IF(OR(SUMIFS(H$5:H$639,$A$5:$A$639,$A497,$C$5:$C$639,$C497-1,$D$5:$D$639,$D497)=0,H497*SUMIFS(H$5:H$639,$A$5:$A$639,$A497,$C$5:$C$639,$C497-1,$D$5:$D$639,$D497)&lt;0),"n.s.",ABS(H497)/ABS(SUMIFS(H$5:H$639,$A$5:$A$639,$A497,$C$5:$C$639,$C497-1,$D$5:$D$639,$D497))-1)))</f>
        <v/>
      </c>
      <c r="Q497" s="16">
        <f>IF(OR($A497="",I497="",$C497=""),"",IF(COUNTIFS($A$5:$A$639,$A497,$C$5:$C$639,$C497-1,$D$5:$D$639,$D497,I$5:I$639,"&lt;&gt;")=0,"",IF(OR(SUMIFS(I$5:I$639,$A$5:$A$639,$A497,$C$5:$C$639,$C497-1,$D$5:$D$639,$D497)=0,I497*SUMIFS(I$5:I$639,$A$5:$A$639,$A497,$C$5:$C$639,$C497-1,$D$5:$D$639,$D497)&lt;0),"n.s.",ABS(I497)/ABS(SUMIFS(I$5:I$639,$A$5:$A$639,$A497,$C$5:$C$639,$C497-1,$D$5:$D$639,$D497))-1)))</f>
        <v/>
      </c>
      <c r="R497" s="16">
        <f>IF(OR($A497="",J497="",$C497=""),"",IF(COUNTIFS($A$5:$A$639,$A497,$C$5:$C$639,$C497-1,$D$5:$D$639,$D497,J$5:J$639,"&lt;&gt;")=0,"",IF(OR(SUMIFS(J$5:J$639,$A$5:$A$639,$A497,$C$5:$C$639,$C497-1,$D$5:$D$639,$D497)=0,J497*SUMIFS(J$5:J$639,$A$5:$A$639,$A497,$C$5:$C$639,$C497-1,$D$5:$D$639,$D497)&lt;0),"n.s.",ABS(J497)/ABS(SUMIFS(J$5:J$639,$A$5:$A$639,$A497,$C$5:$C$639,$C497-1,$D$5:$D$639,$D497))-1)))</f>
        <v/>
      </c>
      <c r="S497" s="16">
        <f>IF(OR($A497="",K497="",$C497=""),"",IF(COUNTIFS($A$5:$A$639,$A497,$C$5:$C$639,$C497-1,$D$5:$D$639,$D497,K$5:K$639,"&lt;&gt;")=0,"",IF(OR(SUMIFS(K$5:K$639,$A$5:$A$639,$A497,$C$5:$C$639,$C497-1,$D$5:$D$639,$D497)=0,K497*SUMIFS(K$5:K$639,$A$5:$A$639,$A497,$C$5:$C$639,$C497-1,$D$5:$D$639,$D497)&lt;0),"n.s.",ABS(K497)/ABS(SUMIFS(K$5:K$639,$A$5:$A$639,$A497,$C$5:$C$639,$C497-1,$D$5:$D$639,$D497))-1)))</f>
        <v/>
      </c>
      <c r="T497" s="16">
        <f>IF(OR($A497="",L497="",$C497=""),"",IF(COUNTIFS($A$5:$A$639,$A497,$C$5:$C$639,$C497-1,$D$5:$D$639,$D497,L$5:L$639,"&lt;&gt;")=0,"",IF(OR(SUMIFS(L$5:L$639,$A$5:$A$639,$A497,$C$5:$C$639,$C497-1,$D$5:$D$639,$D497)=0,L497*SUMIFS(L$5:L$639,$A$5:$A$639,$A497,$C$5:$C$639,$C497-1,$D$5:$D$639,$D497)&lt;0),"n.s.",ABS(L497)/ABS(SUMIFS(L$5:L$639,$A$5:$A$639,$A497,$C$5:$C$639,$C497-1,$D$5:$D$639,$D497))-1)))</f>
        <v/>
      </c>
      <c r="U497" s="16">
        <f>IF(OR($A497="",M497="",$C497=""),"",IF(COUNTIFS($A$5:$A$639,$A497,$C$5:$C$639,$C497-1,$D$5:$D$639,$D497,M$5:M$639,"&lt;&gt;")=0,"",IF(OR(SUMIFS(M$5:M$639,$A$5:$A$639,$A497,$C$5:$C$639,$C497-1,$D$5:$D$639,$D497)=0,M497*SUMIFS(M$5:M$639,$A$5:$A$639,$A497,$C$5:$C$639,$C497-1,$D$5:$D$639,$D497)&lt;0),"n.s.",ABS(M497)/ABS(SUMIFS(M$5:M$639,$A$5:$A$639,$A497,$C$5:$C$639,$C497-1,$D$5:$D$639,$D497))-1)))</f>
        <v/>
      </c>
    </row>
    <row r="498">
      <c r="A498" s="9" t="inlineStr">
        <is>
          <t>ORAC</t>
        </is>
      </c>
      <c r="B498" s="10">
        <f>IF(A498="","",IFERROR(VLOOKUP(A498,Titres!$A$2:$B$400,2,FALSE),"Ticker inconnu"))</f>
        <v/>
      </c>
      <c r="C498" s="11" t="n">
        <v>2023</v>
      </c>
      <c r="D498" s="11" t="inlineStr">
        <is>
          <t>S1</t>
        </is>
      </c>
      <c r="E498" s="9" t="n"/>
      <c r="F498" s="12" t="n"/>
      <c r="G498" s="9" t="n"/>
      <c r="H498" s="13" t="n"/>
      <c r="I498" s="13" t="n"/>
      <c r="J498" s="13" t="n"/>
      <c r="K498" s="13" t="n"/>
      <c r="L498" s="13" t="n"/>
      <c r="M498" s="13" t="n"/>
      <c r="N498" s="14">
        <f>IF(A498="","",COUNT(H498:M498)/6)</f>
        <v/>
      </c>
      <c r="O498" s="15">
        <f>IF(COUNT(H498:M498)=0,"",IF(LEN(IF(COUNT(I498,J498)=2,IF(J498&gt;I498+1,"EBE &gt; VA ",""),"")&amp;IF(COUNT(H498,M498)=2,IF(ABS(M498)&gt;ABS(H498),"RN &gt; CA ",""),"")&amp;IF(COUNT(H498,K498)=2,IF(ABS(K498)&gt;ABS(H498),"RE &gt; CA ",""),""))=0,"OK",IF(COUNT(I498,J498)=2,IF(J498&gt;I498+1,"EBE &gt; VA ",""),"")&amp;IF(COUNT(H498,M498)=2,IF(ABS(M498)&gt;ABS(H498),"RN &gt; CA ",""),"")&amp;IF(COUNT(H498,K498)=2,IF(ABS(K498)&gt;ABS(H498),"RE &gt; CA ",""),"")))</f>
        <v/>
      </c>
      <c r="P498" s="16">
        <f>IF(OR($A498="",H498="",$C498=""),"",IF(COUNTIFS($A$5:$A$639,$A498,$C$5:$C$639,$C498-1,$D$5:$D$639,$D498,H$5:H$639,"&lt;&gt;")=0,"",IF(OR(SUMIFS(H$5:H$639,$A$5:$A$639,$A498,$C$5:$C$639,$C498-1,$D$5:$D$639,$D498)=0,H498*SUMIFS(H$5:H$639,$A$5:$A$639,$A498,$C$5:$C$639,$C498-1,$D$5:$D$639,$D498)&lt;0),"n.s.",ABS(H498)/ABS(SUMIFS(H$5:H$639,$A$5:$A$639,$A498,$C$5:$C$639,$C498-1,$D$5:$D$639,$D498))-1)))</f>
        <v/>
      </c>
      <c r="Q498" s="16">
        <f>IF(OR($A498="",I498="",$C498=""),"",IF(COUNTIFS($A$5:$A$639,$A498,$C$5:$C$639,$C498-1,$D$5:$D$639,$D498,I$5:I$639,"&lt;&gt;")=0,"",IF(OR(SUMIFS(I$5:I$639,$A$5:$A$639,$A498,$C$5:$C$639,$C498-1,$D$5:$D$639,$D498)=0,I498*SUMIFS(I$5:I$639,$A$5:$A$639,$A498,$C$5:$C$639,$C498-1,$D$5:$D$639,$D498)&lt;0),"n.s.",ABS(I498)/ABS(SUMIFS(I$5:I$639,$A$5:$A$639,$A498,$C$5:$C$639,$C498-1,$D$5:$D$639,$D498))-1)))</f>
        <v/>
      </c>
      <c r="R498" s="16">
        <f>IF(OR($A498="",J498="",$C498=""),"",IF(COUNTIFS($A$5:$A$639,$A498,$C$5:$C$639,$C498-1,$D$5:$D$639,$D498,J$5:J$639,"&lt;&gt;")=0,"",IF(OR(SUMIFS(J$5:J$639,$A$5:$A$639,$A498,$C$5:$C$639,$C498-1,$D$5:$D$639,$D498)=0,J498*SUMIFS(J$5:J$639,$A$5:$A$639,$A498,$C$5:$C$639,$C498-1,$D$5:$D$639,$D498)&lt;0),"n.s.",ABS(J498)/ABS(SUMIFS(J$5:J$639,$A$5:$A$639,$A498,$C$5:$C$639,$C498-1,$D$5:$D$639,$D498))-1)))</f>
        <v/>
      </c>
      <c r="S498" s="16">
        <f>IF(OR($A498="",K498="",$C498=""),"",IF(COUNTIFS($A$5:$A$639,$A498,$C$5:$C$639,$C498-1,$D$5:$D$639,$D498,K$5:K$639,"&lt;&gt;")=0,"",IF(OR(SUMIFS(K$5:K$639,$A$5:$A$639,$A498,$C$5:$C$639,$C498-1,$D$5:$D$639,$D498)=0,K498*SUMIFS(K$5:K$639,$A$5:$A$639,$A498,$C$5:$C$639,$C498-1,$D$5:$D$639,$D498)&lt;0),"n.s.",ABS(K498)/ABS(SUMIFS(K$5:K$639,$A$5:$A$639,$A498,$C$5:$C$639,$C498-1,$D$5:$D$639,$D498))-1)))</f>
        <v/>
      </c>
      <c r="T498" s="16">
        <f>IF(OR($A498="",L498="",$C498=""),"",IF(COUNTIFS($A$5:$A$639,$A498,$C$5:$C$639,$C498-1,$D$5:$D$639,$D498,L$5:L$639,"&lt;&gt;")=0,"",IF(OR(SUMIFS(L$5:L$639,$A$5:$A$639,$A498,$C$5:$C$639,$C498-1,$D$5:$D$639,$D498)=0,L498*SUMIFS(L$5:L$639,$A$5:$A$639,$A498,$C$5:$C$639,$C498-1,$D$5:$D$639,$D498)&lt;0),"n.s.",ABS(L498)/ABS(SUMIFS(L$5:L$639,$A$5:$A$639,$A498,$C$5:$C$639,$C498-1,$D$5:$D$639,$D498))-1)))</f>
        <v/>
      </c>
      <c r="U498" s="16">
        <f>IF(OR($A498="",M498="",$C498=""),"",IF(COUNTIFS($A$5:$A$639,$A498,$C$5:$C$639,$C498-1,$D$5:$D$639,$D498,M$5:M$639,"&lt;&gt;")=0,"",IF(OR(SUMIFS(M$5:M$639,$A$5:$A$639,$A498,$C$5:$C$639,$C498-1,$D$5:$D$639,$D498)=0,M498*SUMIFS(M$5:M$639,$A$5:$A$639,$A498,$C$5:$C$639,$C498-1,$D$5:$D$639,$D498)&lt;0),"n.s.",ABS(M498)/ABS(SUMIFS(M$5:M$639,$A$5:$A$639,$A498,$C$5:$C$639,$C498-1,$D$5:$D$639,$D498))-1)))</f>
        <v/>
      </c>
    </row>
    <row r="499">
      <c r="A499" s="9" t="inlineStr">
        <is>
          <t>ORAC</t>
        </is>
      </c>
      <c r="B499" s="10">
        <f>IF(A499="","",IFERROR(VLOOKUP(A499,Titres!$A$2:$B$400,2,FALSE),"Ticker inconnu"))</f>
        <v/>
      </c>
      <c r="C499" s="11" t="n">
        <v>2023</v>
      </c>
      <c r="D499" s="11" t="inlineStr">
        <is>
          <t>T3</t>
        </is>
      </c>
      <c r="E499" s="9" t="n"/>
      <c r="F499" s="12" t="n"/>
      <c r="G499" s="9" t="n"/>
      <c r="H499" s="13" t="n"/>
      <c r="I499" s="13" t="n"/>
      <c r="J499" s="13" t="n"/>
      <c r="K499" s="13" t="n"/>
      <c r="L499" s="13" t="n"/>
      <c r="M499" s="13" t="n"/>
      <c r="N499" s="14">
        <f>IF(A499="","",COUNT(H499:M499)/6)</f>
        <v/>
      </c>
      <c r="O499" s="15">
        <f>IF(COUNT(H499:M499)=0,"",IF(LEN(IF(COUNT(I499,J499)=2,IF(J499&gt;I499+1,"EBE &gt; VA ",""),"")&amp;IF(COUNT(H499,M499)=2,IF(ABS(M499)&gt;ABS(H499),"RN &gt; CA ",""),"")&amp;IF(COUNT(H499,K499)=2,IF(ABS(K499)&gt;ABS(H499),"RE &gt; CA ",""),""))=0,"OK",IF(COUNT(I499,J499)=2,IF(J499&gt;I499+1,"EBE &gt; VA ",""),"")&amp;IF(COUNT(H499,M499)=2,IF(ABS(M499)&gt;ABS(H499),"RN &gt; CA ",""),"")&amp;IF(COUNT(H499,K499)=2,IF(ABS(K499)&gt;ABS(H499),"RE &gt; CA ",""),"")))</f>
        <v/>
      </c>
      <c r="P499" s="16">
        <f>IF(OR($A499="",H499="",$C499=""),"",IF(COUNTIFS($A$5:$A$639,$A499,$C$5:$C$639,$C499-1,$D$5:$D$639,$D499,H$5:H$639,"&lt;&gt;")=0,"",IF(OR(SUMIFS(H$5:H$639,$A$5:$A$639,$A499,$C$5:$C$639,$C499-1,$D$5:$D$639,$D499)=0,H499*SUMIFS(H$5:H$639,$A$5:$A$639,$A499,$C$5:$C$639,$C499-1,$D$5:$D$639,$D499)&lt;0),"n.s.",ABS(H499)/ABS(SUMIFS(H$5:H$639,$A$5:$A$639,$A499,$C$5:$C$639,$C499-1,$D$5:$D$639,$D499))-1)))</f>
        <v/>
      </c>
      <c r="Q499" s="16">
        <f>IF(OR($A499="",I499="",$C499=""),"",IF(COUNTIFS($A$5:$A$639,$A499,$C$5:$C$639,$C499-1,$D$5:$D$639,$D499,I$5:I$639,"&lt;&gt;")=0,"",IF(OR(SUMIFS(I$5:I$639,$A$5:$A$639,$A499,$C$5:$C$639,$C499-1,$D$5:$D$639,$D499)=0,I499*SUMIFS(I$5:I$639,$A$5:$A$639,$A499,$C$5:$C$639,$C499-1,$D$5:$D$639,$D499)&lt;0),"n.s.",ABS(I499)/ABS(SUMIFS(I$5:I$639,$A$5:$A$639,$A499,$C$5:$C$639,$C499-1,$D$5:$D$639,$D499))-1)))</f>
        <v/>
      </c>
      <c r="R499" s="16">
        <f>IF(OR($A499="",J499="",$C499=""),"",IF(COUNTIFS($A$5:$A$639,$A499,$C$5:$C$639,$C499-1,$D$5:$D$639,$D499,J$5:J$639,"&lt;&gt;")=0,"",IF(OR(SUMIFS(J$5:J$639,$A$5:$A$639,$A499,$C$5:$C$639,$C499-1,$D$5:$D$639,$D499)=0,J499*SUMIFS(J$5:J$639,$A$5:$A$639,$A499,$C$5:$C$639,$C499-1,$D$5:$D$639,$D499)&lt;0),"n.s.",ABS(J499)/ABS(SUMIFS(J$5:J$639,$A$5:$A$639,$A499,$C$5:$C$639,$C499-1,$D$5:$D$639,$D499))-1)))</f>
        <v/>
      </c>
      <c r="S499" s="16">
        <f>IF(OR($A499="",K499="",$C499=""),"",IF(COUNTIFS($A$5:$A$639,$A499,$C$5:$C$639,$C499-1,$D$5:$D$639,$D499,K$5:K$639,"&lt;&gt;")=0,"",IF(OR(SUMIFS(K$5:K$639,$A$5:$A$639,$A499,$C$5:$C$639,$C499-1,$D$5:$D$639,$D499)=0,K499*SUMIFS(K$5:K$639,$A$5:$A$639,$A499,$C$5:$C$639,$C499-1,$D$5:$D$639,$D499)&lt;0),"n.s.",ABS(K499)/ABS(SUMIFS(K$5:K$639,$A$5:$A$639,$A499,$C$5:$C$639,$C499-1,$D$5:$D$639,$D499))-1)))</f>
        <v/>
      </c>
      <c r="T499" s="16">
        <f>IF(OR($A499="",L499="",$C499=""),"",IF(COUNTIFS($A$5:$A$639,$A499,$C$5:$C$639,$C499-1,$D$5:$D$639,$D499,L$5:L$639,"&lt;&gt;")=0,"",IF(OR(SUMIFS(L$5:L$639,$A$5:$A$639,$A499,$C$5:$C$639,$C499-1,$D$5:$D$639,$D499)=0,L499*SUMIFS(L$5:L$639,$A$5:$A$639,$A499,$C$5:$C$639,$C499-1,$D$5:$D$639,$D499)&lt;0),"n.s.",ABS(L499)/ABS(SUMIFS(L$5:L$639,$A$5:$A$639,$A499,$C$5:$C$639,$C499-1,$D$5:$D$639,$D499))-1)))</f>
        <v/>
      </c>
      <c r="U499" s="16">
        <f>IF(OR($A499="",M499="",$C499=""),"",IF(COUNTIFS($A$5:$A$639,$A499,$C$5:$C$639,$C499-1,$D$5:$D$639,$D499,M$5:M$639,"&lt;&gt;")=0,"",IF(OR(SUMIFS(M$5:M$639,$A$5:$A$639,$A499,$C$5:$C$639,$C499-1,$D$5:$D$639,$D499)=0,M499*SUMIFS(M$5:M$639,$A$5:$A$639,$A499,$C$5:$C$639,$C499-1,$D$5:$D$639,$D499)&lt;0),"n.s.",ABS(M499)/ABS(SUMIFS(M$5:M$639,$A$5:$A$639,$A499,$C$5:$C$639,$C499-1,$D$5:$D$639,$D499))-1)))</f>
        <v/>
      </c>
    </row>
    <row r="500">
      <c r="A500" s="9" t="inlineStr">
        <is>
          <t>ORAC</t>
        </is>
      </c>
      <c r="B500" s="10">
        <f>IF(A500="","",IFERROR(VLOOKUP(A500,Titres!$A$2:$B$400,2,FALSE),"Ticker inconnu"))</f>
        <v/>
      </c>
      <c r="C500" s="11" t="n">
        <v>2024</v>
      </c>
      <c r="D500" s="11" t="inlineStr">
        <is>
          <t>T1</t>
        </is>
      </c>
      <c r="E500" s="9" t="n"/>
      <c r="F500" s="12" t="n"/>
      <c r="G500" s="9" t="n"/>
      <c r="H500" s="13" t="n"/>
      <c r="I500" s="13" t="n"/>
      <c r="J500" s="13" t="n"/>
      <c r="K500" s="13" t="n"/>
      <c r="L500" s="13" t="n"/>
      <c r="M500" s="13" t="n"/>
      <c r="N500" s="14">
        <f>IF(A500="","",COUNT(H500:M500)/6)</f>
        <v/>
      </c>
      <c r="O500" s="15">
        <f>IF(COUNT(H500:M500)=0,"",IF(LEN(IF(COUNT(I500,J500)=2,IF(J500&gt;I500+1,"EBE &gt; VA ",""),"")&amp;IF(COUNT(H500,M500)=2,IF(ABS(M500)&gt;ABS(H500),"RN &gt; CA ",""),"")&amp;IF(COUNT(H500,K500)=2,IF(ABS(K500)&gt;ABS(H500),"RE &gt; CA ",""),""))=0,"OK",IF(COUNT(I500,J500)=2,IF(J500&gt;I500+1,"EBE &gt; VA ",""),"")&amp;IF(COUNT(H500,M500)=2,IF(ABS(M500)&gt;ABS(H500),"RN &gt; CA ",""),"")&amp;IF(COUNT(H500,K500)=2,IF(ABS(K500)&gt;ABS(H500),"RE &gt; CA ",""),"")))</f>
        <v/>
      </c>
      <c r="P500" s="16">
        <f>IF(OR($A500="",H500="",$C500=""),"",IF(COUNTIFS($A$5:$A$639,$A500,$C$5:$C$639,$C500-1,$D$5:$D$639,$D500,H$5:H$639,"&lt;&gt;")=0,"",IF(OR(SUMIFS(H$5:H$639,$A$5:$A$639,$A500,$C$5:$C$639,$C500-1,$D$5:$D$639,$D500)=0,H500*SUMIFS(H$5:H$639,$A$5:$A$639,$A500,$C$5:$C$639,$C500-1,$D$5:$D$639,$D500)&lt;0),"n.s.",ABS(H500)/ABS(SUMIFS(H$5:H$639,$A$5:$A$639,$A500,$C$5:$C$639,$C500-1,$D$5:$D$639,$D500))-1)))</f>
        <v/>
      </c>
      <c r="Q500" s="16">
        <f>IF(OR($A500="",I500="",$C500=""),"",IF(COUNTIFS($A$5:$A$639,$A500,$C$5:$C$639,$C500-1,$D$5:$D$639,$D500,I$5:I$639,"&lt;&gt;")=0,"",IF(OR(SUMIFS(I$5:I$639,$A$5:$A$639,$A500,$C$5:$C$639,$C500-1,$D$5:$D$639,$D500)=0,I500*SUMIFS(I$5:I$639,$A$5:$A$639,$A500,$C$5:$C$639,$C500-1,$D$5:$D$639,$D500)&lt;0),"n.s.",ABS(I500)/ABS(SUMIFS(I$5:I$639,$A$5:$A$639,$A500,$C$5:$C$639,$C500-1,$D$5:$D$639,$D500))-1)))</f>
        <v/>
      </c>
      <c r="R500" s="16">
        <f>IF(OR($A500="",J500="",$C500=""),"",IF(COUNTIFS($A$5:$A$639,$A500,$C$5:$C$639,$C500-1,$D$5:$D$639,$D500,J$5:J$639,"&lt;&gt;")=0,"",IF(OR(SUMIFS(J$5:J$639,$A$5:$A$639,$A500,$C$5:$C$639,$C500-1,$D$5:$D$639,$D500)=0,J500*SUMIFS(J$5:J$639,$A$5:$A$639,$A500,$C$5:$C$639,$C500-1,$D$5:$D$639,$D500)&lt;0),"n.s.",ABS(J500)/ABS(SUMIFS(J$5:J$639,$A$5:$A$639,$A500,$C$5:$C$639,$C500-1,$D$5:$D$639,$D500))-1)))</f>
        <v/>
      </c>
      <c r="S500" s="16">
        <f>IF(OR($A500="",K500="",$C500=""),"",IF(COUNTIFS($A$5:$A$639,$A500,$C$5:$C$639,$C500-1,$D$5:$D$639,$D500,K$5:K$639,"&lt;&gt;")=0,"",IF(OR(SUMIFS(K$5:K$639,$A$5:$A$639,$A500,$C$5:$C$639,$C500-1,$D$5:$D$639,$D500)=0,K500*SUMIFS(K$5:K$639,$A$5:$A$639,$A500,$C$5:$C$639,$C500-1,$D$5:$D$639,$D500)&lt;0),"n.s.",ABS(K500)/ABS(SUMIFS(K$5:K$639,$A$5:$A$639,$A500,$C$5:$C$639,$C500-1,$D$5:$D$639,$D500))-1)))</f>
        <v/>
      </c>
      <c r="T500" s="16">
        <f>IF(OR($A500="",L500="",$C500=""),"",IF(COUNTIFS($A$5:$A$639,$A500,$C$5:$C$639,$C500-1,$D$5:$D$639,$D500,L$5:L$639,"&lt;&gt;")=0,"",IF(OR(SUMIFS(L$5:L$639,$A$5:$A$639,$A500,$C$5:$C$639,$C500-1,$D$5:$D$639,$D500)=0,L500*SUMIFS(L$5:L$639,$A$5:$A$639,$A500,$C$5:$C$639,$C500-1,$D$5:$D$639,$D500)&lt;0),"n.s.",ABS(L500)/ABS(SUMIFS(L$5:L$639,$A$5:$A$639,$A500,$C$5:$C$639,$C500-1,$D$5:$D$639,$D500))-1)))</f>
        <v/>
      </c>
      <c r="U500" s="16">
        <f>IF(OR($A500="",M500="",$C500=""),"",IF(COUNTIFS($A$5:$A$639,$A500,$C$5:$C$639,$C500-1,$D$5:$D$639,$D500,M$5:M$639,"&lt;&gt;")=0,"",IF(OR(SUMIFS(M$5:M$639,$A$5:$A$639,$A500,$C$5:$C$639,$C500-1,$D$5:$D$639,$D500)=0,M500*SUMIFS(M$5:M$639,$A$5:$A$639,$A500,$C$5:$C$639,$C500-1,$D$5:$D$639,$D500)&lt;0),"n.s.",ABS(M500)/ABS(SUMIFS(M$5:M$639,$A$5:$A$639,$A500,$C$5:$C$639,$C500-1,$D$5:$D$639,$D500))-1)))</f>
        <v/>
      </c>
    </row>
    <row r="501">
      <c r="A501" s="9" t="inlineStr">
        <is>
          <t>ORAC</t>
        </is>
      </c>
      <c r="B501" s="10">
        <f>IF(A501="","",IFERROR(VLOOKUP(A501,Titres!$A$2:$B$400,2,FALSE),"Ticker inconnu"))</f>
        <v/>
      </c>
      <c r="C501" s="11" t="n">
        <v>2024</v>
      </c>
      <c r="D501" s="11" t="inlineStr">
        <is>
          <t>S1</t>
        </is>
      </c>
      <c r="E501" s="9" t="n"/>
      <c r="F501" s="12" t="n"/>
      <c r="G501" s="9" t="n"/>
      <c r="H501" s="13" t="n"/>
      <c r="I501" s="13" t="n"/>
      <c r="J501" s="13" t="n"/>
      <c r="K501" s="13" t="n"/>
      <c r="L501" s="13" t="n"/>
      <c r="M501" s="13" t="n"/>
      <c r="N501" s="14">
        <f>IF(A501="","",COUNT(H501:M501)/6)</f>
        <v/>
      </c>
      <c r="O501" s="15">
        <f>IF(COUNT(H501:M501)=0,"",IF(LEN(IF(COUNT(I501,J501)=2,IF(J501&gt;I501+1,"EBE &gt; VA ",""),"")&amp;IF(COUNT(H501,M501)=2,IF(ABS(M501)&gt;ABS(H501),"RN &gt; CA ",""),"")&amp;IF(COUNT(H501,K501)=2,IF(ABS(K501)&gt;ABS(H501),"RE &gt; CA ",""),""))=0,"OK",IF(COUNT(I501,J501)=2,IF(J501&gt;I501+1,"EBE &gt; VA ",""),"")&amp;IF(COUNT(H501,M501)=2,IF(ABS(M501)&gt;ABS(H501),"RN &gt; CA ",""),"")&amp;IF(COUNT(H501,K501)=2,IF(ABS(K501)&gt;ABS(H501),"RE &gt; CA ",""),"")))</f>
        <v/>
      </c>
      <c r="P501" s="16">
        <f>IF(OR($A501="",H501="",$C501=""),"",IF(COUNTIFS($A$5:$A$639,$A501,$C$5:$C$639,$C501-1,$D$5:$D$639,$D501,H$5:H$639,"&lt;&gt;")=0,"",IF(OR(SUMIFS(H$5:H$639,$A$5:$A$639,$A501,$C$5:$C$639,$C501-1,$D$5:$D$639,$D501)=0,H501*SUMIFS(H$5:H$639,$A$5:$A$639,$A501,$C$5:$C$639,$C501-1,$D$5:$D$639,$D501)&lt;0),"n.s.",ABS(H501)/ABS(SUMIFS(H$5:H$639,$A$5:$A$639,$A501,$C$5:$C$639,$C501-1,$D$5:$D$639,$D501))-1)))</f>
        <v/>
      </c>
      <c r="Q501" s="16">
        <f>IF(OR($A501="",I501="",$C501=""),"",IF(COUNTIFS($A$5:$A$639,$A501,$C$5:$C$639,$C501-1,$D$5:$D$639,$D501,I$5:I$639,"&lt;&gt;")=0,"",IF(OR(SUMIFS(I$5:I$639,$A$5:$A$639,$A501,$C$5:$C$639,$C501-1,$D$5:$D$639,$D501)=0,I501*SUMIFS(I$5:I$639,$A$5:$A$639,$A501,$C$5:$C$639,$C501-1,$D$5:$D$639,$D501)&lt;0),"n.s.",ABS(I501)/ABS(SUMIFS(I$5:I$639,$A$5:$A$639,$A501,$C$5:$C$639,$C501-1,$D$5:$D$639,$D501))-1)))</f>
        <v/>
      </c>
      <c r="R501" s="16">
        <f>IF(OR($A501="",J501="",$C501=""),"",IF(COUNTIFS($A$5:$A$639,$A501,$C$5:$C$639,$C501-1,$D$5:$D$639,$D501,J$5:J$639,"&lt;&gt;")=0,"",IF(OR(SUMIFS(J$5:J$639,$A$5:$A$639,$A501,$C$5:$C$639,$C501-1,$D$5:$D$639,$D501)=0,J501*SUMIFS(J$5:J$639,$A$5:$A$639,$A501,$C$5:$C$639,$C501-1,$D$5:$D$639,$D501)&lt;0),"n.s.",ABS(J501)/ABS(SUMIFS(J$5:J$639,$A$5:$A$639,$A501,$C$5:$C$639,$C501-1,$D$5:$D$639,$D501))-1)))</f>
        <v/>
      </c>
      <c r="S501" s="16">
        <f>IF(OR($A501="",K501="",$C501=""),"",IF(COUNTIFS($A$5:$A$639,$A501,$C$5:$C$639,$C501-1,$D$5:$D$639,$D501,K$5:K$639,"&lt;&gt;")=0,"",IF(OR(SUMIFS(K$5:K$639,$A$5:$A$639,$A501,$C$5:$C$639,$C501-1,$D$5:$D$639,$D501)=0,K501*SUMIFS(K$5:K$639,$A$5:$A$639,$A501,$C$5:$C$639,$C501-1,$D$5:$D$639,$D501)&lt;0),"n.s.",ABS(K501)/ABS(SUMIFS(K$5:K$639,$A$5:$A$639,$A501,$C$5:$C$639,$C501-1,$D$5:$D$639,$D501))-1)))</f>
        <v/>
      </c>
      <c r="T501" s="16">
        <f>IF(OR($A501="",L501="",$C501=""),"",IF(COUNTIFS($A$5:$A$639,$A501,$C$5:$C$639,$C501-1,$D$5:$D$639,$D501,L$5:L$639,"&lt;&gt;")=0,"",IF(OR(SUMIFS(L$5:L$639,$A$5:$A$639,$A501,$C$5:$C$639,$C501-1,$D$5:$D$639,$D501)=0,L501*SUMIFS(L$5:L$639,$A$5:$A$639,$A501,$C$5:$C$639,$C501-1,$D$5:$D$639,$D501)&lt;0),"n.s.",ABS(L501)/ABS(SUMIFS(L$5:L$639,$A$5:$A$639,$A501,$C$5:$C$639,$C501-1,$D$5:$D$639,$D501))-1)))</f>
        <v/>
      </c>
      <c r="U501" s="16">
        <f>IF(OR($A501="",M501="",$C501=""),"",IF(COUNTIFS($A$5:$A$639,$A501,$C$5:$C$639,$C501-1,$D$5:$D$639,$D501,M$5:M$639,"&lt;&gt;")=0,"",IF(OR(SUMIFS(M$5:M$639,$A$5:$A$639,$A501,$C$5:$C$639,$C501-1,$D$5:$D$639,$D501)=0,M501*SUMIFS(M$5:M$639,$A$5:$A$639,$A501,$C$5:$C$639,$C501-1,$D$5:$D$639,$D501)&lt;0),"n.s.",ABS(M501)/ABS(SUMIFS(M$5:M$639,$A$5:$A$639,$A501,$C$5:$C$639,$C501-1,$D$5:$D$639,$D501))-1)))</f>
        <v/>
      </c>
    </row>
    <row r="502">
      <c r="A502" s="9" t="inlineStr">
        <is>
          <t>ORAC</t>
        </is>
      </c>
      <c r="B502" s="10">
        <f>IF(A502="","",IFERROR(VLOOKUP(A502,Titres!$A$2:$B$400,2,FALSE),"Ticker inconnu"))</f>
        <v/>
      </c>
      <c r="C502" s="11" t="n">
        <v>2024</v>
      </c>
      <c r="D502" s="11" t="inlineStr">
        <is>
          <t>T3</t>
        </is>
      </c>
      <c r="E502" s="9" t="n"/>
      <c r="F502" s="12" t="n"/>
      <c r="G502" s="9" t="n"/>
      <c r="H502" s="13" t="n"/>
      <c r="I502" s="13" t="n"/>
      <c r="J502" s="13" t="n"/>
      <c r="K502" s="13" t="n"/>
      <c r="L502" s="13" t="n"/>
      <c r="M502" s="13" t="n"/>
      <c r="N502" s="14">
        <f>IF(A502="","",COUNT(H502:M502)/6)</f>
        <v/>
      </c>
      <c r="O502" s="15">
        <f>IF(COUNT(H502:M502)=0,"",IF(LEN(IF(COUNT(I502,J502)=2,IF(J502&gt;I502+1,"EBE &gt; VA ",""),"")&amp;IF(COUNT(H502,M502)=2,IF(ABS(M502)&gt;ABS(H502),"RN &gt; CA ",""),"")&amp;IF(COUNT(H502,K502)=2,IF(ABS(K502)&gt;ABS(H502),"RE &gt; CA ",""),""))=0,"OK",IF(COUNT(I502,J502)=2,IF(J502&gt;I502+1,"EBE &gt; VA ",""),"")&amp;IF(COUNT(H502,M502)=2,IF(ABS(M502)&gt;ABS(H502),"RN &gt; CA ",""),"")&amp;IF(COUNT(H502,K502)=2,IF(ABS(K502)&gt;ABS(H502),"RE &gt; CA ",""),"")))</f>
        <v/>
      </c>
      <c r="P502" s="16">
        <f>IF(OR($A502="",H502="",$C502=""),"",IF(COUNTIFS($A$5:$A$639,$A502,$C$5:$C$639,$C502-1,$D$5:$D$639,$D502,H$5:H$639,"&lt;&gt;")=0,"",IF(OR(SUMIFS(H$5:H$639,$A$5:$A$639,$A502,$C$5:$C$639,$C502-1,$D$5:$D$639,$D502)=0,H502*SUMIFS(H$5:H$639,$A$5:$A$639,$A502,$C$5:$C$639,$C502-1,$D$5:$D$639,$D502)&lt;0),"n.s.",ABS(H502)/ABS(SUMIFS(H$5:H$639,$A$5:$A$639,$A502,$C$5:$C$639,$C502-1,$D$5:$D$639,$D502))-1)))</f>
        <v/>
      </c>
      <c r="Q502" s="16">
        <f>IF(OR($A502="",I502="",$C502=""),"",IF(COUNTIFS($A$5:$A$639,$A502,$C$5:$C$639,$C502-1,$D$5:$D$639,$D502,I$5:I$639,"&lt;&gt;")=0,"",IF(OR(SUMIFS(I$5:I$639,$A$5:$A$639,$A502,$C$5:$C$639,$C502-1,$D$5:$D$639,$D502)=0,I502*SUMIFS(I$5:I$639,$A$5:$A$639,$A502,$C$5:$C$639,$C502-1,$D$5:$D$639,$D502)&lt;0),"n.s.",ABS(I502)/ABS(SUMIFS(I$5:I$639,$A$5:$A$639,$A502,$C$5:$C$639,$C502-1,$D$5:$D$639,$D502))-1)))</f>
        <v/>
      </c>
      <c r="R502" s="16">
        <f>IF(OR($A502="",J502="",$C502=""),"",IF(COUNTIFS($A$5:$A$639,$A502,$C$5:$C$639,$C502-1,$D$5:$D$639,$D502,J$5:J$639,"&lt;&gt;")=0,"",IF(OR(SUMIFS(J$5:J$639,$A$5:$A$639,$A502,$C$5:$C$639,$C502-1,$D$5:$D$639,$D502)=0,J502*SUMIFS(J$5:J$639,$A$5:$A$639,$A502,$C$5:$C$639,$C502-1,$D$5:$D$639,$D502)&lt;0),"n.s.",ABS(J502)/ABS(SUMIFS(J$5:J$639,$A$5:$A$639,$A502,$C$5:$C$639,$C502-1,$D$5:$D$639,$D502))-1)))</f>
        <v/>
      </c>
      <c r="S502" s="16">
        <f>IF(OR($A502="",K502="",$C502=""),"",IF(COUNTIFS($A$5:$A$639,$A502,$C$5:$C$639,$C502-1,$D$5:$D$639,$D502,K$5:K$639,"&lt;&gt;")=0,"",IF(OR(SUMIFS(K$5:K$639,$A$5:$A$639,$A502,$C$5:$C$639,$C502-1,$D$5:$D$639,$D502)=0,K502*SUMIFS(K$5:K$639,$A$5:$A$639,$A502,$C$5:$C$639,$C502-1,$D$5:$D$639,$D502)&lt;0),"n.s.",ABS(K502)/ABS(SUMIFS(K$5:K$639,$A$5:$A$639,$A502,$C$5:$C$639,$C502-1,$D$5:$D$639,$D502))-1)))</f>
        <v/>
      </c>
      <c r="T502" s="16">
        <f>IF(OR($A502="",L502="",$C502=""),"",IF(COUNTIFS($A$5:$A$639,$A502,$C$5:$C$639,$C502-1,$D$5:$D$639,$D502,L$5:L$639,"&lt;&gt;")=0,"",IF(OR(SUMIFS(L$5:L$639,$A$5:$A$639,$A502,$C$5:$C$639,$C502-1,$D$5:$D$639,$D502)=0,L502*SUMIFS(L$5:L$639,$A$5:$A$639,$A502,$C$5:$C$639,$C502-1,$D$5:$D$639,$D502)&lt;0),"n.s.",ABS(L502)/ABS(SUMIFS(L$5:L$639,$A$5:$A$639,$A502,$C$5:$C$639,$C502-1,$D$5:$D$639,$D502))-1)))</f>
        <v/>
      </c>
      <c r="U502" s="16">
        <f>IF(OR($A502="",M502="",$C502=""),"",IF(COUNTIFS($A$5:$A$639,$A502,$C$5:$C$639,$C502-1,$D$5:$D$639,$D502,M$5:M$639,"&lt;&gt;")=0,"",IF(OR(SUMIFS(M$5:M$639,$A$5:$A$639,$A502,$C$5:$C$639,$C502-1,$D$5:$D$639,$D502)=0,M502*SUMIFS(M$5:M$639,$A$5:$A$639,$A502,$C$5:$C$639,$C502-1,$D$5:$D$639,$D502)&lt;0),"n.s.",ABS(M502)/ABS(SUMIFS(M$5:M$639,$A$5:$A$639,$A502,$C$5:$C$639,$C502-1,$D$5:$D$639,$D502))-1)))</f>
        <v/>
      </c>
    </row>
    <row r="503">
      <c r="A503" s="9" t="inlineStr">
        <is>
          <t>ORAC</t>
        </is>
      </c>
      <c r="B503" s="10">
        <f>IF(A503="","",IFERROR(VLOOKUP(A503,Titres!$A$2:$B$400,2,FALSE),"Ticker inconnu"))</f>
        <v/>
      </c>
      <c r="C503" s="11" t="n">
        <v>2025</v>
      </c>
      <c r="D503" s="11" t="inlineStr">
        <is>
          <t>T1</t>
        </is>
      </c>
      <c r="E503" s="9" t="n"/>
      <c r="F503" s="12" t="n"/>
      <c r="G503" s="9" t="n"/>
      <c r="H503" s="13" t="n"/>
      <c r="I503" s="13" t="n"/>
      <c r="J503" s="13" t="n"/>
      <c r="K503" s="13" t="n"/>
      <c r="L503" s="13" t="n"/>
      <c r="M503" s="13" t="n"/>
      <c r="N503" s="14">
        <f>IF(A503="","",COUNT(H503:M503)/6)</f>
        <v/>
      </c>
      <c r="O503" s="15">
        <f>IF(COUNT(H503:M503)=0,"",IF(LEN(IF(COUNT(I503,J503)=2,IF(J503&gt;I503+1,"EBE &gt; VA ",""),"")&amp;IF(COUNT(H503,M503)=2,IF(ABS(M503)&gt;ABS(H503),"RN &gt; CA ",""),"")&amp;IF(COUNT(H503,K503)=2,IF(ABS(K503)&gt;ABS(H503),"RE &gt; CA ",""),""))=0,"OK",IF(COUNT(I503,J503)=2,IF(J503&gt;I503+1,"EBE &gt; VA ",""),"")&amp;IF(COUNT(H503,M503)=2,IF(ABS(M503)&gt;ABS(H503),"RN &gt; CA ",""),"")&amp;IF(COUNT(H503,K503)=2,IF(ABS(K503)&gt;ABS(H503),"RE &gt; CA ",""),"")))</f>
        <v/>
      </c>
      <c r="P503" s="16">
        <f>IF(OR($A503="",H503="",$C503=""),"",IF(COUNTIFS($A$5:$A$639,$A503,$C$5:$C$639,$C503-1,$D$5:$D$639,$D503,H$5:H$639,"&lt;&gt;")=0,"",IF(OR(SUMIFS(H$5:H$639,$A$5:$A$639,$A503,$C$5:$C$639,$C503-1,$D$5:$D$639,$D503)=0,H503*SUMIFS(H$5:H$639,$A$5:$A$639,$A503,$C$5:$C$639,$C503-1,$D$5:$D$639,$D503)&lt;0),"n.s.",ABS(H503)/ABS(SUMIFS(H$5:H$639,$A$5:$A$639,$A503,$C$5:$C$639,$C503-1,$D$5:$D$639,$D503))-1)))</f>
        <v/>
      </c>
      <c r="Q503" s="16">
        <f>IF(OR($A503="",I503="",$C503=""),"",IF(COUNTIFS($A$5:$A$639,$A503,$C$5:$C$639,$C503-1,$D$5:$D$639,$D503,I$5:I$639,"&lt;&gt;")=0,"",IF(OR(SUMIFS(I$5:I$639,$A$5:$A$639,$A503,$C$5:$C$639,$C503-1,$D$5:$D$639,$D503)=0,I503*SUMIFS(I$5:I$639,$A$5:$A$639,$A503,$C$5:$C$639,$C503-1,$D$5:$D$639,$D503)&lt;0),"n.s.",ABS(I503)/ABS(SUMIFS(I$5:I$639,$A$5:$A$639,$A503,$C$5:$C$639,$C503-1,$D$5:$D$639,$D503))-1)))</f>
        <v/>
      </c>
      <c r="R503" s="16">
        <f>IF(OR($A503="",J503="",$C503=""),"",IF(COUNTIFS($A$5:$A$639,$A503,$C$5:$C$639,$C503-1,$D$5:$D$639,$D503,J$5:J$639,"&lt;&gt;")=0,"",IF(OR(SUMIFS(J$5:J$639,$A$5:$A$639,$A503,$C$5:$C$639,$C503-1,$D$5:$D$639,$D503)=0,J503*SUMIFS(J$5:J$639,$A$5:$A$639,$A503,$C$5:$C$639,$C503-1,$D$5:$D$639,$D503)&lt;0),"n.s.",ABS(J503)/ABS(SUMIFS(J$5:J$639,$A$5:$A$639,$A503,$C$5:$C$639,$C503-1,$D$5:$D$639,$D503))-1)))</f>
        <v/>
      </c>
      <c r="S503" s="16">
        <f>IF(OR($A503="",K503="",$C503=""),"",IF(COUNTIFS($A$5:$A$639,$A503,$C$5:$C$639,$C503-1,$D$5:$D$639,$D503,K$5:K$639,"&lt;&gt;")=0,"",IF(OR(SUMIFS(K$5:K$639,$A$5:$A$639,$A503,$C$5:$C$639,$C503-1,$D$5:$D$639,$D503)=0,K503*SUMIFS(K$5:K$639,$A$5:$A$639,$A503,$C$5:$C$639,$C503-1,$D$5:$D$639,$D503)&lt;0),"n.s.",ABS(K503)/ABS(SUMIFS(K$5:K$639,$A$5:$A$639,$A503,$C$5:$C$639,$C503-1,$D$5:$D$639,$D503))-1)))</f>
        <v/>
      </c>
      <c r="T503" s="16">
        <f>IF(OR($A503="",L503="",$C503=""),"",IF(COUNTIFS($A$5:$A$639,$A503,$C$5:$C$639,$C503-1,$D$5:$D$639,$D503,L$5:L$639,"&lt;&gt;")=0,"",IF(OR(SUMIFS(L$5:L$639,$A$5:$A$639,$A503,$C$5:$C$639,$C503-1,$D$5:$D$639,$D503)=0,L503*SUMIFS(L$5:L$639,$A$5:$A$639,$A503,$C$5:$C$639,$C503-1,$D$5:$D$639,$D503)&lt;0),"n.s.",ABS(L503)/ABS(SUMIFS(L$5:L$639,$A$5:$A$639,$A503,$C$5:$C$639,$C503-1,$D$5:$D$639,$D503))-1)))</f>
        <v/>
      </c>
      <c r="U503" s="16">
        <f>IF(OR($A503="",M503="",$C503=""),"",IF(COUNTIFS($A$5:$A$639,$A503,$C$5:$C$639,$C503-1,$D$5:$D$639,$D503,M$5:M$639,"&lt;&gt;")=0,"",IF(OR(SUMIFS(M$5:M$639,$A$5:$A$639,$A503,$C$5:$C$639,$C503-1,$D$5:$D$639,$D503)=0,M503*SUMIFS(M$5:M$639,$A$5:$A$639,$A503,$C$5:$C$639,$C503-1,$D$5:$D$639,$D503)&lt;0),"n.s.",ABS(M503)/ABS(SUMIFS(M$5:M$639,$A$5:$A$639,$A503,$C$5:$C$639,$C503-1,$D$5:$D$639,$D503))-1)))</f>
        <v/>
      </c>
    </row>
    <row r="504">
      <c r="A504" s="9" t="inlineStr">
        <is>
          <t>ORAC</t>
        </is>
      </c>
      <c r="B504" s="10">
        <f>IF(A504="","",IFERROR(VLOOKUP(A504,Titres!$A$2:$B$400,2,FALSE),"Ticker inconnu"))</f>
        <v/>
      </c>
      <c r="C504" s="11" t="n">
        <v>2025</v>
      </c>
      <c r="D504" s="11" t="inlineStr">
        <is>
          <t>S1</t>
        </is>
      </c>
      <c r="E504" s="9" t="inlineStr">
        <is>
          <t>Publié</t>
        </is>
      </c>
      <c r="F504" s="12" t="n">
        <v>46303</v>
      </c>
      <c r="G504" s="9" t="inlineStr">
        <is>
          <t>https://www.richbourse.com/common/actualite/afficher-fichier/08-10-2026-orange-ci-rapport-d-activites-1er-semestre-2026 (comparatif N-1)</t>
        </is>
      </c>
      <c r="H504" s="13" t="n">
        <v>579300</v>
      </c>
      <c r="I504" s="13" t="n"/>
      <c r="J504" s="13" t="n">
        <v>200800</v>
      </c>
      <c r="K504" s="13" t="n">
        <v>131800</v>
      </c>
      <c r="L504" s="13" t="n">
        <v>118200</v>
      </c>
      <c r="M504" s="13" t="n">
        <v>76300</v>
      </c>
      <c r="N504" s="14">
        <f>IF(A504="","",COUNT(H504:M504)/6)</f>
        <v/>
      </c>
      <c r="O504" s="15">
        <f>IF(COUNT(H504:M504)=0,"",IF(LEN(IF(COUNT(I504,J504)=2,IF(J504&gt;I504+1,"EBE &gt; VA ",""),"")&amp;IF(COUNT(H504,M504)=2,IF(ABS(M504)&gt;ABS(H504),"RN &gt; CA ",""),"")&amp;IF(COUNT(H504,K504)=2,IF(ABS(K504)&gt;ABS(H504),"RE &gt; CA ",""),""))=0,"OK",IF(COUNT(I504,J504)=2,IF(J504&gt;I504+1,"EBE &gt; VA ",""),"")&amp;IF(COUNT(H504,M504)=2,IF(ABS(M504)&gt;ABS(H504),"RN &gt; CA ",""),"")&amp;IF(COUNT(H504,K504)=2,IF(ABS(K504)&gt;ABS(H504),"RE &gt; CA ",""),"")))</f>
        <v/>
      </c>
      <c r="P504" s="16">
        <f>IF(OR($A504="",H504="",$C504=""),"",IF(COUNTIFS($A$5:$A$639,$A504,$C$5:$C$639,$C504-1,$D$5:$D$639,$D504,H$5:H$639,"&lt;&gt;")=0,"",IF(OR(SUMIFS(H$5:H$639,$A$5:$A$639,$A504,$C$5:$C$639,$C504-1,$D$5:$D$639,$D504)=0,H504*SUMIFS(H$5:H$639,$A$5:$A$639,$A504,$C$5:$C$639,$C504-1,$D$5:$D$639,$D504)&lt;0),"n.s.",ABS(H504)/ABS(SUMIFS(H$5:H$639,$A$5:$A$639,$A504,$C$5:$C$639,$C504-1,$D$5:$D$639,$D504))-1)))</f>
        <v/>
      </c>
      <c r="Q504" s="16">
        <f>IF(OR($A504="",I504="",$C504=""),"",IF(COUNTIFS($A$5:$A$639,$A504,$C$5:$C$639,$C504-1,$D$5:$D$639,$D504,I$5:I$639,"&lt;&gt;")=0,"",IF(OR(SUMIFS(I$5:I$639,$A$5:$A$639,$A504,$C$5:$C$639,$C504-1,$D$5:$D$639,$D504)=0,I504*SUMIFS(I$5:I$639,$A$5:$A$639,$A504,$C$5:$C$639,$C504-1,$D$5:$D$639,$D504)&lt;0),"n.s.",ABS(I504)/ABS(SUMIFS(I$5:I$639,$A$5:$A$639,$A504,$C$5:$C$639,$C504-1,$D$5:$D$639,$D504))-1)))</f>
        <v/>
      </c>
      <c r="R504" s="16">
        <f>IF(OR($A504="",J504="",$C504=""),"",IF(COUNTIFS($A$5:$A$639,$A504,$C$5:$C$639,$C504-1,$D$5:$D$639,$D504,J$5:J$639,"&lt;&gt;")=0,"",IF(OR(SUMIFS(J$5:J$639,$A$5:$A$639,$A504,$C$5:$C$639,$C504-1,$D$5:$D$639,$D504)=0,J504*SUMIFS(J$5:J$639,$A$5:$A$639,$A504,$C$5:$C$639,$C504-1,$D$5:$D$639,$D504)&lt;0),"n.s.",ABS(J504)/ABS(SUMIFS(J$5:J$639,$A$5:$A$639,$A504,$C$5:$C$639,$C504-1,$D$5:$D$639,$D504))-1)))</f>
        <v/>
      </c>
      <c r="S504" s="16">
        <f>IF(OR($A504="",K504="",$C504=""),"",IF(COUNTIFS($A$5:$A$639,$A504,$C$5:$C$639,$C504-1,$D$5:$D$639,$D504,K$5:K$639,"&lt;&gt;")=0,"",IF(OR(SUMIFS(K$5:K$639,$A$5:$A$639,$A504,$C$5:$C$639,$C504-1,$D$5:$D$639,$D504)=0,K504*SUMIFS(K$5:K$639,$A$5:$A$639,$A504,$C$5:$C$639,$C504-1,$D$5:$D$639,$D504)&lt;0),"n.s.",ABS(K504)/ABS(SUMIFS(K$5:K$639,$A$5:$A$639,$A504,$C$5:$C$639,$C504-1,$D$5:$D$639,$D504))-1)))</f>
        <v/>
      </c>
      <c r="T504" s="16">
        <f>IF(OR($A504="",L504="",$C504=""),"",IF(COUNTIFS($A$5:$A$639,$A504,$C$5:$C$639,$C504-1,$D$5:$D$639,$D504,L$5:L$639,"&lt;&gt;")=0,"",IF(OR(SUMIFS(L$5:L$639,$A$5:$A$639,$A504,$C$5:$C$639,$C504-1,$D$5:$D$639,$D504)=0,L504*SUMIFS(L$5:L$639,$A$5:$A$639,$A504,$C$5:$C$639,$C504-1,$D$5:$D$639,$D504)&lt;0),"n.s.",ABS(L504)/ABS(SUMIFS(L$5:L$639,$A$5:$A$639,$A504,$C$5:$C$639,$C504-1,$D$5:$D$639,$D504))-1)))</f>
        <v/>
      </c>
      <c r="U504" s="16">
        <f>IF(OR($A504="",M504="",$C504=""),"",IF(COUNTIFS($A$5:$A$639,$A504,$C$5:$C$639,$C504-1,$D$5:$D$639,$D504,M$5:M$639,"&lt;&gt;")=0,"",IF(OR(SUMIFS(M$5:M$639,$A$5:$A$639,$A504,$C$5:$C$639,$C504-1,$D$5:$D$639,$D504)=0,M504*SUMIFS(M$5:M$639,$A$5:$A$639,$A504,$C$5:$C$639,$C504-1,$D$5:$D$639,$D504)&lt;0),"n.s.",ABS(M504)/ABS(SUMIFS(M$5:M$639,$A$5:$A$639,$A504,$C$5:$C$639,$C504-1,$D$5:$D$639,$D504))-1)))</f>
        <v/>
      </c>
    </row>
    <row r="505">
      <c r="A505" s="9" t="inlineStr">
        <is>
          <t>ORAC</t>
        </is>
      </c>
      <c r="B505" s="10">
        <f>IF(A505="","",IFERROR(VLOOKUP(A505,Titres!$A$2:$B$400,2,FALSE),"Ticker inconnu"))</f>
        <v/>
      </c>
      <c r="C505" s="11" t="n">
        <v>2025</v>
      </c>
      <c r="D505" s="11" t="inlineStr">
        <is>
          <t>T3</t>
        </is>
      </c>
      <c r="E505" s="9" t="n"/>
      <c r="F505" s="12" t="n"/>
      <c r="G505" s="9" t="n"/>
      <c r="H505" s="13" t="n"/>
      <c r="I505" s="13" t="n"/>
      <c r="J505" s="13" t="n"/>
      <c r="K505" s="13" t="n"/>
      <c r="L505" s="13" t="n"/>
      <c r="M505" s="13" t="n"/>
      <c r="N505" s="14">
        <f>IF(A505="","",COUNT(H505:M505)/6)</f>
        <v/>
      </c>
      <c r="O505" s="15">
        <f>IF(COUNT(H505:M505)=0,"",IF(LEN(IF(COUNT(I505,J505)=2,IF(J505&gt;I505+1,"EBE &gt; VA ",""),"")&amp;IF(COUNT(H505,M505)=2,IF(ABS(M505)&gt;ABS(H505),"RN &gt; CA ",""),"")&amp;IF(COUNT(H505,K505)=2,IF(ABS(K505)&gt;ABS(H505),"RE &gt; CA ",""),""))=0,"OK",IF(COUNT(I505,J505)=2,IF(J505&gt;I505+1,"EBE &gt; VA ",""),"")&amp;IF(COUNT(H505,M505)=2,IF(ABS(M505)&gt;ABS(H505),"RN &gt; CA ",""),"")&amp;IF(COUNT(H505,K505)=2,IF(ABS(K505)&gt;ABS(H505),"RE &gt; CA ",""),"")))</f>
        <v/>
      </c>
      <c r="P505" s="16">
        <f>IF(OR($A505="",H505="",$C505=""),"",IF(COUNTIFS($A$5:$A$639,$A505,$C$5:$C$639,$C505-1,$D$5:$D$639,$D505,H$5:H$639,"&lt;&gt;")=0,"",IF(OR(SUMIFS(H$5:H$639,$A$5:$A$639,$A505,$C$5:$C$639,$C505-1,$D$5:$D$639,$D505)=0,H505*SUMIFS(H$5:H$639,$A$5:$A$639,$A505,$C$5:$C$639,$C505-1,$D$5:$D$639,$D505)&lt;0),"n.s.",ABS(H505)/ABS(SUMIFS(H$5:H$639,$A$5:$A$639,$A505,$C$5:$C$639,$C505-1,$D$5:$D$639,$D505))-1)))</f>
        <v/>
      </c>
      <c r="Q505" s="16">
        <f>IF(OR($A505="",I505="",$C505=""),"",IF(COUNTIFS($A$5:$A$639,$A505,$C$5:$C$639,$C505-1,$D$5:$D$639,$D505,I$5:I$639,"&lt;&gt;")=0,"",IF(OR(SUMIFS(I$5:I$639,$A$5:$A$639,$A505,$C$5:$C$639,$C505-1,$D$5:$D$639,$D505)=0,I505*SUMIFS(I$5:I$639,$A$5:$A$639,$A505,$C$5:$C$639,$C505-1,$D$5:$D$639,$D505)&lt;0),"n.s.",ABS(I505)/ABS(SUMIFS(I$5:I$639,$A$5:$A$639,$A505,$C$5:$C$639,$C505-1,$D$5:$D$639,$D505))-1)))</f>
        <v/>
      </c>
      <c r="R505" s="16">
        <f>IF(OR($A505="",J505="",$C505=""),"",IF(COUNTIFS($A$5:$A$639,$A505,$C$5:$C$639,$C505-1,$D$5:$D$639,$D505,J$5:J$639,"&lt;&gt;")=0,"",IF(OR(SUMIFS(J$5:J$639,$A$5:$A$639,$A505,$C$5:$C$639,$C505-1,$D$5:$D$639,$D505)=0,J505*SUMIFS(J$5:J$639,$A$5:$A$639,$A505,$C$5:$C$639,$C505-1,$D$5:$D$639,$D505)&lt;0),"n.s.",ABS(J505)/ABS(SUMIFS(J$5:J$639,$A$5:$A$639,$A505,$C$5:$C$639,$C505-1,$D$5:$D$639,$D505))-1)))</f>
        <v/>
      </c>
      <c r="S505" s="16">
        <f>IF(OR($A505="",K505="",$C505=""),"",IF(COUNTIFS($A$5:$A$639,$A505,$C$5:$C$639,$C505-1,$D$5:$D$639,$D505,K$5:K$639,"&lt;&gt;")=0,"",IF(OR(SUMIFS(K$5:K$639,$A$5:$A$639,$A505,$C$5:$C$639,$C505-1,$D$5:$D$639,$D505)=0,K505*SUMIFS(K$5:K$639,$A$5:$A$639,$A505,$C$5:$C$639,$C505-1,$D$5:$D$639,$D505)&lt;0),"n.s.",ABS(K505)/ABS(SUMIFS(K$5:K$639,$A$5:$A$639,$A505,$C$5:$C$639,$C505-1,$D$5:$D$639,$D505))-1)))</f>
        <v/>
      </c>
      <c r="T505" s="16">
        <f>IF(OR($A505="",L505="",$C505=""),"",IF(COUNTIFS($A$5:$A$639,$A505,$C$5:$C$639,$C505-1,$D$5:$D$639,$D505,L$5:L$639,"&lt;&gt;")=0,"",IF(OR(SUMIFS(L$5:L$639,$A$5:$A$639,$A505,$C$5:$C$639,$C505-1,$D$5:$D$639,$D505)=0,L505*SUMIFS(L$5:L$639,$A$5:$A$639,$A505,$C$5:$C$639,$C505-1,$D$5:$D$639,$D505)&lt;0),"n.s.",ABS(L505)/ABS(SUMIFS(L$5:L$639,$A$5:$A$639,$A505,$C$5:$C$639,$C505-1,$D$5:$D$639,$D505))-1)))</f>
        <v/>
      </c>
      <c r="U505" s="16">
        <f>IF(OR($A505="",M505="",$C505=""),"",IF(COUNTIFS($A$5:$A$639,$A505,$C$5:$C$639,$C505-1,$D$5:$D$639,$D505,M$5:M$639,"&lt;&gt;")=0,"",IF(OR(SUMIFS(M$5:M$639,$A$5:$A$639,$A505,$C$5:$C$639,$C505-1,$D$5:$D$639,$D505)=0,M505*SUMIFS(M$5:M$639,$A$5:$A$639,$A505,$C$5:$C$639,$C505-1,$D$5:$D$639,$D505)&lt;0),"n.s.",ABS(M505)/ABS(SUMIFS(M$5:M$639,$A$5:$A$639,$A505,$C$5:$C$639,$C505-1,$D$5:$D$639,$D505))-1)))</f>
        <v/>
      </c>
    </row>
    <row r="506">
      <c r="A506" s="9" t="inlineStr">
        <is>
          <t>ORAC</t>
        </is>
      </c>
      <c r="B506" s="10">
        <f>IF(A506="","",IFERROR(VLOOKUP(A506,Titres!$A$2:$B$400,2,FALSE),"Ticker inconnu"))</f>
        <v/>
      </c>
      <c r="C506" s="11" t="n">
        <v>2026</v>
      </c>
      <c r="D506" s="11" t="inlineStr">
        <is>
          <t>T1</t>
        </is>
      </c>
      <c r="E506" s="9" t="n"/>
      <c r="F506" s="12" t="n"/>
      <c r="G506" s="9" t="n"/>
      <c r="H506" s="13" t="n"/>
      <c r="I506" s="13" t="n"/>
      <c r="J506" s="13" t="n"/>
      <c r="K506" s="13" t="n"/>
      <c r="L506" s="13" t="n"/>
      <c r="M506" s="13" t="n"/>
      <c r="N506" s="14">
        <f>IF(A506="","",COUNT(H506:M506)/6)</f>
        <v/>
      </c>
      <c r="O506" s="15">
        <f>IF(COUNT(H506:M506)=0,"",IF(LEN(IF(COUNT(I506,J506)=2,IF(J506&gt;I506+1,"EBE &gt; VA ",""),"")&amp;IF(COUNT(H506,M506)=2,IF(ABS(M506)&gt;ABS(H506),"RN &gt; CA ",""),"")&amp;IF(COUNT(H506,K506)=2,IF(ABS(K506)&gt;ABS(H506),"RE &gt; CA ",""),""))=0,"OK",IF(COUNT(I506,J506)=2,IF(J506&gt;I506+1,"EBE &gt; VA ",""),"")&amp;IF(COUNT(H506,M506)=2,IF(ABS(M506)&gt;ABS(H506),"RN &gt; CA ",""),"")&amp;IF(COUNT(H506,K506)=2,IF(ABS(K506)&gt;ABS(H506),"RE &gt; CA ",""),"")))</f>
        <v/>
      </c>
      <c r="P506" s="16">
        <f>IF(OR($A506="",H506="",$C506=""),"",IF(COUNTIFS($A$5:$A$639,$A506,$C$5:$C$639,$C506-1,$D$5:$D$639,$D506,H$5:H$639,"&lt;&gt;")=0,"",IF(OR(SUMIFS(H$5:H$639,$A$5:$A$639,$A506,$C$5:$C$639,$C506-1,$D$5:$D$639,$D506)=0,H506*SUMIFS(H$5:H$639,$A$5:$A$639,$A506,$C$5:$C$639,$C506-1,$D$5:$D$639,$D506)&lt;0),"n.s.",ABS(H506)/ABS(SUMIFS(H$5:H$639,$A$5:$A$639,$A506,$C$5:$C$639,$C506-1,$D$5:$D$639,$D506))-1)))</f>
        <v/>
      </c>
      <c r="Q506" s="16">
        <f>IF(OR($A506="",I506="",$C506=""),"",IF(COUNTIFS($A$5:$A$639,$A506,$C$5:$C$639,$C506-1,$D$5:$D$639,$D506,I$5:I$639,"&lt;&gt;")=0,"",IF(OR(SUMIFS(I$5:I$639,$A$5:$A$639,$A506,$C$5:$C$639,$C506-1,$D$5:$D$639,$D506)=0,I506*SUMIFS(I$5:I$639,$A$5:$A$639,$A506,$C$5:$C$639,$C506-1,$D$5:$D$639,$D506)&lt;0),"n.s.",ABS(I506)/ABS(SUMIFS(I$5:I$639,$A$5:$A$639,$A506,$C$5:$C$639,$C506-1,$D$5:$D$639,$D506))-1)))</f>
        <v/>
      </c>
      <c r="R506" s="16">
        <f>IF(OR($A506="",J506="",$C506=""),"",IF(COUNTIFS($A$5:$A$639,$A506,$C$5:$C$639,$C506-1,$D$5:$D$639,$D506,J$5:J$639,"&lt;&gt;")=0,"",IF(OR(SUMIFS(J$5:J$639,$A$5:$A$639,$A506,$C$5:$C$639,$C506-1,$D$5:$D$639,$D506)=0,J506*SUMIFS(J$5:J$639,$A$5:$A$639,$A506,$C$5:$C$639,$C506-1,$D$5:$D$639,$D506)&lt;0),"n.s.",ABS(J506)/ABS(SUMIFS(J$5:J$639,$A$5:$A$639,$A506,$C$5:$C$639,$C506-1,$D$5:$D$639,$D506))-1)))</f>
        <v/>
      </c>
      <c r="S506" s="16">
        <f>IF(OR($A506="",K506="",$C506=""),"",IF(COUNTIFS($A$5:$A$639,$A506,$C$5:$C$639,$C506-1,$D$5:$D$639,$D506,K$5:K$639,"&lt;&gt;")=0,"",IF(OR(SUMIFS(K$5:K$639,$A$5:$A$639,$A506,$C$5:$C$639,$C506-1,$D$5:$D$639,$D506)=0,K506*SUMIFS(K$5:K$639,$A$5:$A$639,$A506,$C$5:$C$639,$C506-1,$D$5:$D$639,$D506)&lt;0),"n.s.",ABS(K506)/ABS(SUMIFS(K$5:K$639,$A$5:$A$639,$A506,$C$5:$C$639,$C506-1,$D$5:$D$639,$D506))-1)))</f>
        <v/>
      </c>
      <c r="T506" s="16">
        <f>IF(OR($A506="",L506="",$C506=""),"",IF(COUNTIFS($A$5:$A$639,$A506,$C$5:$C$639,$C506-1,$D$5:$D$639,$D506,L$5:L$639,"&lt;&gt;")=0,"",IF(OR(SUMIFS(L$5:L$639,$A$5:$A$639,$A506,$C$5:$C$639,$C506-1,$D$5:$D$639,$D506)=0,L506*SUMIFS(L$5:L$639,$A$5:$A$639,$A506,$C$5:$C$639,$C506-1,$D$5:$D$639,$D506)&lt;0),"n.s.",ABS(L506)/ABS(SUMIFS(L$5:L$639,$A$5:$A$639,$A506,$C$5:$C$639,$C506-1,$D$5:$D$639,$D506))-1)))</f>
        <v/>
      </c>
      <c r="U506" s="16">
        <f>IF(OR($A506="",M506="",$C506=""),"",IF(COUNTIFS($A$5:$A$639,$A506,$C$5:$C$639,$C506-1,$D$5:$D$639,$D506,M$5:M$639,"&lt;&gt;")=0,"",IF(OR(SUMIFS(M$5:M$639,$A$5:$A$639,$A506,$C$5:$C$639,$C506-1,$D$5:$D$639,$D506)=0,M506*SUMIFS(M$5:M$639,$A$5:$A$639,$A506,$C$5:$C$639,$C506-1,$D$5:$D$639,$D506)&lt;0),"n.s.",ABS(M506)/ABS(SUMIFS(M$5:M$639,$A$5:$A$639,$A506,$C$5:$C$639,$C506-1,$D$5:$D$639,$D506))-1)))</f>
        <v/>
      </c>
    </row>
    <row r="507">
      <c r="A507" s="9" t="inlineStr">
        <is>
          <t>ORAC</t>
        </is>
      </c>
      <c r="B507" s="10">
        <f>IF(A507="","",IFERROR(VLOOKUP(A507,Titres!$A$2:$B$400,2,FALSE),"Ticker inconnu"))</f>
        <v/>
      </c>
      <c r="C507" s="11" t="n">
        <v>2026</v>
      </c>
      <c r="D507" s="11" t="inlineStr">
        <is>
          <t>S1</t>
        </is>
      </c>
      <c r="E507" s="9" t="inlineStr">
        <is>
          <t>Publié</t>
        </is>
      </c>
      <c r="F507" s="12" t="n">
        <v>46303</v>
      </c>
      <c r="G507" s="9" t="inlineStr">
        <is>
          <t>https://www.richbourse.com/common/actualite/afficher-fichier/08-10-2026-orange-ci-rapport-d-activites-1er-semestre-2026</t>
        </is>
      </c>
      <c r="H507" s="13" t="n">
        <v>672800</v>
      </c>
      <c r="I507" s="13" t="n"/>
      <c r="J507" s="13" t="n">
        <v>239300</v>
      </c>
      <c r="K507" s="13" t="n">
        <v>159600</v>
      </c>
      <c r="L507" s="13" t="n">
        <v>146800</v>
      </c>
      <c r="M507" s="13" t="n">
        <v>90300</v>
      </c>
      <c r="N507" s="14">
        <f>IF(A507="","",COUNT(H507:M507)/6)</f>
        <v/>
      </c>
      <c r="O507" s="15">
        <f>IF(COUNT(H507:M507)=0,"",IF(LEN(IF(COUNT(I507,J507)=2,IF(J507&gt;I507+1,"EBE &gt; VA ",""),"")&amp;IF(COUNT(H507,M507)=2,IF(ABS(M507)&gt;ABS(H507),"RN &gt; CA ",""),"")&amp;IF(COUNT(H507,K507)=2,IF(ABS(K507)&gt;ABS(H507),"RE &gt; CA ",""),""))=0,"OK",IF(COUNT(I507,J507)=2,IF(J507&gt;I507+1,"EBE &gt; VA ",""),"")&amp;IF(COUNT(H507,M507)=2,IF(ABS(M507)&gt;ABS(H507),"RN &gt; CA ",""),"")&amp;IF(COUNT(H507,K507)=2,IF(ABS(K507)&gt;ABS(H507),"RE &gt; CA ",""),"")))</f>
        <v/>
      </c>
      <c r="P507" s="16">
        <f>IF(OR($A507="",H507="",$C507=""),"",IF(COUNTIFS($A$5:$A$639,$A507,$C$5:$C$639,$C507-1,$D$5:$D$639,$D507,H$5:H$639,"&lt;&gt;")=0,"",IF(OR(SUMIFS(H$5:H$639,$A$5:$A$639,$A507,$C$5:$C$639,$C507-1,$D$5:$D$639,$D507)=0,H507*SUMIFS(H$5:H$639,$A$5:$A$639,$A507,$C$5:$C$639,$C507-1,$D$5:$D$639,$D507)&lt;0),"n.s.",ABS(H507)/ABS(SUMIFS(H$5:H$639,$A$5:$A$639,$A507,$C$5:$C$639,$C507-1,$D$5:$D$639,$D507))-1)))</f>
        <v/>
      </c>
      <c r="Q507" s="16">
        <f>IF(OR($A507="",I507="",$C507=""),"",IF(COUNTIFS($A$5:$A$639,$A507,$C$5:$C$639,$C507-1,$D$5:$D$639,$D507,I$5:I$639,"&lt;&gt;")=0,"",IF(OR(SUMIFS(I$5:I$639,$A$5:$A$639,$A507,$C$5:$C$639,$C507-1,$D$5:$D$639,$D507)=0,I507*SUMIFS(I$5:I$639,$A$5:$A$639,$A507,$C$5:$C$639,$C507-1,$D$5:$D$639,$D507)&lt;0),"n.s.",ABS(I507)/ABS(SUMIFS(I$5:I$639,$A$5:$A$639,$A507,$C$5:$C$639,$C507-1,$D$5:$D$639,$D507))-1)))</f>
        <v/>
      </c>
      <c r="R507" s="16">
        <f>IF(OR($A507="",J507="",$C507=""),"",IF(COUNTIFS($A$5:$A$639,$A507,$C$5:$C$639,$C507-1,$D$5:$D$639,$D507,J$5:J$639,"&lt;&gt;")=0,"",IF(OR(SUMIFS(J$5:J$639,$A$5:$A$639,$A507,$C$5:$C$639,$C507-1,$D$5:$D$639,$D507)=0,J507*SUMIFS(J$5:J$639,$A$5:$A$639,$A507,$C$5:$C$639,$C507-1,$D$5:$D$639,$D507)&lt;0),"n.s.",ABS(J507)/ABS(SUMIFS(J$5:J$639,$A$5:$A$639,$A507,$C$5:$C$639,$C507-1,$D$5:$D$639,$D507))-1)))</f>
        <v/>
      </c>
      <c r="S507" s="16">
        <f>IF(OR($A507="",K507="",$C507=""),"",IF(COUNTIFS($A$5:$A$639,$A507,$C$5:$C$639,$C507-1,$D$5:$D$639,$D507,K$5:K$639,"&lt;&gt;")=0,"",IF(OR(SUMIFS(K$5:K$639,$A$5:$A$639,$A507,$C$5:$C$639,$C507-1,$D$5:$D$639,$D507)=0,K507*SUMIFS(K$5:K$639,$A$5:$A$639,$A507,$C$5:$C$639,$C507-1,$D$5:$D$639,$D507)&lt;0),"n.s.",ABS(K507)/ABS(SUMIFS(K$5:K$639,$A$5:$A$639,$A507,$C$5:$C$639,$C507-1,$D$5:$D$639,$D507))-1)))</f>
        <v/>
      </c>
      <c r="T507" s="16">
        <f>IF(OR($A507="",L507="",$C507=""),"",IF(COUNTIFS($A$5:$A$639,$A507,$C$5:$C$639,$C507-1,$D$5:$D$639,$D507,L$5:L$639,"&lt;&gt;")=0,"",IF(OR(SUMIFS(L$5:L$639,$A$5:$A$639,$A507,$C$5:$C$639,$C507-1,$D$5:$D$639,$D507)=0,L507*SUMIFS(L$5:L$639,$A$5:$A$639,$A507,$C$5:$C$639,$C507-1,$D$5:$D$639,$D507)&lt;0),"n.s.",ABS(L507)/ABS(SUMIFS(L$5:L$639,$A$5:$A$639,$A507,$C$5:$C$639,$C507-1,$D$5:$D$639,$D507))-1)))</f>
        <v/>
      </c>
      <c r="U507" s="16">
        <f>IF(OR($A507="",M507="",$C507=""),"",IF(COUNTIFS($A$5:$A$639,$A507,$C$5:$C$639,$C507-1,$D$5:$D$639,$D507,M$5:M$639,"&lt;&gt;")=0,"",IF(OR(SUMIFS(M$5:M$639,$A$5:$A$639,$A507,$C$5:$C$639,$C507-1,$D$5:$D$639,$D507)=0,M507*SUMIFS(M$5:M$639,$A$5:$A$639,$A507,$C$5:$C$639,$C507-1,$D$5:$D$639,$D507)&lt;0),"n.s.",ABS(M507)/ABS(SUMIFS(M$5:M$639,$A$5:$A$639,$A507,$C$5:$C$639,$C507-1,$D$5:$D$639,$D507))-1)))</f>
        <v/>
      </c>
    </row>
    <row r="508">
      <c r="A508" s="9" t="inlineStr">
        <is>
          <t>ORAC</t>
        </is>
      </c>
      <c r="B508" s="10">
        <f>IF(A508="","",IFERROR(VLOOKUP(A508,Titres!$A$2:$B$400,2,FALSE),"Ticker inconnu"))</f>
        <v/>
      </c>
      <c r="C508" s="11" t="n">
        <v>2026</v>
      </c>
      <c r="D508" s="11" t="inlineStr">
        <is>
          <t>T3</t>
        </is>
      </c>
      <c r="E508" s="9" t="n"/>
      <c r="F508" s="12" t="n"/>
      <c r="G508" s="9" t="n"/>
      <c r="H508" s="13" t="n"/>
      <c r="I508" s="13" t="n"/>
      <c r="J508" s="13" t="n"/>
      <c r="K508" s="13" t="n"/>
      <c r="L508" s="13" t="n"/>
      <c r="M508" s="13" t="n"/>
      <c r="N508" s="14">
        <f>IF(A508="","",COUNT(H508:M508)/6)</f>
        <v/>
      </c>
      <c r="O508" s="15">
        <f>IF(COUNT(H508:M508)=0,"",IF(LEN(IF(COUNT(I508,J508)=2,IF(J508&gt;I508+1,"EBE &gt; VA ",""),"")&amp;IF(COUNT(H508,M508)=2,IF(ABS(M508)&gt;ABS(H508),"RN &gt; CA ",""),"")&amp;IF(COUNT(H508,K508)=2,IF(ABS(K508)&gt;ABS(H508),"RE &gt; CA ",""),""))=0,"OK",IF(COUNT(I508,J508)=2,IF(J508&gt;I508+1,"EBE &gt; VA ",""),"")&amp;IF(COUNT(H508,M508)=2,IF(ABS(M508)&gt;ABS(H508),"RN &gt; CA ",""),"")&amp;IF(COUNT(H508,K508)=2,IF(ABS(K508)&gt;ABS(H508),"RE &gt; CA ",""),"")))</f>
        <v/>
      </c>
      <c r="P508" s="16">
        <f>IF(OR($A508="",H508="",$C508=""),"",IF(COUNTIFS($A$5:$A$639,$A508,$C$5:$C$639,$C508-1,$D$5:$D$639,$D508,H$5:H$639,"&lt;&gt;")=0,"",IF(OR(SUMIFS(H$5:H$639,$A$5:$A$639,$A508,$C$5:$C$639,$C508-1,$D$5:$D$639,$D508)=0,H508*SUMIFS(H$5:H$639,$A$5:$A$639,$A508,$C$5:$C$639,$C508-1,$D$5:$D$639,$D508)&lt;0),"n.s.",ABS(H508)/ABS(SUMIFS(H$5:H$639,$A$5:$A$639,$A508,$C$5:$C$639,$C508-1,$D$5:$D$639,$D508))-1)))</f>
        <v/>
      </c>
      <c r="Q508" s="16">
        <f>IF(OR($A508="",I508="",$C508=""),"",IF(COUNTIFS($A$5:$A$639,$A508,$C$5:$C$639,$C508-1,$D$5:$D$639,$D508,I$5:I$639,"&lt;&gt;")=0,"",IF(OR(SUMIFS(I$5:I$639,$A$5:$A$639,$A508,$C$5:$C$639,$C508-1,$D$5:$D$639,$D508)=0,I508*SUMIFS(I$5:I$639,$A$5:$A$639,$A508,$C$5:$C$639,$C508-1,$D$5:$D$639,$D508)&lt;0),"n.s.",ABS(I508)/ABS(SUMIFS(I$5:I$639,$A$5:$A$639,$A508,$C$5:$C$639,$C508-1,$D$5:$D$639,$D508))-1)))</f>
        <v/>
      </c>
      <c r="R508" s="16">
        <f>IF(OR($A508="",J508="",$C508=""),"",IF(COUNTIFS($A$5:$A$639,$A508,$C$5:$C$639,$C508-1,$D$5:$D$639,$D508,J$5:J$639,"&lt;&gt;")=0,"",IF(OR(SUMIFS(J$5:J$639,$A$5:$A$639,$A508,$C$5:$C$639,$C508-1,$D$5:$D$639,$D508)=0,J508*SUMIFS(J$5:J$639,$A$5:$A$639,$A508,$C$5:$C$639,$C508-1,$D$5:$D$639,$D508)&lt;0),"n.s.",ABS(J508)/ABS(SUMIFS(J$5:J$639,$A$5:$A$639,$A508,$C$5:$C$639,$C508-1,$D$5:$D$639,$D508))-1)))</f>
        <v/>
      </c>
      <c r="S508" s="16">
        <f>IF(OR($A508="",K508="",$C508=""),"",IF(COUNTIFS($A$5:$A$639,$A508,$C$5:$C$639,$C508-1,$D$5:$D$639,$D508,K$5:K$639,"&lt;&gt;")=0,"",IF(OR(SUMIFS(K$5:K$639,$A$5:$A$639,$A508,$C$5:$C$639,$C508-1,$D$5:$D$639,$D508)=0,K508*SUMIFS(K$5:K$639,$A$5:$A$639,$A508,$C$5:$C$639,$C508-1,$D$5:$D$639,$D508)&lt;0),"n.s.",ABS(K508)/ABS(SUMIFS(K$5:K$639,$A$5:$A$639,$A508,$C$5:$C$639,$C508-1,$D$5:$D$639,$D508))-1)))</f>
        <v/>
      </c>
      <c r="T508" s="16">
        <f>IF(OR($A508="",L508="",$C508=""),"",IF(COUNTIFS($A$5:$A$639,$A508,$C$5:$C$639,$C508-1,$D$5:$D$639,$D508,L$5:L$639,"&lt;&gt;")=0,"",IF(OR(SUMIFS(L$5:L$639,$A$5:$A$639,$A508,$C$5:$C$639,$C508-1,$D$5:$D$639,$D508)=0,L508*SUMIFS(L$5:L$639,$A$5:$A$639,$A508,$C$5:$C$639,$C508-1,$D$5:$D$639,$D508)&lt;0),"n.s.",ABS(L508)/ABS(SUMIFS(L$5:L$639,$A$5:$A$639,$A508,$C$5:$C$639,$C508-1,$D$5:$D$639,$D508))-1)))</f>
        <v/>
      </c>
      <c r="U508" s="16">
        <f>IF(OR($A508="",M508="",$C508=""),"",IF(COUNTIFS($A$5:$A$639,$A508,$C$5:$C$639,$C508-1,$D$5:$D$639,$D508,M$5:M$639,"&lt;&gt;")=0,"",IF(OR(SUMIFS(M$5:M$639,$A$5:$A$639,$A508,$C$5:$C$639,$C508-1,$D$5:$D$639,$D508)=0,M508*SUMIFS(M$5:M$639,$A$5:$A$639,$A508,$C$5:$C$639,$C508-1,$D$5:$D$639,$D508)&lt;0),"n.s.",ABS(M508)/ABS(SUMIFS(M$5:M$639,$A$5:$A$639,$A508,$C$5:$C$639,$C508-1,$D$5:$D$639,$D508))-1)))</f>
        <v/>
      </c>
    </row>
    <row r="509">
      <c r="A509" s="9" t="inlineStr">
        <is>
          <t>SNTS</t>
        </is>
      </c>
      <c r="B509" s="10">
        <f>IF(A509="","",IFERROR(VLOOKUP(A509,Titres!$A$2:$B$400,2,FALSE),"Ticker inconnu"))</f>
        <v/>
      </c>
      <c r="C509" s="11" t="n">
        <v>2021</v>
      </c>
      <c r="D509" s="11" t="inlineStr">
        <is>
          <t>T1</t>
        </is>
      </c>
      <c r="E509" s="9" t="n"/>
      <c r="F509" s="12" t="n"/>
      <c r="G509" s="9" t="n"/>
      <c r="H509" s="13" t="n"/>
      <c r="I509" s="13" t="n"/>
      <c r="J509" s="13" t="n"/>
      <c r="K509" s="13" t="n"/>
      <c r="L509" s="13" t="n"/>
      <c r="M509" s="13" t="n"/>
      <c r="N509" s="14">
        <f>IF(A509="","",COUNT(H509:M509)/6)</f>
        <v/>
      </c>
      <c r="O509" s="15">
        <f>IF(COUNT(H509:M509)=0,"",IF(LEN(IF(COUNT(I509,J509)=2,IF(J509&gt;I509+1,"EBE &gt; VA ",""),"")&amp;IF(COUNT(H509,M509)=2,IF(ABS(M509)&gt;ABS(H509),"RN &gt; CA ",""),"")&amp;IF(COUNT(H509,K509)=2,IF(ABS(K509)&gt;ABS(H509),"RE &gt; CA ",""),""))=0,"OK",IF(COUNT(I509,J509)=2,IF(J509&gt;I509+1,"EBE &gt; VA ",""),"")&amp;IF(COUNT(H509,M509)=2,IF(ABS(M509)&gt;ABS(H509),"RN &gt; CA ",""),"")&amp;IF(COUNT(H509,K509)=2,IF(ABS(K509)&gt;ABS(H509),"RE &gt; CA ",""),"")))</f>
        <v/>
      </c>
      <c r="P509" s="16">
        <f>IF(OR($A509="",H509="",$C509=""),"",IF(COUNTIFS($A$5:$A$639,$A509,$C$5:$C$639,$C509-1,$D$5:$D$639,$D509,H$5:H$639,"&lt;&gt;")=0,"",IF(OR(SUMIFS(H$5:H$639,$A$5:$A$639,$A509,$C$5:$C$639,$C509-1,$D$5:$D$639,$D509)=0,H509*SUMIFS(H$5:H$639,$A$5:$A$639,$A509,$C$5:$C$639,$C509-1,$D$5:$D$639,$D509)&lt;0),"n.s.",ABS(H509)/ABS(SUMIFS(H$5:H$639,$A$5:$A$639,$A509,$C$5:$C$639,$C509-1,$D$5:$D$639,$D509))-1)))</f>
        <v/>
      </c>
      <c r="Q509" s="16">
        <f>IF(OR($A509="",I509="",$C509=""),"",IF(COUNTIFS($A$5:$A$639,$A509,$C$5:$C$639,$C509-1,$D$5:$D$639,$D509,I$5:I$639,"&lt;&gt;")=0,"",IF(OR(SUMIFS(I$5:I$639,$A$5:$A$639,$A509,$C$5:$C$639,$C509-1,$D$5:$D$639,$D509)=0,I509*SUMIFS(I$5:I$639,$A$5:$A$639,$A509,$C$5:$C$639,$C509-1,$D$5:$D$639,$D509)&lt;0),"n.s.",ABS(I509)/ABS(SUMIFS(I$5:I$639,$A$5:$A$639,$A509,$C$5:$C$639,$C509-1,$D$5:$D$639,$D509))-1)))</f>
        <v/>
      </c>
      <c r="R509" s="16">
        <f>IF(OR($A509="",J509="",$C509=""),"",IF(COUNTIFS($A$5:$A$639,$A509,$C$5:$C$639,$C509-1,$D$5:$D$639,$D509,J$5:J$639,"&lt;&gt;")=0,"",IF(OR(SUMIFS(J$5:J$639,$A$5:$A$639,$A509,$C$5:$C$639,$C509-1,$D$5:$D$639,$D509)=0,J509*SUMIFS(J$5:J$639,$A$5:$A$639,$A509,$C$5:$C$639,$C509-1,$D$5:$D$639,$D509)&lt;0),"n.s.",ABS(J509)/ABS(SUMIFS(J$5:J$639,$A$5:$A$639,$A509,$C$5:$C$639,$C509-1,$D$5:$D$639,$D509))-1)))</f>
        <v/>
      </c>
      <c r="S509" s="16">
        <f>IF(OR($A509="",K509="",$C509=""),"",IF(COUNTIFS($A$5:$A$639,$A509,$C$5:$C$639,$C509-1,$D$5:$D$639,$D509,K$5:K$639,"&lt;&gt;")=0,"",IF(OR(SUMIFS(K$5:K$639,$A$5:$A$639,$A509,$C$5:$C$639,$C509-1,$D$5:$D$639,$D509)=0,K509*SUMIFS(K$5:K$639,$A$5:$A$639,$A509,$C$5:$C$639,$C509-1,$D$5:$D$639,$D509)&lt;0),"n.s.",ABS(K509)/ABS(SUMIFS(K$5:K$639,$A$5:$A$639,$A509,$C$5:$C$639,$C509-1,$D$5:$D$639,$D509))-1)))</f>
        <v/>
      </c>
      <c r="T509" s="16">
        <f>IF(OR($A509="",L509="",$C509=""),"",IF(COUNTIFS($A$5:$A$639,$A509,$C$5:$C$639,$C509-1,$D$5:$D$639,$D509,L$5:L$639,"&lt;&gt;")=0,"",IF(OR(SUMIFS(L$5:L$639,$A$5:$A$639,$A509,$C$5:$C$639,$C509-1,$D$5:$D$639,$D509)=0,L509*SUMIFS(L$5:L$639,$A$5:$A$639,$A509,$C$5:$C$639,$C509-1,$D$5:$D$639,$D509)&lt;0),"n.s.",ABS(L509)/ABS(SUMIFS(L$5:L$639,$A$5:$A$639,$A509,$C$5:$C$639,$C509-1,$D$5:$D$639,$D509))-1)))</f>
        <v/>
      </c>
      <c r="U509" s="16">
        <f>IF(OR($A509="",M509="",$C509=""),"",IF(COUNTIFS($A$5:$A$639,$A509,$C$5:$C$639,$C509-1,$D$5:$D$639,$D509,M$5:M$639,"&lt;&gt;")=0,"",IF(OR(SUMIFS(M$5:M$639,$A$5:$A$639,$A509,$C$5:$C$639,$C509-1,$D$5:$D$639,$D509)=0,M509*SUMIFS(M$5:M$639,$A$5:$A$639,$A509,$C$5:$C$639,$C509-1,$D$5:$D$639,$D509)&lt;0),"n.s.",ABS(M509)/ABS(SUMIFS(M$5:M$639,$A$5:$A$639,$A509,$C$5:$C$639,$C509-1,$D$5:$D$639,$D509))-1)))</f>
        <v/>
      </c>
    </row>
    <row r="510">
      <c r="A510" s="9" t="inlineStr">
        <is>
          <t>SNTS</t>
        </is>
      </c>
      <c r="B510" s="10">
        <f>IF(A510="","",IFERROR(VLOOKUP(A510,Titres!$A$2:$B$400,2,FALSE),"Ticker inconnu"))</f>
        <v/>
      </c>
      <c r="C510" s="11" t="n">
        <v>2021</v>
      </c>
      <c r="D510" s="11" t="inlineStr">
        <is>
          <t>S1</t>
        </is>
      </c>
      <c r="E510" s="9" t="n"/>
      <c r="F510" s="12" t="n"/>
      <c r="G510" s="9" t="n"/>
      <c r="H510" s="13" t="n"/>
      <c r="I510" s="13" t="n"/>
      <c r="J510" s="13" t="n"/>
      <c r="K510" s="13" t="n"/>
      <c r="L510" s="13" t="n"/>
      <c r="M510" s="13" t="n"/>
      <c r="N510" s="14">
        <f>IF(A510="","",COUNT(H510:M510)/6)</f>
        <v/>
      </c>
      <c r="O510" s="15">
        <f>IF(COUNT(H510:M510)=0,"",IF(LEN(IF(COUNT(I510,J510)=2,IF(J510&gt;I510+1,"EBE &gt; VA ",""),"")&amp;IF(COUNT(H510,M510)=2,IF(ABS(M510)&gt;ABS(H510),"RN &gt; CA ",""),"")&amp;IF(COUNT(H510,K510)=2,IF(ABS(K510)&gt;ABS(H510),"RE &gt; CA ",""),""))=0,"OK",IF(COUNT(I510,J510)=2,IF(J510&gt;I510+1,"EBE &gt; VA ",""),"")&amp;IF(COUNT(H510,M510)=2,IF(ABS(M510)&gt;ABS(H510),"RN &gt; CA ",""),"")&amp;IF(COUNT(H510,K510)=2,IF(ABS(K510)&gt;ABS(H510),"RE &gt; CA ",""),"")))</f>
        <v/>
      </c>
      <c r="P510" s="16">
        <f>IF(OR($A510="",H510="",$C510=""),"",IF(COUNTIFS($A$5:$A$639,$A510,$C$5:$C$639,$C510-1,$D$5:$D$639,$D510,H$5:H$639,"&lt;&gt;")=0,"",IF(OR(SUMIFS(H$5:H$639,$A$5:$A$639,$A510,$C$5:$C$639,$C510-1,$D$5:$D$639,$D510)=0,H510*SUMIFS(H$5:H$639,$A$5:$A$639,$A510,$C$5:$C$639,$C510-1,$D$5:$D$639,$D510)&lt;0),"n.s.",ABS(H510)/ABS(SUMIFS(H$5:H$639,$A$5:$A$639,$A510,$C$5:$C$639,$C510-1,$D$5:$D$639,$D510))-1)))</f>
        <v/>
      </c>
      <c r="Q510" s="16">
        <f>IF(OR($A510="",I510="",$C510=""),"",IF(COUNTIFS($A$5:$A$639,$A510,$C$5:$C$639,$C510-1,$D$5:$D$639,$D510,I$5:I$639,"&lt;&gt;")=0,"",IF(OR(SUMIFS(I$5:I$639,$A$5:$A$639,$A510,$C$5:$C$639,$C510-1,$D$5:$D$639,$D510)=0,I510*SUMIFS(I$5:I$639,$A$5:$A$639,$A510,$C$5:$C$639,$C510-1,$D$5:$D$639,$D510)&lt;0),"n.s.",ABS(I510)/ABS(SUMIFS(I$5:I$639,$A$5:$A$639,$A510,$C$5:$C$639,$C510-1,$D$5:$D$639,$D510))-1)))</f>
        <v/>
      </c>
      <c r="R510" s="16">
        <f>IF(OR($A510="",J510="",$C510=""),"",IF(COUNTIFS($A$5:$A$639,$A510,$C$5:$C$639,$C510-1,$D$5:$D$639,$D510,J$5:J$639,"&lt;&gt;")=0,"",IF(OR(SUMIFS(J$5:J$639,$A$5:$A$639,$A510,$C$5:$C$639,$C510-1,$D$5:$D$639,$D510)=0,J510*SUMIFS(J$5:J$639,$A$5:$A$639,$A510,$C$5:$C$639,$C510-1,$D$5:$D$639,$D510)&lt;0),"n.s.",ABS(J510)/ABS(SUMIFS(J$5:J$639,$A$5:$A$639,$A510,$C$5:$C$639,$C510-1,$D$5:$D$639,$D510))-1)))</f>
        <v/>
      </c>
      <c r="S510" s="16">
        <f>IF(OR($A510="",K510="",$C510=""),"",IF(COUNTIFS($A$5:$A$639,$A510,$C$5:$C$639,$C510-1,$D$5:$D$639,$D510,K$5:K$639,"&lt;&gt;")=0,"",IF(OR(SUMIFS(K$5:K$639,$A$5:$A$639,$A510,$C$5:$C$639,$C510-1,$D$5:$D$639,$D510)=0,K510*SUMIFS(K$5:K$639,$A$5:$A$639,$A510,$C$5:$C$639,$C510-1,$D$5:$D$639,$D510)&lt;0),"n.s.",ABS(K510)/ABS(SUMIFS(K$5:K$639,$A$5:$A$639,$A510,$C$5:$C$639,$C510-1,$D$5:$D$639,$D510))-1)))</f>
        <v/>
      </c>
      <c r="T510" s="16">
        <f>IF(OR($A510="",L510="",$C510=""),"",IF(COUNTIFS($A$5:$A$639,$A510,$C$5:$C$639,$C510-1,$D$5:$D$639,$D510,L$5:L$639,"&lt;&gt;")=0,"",IF(OR(SUMIFS(L$5:L$639,$A$5:$A$639,$A510,$C$5:$C$639,$C510-1,$D$5:$D$639,$D510)=0,L510*SUMIFS(L$5:L$639,$A$5:$A$639,$A510,$C$5:$C$639,$C510-1,$D$5:$D$639,$D510)&lt;0),"n.s.",ABS(L510)/ABS(SUMIFS(L$5:L$639,$A$5:$A$639,$A510,$C$5:$C$639,$C510-1,$D$5:$D$639,$D510))-1)))</f>
        <v/>
      </c>
      <c r="U510" s="16">
        <f>IF(OR($A510="",M510="",$C510=""),"",IF(COUNTIFS($A$5:$A$639,$A510,$C$5:$C$639,$C510-1,$D$5:$D$639,$D510,M$5:M$639,"&lt;&gt;")=0,"",IF(OR(SUMIFS(M$5:M$639,$A$5:$A$639,$A510,$C$5:$C$639,$C510-1,$D$5:$D$639,$D510)=0,M510*SUMIFS(M$5:M$639,$A$5:$A$639,$A510,$C$5:$C$639,$C510-1,$D$5:$D$639,$D510)&lt;0),"n.s.",ABS(M510)/ABS(SUMIFS(M$5:M$639,$A$5:$A$639,$A510,$C$5:$C$639,$C510-1,$D$5:$D$639,$D510))-1)))</f>
        <v/>
      </c>
    </row>
    <row r="511">
      <c r="A511" s="9" t="inlineStr">
        <is>
          <t>SNTS</t>
        </is>
      </c>
      <c r="B511" s="10">
        <f>IF(A511="","",IFERROR(VLOOKUP(A511,Titres!$A$2:$B$400,2,FALSE),"Ticker inconnu"))</f>
        <v/>
      </c>
      <c r="C511" s="11" t="n">
        <v>2021</v>
      </c>
      <c r="D511" s="11" t="inlineStr">
        <is>
          <t>T3</t>
        </is>
      </c>
      <c r="E511" s="9" t="n"/>
      <c r="F511" s="12" t="n"/>
      <c r="G511" s="9" t="n"/>
      <c r="H511" s="13" t="n"/>
      <c r="I511" s="13" t="n"/>
      <c r="J511" s="13" t="n"/>
      <c r="K511" s="13" t="n"/>
      <c r="L511" s="13" t="n"/>
      <c r="M511" s="13" t="n"/>
      <c r="N511" s="14">
        <f>IF(A511="","",COUNT(H511:M511)/6)</f>
        <v/>
      </c>
      <c r="O511" s="15">
        <f>IF(COUNT(H511:M511)=0,"",IF(LEN(IF(COUNT(I511,J511)=2,IF(J511&gt;I511+1,"EBE &gt; VA ",""),"")&amp;IF(COUNT(H511,M511)=2,IF(ABS(M511)&gt;ABS(H511),"RN &gt; CA ",""),"")&amp;IF(COUNT(H511,K511)=2,IF(ABS(K511)&gt;ABS(H511),"RE &gt; CA ",""),""))=0,"OK",IF(COUNT(I511,J511)=2,IF(J511&gt;I511+1,"EBE &gt; VA ",""),"")&amp;IF(COUNT(H511,M511)=2,IF(ABS(M511)&gt;ABS(H511),"RN &gt; CA ",""),"")&amp;IF(COUNT(H511,K511)=2,IF(ABS(K511)&gt;ABS(H511),"RE &gt; CA ",""),"")))</f>
        <v/>
      </c>
      <c r="P511" s="16">
        <f>IF(OR($A511="",H511="",$C511=""),"",IF(COUNTIFS($A$5:$A$639,$A511,$C$5:$C$639,$C511-1,$D$5:$D$639,$D511,H$5:H$639,"&lt;&gt;")=0,"",IF(OR(SUMIFS(H$5:H$639,$A$5:$A$639,$A511,$C$5:$C$639,$C511-1,$D$5:$D$639,$D511)=0,H511*SUMIFS(H$5:H$639,$A$5:$A$639,$A511,$C$5:$C$639,$C511-1,$D$5:$D$639,$D511)&lt;0),"n.s.",ABS(H511)/ABS(SUMIFS(H$5:H$639,$A$5:$A$639,$A511,$C$5:$C$639,$C511-1,$D$5:$D$639,$D511))-1)))</f>
        <v/>
      </c>
      <c r="Q511" s="16">
        <f>IF(OR($A511="",I511="",$C511=""),"",IF(COUNTIFS($A$5:$A$639,$A511,$C$5:$C$639,$C511-1,$D$5:$D$639,$D511,I$5:I$639,"&lt;&gt;")=0,"",IF(OR(SUMIFS(I$5:I$639,$A$5:$A$639,$A511,$C$5:$C$639,$C511-1,$D$5:$D$639,$D511)=0,I511*SUMIFS(I$5:I$639,$A$5:$A$639,$A511,$C$5:$C$639,$C511-1,$D$5:$D$639,$D511)&lt;0),"n.s.",ABS(I511)/ABS(SUMIFS(I$5:I$639,$A$5:$A$639,$A511,$C$5:$C$639,$C511-1,$D$5:$D$639,$D511))-1)))</f>
        <v/>
      </c>
      <c r="R511" s="16">
        <f>IF(OR($A511="",J511="",$C511=""),"",IF(COUNTIFS($A$5:$A$639,$A511,$C$5:$C$639,$C511-1,$D$5:$D$639,$D511,J$5:J$639,"&lt;&gt;")=0,"",IF(OR(SUMIFS(J$5:J$639,$A$5:$A$639,$A511,$C$5:$C$639,$C511-1,$D$5:$D$639,$D511)=0,J511*SUMIFS(J$5:J$639,$A$5:$A$639,$A511,$C$5:$C$639,$C511-1,$D$5:$D$639,$D511)&lt;0),"n.s.",ABS(J511)/ABS(SUMIFS(J$5:J$639,$A$5:$A$639,$A511,$C$5:$C$639,$C511-1,$D$5:$D$639,$D511))-1)))</f>
        <v/>
      </c>
      <c r="S511" s="16">
        <f>IF(OR($A511="",K511="",$C511=""),"",IF(COUNTIFS($A$5:$A$639,$A511,$C$5:$C$639,$C511-1,$D$5:$D$639,$D511,K$5:K$639,"&lt;&gt;")=0,"",IF(OR(SUMIFS(K$5:K$639,$A$5:$A$639,$A511,$C$5:$C$639,$C511-1,$D$5:$D$639,$D511)=0,K511*SUMIFS(K$5:K$639,$A$5:$A$639,$A511,$C$5:$C$639,$C511-1,$D$5:$D$639,$D511)&lt;0),"n.s.",ABS(K511)/ABS(SUMIFS(K$5:K$639,$A$5:$A$639,$A511,$C$5:$C$639,$C511-1,$D$5:$D$639,$D511))-1)))</f>
        <v/>
      </c>
      <c r="T511" s="16">
        <f>IF(OR($A511="",L511="",$C511=""),"",IF(COUNTIFS($A$5:$A$639,$A511,$C$5:$C$639,$C511-1,$D$5:$D$639,$D511,L$5:L$639,"&lt;&gt;")=0,"",IF(OR(SUMIFS(L$5:L$639,$A$5:$A$639,$A511,$C$5:$C$639,$C511-1,$D$5:$D$639,$D511)=0,L511*SUMIFS(L$5:L$639,$A$5:$A$639,$A511,$C$5:$C$639,$C511-1,$D$5:$D$639,$D511)&lt;0),"n.s.",ABS(L511)/ABS(SUMIFS(L$5:L$639,$A$5:$A$639,$A511,$C$5:$C$639,$C511-1,$D$5:$D$639,$D511))-1)))</f>
        <v/>
      </c>
      <c r="U511" s="16">
        <f>IF(OR($A511="",M511="",$C511=""),"",IF(COUNTIFS($A$5:$A$639,$A511,$C$5:$C$639,$C511-1,$D$5:$D$639,$D511,M$5:M$639,"&lt;&gt;")=0,"",IF(OR(SUMIFS(M$5:M$639,$A$5:$A$639,$A511,$C$5:$C$639,$C511-1,$D$5:$D$639,$D511)=0,M511*SUMIFS(M$5:M$639,$A$5:$A$639,$A511,$C$5:$C$639,$C511-1,$D$5:$D$639,$D511)&lt;0),"n.s.",ABS(M511)/ABS(SUMIFS(M$5:M$639,$A$5:$A$639,$A511,$C$5:$C$639,$C511-1,$D$5:$D$639,$D511))-1)))</f>
        <v/>
      </c>
    </row>
    <row r="512">
      <c r="A512" s="9" t="inlineStr">
        <is>
          <t>SNTS</t>
        </is>
      </c>
      <c r="B512" s="10">
        <f>IF(A512="","",IFERROR(VLOOKUP(A512,Titres!$A$2:$B$400,2,FALSE),"Ticker inconnu"))</f>
        <v/>
      </c>
      <c r="C512" s="11" t="n">
        <v>2022</v>
      </c>
      <c r="D512" s="11" t="inlineStr">
        <is>
          <t>T1</t>
        </is>
      </c>
      <c r="E512" s="9" t="n"/>
      <c r="F512" s="12" t="n"/>
      <c r="G512" s="9" t="n"/>
      <c r="H512" s="13" t="n"/>
      <c r="I512" s="13" t="n"/>
      <c r="J512" s="13" t="n"/>
      <c r="K512" s="13" t="n"/>
      <c r="L512" s="13" t="n"/>
      <c r="M512" s="13" t="n"/>
      <c r="N512" s="14">
        <f>IF(A512="","",COUNT(H512:M512)/6)</f>
        <v/>
      </c>
      <c r="O512" s="15">
        <f>IF(COUNT(H512:M512)=0,"",IF(LEN(IF(COUNT(I512,J512)=2,IF(J512&gt;I512+1,"EBE &gt; VA ",""),"")&amp;IF(COUNT(H512,M512)=2,IF(ABS(M512)&gt;ABS(H512),"RN &gt; CA ",""),"")&amp;IF(COUNT(H512,K512)=2,IF(ABS(K512)&gt;ABS(H512),"RE &gt; CA ",""),""))=0,"OK",IF(COUNT(I512,J512)=2,IF(J512&gt;I512+1,"EBE &gt; VA ",""),"")&amp;IF(COUNT(H512,M512)=2,IF(ABS(M512)&gt;ABS(H512),"RN &gt; CA ",""),"")&amp;IF(COUNT(H512,K512)=2,IF(ABS(K512)&gt;ABS(H512),"RE &gt; CA ",""),"")))</f>
        <v/>
      </c>
      <c r="P512" s="16">
        <f>IF(OR($A512="",H512="",$C512=""),"",IF(COUNTIFS($A$5:$A$639,$A512,$C$5:$C$639,$C512-1,$D$5:$D$639,$D512,H$5:H$639,"&lt;&gt;")=0,"",IF(OR(SUMIFS(H$5:H$639,$A$5:$A$639,$A512,$C$5:$C$639,$C512-1,$D$5:$D$639,$D512)=0,H512*SUMIFS(H$5:H$639,$A$5:$A$639,$A512,$C$5:$C$639,$C512-1,$D$5:$D$639,$D512)&lt;0),"n.s.",ABS(H512)/ABS(SUMIFS(H$5:H$639,$A$5:$A$639,$A512,$C$5:$C$639,$C512-1,$D$5:$D$639,$D512))-1)))</f>
        <v/>
      </c>
      <c r="Q512" s="16">
        <f>IF(OR($A512="",I512="",$C512=""),"",IF(COUNTIFS($A$5:$A$639,$A512,$C$5:$C$639,$C512-1,$D$5:$D$639,$D512,I$5:I$639,"&lt;&gt;")=0,"",IF(OR(SUMIFS(I$5:I$639,$A$5:$A$639,$A512,$C$5:$C$639,$C512-1,$D$5:$D$639,$D512)=0,I512*SUMIFS(I$5:I$639,$A$5:$A$639,$A512,$C$5:$C$639,$C512-1,$D$5:$D$639,$D512)&lt;0),"n.s.",ABS(I512)/ABS(SUMIFS(I$5:I$639,$A$5:$A$639,$A512,$C$5:$C$639,$C512-1,$D$5:$D$639,$D512))-1)))</f>
        <v/>
      </c>
      <c r="R512" s="16">
        <f>IF(OR($A512="",J512="",$C512=""),"",IF(COUNTIFS($A$5:$A$639,$A512,$C$5:$C$639,$C512-1,$D$5:$D$639,$D512,J$5:J$639,"&lt;&gt;")=0,"",IF(OR(SUMIFS(J$5:J$639,$A$5:$A$639,$A512,$C$5:$C$639,$C512-1,$D$5:$D$639,$D512)=0,J512*SUMIFS(J$5:J$639,$A$5:$A$639,$A512,$C$5:$C$639,$C512-1,$D$5:$D$639,$D512)&lt;0),"n.s.",ABS(J512)/ABS(SUMIFS(J$5:J$639,$A$5:$A$639,$A512,$C$5:$C$639,$C512-1,$D$5:$D$639,$D512))-1)))</f>
        <v/>
      </c>
      <c r="S512" s="16">
        <f>IF(OR($A512="",K512="",$C512=""),"",IF(COUNTIFS($A$5:$A$639,$A512,$C$5:$C$639,$C512-1,$D$5:$D$639,$D512,K$5:K$639,"&lt;&gt;")=0,"",IF(OR(SUMIFS(K$5:K$639,$A$5:$A$639,$A512,$C$5:$C$639,$C512-1,$D$5:$D$639,$D512)=0,K512*SUMIFS(K$5:K$639,$A$5:$A$639,$A512,$C$5:$C$639,$C512-1,$D$5:$D$639,$D512)&lt;0),"n.s.",ABS(K512)/ABS(SUMIFS(K$5:K$639,$A$5:$A$639,$A512,$C$5:$C$639,$C512-1,$D$5:$D$639,$D512))-1)))</f>
        <v/>
      </c>
      <c r="T512" s="16">
        <f>IF(OR($A512="",L512="",$C512=""),"",IF(COUNTIFS($A$5:$A$639,$A512,$C$5:$C$639,$C512-1,$D$5:$D$639,$D512,L$5:L$639,"&lt;&gt;")=0,"",IF(OR(SUMIFS(L$5:L$639,$A$5:$A$639,$A512,$C$5:$C$639,$C512-1,$D$5:$D$639,$D512)=0,L512*SUMIFS(L$5:L$639,$A$5:$A$639,$A512,$C$5:$C$639,$C512-1,$D$5:$D$639,$D512)&lt;0),"n.s.",ABS(L512)/ABS(SUMIFS(L$5:L$639,$A$5:$A$639,$A512,$C$5:$C$639,$C512-1,$D$5:$D$639,$D512))-1)))</f>
        <v/>
      </c>
      <c r="U512" s="16">
        <f>IF(OR($A512="",M512="",$C512=""),"",IF(COUNTIFS($A$5:$A$639,$A512,$C$5:$C$639,$C512-1,$D$5:$D$639,$D512,M$5:M$639,"&lt;&gt;")=0,"",IF(OR(SUMIFS(M$5:M$639,$A$5:$A$639,$A512,$C$5:$C$639,$C512-1,$D$5:$D$639,$D512)=0,M512*SUMIFS(M$5:M$639,$A$5:$A$639,$A512,$C$5:$C$639,$C512-1,$D$5:$D$639,$D512)&lt;0),"n.s.",ABS(M512)/ABS(SUMIFS(M$5:M$639,$A$5:$A$639,$A512,$C$5:$C$639,$C512-1,$D$5:$D$639,$D512))-1)))</f>
        <v/>
      </c>
    </row>
    <row r="513">
      <c r="A513" s="9" t="inlineStr">
        <is>
          <t>SNTS</t>
        </is>
      </c>
      <c r="B513" s="10">
        <f>IF(A513="","",IFERROR(VLOOKUP(A513,Titres!$A$2:$B$400,2,FALSE),"Ticker inconnu"))</f>
        <v/>
      </c>
      <c r="C513" s="11" t="n">
        <v>2022</v>
      </c>
      <c r="D513" s="11" t="inlineStr">
        <is>
          <t>S1</t>
        </is>
      </c>
      <c r="E513" s="9" t="n"/>
      <c r="F513" s="12" t="n"/>
      <c r="G513" s="9" t="n"/>
      <c r="H513" s="13" t="n"/>
      <c r="I513" s="13" t="n"/>
      <c r="J513" s="13" t="n"/>
      <c r="K513" s="13" t="n"/>
      <c r="L513" s="13" t="n"/>
      <c r="M513" s="13" t="n"/>
      <c r="N513" s="14">
        <f>IF(A513="","",COUNT(H513:M513)/6)</f>
        <v/>
      </c>
      <c r="O513" s="15">
        <f>IF(COUNT(H513:M513)=0,"",IF(LEN(IF(COUNT(I513,J513)=2,IF(J513&gt;I513+1,"EBE &gt; VA ",""),"")&amp;IF(COUNT(H513,M513)=2,IF(ABS(M513)&gt;ABS(H513),"RN &gt; CA ",""),"")&amp;IF(COUNT(H513,K513)=2,IF(ABS(K513)&gt;ABS(H513),"RE &gt; CA ",""),""))=0,"OK",IF(COUNT(I513,J513)=2,IF(J513&gt;I513+1,"EBE &gt; VA ",""),"")&amp;IF(COUNT(H513,M513)=2,IF(ABS(M513)&gt;ABS(H513),"RN &gt; CA ",""),"")&amp;IF(COUNT(H513,K513)=2,IF(ABS(K513)&gt;ABS(H513),"RE &gt; CA ",""),"")))</f>
        <v/>
      </c>
      <c r="P513" s="16">
        <f>IF(OR($A513="",H513="",$C513=""),"",IF(COUNTIFS($A$5:$A$639,$A513,$C$5:$C$639,$C513-1,$D$5:$D$639,$D513,H$5:H$639,"&lt;&gt;")=0,"",IF(OR(SUMIFS(H$5:H$639,$A$5:$A$639,$A513,$C$5:$C$639,$C513-1,$D$5:$D$639,$D513)=0,H513*SUMIFS(H$5:H$639,$A$5:$A$639,$A513,$C$5:$C$639,$C513-1,$D$5:$D$639,$D513)&lt;0),"n.s.",ABS(H513)/ABS(SUMIFS(H$5:H$639,$A$5:$A$639,$A513,$C$5:$C$639,$C513-1,$D$5:$D$639,$D513))-1)))</f>
        <v/>
      </c>
      <c r="Q513" s="16">
        <f>IF(OR($A513="",I513="",$C513=""),"",IF(COUNTIFS($A$5:$A$639,$A513,$C$5:$C$639,$C513-1,$D$5:$D$639,$D513,I$5:I$639,"&lt;&gt;")=0,"",IF(OR(SUMIFS(I$5:I$639,$A$5:$A$639,$A513,$C$5:$C$639,$C513-1,$D$5:$D$639,$D513)=0,I513*SUMIFS(I$5:I$639,$A$5:$A$639,$A513,$C$5:$C$639,$C513-1,$D$5:$D$639,$D513)&lt;0),"n.s.",ABS(I513)/ABS(SUMIFS(I$5:I$639,$A$5:$A$639,$A513,$C$5:$C$639,$C513-1,$D$5:$D$639,$D513))-1)))</f>
        <v/>
      </c>
      <c r="R513" s="16">
        <f>IF(OR($A513="",J513="",$C513=""),"",IF(COUNTIFS($A$5:$A$639,$A513,$C$5:$C$639,$C513-1,$D$5:$D$639,$D513,J$5:J$639,"&lt;&gt;")=0,"",IF(OR(SUMIFS(J$5:J$639,$A$5:$A$639,$A513,$C$5:$C$639,$C513-1,$D$5:$D$639,$D513)=0,J513*SUMIFS(J$5:J$639,$A$5:$A$639,$A513,$C$5:$C$639,$C513-1,$D$5:$D$639,$D513)&lt;0),"n.s.",ABS(J513)/ABS(SUMIFS(J$5:J$639,$A$5:$A$639,$A513,$C$5:$C$639,$C513-1,$D$5:$D$639,$D513))-1)))</f>
        <v/>
      </c>
      <c r="S513" s="16">
        <f>IF(OR($A513="",K513="",$C513=""),"",IF(COUNTIFS($A$5:$A$639,$A513,$C$5:$C$639,$C513-1,$D$5:$D$639,$D513,K$5:K$639,"&lt;&gt;")=0,"",IF(OR(SUMIFS(K$5:K$639,$A$5:$A$639,$A513,$C$5:$C$639,$C513-1,$D$5:$D$639,$D513)=0,K513*SUMIFS(K$5:K$639,$A$5:$A$639,$A513,$C$5:$C$639,$C513-1,$D$5:$D$639,$D513)&lt;0),"n.s.",ABS(K513)/ABS(SUMIFS(K$5:K$639,$A$5:$A$639,$A513,$C$5:$C$639,$C513-1,$D$5:$D$639,$D513))-1)))</f>
        <v/>
      </c>
      <c r="T513" s="16">
        <f>IF(OR($A513="",L513="",$C513=""),"",IF(COUNTIFS($A$5:$A$639,$A513,$C$5:$C$639,$C513-1,$D$5:$D$639,$D513,L$5:L$639,"&lt;&gt;")=0,"",IF(OR(SUMIFS(L$5:L$639,$A$5:$A$639,$A513,$C$5:$C$639,$C513-1,$D$5:$D$639,$D513)=0,L513*SUMIFS(L$5:L$639,$A$5:$A$639,$A513,$C$5:$C$639,$C513-1,$D$5:$D$639,$D513)&lt;0),"n.s.",ABS(L513)/ABS(SUMIFS(L$5:L$639,$A$5:$A$639,$A513,$C$5:$C$639,$C513-1,$D$5:$D$639,$D513))-1)))</f>
        <v/>
      </c>
      <c r="U513" s="16">
        <f>IF(OR($A513="",M513="",$C513=""),"",IF(COUNTIFS($A$5:$A$639,$A513,$C$5:$C$639,$C513-1,$D$5:$D$639,$D513,M$5:M$639,"&lt;&gt;")=0,"",IF(OR(SUMIFS(M$5:M$639,$A$5:$A$639,$A513,$C$5:$C$639,$C513-1,$D$5:$D$639,$D513)=0,M513*SUMIFS(M$5:M$639,$A$5:$A$639,$A513,$C$5:$C$639,$C513-1,$D$5:$D$639,$D513)&lt;0),"n.s.",ABS(M513)/ABS(SUMIFS(M$5:M$639,$A$5:$A$639,$A513,$C$5:$C$639,$C513-1,$D$5:$D$639,$D513))-1)))</f>
        <v/>
      </c>
    </row>
    <row r="514">
      <c r="A514" s="9" t="inlineStr">
        <is>
          <t>SNTS</t>
        </is>
      </c>
      <c r="B514" s="10">
        <f>IF(A514="","",IFERROR(VLOOKUP(A514,Titres!$A$2:$B$400,2,FALSE),"Ticker inconnu"))</f>
        <v/>
      </c>
      <c r="C514" s="11" t="n">
        <v>2022</v>
      </c>
      <c r="D514" s="11" t="inlineStr">
        <is>
          <t>T3</t>
        </is>
      </c>
      <c r="E514" s="9" t="n"/>
      <c r="F514" s="12" t="n"/>
      <c r="G514" s="9" t="n"/>
      <c r="H514" s="13" t="n"/>
      <c r="I514" s="13" t="n"/>
      <c r="J514" s="13" t="n"/>
      <c r="K514" s="13" t="n"/>
      <c r="L514" s="13" t="n"/>
      <c r="M514" s="13" t="n"/>
      <c r="N514" s="14">
        <f>IF(A514="","",COUNT(H514:M514)/6)</f>
        <v/>
      </c>
      <c r="O514" s="15">
        <f>IF(COUNT(H514:M514)=0,"",IF(LEN(IF(COUNT(I514,J514)=2,IF(J514&gt;I514+1,"EBE &gt; VA ",""),"")&amp;IF(COUNT(H514,M514)=2,IF(ABS(M514)&gt;ABS(H514),"RN &gt; CA ",""),"")&amp;IF(COUNT(H514,K514)=2,IF(ABS(K514)&gt;ABS(H514),"RE &gt; CA ",""),""))=0,"OK",IF(COUNT(I514,J514)=2,IF(J514&gt;I514+1,"EBE &gt; VA ",""),"")&amp;IF(COUNT(H514,M514)=2,IF(ABS(M514)&gt;ABS(H514),"RN &gt; CA ",""),"")&amp;IF(COUNT(H514,K514)=2,IF(ABS(K514)&gt;ABS(H514),"RE &gt; CA ",""),"")))</f>
        <v/>
      </c>
      <c r="P514" s="16">
        <f>IF(OR($A514="",H514="",$C514=""),"",IF(COUNTIFS($A$5:$A$639,$A514,$C$5:$C$639,$C514-1,$D$5:$D$639,$D514,H$5:H$639,"&lt;&gt;")=0,"",IF(OR(SUMIFS(H$5:H$639,$A$5:$A$639,$A514,$C$5:$C$639,$C514-1,$D$5:$D$639,$D514)=0,H514*SUMIFS(H$5:H$639,$A$5:$A$639,$A514,$C$5:$C$639,$C514-1,$D$5:$D$639,$D514)&lt;0),"n.s.",ABS(H514)/ABS(SUMIFS(H$5:H$639,$A$5:$A$639,$A514,$C$5:$C$639,$C514-1,$D$5:$D$639,$D514))-1)))</f>
        <v/>
      </c>
      <c r="Q514" s="16">
        <f>IF(OR($A514="",I514="",$C514=""),"",IF(COUNTIFS($A$5:$A$639,$A514,$C$5:$C$639,$C514-1,$D$5:$D$639,$D514,I$5:I$639,"&lt;&gt;")=0,"",IF(OR(SUMIFS(I$5:I$639,$A$5:$A$639,$A514,$C$5:$C$639,$C514-1,$D$5:$D$639,$D514)=0,I514*SUMIFS(I$5:I$639,$A$5:$A$639,$A514,$C$5:$C$639,$C514-1,$D$5:$D$639,$D514)&lt;0),"n.s.",ABS(I514)/ABS(SUMIFS(I$5:I$639,$A$5:$A$639,$A514,$C$5:$C$639,$C514-1,$D$5:$D$639,$D514))-1)))</f>
        <v/>
      </c>
      <c r="R514" s="16">
        <f>IF(OR($A514="",J514="",$C514=""),"",IF(COUNTIFS($A$5:$A$639,$A514,$C$5:$C$639,$C514-1,$D$5:$D$639,$D514,J$5:J$639,"&lt;&gt;")=0,"",IF(OR(SUMIFS(J$5:J$639,$A$5:$A$639,$A514,$C$5:$C$639,$C514-1,$D$5:$D$639,$D514)=0,J514*SUMIFS(J$5:J$639,$A$5:$A$639,$A514,$C$5:$C$639,$C514-1,$D$5:$D$639,$D514)&lt;0),"n.s.",ABS(J514)/ABS(SUMIFS(J$5:J$639,$A$5:$A$639,$A514,$C$5:$C$639,$C514-1,$D$5:$D$639,$D514))-1)))</f>
        <v/>
      </c>
      <c r="S514" s="16">
        <f>IF(OR($A514="",K514="",$C514=""),"",IF(COUNTIFS($A$5:$A$639,$A514,$C$5:$C$639,$C514-1,$D$5:$D$639,$D514,K$5:K$639,"&lt;&gt;")=0,"",IF(OR(SUMIFS(K$5:K$639,$A$5:$A$639,$A514,$C$5:$C$639,$C514-1,$D$5:$D$639,$D514)=0,K514*SUMIFS(K$5:K$639,$A$5:$A$639,$A514,$C$5:$C$639,$C514-1,$D$5:$D$639,$D514)&lt;0),"n.s.",ABS(K514)/ABS(SUMIFS(K$5:K$639,$A$5:$A$639,$A514,$C$5:$C$639,$C514-1,$D$5:$D$639,$D514))-1)))</f>
        <v/>
      </c>
      <c r="T514" s="16">
        <f>IF(OR($A514="",L514="",$C514=""),"",IF(COUNTIFS($A$5:$A$639,$A514,$C$5:$C$639,$C514-1,$D$5:$D$639,$D514,L$5:L$639,"&lt;&gt;")=0,"",IF(OR(SUMIFS(L$5:L$639,$A$5:$A$639,$A514,$C$5:$C$639,$C514-1,$D$5:$D$639,$D514)=0,L514*SUMIFS(L$5:L$639,$A$5:$A$639,$A514,$C$5:$C$639,$C514-1,$D$5:$D$639,$D514)&lt;0),"n.s.",ABS(L514)/ABS(SUMIFS(L$5:L$639,$A$5:$A$639,$A514,$C$5:$C$639,$C514-1,$D$5:$D$639,$D514))-1)))</f>
        <v/>
      </c>
      <c r="U514" s="16">
        <f>IF(OR($A514="",M514="",$C514=""),"",IF(COUNTIFS($A$5:$A$639,$A514,$C$5:$C$639,$C514-1,$D$5:$D$639,$D514,M$5:M$639,"&lt;&gt;")=0,"",IF(OR(SUMIFS(M$5:M$639,$A$5:$A$639,$A514,$C$5:$C$639,$C514-1,$D$5:$D$639,$D514)=0,M514*SUMIFS(M$5:M$639,$A$5:$A$639,$A514,$C$5:$C$639,$C514-1,$D$5:$D$639,$D514)&lt;0),"n.s.",ABS(M514)/ABS(SUMIFS(M$5:M$639,$A$5:$A$639,$A514,$C$5:$C$639,$C514-1,$D$5:$D$639,$D514))-1)))</f>
        <v/>
      </c>
    </row>
    <row r="515">
      <c r="A515" s="9" t="inlineStr">
        <is>
          <t>SNTS</t>
        </is>
      </c>
      <c r="B515" s="10">
        <f>IF(A515="","",IFERROR(VLOOKUP(A515,Titres!$A$2:$B$400,2,FALSE),"Ticker inconnu"))</f>
        <v/>
      </c>
      <c r="C515" s="11" t="n">
        <v>2023</v>
      </c>
      <c r="D515" s="11" t="inlineStr">
        <is>
          <t>T1</t>
        </is>
      </c>
      <c r="E515" s="9" t="n"/>
      <c r="F515" s="12" t="n"/>
      <c r="G515" s="9" t="n"/>
      <c r="H515" s="13" t="n"/>
      <c r="I515" s="13" t="n"/>
      <c r="J515" s="13" t="n"/>
      <c r="K515" s="13" t="n"/>
      <c r="L515" s="13" t="n"/>
      <c r="M515" s="13" t="n"/>
      <c r="N515" s="14">
        <f>IF(A515="","",COUNT(H515:M515)/6)</f>
        <v/>
      </c>
      <c r="O515" s="15">
        <f>IF(COUNT(H515:M515)=0,"",IF(LEN(IF(COUNT(I515,J515)=2,IF(J515&gt;I515+1,"EBE &gt; VA ",""),"")&amp;IF(COUNT(H515,M515)=2,IF(ABS(M515)&gt;ABS(H515),"RN &gt; CA ",""),"")&amp;IF(COUNT(H515,K515)=2,IF(ABS(K515)&gt;ABS(H515),"RE &gt; CA ",""),""))=0,"OK",IF(COUNT(I515,J515)=2,IF(J515&gt;I515+1,"EBE &gt; VA ",""),"")&amp;IF(COUNT(H515,M515)=2,IF(ABS(M515)&gt;ABS(H515),"RN &gt; CA ",""),"")&amp;IF(COUNT(H515,K515)=2,IF(ABS(K515)&gt;ABS(H515),"RE &gt; CA ",""),"")))</f>
        <v/>
      </c>
      <c r="P515" s="16">
        <f>IF(OR($A515="",H515="",$C515=""),"",IF(COUNTIFS($A$5:$A$639,$A515,$C$5:$C$639,$C515-1,$D$5:$D$639,$D515,H$5:H$639,"&lt;&gt;")=0,"",IF(OR(SUMIFS(H$5:H$639,$A$5:$A$639,$A515,$C$5:$C$639,$C515-1,$D$5:$D$639,$D515)=0,H515*SUMIFS(H$5:H$639,$A$5:$A$639,$A515,$C$5:$C$639,$C515-1,$D$5:$D$639,$D515)&lt;0),"n.s.",ABS(H515)/ABS(SUMIFS(H$5:H$639,$A$5:$A$639,$A515,$C$5:$C$639,$C515-1,$D$5:$D$639,$D515))-1)))</f>
        <v/>
      </c>
      <c r="Q515" s="16">
        <f>IF(OR($A515="",I515="",$C515=""),"",IF(COUNTIFS($A$5:$A$639,$A515,$C$5:$C$639,$C515-1,$D$5:$D$639,$D515,I$5:I$639,"&lt;&gt;")=0,"",IF(OR(SUMIFS(I$5:I$639,$A$5:$A$639,$A515,$C$5:$C$639,$C515-1,$D$5:$D$639,$D515)=0,I515*SUMIFS(I$5:I$639,$A$5:$A$639,$A515,$C$5:$C$639,$C515-1,$D$5:$D$639,$D515)&lt;0),"n.s.",ABS(I515)/ABS(SUMIFS(I$5:I$639,$A$5:$A$639,$A515,$C$5:$C$639,$C515-1,$D$5:$D$639,$D515))-1)))</f>
        <v/>
      </c>
      <c r="R515" s="16">
        <f>IF(OR($A515="",J515="",$C515=""),"",IF(COUNTIFS($A$5:$A$639,$A515,$C$5:$C$639,$C515-1,$D$5:$D$639,$D515,J$5:J$639,"&lt;&gt;")=0,"",IF(OR(SUMIFS(J$5:J$639,$A$5:$A$639,$A515,$C$5:$C$639,$C515-1,$D$5:$D$639,$D515)=0,J515*SUMIFS(J$5:J$639,$A$5:$A$639,$A515,$C$5:$C$639,$C515-1,$D$5:$D$639,$D515)&lt;0),"n.s.",ABS(J515)/ABS(SUMIFS(J$5:J$639,$A$5:$A$639,$A515,$C$5:$C$639,$C515-1,$D$5:$D$639,$D515))-1)))</f>
        <v/>
      </c>
      <c r="S515" s="16">
        <f>IF(OR($A515="",K515="",$C515=""),"",IF(COUNTIFS($A$5:$A$639,$A515,$C$5:$C$639,$C515-1,$D$5:$D$639,$D515,K$5:K$639,"&lt;&gt;")=0,"",IF(OR(SUMIFS(K$5:K$639,$A$5:$A$639,$A515,$C$5:$C$639,$C515-1,$D$5:$D$639,$D515)=0,K515*SUMIFS(K$5:K$639,$A$5:$A$639,$A515,$C$5:$C$639,$C515-1,$D$5:$D$639,$D515)&lt;0),"n.s.",ABS(K515)/ABS(SUMIFS(K$5:K$639,$A$5:$A$639,$A515,$C$5:$C$639,$C515-1,$D$5:$D$639,$D515))-1)))</f>
        <v/>
      </c>
      <c r="T515" s="16">
        <f>IF(OR($A515="",L515="",$C515=""),"",IF(COUNTIFS($A$5:$A$639,$A515,$C$5:$C$639,$C515-1,$D$5:$D$639,$D515,L$5:L$639,"&lt;&gt;")=0,"",IF(OR(SUMIFS(L$5:L$639,$A$5:$A$639,$A515,$C$5:$C$639,$C515-1,$D$5:$D$639,$D515)=0,L515*SUMIFS(L$5:L$639,$A$5:$A$639,$A515,$C$5:$C$639,$C515-1,$D$5:$D$639,$D515)&lt;0),"n.s.",ABS(L515)/ABS(SUMIFS(L$5:L$639,$A$5:$A$639,$A515,$C$5:$C$639,$C515-1,$D$5:$D$639,$D515))-1)))</f>
        <v/>
      </c>
      <c r="U515" s="16">
        <f>IF(OR($A515="",M515="",$C515=""),"",IF(COUNTIFS($A$5:$A$639,$A515,$C$5:$C$639,$C515-1,$D$5:$D$639,$D515,M$5:M$639,"&lt;&gt;")=0,"",IF(OR(SUMIFS(M$5:M$639,$A$5:$A$639,$A515,$C$5:$C$639,$C515-1,$D$5:$D$639,$D515)=0,M515*SUMIFS(M$5:M$639,$A$5:$A$639,$A515,$C$5:$C$639,$C515-1,$D$5:$D$639,$D515)&lt;0),"n.s.",ABS(M515)/ABS(SUMIFS(M$5:M$639,$A$5:$A$639,$A515,$C$5:$C$639,$C515-1,$D$5:$D$639,$D515))-1)))</f>
        <v/>
      </c>
    </row>
    <row r="516">
      <c r="A516" s="9" t="inlineStr">
        <is>
          <t>SNTS</t>
        </is>
      </c>
      <c r="B516" s="10">
        <f>IF(A516="","",IFERROR(VLOOKUP(A516,Titres!$A$2:$B$400,2,FALSE),"Ticker inconnu"))</f>
        <v/>
      </c>
      <c r="C516" s="11" t="n">
        <v>2023</v>
      </c>
      <c r="D516" s="11" t="inlineStr">
        <is>
          <t>S1</t>
        </is>
      </c>
      <c r="E516" s="9" t="n"/>
      <c r="F516" s="12" t="n"/>
      <c r="G516" s="9" t="n"/>
      <c r="H516" s="13" t="n"/>
      <c r="I516" s="13" t="n"/>
      <c r="J516" s="13" t="n"/>
      <c r="K516" s="13" t="n"/>
      <c r="L516" s="13" t="n"/>
      <c r="M516" s="13" t="n"/>
      <c r="N516" s="14">
        <f>IF(A516="","",COUNT(H516:M516)/6)</f>
        <v/>
      </c>
      <c r="O516" s="15">
        <f>IF(COUNT(H516:M516)=0,"",IF(LEN(IF(COUNT(I516,J516)=2,IF(J516&gt;I516+1,"EBE &gt; VA ",""),"")&amp;IF(COUNT(H516,M516)=2,IF(ABS(M516)&gt;ABS(H516),"RN &gt; CA ",""),"")&amp;IF(COUNT(H516,K516)=2,IF(ABS(K516)&gt;ABS(H516),"RE &gt; CA ",""),""))=0,"OK",IF(COUNT(I516,J516)=2,IF(J516&gt;I516+1,"EBE &gt; VA ",""),"")&amp;IF(COUNT(H516,M516)=2,IF(ABS(M516)&gt;ABS(H516),"RN &gt; CA ",""),"")&amp;IF(COUNT(H516,K516)=2,IF(ABS(K516)&gt;ABS(H516),"RE &gt; CA ",""),"")))</f>
        <v/>
      </c>
      <c r="P516" s="16">
        <f>IF(OR($A516="",H516="",$C516=""),"",IF(COUNTIFS($A$5:$A$639,$A516,$C$5:$C$639,$C516-1,$D$5:$D$639,$D516,H$5:H$639,"&lt;&gt;")=0,"",IF(OR(SUMIFS(H$5:H$639,$A$5:$A$639,$A516,$C$5:$C$639,$C516-1,$D$5:$D$639,$D516)=0,H516*SUMIFS(H$5:H$639,$A$5:$A$639,$A516,$C$5:$C$639,$C516-1,$D$5:$D$639,$D516)&lt;0),"n.s.",ABS(H516)/ABS(SUMIFS(H$5:H$639,$A$5:$A$639,$A516,$C$5:$C$639,$C516-1,$D$5:$D$639,$D516))-1)))</f>
        <v/>
      </c>
      <c r="Q516" s="16">
        <f>IF(OR($A516="",I516="",$C516=""),"",IF(COUNTIFS($A$5:$A$639,$A516,$C$5:$C$639,$C516-1,$D$5:$D$639,$D516,I$5:I$639,"&lt;&gt;")=0,"",IF(OR(SUMIFS(I$5:I$639,$A$5:$A$639,$A516,$C$5:$C$639,$C516-1,$D$5:$D$639,$D516)=0,I516*SUMIFS(I$5:I$639,$A$5:$A$639,$A516,$C$5:$C$639,$C516-1,$D$5:$D$639,$D516)&lt;0),"n.s.",ABS(I516)/ABS(SUMIFS(I$5:I$639,$A$5:$A$639,$A516,$C$5:$C$639,$C516-1,$D$5:$D$639,$D516))-1)))</f>
        <v/>
      </c>
      <c r="R516" s="16">
        <f>IF(OR($A516="",J516="",$C516=""),"",IF(COUNTIFS($A$5:$A$639,$A516,$C$5:$C$639,$C516-1,$D$5:$D$639,$D516,J$5:J$639,"&lt;&gt;")=0,"",IF(OR(SUMIFS(J$5:J$639,$A$5:$A$639,$A516,$C$5:$C$639,$C516-1,$D$5:$D$639,$D516)=0,J516*SUMIFS(J$5:J$639,$A$5:$A$639,$A516,$C$5:$C$639,$C516-1,$D$5:$D$639,$D516)&lt;0),"n.s.",ABS(J516)/ABS(SUMIFS(J$5:J$639,$A$5:$A$639,$A516,$C$5:$C$639,$C516-1,$D$5:$D$639,$D516))-1)))</f>
        <v/>
      </c>
      <c r="S516" s="16">
        <f>IF(OR($A516="",K516="",$C516=""),"",IF(COUNTIFS($A$5:$A$639,$A516,$C$5:$C$639,$C516-1,$D$5:$D$639,$D516,K$5:K$639,"&lt;&gt;")=0,"",IF(OR(SUMIFS(K$5:K$639,$A$5:$A$639,$A516,$C$5:$C$639,$C516-1,$D$5:$D$639,$D516)=0,K516*SUMIFS(K$5:K$639,$A$5:$A$639,$A516,$C$5:$C$639,$C516-1,$D$5:$D$639,$D516)&lt;0),"n.s.",ABS(K516)/ABS(SUMIFS(K$5:K$639,$A$5:$A$639,$A516,$C$5:$C$639,$C516-1,$D$5:$D$639,$D516))-1)))</f>
        <v/>
      </c>
      <c r="T516" s="16">
        <f>IF(OR($A516="",L516="",$C516=""),"",IF(COUNTIFS($A$5:$A$639,$A516,$C$5:$C$639,$C516-1,$D$5:$D$639,$D516,L$5:L$639,"&lt;&gt;")=0,"",IF(OR(SUMIFS(L$5:L$639,$A$5:$A$639,$A516,$C$5:$C$639,$C516-1,$D$5:$D$639,$D516)=0,L516*SUMIFS(L$5:L$639,$A$5:$A$639,$A516,$C$5:$C$639,$C516-1,$D$5:$D$639,$D516)&lt;0),"n.s.",ABS(L516)/ABS(SUMIFS(L$5:L$639,$A$5:$A$639,$A516,$C$5:$C$639,$C516-1,$D$5:$D$639,$D516))-1)))</f>
        <v/>
      </c>
      <c r="U516" s="16">
        <f>IF(OR($A516="",M516="",$C516=""),"",IF(COUNTIFS($A$5:$A$639,$A516,$C$5:$C$639,$C516-1,$D$5:$D$639,$D516,M$5:M$639,"&lt;&gt;")=0,"",IF(OR(SUMIFS(M$5:M$639,$A$5:$A$639,$A516,$C$5:$C$639,$C516-1,$D$5:$D$639,$D516)=0,M516*SUMIFS(M$5:M$639,$A$5:$A$639,$A516,$C$5:$C$639,$C516-1,$D$5:$D$639,$D516)&lt;0),"n.s.",ABS(M516)/ABS(SUMIFS(M$5:M$639,$A$5:$A$639,$A516,$C$5:$C$639,$C516-1,$D$5:$D$639,$D516))-1)))</f>
        <v/>
      </c>
    </row>
    <row r="517">
      <c r="A517" s="9" t="inlineStr">
        <is>
          <t>SNTS</t>
        </is>
      </c>
      <c r="B517" s="10">
        <f>IF(A517="","",IFERROR(VLOOKUP(A517,Titres!$A$2:$B$400,2,FALSE),"Ticker inconnu"))</f>
        <v/>
      </c>
      <c r="C517" s="11" t="n">
        <v>2023</v>
      </c>
      <c r="D517" s="11" t="inlineStr">
        <is>
          <t>T3</t>
        </is>
      </c>
      <c r="E517" s="9" t="n"/>
      <c r="F517" s="12" t="n"/>
      <c r="G517" s="9" t="n"/>
      <c r="H517" s="13" t="n"/>
      <c r="I517" s="13" t="n"/>
      <c r="J517" s="13" t="n"/>
      <c r="K517" s="13" t="n"/>
      <c r="L517" s="13" t="n"/>
      <c r="M517" s="13" t="n"/>
      <c r="N517" s="14">
        <f>IF(A517="","",COUNT(H517:M517)/6)</f>
        <v/>
      </c>
      <c r="O517" s="15">
        <f>IF(COUNT(H517:M517)=0,"",IF(LEN(IF(COUNT(I517,J517)=2,IF(J517&gt;I517+1,"EBE &gt; VA ",""),"")&amp;IF(COUNT(H517,M517)=2,IF(ABS(M517)&gt;ABS(H517),"RN &gt; CA ",""),"")&amp;IF(COUNT(H517,K517)=2,IF(ABS(K517)&gt;ABS(H517),"RE &gt; CA ",""),""))=0,"OK",IF(COUNT(I517,J517)=2,IF(J517&gt;I517+1,"EBE &gt; VA ",""),"")&amp;IF(COUNT(H517,M517)=2,IF(ABS(M517)&gt;ABS(H517),"RN &gt; CA ",""),"")&amp;IF(COUNT(H517,K517)=2,IF(ABS(K517)&gt;ABS(H517),"RE &gt; CA ",""),"")))</f>
        <v/>
      </c>
      <c r="P517" s="16">
        <f>IF(OR($A517="",H517="",$C517=""),"",IF(COUNTIFS($A$5:$A$639,$A517,$C$5:$C$639,$C517-1,$D$5:$D$639,$D517,H$5:H$639,"&lt;&gt;")=0,"",IF(OR(SUMIFS(H$5:H$639,$A$5:$A$639,$A517,$C$5:$C$639,$C517-1,$D$5:$D$639,$D517)=0,H517*SUMIFS(H$5:H$639,$A$5:$A$639,$A517,$C$5:$C$639,$C517-1,$D$5:$D$639,$D517)&lt;0),"n.s.",ABS(H517)/ABS(SUMIFS(H$5:H$639,$A$5:$A$639,$A517,$C$5:$C$639,$C517-1,$D$5:$D$639,$D517))-1)))</f>
        <v/>
      </c>
      <c r="Q517" s="16">
        <f>IF(OR($A517="",I517="",$C517=""),"",IF(COUNTIFS($A$5:$A$639,$A517,$C$5:$C$639,$C517-1,$D$5:$D$639,$D517,I$5:I$639,"&lt;&gt;")=0,"",IF(OR(SUMIFS(I$5:I$639,$A$5:$A$639,$A517,$C$5:$C$639,$C517-1,$D$5:$D$639,$D517)=0,I517*SUMIFS(I$5:I$639,$A$5:$A$639,$A517,$C$5:$C$639,$C517-1,$D$5:$D$639,$D517)&lt;0),"n.s.",ABS(I517)/ABS(SUMIFS(I$5:I$639,$A$5:$A$639,$A517,$C$5:$C$639,$C517-1,$D$5:$D$639,$D517))-1)))</f>
        <v/>
      </c>
      <c r="R517" s="16">
        <f>IF(OR($A517="",J517="",$C517=""),"",IF(COUNTIFS($A$5:$A$639,$A517,$C$5:$C$639,$C517-1,$D$5:$D$639,$D517,J$5:J$639,"&lt;&gt;")=0,"",IF(OR(SUMIFS(J$5:J$639,$A$5:$A$639,$A517,$C$5:$C$639,$C517-1,$D$5:$D$639,$D517)=0,J517*SUMIFS(J$5:J$639,$A$5:$A$639,$A517,$C$5:$C$639,$C517-1,$D$5:$D$639,$D517)&lt;0),"n.s.",ABS(J517)/ABS(SUMIFS(J$5:J$639,$A$5:$A$639,$A517,$C$5:$C$639,$C517-1,$D$5:$D$639,$D517))-1)))</f>
        <v/>
      </c>
      <c r="S517" s="16">
        <f>IF(OR($A517="",K517="",$C517=""),"",IF(COUNTIFS($A$5:$A$639,$A517,$C$5:$C$639,$C517-1,$D$5:$D$639,$D517,K$5:K$639,"&lt;&gt;")=0,"",IF(OR(SUMIFS(K$5:K$639,$A$5:$A$639,$A517,$C$5:$C$639,$C517-1,$D$5:$D$639,$D517)=0,K517*SUMIFS(K$5:K$639,$A$5:$A$639,$A517,$C$5:$C$639,$C517-1,$D$5:$D$639,$D517)&lt;0),"n.s.",ABS(K517)/ABS(SUMIFS(K$5:K$639,$A$5:$A$639,$A517,$C$5:$C$639,$C517-1,$D$5:$D$639,$D517))-1)))</f>
        <v/>
      </c>
      <c r="T517" s="16">
        <f>IF(OR($A517="",L517="",$C517=""),"",IF(COUNTIFS($A$5:$A$639,$A517,$C$5:$C$639,$C517-1,$D$5:$D$639,$D517,L$5:L$639,"&lt;&gt;")=0,"",IF(OR(SUMIFS(L$5:L$639,$A$5:$A$639,$A517,$C$5:$C$639,$C517-1,$D$5:$D$639,$D517)=0,L517*SUMIFS(L$5:L$639,$A$5:$A$639,$A517,$C$5:$C$639,$C517-1,$D$5:$D$639,$D517)&lt;0),"n.s.",ABS(L517)/ABS(SUMIFS(L$5:L$639,$A$5:$A$639,$A517,$C$5:$C$639,$C517-1,$D$5:$D$639,$D517))-1)))</f>
        <v/>
      </c>
      <c r="U517" s="16">
        <f>IF(OR($A517="",M517="",$C517=""),"",IF(COUNTIFS($A$5:$A$639,$A517,$C$5:$C$639,$C517-1,$D$5:$D$639,$D517,M$5:M$639,"&lt;&gt;")=0,"",IF(OR(SUMIFS(M$5:M$639,$A$5:$A$639,$A517,$C$5:$C$639,$C517-1,$D$5:$D$639,$D517)=0,M517*SUMIFS(M$5:M$639,$A$5:$A$639,$A517,$C$5:$C$639,$C517-1,$D$5:$D$639,$D517)&lt;0),"n.s.",ABS(M517)/ABS(SUMIFS(M$5:M$639,$A$5:$A$639,$A517,$C$5:$C$639,$C517-1,$D$5:$D$639,$D517))-1)))</f>
        <v/>
      </c>
    </row>
    <row r="518">
      <c r="A518" s="9" t="inlineStr">
        <is>
          <t>SNTS</t>
        </is>
      </c>
      <c r="B518" s="10">
        <f>IF(A518="","",IFERROR(VLOOKUP(A518,Titres!$A$2:$B$400,2,FALSE),"Ticker inconnu"))</f>
        <v/>
      </c>
      <c r="C518" s="11" t="n">
        <v>2024</v>
      </c>
      <c r="D518" s="11" t="inlineStr">
        <is>
          <t>T1</t>
        </is>
      </c>
      <c r="E518" s="9" t="n"/>
      <c r="F518" s="12" t="n"/>
      <c r="G518" s="9" t="n"/>
      <c r="H518" s="13" t="n"/>
      <c r="I518" s="13" t="n"/>
      <c r="J518" s="13" t="n"/>
      <c r="K518" s="13" t="n"/>
      <c r="L518" s="13" t="n"/>
      <c r="M518" s="13" t="n"/>
      <c r="N518" s="14">
        <f>IF(A518="","",COUNT(H518:M518)/6)</f>
        <v/>
      </c>
      <c r="O518" s="15">
        <f>IF(COUNT(H518:M518)=0,"",IF(LEN(IF(COUNT(I518,J518)=2,IF(J518&gt;I518+1,"EBE &gt; VA ",""),"")&amp;IF(COUNT(H518,M518)=2,IF(ABS(M518)&gt;ABS(H518),"RN &gt; CA ",""),"")&amp;IF(COUNT(H518,K518)=2,IF(ABS(K518)&gt;ABS(H518),"RE &gt; CA ",""),""))=0,"OK",IF(COUNT(I518,J518)=2,IF(J518&gt;I518+1,"EBE &gt; VA ",""),"")&amp;IF(COUNT(H518,M518)=2,IF(ABS(M518)&gt;ABS(H518),"RN &gt; CA ",""),"")&amp;IF(COUNT(H518,K518)=2,IF(ABS(K518)&gt;ABS(H518),"RE &gt; CA ",""),"")))</f>
        <v/>
      </c>
      <c r="P518" s="16">
        <f>IF(OR($A518="",H518="",$C518=""),"",IF(COUNTIFS($A$5:$A$639,$A518,$C$5:$C$639,$C518-1,$D$5:$D$639,$D518,H$5:H$639,"&lt;&gt;")=0,"",IF(OR(SUMIFS(H$5:H$639,$A$5:$A$639,$A518,$C$5:$C$639,$C518-1,$D$5:$D$639,$D518)=0,H518*SUMIFS(H$5:H$639,$A$5:$A$639,$A518,$C$5:$C$639,$C518-1,$D$5:$D$639,$D518)&lt;0),"n.s.",ABS(H518)/ABS(SUMIFS(H$5:H$639,$A$5:$A$639,$A518,$C$5:$C$639,$C518-1,$D$5:$D$639,$D518))-1)))</f>
        <v/>
      </c>
      <c r="Q518" s="16">
        <f>IF(OR($A518="",I518="",$C518=""),"",IF(COUNTIFS($A$5:$A$639,$A518,$C$5:$C$639,$C518-1,$D$5:$D$639,$D518,I$5:I$639,"&lt;&gt;")=0,"",IF(OR(SUMIFS(I$5:I$639,$A$5:$A$639,$A518,$C$5:$C$639,$C518-1,$D$5:$D$639,$D518)=0,I518*SUMIFS(I$5:I$639,$A$5:$A$639,$A518,$C$5:$C$639,$C518-1,$D$5:$D$639,$D518)&lt;0),"n.s.",ABS(I518)/ABS(SUMIFS(I$5:I$639,$A$5:$A$639,$A518,$C$5:$C$639,$C518-1,$D$5:$D$639,$D518))-1)))</f>
        <v/>
      </c>
      <c r="R518" s="16">
        <f>IF(OR($A518="",J518="",$C518=""),"",IF(COUNTIFS($A$5:$A$639,$A518,$C$5:$C$639,$C518-1,$D$5:$D$639,$D518,J$5:J$639,"&lt;&gt;")=0,"",IF(OR(SUMIFS(J$5:J$639,$A$5:$A$639,$A518,$C$5:$C$639,$C518-1,$D$5:$D$639,$D518)=0,J518*SUMIFS(J$5:J$639,$A$5:$A$639,$A518,$C$5:$C$639,$C518-1,$D$5:$D$639,$D518)&lt;0),"n.s.",ABS(J518)/ABS(SUMIFS(J$5:J$639,$A$5:$A$639,$A518,$C$5:$C$639,$C518-1,$D$5:$D$639,$D518))-1)))</f>
        <v/>
      </c>
      <c r="S518" s="16">
        <f>IF(OR($A518="",K518="",$C518=""),"",IF(COUNTIFS($A$5:$A$639,$A518,$C$5:$C$639,$C518-1,$D$5:$D$639,$D518,K$5:K$639,"&lt;&gt;")=0,"",IF(OR(SUMIFS(K$5:K$639,$A$5:$A$639,$A518,$C$5:$C$639,$C518-1,$D$5:$D$639,$D518)=0,K518*SUMIFS(K$5:K$639,$A$5:$A$639,$A518,$C$5:$C$639,$C518-1,$D$5:$D$639,$D518)&lt;0),"n.s.",ABS(K518)/ABS(SUMIFS(K$5:K$639,$A$5:$A$639,$A518,$C$5:$C$639,$C518-1,$D$5:$D$639,$D518))-1)))</f>
        <v/>
      </c>
      <c r="T518" s="16">
        <f>IF(OR($A518="",L518="",$C518=""),"",IF(COUNTIFS($A$5:$A$639,$A518,$C$5:$C$639,$C518-1,$D$5:$D$639,$D518,L$5:L$639,"&lt;&gt;")=0,"",IF(OR(SUMIFS(L$5:L$639,$A$5:$A$639,$A518,$C$5:$C$639,$C518-1,$D$5:$D$639,$D518)=0,L518*SUMIFS(L$5:L$639,$A$5:$A$639,$A518,$C$5:$C$639,$C518-1,$D$5:$D$639,$D518)&lt;0),"n.s.",ABS(L518)/ABS(SUMIFS(L$5:L$639,$A$5:$A$639,$A518,$C$5:$C$639,$C518-1,$D$5:$D$639,$D518))-1)))</f>
        <v/>
      </c>
      <c r="U518" s="16">
        <f>IF(OR($A518="",M518="",$C518=""),"",IF(COUNTIFS($A$5:$A$639,$A518,$C$5:$C$639,$C518-1,$D$5:$D$639,$D518,M$5:M$639,"&lt;&gt;")=0,"",IF(OR(SUMIFS(M$5:M$639,$A$5:$A$639,$A518,$C$5:$C$639,$C518-1,$D$5:$D$639,$D518)=0,M518*SUMIFS(M$5:M$639,$A$5:$A$639,$A518,$C$5:$C$639,$C518-1,$D$5:$D$639,$D518)&lt;0),"n.s.",ABS(M518)/ABS(SUMIFS(M$5:M$639,$A$5:$A$639,$A518,$C$5:$C$639,$C518-1,$D$5:$D$639,$D518))-1)))</f>
        <v/>
      </c>
    </row>
    <row r="519">
      <c r="A519" s="9" t="inlineStr">
        <is>
          <t>SNTS</t>
        </is>
      </c>
      <c r="B519" s="10">
        <f>IF(A519="","",IFERROR(VLOOKUP(A519,Titres!$A$2:$B$400,2,FALSE),"Ticker inconnu"))</f>
        <v/>
      </c>
      <c r="C519" s="11" t="n">
        <v>2024</v>
      </c>
      <c r="D519" s="11" t="inlineStr">
        <is>
          <t>S1</t>
        </is>
      </c>
      <c r="E519" s="9" t="n"/>
      <c r="F519" s="12" t="n"/>
      <c r="G519" s="9" t="n"/>
      <c r="H519" s="13" t="n"/>
      <c r="I519" s="13" t="n"/>
      <c r="J519" s="13" t="n"/>
      <c r="K519" s="13" t="n"/>
      <c r="L519" s="13" t="n"/>
      <c r="M519" s="13" t="n"/>
      <c r="N519" s="14">
        <f>IF(A519="","",COUNT(H519:M519)/6)</f>
        <v/>
      </c>
      <c r="O519" s="15">
        <f>IF(COUNT(H519:M519)=0,"",IF(LEN(IF(COUNT(I519,J519)=2,IF(J519&gt;I519+1,"EBE &gt; VA ",""),"")&amp;IF(COUNT(H519,M519)=2,IF(ABS(M519)&gt;ABS(H519),"RN &gt; CA ",""),"")&amp;IF(COUNT(H519,K519)=2,IF(ABS(K519)&gt;ABS(H519),"RE &gt; CA ",""),""))=0,"OK",IF(COUNT(I519,J519)=2,IF(J519&gt;I519+1,"EBE &gt; VA ",""),"")&amp;IF(COUNT(H519,M519)=2,IF(ABS(M519)&gt;ABS(H519),"RN &gt; CA ",""),"")&amp;IF(COUNT(H519,K519)=2,IF(ABS(K519)&gt;ABS(H519),"RE &gt; CA ",""),"")))</f>
        <v/>
      </c>
      <c r="P519" s="16">
        <f>IF(OR($A519="",H519="",$C519=""),"",IF(COUNTIFS($A$5:$A$639,$A519,$C$5:$C$639,$C519-1,$D$5:$D$639,$D519,H$5:H$639,"&lt;&gt;")=0,"",IF(OR(SUMIFS(H$5:H$639,$A$5:$A$639,$A519,$C$5:$C$639,$C519-1,$D$5:$D$639,$D519)=0,H519*SUMIFS(H$5:H$639,$A$5:$A$639,$A519,$C$5:$C$639,$C519-1,$D$5:$D$639,$D519)&lt;0),"n.s.",ABS(H519)/ABS(SUMIFS(H$5:H$639,$A$5:$A$639,$A519,$C$5:$C$639,$C519-1,$D$5:$D$639,$D519))-1)))</f>
        <v/>
      </c>
      <c r="Q519" s="16">
        <f>IF(OR($A519="",I519="",$C519=""),"",IF(COUNTIFS($A$5:$A$639,$A519,$C$5:$C$639,$C519-1,$D$5:$D$639,$D519,I$5:I$639,"&lt;&gt;")=0,"",IF(OR(SUMIFS(I$5:I$639,$A$5:$A$639,$A519,$C$5:$C$639,$C519-1,$D$5:$D$639,$D519)=0,I519*SUMIFS(I$5:I$639,$A$5:$A$639,$A519,$C$5:$C$639,$C519-1,$D$5:$D$639,$D519)&lt;0),"n.s.",ABS(I519)/ABS(SUMIFS(I$5:I$639,$A$5:$A$639,$A519,$C$5:$C$639,$C519-1,$D$5:$D$639,$D519))-1)))</f>
        <v/>
      </c>
      <c r="R519" s="16">
        <f>IF(OR($A519="",J519="",$C519=""),"",IF(COUNTIFS($A$5:$A$639,$A519,$C$5:$C$639,$C519-1,$D$5:$D$639,$D519,J$5:J$639,"&lt;&gt;")=0,"",IF(OR(SUMIFS(J$5:J$639,$A$5:$A$639,$A519,$C$5:$C$639,$C519-1,$D$5:$D$639,$D519)=0,J519*SUMIFS(J$5:J$639,$A$5:$A$639,$A519,$C$5:$C$639,$C519-1,$D$5:$D$639,$D519)&lt;0),"n.s.",ABS(J519)/ABS(SUMIFS(J$5:J$639,$A$5:$A$639,$A519,$C$5:$C$639,$C519-1,$D$5:$D$639,$D519))-1)))</f>
        <v/>
      </c>
      <c r="S519" s="16">
        <f>IF(OR($A519="",K519="",$C519=""),"",IF(COUNTIFS($A$5:$A$639,$A519,$C$5:$C$639,$C519-1,$D$5:$D$639,$D519,K$5:K$639,"&lt;&gt;")=0,"",IF(OR(SUMIFS(K$5:K$639,$A$5:$A$639,$A519,$C$5:$C$639,$C519-1,$D$5:$D$639,$D519)=0,K519*SUMIFS(K$5:K$639,$A$5:$A$639,$A519,$C$5:$C$639,$C519-1,$D$5:$D$639,$D519)&lt;0),"n.s.",ABS(K519)/ABS(SUMIFS(K$5:K$639,$A$5:$A$639,$A519,$C$5:$C$639,$C519-1,$D$5:$D$639,$D519))-1)))</f>
        <v/>
      </c>
      <c r="T519" s="16">
        <f>IF(OR($A519="",L519="",$C519=""),"",IF(COUNTIFS($A$5:$A$639,$A519,$C$5:$C$639,$C519-1,$D$5:$D$639,$D519,L$5:L$639,"&lt;&gt;")=0,"",IF(OR(SUMIFS(L$5:L$639,$A$5:$A$639,$A519,$C$5:$C$639,$C519-1,$D$5:$D$639,$D519)=0,L519*SUMIFS(L$5:L$639,$A$5:$A$639,$A519,$C$5:$C$639,$C519-1,$D$5:$D$639,$D519)&lt;0),"n.s.",ABS(L519)/ABS(SUMIFS(L$5:L$639,$A$5:$A$639,$A519,$C$5:$C$639,$C519-1,$D$5:$D$639,$D519))-1)))</f>
        <v/>
      </c>
      <c r="U519" s="16">
        <f>IF(OR($A519="",M519="",$C519=""),"",IF(COUNTIFS($A$5:$A$639,$A519,$C$5:$C$639,$C519-1,$D$5:$D$639,$D519,M$5:M$639,"&lt;&gt;")=0,"",IF(OR(SUMIFS(M$5:M$639,$A$5:$A$639,$A519,$C$5:$C$639,$C519-1,$D$5:$D$639,$D519)=0,M519*SUMIFS(M$5:M$639,$A$5:$A$639,$A519,$C$5:$C$639,$C519-1,$D$5:$D$639,$D519)&lt;0),"n.s.",ABS(M519)/ABS(SUMIFS(M$5:M$639,$A$5:$A$639,$A519,$C$5:$C$639,$C519-1,$D$5:$D$639,$D519))-1)))</f>
        <v/>
      </c>
    </row>
    <row r="520">
      <c r="A520" s="9" t="inlineStr">
        <is>
          <t>SNTS</t>
        </is>
      </c>
      <c r="B520" s="10">
        <f>IF(A520="","",IFERROR(VLOOKUP(A520,Titres!$A$2:$B$400,2,FALSE),"Ticker inconnu"))</f>
        <v/>
      </c>
      <c r="C520" s="11" t="n">
        <v>2024</v>
      </c>
      <c r="D520" s="11" t="inlineStr">
        <is>
          <t>T3</t>
        </is>
      </c>
      <c r="E520" s="9" t="n"/>
      <c r="F520" s="12" t="n"/>
      <c r="G520" s="9" t="n"/>
      <c r="H520" s="13" t="n"/>
      <c r="I520" s="13" t="n"/>
      <c r="J520" s="13" t="n"/>
      <c r="K520" s="13" t="n"/>
      <c r="L520" s="13" t="n"/>
      <c r="M520" s="13" t="n"/>
      <c r="N520" s="14">
        <f>IF(A520="","",COUNT(H520:M520)/6)</f>
        <v/>
      </c>
      <c r="O520" s="15">
        <f>IF(COUNT(H520:M520)=0,"",IF(LEN(IF(COUNT(I520,J520)=2,IF(J520&gt;I520+1,"EBE &gt; VA ",""),"")&amp;IF(COUNT(H520,M520)=2,IF(ABS(M520)&gt;ABS(H520),"RN &gt; CA ",""),"")&amp;IF(COUNT(H520,K520)=2,IF(ABS(K520)&gt;ABS(H520),"RE &gt; CA ",""),""))=0,"OK",IF(COUNT(I520,J520)=2,IF(J520&gt;I520+1,"EBE &gt; VA ",""),"")&amp;IF(COUNT(H520,M520)=2,IF(ABS(M520)&gt;ABS(H520),"RN &gt; CA ",""),"")&amp;IF(COUNT(H520,K520)=2,IF(ABS(K520)&gt;ABS(H520),"RE &gt; CA ",""),"")))</f>
        <v/>
      </c>
      <c r="P520" s="16">
        <f>IF(OR($A520="",H520="",$C520=""),"",IF(COUNTIFS($A$5:$A$639,$A520,$C$5:$C$639,$C520-1,$D$5:$D$639,$D520,H$5:H$639,"&lt;&gt;")=0,"",IF(OR(SUMIFS(H$5:H$639,$A$5:$A$639,$A520,$C$5:$C$639,$C520-1,$D$5:$D$639,$D520)=0,H520*SUMIFS(H$5:H$639,$A$5:$A$639,$A520,$C$5:$C$639,$C520-1,$D$5:$D$639,$D520)&lt;0),"n.s.",ABS(H520)/ABS(SUMIFS(H$5:H$639,$A$5:$A$639,$A520,$C$5:$C$639,$C520-1,$D$5:$D$639,$D520))-1)))</f>
        <v/>
      </c>
      <c r="Q520" s="16">
        <f>IF(OR($A520="",I520="",$C520=""),"",IF(COUNTIFS($A$5:$A$639,$A520,$C$5:$C$639,$C520-1,$D$5:$D$639,$D520,I$5:I$639,"&lt;&gt;")=0,"",IF(OR(SUMIFS(I$5:I$639,$A$5:$A$639,$A520,$C$5:$C$639,$C520-1,$D$5:$D$639,$D520)=0,I520*SUMIFS(I$5:I$639,$A$5:$A$639,$A520,$C$5:$C$639,$C520-1,$D$5:$D$639,$D520)&lt;0),"n.s.",ABS(I520)/ABS(SUMIFS(I$5:I$639,$A$5:$A$639,$A520,$C$5:$C$639,$C520-1,$D$5:$D$639,$D520))-1)))</f>
        <v/>
      </c>
      <c r="R520" s="16">
        <f>IF(OR($A520="",J520="",$C520=""),"",IF(COUNTIFS($A$5:$A$639,$A520,$C$5:$C$639,$C520-1,$D$5:$D$639,$D520,J$5:J$639,"&lt;&gt;")=0,"",IF(OR(SUMIFS(J$5:J$639,$A$5:$A$639,$A520,$C$5:$C$639,$C520-1,$D$5:$D$639,$D520)=0,J520*SUMIFS(J$5:J$639,$A$5:$A$639,$A520,$C$5:$C$639,$C520-1,$D$5:$D$639,$D520)&lt;0),"n.s.",ABS(J520)/ABS(SUMIFS(J$5:J$639,$A$5:$A$639,$A520,$C$5:$C$639,$C520-1,$D$5:$D$639,$D520))-1)))</f>
        <v/>
      </c>
      <c r="S520" s="16">
        <f>IF(OR($A520="",K520="",$C520=""),"",IF(COUNTIFS($A$5:$A$639,$A520,$C$5:$C$639,$C520-1,$D$5:$D$639,$D520,K$5:K$639,"&lt;&gt;")=0,"",IF(OR(SUMIFS(K$5:K$639,$A$5:$A$639,$A520,$C$5:$C$639,$C520-1,$D$5:$D$639,$D520)=0,K520*SUMIFS(K$5:K$639,$A$5:$A$639,$A520,$C$5:$C$639,$C520-1,$D$5:$D$639,$D520)&lt;0),"n.s.",ABS(K520)/ABS(SUMIFS(K$5:K$639,$A$5:$A$639,$A520,$C$5:$C$639,$C520-1,$D$5:$D$639,$D520))-1)))</f>
        <v/>
      </c>
      <c r="T520" s="16">
        <f>IF(OR($A520="",L520="",$C520=""),"",IF(COUNTIFS($A$5:$A$639,$A520,$C$5:$C$639,$C520-1,$D$5:$D$639,$D520,L$5:L$639,"&lt;&gt;")=0,"",IF(OR(SUMIFS(L$5:L$639,$A$5:$A$639,$A520,$C$5:$C$639,$C520-1,$D$5:$D$639,$D520)=0,L520*SUMIFS(L$5:L$639,$A$5:$A$639,$A520,$C$5:$C$639,$C520-1,$D$5:$D$639,$D520)&lt;0),"n.s.",ABS(L520)/ABS(SUMIFS(L$5:L$639,$A$5:$A$639,$A520,$C$5:$C$639,$C520-1,$D$5:$D$639,$D520))-1)))</f>
        <v/>
      </c>
      <c r="U520" s="16">
        <f>IF(OR($A520="",M520="",$C520=""),"",IF(COUNTIFS($A$5:$A$639,$A520,$C$5:$C$639,$C520-1,$D$5:$D$639,$D520,M$5:M$639,"&lt;&gt;")=0,"",IF(OR(SUMIFS(M$5:M$639,$A$5:$A$639,$A520,$C$5:$C$639,$C520-1,$D$5:$D$639,$D520)=0,M520*SUMIFS(M$5:M$639,$A$5:$A$639,$A520,$C$5:$C$639,$C520-1,$D$5:$D$639,$D520)&lt;0),"n.s.",ABS(M520)/ABS(SUMIFS(M$5:M$639,$A$5:$A$639,$A520,$C$5:$C$639,$C520-1,$D$5:$D$639,$D520))-1)))</f>
        <v/>
      </c>
    </row>
    <row r="521">
      <c r="A521" s="9" t="inlineStr">
        <is>
          <t>SNTS</t>
        </is>
      </c>
      <c r="B521" s="10">
        <f>IF(A521="","",IFERROR(VLOOKUP(A521,Titres!$A$2:$B$400,2,FALSE),"Ticker inconnu"))</f>
        <v/>
      </c>
      <c r="C521" s="11" t="n">
        <v>2025</v>
      </c>
      <c r="D521" s="11" t="inlineStr">
        <is>
          <t>T1</t>
        </is>
      </c>
      <c r="E521" s="9" t="n"/>
      <c r="F521" s="12" t="n"/>
      <c r="G521" s="9" t="n"/>
      <c r="H521" s="13" t="n"/>
      <c r="I521" s="13" t="n"/>
      <c r="J521" s="13" t="n"/>
      <c r="K521" s="13" t="n"/>
      <c r="L521" s="13" t="n"/>
      <c r="M521" s="13" t="n"/>
      <c r="N521" s="14">
        <f>IF(A521="","",COUNT(H521:M521)/6)</f>
        <v/>
      </c>
      <c r="O521" s="15">
        <f>IF(COUNT(H521:M521)=0,"",IF(LEN(IF(COUNT(I521,J521)=2,IF(J521&gt;I521+1,"EBE &gt; VA ",""),"")&amp;IF(COUNT(H521,M521)=2,IF(ABS(M521)&gt;ABS(H521),"RN &gt; CA ",""),"")&amp;IF(COUNT(H521,K521)=2,IF(ABS(K521)&gt;ABS(H521),"RE &gt; CA ",""),""))=0,"OK",IF(COUNT(I521,J521)=2,IF(J521&gt;I521+1,"EBE &gt; VA ",""),"")&amp;IF(COUNT(H521,M521)=2,IF(ABS(M521)&gt;ABS(H521),"RN &gt; CA ",""),"")&amp;IF(COUNT(H521,K521)=2,IF(ABS(K521)&gt;ABS(H521),"RE &gt; CA ",""),"")))</f>
        <v/>
      </c>
      <c r="P521" s="16">
        <f>IF(OR($A521="",H521="",$C521=""),"",IF(COUNTIFS($A$5:$A$639,$A521,$C$5:$C$639,$C521-1,$D$5:$D$639,$D521,H$5:H$639,"&lt;&gt;")=0,"",IF(OR(SUMIFS(H$5:H$639,$A$5:$A$639,$A521,$C$5:$C$639,$C521-1,$D$5:$D$639,$D521)=0,H521*SUMIFS(H$5:H$639,$A$5:$A$639,$A521,$C$5:$C$639,$C521-1,$D$5:$D$639,$D521)&lt;0),"n.s.",ABS(H521)/ABS(SUMIFS(H$5:H$639,$A$5:$A$639,$A521,$C$5:$C$639,$C521-1,$D$5:$D$639,$D521))-1)))</f>
        <v/>
      </c>
      <c r="Q521" s="16">
        <f>IF(OR($A521="",I521="",$C521=""),"",IF(COUNTIFS($A$5:$A$639,$A521,$C$5:$C$639,$C521-1,$D$5:$D$639,$D521,I$5:I$639,"&lt;&gt;")=0,"",IF(OR(SUMIFS(I$5:I$639,$A$5:$A$639,$A521,$C$5:$C$639,$C521-1,$D$5:$D$639,$D521)=0,I521*SUMIFS(I$5:I$639,$A$5:$A$639,$A521,$C$5:$C$639,$C521-1,$D$5:$D$639,$D521)&lt;0),"n.s.",ABS(I521)/ABS(SUMIFS(I$5:I$639,$A$5:$A$639,$A521,$C$5:$C$639,$C521-1,$D$5:$D$639,$D521))-1)))</f>
        <v/>
      </c>
      <c r="R521" s="16">
        <f>IF(OR($A521="",J521="",$C521=""),"",IF(COUNTIFS($A$5:$A$639,$A521,$C$5:$C$639,$C521-1,$D$5:$D$639,$D521,J$5:J$639,"&lt;&gt;")=0,"",IF(OR(SUMIFS(J$5:J$639,$A$5:$A$639,$A521,$C$5:$C$639,$C521-1,$D$5:$D$639,$D521)=0,J521*SUMIFS(J$5:J$639,$A$5:$A$639,$A521,$C$5:$C$639,$C521-1,$D$5:$D$639,$D521)&lt;0),"n.s.",ABS(J521)/ABS(SUMIFS(J$5:J$639,$A$5:$A$639,$A521,$C$5:$C$639,$C521-1,$D$5:$D$639,$D521))-1)))</f>
        <v/>
      </c>
      <c r="S521" s="16">
        <f>IF(OR($A521="",K521="",$C521=""),"",IF(COUNTIFS($A$5:$A$639,$A521,$C$5:$C$639,$C521-1,$D$5:$D$639,$D521,K$5:K$639,"&lt;&gt;")=0,"",IF(OR(SUMIFS(K$5:K$639,$A$5:$A$639,$A521,$C$5:$C$639,$C521-1,$D$5:$D$639,$D521)=0,K521*SUMIFS(K$5:K$639,$A$5:$A$639,$A521,$C$5:$C$639,$C521-1,$D$5:$D$639,$D521)&lt;0),"n.s.",ABS(K521)/ABS(SUMIFS(K$5:K$639,$A$5:$A$639,$A521,$C$5:$C$639,$C521-1,$D$5:$D$639,$D521))-1)))</f>
        <v/>
      </c>
      <c r="T521" s="16">
        <f>IF(OR($A521="",L521="",$C521=""),"",IF(COUNTIFS($A$5:$A$639,$A521,$C$5:$C$639,$C521-1,$D$5:$D$639,$D521,L$5:L$639,"&lt;&gt;")=0,"",IF(OR(SUMIFS(L$5:L$639,$A$5:$A$639,$A521,$C$5:$C$639,$C521-1,$D$5:$D$639,$D521)=0,L521*SUMIFS(L$5:L$639,$A$5:$A$639,$A521,$C$5:$C$639,$C521-1,$D$5:$D$639,$D521)&lt;0),"n.s.",ABS(L521)/ABS(SUMIFS(L$5:L$639,$A$5:$A$639,$A521,$C$5:$C$639,$C521-1,$D$5:$D$639,$D521))-1)))</f>
        <v/>
      </c>
      <c r="U521" s="16">
        <f>IF(OR($A521="",M521="",$C521=""),"",IF(COUNTIFS($A$5:$A$639,$A521,$C$5:$C$639,$C521-1,$D$5:$D$639,$D521,M$5:M$639,"&lt;&gt;")=0,"",IF(OR(SUMIFS(M$5:M$639,$A$5:$A$639,$A521,$C$5:$C$639,$C521-1,$D$5:$D$639,$D521)=0,M521*SUMIFS(M$5:M$639,$A$5:$A$639,$A521,$C$5:$C$639,$C521-1,$D$5:$D$639,$D521)&lt;0),"n.s.",ABS(M521)/ABS(SUMIFS(M$5:M$639,$A$5:$A$639,$A521,$C$5:$C$639,$C521-1,$D$5:$D$639,$D521))-1)))</f>
        <v/>
      </c>
    </row>
    <row r="522">
      <c r="A522" s="9" t="inlineStr">
        <is>
          <t>SNTS</t>
        </is>
      </c>
      <c r="B522" s="10">
        <f>IF(A522="","",IFERROR(VLOOKUP(A522,Titres!$A$2:$B$400,2,FALSE),"Ticker inconnu"))</f>
        <v/>
      </c>
      <c r="C522" s="11" t="n">
        <v>2025</v>
      </c>
      <c r="D522" s="11" t="inlineStr">
        <is>
          <t>S1</t>
        </is>
      </c>
      <c r="E522" s="9" t="n"/>
      <c r="F522" s="12" t="n"/>
      <c r="G522" s="9" t="n"/>
      <c r="H522" s="13" t="n"/>
      <c r="I522" s="13" t="n"/>
      <c r="J522" s="13" t="n"/>
      <c r="K522" s="13" t="n"/>
      <c r="L522" s="13" t="n"/>
      <c r="M522" s="13" t="n"/>
      <c r="N522" s="14">
        <f>IF(A522="","",COUNT(H522:M522)/6)</f>
        <v/>
      </c>
      <c r="O522" s="15">
        <f>IF(COUNT(H522:M522)=0,"",IF(LEN(IF(COUNT(I522,J522)=2,IF(J522&gt;I522+1,"EBE &gt; VA ",""),"")&amp;IF(COUNT(H522,M522)=2,IF(ABS(M522)&gt;ABS(H522),"RN &gt; CA ",""),"")&amp;IF(COUNT(H522,K522)=2,IF(ABS(K522)&gt;ABS(H522),"RE &gt; CA ",""),""))=0,"OK",IF(COUNT(I522,J522)=2,IF(J522&gt;I522+1,"EBE &gt; VA ",""),"")&amp;IF(COUNT(H522,M522)=2,IF(ABS(M522)&gt;ABS(H522),"RN &gt; CA ",""),"")&amp;IF(COUNT(H522,K522)=2,IF(ABS(K522)&gt;ABS(H522),"RE &gt; CA ",""),"")))</f>
        <v/>
      </c>
      <c r="P522" s="16">
        <f>IF(OR($A522="",H522="",$C522=""),"",IF(COUNTIFS($A$5:$A$639,$A522,$C$5:$C$639,$C522-1,$D$5:$D$639,$D522,H$5:H$639,"&lt;&gt;")=0,"",IF(OR(SUMIFS(H$5:H$639,$A$5:$A$639,$A522,$C$5:$C$639,$C522-1,$D$5:$D$639,$D522)=0,H522*SUMIFS(H$5:H$639,$A$5:$A$639,$A522,$C$5:$C$639,$C522-1,$D$5:$D$639,$D522)&lt;0),"n.s.",ABS(H522)/ABS(SUMIFS(H$5:H$639,$A$5:$A$639,$A522,$C$5:$C$639,$C522-1,$D$5:$D$639,$D522))-1)))</f>
        <v/>
      </c>
      <c r="Q522" s="16">
        <f>IF(OR($A522="",I522="",$C522=""),"",IF(COUNTIFS($A$5:$A$639,$A522,$C$5:$C$639,$C522-1,$D$5:$D$639,$D522,I$5:I$639,"&lt;&gt;")=0,"",IF(OR(SUMIFS(I$5:I$639,$A$5:$A$639,$A522,$C$5:$C$639,$C522-1,$D$5:$D$639,$D522)=0,I522*SUMIFS(I$5:I$639,$A$5:$A$639,$A522,$C$5:$C$639,$C522-1,$D$5:$D$639,$D522)&lt;0),"n.s.",ABS(I522)/ABS(SUMIFS(I$5:I$639,$A$5:$A$639,$A522,$C$5:$C$639,$C522-1,$D$5:$D$639,$D522))-1)))</f>
        <v/>
      </c>
      <c r="R522" s="16">
        <f>IF(OR($A522="",J522="",$C522=""),"",IF(COUNTIFS($A$5:$A$639,$A522,$C$5:$C$639,$C522-1,$D$5:$D$639,$D522,J$5:J$639,"&lt;&gt;")=0,"",IF(OR(SUMIFS(J$5:J$639,$A$5:$A$639,$A522,$C$5:$C$639,$C522-1,$D$5:$D$639,$D522)=0,J522*SUMIFS(J$5:J$639,$A$5:$A$639,$A522,$C$5:$C$639,$C522-1,$D$5:$D$639,$D522)&lt;0),"n.s.",ABS(J522)/ABS(SUMIFS(J$5:J$639,$A$5:$A$639,$A522,$C$5:$C$639,$C522-1,$D$5:$D$639,$D522))-1)))</f>
        <v/>
      </c>
      <c r="S522" s="16">
        <f>IF(OR($A522="",K522="",$C522=""),"",IF(COUNTIFS($A$5:$A$639,$A522,$C$5:$C$639,$C522-1,$D$5:$D$639,$D522,K$5:K$639,"&lt;&gt;")=0,"",IF(OR(SUMIFS(K$5:K$639,$A$5:$A$639,$A522,$C$5:$C$639,$C522-1,$D$5:$D$639,$D522)=0,K522*SUMIFS(K$5:K$639,$A$5:$A$639,$A522,$C$5:$C$639,$C522-1,$D$5:$D$639,$D522)&lt;0),"n.s.",ABS(K522)/ABS(SUMIFS(K$5:K$639,$A$5:$A$639,$A522,$C$5:$C$639,$C522-1,$D$5:$D$639,$D522))-1)))</f>
        <v/>
      </c>
      <c r="T522" s="16">
        <f>IF(OR($A522="",L522="",$C522=""),"",IF(COUNTIFS($A$5:$A$639,$A522,$C$5:$C$639,$C522-1,$D$5:$D$639,$D522,L$5:L$639,"&lt;&gt;")=0,"",IF(OR(SUMIFS(L$5:L$639,$A$5:$A$639,$A522,$C$5:$C$639,$C522-1,$D$5:$D$639,$D522)=0,L522*SUMIFS(L$5:L$639,$A$5:$A$639,$A522,$C$5:$C$639,$C522-1,$D$5:$D$639,$D522)&lt;0),"n.s.",ABS(L522)/ABS(SUMIFS(L$5:L$639,$A$5:$A$639,$A522,$C$5:$C$639,$C522-1,$D$5:$D$639,$D522))-1)))</f>
        <v/>
      </c>
      <c r="U522" s="16">
        <f>IF(OR($A522="",M522="",$C522=""),"",IF(COUNTIFS($A$5:$A$639,$A522,$C$5:$C$639,$C522-1,$D$5:$D$639,$D522,M$5:M$639,"&lt;&gt;")=0,"",IF(OR(SUMIFS(M$5:M$639,$A$5:$A$639,$A522,$C$5:$C$639,$C522-1,$D$5:$D$639,$D522)=0,M522*SUMIFS(M$5:M$639,$A$5:$A$639,$A522,$C$5:$C$639,$C522-1,$D$5:$D$639,$D522)&lt;0),"n.s.",ABS(M522)/ABS(SUMIFS(M$5:M$639,$A$5:$A$639,$A522,$C$5:$C$639,$C522-1,$D$5:$D$639,$D522))-1)))</f>
        <v/>
      </c>
    </row>
    <row r="523">
      <c r="A523" s="9" t="inlineStr">
        <is>
          <t>SNTS</t>
        </is>
      </c>
      <c r="B523" s="10">
        <f>IF(A523="","",IFERROR(VLOOKUP(A523,Titres!$A$2:$B$400,2,FALSE),"Ticker inconnu"))</f>
        <v/>
      </c>
      <c r="C523" s="11" t="n">
        <v>2025</v>
      </c>
      <c r="D523" s="11" t="inlineStr">
        <is>
          <t>T3</t>
        </is>
      </c>
      <c r="E523" s="9" t="n"/>
      <c r="F523" s="12" t="n"/>
      <c r="G523" s="9" t="n"/>
      <c r="H523" s="13" t="n"/>
      <c r="I523" s="13" t="n"/>
      <c r="J523" s="13" t="n"/>
      <c r="K523" s="13" t="n"/>
      <c r="L523" s="13" t="n"/>
      <c r="M523" s="13" t="n"/>
      <c r="N523" s="14">
        <f>IF(A523="","",COUNT(H523:M523)/6)</f>
        <v/>
      </c>
      <c r="O523" s="15">
        <f>IF(COUNT(H523:M523)=0,"",IF(LEN(IF(COUNT(I523,J523)=2,IF(J523&gt;I523+1,"EBE &gt; VA ",""),"")&amp;IF(COUNT(H523,M523)=2,IF(ABS(M523)&gt;ABS(H523),"RN &gt; CA ",""),"")&amp;IF(COUNT(H523,K523)=2,IF(ABS(K523)&gt;ABS(H523),"RE &gt; CA ",""),""))=0,"OK",IF(COUNT(I523,J523)=2,IF(J523&gt;I523+1,"EBE &gt; VA ",""),"")&amp;IF(COUNT(H523,M523)=2,IF(ABS(M523)&gt;ABS(H523),"RN &gt; CA ",""),"")&amp;IF(COUNT(H523,K523)=2,IF(ABS(K523)&gt;ABS(H523),"RE &gt; CA ",""),"")))</f>
        <v/>
      </c>
      <c r="P523" s="16">
        <f>IF(OR($A523="",H523="",$C523=""),"",IF(COUNTIFS($A$5:$A$639,$A523,$C$5:$C$639,$C523-1,$D$5:$D$639,$D523,H$5:H$639,"&lt;&gt;")=0,"",IF(OR(SUMIFS(H$5:H$639,$A$5:$A$639,$A523,$C$5:$C$639,$C523-1,$D$5:$D$639,$D523)=0,H523*SUMIFS(H$5:H$639,$A$5:$A$639,$A523,$C$5:$C$639,$C523-1,$D$5:$D$639,$D523)&lt;0),"n.s.",ABS(H523)/ABS(SUMIFS(H$5:H$639,$A$5:$A$639,$A523,$C$5:$C$639,$C523-1,$D$5:$D$639,$D523))-1)))</f>
        <v/>
      </c>
      <c r="Q523" s="16">
        <f>IF(OR($A523="",I523="",$C523=""),"",IF(COUNTIFS($A$5:$A$639,$A523,$C$5:$C$639,$C523-1,$D$5:$D$639,$D523,I$5:I$639,"&lt;&gt;")=0,"",IF(OR(SUMIFS(I$5:I$639,$A$5:$A$639,$A523,$C$5:$C$639,$C523-1,$D$5:$D$639,$D523)=0,I523*SUMIFS(I$5:I$639,$A$5:$A$639,$A523,$C$5:$C$639,$C523-1,$D$5:$D$639,$D523)&lt;0),"n.s.",ABS(I523)/ABS(SUMIFS(I$5:I$639,$A$5:$A$639,$A523,$C$5:$C$639,$C523-1,$D$5:$D$639,$D523))-1)))</f>
        <v/>
      </c>
      <c r="R523" s="16">
        <f>IF(OR($A523="",J523="",$C523=""),"",IF(COUNTIFS($A$5:$A$639,$A523,$C$5:$C$639,$C523-1,$D$5:$D$639,$D523,J$5:J$639,"&lt;&gt;")=0,"",IF(OR(SUMIFS(J$5:J$639,$A$5:$A$639,$A523,$C$5:$C$639,$C523-1,$D$5:$D$639,$D523)=0,J523*SUMIFS(J$5:J$639,$A$5:$A$639,$A523,$C$5:$C$639,$C523-1,$D$5:$D$639,$D523)&lt;0),"n.s.",ABS(J523)/ABS(SUMIFS(J$5:J$639,$A$5:$A$639,$A523,$C$5:$C$639,$C523-1,$D$5:$D$639,$D523))-1)))</f>
        <v/>
      </c>
      <c r="S523" s="16">
        <f>IF(OR($A523="",K523="",$C523=""),"",IF(COUNTIFS($A$5:$A$639,$A523,$C$5:$C$639,$C523-1,$D$5:$D$639,$D523,K$5:K$639,"&lt;&gt;")=0,"",IF(OR(SUMIFS(K$5:K$639,$A$5:$A$639,$A523,$C$5:$C$639,$C523-1,$D$5:$D$639,$D523)=0,K523*SUMIFS(K$5:K$639,$A$5:$A$639,$A523,$C$5:$C$639,$C523-1,$D$5:$D$639,$D523)&lt;0),"n.s.",ABS(K523)/ABS(SUMIFS(K$5:K$639,$A$5:$A$639,$A523,$C$5:$C$639,$C523-1,$D$5:$D$639,$D523))-1)))</f>
        <v/>
      </c>
      <c r="T523" s="16">
        <f>IF(OR($A523="",L523="",$C523=""),"",IF(COUNTIFS($A$5:$A$639,$A523,$C$5:$C$639,$C523-1,$D$5:$D$639,$D523,L$5:L$639,"&lt;&gt;")=0,"",IF(OR(SUMIFS(L$5:L$639,$A$5:$A$639,$A523,$C$5:$C$639,$C523-1,$D$5:$D$639,$D523)=0,L523*SUMIFS(L$5:L$639,$A$5:$A$639,$A523,$C$5:$C$639,$C523-1,$D$5:$D$639,$D523)&lt;0),"n.s.",ABS(L523)/ABS(SUMIFS(L$5:L$639,$A$5:$A$639,$A523,$C$5:$C$639,$C523-1,$D$5:$D$639,$D523))-1)))</f>
        <v/>
      </c>
      <c r="U523" s="16">
        <f>IF(OR($A523="",M523="",$C523=""),"",IF(COUNTIFS($A$5:$A$639,$A523,$C$5:$C$639,$C523-1,$D$5:$D$639,$D523,M$5:M$639,"&lt;&gt;")=0,"",IF(OR(SUMIFS(M$5:M$639,$A$5:$A$639,$A523,$C$5:$C$639,$C523-1,$D$5:$D$639,$D523)=0,M523*SUMIFS(M$5:M$639,$A$5:$A$639,$A523,$C$5:$C$639,$C523-1,$D$5:$D$639,$D523)&lt;0),"n.s.",ABS(M523)/ABS(SUMIFS(M$5:M$639,$A$5:$A$639,$A523,$C$5:$C$639,$C523-1,$D$5:$D$639,$D523))-1)))</f>
        <v/>
      </c>
    </row>
    <row r="524">
      <c r="A524" s="9" t="inlineStr">
        <is>
          <t>SNTS</t>
        </is>
      </c>
      <c r="B524" s="10">
        <f>IF(A524="","",IFERROR(VLOOKUP(A524,Titres!$A$2:$B$400,2,FALSE),"Ticker inconnu"))</f>
        <v/>
      </c>
      <c r="C524" s="11" t="n">
        <v>2026</v>
      </c>
      <c r="D524" s="11" t="inlineStr">
        <is>
          <t>T1</t>
        </is>
      </c>
      <c r="E524" s="9" t="n"/>
      <c r="F524" s="12" t="n"/>
      <c r="G524" s="9" t="n"/>
      <c r="H524" s="13" t="n"/>
      <c r="I524" s="13" t="n"/>
      <c r="J524" s="13" t="n"/>
      <c r="K524" s="13" t="n"/>
      <c r="L524" s="13" t="n"/>
      <c r="M524" s="13" t="n"/>
      <c r="N524" s="14">
        <f>IF(A524="","",COUNT(H524:M524)/6)</f>
        <v/>
      </c>
      <c r="O524" s="15">
        <f>IF(COUNT(H524:M524)=0,"",IF(LEN(IF(COUNT(I524,J524)=2,IF(J524&gt;I524+1,"EBE &gt; VA ",""),"")&amp;IF(COUNT(H524,M524)=2,IF(ABS(M524)&gt;ABS(H524),"RN &gt; CA ",""),"")&amp;IF(COUNT(H524,K524)=2,IF(ABS(K524)&gt;ABS(H524),"RE &gt; CA ",""),""))=0,"OK",IF(COUNT(I524,J524)=2,IF(J524&gt;I524+1,"EBE &gt; VA ",""),"")&amp;IF(COUNT(H524,M524)=2,IF(ABS(M524)&gt;ABS(H524),"RN &gt; CA ",""),"")&amp;IF(COUNT(H524,K524)=2,IF(ABS(K524)&gt;ABS(H524),"RE &gt; CA ",""),"")))</f>
        <v/>
      </c>
      <c r="P524" s="16">
        <f>IF(OR($A524="",H524="",$C524=""),"",IF(COUNTIFS($A$5:$A$639,$A524,$C$5:$C$639,$C524-1,$D$5:$D$639,$D524,H$5:H$639,"&lt;&gt;")=0,"",IF(OR(SUMIFS(H$5:H$639,$A$5:$A$639,$A524,$C$5:$C$639,$C524-1,$D$5:$D$639,$D524)=0,H524*SUMIFS(H$5:H$639,$A$5:$A$639,$A524,$C$5:$C$639,$C524-1,$D$5:$D$639,$D524)&lt;0),"n.s.",ABS(H524)/ABS(SUMIFS(H$5:H$639,$A$5:$A$639,$A524,$C$5:$C$639,$C524-1,$D$5:$D$639,$D524))-1)))</f>
        <v/>
      </c>
      <c r="Q524" s="16">
        <f>IF(OR($A524="",I524="",$C524=""),"",IF(COUNTIFS($A$5:$A$639,$A524,$C$5:$C$639,$C524-1,$D$5:$D$639,$D524,I$5:I$639,"&lt;&gt;")=0,"",IF(OR(SUMIFS(I$5:I$639,$A$5:$A$639,$A524,$C$5:$C$639,$C524-1,$D$5:$D$639,$D524)=0,I524*SUMIFS(I$5:I$639,$A$5:$A$639,$A524,$C$5:$C$639,$C524-1,$D$5:$D$639,$D524)&lt;0),"n.s.",ABS(I524)/ABS(SUMIFS(I$5:I$639,$A$5:$A$639,$A524,$C$5:$C$639,$C524-1,$D$5:$D$639,$D524))-1)))</f>
        <v/>
      </c>
      <c r="R524" s="16">
        <f>IF(OR($A524="",J524="",$C524=""),"",IF(COUNTIFS($A$5:$A$639,$A524,$C$5:$C$639,$C524-1,$D$5:$D$639,$D524,J$5:J$639,"&lt;&gt;")=0,"",IF(OR(SUMIFS(J$5:J$639,$A$5:$A$639,$A524,$C$5:$C$639,$C524-1,$D$5:$D$639,$D524)=0,J524*SUMIFS(J$5:J$639,$A$5:$A$639,$A524,$C$5:$C$639,$C524-1,$D$5:$D$639,$D524)&lt;0),"n.s.",ABS(J524)/ABS(SUMIFS(J$5:J$639,$A$5:$A$639,$A524,$C$5:$C$639,$C524-1,$D$5:$D$639,$D524))-1)))</f>
        <v/>
      </c>
      <c r="S524" s="16">
        <f>IF(OR($A524="",K524="",$C524=""),"",IF(COUNTIFS($A$5:$A$639,$A524,$C$5:$C$639,$C524-1,$D$5:$D$639,$D524,K$5:K$639,"&lt;&gt;")=0,"",IF(OR(SUMIFS(K$5:K$639,$A$5:$A$639,$A524,$C$5:$C$639,$C524-1,$D$5:$D$639,$D524)=0,K524*SUMIFS(K$5:K$639,$A$5:$A$639,$A524,$C$5:$C$639,$C524-1,$D$5:$D$639,$D524)&lt;0),"n.s.",ABS(K524)/ABS(SUMIFS(K$5:K$639,$A$5:$A$639,$A524,$C$5:$C$639,$C524-1,$D$5:$D$639,$D524))-1)))</f>
        <v/>
      </c>
      <c r="T524" s="16">
        <f>IF(OR($A524="",L524="",$C524=""),"",IF(COUNTIFS($A$5:$A$639,$A524,$C$5:$C$639,$C524-1,$D$5:$D$639,$D524,L$5:L$639,"&lt;&gt;")=0,"",IF(OR(SUMIFS(L$5:L$639,$A$5:$A$639,$A524,$C$5:$C$639,$C524-1,$D$5:$D$639,$D524)=0,L524*SUMIFS(L$5:L$639,$A$5:$A$639,$A524,$C$5:$C$639,$C524-1,$D$5:$D$639,$D524)&lt;0),"n.s.",ABS(L524)/ABS(SUMIFS(L$5:L$639,$A$5:$A$639,$A524,$C$5:$C$639,$C524-1,$D$5:$D$639,$D524))-1)))</f>
        <v/>
      </c>
      <c r="U524" s="16">
        <f>IF(OR($A524="",M524="",$C524=""),"",IF(COUNTIFS($A$5:$A$639,$A524,$C$5:$C$639,$C524-1,$D$5:$D$639,$D524,M$5:M$639,"&lt;&gt;")=0,"",IF(OR(SUMIFS(M$5:M$639,$A$5:$A$639,$A524,$C$5:$C$639,$C524-1,$D$5:$D$639,$D524)=0,M524*SUMIFS(M$5:M$639,$A$5:$A$639,$A524,$C$5:$C$639,$C524-1,$D$5:$D$639,$D524)&lt;0),"n.s.",ABS(M524)/ABS(SUMIFS(M$5:M$639,$A$5:$A$639,$A524,$C$5:$C$639,$C524-1,$D$5:$D$639,$D524))-1)))</f>
        <v/>
      </c>
    </row>
    <row r="525">
      <c r="A525" s="9" t="inlineStr">
        <is>
          <t>SNTS</t>
        </is>
      </c>
      <c r="B525" s="10">
        <f>IF(A525="","",IFERROR(VLOOKUP(A525,Titres!$A$2:$B$400,2,FALSE),"Ticker inconnu"))</f>
        <v/>
      </c>
      <c r="C525" s="11" t="n">
        <v>2026</v>
      </c>
      <c r="D525" s="11" t="inlineStr">
        <is>
          <t>S1</t>
        </is>
      </c>
      <c r="E525" s="9" t="n"/>
      <c r="F525" s="12" t="n"/>
      <c r="G525" s="9" t="n"/>
      <c r="H525" s="13" t="n"/>
      <c r="I525" s="13" t="n"/>
      <c r="J525" s="13" t="n"/>
      <c r="K525" s="13" t="n"/>
      <c r="L525" s="13" t="n"/>
      <c r="M525" s="13" t="n"/>
      <c r="N525" s="14">
        <f>IF(A525="","",COUNT(H525:M525)/6)</f>
        <v/>
      </c>
      <c r="O525" s="15">
        <f>IF(COUNT(H525:M525)=0,"",IF(LEN(IF(COUNT(I525,J525)=2,IF(J525&gt;I525+1,"EBE &gt; VA ",""),"")&amp;IF(COUNT(H525,M525)=2,IF(ABS(M525)&gt;ABS(H525),"RN &gt; CA ",""),"")&amp;IF(COUNT(H525,K525)=2,IF(ABS(K525)&gt;ABS(H525),"RE &gt; CA ",""),""))=0,"OK",IF(COUNT(I525,J525)=2,IF(J525&gt;I525+1,"EBE &gt; VA ",""),"")&amp;IF(COUNT(H525,M525)=2,IF(ABS(M525)&gt;ABS(H525),"RN &gt; CA ",""),"")&amp;IF(COUNT(H525,K525)=2,IF(ABS(K525)&gt;ABS(H525),"RE &gt; CA ",""),"")))</f>
        <v/>
      </c>
      <c r="P525" s="16">
        <f>IF(OR($A525="",H525="",$C525=""),"",IF(COUNTIFS($A$5:$A$639,$A525,$C$5:$C$639,$C525-1,$D$5:$D$639,$D525,H$5:H$639,"&lt;&gt;")=0,"",IF(OR(SUMIFS(H$5:H$639,$A$5:$A$639,$A525,$C$5:$C$639,$C525-1,$D$5:$D$639,$D525)=0,H525*SUMIFS(H$5:H$639,$A$5:$A$639,$A525,$C$5:$C$639,$C525-1,$D$5:$D$639,$D525)&lt;0),"n.s.",ABS(H525)/ABS(SUMIFS(H$5:H$639,$A$5:$A$639,$A525,$C$5:$C$639,$C525-1,$D$5:$D$639,$D525))-1)))</f>
        <v/>
      </c>
      <c r="Q525" s="16">
        <f>IF(OR($A525="",I525="",$C525=""),"",IF(COUNTIFS($A$5:$A$639,$A525,$C$5:$C$639,$C525-1,$D$5:$D$639,$D525,I$5:I$639,"&lt;&gt;")=0,"",IF(OR(SUMIFS(I$5:I$639,$A$5:$A$639,$A525,$C$5:$C$639,$C525-1,$D$5:$D$639,$D525)=0,I525*SUMIFS(I$5:I$639,$A$5:$A$639,$A525,$C$5:$C$639,$C525-1,$D$5:$D$639,$D525)&lt;0),"n.s.",ABS(I525)/ABS(SUMIFS(I$5:I$639,$A$5:$A$639,$A525,$C$5:$C$639,$C525-1,$D$5:$D$639,$D525))-1)))</f>
        <v/>
      </c>
      <c r="R525" s="16">
        <f>IF(OR($A525="",J525="",$C525=""),"",IF(COUNTIFS($A$5:$A$639,$A525,$C$5:$C$639,$C525-1,$D$5:$D$639,$D525,J$5:J$639,"&lt;&gt;")=0,"",IF(OR(SUMIFS(J$5:J$639,$A$5:$A$639,$A525,$C$5:$C$639,$C525-1,$D$5:$D$639,$D525)=0,J525*SUMIFS(J$5:J$639,$A$5:$A$639,$A525,$C$5:$C$639,$C525-1,$D$5:$D$639,$D525)&lt;0),"n.s.",ABS(J525)/ABS(SUMIFS(J$5:J$639,$A$5:$A$639,$A525,$C$5:$C$639,$C525-1,$D$5:$D$639,$D525))-1)))</f>
        <v/>
      </c>
      <c r="S525" s="16">
        <f>IF(OR($A525="",K525="",$C525=""),"",IF(COUNTIFS($A$5:$A$639,$A525,$C$5:$C$639,$C525-1,$D$5:$D$639,$D525,K$5:K$639,"&lt;&gt;")=0,"",IF(OR(SUMIFS(K$5:K$639,$A$5:$A$639,$A525,$C$5:$C$639,$C525-1,$D$5:$D$639,$D525)=0,K525*SUMIFS(K$5:K$639,$A$5:$A$639,$A525,$C$5:$C$639,$C525-1,$D$5:$D$639,$D525)&lt;0),"n.s.",ABS(K525)/ABS(SUMIFS(K$5:K$639,$A$5:$A$639,$A525,$C$5:$C$639,$C525-1,$D$5:$D$639,$D525))-1)))</f>
        <v/>
      </c>
      <c r="T525" s="16">
        <f>IF(OR($A525="",L525="",$C525=""),"",IF(COUNTIFS($A$5:$A$639,$A525,$C$5:$C$639,$C525-1,$D$5:$D$639,$D525,L$5:L$639,"&lt;&gt;")=0,"",IF(OR(SUMIFS(L$5:L$639,$A$5:$A$639,$A525,$C$5:$C$639,$C525-1,$D$5:$D$639,$D525)=0,L525*SUMIFS(L$5:L$639,$A$5:$A$639,$A525,$C$5:$C$639,$C525-1,$D$5:$D$639,$D525)&lt;0),"n.s.",ABS(L525)/ABS(SUMIFS(L$5:L$639,$A$5:$A$639,$A525,$C$5:$C$639,$C525-1,$D$5:$D$639,$D525))-1)))</f>
        <v/>
      </c>
      <c r="U525" s="16">
        <f>IF(OR($A525="",M525="",$C525=""),"",IF(COUNTIFS($A$5:$A$639,$A525,$C$5:$C$639,$C525-1,$D$5:$D$639,$D525,M$5:M$639,"&lt;&gt;")=0,"",IF(OR(SUMIFS(M$5:M$639,$A$5:$A$639,$A525,$C$5:$C$639,$C525-1,$D$5:$D$639,$D525)=0,M525*SUMIFS(M$5:M$639,$A$5:$A$639,$A525,$C$5:$C$639,$C525-1,$D$5:$D$639,$D525)&lt;0),"n.s.",ABS(M525)/ABS(SUMIFS(M$5:M$639,$A$5:$A$639,$A525,$C$5:$C$639,$C525-1,$D$5:$D$639,$D525))-1)))</f>
        <v/>
      </c>
    </row>
    <row r="526">
      <c r="A526" s="9" t="inlineStr">
        <is>
          <t>SNTS</t>
        </is>
      </c>
      <c r="B526" s="10">
        <f>IF(A526="","",IFERROR(VLOOKUP(A526,Titres!$A$2:$B$400,2,FALSE),"Ticker inconnu"))</f>
        <v/>
      </c>
      <c r="C526" s="11" t="n">
        <v>2026</v>
      </c>
      <c r="D526" s="11" t="inlineStr">
        <is>
          <t>T3</t>
        </is>
      </c>
      <c r="E526" s="9" t="n"/>
      <c r="F526" s="12" t="n"/>
      <c r="G526" s="9" t="n"/>
      <c r="H526" s="13" t="n"/>
      <c r="I526" s="13" t="n"/>
      <c r="J526" s="13" t="n"/>
      <c r="K526" s="13" t="n"/>
      <c r="L526" s="13" t="n"/>
      <c r="M526" s="13" t="n"/>
      <c r="N526" s="14">
        <f>IF(A526="","",COUNT(H526:M526)/6)</f>
        <v/>
      </c>
      <c r="O526" s="15">
        <f>IF(COUNT(H526:M526)=0,"",IF(LEN(IF(COUNT(I526,J526)=2,IF(J526&gt;I526+1,"EBE &gt; VA ",""),"")&amp;IF(COUNT(H526,M526)=2,IF(ABS(M526)&gt;ABS(H526),"RN &gt; CA ",""),"")&amp;IF(COUNT(H526,K526)=2,IF(ABS(K526)&gt;ABS(H526),"RE &gt; CA ",""),""))=0,"OK",IF(COUNT(I526,J526)=2,IF(J526&gt;I526+1,"EBE &gt; VA ",""),"")&amp;IF(COUNT(H526,M526)=2,IF(ABS(M526)&gt;ABS(H526),"RN &gt; CA ",""),"")&amp;IF(COUNT(H526,K526)=2,IF(ABS(K526)&gt;ABS(H526),"RE &gt; CA ",""),"")))</f>
        <v/>
      </c>
      <c r="P526" s="16">
        <f>IF(OR($A526="",H526="",$C526=""),"",IF(COUNTIFS($A$5:$A$639,$A526,$C$5:$C$639,$C526-1,$D$5:$D$639,$D526,H$5:H$639,"&lt;&gt;")=0,"",IF(OR(SUMIFS(H$5:H$639,$A$5:$A$639,$A526,$C$5:$C$639,$C526-1,$D$5:$D$639,$D526)=0,H526*SUMIFS(H$5:H$639,$A$5:$A$639,$A526,$C$5:$C$639,$C526-1,$D$5:$D$639,$D526)&lt;0),"n.s.",ABS(H526)/ABS(SUMIFS(H$5:H$639,$A$5:$A$639,$A526,$C$5:$C$639,$C526-1,$D$5:$D$639,$D526))-1)))</f>
        <v/>
      </c>
      <c r="Q526" s="16">
        <f>IF(OR($A526="",I526="",$C526=""),"",IF(COUNTIFS($A$5:$A$639,$A526,$C$5:$C$639,$C526-1,$D$5:$D$639,$D526,I$5:I$639,"&lt;&gt;")=0,"",IF(OR(SUMIFS(I$5:I$639,$A$5:$A$639,$A526,$C$5:$C$639,$C526-1,$D$5:$D$639,$D526)=0,I526*SUMIFS(I$5:I$639,$A$5:$A$639,$A526,$C$5:$C$639,$C526-1,$D$5:$D$639,$D526)&lt;0),"n.s.",ABS(I526)/ABS(SUMIFS(I$5:I$639,$A$5:$A$639,$A526,$C$5:$C$639,$C526-1,$D$5:$D$639,$D526))-1)))</f>
        <v/>
      </c>
      <c r="R526" s="16">
        <f>IF(OR($A526="",J526="",$C526=""),"",IF(COUNTIFS($A$5:$A$639,$A526,$C$5:$C$639,$C526-1,$D$5:$D$639,$D526,J$5:J$639,"&lt;&gt;")=0,"",IF(OR(SUMIFS(J$5:J$639,$A$5:$A$639,$A526,$C$5:$C$639,$C526-1,$D$5:$D$639,$D526)=0,J526*SUMIFS(J$5:J$639,$A$5:$A$639,$A526,$C$5:$C$639,$C526-1,$D$5:$D$639,$D526)&lt;0),"n.s.",ABS(J526)/ABS(SUMIFS(J$5:J$639,$A$5:$A$639,$A526,$C$5:$C$639,$C526-1,$D$5:$D$639,$D526))-1)))</f>
        <v/>
      </c>
      <c r="S526" s="16">
        <f>IF(OR($A526="",K526="",$C526=""),"",IF(COUNTIFS($A$5:$A$639,$A526,$C$5:$C$639,$C526-1,$D$5:$D$639,$D526,K$5:K$639,"&lt;&gt;")=0,"",IF(OR(SUMIFS(K$5:K$639,$A$5:$A$639,$A526,$C$5:$C$639,$C526-1,$D$5:$D$639,$D526)=0,K526*SUMIFS(K$5:K$639,$A$5:$A$639,$A526,$C$5:$C$639,$C526-1,$D$5:$D$639,$D526)&lt;0),"n.s.",ABS(K526)/ABS(SUMIFS(K$5:K$639,$A$5:$A$639,$A526,$C$5:$C$639,$C526-1,$D$5:$D$639,$D526))-1)))</f>
        <v/>
      </c>
      <c r="T526" s="16">
        <f>IF(OR($A526="",L526="",$C526=""),"",IF(COUNTIFS($A$5:$A$639,$A526,$C$5:$C$639,$C526-1,$D$5:$D$639,$D526,L$5:L$639,"&lt;&gt;")=0,"",IF(OR(SUMIFS(L$5:L$639,$A$5:$A$639,$A526,$C$5:$C$639,$C526-1,$D$5:$D$639,$D526)=0,L526*SUMIFS(L$5:L$639,$A$5:$A$639,$A526,$C$5:$C$639,$C526-1,$D$5:$D$639,$D526)&lt;0),"n.s.",ABS(L526)/ABS(SUMIFS(L$5:L$639,$A$5:$A$639,$A526,$C$5:$C$639,$C526-1,$D$5:$D$639,$D526))-1)))</f>
        <v/>
      </c>
      <c r="U526" s="16">
        <f>IF(OR($A526="",M526="",$C526=""),"",IF(COUNTIFS($A$5:$A$639,$A526,$C$5:$C$639,$C526-1,$D$5:$D$639,$D526,M$5:M$639,"&lt;&gt;")=0,"",IF(OR(SUMIFS(M$5:M$639,$A$5:$A$639,$A526,$C$5:$C$639,$C526-1,$D$5:$D$639,$D526)=0,M526*SUMIFS(M$5:M$639,$A$5:$A$639,$A526,$C$5:$C$639,$C526-1,$D$5:$D$639,$D526)&lt;0),"n.s.",ABS(M526)/ABS(SUMIFS(M$5:M$639,$A$5:$A$639,$A526,$C$5:$C$639,$C526-1,$D$5:$D$639,$D526))-1)))</f>
        <v/>
      </c>
    </row>
    <row r="527">
      <c r="A527" s="9" t="inlineStr">
        <is>
          <t>SHEC</t>
        </is>
      </c>
      <c r="B527" s="10">
        <f>IF(A527="","",IFERROR(VLOOKUP(A527,Titres!$A$2:$B$400,2,FALSE),"Ticker inconnu"))</f>
        <v/>
      </c>
      <c r="C527" s="11" t="n">
        <v>2021</v>
      </c>
      <c r="D527" s="11" t="inlineStr">
        <is>
          <t>T1</t>
        </is>
      </c>
      <c r="E527" s="9" t="n"/>
      <c r="F527" s="12" t="n"/>
      <c r="G527" s="9" t="n"/>
      <c r="H527" s="13" t="n"/>
      <c r="I527" s="13" t="n"/>
      <c r="J527" s="13" t="n"/>
      <c r="K527" s="13" t="n"/>
      <c r="L527" s="13" t="n"/>
      <c r="M527" s="13" t="n"/>
      <c r="N527" s="14">
        <f>IF(A527="","",COUNT(H527:M527)/6)</f>
        <v/>
      </c>
      <c r="O527" s="15">
        <f>IF(COUNT(H527:M527)=0,"",IF(LEN(IF(COUNT(I527,J527)=2,IF(J527&gt;I527+1,"EBE &gt; VA ",""),"")&amp;IF(COUNT(H527,M527)=2,IF(ABS(M527)&gt;ABS(H527),"RN &gt; CA ",""),"")&amp;IF(COUNT(H527,K527)=2,IF(ABS(K527)&gt;ABS(H527),"RE &gt; CA ",""),""))=0,"OK",IF(COUNT(I527,J527)=2,IF(J527&gt;I527+1,"EBE &gt; VA ",""),"")&amp;IF(COUNT(H527,M527)=2,IF(ABS(M527)&gt;ABS(H527),"RN &gt; CA ",""),"")&amp;IF(COUNT(H527,K527)=2,IF(ABS(K527)&gt;ABS(H527),"RE &gt; CA ",""),"")))</f>
        <v/>
      </c>
      <c r="P527" s="16">
        <f>IF(OR($A527="",H527="",$C527=""),"",IF(COUNTIFS($A$5:$A$639,$A527,$C$5:$C$639,$C527-1,$D$5:$D$639,$D527,H$5:H$639,"&lt;&gt;")=0,"",IF(OR(SUMIFS(H$5:H$639,$A$5:$A$639,$A527,$C$5:$C$639,$C527-1,$D$5:$D$639,$D527)=0,H527*SUMIFS(H$5:H$639,$A$5:$A$639,$A527,$C$5:$C$639,$C527-1,$D$5:$D$639,$D527)&lt;0),"n.s.",ABS(H527)/ABS(SUMIFS(H$5:H$639,$A$5:$A$639,$A527,$C$5:$C$639,$C527-1,$D$5:$D$639,$D527))-1)))</f>
        <v/>
      </c>
      <c r="Q527" s="16">
        <f>IF(OR($A527="",I527="",$C527=""),"",IF(COUNTIFS($A$5:$A$639,$A527,$C$5:$C$639,$C527-1,$D$5:$D$639,$D527,I$5:I$639,"&lt;&gt;")=0,"",IF(OR(SUMIFS(I$5:I$639,$A$5:$A$639,$A527,$C$5:$C$639,$C527-1,$D$5:$D$639,$D527)=0,I527*SUMIFS(I$5:I$639,$A$5:$A$639,$A527,$C$5:$C$639,$C527-1,$D$5:$D$639,$D527)&lt;0),"n.s.",ABS(I527)/ABS(SUMIFS(I$5:I$639,$A$5:$A$639,$A527,$C$5:$C$639,$C527-1,$D$5:$D$639,$D527))-1)))</f>
        <v/>
      </c>
      <c r="R527" s="16">
        <f>IF(OR($A527="",J527="",$C527=""),"",IF(COUNTIFS($A$5:$A$639,$A527,$C$5:$C$639,$C527-1,$D$5:$D$639,$D527,J$5:J$639,"&lt;&gt;")=0,"",IF(OR(SUMIFS(J$5:J$639,$A$5:$A$639,$A527,$C$5:$C$639,$C527-1,$D$5:$D$639,$D527)=0,J527*SUMIFS(J$5:J$639,$A$5:$A$639,$A527,$C$5:$C$639,$C527-1,$D$5:$D$639,$D527)&lt;0),"n.s.",ABS(J527)/ABS(SUMIFS(J$5:J$639,$A$5:$A$639,$A527,$C$5:$C$639,$C527-1,$D$5:$D$639,$D527))-1)))</f>
        <v/>
      </c>
      <c r="S527" s="16">
        <f>IF(OR($A527="",K527="",$C527=""),"",IF(COUNTIFS($A$5:$A$639,$A527,$C$5:$C$639,$C527-1,$D$5:$D$639,$D527,K$5:K$639,"&lt;&gt;")=0,"",IF(OR(SUMIFS(K$5:K$639,$A$5:$A$639,$A527,$C$5:$C$639,$C527-1,$D$5:$D$639,$D527)=0,K527*SUMIFS(K$5:K$639,$A$5:$A$639,$A527,$C$5:$C$639,$C527-1,$D$5:$D$639,$D527)&lt;0),"n.s.",ABS(K527)/ABS(SUMIFS(K$5:K$639,$A$5:$A$639,$A527,$C$5:$C$639,$C527-1,$D$5:$D$639,$D527))-1)))</f>
        <v/>
      </c>
      <c r="T527" s="16">
        <f>IF(OR($A527="",L527="",$C527=""),"",IF(COUNTIFS($A$5:$A$639,$A527,$C$5:$C$639,$C527-1,$D$5:$D$639,$D527,L$5:L$639,"&lt;&gt;")=0,"",IF(OR(SUMIFS(L$5:L$639,$A$5:$A$639,$A527,$C$5:$C$639,$C527-1,$D$5:$D$639,$D527)=0,L527*SUMIFS(L$5:L$639,$A$5:$A$639,$A527,$C$5:$C$639,$C527-1,$D$5:$D$639,$D527)&lt;0),"n.s.",ABS(L527)/ABS(SUMIFS(L$5:L$639,$A$5:$A$639,$A527,$C$5:$C$639,$C527-1,$D$5:$D$639,$D527))-1)))</f>
        <v/>
      </c>
      <c r="U527" s="16">
        <f>IF(OR($A527="",M527="",$C527=""),"",IF(COUNTIFS($A$5:$A$639,$A527,$C$5:$C$639,$C527-1,$D$5:$D$639,$D527,M$5:M$639,"&lt;&gt;")=0,"",IF(OR(SUMIFS(M$5:M$639,$A$5:$A$639,$A527,$C$5:$C$639,$C527-1,$D$5:$D$639,$D527)=0,M527*SUMIFS(M$5:M$639,$A$5:$A$639,$A527,$C$5:$C$639,$C527-1,$D$5:$D$639,$D527)&lt;0),"n.s.",ABS(M527)/ABS(SUMIFS(M$5:M$639,$A$5:$A$639,$A527,$C$5:$C$639,$C527-1,$D$5:$D$639,$D527))-1)))</f>
        <v/>
      </c>
    </row>
    <row r="528">
      <c r="A528" s="9" t="inlineStr">
        <is>
          <t>SHEC</t>
        </is>
      </c>
      <c r="B528" s="10">
        <f>IF(A528="","",IFERROR(VLOOKUP(A528,Titres!$A$2:$B$400,2,FALSE),"Ticker inconnu"))</f>
        <v/>
      </c>
      <c r="C528" s="11" t="n">
        <v>2021</v>
      </c>
      <c r="D528" s="11" t="inlineStr">
        <is>
          <t>S1</t>
        </is>
      </c>
      <c r="E528" s="9" t="n"/>
      <c r="F528" s="12" t="n"/>
      <c r="G528" s="9" t="n"/>
      <c r="H528" s="13" t="n"/>
      <c r="I528" s="13" t="n"/>
      <c r="J528" s="13" t="n"/>
      <c r="K528" s="13" t="n"/>
      <c r="L528" s="13" t="n"/>
      <c r="M528" s="13" t="n"/>
      <c r="N528" s="14">
        <f>IF(A528="","",COUNT(H528:M528)/6)</f>
        <v/>
      </c>
      <c r="O528" s="15">
        <f>IF(COUNT(H528:M528)=0,"",IF(LEN(IF(COUNT(I528,J528)=2,IF(J528&gt;I528+1,"EBE &gt; VA ",""),"")&amp;IF(COUNT(H528,M528)=2,IF(ABS(M528)&gt;ABS(H528),"RN &gt; CA ",""),"")&amp;IF(COUNT(H528,K528)=2,IF(ABS(K528)&gt;ABS(H528),"RE &gt; CA ",""),""))=0,"OK",IF(COUNT(I528,J528)=2,IF(J528&gt;I528+1,"EBE &gt; VA ",""),"")&amp;IF(COUNT(H528,M528)=2,IF(ABS(M528)&gt;ABS(H528),"RN &gt; CA ",""),"")&amp;IF(COUNT(H528,K528)=2,IF(ABS(K528)&gt;ABS(H528),"RE &gt; CA ",""),"")))</f>
        <v/>
      </c>
      <c r="P528" s="16">
        <f>IF(OR($A528="",H528="",$C528=""),"",IF(COUNTIFS($A$5:$A$639,$A528,$C$5:$C$639,$C528-1,$D$5:$D$639,$D528,H$5:H$639,"&lt;&gt;")=0,"",IF(OR(SUMIFS(H$5:H$639,$A$5:$A$639,$A528,$C$5:$C$639,$C528-1,$D$5:$D$639,$D528)=0,H528*SUMIFS(H$5:H$639,$A$5:$A$639,$A528,$C$5:$C$639,$C528-1,$D$5:$D$639,$D528)&lt;0),"n.s.",ABS(H528)/ABS(SUMIFS(H$5:H$639,$A$5:$A$639,$A528,$C$5:$C$639,$C528-1,$D$5:$D$639,$D528))-1)))</f>
        <v/>
      </c>
      <c r="Q528" s="16">
        <f>IF(OR($A528="",I528="",$C528=""),"",IF(COUNTIFS($A$5:$A$639,$A528,$C$5:$C$639,$C528-1,$D$5:$D$639,$D528,I$5:I$639,"&lt;&gt;")=0,"",IF(OR(SUMIFS(I$5:I$639,$A$5:$A$639,$A528,$C$5:$C$639,$C528-1,$D$5:$D$639,$D528)=0,I528*SUMIFS(I$5:I$639,$A$5:$A$639,$A528,$C$5:$C$639,$C528-1,$D$5:$D$639,$D528)&lt;0),"n.s.",ABS(I528)/ABS(SUMIFS(I$5:I$639,$A$5:$A$639,$A528,$C$5:$C$639,$C528-1,$D$5:$D$639,$D528))-1)))</f>
        <v/>
      </c>
      <c r="R528" s="16">
        <f>IF(OR($A528="",J528="",$C528=""),"",IF(COUNTIFS($A$5:$A$639,$A528,$C$5:$C$639,$C528-1,$D$5:$D$639,$D528,J$5:J$639,"&lt;&gt;")=0,"",IF(OR(SUMIFS(J$5:J$639,$A$5:$A$639,$A528,$C$5:$C$639,$C528-1,$D$5:$D$639,$D528)=0,J528*SUMIFS(J$5:J$639,$A$5:$A$639,$A528,$C$5:$C$639,$C528-1,$D$5:$D$639,$D528)&lt;0),"n.s.",ABS(J528)/ABS(SUMIFS(J$5:J$639,$A$5:$A$639,$A528,$C$5:$C$639,$C528-1,$D$5:$D$639,$D528))-1)))</f>
        <v/>
      </c>
      <c r="S528" s="16">
        <f>IF(OR($A528="",K528="",$C528=""),"",IF(COUNTIFS($A$5:$A$639,$A528,$C$5:$C$639,$C528-1,$D$5:$D$639,$D528,K$5:K$639,"&lt;&gt;")=0,"",IF(OR(SUMIFS(K$5:K$639,$A$5:$A$639,$A528,$C$5:$C$639,$C528-1,$D$5:$D$639,$D528)=0,K528*SUMIFS(K$5:K$639,$A$5:$A$639,$A528,$C$5:$C$639,$C528-1,$D$5:$D$639,$D528)&lt;0),"n.s.",ABS(K528)/ABS(SUMIFS(K$5:K$639,$A$5:$A$639,$A528,$C$5:$C$639,$C528-1,$D$5:$D$639,$D528))-1)))</f>
        <v/>
      </c>
      <c r="T528" s="16">
        <f>IF(OR($A528="",L528="",$C528=""),"",IF(COUNTIFS($A$5:$A$639,$A528,$C$5:$C$639,$C528-1,$D$5:$D$639,$D528,L$5:L$639,"&lt;&gt;")=0,"",IF(OR(SUMIFS(L$5:L$639,$A$5:$A$639,$A528,$C$5:$C$639,$C528-1,$D$5:$D$639,$D528)=0,L528*SUMIFS(L$5:L$639,$A$5:$A$639,$A528,$C$5:$C$639,$C528-1,$D$5:$D$639,$D528)&lt;0),"n.s.",ABS(L528)/ABS(SUMIFS(L$5:L$639,$A$5:$A$639,$A528,$C$5:$C$639,$C528-1,$D$5:$D$639,$D528))-1)))</f>
        <v/>
      </c>
      <c r="U528" s="16">
        <f>IF(OR($A528="",M528="",$C528=""),"",IF(COUNTIFS($A$5:$A$639,$A528,$C$5:$C$639,$C528-1,$D$5:$D$639,$D528,M$5:M$639,"&lt;&gt;")=0,"",IF(OR(SUMIFS(M$5:M$639,$A$5:$A$639,$A528,$C$5:$C$639,$C528-1,$D$5:$D$639,$D528)=0,M528*SUMIFS(M$5:M$639,$A$5:$A$639,$A528,$C$5:$C$639,$C528-1,$D$5:$D$639,$D528)&lt;0),"n.s.",ABS(M528)/ABS(SUMIFS(M$5:M$639,$A$5:$A$639,$A528,$C$5:$C$639,$C528-1,$D$5:$D$639,$D528))-1)))</f>
        <v/>
      </c>
    </row>
    <row r="529">
      <c r="A529" s="9" t="inlineStr">
        <is>
          <t>SHEC</t>
        </is>
      </c>
      <c r="B529" s="10">
        <f>IF(A529="","",IFERROR(VLOOKUP(A529,Titres!$A$2:$B$400,2,FALSE),"Ticker inconnu"))</f>
        <v/>
      </c>
      <c r="C529" s="11" t="n">
        <v>2021</v>
      </c>
      <c r="D529" s="11" t="inlineStr">
        <is>
          <t>T3</t>
        </is>
      </c>
      <c r="E529" s="9" t="n"/>
      <c r="F529" s="12" t="n"/>
      <c r="G529" s="9" t="n"/>
      <c r="H529" s="13" t="n"/>
      <c r="I529" s="13" t="n"/>
      <c r="J529" s="13" t="n"/>
      <c r="K529" s="13" t="n"/>
      <c r="L529" s="13" t="n"/>
      <c r="M529" s="13" t="n"/>
      <c r="N529" s="14">
        <f>IF(A529="","",COUNT(H529:M529)/6)</f>
        <v/>
      </c>
      <c r="O529" s="15">
        <f>IF(COUNT(H529:M529)=0,"",IF(LEN(IF(COUNT(I529,J529)=2,IF(J529&gt;I529+1,"EBE &gt; VA ",""),"")&amp;IF(COUNT(H529,M529)=2,IF(ABS(M529)&gt;ABS(H529),"RN &gt; CA ",""),"")&amp;IF(COUNT(H529,K529)=2,IF(ABS(K529)&gt;ABS(H529),"RE &gt; CA ",""),""))=0,"OK",IF(COUNT(I529,J529)=2,IF(J529&gt;I529+1,"EBE &gt; VA ",""),"")&amp;IF(COUNT(H529,M529)=2,IF(ABS(M529)&gt;ABS(H529),"RN &gt; CA ",""),"")&amp;IF(COUNT(H529,K529)=2,IF(ABS(K529)&gt;ABS(H529),"RE &gt; CA ",""),"")))</f>
        <v/>
      </c>
      <c r="P529" s="16">
        <f>IF(OR($A529="",H529="",$C529=""),"",IF(COUNTIFS($A$5:$A$639,$A529,$C$5:$C$639,$C529-1,$D$5:$D$639,$D529,H$5:H$639,"&lt;&gt;")=0,"",IF(OR(SUMIFS(H$5:H$639,$A$5:$A$639,$A529,$C$5:$C$639,$C529-1,$D$5:$D$639,$D529)=0,H529*SUMIFS(H$5:H$639,$A$5:$A$639,$A529,$C$5:$C$639,$C529-1,$D$5:$D$639,$D529)&lt;0),"n.s.",ABS(H529)/ABS(SUMIFS(H$5:H$639,$A$5:$A$639,$A529,$C$5:$C$639,$C529-1,$D$5:$D$639,$D529))-1)))</f>
        <v/>
      </c>
      <c r="Q529" s="16">
        <f>IF(OR($A529="",I529="",$C529=""),"",IF(COUNTIFS($A$5:$A$639,$A529,$C$5:$C$639,$C529-1,$D$5:$D$639,$D529,I$5:I$639,"&lt;&gt;")=0,"",IF(OR(SUMIFS(I$5:I$639,$A$5:$A$639,$A529,$C$5:$C$639,$C529-1,$D$5:$D$639,$D529)=0,I529*SUMIFS(I$5:I$639,$A$5:$A$639,$A529,$C$5:$C$639,$C529-1,$D$5:$D$639,$D529)&lt;0),"n.s.",ABS(I529)/ABS(SUMIFS(I$5:I$639,$A$5:$A$639,$A529,$C$5:$C$639,$C529-1,$D$5:$D$639,$D529))-1)))</f>
        <v/>
      </c>
      <c r="R529" s="16">
        <f>IF(OR($A529="",J529="",$C529=""),"",IF(COUNTIFS($A$5:$A$639,$A529,$C$5:$C$639,$C529-1,$D$5:$D$639,$D529,J$5:J$639,"&lt;&gt;")=0,"",IF(OR(SUMIFS(J$5:J$639,$A$5:$A$639,$A529,$C$5:$C$639,$C529-1,$D$5:$D$639,$D529)=0,J529*SUMIFS(J$5:J$639,$A$5:$A$639,$A529,$C$5:$C$639,$C529-1,$D$5:$D$639,$D529)&lt;0),"n.s.",ABS(J529)/ABS(SUMIFS(J$5:J$639,$A$5:$A$639,$A529,$C$5:$C$639,$C529-1,$D$5:$D$639,$D529))-1)))</f>
        <v/>
      </c>
      <c r="S529" s="16">
        <f>IF(OR($A529="",K529="",$C529=""),"",IF(COUNTIFS($A$5:$A$639,$A529,$C$5:$C$639,$C529-1,$D$5:$D$639,$D529,K$5:K$639,"&lt;&gt;")=0,"",IF(OR(SUMIFS(K$5:K$639,$A$5:$A$639,$A529,$C$5:$C$639,$C529-1,$D$5:$D$639,$D529)=0,K529*SUMIFS(K$5:K$639,$A$5:$A$639,$A529,$C$5:$C$639,$C529-1,$D$5:$D$639,$D529)&lt;0),"n.s.",ABS(K529)/ABS(SUMIFS(K$5:K$639,$A$5:$A$639,$A529,$C$5:$C$639,$C529-1,$D$5:$D$639,$D529))-1)))</f>
        <v/>
      </c>
      <c r="T529" s="16">
        <f>IF(OR($A529="",L529="",$C529=""),"",IF(COUNTIFS($A$5:$A$639,$A529,$C$5:$C$639,$C529-1,$D$5:$D$639,$D529,L$5:L$639,"&lt;&gt;")=0,"",IF(OR(SUMIFS(L$5:L$639,$A$5:$A$639,$A529,$C$5:$C$639,$C529-1,$D$5:$D$639,$D529)=0,L529*SUMIFS(L$5:L$639,$A$5:$A$639,$A529,$C$5:$C$639,$C529-1,$D$5:$D$639,$D529)&lt;0),"n.s.",ABS(L529)/ABS(SUMIFS(L$5:L$639,$A$5:$A$639,$A529,$C$5:$C$639,$C529-1,$D$5:$D$639,$D529))-1)))</f>
        <v/>
      </c>
      <c r="U529" s="16">
        <f>IF(OR($A529="",M529="",$C529=""),"",IF(COUNTIFS($A$5:$A$639,$A529,$C$5:$C$639,$C529-1,$D$5:$D$639,$D529,M$5:M$639,"&lt;&gt;")=0,"",IF(OR(SUMIFS(M$5:M$639,$A$5:$A$639,$A529,$C$5:$C$639,$C529-1,$D$5:$D$639,$D529)=0,M529*SUMIFS(M$5:M$639,$A$5:$A$639,$A529,$C$5:$C$639,$C529-1,$D$5:$D$639,$D529)&lt;0),"n.s.",ABS(M529)/ABS(SUMIFS(M$5:M$639,$A$5:$A$639,$A529,$C$5:$C$639,$C529-1,$D$5:$D$639,$D529))-1)))</f>
        <v/>
      </c>
    </row>
    <row r="530">
      <c r="A530" s="9" t="inlineStr">
        <is>
          <t>SHEC</t>
        </is>
      </c>
      <c r="B530" s="10">
        <f>IF(A530="","",IFERROR(VLOOKUP(A530,Titres!$A$2:$B$400,2,FALSE),"Ticker inconnu"))</f>
        <v/>
      </c>
      <c r="C530" s="11" t="n">
        <v>2022</v>
      </c>
      <c r="D530" s="11" t="inlineStr">
        <is>
          <t>T1</t>
        </is>
      </c>
      <c r="E530" s="9" t="n"/>
      <c r="F530" s="12" t="n"/>
      <c r="G530" s="9" t="n"/>
      <c r="H530" s="13" t="n"/>
      <c r="I530" s="13" t="n"/>
      <c r="J530" s="13" t="n"/>
      <c r="K530" s="13" t="n"/>
      <c r="L530" s="13" t="n"/>
      <c r="M530" s="13" t="n"/>
      <c r="N530" s="14">
        <f>IF(A530="","",COUNT(H530:M530)/6)</f>
        <v/>
      </c>
      <c r="O530" s="15">
        <f>IF(COUNT(H530:M530)=0,"",IF(LEN(IF(COUNT(I530,J530)=2,IF(J530&gt;I530+1,"EBE &gt; VA ",""),"")&amp;IF(COUNT(H530,M530)=2,IF(ABS(M530)&gt;ABS(H530),"RN &gt; CA ",""),"")&amp;IF(COUNT(H530,K530)=2,IF(ABS(K530)&gt;ABS(H530),"RE &gt; CA ",""),""))=0,"OK",IF(COUNT(I530,J530)=2,IF(J530&gt;I530+1,"EBE &gt; VA ",""),"")&amp;IF(COUNT(H530,M530)=2,IF(ABS(M530)&gt;ABS(H530),"RN &gt; CA ",""),"")&amp;IF(COUNT(H530,K530)=2,IF(ABS(K530)&gt;ABS(H530),"RE &gt; CA ",""),"")))</f>
        <v/>
      </c>
      <c r="P530" s="16">
        <f>IF(OR($A530="",H530="",$C530=""),"",IF(COUNTIFS($A$5:$A$639,$A530,$C$5:$C$639,$C530-1,$D$5:$D$639,$D530,H$5:H$639,"&lt;&gt;")=0,"",IF(OR(SUMIFS(H$5:H$639,$A$5:$A$639,$A530,$C$5:$C$639,$C530-1,$D$5:$D$639,$D530)=0,H530*SUMIFS(H$5:H$639,$A$5:$A$639,$A530,$C$5:$C$639,$C530-1,$D$5:$D$639,$D530)&lt;0),"n.s.",ABS(H530)/ABS(SUMIFS(H$5:H$639,$A$5:$A$639,$A530,$C$5:$C$639,$C530-1,$D$5:$D$639,$D530))-1)))</f>
        <v/>
      </c>
      <c r="Q530" s="16">
        <f>IF(OR($A530="",I530="",$C530=""),"",IF(COUNTIFS($A$5:$A$639,$A530,$C$5:$C$639,$C530-1,$D$5:$D$639,$D530,I$5:I$639,"&lt;&gt;")=0,"",IF(OR(SUMIFS(I$5:I$639,$A$5:$A$639,$A530,$C$5:$C$639,$C530-1,$D$5:$D$639,$D530)=0,I530*SUMIFS(I$5:I$639,$A$5:$A$639,$A530,$C$5:$C$639,$C530-1,$D$5:$D$639,$D530)&lt;0),"n.s.",ABS(I530)/ABS(SUMIFS(I$5:I$639,$A$5:$A$639,$A530,$C$5:$C$639,$C530-1,$D$5:$D$639,$D530))-1)))</f>
        <v/>
      </c>
      <c r="R530" s="16">
        <f>IF(OR($A530="",J530="",$C530=""),"",IF(COUNTIFS($A$5:$A$639,$A530,$C$5:$C$639,$C530-1,$D$5:$D$639,$D530,J$5:J$639,"&lt;&gt;")=0,"",IF(OR(SUMIFS(J$5:J$639,$A$5:$A$639,$A530,$C$5:$C$639,$C530-1,$D$5:$D$639,$D530)=0,J530*SUMIFS(J$5:J$639,$A$5:$A$639,$A530,$C$5:$C$639,$C530-1,$D$5:$D$639,$D530)&lt;0),"n.s.",ABS(J530)/ABS(SUMIFS(J$5:J$639,$A$5:$A$639,$A530,$C$5:$C$639,$C530-1,$D$5:$D$639,$D530))-1)))</f>
        <v/>
      </c>
      <c r="S530" s="16">
        <f>IF(OR($A530="",K530="",$C530=""),"",IF(COUNTIFS($A$5:$A$639,$A530,$C$5:$C$639,$C530-1,$D$5:$D$639,$D530,K$5:K$639,"&lt;&gt;")=0,"",IF(OR(SUMIFS(K$5:K$639,$A$5:$A$639,$A530,$C$5:$C$639,$C530-1,$D$5:$D$639,$D530)=0,K530*SUMIFS(K$5:K$639,$A$5:$A$639,$A530,$C$5:$C$639,$C530-1,$D$5:$D$639,$D530)&lt;0),"n.s.",ABS(K530)/ABS(SUMIFS(K$5:K$639,$A$5:$A$639,$A530,$C$5:$C$639,$C530-1,$D$5:$D$639,$D530))-1)))</f>
        <v/>
      </c>
      <c r="T530" s="16">
        <f>IF(OR($A530="",L530="",$C530=""),"",IF(COUNTIFS($A$5:$A$639,$A530,$C$5:$C$639,$C530-1,$D$5:$D$639,$D530,L$5:L$639,"&lt;&gt;")=0,"",IF(OR(SUMIFS(L$5:L$639,$A$5:$A$639,$A530,$C$5:$C$639,$C530-1,$D$5:$D$639,$D530)=0,L530*SUMIFS(L$5:L$639,$A$5:$A$639,$A530,$C$5:$C$639,$C530-1,$D$5:$D$639,$D530)&lt;0),"n.s.",ABS(L530)/ABS(SUMIFS(L$5:L$639,$A$5:$A$639,$A530,$C$5:$C$639,$C530-1,$D$5:$D$639,$D530))-1)))</f>
        <v/>
      </c>
      <c r="U530" s="16">
        <f>IF(OR($A530="",M530="",$C530=""),"",IF(COUNTIFS($A$5:$A$639,$A530,$C$5:$C$639,$C530-1,$D$5:$D$639,$D530,M$5:M$639,"&lt;&gt;")=0,"",IF(OR(SUMIFS(M$5:M$639,$A$5:$A$639,$A530,$C$5:$C$639,$C530-1,$D$5:$D$639,$D530)=0,M530*SUMIFS(M$5:M$639,$A$5:$A$639,$A530,$C$5:$C$639,$C530-1,$D$5:$D$639,$D530)&lt;0),"n.s.",ABS(M530)/ABS(SUMIFS(M$5:M$639,$A$5:$A$639,$A530,$C$5:$C$639,$C530-1,$D$5:$D$639,$D530))-1)))</f>
        <v/>
      </c>
    </row>
    <row r="531">
      <c r="A531" s="9" t="inlineStr">
        <is>
          <t>SHEC</t>
        </is>
      </c>
      <c r="B531" s="10">
        <f>IF(A531="","",IFERROR(VLOOKUP(A531,Titres!$A$2:$B$400,2,FALSE),"Ticker inconnu"))</f>
        <v/>
      </c>
      <c r="C531" s="11" t="n">
        <v>2022</v>
      </c>
      <c r="D531" s="11" t="inlineStr">
        <is>
          <t>S1</t>
        </is>
      </c>
      <c r="E531" s="9" t="n"/>
      <c r="F531" s="12" t="n"/>
      <c r="G531" s="9" t="n"/>
      <c r="H531" s="13" t="n"/>
      <c r="I531" s="13" t="n"/>
      <c r="J531" s="13" t="n"/>
      <c r="K531" s="13" t="n"/>
      <c r="L531" s="13" t="n"/>
      <c r="M531" s="13" t="n"/>
      <c r="N531" s="14">
        <f>IF(A531="","",COUNT(H531:M531)/6)</f>
        <v/>
      </c>
      <c r="O531" s="15">
        <f>IF(COUNT(H531:M531)=0,"",IF(LEN(IF(COUNT(I531,J531)=2,IF(J531&gt;I531+1,"EBE &gt; VA ",""),"")&amp;IF(COUNT(H531,M531)=2,IF(ABS(M531)&gt;ABS(H531),"RN &gt; CA ",""),"")&amp;IF(COUNT(H531,K531)=2,IF(ABS(K531)&gt;ABS(H531),"RE &gt; CA ",""),""))=0,"OK",IF(COUNT(I531,J531)=2,IF(J531&gt;I531+1,"EBE &gt; VA ",""),"")&amp;IF(COUNT(H531,M531)=2,IF(ABS(M531)&gt;ABS(H531),"RN &gt; CA ",""),"")&amp;IF(COUNT(H531,K531)=2,IF(ABS(K531)&gt;ABS(H531),"RE &gt; CA ",""),"")))</f>
        <v/>
      </c>
      <c r="P531" s="16">
        <f>IF(OR($A531="",H531="",$C531=""),"",IF(COUNTIFS($A$5:$A$639,$A531,$C$5:$C$639,$C531-1,$D$5:$D$639,$D531,H$5:H$639,"&lt;&gt;")=0,"",IF(OR(SUMIFS(H$5:H$639,$A$5:$A$639,$A531,$C$5:$C$639,$C531-1,$D$5:$D$639,$D531)=0,H531*SUMIFS(H$5:H$639,$A$5:$A$639,$A531,$C$5:$C$639,$C531-1,$D$5:$D$639,$D531)&lt;0),"n.s.",ABS(H531)/ABS(SUMIFS(H$5:H$639,$A$5:$A$639,$A531,$C$5:$C$639,$C531-1,$D$5:$D$639,$D531))-1)))</f>
        <v/>
      </c>
      <c r="Q531" s="16">
        <f>IF(OR($A531="",I531="",$C531=""),"",IF(COUNTIFS($A$5:$A$639,$A531,$C$5:$C$639,$C531-1,$D$5:$D$639,$D531,I$5:I$639,"&lt;&gt;")=0,"",IF(OR(SUMIFS(I$5:I$639,$A$5:$A$639,$A531,$C$5:$C$639,$C531-1,$D$5:$D$639,$D531)=0,I531*SUMIFS(I$5:I$639,$A$5:$A$639,$A531,$C$5:$C$639,$C531-1,$D$5:$D$639,$D531)&lt;0),"n.s.",ABS(I531)/ABS(SUMIFS(I$5:I$639,$A$5:$A$639,$A531,$C$5:$C$639,$C531-1,$D$5:$D$639,$D531))-1)))</f>
        <v/>
      </c>
      <c r="R531" s="16">
        <f>IF(OR($A531="",J531="",$C531=""),"",IF(COUNTIFS($A$5:$A$639,$A531,$C$5:$C$639,$C531-1,$D$5:$D$639,$D531,J$5:J$639,"&lt;&gt;")=0,"",IF(OR(SUMIFS(J$5:J$639,$A$5:$A$639,$A531,$C$5:$C$639,$C531-1,$D$5:$D$639,$D531)=0,J531*SUMIFS(J$5:J$639,$A$5:$A$639,$A531,$C$5:$C$639,$C531-1,$D$5:$D$639,$D531)&lt;0),"n.s.",ABS(J531)/ABS(SUMIFS(J$5:J$639,$A$5:$A$639,$A531,$C$5:$C$639,$C531-1,$D$5:$D$639,$D531))-1)))</f>
        <v/>
      </c>
      <c r="S531" s="16">
        <f>IF(OR($A531="",K531="",$C531=""),"",IF(COUNTIFS($A$5:$A$639,$A531,$C$5:$C$639,$C531-1,$D$5:$D$639,$D531,K$5:K$639,"&lt;&gt;")=0,"",IF(OR(SUMIFS(K$5:K$639,$A$5:$A$639,$A531,$C$5:$C$639,$C531-1,$D$5:$D$639,$D531)=0,K531*SUMIFS(K$5:K$639,$A$5:$A$639,$A531,$C$5:$C$639,$C531-1,$D$5:$D$639,$D531)&lt;0),"n.s.",ABS(K531)/ABS(SUMIFS(K$5:K$639,$A$5:$A$639,$A531,$C$5:$C$639,$C531-1,$D$5:$D$639,$D531))-1)))</f>
        <v/>
      </c>
      <c r="T531" s="16">
        <f>IF(OR($A531="",L531="",$C531=""),"",IF(COUNTIFS($A$5:$A$639,$A531,$C$5:$C$639,$C531-1,$D$5:$D$639,$D531,L$5:L$639,"&lt;&gt;")=0,"",IF(OR(SUMIFS(L$5:L$639,$A$5:$A$639,$A531,$C$5:$C$639,$C531-1,$D$5:$D$639,$D531)=0,L531*SUMIFS(L$5:L$639,$A$5:$A$639,$A531,$C$5:$C$639,$C531-1,$D$5:$D$639,$D531)&lt;0),"n.s.",ABS(L531)/ABS(SUMIFS(L$5:L$639,$A$5:$A$639,$A531,$C$5:$C$639,$C531-1,$D$5:$D$639,$D531))-1)))</f>
        <v/>
      </c>
      <c r="U531" s="16">
        <f>IF(OR($A531="",M531="",$C531=""),"",IF(COUNTIFS($A$5:$A$639,$A531,$C$5:$C$639,$C531-1,$D$5:$D$639,$D531,M$5:M$639,"&lt;&gt;")=0,"",IF(OR(SUMIFS(M$5:M$639,$A$5:$A$639,$A531,$C$5:$C$639,$C531-1,$D$5:$D$639,$D531)=0,M531*SUMIFS(M$5:M$639,$A$5:$A$639,$A531,$C$5:$C$639,$C531-1,$D$5:$D$639,$D531)&lt;0),"n.s.",ABS(M531)/ABS(SUMIFS(M$5:M$639,$A$5:$A$639,$A531,$C$5:$C$639,$C531-1,$D$5:$D$639,$D531))-1)))</f>
        <v/>
      </c>
    </row>
    <row r="532">
      <c r="A532" s="9" t="inlineStr">
        <is>
          <t>SHEC</t>
        </is>
      </c>
      <c r="B532" s="10">
        <f>IF(A532="","",IFERROR(VLOOKUP(A532,Titres!$A$2:$B$400,2,FALSE),"Ticker inconnu"))</f>
        <v/>
      </c>
      <c r="C532" s="11" t="n">
        <v>2022</v>
      </c>
      <c r="D532" s="11" t="inlineStr">
        <is>
          <t>T3</t>
        </is>
      </c>
      <c r="E532" s="9" t="n"/>
      <c r="F532" s="12" t="n"/>
      <c r="G532" s="9" t="n"/>
      <c r="H532" s="13" t="n"/>
      <c r="I532" s="13" t="n"/>
      <c r="J532" s="13" t="n"/>
      <c r="K532" s="13" t="n"/>
      <c r="L532" s="13" t="n"/>
      <c r="M532" s="13" t="n"/>
      <c r="N532" s="14">
        <f>IF(A532="","",COUNT(H532:M532)/6)</f>
        <v/>
      </c>
      <c r="O532" s="15">
        <f>IF(COUNT(H532:M532)=0,"",IF(LEN(IF(COUNT(I532,J532)=2,IF(J532&gt;I532+1,"EBE &gt; VA ",""),"")&amp;IF(COUNT(H532,M532)=2,IF(ABS(M532)&gt;ABS(H532),"RN &gt; CA ",""),"")&amp;IF(COUNT(H532,K532)=2,IF(ABS(K532)&gt;ABS(H532),"RE &gt; CA ",""),""))=0,"OK",IF(COUNT(I532,J532)=2,IF(J532&gt;I532+1,"EBE &gt; VA ",""),"")&amp;IF(COUNT(H532,M532)=2,IF(ABS(M532)&gt;ABS(H532),"RN &gt; CA ",""),"")&amp;IF(COUNT(H532,K532)=2,IF(ABS(K532)&gt;ABS(H532),"RE &gt; CA ",""),"")))</f>
        <v/>
      </c>
      <c r="P532" s="16">
        <f>IF(OR($A532="",H532="",$C532=""),"",IF(COUNTIFS($A$5:$A$639,$A532,$C$5:$C$639,$C532-1,$D$5:$D$639,$D532,H$5:H$639,"&lt;&gt;")=0,"",IF(OR(SUMIFS(H$5:H$639,$A$5:$A$639,$A532,$C$5:$C$639,$C532-1,$D$5:$D$639,$D532)=0,H532*SUMIFS(H$5:H$639,$A$5:$A$639,$A532,$C$5:$C$639,$C532-1,$D$5:$D$639,$D532)&lt;0),"n.s.",ABS(H532)/ABS(SUMIFS(H$5:H$639,$A$5:$A$639,$A532,$C$5:$C$639,$C532-1,$D$5:$D$639,$D532))-1)))</f>
        <v/>
      </c>
      <c r="Q532" s="16">
        <f>IF(OR($A532="",I532="",$C532=""),"",IF(COUNTIFS($A$5:$A$639,$A532,$C$5:$C$639,$C532-1,$D$5:$D$639,$D532,I$5:I$639,"&lt;&gt;")=0,"",IF(OR(SUMIFS(I$5:I$639,$A$5:$A$639,$A532,$C$5:$C$639,$C532-1,$D$5:$D$639,$D532)=0,I532*SUMIFS(I$5:I$639,$A$5:$A$639,$A532,$C$5:$C$639,$C532-1,$D$5:$D$639,$D532)&lt;0),"n.s.",ABS(I532)/ABS(SUMIFS(I$5:I$639,$A$5:$A$639,$A532,$C$5:$C$639,$C532-1,$D$5:$D$639,$D532))-1)))</f>
        <v/>
      </c>
      <c r="R532" s="16">
        <f>IF(OR($A532="",J532="",$C532=""),"",IF(COUNTIFS($A$5:$A$639,$A532,$C$5:$C$639,$C532-1,$D$5:$D$639,$D532,J$5:J$639,"&lt;&gt;")=0,"",IF(OR(SUMIFS(J$5:J$639,$A$5:$A$639,$A532,$C$5:$C$639,$C532-1,$D$5:$D$639,$D532)=0,J532*SUMIFS(J$5:J$639,$A$5:$A$639,$A532,$C$5:$C$639,$C532-1,$D$5:$D$639,$D532)&lt;0),"n.s.",ABS(J532)/ABS(SUMIFS(J$5:J$639,$A$5:$A$639,$A532,$C$5:$C$639,$C532-1,$D$5:$D$639,$D532))-1)))</f>
        <v/>
      </c>
      <c r="S532" s="16">
        <f>IF(OR($A532="",K532="",$C532=""),"",IF(COUNTIFS($A$5:$A$639,$A532,$C$5:$C$639,$C532-1,$D$5:$D$639,$D532,K$5:K$639,"&lt;&gt;")=0,"",IF(OR(SUMIFS(K$5:K$639,$A$5:$A$639,$A532,$C$5:$C$639,$C532-1,$D$5:$D$639,$D532)=0,K532*SUMIFS(K$5:K$639,$A$5:$A$639,$A532,$C$5:$C$639,$C532-1,$D$5:$D$639,$D532)&lt;0),"n.s.",ABS(K532)/ABS(SUMIFS(K$5:K$639,$A$5:$A$639,$A532,$C$5:$C$639,$C532-1,$D$5:$D$639,$D532))-1)))</f>
        <v/>
      </c>
      <c r="T532" s="16">
        <f>IF(OR($A532="",L532="",$C532=""),"",IF(COUNTIFS($A$5:$A$639,$A532,$C$5:$C$639,$C532-1,$D$5:$D$639,$D532,L$5:L$639,"&lt;&gt;")=0,"",IF(OR(SUMIFS(L$5:L$639,$A$5:$A$639,$A532,$C$5:$C$639,$C532-1,$D$5:$D$639,$D532)=0,L532*SUMIFS(L$5:L$639,$A$5:$A$639,$A532,$C$5:$C$639,$C532-1,$D$5:$D$639,$D532)&lt;0),"n.s.",ABS(L532)/ABS(SUMIFS(L$5:L$639,$A$5:$A$639,$A532,$C$5:$C$639,$C532-1,$D$5:$D$639,$D532))-1)))</f>
        <v/>
      </c>
      <c r="U532" s="16">
        <f>IF(OR($A532="",M532="",$C532=""),"",IF(COUNTIFS($A$5:$A$639,$A532,$C$5:$C$639,$C532-1,$D$5:$D$639,$D532,M$5:M$639,"&lt;&gt;")=0,"",IF(OR(SUMIFS(M$5:M$639,$A$5:$A$639,$A532,$C$5:$C$639,$C532-1,$D$5:$D$639,$D532)=0,M532*SUMIFS(M$5:M$639,$A$5:$A$639,$A532,$C$5:$C$639,$C532-1,$D$5:$D$639,$D532)&lt;0),"n.s.",ABS(M532)/ABS(SUMIFS(M$5:M$639,$A$5:$A$639,$A532,$C$5:$C$639,$C532-1,$D$5:$D$639,$D532))-1)))</f>
        <v/>
      </c>
    </row>
    <row r="533">
      <c r="A533" s="9" t="inlineStr">
        <is>
          <t>SHEC</t>
        </is>
      </c>
      <c r="B533" s="10">
        <f>IF(A533="","",IFERROR(VLOOKUP(A533,Titres!$A$2:$B$400,2,FALSE),"Ticker inconnu"))</f>
        <v/>
      </c>
      <c r="C533" s="11" t="n">
        <v>2023</v>
      </c>
      <c r="D533" s="11" t="inlineStr">
        <is>
          <t>T1</t>
        </is>
      </c>
      <c r="E533" s="9" t="n"/>
      <c r="F533" s="12" t="n"/>
      <c r="G533" s="9" t="n"/>
      <c r="H533" s="13" t="n"/>
      <c r="I533" s="13" t="n"/>
      <c r="J533" s="13" t="n"/>
      <c r="K533" s="13" t="n"/>
      <c r="L533" s="13" t="n"/>
      <c r="M533" s="13" t="n"/>
      <c r="N533" s="14">
        <f>IF(A533="","",COUNT(H533:M533)/6)</f>
        <v/>
      </c>
      <c r="O533" s="15">
        <f>IF(COUNT(H533:M533)=0,"",IF(LEN(IF(COUNT(I533,J533)=2,IF(J533&gt;I533+1,"EBE &gt; VA ",""),"")&amp;IF(COUNT(H533,M533)=2,IF(ABS(M533)&gt;ABS(H533),"RN &gt; CA ",""),"")&amp;IF(COUNT(H533,K533)=2,IF(ABS(K533)&gt;ABS(H533),"RE &gt; CA ",""),""))=0,"OK",IF(COUNT(I533,J533)=2,IF(J533&gt;I533+1,"EBE &gt; VA ",""),"")&amp;IF(COUNT(H533,M533)=2,IF(ABS(M533)&gt;ABS(H533),"RN &gt; CA ",""),"")&amp;IF(COUNT(H533,K533)=2,IF(ABS(K533)&gt;ABS(H533),"RE &gt; CA ",""),"")))</f>
        <v/>
      </c>
      <c r="P533" s="16">
        <f>IF(OR($A533="",H533="",$C533=""),"",IF(COUNTIFS($A$5:$A$639,$A533,$C$5:$C$639,$C533-1,$D$5:$D$639,$D533,H$5:H$639,"&lt;&gt;")=0,"",IF(OR(SUMIFS(H$5:H$639,$A$5:$A$639,$A533,$C$5:$C$639,$C533-1,$D$5:$D$639,$D533)=0,H533*SUMIFS(H$5:H$639,$A$5:$A$639,$A533,$C$5:$C$639,$C533-1,$D$5:$D$639,$D533)&lt;0),"n.s.",ABS(H533)/ABS(SUMIFS(H$5:H$639,$A$5:$A$639,$A533,$C$5:$C$639,$C533-1,$D$5:$D$639,$D533))-1)))</f>
        <v/>
      </c>
      <c r="Q533" s="16">
        <f>IF(OR($A533="",I533="",$C533=""),"",IF(COUNTIFS($A$5:$A$639,$A533,$C$5:$C$639,$C533-1,$D$5:$D$639,$D533,I$5:I$639,"&lt;&gt;")=0,"",IF(OR(SUMIFS(I$5:I$639,$A$5:$A$639,$A533,$C$5:$C$639,$C533-1,$D$5:$D$639,$D533)=0,I533*SUMIFS(I$5:I$639,$A$5:$A$639,$A533,$C$5:$C$639,$C533-1,$D$5:$D$639,$D533)&lt;0),"n.s.",ABS(I533)/ABS(SUMIFS(I$5:I$639,$A$5:$A$639,$A533,$C$5:$C$639,$C533-1,$D$5:$D$639,$D533))-1)))</f>
        <v/>
      </c>
      <c r="R533" s="16">
        <f>IF(OR($A533="",J533="",$C533=""),"",IF(COUNTIFS($A$5:$A$639,$A533,$C$5:$C$639,$C533-1,$D$5:$D$639,$D533,J$5:J$639,"&lt;&gt;")=0,"",IF(OR(SUMIFS(J$5:J$639,$A$5:$A$639,$A533,$C$5:$C$639,$C533-1,$D$5:$D$639,$D533)=0,J533*SUMIFS(J$5:J$639,$A$5:$A$639,$A533,$C$5:$C$639,$C533-1,$D$5:$D$639,$D533)&lt;0),"n.s.",ABS(J533)/ABS(SUMIFS(J$5:J$639,$A$5:$A$639,$A533,$C$5:$C$639,$C533-1,$D$5:$D$639,$D533))-1)))</f>
        <v/>
      </c>
      <c r="S533" s="16">
        <f>IF(OR($A533="",K533="",$C533=""),"",IF(COUNTIFS($A$5:$A$639,$A533,$C$5:$C$639,$C533-1,$D$5:$D$639,$D533,K$5:K$639,"&lt;&gt;")=0,"",IF(OR(SUMIFS(K$5:K$639,$A$5:$A$639,$A533,$C$5:$C$639,$C533-1,$D$5:$D$639,$D533)=0,K533*SUMIFS(K$5:K$639,$A$5:$A$639,$A533,$C$5:$C$639,$C533-1,$D$5:$D$639,$D533)&lt;0),"n.s.",ABS(K533)/ABS(SUMIFS(K$5:K$639,$A$5:$A$639,$A533,$C$5:$C$639,$C533-1,$D$5:$D$639,$D533))-1)))</f>
        <v/>
      </c>
      <c r="T533" s="16">
        <f>IF(OR($A533="",L533="",$C533=""),"",IF(COUNTIFS($A$5:$A$639,$A533,$C$5:$C$639,$C533-1,$D$5:$D$639,$D533,L$5:L$639,"&lt;&gt;")=0,"",IF(OR(SUMIFS(L$5:L$639,$A$5:$A$639,$A533,$C$5:$C$639,$C533-1,$D$5:$D$639,$D533)=0,L533*SUMIFS(L$5:L$639,$A$5:$A$639,$A533,$C$5:$C$639,$C533-1,$D$5:$D$639,$D533)&lt;0),"n.s.",ABS(L533)/ABS(SUMIFS(L$5:L$639,$A$5:$A$639,$A533,$C$5:$C$639,$C533-1,$D$5:$D$639,$D533))-1)))</f>
        <v/>
      </c>
      <c r="U533" s="16">
        <f>IF(OR($A533="",M533="",$C533=""),"",IF(COUNTIFS($A$5:$A$639,$A533,$C$5:$C$639,$C533-1,$D$5:$D$639,$D533,M$5:M$639,"&lt;&gt;")=0,"",IF(OR(SUMIFS(M$5:M$639,$A$5:$A$639,$A533,$C$5:$C$639,$C533-1,$D$5:$D$639,$D533)=0,M533*SUMIFS(M$5:M$639,$A$5:$A$639,$A533,$C$5:$C$639,$C533-1,$D$5:$D$639,$D533)&lt;0),"n.s.",ABS(M533)/ABS(SUMIFS(M$5:M$639,$A$5:$A$639,$A533,$C$5:$C$639,$C533-1,$D$5:$D$639,$D533))-1)))</f>
        <v/>
      </c>
    </row>
    <row r="534">
      <c r="A534" s="9" t="inlineStr">
        <is>
          <t>SHEC</t>
        </is>
      </c>
      <c r="B534" s="10">
        <f>IF(A534="","",IFERROR(VLOOKUP(A534,Titres!$A$2:$B$400,2,FALSE),"Ticker inconnu"))</f>
        <v/>
      </c>
      <c r="C534" s="11" t="n">
        <v>2023</v>
      </c>
      <c r="D534" s="11" t="inlineStr">
        <is>
          <t>S1</t>
        </is>
      </c>
      <c r="E534" s="9" t="n"/>
      <c r="F534" s="12" t="n"/>
      <c r="G534" s="9" t="n"/>
      <c r="H534" s="13" t="n"/>
      <c r="I534" s="13" t="n"/>
      <c r="J534" s="13" t="n"/>
      <c r="K534" s="13" t="n"/>
      <c r="L534" s="13" t="n"/>
      <c r="M534" s="13" t="n"/>
      <c r="N534" s="14">
        <f>IF(A534="","",COUNT(H534:M534)/6)</f>
        <v/>
      </c>
      <c r="O534" s="15">
        <f>IF(COUNT(H534:M534)=0,"",IF(LEN(IF(COUNT(I534,J534)=2,IF(J534&gt;I534+1,"EBE &gt; VA ",""),"")&amp;IF(COUNT(H534,M534)=2,IF(ABS(M534)&gt;ABS(H534),"RN &gt; CA ",""),"")&amp;IF(COUNT(H534,K534)=2,IF(ABS(K534)&gt;ABS(H534),"RE &gt; CA ",""),""))=0,"OK",IF(COUNT(I534,J534)=2,IF(J534&gt;I534+1,"EBE &gt; VA ",""),"")&amp;IF(COUNT(H534,M534)=2,IF(ABS(M534)&gt;ABS(H534),"RN &gt; CA ",""),"")&amp;IF(COUNT(H534,K534)=2,IF(ABS(K534)&gt;ABS(H534),"RE &gt; CA ",""),"")))</f>
        <v/>
      </c>
      <c r="P534" s="16">
        <f>IF(OR($A534="",H534="",$C534=""),"",IF(COUNTIFS($A$5:$A$639,$A534,$C$5:$C$639,$C534-1,$D$5:$D$639,$D534,H$5:H$639,"&lt;&gt;")=0,"",IF(OR(SUMIFS(H$5:H$639,$A$5:$A$639,$A534,$C$5:$C$639,$C534-1,$D$5:$D$639,$D534)=0,H534*SUMIFS(H$5:H$639,$A$5:$A$639,$A534,$C$5:$C$639,$C534-1,$D$5:$D$639,$D534)&lt;0),"n.s.",ABS(H534)/ABS(SUMIFS(H$5:H$639,$A$5:$A$639,$A534,$C$5:$C$639,$C534-1,$D$5:$D$639,$D534))-1)))</f>
        <v/>
      </c>
      <c r="Q534" s="16">
        <f>IF(OR($A534="",I534="",$C534=""),"",IF(COUNTIFS($A$5:$A$639,$A534,$C$5:$C$639,$C534-1,$D$5:$D$639,$D534,I$5:I$639,"&lt;&gt;")=0,"",IF(OR(SUMIFS(I$5:I$639,$A$5:$A$639,$A534,$C$5:$C$639,$C534-1,$D$5:$D$639,$D534)=0,I534*SUMIFS(I$5:I$639,$A$5:$A$639,$A534,$C$5:$C$639,$C534-1,$D$5:$D$639,$D534)&lt;0),"n.s.",ABS(I534)/ABS(SUMIFS(I$5:I$639,$A$5:$A$639,$A534,$C$5:$C$639,$C534-1,$D$5:$D$639,$D534))-1)))</f>
        <v/>
      </c>
      <c r="R534" s="16">
        <f>IF(OR($A534="",J534="",$C534=""),"",IF(COUNTIFS($A$5:$A$639,$A534,$C$5:$C$639,$C534-1,$D$5:$D$639,$D534,J$5:J$639,"&lt;&gt;")=0,"",IF(OR(SUMIFS(J$5:J$639,$A$5:$A$639,$A534,$C$5:$C$639,$C534-1,$D$5:$D$639,$D534)=0,J534*SUMIFS(J$5:J$639,$A$5:$A$639,$A534,$C$5:$C$639,$C534-1,$D$5:$D$639,$D534)&lt;0),"n.s.",ABS(J534)/ABS(SUMIFS(J$5:J$639,$A$5:$A$639,$A534,$C$5:$C$639,$C534-1,$D$5:$D$639,$D534))-1)))</f>
        <v/>
      </c>
      <c r="S534" s="16">
        <f>IF(OR($A534="",K534="",$C534=""),"",IF(COUNTIFS($A$5:$A$639,$A534,$C$5:$C$639,$C534-1,$D$5:$D$639,$D534,K$5:K$639,"&lt;&gt;")=0,"",IF(OR(SUMIFS(K$5:K$639,$A$5:$A$639,$A534,$C$5:$C$639,$C534-1,$D$5:$D$639,$D534)=0,K534*SUMIFS(K$5:K$639,$A$5:$A$639,$A534,$C$5:$C$639,$C534-1,$D$5:$D$639,$D534)&lt;0),"n.s.",ABS(K534)/ABS(SUMIFS(K$5:K$639,$A$5:$A$639,$A534,$C$5:$C$639,$C534-1,$D$5:$D$639,$D534))-1)))</f>
        <v/>
      </c>
      <c r="T534" s="16">
        <f>IF(OR($A534="",L534="",$C534=""),"",IF(COUNTIFS($A$5:$A$639,$A534,$C$5:$C$639,$C534-1,$D$5:$D$639,$D534,L$5:L$639,"&lt;&gt;")=0,"",IF(OR(SUMIFS(L$5:L$639,$A$5:$A$639,$A534,$C$5:$C$639,$C534-1,$D$5:$D$639,$D534)=0,L534*SUMIFS(L$5:L$639,$A$5:$A$639,$A534,$C$5:$C$639,$C534-1,$D$5:$D$639,$D534)&lt;0),"n.s.",ABS(L534)/ABS(SUMIFS(L$5:L$639,$A$5:$A$639,$A534,$C$5:$C$639,$C534-1,$D$5:$D$639,$D534))-1)))</f>
        <v/>
      </c>
      <c r="U534" s="16">
        <f>IF(OR($A534="",M534="",$C534=""),"",IF(COUNTIFS($A$5:$A$639,$A534,$C$5:$C$639,$C534-1,$D$5:$D$639,$D534,M$5:M$639,"&lt;&gt;")=0,"",IF(OR(SUMIFS(M$5:M$639,$A$5:$A$639,$A534,$C$5:$C$639,$C534-1,$D$5:$D$639,$D534)=0,M534*SUMIFS(M$5:M$639,$A$5:$A$639,$A534,$C$5:$C$639,$C534-1,$D$5:$D$639,$D534)&lt;0),"n.s.",ABS(M534)/ABS(SUMIFS(M$5:M$639,$A$5:$A$639,$A534,$C$5:$C$639,$C534-1,$D$5:$D$639,$D534))-1)))</f>
        <v/>
      </c>
    </row>
    <row r="535">
      <c r="A535" s="9" t="inlineStr">
        <is>
          <t>SHEC</t>
        </is>
      </c>
      <c r="B535" s="10">
        <f>IF(A535="","",IFERROR(VLOOKUP(A535,Titres!$A$2:$B$400,2,FALSE),"Ticker inconnu"))</f>
        <v/>
      </c>
      <c r="C535" s="11" t="n">
        <v>2023</v>
      </c>
      <c r="D535" s="11" t="inlineStr">
        <is>
          <t>T3</t>
        </is>
      </c>
      <c r="E535" s="9" t="n"/>
      <c r="F535" s="12" t="n"/>
      <c r="G535" s="9" t="n"/>
      <c r="H535" s="13" t="n"/>
      <c r="I535" s="13" t="n"/>
      <c r="J535" s="13" t="n"/>
      <c r="K535" s="13" t="n"/>
      <c r="L535" s="13" t="n"/>
      <c r="M535" s="13" t="n"/>
      <c r="N535" s="14">
        <f>IF(A535="","",COUNT(H535:M535)/6)</f>
        <v/>
      </c>
      <c r="O535" s="15">
        <f>IF(COUNT(H535:M535)=0,"",IF(LEN(IF(COUNT(I535,J535)=2,IF(J535&gt;I535+1,"EBE &gt; VA ",""),"")&amp;IF(COUNT(H535,M535)=2,IF(ABS(M535)&gt;ABS(H535),"RN &gt; CA ",""),"")&amp;IF(COUNT(H535,K535)=2,IF(ABS(K535)&gt;ABS(H535),"RE &gt; CA ",""),""))=0,"OK",IF(COUNT(I535,J535)=2,IF(J535&gt;I535+1,"EBE &gt; VA ",""),"")&amp;IF(COUNT(H535,M535)=2,IF(ABS(M535)&gt;ABS(H535),"RN &gt; CA ",""),"")&amp;IF(COUNT(H535,K535)=2,IF(ABS(K535)&gt;ABS(H535),"RE &gt; CA ",""),"")))</f>
        <v/>
      </c>
      <c r="P535" s="16">
        <f>IF(OR($A535="",H535="",$C535=""),"",IF(COUNTIFS($A$5:$A$639,$A535,$C$5:$C$639,$C535-1,$D$5:$D$639,$D535,H$5:H$639,"&lt;&gt;")=0,"",IF(OR(SUMIFS(H$5:H$639,$A$5:$A$639,$A535,$C$5:$C$639,$C535-1,$D$5:$D$639,$D535)=0,H535*SUMIFS(H$5:H$639,$A$5:$A$639,$A535,$C$5:$C$639,$C535-1,$D$5:$D$639,$D535)&lt;0),"n.s.",ABS(H535)/ABS(SUMIFS(H$5:H$639,$A$5:$A$639,$A535,$C$5:$C$639,$C535-1,$D$5:$D$639,$D535))-1)))</f>
        <v/>
      </c>
      <c r="Q535" s="16">
        <f>IF(OR($A535="",I535="",$C535=""),"",IF(COUNTIFS($A$5:$A$639,$A535,$C$5:$C$639,$C535-1,$D$5:$D$639,$D535,I$5:I$639,"&lt;&gt;")=0,"",IF(OR(SUMIFS(I$5:I$639,$A$5:$A$639,$A535,$C$5:$C$639,$C535-1,$D$5:$D$639,$D535)=0,I535*SUMIFS(I$5:I$639,$A$5:$A$639,$A535,$C$5:$C$639,$C535-1,$D$5:$D$639,$D535)&lt;0),"n.s.",ABS(I535)/ABS(SUMIFS(I$5:I$639,$A$5:$A$639,$A535,$C$5:$C$639,$C535-1,$D$5:$D$639,$D535))-1)))</f>
        <v/>
      </c>
      <c r="R535" s="16">
        <f>IF(OR($A535="",J535="",$C535=""),"",IF(COUNTIFS($A$5:$A$639,$A535,$C$5:$C$639,$C535-1,$D$5:$D$639,$D535,J$5:J$639,"&lt;&gt;")=0,"",IF(OR(SUMIFS(J$5:J$639,$A$5:$A$639,$A535,$C$5:$C$639,$C535-1,$D$5:$D$639,$D535)=0,J535*SUMIFS(J$5:J$639,$A$5:$A$639,$A535,$C$5:$C$639,$C535-1,$D$5:$D$639,$D535)&lt;0),"n.s.",ABS(J535)/ABS(SUMIFS(J$5:J$639,$A$5:$A$639,$A535,$C$5:$C$639,$C535-1,$D$5:$D$639,$D535))-1)))</f>
        <v/>
      </c>
      <c r="S535" s="16">
        <f>IF(OR($A535="",K535="",$C535=""),"",IF(COUNTIFS($A$5:$A$639,$A535,$C$5:$C$639,$C535-1,$D$5:$D$639,$D535,K$5:K$639,"&lt;&gt;")=0,"",IF(OR(SUMIFS(K$5:K$639,$A$5:$A$639,$A535,$C$5:$C$639,$C535-1,$D$5:$D$639,$D535)=0,K535*SUMIFS(K$5:K$639,$A$5:$A$639,$A535,$C$5:$C$639,$C535-1,$D$5:$D$639,$D535)&lt;0),"n.s.",ABS(K535)/ABS(SUMIFS(K$5:K$639,$A$5:$A$639,$A535,$C$5:$C$639,$C535-1,$D$5:$D$639,$D535))-1)))</f>
        <v/>
      </c>
      <c r="T535" s="16">
        <f>IF(OR($A535="",L535="",$C535=""),"",IF(COUNTIFS($A$5:$A$639,$A535,$C$5:$C$639,$C535-1,$D$5:$D$639,$D535,L$5:L$639,"&lt;&gt;")=0,"",IF(OR(SUMIFS(L$5:L$639,$A$5:$A$639,$A535,$C$5:$C$639,$C535-1,$D$5:$D$639,$D535)=0,L535*SUMIFS(L$5:L$639,$A$5:$A$639,$A535,$C$5:$C$639,$C535-1,$D$5:$D$639,$D535)&lt;0),"n.s.",ABS(L535)/ABS(SUMIFS(L$5:L$639,$A$5:$A$639,$A535,$C$5:$C$639,$C535-1,$D$5:$D$639,$D535))-1)))</f>
        <v/>
      </c>
      <c r="U535" s="16">
        <f>IF(OR($A535="",M535="",$C535=""),"",IF(COUNTIFS($A$5:$A$639,$A535,$C$5:$C$639,$C535-1,$D$5:$D$639,$D535,M$5:M$639,"&lt;&gt;")=0,"",IF(OR(SUMIFS(M$5:M$639,$A$5:$A$639,$A535,$C$5:$C$639,$C535-1,$D$5:$D$639,$D535)=0,M535*SUMIFS(M$5:M$639,$A$5:$A$639,$A535,$C$5:$C$639,$C535-1,$D$5:$D$639,$D535)&lt;0),"n.s.",ABS(M535)/ABS(SUMIFS(M$5:M$639,$A$5:$A$639,$A535,$C$5:$C$639,$C535-1,$D$5:$D$639,$D535))-1)))</f>
        <v/>
      </c>
    </row>
    <row r="536">
      <c r="A536" s="9" t="inlineStr">
        <is>
          <t>SHEC</t>
        </is>
      </c>
      <c r="B536" s="10">
        <f>IF(A536="","",IFERROR(VLOOKUP(A536,Titres!$A$2:$B$400,2,FALSE),"Ticker inconnu"))</f>
        <v/>
      </c>
      <c r="C536" s="11" t="n">
        <v>2024</v>
      </c>
      <c r="D536" s="11" t="inlineStr">
        <is>
          <t>T1</t>
        </is>
      </c>
      <c r="E536" s="9" t="n"/>
      <c r="F536" s="12" t="n"/>
      <c r="G536" s="9" t="n"/>
      <c r="H536" s="13" t="n"/>
      <c r="I536" s="13" t="n"/>
      <c r="J536" s="13" t="n"/>
      <c r="K536" s="13" t="n"/>
      <c r="L536" s="13" t="n"/>
      <c r="M536" s="13" t="n"/>
      <c r="N536" s="14">
        <f>IF(A536="","",COUNT(H536:M536)/6)</f>
        <v/>
      </c>
      <c r="O536" s="15">
        <f>IF(COUNT(H536:M536)=0,"",IF(LEN(IF(COUNT(I536,J536)=2,IF(J536&gt;I536+1,"EBE &gt; VA ",""),"")&amp;IF(COUNT(H536,M536)=2,IF(ABS(M536)&gt;ABS(H536),"RN &gt; CA ",""),"")&amp;IF(COUNT(H536,K536)=2,IF(ABS(K536)&gt;ABS(H536),"RE &gt; CA ",""),""))=0,"OK",IF(COUNT(I536,J536)=2,IF(J536&gt;I536+1,"EBE &gt; VA ",""),"")&amp;IF(COUNT(H536,M536)=2,IF(ABS(M536)&gt;ABS(H536),"RN &gt; CA ",""),"")&amp;IF(COUNT(H536,K536)=2,IF(ABS(K536)&gt;ABS(H536),"RE &gt; CA ",""),"")))</f>
        <v/>
      </c>
      <c r="P536" s="16">
        <f>IF(OR($A536="",H536="",$C536=""),"",IF(COUNTIFS($A$5:$A$639,$A536,$C$5:$C$639,$C536-1,$D$5:$D$639,$D536,H$5:H$639,"&lt;&gt;")=0,"",IF(OR(SUMIFS(H$5:H$639,$A$5:$A$639,$A536,$C$5:$C$639,$C536-1,$D$5:$D$639,$D536)=0,H536*SUMIFS(H$5:H$639,$A$5:$A$639,$A536,$C$5:$C$639,$C536-1,$D$5:$D$639,$D536)&lt;0),"n.s.",ABS(H536)/ABS(SUMIFS(H$5:H$639,$A$5:$A$639,$A536,$C$5:$C$639,$C536-1,$D$5:$D$639,$D536))-1)))</f>
        <v/>
      </c>
      <c r="Q536" s="16">
        <f>IF(OR($A536="",I536="",$C536=""),"",IF(COUNTIFS($A$5:$A$639,$A536,$C$5:$C$639,$C536-1,$D$5:$D$639,$D536,I$5:I$639,"&lt;&gt;")=0,"",IF(OR(SUMIFS(I$5:I$639,$A$5:$A$639,$A536,$C$5:$C$639,$C536-1,$D$5:$D$639,$D536)=0,I536*SUMIFS(I$5:I$639,$A$5:$A$639,$A536,$C$5:$C$639,$C536-1,$D$5:$D$639,$D536)&lt;0),"n.s.",ABS(I536)/ABS(SUMIFS(I$5:I$639,$A$5:$A$639,$A536,$C$5:$C$639,$C536-1,$D$5:$D$639,$D536))-1)))</f>
        <v/>
      </c>
      <c r="R536" s="16">
        <f>IF(OR($A536="",J536="",$C536=""),"",IF(COUNTIFS($A$5:$A$639,$A536,$C$5:$C$639,$C536-1,$D$5:$D$639,$D536,J$5:J$639,"&lt;&gt;")=0,"",IF(OR(SUMIFS(J$5:J$639,$A$5:$A$639,$A536,$C$5:$C$639,$C536-1,$D$5:$D$639,$D536)=0,J536*SUMIFS(J$5:J$639,$A$5:$A$639,$A536,$C$5:$C$639,$C536-1,$D$5:$D$639,$D536)&lt;0),"n.s.",ABS(J536)/ABS(SUMIFS(J$5:J$639,$A$5:$A$639,$A536,$C$5:$C$639,$C536-1,$D$5:$D$639,$D536))-1)))</f>
        <v/>
      </c>
      <c r="S536" s="16">
        <f>IF(OR($A536="",K536="",$C536=""),"",IF(COUNTIFS($A$5:$A$639,$A536,$C$5:$C$639,$C536-1,$D$5:$D$639,$D536,K$5:K$639,"&lt;&gt;")=0,"",IF(OR(SUMIFS(K$5:K$639,$A$5:$A$639,$A536,$C$5:$C$639,$C536-1,$D$5:$D$639,$D536)=0,K536*SUMIFS(K$5:K$639,$A$5:$A$639,$A536,$C$5:$C$639,$C536-1,$D$5:$D$639,$D536)&lt;0),"n.s.",ABS(K536)/ABS(SUMIFS(K$5:K$639,$A$5:$A$639,$A536,$C$5:$C$639,$C536-1,$D$5:$D$639,$D536))-1)))</f>
        <v/>
      </c>
      <c r="T536" s="16">
        <f>IF(OR($A536="",L536="",$C536=""),"",IF(COUNTIFS($A$5:$A$639,$A536,$C$5:$C$639,$C536-1,$D$5:$D$639,$D536,L$5:L$639,"&lt;&gt;")=0,"",IF(OR(SUMIFS(L$5:L$639,$A$5:$A$639,$A536,$C$5:$C$639,$C536-1,$D$5:$D$639,$D536)=0,L536*SUMIFS(L$5:L$639,$A$5:$A$639,$A536,$C$5:$C$639,$C536-1,$D$5:$D$639,$D536)&lt;0),"n.s.",ABS(L536)/ABS(SUMIFS(L$5:L$639,$A$5:$A$639,$A536,$C$5:$C$639,$C536-1,$D$5:$D$639,$D536))-1)))</f>
        <v/>
      </c>
      <c r="U536" s="16">
        <f>IF(OR($A536="",M536="",$C536=""),"",IF(COUNTIFS($A$5:$A$639,$A536,$C$5:$C$639,$C536-1,$D$5:$D$639,$D536,M$5:M$639,"&lt;&gt;")=0,"",IF(OR(SUMIFS(M$5:M$639,$A$5:$A$639,$A536,$C$5:$C$639,$C536-1,$D$5:$D$639,$D536)=0,M536*SUMIFS(M$5:M$639,$A$5:$A$639,$A536,$C$5:$C$639,$C536-1,$D$5:$D$639,$D536)&lt;0),"n.s.",ABS(M536)/ABS(SUMIFS(M$5:M$639,$A$5:$A$639,$A536,$C$5:$C$639,$C536-1,$D$5:$D$639,$D536))-1)))</f>
        <v/>
      </c>
    </row>
    <row r="537">
      <c r="A537" s="9" t="inlineStr">
        <is>
          <t>SHEC</t>
        </is>
      </c>
      <c r="B537" s="10">
        <f>IF(A537="","",IFERROR(VLOOKUP(A537,Titres!$A$2:$B$400,2,FALSE),"Ticker inconnu"))</f>
        <v/>
      </c>
      <c r="C537" s="11" t="n">
        <v>2024</v>
      </c>
      <c r="D537" s="11" t="inlineStr">
        <is>
          <t>S1</t>
        </is>
      </c>
      <c r="E537" s="9" t="n"/>
      <c r="F537" s="12" t="n"/>
      <c r="G537" s="9" t="n"/>
      <c r="H537" s="13" t="n"/>
      <c r="I537" s="13" t="n"/>
      <c r="J537" s="13" t="n"/>
      <c r="K537" s="13" t="n"/>
      <c r="L537" s="13" t="n"/>
      <c r="M537" s="13" t="n"/>
      <c r="N537" s="14">
        <f>IF(A537="","",COUNT(H537:M537)/6)</f>
        <v/>
      </c>
      <c r="O537" s="15">
        <f>IF(COUNT(H537:M537)=0,"",IF(LEN(IF(COUNT(I537,J537)=2,IF(J537&gt;I537+1,"EBE &gt; VA ",""),"")&amp;IF(COUNT(H537,M537)=2,IF(ABS(M537)&gt;ABS(H537),"RN &gt; CA ",""),"")&amp;IF(COUNT(H537,K537)=2,IF(ABS(K537)&gt;ABS(H537),"RE &gt; CA ",""),""))=0,"OK",IF(COUNT(I537,J537)=2,IF(J537&gt;I537+1,"EBE &gt; VA ",""),"")&amp;IF(COUNT(H537,M537)=2,IF(ABS(M537)&gt;ABS(H537),"RN &gt; CA ",""),"")&amp;IF(COUNT(H537,K537)=2,IF(ABS(K537)&gt;ABS(H537),"RE &gt; CA ",""),"")))</f>
        <v/>
      </c>
      <c r="P537" s="16">
        <f>IF(OR($A537="",H537="",$C537=""),"",IF(COUNTIFS($A$5:$A$639,$A537,$C$5:$C$639,$C537-1,$D$5:$D$639,$D537,H$5:H$639,"&lt;&gt;")=0,"",IF(OR(SUMIFS(H$5:H$639,$A$5:$A$639,$A537,$C$5:$C$639,$C537-1,$D$5:$D$639,$D537)=0,H537*SUMIFS(H$5:H$639,$A$5:$A$639,$A537,$C$5:$C$639,$C537-1,$D$5:$D$639,$D537)&lt;0),"n.s.",ABS(H537)/ABS(SUMIFS(H$5:H$639,$A$5:$A$639,$A537,$C$5:$C$639,$C537-1,$D$5:$D$639,$D537))-1)))</f>
        <v/>
      </c>
      <c r="Q537" s="16">
        <f>IF(OR($A537="",I537="",$C537=""),"",IF(COUNTIFS($A$5:$A$639,$A537,$C$5:$C$639,$C537-1,$D$5:$D$639,$D537,I$5:I$639,"&lt;&gt;")=0,"",IF(OR(SUMIFS(I$5:I$639,$A$5:$A$639,$A537,$C$5:$C$639,$C537-1,$D$5:$D$639,$D537)=0,I537*SUMIFS(I$5:I$639,$A$5:$A$639,$A537,$C$5:$C$639,$C537-1,$D$5:$D$639,$D537)&lt;0),"n.s.",ABS(I537)/ABS(SUMIFS(I$5:I$639,$A$5:$A$639,$A537,$C$5:$C$639,$C537-1,$D$5:$D$639,$D537))-1)))</f>
        <v/>
      </c>
      <c r="R537" s="16">
        <f>IF(OR($A537="",J537="",$C537=""),"",IF(COUNTIFS($A$5:$A$639,$A537,$C$5:$C$639,$C537-1,$D$5:$D$639,$D537,J$5:J$639,"&lt;&gt;")=0,"",IF(OR(SUMIFS(J$5:J$639,$A$5:$A$639,$A537,$C$5:$C$639,$C537-1,$D$5:$D$639,$D537)=0,J537*SUMIFS(J$5:J$639,$A$5:$A$639,$A537,$C$5:$C$639,$C537-1,$D$5:$D$639,$D537)&lt;0),"n.s.",ABS(J537)/ABS(SUMIFS(J$5:J$639,$A$5:$A$639,$A537,$C$5:$C$639,$C537-1,$D$5:$D$639,$D537))-1)))</f>
        <v/>
      </c>
      <c r="S537" s="16">
        <f>IF(OR($A537="",K537="",$C537=""),"",IF(COUNTIFS($A$5:$A$639,$A537,$C$5:$C$639,$C537-1,$D$5:$D$639,$D537,K$5:K$639,"&lt;&gt;")=0,"",IF(OR(SUMIFS(K$5:K$639,$A$5:$A$639,$A537,$C$5:$C$639,$C537-1,$D$5:$D$639,$D537)=0,K537*SUMIFS(K$5:K$639,$A$5:$A$639,$A537,$C$5:$C$639,$C537-1,$D$5:$D$639,$D537)&lt;0),"n.s.",ABS(K537)/ABS(SUMIFS(K$5:K$639,$A$5:$A$639,$A537,$C$5:$C$639,$C537-1,$D$5:$D$639,$D537))-1)))</f>
        <v/>
      </c>
      <c r="T537" s="16">
        <f>IF(OR($A537="",L537="",$C537=""),"",IF(COUNTIFS($A$5:$A$639,$A537,$C$5:$C$639,$C537-1,$D$5:$D$639,$D537,L$5:L$639,"&lt;&gt;")=0,"",IF(OR(SUMIFS(L$5:L$639,$A$5:$A$639,$A537,$C$5:$C$639,$C537-1,$D$5:$D$639,$D537)=0,L537*SUMIFS(L$5:L$639,$A$5:$A$639,$A537,$C$5:$C$639,$C537-1,$D$5:$D$639,$D537)&lt;0),"n.s.",ABS(L537)/ABS(SUMIFS(L$5:L$639,$A$5:$A$639,$A537,$C$5:$C$639,$C537-1,$D$5:$D$639,$D537))-1)))</f>
        <v/>
      </c>
      <c r="U537" s="16">
        <f>IF(OR($A537="",M537="",$C537=""),"",IF(COUNTIFS($A$5:$A$639,$A537,$C$5:$C$639,$C537-1,$D$5:$D$639,$D537,M$5:M$639,"&lt;&gt;")=0,"",IF(OR(SUMIFS(M$5:M$639,$A$5:$A$639,$A537,$C$5:$C$639,$C537-1,$D$5:$D$639,$D537)=0,M537*SUMIFS(M$5:M$639,$A$5:$A$639,$A537,$C$5:$C$639,$C537-1,$D$5:$D$639,$D537)&lt;0),"n.s.",ABS(M537)/ABS(SUMIFS(M$5:M$639,$A$5:$A$639,$A537,$C$5:$C$639,$C537-1,$D$5:$D$639,$D537))-1)))</f>
        <v/>
      </c>
    </row>
    <row r="538">
      <c r="A538" s="9" t="inlineStr">
        <is>
          <t>SHEC</t>
        </is>
      </c>
      <c r="B538" s="10">
        <f>IF(A538="","",IFERROR(VLOOKUP(A538,Titres!$A$2:$B$400,2,FALSE),"Ticker inconnu"))</f>
        <v/>
      </c>
      <c r="C538" s="11" t="n">
        <v>2024</v>
      </c>
      <c r="D538" s="11" t="inlineStr">
        <is>
          <t>T3</t>
        </is>
      </c>
      <c r="E538" s="9" t="n"/>
      <c r="F538" s="12" t="n"/>
      <c r="G538" s="9" t="n"/>
      <c r="H538" s="13" t="n"/>
      <c r="I538" s="13" t="n"/>
      <c r="J538" s="13" t="n"/>
      <c r="K538" s="13" t="n"/>
      <c r="L538" s="13" t="n"/>
      <c r="M538" s="13" t="n"/>
      <c r="N538" s="14">
        <f>IF(A538="","",COUNT(H538:M538)/6)</f>
        <v/>
      </c>
      <c r="O538" s="15">
        <f>IF(COUNT(H538:M538)=0,"",IF(LEN(IF(COUNT(I538,J538)=2,IF(J538&gt;I538+1,"EBE &gt; VA ",""),"")&amp;IF(COUNT(H538,M538)=2,IF(ABS(M538)&gt;ABS(H538),"RN &gt; CA ",""),"")&amp;IF(COUNT(H538,K538)=2,IF(ABS(K538)&gt;ABS(H538),"RE &gt; CA ",""),""))=0,"OK",IF(COUNT(I538,J538)=2,IF(J538&gt;I538+1,"EBE &gt; VA ",""),"")&amp;IF(COUNT(H538,M538)=2,IF(ABS(M538)&gt;ABS(H538),"RN &gt; CA ",""),"")&amp;IF(COUNT(H538,K538)=2,IF(ABS(K538)&gt;ABS(H538),"RE &gt; CA ",""),"")))</f>
        <v/>
      </c>
      <c r="P538" s="16">
        <f>IF(OR($A538="",H538="",$C538=""),"",IF(COUNTIFS($A$5:$A$639,$A538,$C$5:$C$639,$C538-1,$D$5:$D$639,$D538,H$5:H$639,"&lt;&gt;")=0,"",IF(OR(SUMIFS(H$5:H$639,$A$5:$A$639,$A538,$C$5:$C$639,$C538-1,$D$5:$D$639,$D538)=0,H538*SUMIFS(H$5:H$639,$A$5:$A$639,$A538,$C$5:$C$639,$C538-1,$D$5:$D$639,$D538)&lt;0),"n.s.",ABS(H538)/ABS(SUMIFS(H$5:H$639,$A$5:$A$639,$A538,$C$5:$C$639,$C538-1,$D$5:$D$639,$D538))-1)))</f>
        <v/>
      </c>
      <c r="Q538" s="16">
        <f>IF(OR($A538="",I538="",$C538=""),"",IF(COUNTIFS($A$5:$A$639,$A538,$C$5:$C$639,$C538-1,$D$5:$D$639,$D538,I$5:I$639,"&lt;&gt;")=0,"",IF(OR(SUMIFS(I$5:I$639,$A$5:$A$639,$A538,$C$5:$C$639,$C538-1,$D$5:$D$639,$D538)=0,I538*SUMIFS(I$5:I$639,$A$5:$A$639,$A538,$C$5:$C$639,$C538-1,$D$5:$D$639,$D538)&lt;0),"n.s.",ABS(I538)/ABS(SUMIFS(I$5:I$639,$A$5:$A$639,$A538,$C$5:$C$639,$C538-1,$D$5:$D$639,$D538))-1)))</f>
        <v/>
      </c>
      <c r="R538" s="16">
        <f>IF(OR($A538="",J538="",$C538=""),"",IF(COUNTIFS($A$5:$A$639,$A538,$C$5:$C$639,$C538-1,$D$5:$D$639,$D538,J$5:J$639,"&lt;&gt;")=0,"",IF(OR(SUMIFS(J$5:J$639,$A$5:$A$639,$A538,$C$5:$C$639,$C538-1,$D$5:$D$639,$D538)=0,J538*SUMIFS(J$5:J$639,$A$5:$A$639,$A538,$C$5:$C$639,$C538-1,$D$5:$D$639,$D538)&lt;0),"n.s.",ABS(J538)/ABS(SUMIFS(J$5:J$639,$A$5:$A$639,$A538,$C$5:$C$639,$C538-1,$D$5:$D$639,$D538))-1)))</f>
        <v/>
      </c>
      <c r="S538" s="16">
        <f>IF(OR($A538="",K538="",$C538=""),"",IF(COUNTIFS($A$5:$A$639,$A538,$C$5:$C$639,$C538-1,$D$5:$D$639,$D538,K$5:K$639,"&lt;&gt;")=0,"",IF(OR(SUMIFS(K$5:K$639,$A$5:$A$639,$A538,$C$5:$C$639,$C538-1,$D$5:$D$639,$D538)=0,K538*SUMIFS(K$5:K$639,$A$5:$A$639,$A538,$C$5:$C$639,$C538-1,$D$5:$D$639,$D538)&lt;0),"n.s.",ABS(K538)/ABS(SUMIFS(K$5:K$639,$A$5:$A$639,$A538,$C$5:$C$639,$C538-1,$D$5:$D$639,$D538))-1)))</f>
        <v/>
      </c>
      <c r="T538" s="16">
        <f>IF(OR($A538="",L538="",$C538=""),"",IF(COUNTIFS($A$5:$A$639,$A538,$C$5:$C$639,$C538-1,$D$5:$D$639,$D538,L$5:L$639,"&lt;&gt;")=0,"",IF(OR(SUMIFS(L$5:L$639,$A$5:$A$639,$A538,$C$5:$C$639,$C538-1,$D$5:$D$639,$D538)=0,L538*SUMIFS(L$5:L$639,$A$5:$A$639,$A538,$C$5:$C$639,$C538-1,$D$5:$D$639,$D538)&lt;0),"n.s.",ABS(L538)/ABS(SUMIFS(L$5:L$639,$A$5:$A$639,$A538,$C$5:$C$639,$C538-1,$D$5:$D$639,$D538))-1)))</f>
        <v/>
      </c>
      <c r="U538" s="16">
        <f>IF(OR($A538="",M538="",$C538=""),"",IF(COUNTIFS($A$5:$A$639,$A538,$C$5:$C$639,$C538-1,$D$5:$D$639,$D538,M$5:M$639,"&lt;&gt;")=0,"",IF(OR(SUMIFS(M$5:M$639,$A$5:$A$639,$A538,$C$5:$C$639,$C538-1,$D$5:$D$639,$D538)=0,M538*SUMIFS(M$5:M$639,$A$5:$A$639,$A538,$C$5:$C$639,$C538-1,$D$5:$D$639,$D538)&lt;0),"n.s.",ABS(M538)/ABS(SUMIFS(M$5:M$639,$A$5:$A$639,$A538,$C$5:$C$639,$C538-1,$D$5:$D$639,$D538))-1)))</f>
        <v/>
      </c>
    </row>
    <row r="539">
      <c r="A539" s="9" t="inlineStr">
        <is>
          <t>SHEC</t>
        </is>
      </c>
      <c r="B539" s="10">
        <f>IF(A539="","",IFERROR(VLOOKUP(A539,Titres!$A$2:$B$400,2,FALSE),"Ticker inconnu"))</f>
        <v/>
      </c>
      <c r="C539" s="11" t="n">
        <v>2025</v>
      </c>
      <c r="D539" s="11" t="inlineStr">
        <is>
          <t>T1</t>
        </is>
      </c>
      <c r="E539" s="9" t="n"/>
      <c r="F539" s="12" t="n"/>
      <c r="G539" s="9" t="n"/>
      <c r="H539" s="13" t="n"/>
      <c r="I539" s="13" t="n"/>
      <c r="J539" s="13" t="n"/>
      <c r="K539" s="13" t="n"/>
      <c r="L539" s="13" t="n"/>
      <c r="M539" s="13" t="n"/>
      <c r="N539" s="14">
        <f>IF(A539="","",COUNT(H539:M539)/6)</f>
        <v/>
      </c>
      <c r="O539" s="15">
        <f>IF(COUNT(H539:M539)=0,"",IF(LEN(IF(COUNT(I539,J539)=2,IF(J539&gt;I539+1,"EBE &gt; VA ",""),"")&amp;IF(COUNT(H539,M539)=2,IF(ABS(M539)&gt;ABS(H539),"RN &gt; CA ",""),"")&amp;IF(COUNT(H539,K539)=2,IF(ABS(K539)&gt;ABS(H539),"RE &gt; CA ",""),""))=0,"OK",IF(COUNT(I539,J539)=2,IF(J539&gt;I539+1,"EBE &gt; VA ",""),"")&amp;IF(COUNT(H539,M539)=2,IF(ABS(M539)&gt;ABS(H539),"RN &gt; CA ",""),"")&amp;IF(COUNT(H539,K539)=2,IF(ABS(K539)&gt;ABS(H539),"RE &gt; CA ",""),"")))</f>
        <v/>
      </c>
      <c r="P539" s="16">
        <f>IF(OR($A539="",H539="",$C539=""),"",IF(COUNTIFS($A$5:$A$639,$A539,$C$5:$C$639,$C539-1,$D$5:$D$639,$D539,H$5:H$639,"&lt;&gt;")=0,"",IF(OR(SUMIFS(H$5:H$639,$A$5:$A$639,$A539,$C$5:$C$639,$C539-1,$D$5:$D$639,$D539)=0,H539*SUMIFS(H$5:H$639,$A$5:$A$639,$A539,$C$5:$C$639,$C539-1,$D$5:$D$639,$D539)&lt;0),"n.s.",ABS(H539)/ABS(SUMIFS(H$5:H$639,$A$5:$A$639,$A539,$C$5:$C$639,$C539-1,$D$5:$D$639,$D539))-1)))</f>
        <v/>
      </c>
      <c r="Q539" s="16">
        <f>IF(OR($A539="",I539="",$C539=""),"",IF(COUNTIFS($A$5:$A$639,$A539,$C$5:$C$639,$C539-1,$D$5:$D$639,$D539,I$5:I$639,"&lt;&gt;")=0,"",IF(OR(SUMIFS(I$5:I$639,$A$5:$A$639,$A539,$C$5:$C$639,$C539-1,$D$5:$D$639,$D539)=0,I539*SUMIFS(I$5:I$639,$A$5:$A$639,$A539,$C$5:$C$639,$C539-1,$D$5:$D$639,$D539)&lt;0),"n.s.",ABS(I539)/ABS(SUMIFS(I$5:I$639,$A$5:$A$639,$A539,$C$5:$C$639,$C539-1,$D$5:$D$639,$D539))-1)))</f>
        <v/>
      </c>
      <c r="R539" s="16">
        <f>IF(OR($A539="",J539="",$C539=""),"",IF(COUNTIFS($A$5:$A$639,$A539,$C$5:$C$639,$C539-1,$D$5:$D$639,$D539,J$5:J$639,"&lt;&gt;")=0,"",IF(OR(SUMIFS(J$5:J$639,$A$5:$A$639,$A539,$C$5:$C$639,$C539-1,$D$5:$D$639,$D539)=0,J539*SUMIFS(J$5:J$639,$A$5:$A$639,$A539,$C$5:$C$639,$C539-1,$D$5:$D$639,$D539)&lt;0),"n.s.",ABS(J539)/ABS(SUMIFS(J$5:J$639,$A$5:$A$639,$A539,$C$5:$C$639,$C539-1,$D$5:$D$639,$D539))-1)))</f>
        <v/>
      </c>
      <c r="S539" s="16">
        <f>IF(OR($A539="",K539="",$C539=""),"",IF(COUNTIFS($A$5:$A$639,$A539,$C$5:$C$639,$C539-1,$D$5:$D$639,$D539,K$5:K$639,"&lt;&gt;")=0,"",IF(OR(SUMIFS(K$5:K$639,$A$5:$A$639,$A539,$C$5:$C$639,$C539-1,$D$5:$D$639,$D539)=0,K539*SUMIFS(K$5:K$639,$A$5:$A$639,$A539,$C$5:$C$639,$C539-1,$D$5:$D$639,$D539)&lt;0),"n.s.",ABS(K539)/ABS(SUMIFS(K$5:K$639,$A$5:$A$639,$A539,$C$5:$C$639,$C539-1,$D$5:$D$639,$D539))-1)))</f>
        <v/>
      </c>
      <c r="T539" s="16">
        <f>IF(OR($A539="",L539="",$C539=""),"",IF(COUNTIFS($A$5:$A$639,$A539,$C$5:$C$639,$C539-1,$D$5:$D$639,$D539,L$5:L$639,"&lt;&gt;")=0,"",IF(OR(SUMIFS(L$5:L$639,$A$5:$A$639,$A539,$C$5:$C$639,$C539-1,$D$5:$D$639,$D539)=0,L539*SUMIFS(L$5:L$639,$A$5:$A$639,$A539,$C$5:$C$639,$C539-1,$D$5:$D$639,$D539)&lt;0),"n.s.",ABS(L539)/ABS(SUMIFS(L$5:L$639,$A$5:$A$639,$A539,$C$5:$C$639,$C539-1,$D$5:$D$639,$D539))-1)))</f>
        <v/>
      </c>
      <c r="U539" s="16">
        <f>IF(OR($A539="",M539="",$C539=""),"",IF(COUNTIFS($A$5:$A$639,$A539,$C$5:$C$639,$C539-1,$D$5:$D$639,$D539,M$5:M$639,"&lt;&gt;")=0,"",IF(OR(SUMIFS(M$5:M$639,$A$5:$A$639,$A539,$C$5:$C$639,$C539-1,$D$5:$D$639,$D539)=0,M539*SUMIFS(M$5:M$639,$A$5:$A$639,$A539,$C$5:$C$639,$C539-1,$D$5:$D$639,$D539)&lt;0),"n.s.",ABS(M539)/ABS(SUMIFS(M$5:M$639,$A$5:$A$639,$A539,$C$5:$C$639,$C539-1,$D$5:$D$639,$D539))-1)))</f>
        <v/>
      </c>
    </row>
    <row r="540">
      <c r="A540" s="9" t="inlineStr">
        <is>
          <t>SHEC</t>
        </is>
      </c>
      <c r="B540" s="10">
        <f>IF(A540="","",IFERROR(VLOOKUP(A540,Titres!$A$2:$B$400,2,FALSE),"Ticker inconnu"))</f>
        <v/>
      </c>
      <c r="C540" s="11" t="n">
        <v>2025</v>
      </c>
      <c r="D540" s="11" t="inlineStr">
        <is>
          <t>S1</t>
        </is>
      </c>
      <c r="E540" s="9" t="n"/>
      <c r="F540" s="12" t="n"/>
      <c r="G540" s="9" t="n"/>
      <c r="H540" s="13" t="n"/>
      <c r="I540" s="13" t="n"/>
      <c r="J540" s="13" t="n"/>
      <c r="K540" s="13" t="n"/>
      <c r="L540" s="13" t="n"/>
      <c r="M540" s="13" t="n"/>
      <c r="N540" s="14">
        <f>IF(A540="","",COUNT(H540:M540)/6)</f>
        <v/>
      </c>
      <c r="O540" s="15">
        <f>IF(COUNT(H540:M540)=0,"",IF(LEN(IF(COUNT(I540,J540)=2,IF(J540&gt;I540+1,"EBE &gt; VA ",""),"")&amp;IF(COUNT(H540,M540)=2,IF(ABS(M540)&gt;ABS(H540),"RN &gt; CA ",""),"")&amp;IF(COUNT(H540,K540)=2,IF(ABS(K540)&gt;ABS(H540),"RE &gt; CA ",""),""))=0,"OK",IF(COUNT(I540,J540)=2,IF(J540&gt;I540+1,"EBE &gt; VA ",""),"")&amp;IF(COUNT(H540,M540)=2,IF(ABS(M540)&gt;ABS(H540),"RN &gt; CA ",""),"")&amp;IF(COUNT(H540,K540)=2,IF(ABS(K540)&gt;ABS(H540),"RE &gt; CA ",""),"")))</f>
        <v/>
      </c>
      <c r="P540" s="16">
        <f>IF(OR($A540="",H540="",$C540=""),"",IF(COUNTIFS($A$5:$A$639,$A540,$C$5:$C$639,$C540-1,$D$5:$D$639,$D540,H$5:H$639,"&lt;&gt;")=0,"",IF(OR(SUMIFS(H$5:H$639,$A$5:$A$639,$A540,$C$5:$C$639,$C540-1,$D$5:$D$639,$D540)=0,H540*SUMIFS(H$5:H$639,$A$5:$A$639,$A540,$C$5:$C$639,$C540-1,$D$5:$D$639,$D540)&lt;0),"n.s.",ABS(H540)/ABS(SUMIFS(H$5:H$639,$A$5:$A$639,$A540,$C$5:$C$639,$C540-1,$D$5:$D$639,$D540))-1)))</f>
        <v/>
      </c>
      <c r="Q540" s="16">
        <f>IF(OR($A540="",I540="",$C540=""),"",IF(COUNTIFS($A$5:$A$639,$A540,$C$5:$C$639,$C540-1,$D$5:$D$639,$D540,I$5:I$639,"&lt;&gt;")=0,"",IF(OR(SUMIFS(I$5:I$639,$A$5:$A$639,$A540,$C$5:$C$639,$C540-1,$D$5:$D$639,$D540)=0,I540*SUMIFS(I$5:I$639,$A$5:$A$639,$A540,$C$5:$C$639,$C540-1,$D$5:$D$639,$D540)&lt;0),"n.s.",ABS(I540)/ABS(SUMIFS(I$5:I$639,$A$5:$A$639,$A540,$C$5:$C$639,$C540-1,$D$5:$D$639,$D540))-1)))</f>
        <v/>
      </c>
      <c r="R540" s="16">
        <f>IF(OR($A540="",J540="",$C540=""),"",IF(COUNTIFS($A$5:$A$639,$A540,$C$5:$C$639,$C540-1,$D$5:$D$639,$D540,J$5:J$639,"&lt;&gt;")=0,"",IF(OR(SUMIFS(J$5:J$639,$A$5:$A$639,$A540,$C$5:$C$639,$C540-1,$D$5:$D$639,$D540)=0,J540*SUMIFS(J$5:J$639,$A$5:$A$639,$A540,$C$5:$C$639,$C540-1,$D$5:$D$639,$D540)&lt;0),"n.s.",ABS(J540)/ABS(SUMIFS(J$5:J$639,$A$5:$A$639,$A540,$C$5:$C$639,$C540-1,$D$5:$D$639,$D540))-1)))</f>
        <v/>
      </c>
      <c r="S540" s="16">
        <f>IF(OR($A540="",K540="",$C540=""),"",IF(COUNTIFS($A$5:$A$639,$A540,$C$5:$C$639,$C540-1,$D$5:$D$639,$D540,K$5:K$639,"&lt;&gt;")=0,"",IF(OR(SUMIFS(K$5:K$639,$A$5:$A$639,$A540,$C$5:$C$639,$C540-1,$D$5:$D$639,$D540)=0,K540*SUMIFS(K$5:K$639,$A$5:$A$639,$A540,$C$5:$C$639,$C540-1,$D$5:$D$639,$D540)&lt;0),"n.s.",ABS(K540)/ABS(SUMIFS(K$5:K$639,$A$5:$A$639,$A540,$C$5:$C$639,$C540-1,$D$5:$D$639,$D540))-1)))</f>
        <v/>
      </c>
      <c r="T540" s="16">
        <f>IF(OR($A540="",L540="",$C540=""),"",IF(COUNTIFS($A$5:$A$639,$A540,$C$5:$C$639,$C540-1,$D$5:$D$639,$D540,L$5:L$639,"&lt;&gt;")=0,"",IF(OR(SUMIFS(L$5:L$639,$A$5:$A$639,$A540,$C$5:$C$639,$C540-1,$D$5:$D$639,$D540)=0,L540*SUMIFS(L$5:L$639,$A$5:$A$639,$A540,$C$5:$C$639,$C540-1,$D$5:$D$639,$D540)&lt;0),"n.s.",ABS(L540)/ABS(SUMIFS(L$5:L$639,$A$5:$A$639,$A540,$C$5:$C$639,$C540-1,$D$5:$D$639,$D540))-1)))</f>
        <v/>
      </c>
      <c r="U540" s="16">
        <f>IF(OR($A540="",M540="",$C540=""),"",IF(COUNTIFS($A$5:$A$639,$A540,$C$5:$C$639,$C540-1,$D$5:$D$639,$D540,M$5:M$639,"&lt;&gt;")=0,"",IF(OR(SUMIFS(M$5:M$639,$A$5:$A$639,$A540,$C$5:$C$639,$C540-1,$D$5:$D$639,$D540)=0,M540*SUMIFS(M$5:M$639,$A$5:$A$639,$A540,$C$5:$C$639,$C540-1,$D$5:$D$639,$D540)&lt;0),"n.s.",ABS(M540)/ABS(SUMIFS(M$5:M$639,$A$5:$A$639,$A540,$C$5:$C$639,$C540-1,$D$5:$D$639,$D540))-1)))</f>
        <v/>
      </c>
    </row>
    <row r="541">
      <c r="A541" s="9" t="inlineStr">
        <is>
          <t>SHEC</t>
        </is>
      </c>
      <c r="B541" s="10">
        <f>IF(A541="","",IFERROR(VLOOKUP(A541,Titres!$A$2:$B$400,2,FALSE),"Ticker inconnu"))</f>
        <v/>
      </c>
      <c r="C541" s="11" t="n">
        <v>2025</v>
      </c>
      <c r="D541" s="11" t="inlineStr">
        <is>
          <t>T3</t>
        </is>
      </c>
      <c r="E541" s="9" t="n"/>
      <c r="F541" s="12" t="n"/>
      <c r="G541" s="9" t="n"/>
      <c r="H541" s="13" t="n"/>
      <c r="I541" s="13" t="n"/>
      <c r="J541" s="13" t="n"/>
      <c r="K541" s="13" t="n"/>
      <c r="L541" s="13" t="n"/>
      <c r="M541" s="13" t="n"/>
      <c r="N541" s="14">
        <f>IF(A541="","",COUNT(H541:M541)/6)</f>
        <v/>
      </c>
      <c r="O541" s="15">
        <f>IF(COUNT(H541:M541)=0,"",IF(LEN(IF(COUNT(I541,J541)=2,IF(J541&gt;I541+1,"EBE &gt; VA ",""),"")&amp;IF(COUNT(H541,M541)=2,IF(ABS(M541)&gt;ABS(H541),"RN &gt; CA ",""),"")&amp;IF(COUNT(H541,K541)=2,IF(ABS(K541)&gt;ABS(H541),"RE &gt; CA ",""),""))=0,"OK",IF(COUNT(I541,J541)=2,IF(J541&gt;I541+1,"EBE &gt; VA ",""),"")&amp;IF(COUNT(H541,M541)=2,IF(ABS(M541)&gt;ABS(H541),"RN &gt; CA ",""),"")&amp;IF(COUNT(H541,K541)=2,IF(ABS(K541)&gt;ABS(H541),"RE &gt; CA ",""),"")))</f>
        <v/>
      </c>
      <c r="P541" s="16">
        <f>IF(OR($A541="",H541="",$C541=""),"",IF(COUNTIFS($A$5:$A$639,$A541,$C$5:$C$639,$C541-1,$D$5:$D$639,$D541,H$5:H$639,"&lt;&gt;")=0,"",IF(OR(SUMIFS(H$5:H$639,$A$5:$A$639,$A541,$C$5:$C$639,$C541-1,$D$5:$D$639,$D541)=0,H541*SUMIFS(H$5:H$639,$A$5:$A$639,$A541,$C$5:$C$639,$C541-1,$D$5:$D$639,$D541)&lt;0),"n.s.",ABS(H541)/ABS(SUMIFS(H$5:H$639,$A$5:$A$639,$A541,$C$5:$C$639,$C541-1,$D$5:$D$639,$D541))-1)))</f>
        <v/>
      </c>
      <c r="Q541" s="16">
        <f>IF(OR($A541="",I541="",$C541=""),"",IF(COUNTIFS($A$5:$A$639,$A541,$C$5:$C$639,$C541-1,$D$5:$D$639,$D541,I$5:I$639,"&lt;&gt;")=0,"",IF(OR(SUMIFS(I$5:I$639,$A$5:$A$639,$A541,$C$5:$C$639,$C541-1,$D$5:$D$639,$D541)=0,I541*SUMIFS(I$5:I$639,$A$5:$A$639,$A541,$C$5:$C$639,$C541-1,$D$5:$D$639,$D541)&lt;0),"n.s.",ABS(I541)/ABS(SUMIFS(I$5:I$639,$A$5:$A$639,$A541,$C$5:$C$639,$C541-1,$D$5:$D$639,$D541))-1)))</f>
        <v/>
      </c>
      <c r="R541" s="16">
        <f>IF(OR($A541="",J541="",$C541=""),"",IF(COUNTIFS($A$5:$A$639,$A541,$C$5:$C$639,$C541-1,$D$5:$D$639,$D541,J$5:J$639,"&lt;&gt;")=0,"",IF(OR(SUMIFS(J$5:J$639,$A$5:$A$639,$A541,$C$5:$C$639,$C541-1,$D$5:$D$639,$D541)=0,J541*SUMIFS(J$5:J$639,$A$5:$A$639,$A541,$C$5:$C$639,$C541-1,$D$5:$D$639,$D541)&lt;0),"n.s.",ABS(J541)/ABS(SUMIFS(J$5:J$639,$A$5:$A$639,$A541,$C$5:$C$639,$C541-1,$D$5:$D$639,$D541))-1)))</f>
        <v/>
      </c>
      <c r="S541" s="16">
        <f>IF(OR($A541="",K541="",$C541=""),"",IF(COUNTIFS($A$5:$A$639,$A541,$C$5:$C$639,$C541-1,$D$5:$D$639,$D541,K$5:K$639,"&lt;&gt;")=0,"",IF(OR(SUMIFS(K$5:K$639,$A$5:$A$639,$A541,$C$5:$C$639,$C541-1,$D$5:$D$639,$D541)=0,K541*SUMIFS(K$5:K$639,$A$5:$A$639,$A541,$C$5:$C$639,$C541-1,$D$5:$D$639,$D541)&lt;0),"n.s.",ABS(K541)/ABS(SUMIFS(K$5:K$639,$A$5:$A$639,$A541,$C$5:$C$639,$C541-1,$D$5:$D$639,$D541))-1)))</f>
        <v/>
      </c>
      <c r="T541" s="16">
        <f>IF(OR($A541="",L541="",$C541=""),"",IF(COUNTIFS($A$5:$A$639,$A541,$C$5:$C$639,$C541-1,$D$5:$D$639,$D541,L$5:L$639,"&lt;&gt;")=0,"",IF(OR(SUMIFS(L$5:L$639,$A$5:$A$639,$A541,$C$5:$C$639,$C541-1,$D$5:$D$639,$D541)=0,L541*SUMIFS(L$5:L$639,$A$5:$A$639,$A541,$C$5:$C$639,$C541-1,$D$5:$D$639,$D541)&lt;0),"n.s.",ABS(L541)/ABS(SUMIFS(L$5:L$639,$A$5:$A$639,$A541,$C$5:$C$639,$C541-1,$D$5:$D$639,$D541))-1)))</f>
        <v/>
      </c>
      <c r="U541" s="16">
        <f>IF(OR($A541="",M541="",$C541=""),"",IF(COUNTIFS($A$5:$A$639,$A541,$C$5:$C$639,$C541-1,$D$5:$D$639,$D541,M$5:M$639,"&lt;&gt;")=0,"",IF(OR(SUMIFS(M$5:M$639,$A$5:$A$639,$A541,$C$5:$C$639,$C541-1,$D$5:$D$639,$D541)=0,M541*SUMIFS(M$5:M$639,$A$5:$A$639,$A541,$C$5:$C$639,$C541-1,$D$5:$D$639,$D541)&lt;0),"n.s.",ABS(M541)/ABS(SUMIFS(M$5:M$639,$A$5:$A$639,$A541,$C$5:$C$639,$C541-1,$D$5:$D$639,$D541))-1)))</f>
        <v/>
      </c>
    </row>
    <row r="542">
      <c r="A542" s="9" t="inlineStr">
        <is>
          <t>SHEC</t>
        </is>
      </c>
      <c r="B542" s="10">
        <f>IF(A542="","",IFERROR(VLOOKUP(A542,Titres!$A$2:$B$400,2,FALSE),"Ticker inconnu"))</f>
        <v/>
      </c>
      <c r="C542" s="11" t="n">
        <v>2026</v>
      </c>
      <c r="D542" s="11" t="inlineStr">
        <is>
          <t>T1</t>
        </is>
      </c>
      <c r="E542" s="9" t="n"/>
      <c r="F542" s="12" t="n"/>
      <c r="G542" s="9" t="n"/>
      <c r="H542" s="13" t="n"/>
      <c r="I542" s="13" t="n"/>
      <c r="J542" s="13" t="n"/>
      <c r="K542" s="13" t="n"/>
      <c r="L542" s="13" t="n"/>
      <c r="M542" s="13" t="n"/>
      <c r="N542" s="14">
        <f>IF(A542="","",COUNT(H542:M542)/6)</f>
        <v/>
      </c>
      <c r="O542" s="15">
        <f>IF(COUNT(H542:M542)=0,"",IF(LEN(IF(COUNT(I542,J542)=2,IF(J542&gt;I542+1,"EBE &gt; VA ",""),"")&amp;IF(COUNT(H542,M542)=2,IF(ABS(M542)&gt;ABS(H542),"RN &gt; CA ",""),"")&amp;IF(COUNT(H542,K542)=2,IF(ABS(K542)&gt;ABS(H542),"RE &gt; CA ",""),""))=0,"OK",IF(COUNT(I542,J542)=2,IF(J542&gt;I542+1,"EBE &gt; VA ",""),"")&amp;IF(COUNT(H542,M542)=2,IF(ABS(M542)&gt;ABS(H542),"RN &gt; CA ",""),"")&amp;IF(COUNT(H542,K542)=2,IF(ABS(K542)&gt;ABS(H542),"RE &gt; CA ",""),"")))</f>
        <v/>
      </c>
      <c r="P542" s="16">
        <f>IF(OR($A542="",H542="",$C542=""),"",IF(COUNTIFS($A$5:$A$639,$A542,$C$5:$C$639,$C542-1,$D$5:$D$639,$D542,H$5:H$639,"&lt;&gt;")=0,"",IF(OR(SUMIFS(H$5:H$639,$A$5:$A$639,$A542,$C$5:$C$639,$C542-1,$D$5:$D$639,$D542)=0,H542*SUMIFS(H$5:H$639,$A$5:$A$639,$A542,$C$5:$C$639,$C542-1,$D$5:$D$639,$D542)&lt;0),"n.s.",ABS(H542)/ABS(SUMIFS(H$5:H$639,$A$5:$A$639,$A542,$C$5:$C$639,$C542-1,$D$5:$D$639,$D542))-1)))</f>
        <v/>
      </c>
      <c r="Q542" s="16">
        <f>IF(OR($A542="",I542="",$C542=""),"",IF(COUNTIFS($A$5:$A$639,$A542,$C$5:$C$639,$C542-1,$D$5:$D$639,$D542,I$5:I$639,"&lt;&gt;")=0,"",IF(OR(SUMIFS(I$5:I$639,$A$5:$A$639,$A542,$C$5:$C$639,$C542-1,$D$5:$D$639,$D542)=0,I542*SUMIFS(I$5:I$639,$A$5:$A$639,$A542,$C$5:$C$639,$C542-1,$D$5:$D$639,$D542)&lt;0),"n.s.",ABS(I542)/ABS(SUMIFS(I$5:I$639,$A$5:$A$639,$A542,$C$5:$C$639,$C542-1,$D$5:$D$639,$D542))-1)))</f>
        <v/>
      </c>
      <c r="R542" s="16">
        <f>IF(OR($A542="",J542="",$C542=""),"",IF(COUNTIFS($A$5:$A$639,$A542,$C$5:$C$639,$C542-1,$D$5:$D$639,$D542,J$5:J$639,"&lt;&gt;")=0,"",IF(OR(SUMIFS(J$5:J$639,$A$5:$A$639,$A542,$C$5:$C$639,$C542-1,$D$5:$D$639,$D542)=0,J542*SUMIFS(J$5:J$639,$A$5:$A$639,$A542,$C$5:$C$639,$C542-1,$D$5:$D$639,$D542)&lt;0),"n.s.",ABS(J542)/ABS(SUMIFS(J$5:J$639,$A$5:$A$639,$A542,$C$5:$C$639,$C542-1,$D$5:$D$639,$D542))-1)))</f>
        <v/>
      </c>
      <c r="S542" s="16">
        <f>IF(OR($A542="",K542="",$C542=""),"",IF(COUNTIFS($A$5:$A$639,$A542,$C$5:$C$639,$C542-1,$D$5:$D$639,$D542,K$5:K$639,"&lt;&gt;")=0,"",IF(OR(SUMIFS(K$5:K$639,$A$5:$A$639,$A542,$C$5:$C$639,$C542-1,$D$5:$D$639,$D542)=0,K542*SUMIFS(K$5:K$639,$A$5:$A$639,$A542,$C$5:$C$639,$C542-1,$D$5:$D$639,$D542)&lt;0),"n.s.",ABS(K542)/ABS(SUMIFS(K$5:K$639,$A$5:$A$639,$A542,$C$5:$C$639,$C542-1,$D$5:$D$639,$D542))-1)))</f>
        <v/>
      </c>
      <c r="T542" s="16">
        <f>IF(OR($A542="",L542="",$C542=""),"",IF(COUNTIFS($A$5:$A$639,$A542,$C$5:$C$639,$C542-1,$D$5:$D$639,$D542,L$5:L$639,"&lt;&gt;")=0,"",IF(OR(SUMIFS(L$5:L$639,$A$5:$A$639,$A542,$C$5:$C$639,$C542-1,$D$5:$D$639,$D542)=0,L542*SUMIFS(L$5:L$639,$A$5:$A$639,$A542,$C$5:$C$639,$C542-1,$D$5:$D$639,$D542)&lt;0),"n.s.",ABS(L542)/ABS(SUMIFS(L$5:L$639,$A$5:$A$639,$A542,$C$5:$C$639,$C542-1,$D$5:$D$639,$D542))-1)))</f>
        <v/>
      </c>
      <c r="U542" s="16">
        <f>IF(OR($A542="",M542="",$C542=""),"",IF(COUNTIFS($A$5:$A$639,$A542,$C$5:$C$639,$C542-1,$D$5:$D$639,$D542,M$5:M$639,"&lt;&gt;")=0,"",IF(OR(SUMIFS(M$5:M$639,$A$5:$A$639,$A542,$C$5:$C$639,$C542-1,$D$5:$D$639,$D542)=0,M542*SUMIFS(M$5:M$639,$A$5:$A$639,$A542,$C$5:$C$639,$C542-1,$D$5:$D$639,$D542)&lt;0),"n.s.",ABS(M542)/ABS(SUMIFS(M$5:M$639,$A$5:$A$639,$A542,$C$5:$C$639,$C542-1,$D$5:$D$639,$D542))-1)))</f>
        <v/>
      </c>
    </row>
    <row r="543">
      <c r="A543" s="9" t="inlineStr">
        <is>
          <t>SHEC</t>
        </is>
      </c>
      <c r="B543" s="10">
        <f>IF(A543="","",IFERROR(VLOOKUP(A543,Titres!$A$2:$B$400,2,FALSE),"Ticker inconnu"))</f>
        <v/>
      </c>
      <c r="C543" s="11" t="n">
        <v>2026</v>
      </c>
      <c r="D543" s="11" t="inlineStr">
        <is>
          <t>S1</t>
        </is>
      </c>
      <c r="E543" s="9" t="n"/>
      <c r="F543" s="12" t="n"/>
      <c r="G543" s="9" t="n"/>
      <c r="H543" s="13" t="n"/>
      <c r="I543" s="13" t="n"/>
      <c r="J543" s="13" t="n"/>
      <c r="K543" s="13" t="n"/>
      <c r="L543" s="13" t="n"/>
      <c r="M543" s="13" t="n"/>
      <c r="N543" s="14">
        <f>IF(A543="","",COUNT(H543:M543)/6)</f>
        <v/>
      </c>
      <c r="O543" s="15">
        <f>IF(COUNT(H543:M543)=0,"",IF(LEN(IF(COUNT(I543,J543)=2,IF(J543&gt;I543+1,"EBE &gt; VA ",""),"")&amp;IF(COUNT(H543,M543)=2,IF(ABS(M543)&gt;ABS(H543),"RN &gt; CA ",""),"")&amp;IF(COUNT(H543,K543)=2,IF(ABS(K543)&gt;ABS(H543),"RE &gt; CA ",""),""))=0,"OK",IF(COUNT(I543,J543)=2,IF(J543&gt;I543+1,"EBE &gt; VA ",""),"")&amp;IF(COUNT(H543,M543)=2,IF(ABS(M543)&gt;ABS(H543),"RN &gt; CA ",""),"")&amp;IF(COUNT(H543,K543)=2,IF(ABS(K543)&gt;ABS(H543),"RE &gt; CA ",""),"")))</f>
        <v/>
      </c>
      <c r="P543" s="16">
        <f>IF(OR($A543="",H543="",$C543=""),"",IF(COUNTIFS($A$5:$A$639,$A543,$C$5:$C$639,$C543-1,$D$5:$D$639,$D543,H$5:H$639,"&lt;&gt;")=0,"",IF(OR(SUMIFS(H$5:H$639,$A$5:$A$639,$A543,$C$5:$C$639,$C543-1,$D$5:$D$639,$D543)=0,H543*SUMIFS(H$5:H$639,$A$5:$A$639,$A543,$C$5:$C$639,$C543-1,$D$5:$D$639,$D543)&lt;0),"n.s.",ABS(H543)/ABS(SUMIFS(H$5:H$639,$A$5:$A$639,$A543,$C$5:$C$639,$C543-1,$D$5:$D$639,$D543))-1)))</f>
        <v/>
      </c>
      <c r="Q543" s="16">
        <f>IF(OR($A543="",I543="",$C543=""),"",IF(COUNTIFS($A$5:$A$639,$A543,$C$5:$C$639,$C543-1,$D$5:$D$639,$D543,I$5:I$639,"&lt;&gt;")=0,"",IF(OR(SUMIFS(I$5:I$639,$A$5:$A$639,$A543,$C$5:$C$639,$C543-1,$D$5:$D$639,$D543)=0,I543*SUMIFS(I$5:I$639,$A$5:$A$639,$A543,$C$5:$C$639,$C543-1,$D$5:$D$639,$D543)&lt;0),"n.s.",ABS(I543)/ABS(SUMIFS(I$5:I$639,$A$5:$A$639,$A543,$C$5:$C$639,$C543-1,$D$5:$D$639,$D543))-1)))</f>
        <v/>
      </c>
      <c r="R543" s="16">
        <f>IF(OR($A543="",J543="",$C543=""),"",IF(COUNTIFS($A$5:$A$639,$A543,$C$5:$C$639,$C543-1,$D$5:$D$639,$D543,J$5:J$639,"&lt;&gt;")=0,"",IF(OR(SUMIFS(J$5:J$639,$A$5:$A$639,$A543,$C$5:$C$639,$C543-1,$D$5:$D$639,$D543)=0,J543*SUMIFS(J$5:J$639,$A$5:$A$639,$A543,$C$5:$C$639,$C543-1,$D$5:$D$639,$D543)&lt;0),"n.s.",ABS(J543)/ABS(SUMIFS(J$5:J$639,$A$5:$A$639,$A543,$C$5:$C$639,$C543-1,$D$5:$D$639,$D543))-1)))</f>
        <v/>
      </c>
      <c r="S543" s="16">
        <f>IF(OR($A543="",K543="",$C543=""),"",IF(COUNTIFS($A$5:$A$639,$A543,$C$5:$C$639,$C543-1,$D$5:$D$639,$D543,K$5:K$639,"&lt;&gt;")=0,"",IF(OR(SUMIFS(K$5:K$639,$A$5:$A$639,$A543,$C$5:$C$639,$C543-1,$D$5:$D$639,$D543)=0,K543*SUMIFS(K$5:K$639,$A$5:$A$639,$A543,$C$5:$C$639,$C543-1,$D$5:$D$639,$D543)&lt;0),"n.s.",ABS(K543)/ABS(SUMIFS(K$5:K$639,$A$5:$A$639,$A543,$C$5:$C$639,$C543-1,$D$5:$D$639,$D543))-1)))</f>
        <v/>
      </c>
      <c r="T543" s="16">
        <f>IF(OR($A543="",L543="",$C543=""),"",IF(COUNTIFS($A$5:$A$639,$A543,$C$5:$C$639,$C543-1,$D$5:$D$639,$D543,L$5:L$639,"&lt;&gt;")=0,"",IF(OR(SUMIFS(L$5:L$639,$A$5:$A$639,$A543,$C$5:$C$639,$C543-1,$D$5:$D$639,$D543)=0,L543*SUMIFS(L$5:L$639,$A$5:$A$639,$A543,$C$5:$C$639,$C543-1,$D$5:$D$639,$D543)&lt;0),"n.s.",ABS(L543)/ABS(SUMIFS(L$5:L$639,$A$5:$A$639,$A543,$C$5:$C$639,$C543-1,$D$5:$D$639,$D543))-1)))</f>
        <v/>
      </c>
      <c r="U543" s="16">
        <f>IF(OR($A543="",M543="",$C543=""),"",IF(COUNTIFS($A$5:$A$639,$A543,$C$5:$C$639,$C543-1,$D$5:$D$639,$D543,M$5:M$639,"&lt;&gt;")=0,"",IF(OR(SUMIFS(M$5:M$639,$A$5:$A$639,$A543,$C$5:$C$639,$C543-1,$D$5:$D$639,$D543)=0,M543*SUMIFS(M$5:M$639,$A$5:$A$639,$A543,$C$5:$C$639,$C543-1,$D$5:$D$639,$D543)&lt;0),"n.s.",ABS(M543)/ABS(SUMIFS(M$5:M$639,$A$5:$A$639,$A543,$C$5:$C$639,$C543-1,$D$5:$D$639,$D543))-1)))</f>
        <v/>
      </c>
    </row>
    <row r="544">
      <c r="A544" s="9" t="inlineStr">
        <is>
          <t>SHEC</t>
        </is>
      </c>
      <c r="B544" s="10">
        <f>IF(A544="","",IFERROR(VLOOKUP(A544,Titres!$A$2:$B$400,2,FALSE),"Ticker inconnu"))</f>
        <v/>
      </c>
      <c r="C544" s="11" t="n">
        <v>2026</v>
      </c>
      <c r="D544" s="11" t="inlineStr">
        <is>
          <t>T3</t>
        </is>
      </c>
      <c r="E544" s="9" t="n"/>
      <c r="F544" s="12" t="n"/>
      <c r="G544" s="9" t="n"/>
      <c r="H544" s="13" t="n"/>
      <c r="I544" s="13" t="n"/>
      <c r="J544" s="13" t="n"/>
      <c r="K544" s="13" t="n"/>
      <c r="L544" s="13" t="n"/>
      <c r="M544" s="13" t="n"/>
      <c r="N544" s="14">
        <f>IF(A544="","",COUNT(H544:M544)/6)</f>
        <v/>
      </c>
      <c r="O544" s="15">
        <f>IF(COUNT(H544:M544)=0,"",IF(LEN(IF(COUNT(I544,J544)=2,IF(J544&gt;I544+1,"EBE &gt; VA ",""),"")&amp;IF(COUNT(H544,M544)=2,IF(ABS(M544)&gt;ABS(H544),"RN &gt; CA ",""),"")&amp;IF(COUNT(H544,K544)=2,IF(ABS(K544)&gt;ABS(H544),"RE &gt; CA ",""),""))=0,"OK",IF(COUNT(I544,J544)=2,IF(J544&gt;I544+1,"EBE &gt; VA ",""),"")&amp;IF(COUNT(H544,M544)=2,IF(ABS(M544)&gt;ABS(H544),"RN &gt; CA ",""),"")&amp;IF(COUNT(H544,K544)=2,IF(ABS(K544)&gt;ABS(H544),"RE &gt; CA ",""),"")))</f>
        <v/>
      </c>
      <c r="P544" s="16">
        <f>IF(OR($A544="",H544="",$C544=""),"",IF(COUNTIFS($A$5:$A$639,$A544,$C$5:$C$639,$C544-1,$D$5:$D$639,$D544,H$5:H$639,"&lt;&gt;")=0,"",IF(OR(SUMIFS(H$5:H$639,$A$5:$A$639,$A544,$C$5:$C$639,$C544-1,$D$5:$D$639,$D544)=0,H544*SUMIFS(H$5:H$639,$A$5:$A$639,$A544,$C$5:$C$639,$C544-1,$D$5:$D$639,$D544)&lt;0),"n.s.",ABS(H544)/ABS(SUMIFS(H$5:H$639,$A$5:$A$639,$A544,$C$5:$C$639,$C544-1,$D$5:$D$639,$D544))-1)))</f>
        <v/>
      </c>
      <c r="Q544" s="16">
        <f>IF(OR($A544="",I544="",$C544=""),"",IF(COUNTIFS($A$5:$A$639,$A544,$C$5:$C$639,$C544-1,$D$5:$D$639,$D544,I$5:I$639,"&lt;&gt;")=0,"",IF(OR(SUMIFS(I$5:I$639,$A$5:$A$639,$A544,$C$5:$C$639,$C544-1,$D$5:$D$639,$D544)=0,I544*SUMIFS(I$5:I$639,$A$5:$A$639,$A544,$C$5:$C$639,$C544-1,$D$5:$D$639,$D544)&lt;0),"n.s.",ABS(I544)/ABS(SUMIFS(I$5:I$639,$A$5:$A$639,$A544,$C$5:$C$639,$C544-1,$D$5:$D$639,$D544))-1)))</f>
        <v/>
      </c>
      <c r="R544" s="16">
        <f>IF(OR($A544="",J544="",$C544=""),"",IF(COUNTIFS($A$5:$A$639,$A544,$C$5:$C$639,$C544-1,$D$5:$D$639,$D544,J$5:J$639,"&lt;&gt;")=0,"",IF(OR(SUMIFS(J$5:J$639,$A$5:$A$639,$A544,$C$5:$C$639,$C544-1,$D$5:$D$639,$D544)=0,J544*SUMIFS(J$5:J$639,$A$5:$A$639,$A544,$C$5:$C$639,$C544-1,$D$5:$D$639,$D544)&lt;0),"n.s.",ABS(J544)/ABS(SUMIFS(J$5:J$639,$A$5:$A$639,$A544,$C$5:$C$639,$C544-1,$D$5:$D$639,$D544))-1)))</f>
        <v/>
      </c>
      <c r="S544" s="16">
        <f>IF(OR($A544="",K544="",$C544=""),"",IF(COUNTIFS($A$5:$A$639,$A544,$C$5:$C$639,$C544-1,$D$5:$D$639,$D544,K$5:K$639,"&lt;&gt;")=0,"",IF(OR(SUMIFS(K$5:K$639,$A$5:$A$639,$A544,$C$5:$C$639,$C544-1,$D$5:$D$639,$D544)=0,K544*SUMIFS(K$5:K$639,$A$5:$A$639,$A544,$C$5:$C$639,$C544-1,$D$5:$D$639,$D544)&lt;0),"n.s.",ABS(K544)/ABS(SUMIFS(K$5:K$639,$A$5:$A$639,$A544,$C$5:$C$639,$C544-1,$D$5:$D$639,$D544))-1)))</f>
        <v/>
      </c>
      <c r="T544" s="16">
        <f>IF(OR($A544="",L544="",$C544=""),"",IF(COUNTIFS($A$5:$A$639,$A544,$C$5:$C$639,$C544-1,$D$5:$D$639,$D544,L$5:L$639,"&lt;&gt;")=0,"",IF(OR(SUMIFS(L$5:L$639,$A$5:$A$639,$A544,$C$5:$C$639,$C544-1,$D$5:$D$639,$D544)=0,L544*SUMIFS(L$5:L$639,$A$5:$A$639,$A544,$C$5:$C$639,$C544-1,$D$5:$D$639,$D544)&lt;0),"n.s.",ABS(L544)/ABS(SUMIFS(L$5:L$639,$A$5:$A$639,$A544,$C$5:$C$639,$C544-1,$D$5:$D$639,$D544))-1)))</f>
        <v/>
      </c>
      <c r="U544" s="16">
        <f>IF(OR($A544="",M544="",$C544=""),"",IF(COUNTIFS($A$5:$A$639,$A544,$C$5:$C$639,$C544-1,$D$5:$D$639,$D544,M$5:M$639,"&lt;&gt;")=0,"",IF(OR(SUMIFS(M$5:M$639,$A$5:$A$639,$A544,$C$5:$C$639,$C544-1,$D$5:$D$639,$D544)=0,M544*SUMIFS(M$5:M$639,$A$5:$A$639,$A544,$C$5:$C$639,$C544-1,$D$5:$D$639,$D544)&lt;0),"n.s.",ABS(M544)/ABS(SUMIFS(M$5:M$639,$A$5:$A$639,$A544,$C$5:$C$639,$C544-1,$D$5:$D$639,$D544))-1)))</f>
        <v/>
      </c>
    </row>
    <row r="545">
      <c r="A545" s="9" t="inlineStr">
        <is>
          <t>SMBC</t>
        </is>
      </c>
      <c r="B545" s="10">
        <f>IF(A545="","",IFERROR(VLOOKUP(A545,Titres!$A$2:$B$400,2,FALSE),"Ticker inconnu"))</f>
        <v/>
      </c>
      <c r="C545" s="11" t="n">
        <v>2021</v>
      </c>
      <c r="D545" s="11" t="inlineStr">
        <is>
          <t>T1</t>
        </is>
      </c>
      <c r="E545" s="9" t="n"/>
      <c r="F545" s="12" t="n"/>
      <c r="G545" s="9" t="n"/>
      <c r="H545" s="13" t="n"/>
      <c r="I545" s="13" t="n"/>
      <c r="J545" s="13" t="n"/>
      <c r="K545" s="13" t="n"/>
      <c r="L545" s="13" t="n"/>
      <c r="M545" s="13" t="n"/>
      <c r="N545" s="14">
        <f>IF(A545="","",COUNT(H545:M545)/6)</f>
        <v/>
      </c>
      <c r="O545" s="15">
        <f>IF(COUNT(H545:M545)=0,"",IF(LEN(IF(COUNT(I545,J545)=2,IF(J545&gt;I545+1,"EBE &gt; VA ",""),"")&amp;IF(COUNT(H545,M545)=2,IF(ABS(M545)&gt;ABS(H545),"RN &gt; CA ",""),"")&amp;IF(COUNT(H545,K545)=2,IF(ABS(K545)&gt;ABS(H545),"RE &gt; CA ",""),""))=0,"OK",IF(COUNT(I545,J545)=2,IF(J545&gt;I545+1,"EBE &gt; VA ",""),"")&amp;IF(COUNT(H545,M545)=2,IF(ABS(M545)&gt;ABS(H545),"RN &gt; CA ",""),"")&amp;IF(COUNT(H545,K545)=2,IF(ABS(K545)&gt;ABS(H545),"RE &gt; CA ",""),"")))</f>
        <v/>
      </c>
      <c r="P545" s="16">
        <f>IF(OR($A545="",H545="",$C545=""),"",IF(COUNTIFS($A$5:$A$639,$A545,$C$5:$C$639,$C545-1,$D$5:$D$639,$D545,H$5:H$639,"&lt;&gt;")=0,"",IF(OR(SUMIFS(H$5:H$639,$A$5:$A$639,$A545,$C$5:$C$639,$C545-1,$D$5:$D$639,$D545)=0,H545*SUMIFS(H$5:H$639,$A$5:$A$639,$A545,$C$5:$C$639,$C545-1,$D$5:$D$639,$D545)&lt;0),"n.s.",ABS(H545)/ABS(SUMIFS(H$5:H$639,$A$5:$A$639,$A545,$C$5:$C$639,$C545-1,$D$5:$D$639,$D545))-1)))</f>
        <v/>
      </c>
      <c r="Q545" s="16">
        <f>IF(OR($A545="",I545="",$C545=""),"",IF(COUNTIFS($A$5:$A$639,$A545,$C$5:$C$639,$C545-1,$D$5:$D$639,$D545,I$5:I$639,"&lt;&gt;")=0,"",IF(OR(SUMIFS(I$5:I$639,$A$5:$A$639,$A545,$C$5:$C$639,$C545-1,$D$5:$D$639,$D545)=0,I545*SUMIFS(I$5:I$639,$A$5:$A$639,$A545,$C$5:$C$639,$C545-1,$D$5:$D$639,$D545)&lt;0),"n.s.",ABS(I545)/ABS(SUMIFS(I$5:I$639,$A$5:$A$639,$A545,$C$5:$C$639,$C545-1,$D$5:$D$639,$D545))-1)))</f>
        <v/>
      </c>
      <c r="R545" s="16">
        <f>IF(OR($A545="",J545="",$C545=""),"",IF(COUNTIFS($A$5:$A$639,$A545,$C$5:$C$639,$C545-1,$D$5:$D$639,$D545,J$5:J$639,"&lt;&gt;")=0,"",IF(OR(SUMIFS(J$5:J$639,$A$5:$A$639,$A545,$C$5:$C$639,$C545-1,$D$5:$D$639,$D545)=0,J545*SUMIFS(J$5:J$639,$A$5:$A$639,$A545,$C$5:$C$639,$C545-1,$D$5:$D$639,$D545)&lt;0),"n.s.",ABS(J545)/ABS(SUMIFS(J$5:J$639,$A$5:$A$639,$A545,$C$5:$C$639,$C545-1,$D$5:$D$639,$D545))-1)))</f>
        <v/>
      </c>
      <c r="S545" s="16">
        <f>IF(OR($A545="",K545="",$C545=""),"",IF(COUNTIFS($A$5:$A$639,$A545,$C$5:$C$639,$C545-1,$D$5:$D$639,$D545,K$5:K$639,"&lt;&gt;")=0,"",IF(OR(SUMIFS(K$5:K$639,$A$5:$A$639,$A545,$C$5:$C$639,$C545-1,$D$5:$D$639,$D545)=0,K545*SUMIFS(K$5:K$639,$A$5:$A$639,$A545,$C$5:$C$639,$C545-1,$D$5:$D$639,$D545)&lt;0),"n.s.",ABS(K545)/ABS(SUMIFS(K$5:K$639,$A$5:$A$639,$A545,$C$5:$C$639,$C545-1,$D$5:$D$639,$D545))-1)))</f>
        <v/>
      </c>
      <c r="T545" s="16">
        <f>IF(OR($A545="",L545="",$C545=""),"",IF(COUNTIFS($A$5:$A$639,$A545,$C$5:$C$639,$C545-1,$D$5:$D$639,$D545,L$5:L$639,"&lt;&gt;")=0,"",IF(OR(SUMIFS(L$5:L$639,$A$5:$A$639,$A545,$C$5:$C$639,$C545-1,$D$5:$D$639,$D545)=0,L545*SUMIFS(L$5:L$639,$A$5:$A$639,$A545,$C$5:$C$639,$C545-1,$D$5:$D$639,$D545)&lt;0),"n.s.",ABS(L545)/ABS(SUMIFS(L$5:L$639,$A$5:$A$639,$A545,$C$5:$C$639,$C545-1,$D$5:$D$639,$D545))-1)))</f>
        <v/>
      </c>
      <c r="U545" s="16">
        <f>IF(OR($A545="",M545="",$C545=""),"",IF(COUNTIFS($A$5:$A$639,$A545,$C$5:$C$639,$C545-1,$D$5:$D$639,$D545,M$5:M$639,"&lt;&gt;")=0,"",IF(OR(SUMIFS(M$5:M$639,$A$5:$A$639,$A545,$C$5:$C$639,$C545-1,$D$5:$D$639,$D545)=0,M545*SUMIFS(M$5:M$639,$A$5:$A$639,$A545,$C$5:$C$639,$C545-1,$D$5:$D$639,$D545)&lt;0),"n.s.",ABS(M545)/ABS(SUMIFS(M$5:M$639,$A$5:$A$639,$A545,$C$5:$C$639,$C545-1,$D$5:$D$639,$D545))-1)))</f>
        <v/>
      </c>
    </row>
    <row r="546">
      <c r="A546" s="9" t="inlineStr">
        <is>
          <t>SMBC</t>
        </is>
      </c>
      <c r="B546" s="10">
        <f>IF(A546="","",IFERROR(VLOOKUP(A546,Titres!$A$2:$B$400,2,FALSE),"Ticker inconnu"))</f>
        <v/>
      </c>
      <c r="C546" s="11" t="n">
        <v>2021</v>
      </c>
      <c r="D546" s="11" t="inlineStr">
        <is>
          <t>S1</t>
        </is>
      </c>
      <c r="E546" s="9" t="n"/>
      <c r="F546" s="12" t="n"/>
      <c r="G546" s="9" t="n"/>
      <c r="H546" s="13" t="n"/>
      <c r="I546" s="13" t="n"/>
      <c r="J546" s="13" t="n"/>
      <c r="K546" s="13" t="n"/>
      <c r="L546" s="13" t="n"/>
      <c r="M546" s="13" t="n"/>
      <c r="N546" s="14">
        <f>IF(A546="","",COUNT(H546:M546)/6)</f>
        <v/>
      </c>
      <c r="O546" s="15">
        <f>IF(COUNT(H546:M546)=0,"",IF(LEN(IF(COUNT(I546,J546)=2,IF(J546&gt;I546+1,"EBE &gt; VA ",""),"")&amp;IF(COUNT(H546,M546)=2,IF(ABS(M546)&gt;ABS(H546),"RN &gt; CA ",""),"")&amp;IF(COUNT(H546,K546)=2,IF(ABS(K546)&gt;ABS(H546),"RE &gt; CA ",""),""))=0,"OK",IF(COUNT(I546,J546)=2,IF(J546&gt;I546+1,"EBE &gt; VA ",""),"")&amp;IF(COUNT(H546,M546)=2,IF(ABS(M546)&gt;ABS(H546),"RN &gt; CA ",""),"")&amp;IF(COUNT(H546,K546)=2,IF(ABS(K546)&gt;ABS(H546),"RE &gt; CA ",""),"")))</f>
        <v/>
      </c>
      <c r="P546" s="16">
        <f>IF(OR($A546="",H546="",$C546=""),"",IF(COUNTIFS($A$5:$A$639,$A546,$C$5:$C$639,$C546-1,$D$5:$D$639,$D546,H$5:H$639,"&lt;&gt;")=0,"",IF(OR(SUMIFS(H$5:H$639,$A$5:$A$639,$A546,$C$5:$C$639,$C546-1,$D$5:$D$639,$D546)=0,H546*SUMIFS(H$5:H$639,$A$5:$A$639,$A546,$C$5:$C$639,$C546-1,$D$5:$D$639,$D546)&lt;0),"n.s.",ABS(H546)/ABS(SUMIFS(H$5:H$639,$A$5:$A$639,$A546,$C$5:$C$639,$C546-1,$D$5:$D$639,$D546))-1)))</f>
        <v/>
      </c>
      <c r="Q546" s="16">
        <f>IF(OR($A546="",I546="",$C546=""),"",IF(COUNTIFS($A$5:$A$639,$A546,$C$5:$C$639,$C546-1,$D$5:$D$639,$D546,I$5:I$639,"&lt;&gt;")=0,"",IF(OR(SUMIFS(I$5:I$639,$A$5:$A$639,$A546,$C$5:$C$639,$C546-1,$D$5:$D$639,$D546)=0,I546*SUMIFS(I$5:I$639,$A$5:$A$639,$A546,$C$5:$C$639,$C546-1,$D$5:$D$639,$D546)&lt;0),"n.s.",ABS(I546)/ABS(SUMIFS(I$5:I$639,$A$5:$A$639,$A546,$C$5:$C$639,$C546-1,$D$5:$D$639,$D546))-1)))</f>
        <v/>
      </c>
      <c r="R546" s="16">
        <f>IF(OR($A546="",J546="",$C546=""),"",IF(COUNTIFS($A$5:$A$639,$A546,$C$5:$C$639,$C546-1,$D$5:$D$639,$D546,J$5:J$639,"&lt;&gt;")=0,"",IF(OR(SUMIFS(J$5:J$639,$A$5:$A$639,$A546,$C$5:$C$639,$C546-1,$D$5:$D$639,$D546)=0,J546*SUMIFS(J$5:J$639,$A$5:$A$639,$A546,$C$5:$C$639,$C546-1,$D$5:$D$639,$D546)&lt;0),"n.s.",ABS(J546)/ABS(SUMIFS(J$5:J$639,$A$5:$A$639,$A546,$C$5:$C$639,$C546-1,$D$5:$D$639,$D546))-1)))</f>
        <v/>
      </c>
      <c r="S546" s="16">
        <f>IF(OR($A546="",K546="",$C546=""),"",IF(COUNTIFS($A$5:$A$639,$A546,$C$5:$C$639,$C546-1,$D$5:$D$639,$D546,K$5:K$639,"&lt;&gt;")=0,"",IF(OR(SUMIFS(K$5:K$639,$A$5:$A$639,$A546,$C$5:$C$639,$C546-1,$D$5:$D$639,$D546)=0,K546*SUMIFS(K$5:K$639,$A$5:$A$639,$A546,$C$5:$C$639,$C546-1,$D$5:$D$639,$D546)&lt;0),"n.s.",ABS(K546)/ABS(SUMIFS(K$5:K$639,$A$5:$A$639,$A546,$C$5:$C$639,$C546-1,$D$5:$D$639,$D546))-1)))</f>
        <v/>
      </c>
      <c r="T546" s="16">
        <f>IF(OR($A546="",L546="",$C546=""),"",IF(COUNTIFS($A$5:$A$639,$A546,$C$5:$C$639,$C546-1,$D$5:$D$639,$D546,L$5:L$639,"&lt;&gt;")=0,"",IF(OR(SUMIFS(L$5:L$639,$A$5:$A$639,$A546,$C$5:$C$639,$C546-1,$D$5:$D$639,$D546)=0,L546*SUMIFS(L$5:L$639,$A$5:$A$639,$A546,$C$5:$C$639,$C546-1,$D$5:$D$639,$D546)&lt;0),"n.s.",ABS(L546)/ABS(SUMIFS(L$5:L$639,$A$5:$A$639,$A546,$C$5:$C$639,$C546-1,$D$5:$D$639,$D546))-1)))</f>
        <v/>
      </c>
      <c r="U546" s="16">
        <f>IF(OR($A546="",M546="",$C546=""),"",IF(COUNTIFS($A$5:$A$639,$A546,$C$5:$C$639,$C546-1,$D$5:$D$639,$D546,M$5:M$639,"&lt;&gt;")=0,"",IF(OR(SUMIFS(M$5:M$639,$A$5:$A$639,$A546,$C$5:$C$639,$C546-1,$D$5:$D$639,$D546)=0,M546*SUMIFS(M$5:M$639,$A$5:$A$639,$A546,$C$5:$C$639,$C546-1,$D$5:$D$639,$D546)&lt;0),"n.s.",ABS(M546)/ABS(SUMIFS(M$5:M$639,$A$5:$A$639,$A546,$C$5:$C$639,$C546-1,$D$5:$D$639,$D546))-1)))</f>
        <v/>
      </c>
    </row>
    <row r="547">
      <c r="A547" s="9" t="inlineStr">
        <is>
          <t>SMBC</t>
        </is>
      </c>
      <c r="B547" s="10">
        <f>IF(A547="","",IFERROR(VLOOKUP(A547,Titres!$A$2:$B$400,2,FALSE),"Ticker inconnu"))</f>
        <v/>
      </c>
      <c r="C547" s="11" t="n">
        <v>2021</v>
      </c>
      <c r="D547" s="11" t="inlineStr">
        <is>
          <t>T3</t>
        </is>
      </c>
      <c r="E547" s="9" t="n"/>
      <c r="F547" s="12" t="n"/>
      <c r="G547" s="9" t="n"/>
      <c r="H547" s="13" t="n"/>
      <c r="I547" s="13" t="n"/>
      <c r="J547" s="13" t="n"/>
      <c r="K547" s="13" t="n"/>
      <c r="L547" s="13" t="n"/>
      <c r="M547" s="13" t="n"/>
      <c r="N547" s="14">
        <f>IF(A547="","",COUNT(H547:M547)/6)</f>
        <v/>
      </c>
      <c r="O547" s="15">
        <f>IF(COUNT(H547:M547)=0,"",IF(LEN(IF(COUNT(I547,J547)=2,IF(J547&gt;I547+1,"EBE &gt; VA ",""),"")&amp;IF(COUNT(H547,M547)=2,IF(ABS(M547)&gt;ABS(H547),"RN &gt; CA ",""),"")&amp;IF(COUNT(H547,K547)=2,IF(ABS(K547)&gt;ABS(H547),"RE &gt; CA ",""),""))=0,"OK",IF(COUNT(I547,J547)=2,IF(J547&gt;I547+1,"EBE &gt; VA ",""),"")&amp;IF(COUNT(H547,M547)=2,IF(ABS(M547)&gt;ABS(H547),"RN &gt; CA ",""),"")&amp;IF(COUNT(H547,K547)=2,IF(ABS(K547)&gt;ABS(H547),"RE &gt; CA ",""),"")))</f>
        <v/>
      </c>
      <c r="P547" s="16">
        <f>IF(OR($A547="",H547="",$C547=""),"",IF(COUNTIFS($A$5:$A$639,$A547,$C$5:$C$639,$C547-1,$D$5:$D$639,$D547,H$5:H$639,"&lt;&gt;")=0,"",IF(OR(SUMIFS(H$5:H$639,$A$5:$A$639,$A547,$C$5:$C$639,$C547-1,$D$5:$D$639,$D547)=0,H547*SUMIFS(H$5:H$639,$A$5:$A$639,$A547,$C$5:$C$639,$C547-1,$D$5:$D$639,$D547)&lt;0),"n.s.",ABS(H547)/ABS(SUMIFS(H$5:H$639,$A$5:$A$639,$A547,$C$5:$C$639,$C547-1,$D$5:$D$639,$D547))-1)))</f>
        <v/>
      </c>
      <c r="Q547" s="16">
        <f>IF(OR($A547="",I547="",$C547=""),"",IF(COUNTIFS($A$5:$A$639,$A547,$C$5:$C$639,$C547-1,$D$5:$D$639,$D547,I$5:I$639,"&lt;&gt;")=0,"",IF(OR(SUMIFS(I$5:I$639,$A$5:$A$639,$A547,$C$5:$C$639,$C547-1,$D$5:$D$639,$D547)=0,I547*SUMIFS(I$5:I$639,$A$5:$A$639,$A547,$C$5:$C$639,$C547-1,$D$5:$D$639,$D547)&lt;0),"n.s.",ABS(I547)/ABS(SUMIFS(I$5:I$639,$A$5:$A$639,$A547,$C$5:$C$639,$C547-1,$D$5:$D$639,$D547))-1)))</f>
        <v/>
      </c>
      <c r="R547" s="16">
        <f>IF(OR($A547="",J547="",$C547=""),"",IF(COUNTIFS($A$5:$A$639,$A547,$C$5:$C$639,$C547-1,$D$5:$D$639,$D547,J$5:J$639,"&lt;&gt;")=0,"",IF(OR(SUMIFS(J$5:J$639,$A$5:$A$639,$A547,$C$5:$C$639,$C547-1,$D$5:$D$639,$D547)=0,J547*SUMIFS(J$5:J$639,$A$5:$A$639,$A547,$C$5:$C$639,$C547-1,$D$5:$D$639,$D547)&lt;0),"n.s.",ABS(J547)/ABS(SUMIFS(J$5:J$639,$A$5:$A$639,$A547,$C$5:$C$639,$C547-1,$D$5:$D$639,$D547))-1)))</f>
        <v/>
      </c>
      <c r="S547" s="16">
        <f>IF(OR($A547="",K547="",$C547=""),"",IF(COUNTIFS($A$5:$A$639,$A547,$C$5:$C$639,$C547-1,$D$5:$D$639,$D547,K$5:K$639,"&lt;&gt;")=0,"",IF(OR(SUMIFS(K$5:K$639,$A$5:$A$639,$A547,$C$5:$C$639,$C547-1,$D$5:$D$639,$D547)=0,K547*SUMIFS(K$5:K$639,$A$5:$A$639,$A547,$C$5:$C$639,$C547-1,$D$5:$D$639,$D547)&lt;0),"n.s.",ABS(K547)/ABS(SUMIFS(K$5:K$639,$A$5:$A$639,$A547,$C$5:$C$639,$C547-1,$D$5:$D$639,$D547))-1)))</f>
        <v/>
      </c>
      <c r="T547" s="16">
        <f>IF(OR($A547="",L547="",$C547=""),"",IF(COUNTIFS($A$5:$A$639,$A547,$C$5:$C$639,$C547-1,$D$5:$D$639,$D547,L$5:L$639,"&lt;&gt;")=0,"",IF(OR(SUMIFS(L$5:L$639,$A$5:$A$639,$A547,$C$5:$C$639,$C547-1,$D$5:$D$639,$D547)=0,L547*SUMIFS(L$5:L$639,$A$5:$A$639,$A547,$C$5:$C$639,$C547-1,$D$5:$D$639,$D547)&lt;0),"n.s.",ABS(L547)/ABS(SUMIFS(L$5:L$639,$A$5:$A$639,$A547,$C$5:$C$639,$C547-1,$D$5:$D$639,$D547))-1)))</f>
        <v/>
      </c>
      <c r="U547" s="16">
        <f>IF(OR($A547="",M547="",$C547=""),"",IF(COUNTIFS($A$5:$A$639,$A547,$C$5:$C$639,$C547-1,$D$5:$D$639,$D547,M$5:M$639,"&lt;&gt;")=0,"",IF(OR(SUMIFS(M$5:M$639,$A$5:$A$639,$A547,$C$5:$C$639,$C547-1,$D$5:$D$639,$D547)=0,M547*SUMIFS(M$5:M$639,$A$5:$A$639,$A547,$C$5:$C$639,$C547-1,$D$5:$D$639,$D547)&lt;0),"n.s.",ABS(M547)/ABS(SUMIFS(M$5:M$639,$A$5:$A$639,$A547,$C$5:$C$639,$C547-1,$D$5:$D$639,$D547))-1)))</f>
        <v/>
      </c>
    </row>
    <row r="548">
      <c r="A548" s="9" t="inlineStr">
        <is>
          <t>SMBC</t>
        </is>
      </c>
      <c r="B548" s="10">
        <f>IF(A548="","",IFERROR(VLOOKUP(A548,Titres!$A$2:$B$400,2,FALSE),"Ticker inconnu"))</f>
        <v/>
      </c>
      <c r="C548" s="11" t="n">
        <v>2022</v>
      </c>
      <c r="D548" s="11" t="inlineStr">
        <is>
          <t>T1</t>
        </is>
      </c>
      <c r="E548" s="9" t="n"/>
      <c r="F548" s="12" t="n"/>
      <c r="G548" s="9" t="n"/>
      <c r="H548" s="13" t="n"/>
      <c r="I548" s="13" t="n"/>
      <c r="J548" s="13" t="n"/>
      <c r="K548" s="13" t="n"/>
      <c r="L548" s="13" t="n"/>
      <c r="M548" s="13" t="n"/>
      <c r="N548" s="14">
        <f>IF(A548="","",COUNT(H548:M548)/6)</f>
        <v/>
      </c>
      <c r="O548" s="15">
        <f>IF(COUNT(H548:M548)=0,"",IF(LEN(IF(COUNT(I548,J548)=2,IF(J548&gt;I548+1,"EBE &gt; VA ",""),"")&amp;IF(COUNT(H548,M548)=2,IF(ABS(M548)&gt;ABS(H548),"RN &gt; CA ",""),"")&amp;IF(COUNT(H548,K548)=2,IF(ABS(K548)&gt;ABS(H548),"RE &gt; CA ",""),""))=0,"OK",IF(COUNT(I548,J548)=2,IF(J548&gt;I548+1,"EBE &gt; VA ",""),"")&amp;IF(COUNT(H548,M548)=2,IF(ABS(M548)&gt;ABS(H548),"RN &gt; CA ",""),"")&amp;IF(COUNT(H548,K548)=2,IF(ABS(K548)&gt;ABS(H548),"RE &gt; CA ",""),"")))</f>
        <v/>
      </c>
      <c r="P548" s="16">
        <f>IF(OR($A548="",H548="",$C548=""),"",IF(COUNTIFS($A$5:$A$639,$A548,$C$5:$C$639,$C548-1,$D$5:$D$639,$D548,H$5:H$639,"&lt;&gt;")=0,"",IF(OR(SUMIFS(H$5:H$639,$A$5:$A$639,$A548,$C$5:$C$639,$C548-1,$D$5:$D$639,$D548)=0,H548*SUMIFS(H$5:H$639,$A$5:$A$639,$A548,$C$5:$C$639,$C548-1,$D$5:$D$639,$D548)&lt;0),"n.s.",ABS(H548)/ABS(SUMIFS(H$5:H$639,$A$5:$A$639,$A548,$C$5:$C$639,$C548-1,$D$5:$D$639,$D548))-1)))</f>
        <v/>
      </c>
      <c r="Q548" s="16">
        <f>IF(OR($A548="",I548="",$C548=""),"",IF(COUNTIFS($A$5:$A$639,$A548,$C$5:$C$639,$C548-1,$D$5:$D$639,$D548,I$5:I$639,"&lt;&gt;")=0,"",IF(OR(SUMIFS(I$5:I$639,$A$5:$A$639,$A548,$C$5:$C$639,$C548-1,$D$5:$D$639,$D548)=0,I548*SUMIFS(I$5:I$639,$A$5:$A$639,$A548,$C$5:$C$639,$C548-1,$D$5:$D$639,$D548)&lt;0),"n.s.",ABS(I548)/ABS(SUMIFS(I$5:I$639,$A$5:$A$639,$A548,$C$5:$C$639,$C548-1,$D$5:$D$639,$D548))-1)))</f>
        <v/>
      </c>
      <c r="R548" s="16">
        <f>IF(OR($A548="",J548="",$C548=""),"",IF(COUNTIFS($A$5:$A$639,$A548,$C$5:$C$639,$C548-1,$D$5:$D$639,$D548,J$5:J$639,"&lt;&gt;")=0,"",IF(OR(SUMIFS(J$5:J$639,$A$5:$A$639,$A548,$C$5:$C$639,$C548-1,$D$5:$D$639,$D548)=0,J548*SUMIFS(J$5:J$639,$A$5:$A$639,$A548,$C$5:$C$639,$C548-1,$D$5:$D$639,$D548)&lt;0),"n.s.",ABS(J548)/ABS(SUMIFS(J$5:J$639,$A$5:$A$639,$A548,$C$5:$C$639,$C548-1,$D$5:$D$639,$D548))-1)))</f>
        <v/>
      </c>
      <c r="S548" s="16">
        <f>IF(OR($A548="",K548="",$C548=""),"",IF(COUNTIFS($A$5:$A$639,$A548,$C$5:$C$639,$C548-1,$D$5:$D$639,$D548,K$5:K$639,"&lt;&gt;")=0,"",IF(OR(SUMIFS(K$5:K$639,$A$5:$A$639,$A548,$C$5:$C$639,$C548-1,$D$5:$D$639,$D548)=0,K548*SUMIFS(K$5:K$639,$A$5:$A$639,$A548,$C$5:$C$639,$C548-1,$D$5:$D$639,$D548)&lt;0),"n.s.",ABS(K548)/ABS(SUMIFS(K$5:K$639,$A$5:$A$639,$A548,$C$5:$C$639,$C548-1,$D$5:$D$639,$D548))-1)))</f>
        <v/>
      </c>
      <c r="T548" s="16">
        <f>IF(OR($A548="",L548="",$C548=""),"",IF(COUNTIFS($A$5:$A$639,$A548,$C$5:$C$639,$C548-1,$D$5:$D$639,$D548,L$5:L$639,"&lt;&gt;")=0,"",IF(OR(SUMIFS(L$5:L$639,$A$5:$A$639,$A548,$C$5:$C$639,$C548-1,$D$5:$D$639,$D548)=0,L548*SUMIFS(L$5:L$639,$A$5:$A$639,$A548,$C$5:$C$639,$C548-1,$D$5:$D$639,$D548)&lt;0),"n.s.",ABS(L548)/ABS(SUMIFS(L$5:L$639,$A$5:$A$639,$A548,$C$5:$C$639,$C548-1,$D$5:$D$639,$D548))-1)))</f>
        <v/>
      </c>
      <c r="U548" s="16">
        <f>IF(OR($A548="",M548="",$C548=""),"",IF(COUNTIFS($A$5:$A$639,$A548,$C$5:$C$639,$C548-1,$D$5:$D$639,$D548,M$5:M$639,"&lt;&gt;")=0,"",IF(OR(SUMIFS(M$5:M$639,$A$5:$A$639,$A548,$C$5:$C$639,$C548-1,$D$5:$D$639,$D548)=0,M548*SUMIFS(M$5:M$639,$A$5:$A$639,$A548,$C$5:$C$639,$C548-1,$D$5:$D$639,$D548)&lt;0),"n.s.",ABS(M548)/ABS(SUMIFS(M$5:M$639,$A$5:$A$639,$A548,$C$5:$C$639,$C548-1,$D$5:$D$639,$D548))-1)))</f>
        <v/>
      </c>
    </row>
    <row r="549">
      <c r="A549" s="9" t="inlineStr">
        <is>
          <t>SMBC</t>
        </is>
      </c>
      <c r="B549" s="10">
        <f>IF(A549="","",IFERROR(VLOOKUP(A549,Titres!$A$2:$B$400,2,FALSE),"Ticker inconnu"))</f>
        <v/>
      </c>
      <c r="C549" s="11" t="n">
        <v>2022</v>
      </c>
      <c r="D549" s="11" t="inlineStr">
        <is>
          <t>S1</t>
        </is>
      </c>
      <c r="E549" s="9" t="n"/>
      <c r="F549" s="12" t="n"/>
      <c r="G549" s="9" t="n"/>
      <c r="H549" s="13" t="n"/>
      <c r="I549" s="13" t="n"/>
      <c r="J549" s="13" t="n"/>
      <c r="K549" s="13" t="n"/>
      <c r="L549" s="13" t="n"/>
      <c r="M549" s="13" t="n"/>
      <c r="N549" s="14">
        <f>IF(A549="","",COUNT(H549:M549)/6)</f>
        <v/>
      </c>
      <c r="O549" s="15">
        <f>IF(COUNT(H549:M549)=0,"",IF(LEN(IF(COUNT(I549,J549)=2,IF(J549&gt;I549+1,"EBE &gt; VA ",""),"")&amp;IF(COUNT(H549,M549)=2,IF(ABS(M549)&gt;ABS(H549),"RN &gt; CA ",""),"")&amp;IF(COUNT(H549,K549)=2,IF(ABS(K549)&gt;ABS(H549),"RE &gt; CA ",""),""))=0,"OK",IF(COUNT(I549,J549)=2,IF(J549&gt;I549+1,"EBE &gt; VA ",""),"")&amp;IF(COUNT(H549,M549)=2,IF(ABS(M549)&gt;ABS(H549),"RN &gt; CA ",""),"")&amp;IF(COUNT(H549,K549)=2,IF(ABS(K549)&gt;ABS(H549),"RE &gt; CA ",""),"")))</f>
        <v/>
      </c>
      <c r="P549" s="16">
        <f>IF(OR($A549="",H549="",$C549=""),"",IF(COUNTIFS($A$5:$A$639,$A549,$C$5:$C$639,$C549-1,$D$5:$D$639,$D549,H$5:H$639,"&lt;&gt;")=0,"",IF(OR(SUMIFS(H$5:H$639,$A$5:$A$639,$A549,$C$5:$C$639,$C549-1,$D$5:$D$639,$D549)=0,H549*SUMIFS(H$5:H$639,$A$5:$A$639,$A549,$C$5:$C$639,$C549-1,$D$5:$D$639,$D549)&lt;0),"n.s.",ABS(H549)/ABS(SUMIFS(H$5:H$639,$A$5:$A$639,$A549,$C$5:$C$639,$C549-1,$D$5:$D$639,$D549))-1)))</f>
        <v/>
      </c>
      <c r="Q549" s="16">
        <f>IF(OR($A549="",I549="",$C549=""),"",IF(COUNTIFS($A$5:$A$639,$A549,$C$5:$C$639,$C549-1,$D$5:$D$639,$D549,I$5:I$639,"&lt;&gt;")=0,"",IF(OR(SUMIFS(I$5:I$639,$A$5:$A$639,$A549,$C$5:$C$639,$C549-1,$D$5:$D$639,$D549)=0,I549*SUMIFS(I$5:I$639,$A$5:$A$639,$A549,$C$5:$C$639,$C549-1,$D$5:$D$639,$D549)&lt;0),"n.s.",ABS(I549)/ABS(SUMIFS(I$5:I$639,$A$5:$A$639,$A549,$C$5:$C$639,$C549-1,$D$5:$D$639,$D549))-1)))</f>
        <v/>
      </c>
      <c r="R549" s="16">
        <f>IF(OR($A549="",J549="",$C549=""),"",IF(COUNTIFS($A$5:$A$639,$A549,$C$5:$C$639,$C549-1,$D$5:$D$639,$D549,J$5:J$639,"&lt;&gt;")=0,"",IF(OR(SUMIFS(J$5:J$639,$A$5:$A$639,$A549,$C$5:$C$639,$C549-1,$D$5:$D$639,$D549)=0,J549*SUMIFS(J$5:J$639,$A$5:$A$639,$A549,$C$5:$C$639,$C549-1,$D$5:$D$639,$D549)&lt;0),"n.s.",ABS(J549)/ABS(SUMIFS(J$5:J$639,$A$5:$A$639,$A549,$C$5:$C$639,$C549-1,$D$5:$D$639,$D549))-1)))</f>
        <v/>
      </c>
      <c r="S549" s="16">
        <f>IF(OR($A549="",K549="",$C549=""),"",IF(COUNTIFS($A$5:$A$639,$A549,$C$5:$C$639,$C549-1,$D$5:$D$639,$D549,K$5:K$639,"&lt;&gt;")=0,"",IF(OR(SUMIFS(K$5:K$639,$A$5:$A$639,$A549,$C$5:$C$639,$C549-1,$D$5:$D$639,$D549)=0,K549*SUMIFS(K$5:K$639,$A$5:$A$639,$A549,$C$5:$C$639,$C549-1,$D$5:$D$639,$D549)&lt;0),"n.s.",ABS(K549)/ABS(SUMIFS(K$5:K$639,$A$5:$A$639,$A549,$C$5:$C$639,$C549-1,$D$5:$D$639,$D549))-1)))</f>
        <v/>
      </c>
      <c r="T549" s="16">
        <f>IF(OR($A549="",L549="",$C549=""),"",IF(COUNTIFS($A$5:$A$639,$A549,$C$5:$C$639,$C549-1,$D$5:$D$639,$D549,L$5:L$639,"&lt;&gt;")=0,"",IF(OR(SUMIFS(L$5:L$639,$A$5:$A$639,$A549,$C$5:$C$639,$C549-1,$D$5:$D$639,$D549)=0,L549*SUMIFS(L$5:L$639,$A$5:$A$639,$A549,$C$5:$C$639,$C549-1,$D$5:$D$639,$D549)&lt;0),"n.s.",ABS(L549)/ABS(SUMIFS(L$5:L$639,$A$5:$A$639,$A549,$C$5:$C$639,$C549-1,$D$5:$D$639,$D549))-1)))</f>
        <v/>
      </c>
      <c r="U549" s="16">
        <f>IF(OR($A549="",M549="",$C549=""),"",IF(COUNTIFS($A$5:$A$639,$A549,$C$5:$C$639,$C549-1,$D$5:$D$639,$D549,M$5:M$639,"&lt;&gt;")=0,"",IF(OR(SUMIFS(M$5:M$639,$A$5:$A$639,$A549,$C$5:$C$639,$C549-1,$D$5:$D$639,$D549)=0,M549*SUMIFS(M$5:M$639,$A$5:$A$639,$A549,$C$5:$C$639,$C549-1,$D$5:$D$639,$D549)&lt;0),"n.s.",ABS(M549)/ABS(SUMIFS(M$5:M$639,$A$5:$A$639,$A549,$C$5:$C$639,$C549-1,$D$5:$D$639,$D549))-1)))</f>
        <v/>
      </c>
    </row>
    <row r="550">
      <c r="A550" s="9" t="inlineStr">
        <is>
          <t>SMBC</t>
        </is>
      </c>
      <c r="B550" s="10">
        <f>IF(A550="","",IFERROR(VLOOKUP(A550,Titres!$A$2:$B$400,2,FALSE),"Ticker inconnu"))</f>
        <v/>
      </c>
      <c r="C550" s="11" t="n">
        <v>2022</v>
      </c>
      <c r="D550" s="11" t="inlineStr">
        <is>
          <t>T3</t>
        </is>
      </c>
      <c r="E550" s="9" t="n"/>
      <c r="F550" s="12" t="n"/>
      <c r="G550" s="9" t="n"/>
      <c r="H550" s="13" t="n"/>
      <c r="I550" s="13" t="n"/>
      <c r="J550" s="13" t="n"/>
      <c r="K550" s="13" t="n"/>
      <c r="L550" s="13" t="n"/>
      <c r="M550" s="13" t="n"/>
      <c r="N550" s="14">
        <f>IF(A550="","",COUNT(H550:M550)/6)</f>
        <v/>
      </c>
      <c r="O550" s="15">
        <f>IF(COUNT(H550:M550)=0,"",IF(LEN(IF(COUNT(I550,J550)=2,IF(J550&gt;I550+1,"EBE &gt; VA ",""),"")&amp;IF(COUNT(H550,M550)=2,IF(ABS(M550)&gt;ABS(H550),"RN &gt; CA ",""),"")&amp;IF(COUNT(H550,K550)=2,IF(ABS(K550)&gt;ABS(H550),"RE &gt; CA ",""),""))=0,"OK",IF(COUNT(I550,J550)=2,IF(J550&gt;I550+1,"EBE &gt; VA ",""),"")&amp;IF(COUNT(H550,M550)=2,IF(ABS(M550)&gt;ABS(H550),"RN &gt; CA ",""),"")&amp;IF(COUNT(H550,K550)=2,IF(ABS(K550)&gt;ABS(H550),"RE &gt; CA ",""),"")))</f>
        <v/>
      </c>
      <c r="P550" s="16">
        <f>IF(OR($A550="",H550="",$C550=""),"",IF(COUNTIFS($A$5:$A$639,$A550,$C$5:$C$639,$C550-1,$D$5:$D$639,$D550,H$5:H$639,"&lt;&gt;")=0,"",IF(OR(SUMIFS(H$5:H$639,$A$5:$A$639,$A550,$C$5:$C$639,$C550-1,$D$5:$D$639,$D550)=0,H550*SUMIFS(H$5:H$639,$A$5:$A$639,$A550,$C$5:$C$639,$C550-1,$D$5:$D$639,$D550)&lt;0),"n.s.",ABS(H550)/ABS(SUMIFS(H$5:H$639,$A$5:$A$639,$A550,$C$5:$C$639,$C550-1,$D$5:$D$639,$D550))-1)))</f>
        <v/>
      </c>
      <c r="Q550" s="16">
        <f>IF(OR($A550="",I550="",$C550=""),"",IF(COUNTIFS($A$5:$A$639,$A550,$C$5:$C$639,$C550-1,$D$5:$D$639,$D550,I$5:I$639,"&lt;&gt;")=0,"",IF(OR(SUMIFS(I$5:I$639,$A$5:$A$639,$A550,$C$5:$C$639,$C550-1,$D$5:$D$639,$D550)=0,I550*SUMIFS(I$5:I$639,$A$5:$A$639,$A550,$C$5:$C$639,$C550-1,$D$5:$D$639,$D550)&lt;0),"n.s.",ABS(I550)/ABS(SUMIFS(I$5:I$639,$A$5:$A$639,$A550,$C$5:$C$639,$C550-1,$D$5:$D$639,$D550))-1)))</f>
        <v/>
      </c>
      <c r="R550" s="16">
        <f>IF(OR($A550="",J550="",$C550=""),"",IF(COUNTIFS($A$5:$A$639,$A550,$C$5:$C$639,$C550-1,$D$5:$D$639,$D550,J$5:J$639,"&lt;&gt;")=0,"",IF(OR(SUMIFS(J$5:J$639,$A$5:$A$639,$A550,$C$5:$C$639,$C550-1,$D$5:$D$639,$D550)=0,J550*SUMIFS(J$5:J$639,$A$5:$A$639,$A550,$C$5:$C$639,$C550-1,$D$5:$D$639,$D550)&lt;0),"n.s.",ABS(J550)/ABS(SUMIFS(J$5:J$639,$A$5:$A$639,$A550,$C$5:$C$639,$C550-1,$D$5:$D$639,$D550))-1)))</f>
        <v/>
      </c>
      <c r="S550" s="16">
        <f>IF(OR($A550="",K550="",$C550=""),"",IF(COUNTIFS($A$5:$A$639,$A550,$C$5:$C$639,$C550-1,$D$5:$D$639,$D550,K$5:K$639,"&lt;&gt;")=0,"",IF(OR(SUMIFS(K$5:K$639,$A$5:$A$639,$A550,$C$5:$C$639,$C550-1,$D$5:$D$639,$D550)=0,K550*SUMIFS(K$5:K$639,$A$5:$A$639,$A550,$C$5:$C$639,$C550-1,$D$5:$D$639,$D550)&lt;0),"n.s.",ABS(K550)/ABS(SUMIFS(K$5:K$639,$A$5:$A$639,$A550,$C$5:$C$639,$C550-1,$D$5:$D$639,$D550))-1)))</f>
        <v/>
      </c>
      <c r="T550" s="16">
        <f>IF(OR($A550="",L550="",$C550=""),"",IF(COUNTIFS($A$5:$A$639,$A550,$C$5:$C$639,$C550-1,$D$5:$D$639,$D550,L$5:L$639,"&lt;&gt;")=0,"",IF(OR(SUMIFS(L$5:L$639,$A$5:$A$639,$A550,$C$5:$C$639,$C550-1,$D$5:$D$639,$D550)=0,L550*SUMIFS(L$5:L$639,$A$5:$A$639,$A550,$C$5:$C$639,$C550-1,$D$5:$D$639,$D550)&lt;0),"n.s.",ABS(L550)/ABS(SUMIFS(L$5:L$639,$A$5:$A$639,$A550,$C$5:$C$639,$C550-1,$D$5:$D$639,$D550))-1)))</f>
        <v/>
      </c>
      <c r="U550" s="16">
        <f>IF(OR($A550="",M550="",$C550=""),"",IF(COUNTIFS($A$5:$A$639,$A550,$C$5:$C$639,$C550-1,$D$5:$D$639,$D550,M$5:M$639,"&lt;&gt;")=0,"",IF(OR(SUMIFS(M$5:M$639,$A$5:$A$639,$A550,$C$5:$C$639,$C550-1,$D$5:$D$639,$D550)=0,M550*SUMIFS(M$5:M$639,$A$5:$A$639,$A550,$C$5:$C$639,$C550-1,$D$5:$D$639,$D550)&lt;0),"n.s.",ABS(M550)/ABS(SUMIFS(M$5:M$639,$A$5:$A$639,$A550,$C$5:$C$639,$C550-1,$D$5:$D$639,$D550))-1)))</f>
        <v/>
      </c>
    </row>
    <row r="551">
      <c r="A551" s="9" t="inlineStr">
        <is>
          <t>SMBC</t>
        </is>
      </c>
      <c r="B551" s="10">
        <f>IF(A551="","",IFERROR(VLOOKUP(A551,Titres!$A$2:$B$400,2,FALSE),"Ticker inconnu"))</f>
        <v/>
      </c>
      <c r="C551" s="11" t="n">
        <v>2023</v>
      </c>
      <c r="D551" s="11" t="inlineStr">
        <is>
          <t>T1</t>
        </is>
      </c>
      <c r="E551" s="9" t="n"/>
      <c r="F551" s="12" t="n"/>
      <c r="G551" s="9" t="n"/>
      <c r="H551" s="13" t="n"/>
      <c r="I551" s="13" t="n"/>
      <c r="J551" s="13" t="n"/>
      <c r="K551" s="13" t="n"/>
      <c r="L551" s="13" t="n"/>
      <c r="M551" s="13" t="n"/>
      <c r="N551" s="14">
        <f>IF(A551="","",COUNT(H551:M551)/6)</f>
        <v/>
      </c>
      <c r="O551" s="15">
        <f>IF(COUNT(H551:M551)=0,"",IF(LEN(IF(COUNT(I551,J551)=2,IF(J551&gt;I551+1,"EBE &gt; VA ",""),"")&amp;IF(COUNT(H551,M551)=2,IF(ABS(M551)&gt;ABS(H551),"RN &gt; CA ",""),"")&amp;IF(COUNT(H551,K551)=2,IF(ABS(K551)&gt;ABS(H551),"RE &gt; CA ",""),""))=0,"OK",IF(COUNT(I551,J551)=2,IF(J551&gt;I551+1,"EBE &gt; VA ",""),"")&amp;IF(COUNT(H551,M551)=2,IF(ABS(M551)&gt;ABS(H551),"RN &gt; CA ",""),"")&amp;IF(COUNT(H551,K551)=2,IF(ABS(K551)&gt;ABS(H551),"RE &gt; CA ",""),"")))</f>
        <v/>
      </c>
      <c r="P551" s="16">
        <f>IF(OR($A551="",H551="",$C551=""),"",IF(COUNTIFS($A$5:$A$639,$A551,$C$5:$C$639,$C551-1,$D$5:$D$639,$D551,H$5:H$639,"&lt;&gt;")=0,"",IF(OR(SUMIFS(H$5:H$639,$A$5:$A$639,$A551,$C$5:$C$639,$C551-1,$D$5:$D$639,$D551)=0,H551*SUMIFS(H$5:H$639,$A$5:$A$639,$A551,$C$5:$C$639,$C551-1,$D$5:$D$639,$D551)&lt;0),"n.s.",ABS(H551)/ABS(SUMIFS(H$5:H$639,$A$5:$A$639,$A551,$C$5:$C$639,$C551-1,$D$5:$D$639,$D551))-1)))</f>
        <v/>
      </c>
      <c r="Q551" s="16">
        <f>IF(OR($A551="",I551="",$C551=""),"",IF(COUNTIFS($A$5:$A$639,$A551,$C$5:$C$639,$C551-1,$D$5:$D$639,$D551,I$5:I$639,"&lt;&gt;")=0,"",IF(OR(SUMIFS(I$5:I$639,$A$5:$A$639,$A551,$C$5:$C$639,$C551-1,$D$5:$D$639,$D551)=0,I551*SUMIFS(I$5:I$639,$A$5:$A$639,$A551,$C$5:$C$639,$C551-1,$D$5:$D$639,$D551)&lt;0),"n.s.",ABS(I551)/ABS(SUMIFS(I$5:I$639,$A$5:$A$639,$A551,$C$5:$C$639,$C551-1,$D$5:$D$639,$D551))-1)))</f>
        <v/>
      </c>
      <c r="R551" s="16">
        <f>IF(OR($A551="",J551="",$C551=""),"",IF(COUNTIFS($A$5:$A$639,$A551,$C$5:$C$639,$C551-1,$D$5:$D$639,$D551,J$5:J$639,"&lt;&gt;")=0,"",IF(OR(SUMIFS(J$5:J$639,$A$5:$A$639,$A551,$C$5:$C$639,$C551-1,$D$5:$D$639,$D551)=0,J551*SUMIFS(J$5:J$639,$A$5:$A$639,$A551,$C$5:$C$639,$C551-1,$D$5:$D$639,$D551)&lt;0),"n.s.",ABS(J551)/ABS(SUMIFS(J$5:J$639,$A$5:$A$639,$A551,$C$5:$C$639,$C551-1,$D$5:$D$639,$D551))-1)))</f>
        <v/>
      </c>
      <c r="S551" s="16">
        <f>IF(OR($A551="",K551="",$C551=""),"",IF(COUNTIFS($A$5:$A$639,$A551,$C$5:$C$639,$C551-1,$D$5:$D$639,$D551,K$5:K$639,"&lt;&gt;")=0,"",IF(OR(SUMIFS(K$5:K$639,$A$5:$A$639,$A551,$C$5:$C$639,$C551-1,$D$5:$D$639,$D551)=0,K551*SUMIFS(K$5:K$639,$A$5:$A$639,$A551,$C$5:$C$639,$C551-1,$D$5:$D$639,$D551)&lt;0),"n.s.",ABS(K551)/ABS(SUMIFS(K$5:K$639,$A$5:$A$639,$A551,$C$5:$C$639,$C551-1,$D$5:$D$639,$D551))-1)))</f>
        <v/>
      </c>
      <c r="T551" s="16">
        <f>IF(OR($A551="",L551="",$C551=""),"",IF(COUNTIFS($A$5:$A$639,$A551,$C$5:$C$639,$C551-1,$D$5:$D$639,$D551,L$5:L$639,"&lt;&gt;")=0,"",IF(OR(SUMIFS(L$5:L$639,$A$5:$A$639,$A551,$C$5:$C$639,$C551-1,$D$5:$D$639,$D551)=0,L551*SUMIFS(L$5:L$639,$A$5:$A$639,$A551,$C$5:$C$639,$C551-1,$D$5:$D$639,$D551)&lt;0),"n.s.",ABS(L551)/ABS(SUMIFS(L$5:L$639,$A$5:$A$639,$A551,$C$5:$C$639,$C551-1,$D$5:$D$639,$D551))-1)))</f>
        <v/>
      </c>
      <c r="U551" s="16">
        <f>IF(OR($A551="",M551="",$C551=""),"",IF(COUNTIFS($A$5:$A$639,$A551,$C$5:$C$639,$C551-1,$D$5:$D$639,$D551,M$5:M$639,"&lt;&gt;")=0,"",IF(OR(SUMIFS(M$5:M$639,$A$5:$A$639,$A551,$C$5:$C$639,$C551-1,$D$5:$D$639,$D551)=0,M551*SUMIFS(M$5:M$639,$A$5:$A$639,$A551,$C$5:$C$639,$C551-1,$D$5:$D$639,$D551)&lt;0),"n.s.",ABS(M551)/ABS(SUMIFS(M$5:M$639,$A$5:$A$639,$A551,$C$5:$C$639,$C551-1,$D$5:$D$639,$D551))-1)))</f>
        <v/>
      </c>
    </row>
    <row r="552">
      <c r="A552" s="9" t="inlineStr">
        <is>
          <t>SMBC</t>
        </is>
      </c>
      <c r="B552" s="10">
        <f>IF(A552="","",IFERROR(VLOOKUP(A552,Titres!$A$2:$B$400,2,FALSE),"Ticker inconnu"))</f>
        <v/>
      </c>
      <c r="C552" s="11" t="n">
        <v>2023</v>
      </c>
      <c r="D552" s="11" t="inlineStr">
        <is>
          <t>S1</t>
        </is>
      </c>
      <c r="E552" s="9" t="n"/>
      <c r="F552" s="12" t="n"/>
      <c r="G552" s="9" t="n"/>
      <c r="H552" s="13" t="n"/>
      <c r="I552" s="13" t="n"/>
      <c r="J552" s="13" t="n"/>
      <c r="K552" s="13" t="n"/>
      <c r="L552" s="13" t="n"/>
      <c r="M552" s="13" t="n"/>
      <c r="N552" s="14">
        <f>IF(A552="","",COUNT(H552:M552)/6)</f>
        <v/>
      </c>
      <c r="O552" s="15">
        <f>IF(COUNT(H552:M552)=0,"",IF(LEN(IF(COUNT(I552,J552)=2,IF(J552&gt;I552+1,"EBE &gt; VA ",""),"")&amp;IF(COUNT(H552,M552)=2,IF(ABS(M552)&gt;ABS(H552),"RN &gt; CA ",""),"")&amp;IF(COUNT(H552,K552)=2,IF(ABS(K552)&gt;ABS(H552),"RE &gt; CA ",""),""))=0,"OK",IF(COUNT(I552,J552)=2,IF(J552&gt;I552+1,"EBE &gt; VA ",""),"")&amp;IF(COUNT(H552,M552)=2,IF(ABS(M552)&gt;ABS(H552),"RN &gt; CA ",""),"")&amp;IF(COUNT(H552,K552)=2,IF(ABS(K552)&gt;ABS(H552),"RE &gt; CA ",""),"")))</f>
        <v/>
      </c>
      <c r="P552" s="16">
        <f>IF(OR($A552="",H552="",$C552=""),"",IF(COUNTIFS($A$5:$A$639,$A552,$C$5:$C$639,$C552-1,$D$5:$D$639,$D552,H$5:H$639,"&lt;&gt;")=0,"",IF(OR(SUMIFS(H$5:H$639,$A$5:$A$639,$A552,$C$5:$C$639,$C552-1,$D$5:$D$639,$D552)=0,H552*SUMIFS(H$5:H$639,$A$5:$A$639,$A552,$C$5:$C$639,$C552-1,$D$5:$D$639,$D552)&lt;0),"n.s.",ABS(H552)/ABS(SUMIFS(H$5:H$639,$A$5:$A$639,$A552,$C$5:$C$639,$C552-1,$D$5:$D$639,$D552))-1)))</f>
        <v/>
      </c>
      <c r="Q552" s="16">
        <f>IF(OR($A552="",I552="",$C552=""),"",IF(COUNTIFS($A$5:$A$639,$A552,$C$5:$C$639,$C552-1,$D$5:$D$639,$D552,I$5:I$639,"&lt;&gt;")=0,"",IF(OR(SUMIFS(I$5:I$639,$A$5:$A$639,$A552,$C$5:$C$639,$C552-1,$D$5:$D$639,$D552)=0,I552*SUMIFS(I$5:I$639,$A$5:$A$639,$A552,$C$5:$C$639,$C552-1,$D$5:$D$639,$D552)&lt;0),"n.s.",ABS(I552)/ABS(SUMIFS(I$5:I$639,$A$5:$A$639,$A552,$C$5:$C$639,$C552-1,$D$5:$D$639,$D552))-1)))</f>
        <v/>
      </c>
      <c r="R552" s="16">
        <f>IF(OR($A552="",J552="",$C552=""),"",IF(COUNTIFS($A$5:$A$639,$A552,$C$5:$C$639,$C552-1,$D$5:$D$639,$D552,J$5:J$639,"&lt;&gt;")=0,"",IF(OR(SUMIFS(J$5:J$639,$A$5:$A$639,$A552,$C$5:$C$639,$C552-1,$D$5:$D$639,$D552)=0,J552*SUMIFS(J$5:J$639,$A$5:$A$639,$A552,$C$5:$C$639,$C552-1,$D$5:$D$639,$D552)&lt;0),"n.s.",ABS(J552)/ABS(SUMIFS(J$5:J$639,$A$5:$A$639,$A552,$C$5:$C$639,$C552-1,$D$5:$D$639,$D552))-1)))</f>
        <v/>
      </c>
      <c r="S552" s="16">
        <f>IF(OR($A552="",K552="",$C552=""),"",IF(COUNTIFS($A$5:$A$639,$A552,$C$5:$C$639,$C552-1,$D$5:$D$639,$D552,K$5:K$639,"&lt;&gt;")=0,"",IF(OR(SUMIFS(K$5:K$639,$A$5:$A$639,$A552,$C$5:$C$639,$C552-1,$D$5:$D$639,$D552)=0,K552*SUMIFS(K$5:K$639,$A$5:$A$639,$A552,$C$5:$C$639,$C552-1,$D$5:$D$639,$D552)&lt;0),"n.s.",ABS(K552)/ABS(SUMIFS(K$5:K$639,$A$5:$A$639,$A552,$C$5:$C$639,$C552-1,$D$5:$D$639,$D552))-1)))</f>
        <v/>
      </c>
      <c r="T552" s="16">
        <f>IF(OR($A552="",L552="",$C552=""),"",IF(COUNTIFS($A$5:$A$639,$A552,$C$5:$C$639,$C552-1,$D$5:$D$639,$D552,L$5:L$639,"&lt;&gt;")=0,"",IF(OR(SUMIFS(L$5:L$639,$A$5:$A$639,$A552,$C$5:$C$639,$C552-1,$D$5:$D$639,$D552)=0,L552*SUMIFS(L$5:L$639,$A$5:$A$639,$A552,$C$5:$C$639,$C552-1,$D$5:$D$639,$D552)&lt;0),"n.s.",ABS(L552)/ABS(SUMIFS(L$5:L$639,$A$5:$A$639,$A552,$C$5:$C$639,$C552-1,$D$5:$D$639,$D552))-1)))</f>
        <v/>
      </c>
      <c r="U552" s="16">
        <f>IF(OR($A552="",M552="",$C552=""),"",IF(COUNTIFS($A$5:$A$639,$A552,$C$5:$C$639,$C552-1,$D$5:$D$639,$D552,M$5:M$639,"&lt;&gt;")=0,"",IF(OR(SUMIFS(M$5:M$639,$A$5:$A$639,$A552,$C$5:$C$639,$C552-1,$D$5:$D$639,$D552)=0,M552*SUMIFS(M$5:M$639,$A$5:$A$639,$A552,$C$5:$C$639,$C552-1,$D$5:$D$639,$D552)&lt;0),"n.s.",ABS(M552)/ABS(SUMIFS(M$5:M$639,$A$5:$A$639,$A552,$C$5:$C$639,$C552-1,$D$5:$D$639,$D552))-1)))</f>
        <v/>
      </c>
    </row>
    <row r="553">
      <c r="A553" s="9" t="inlineStr">
        <is>
          <t>SMBC</t>
        </is>
      </c>
      <c r="B553" s="10">
        <f>IF(A553="","",IFERROR(VLOOKUP(A553,Titres!$A$2:$B$400,2,FALSE),"Ticker inconnu"))</f>
        <v/>
      </c>
      <c r="C553" s="11" t="n">
        <v>2023</v>
      </c>
      <c r="D553" s="11" t="inlineStr">
        <is>
          <t>T3</t>
        </is>
      </c>
      <c r="E553" s="9" t="n"/>
      <c r="F553" s="12" t="n"/>
      <c r="G553" s="9" t="n"/>
      <c r="H553" s="13" t="n"/>
      <c r="I553" s="13" t="n"/>
      <c r="J553" s="13" t="n"/>
      <c r="K553" s="13" t="n"/>
      <c r="L553" s="13" t="n"/>
      <c r="M553" s="13" t="n"/>
      <c r="N553" s="14">
        <f>IF(A553="","",COUNT(H553:M553)/6)</f>
        <v/>
      </c>
      <c r="O553" s="15">
        <f>IF(COUNT(H553:M553)=0,"",IF(LEN(IF(COUNT(I553,J553)=2,IF(J553&gt;I553+1,"EBE &gt; VA ",""),"")&amp;IF(COUNT(H553,M553)=2,IF(ABS(M553)&gt;ABS(H553),"RN &gt; CA ",""),"")&amp;IF(COUNT(H553,K553)=2,IF(ABS(K553)&gt;ABS(H553),"RE &gt; CA ",""),""))=0,"OK",IF(COUNT(I553,J553)=2,IF(J553&gt;I553+1,"EBE &gt; VA ",""),"")&amp;IF(COUNT(H553,M553)=2,IF(ABS(M553)&gt;ABS(H553),"RN &gt; CA ",""),"")&amp;IF(COUNT(H553,K553)=2,IF(ABS(K553)&gt;ABS(H553),"RE &gt; CA ",""),"")))</f>
        <v/>
      </c>
      <c r="P553" s="16">
        <f>IF(OR($A553="",H553="",$C553=""),"",IF(COUNTIFS($A$5:$A$639,$A553,$C$5:$C$639,$C553-1,$D$5:$D$639,$D553,H$5:H$639,"&lt;&gt;")=0,"",IF(OR(SUMIFS(H$5:H$639,$A$5:$A$639,$A553,$C$5:$C$639,$C553-1,$D$5:$D$639,$D553)=0,H553*SUMIFS(H$5:H$639,$A$5:$A$639,$A553,$C$5:$C$639,$C553-1,$D$5:$D$639,$D553)&lt;0),"n.s.",ABS(H553)/ABS(SUMIFS(H$5:H$639,$A$5:$A$639,$A553,$C$5:$C$639,$C553-1,$D$5:$D$639,$D553))-1)))</f>
        <v/>
      </c>
      <c r="Q553" s="16">
        <f>IF(OR($A553="",I553="",$C553=""),"",IF(COUNTIFS($A$5:$A$639,$A553,$C$5:$C$639,$C553-1,$D$5:$D$639,$D553,I$5:I$639,"&lt;&gt;")=0,"",IF(OR(SUMIFS(I$5:I$639,$A$5:$A$639,$A553,$C$5:$C$639,$C553-1,$D$5:$D$639,$D553)=0,I553*SUMIFS(I$5:I$639,$A$5:$A$639,$A553,$C$5:$C$639,$C553-1,$D$5:$D$639,$D553)&lt;0),"n.s.",ABS(I553)/ABS(SUMIFS(I$5:I$639,$A$5:$A$639,$A553,$C$5:$C$639,$C553-1,$D$5:$D$639,$D553))-1)))</f>
        <v/>
      </c>
      <c r="R553" s="16">
        <f>IF(OR($A553="",J553="",$C553=""),"",IF(COUNTIFS($A$5:$A$639,$A553,$C$5:$C$639,$C553-1,$D$5:$D$639,$D553,J$5:J$639,"&lt;&gt;")=0,"",IF(OR(SUMIFS(J$5:J$639,$A$5:$A$639,$A553,$C$5:$C$639,$C553-1,$D$5:$D$639,$D553)=0,J553*SUMIFS(J$5:J$639,$A$5:$A$639,$A553,$C$5:$C$639,$C553-1,$D$5:$D$639,$D553)&lt;0),"n.s.",ABS(J553)/ABS(SUMIFS(J$5:J$639,$A$5:$A$639,$A553,$C$5:$C$639,$C553-1,$D$5:$D$639,$D553))-1)))</f>
        <v/>
      </c>
      <c r="S553" s="16">
        <f>IF(OR($A553="",K553="",$C553=""),"",IF(COUNTIFS($A$5:$A$639,$A553,$C$5:$C$639,$C553-1,$D$5:$D$639,$D553,K$5:K$639,"&lt;&gt;")=0,"",IF(OR(SUMIFS(K$5:K$639,$A$5:$A$639,$A553,$C$5:$C$639,$C553-1,$D$5:$D$639,$D553)=0,K553*SUMIFS(K$5:K$639,$A$5:$A$639,$A553,$C$5:$C$639,$C553-1,$D$5:$D$639,$D553)&lt;0),"n.s.",ABS(K553)/ABS(SUMIFS(K$5:K$639,$A$5:$A$639,$A553,$C$5:$C$639,$C553-1,$D$5:$D$639,$D553))-1)))</f>
        <v/>
      </c>
      <c r="T553" s="16">
        <f>IF(OR($A553="",L553="",$C553=""),"",IF(COUNTIFS($A$5:$A$639,$A553,$C$5:$C$639,$C553-1,$D$5:$D$639,$D553,L$5:L$639,"&lt;&gt;")=0,"",IF(OR(SUMIFS(L$5:L$639,$A$5:$A$639,$A553,$C$5:$C$639,$C553-1,$D$5:$D$639,$D553)=0,L553*SUMIFS(L$5:L$639,$A$5:$A$639,$A553,$C$5:$C$639,$C553-1,$D$5:$D$639,$D553)&lt;0),"n.s.",ABS(L553)/ABS(SUMIFS(L$5:L$639,$A$5:$A$639,$A553,$C$5:$C$639,$C553-1,$D$5:$D$639,$D553))-1)))</f>
        <v/>
      </c>
      <c r="U553" s="16">
        <f>IF(OR($A553="",M553="",$C553=""),"",IF(COUNTIFS($A$5:$A$639,$A553,$C$5:$C$639,$C553-1,$D$5:$D$639,$D553,M$5:M$639,"&lt;&gt;")=0,"",IF(OR(SUMIFS(M$5:M$639,$A$5:$A$639,$A553,$C$5:$C$639,$C553-1,$D$5:$D$639,$D553)=0,M553*SUMIFS(M$5:M$639,$A$5:$A$639,$A553,$C$5:$C$639,$C553-1,$D$5:$D$639,$D553)&lt;0),"n.s.",ABS(M553)/ABS(SUMIFS(M$5:M$639,$A$5:$A$639,$A553,$C$5:$C$639,$C553-1,$D$5:$D$639,$D553))-1)))</f>
        <v/>
      </c>
    </row>
    <row r="554">
      <c r="A554" s="9" t="inlineStr">
        <is>
          <t>SMBC</t>
        </is>
      </c>
      <c r="B554" s="10">
        <f>IF(A554="","",IFERROR(VLOOKUP(A554,Titres!$A$2:$B$400,2,FALSE),"Ticker inconnu"))</f>
        <v/>
      </c>
      <c r="C554" s="11" t="n">
        <v>2024</v>
      </c>
      <c r="D554" s="11" t="inlineStr">
        <is>
          <t>T1</t>
        </is>
      </c>
      <c r="E554" s="9" t="n"/>
      <c r="F554" s="12" t="n"/>
      <c r="G554" s="9" t="n"/>
      <c r="H554" s="13" t="n"/>
      <c r="I554" s="13" t="n"/>
      <c r="J554" s="13" t="n"/>
      <c r="K554" s="13" t="n"/>
      <c r="L554" s="13" t="n"/>
      <c r="M554" s="13" t="n"/>
      <c r="N554" s="14">
        <f>IF(A554="","",COUNT(H554:M554)/6)</f>
        <v/>
      </c>
      <c r="O554" s="15">
        <f>IF(COUNT(H554:M554)=0,"",IF(LEN(IF(COUNT(I554,J554)=2,IF(J554&gt;I554+1,"EBE &gt; VA ",""),"")&amp;IF(COUNT(H554,M554)=2,IF(ABS(M554)&gt;ABS(H554),"RN &gt; CA ",""),"")&amp;IF(COUNT(H554,K554)=2,IF(ABS(K554)&gt;ABS(H554),"RE &gt; CA ",""),""))=0,"OK",IF(COUNT(I554,J554)=2,IF(J554&gt;I554+1,"EBE &gt; VA ",""),"")&amp;IF(COUNT(H554,M554)=2,IF(ABS(M554)&gt;ABS(H554),"RN &gt; CA ",""),"")&amp;IF(COUNT(H554,K554)=2,IF(ABS(K554)&gt;ABS(H554),"RE &gt; CA ",""),"")))</f>
        <v/>
      </c>
      <c r="P554" s="16">
        <f>IF(OR($A554="",H554="",$C554=""),"",IF(COUNTIFS($A$5:$A$639,$A554,$C$5:$C$639,$C554-1,$D$5:$D$639,$D554,H$5:H$639,"&lt;&gt;")=0,"",IF(OR(SUMIFS(H$5:H$639,$A$5:$A$639,$A554,$C$5:$C$639,$C554-1,$D$5:$D$639,$D554)=0,H554*SUMIFS(H$5:H$639,$A$5:$A$639,$A554,$C$5:$C$639,$C554-1,$D$5:$D$639,$D554)&lt;0),"n.s.",ABS(H554)/ABS(SUMIFS(H$5:H$639,$A$5:$A$639,$A554,$C$5:$C$639,$C554-1,$D$5:$D$639,$D554))-1)))</f>
        <v/>
      </c>
      <c r="Q554" s="16">
        <f>IF(OR($A554="",I554="",$C554=""),"",IF(COUNTIFS($A$5:$A$639,$A554,$C$5:$C$639,$C554-1,$D$5:$D$639,$D554,I$5:I$639,"&lt;&gt;")=0,"",IF(OR(SUMIFS(I$5:I$639,$A$5:$A$639,$A554,$C$5:$C$639,$C554-1,$D$5:$D$639,$D554)=0,I554*SUMIFS(I$5:I$639,$A$5:$A$639,$A554,$C$5:$C$639,$C554-1,$D$5:$D$639,$D554)&lt;0),"n.s.",ABS(I554)/ABS(SUMIFS(I$5:I$639,$A$5:$A$639,$A554,$C$5:$C$639,$C554-1,$D$5:$D$639,$D554))-1)))</f>
        <v/>
      </c>
      <c r="R554" s="16">
        <f>IF(OR($A554="",J554="",$C554=""),"",IF(COUNTIFS($A$5:$A$639,$A554,$C$5:$C$639,$C554-1,$D$5:$D$639,$D554,J$5:J$639,"&lt;&gt;")=0,"",IF(OR(SUMIFS(J$5:J$639,$A$5:$A$639,$A554,$C$5:$C$639,$C554-1,$D$5:$D$639,$D554)=0,J554*SUMIFS(J$5:J$639,$A$5:$A$639,$A554,$C$5:$C$639,$C554-1,$D$5:$D$639,$D554)&lt;0),"n.s.",ABS(J554)/ABS(SUMIFS(J$5:J$639,$A$5:$A$639,$A554,$C$5:$C$639,$C554-1,$D$5:$D$639,$D554))-1)))</f>
        <v/>
      </c>
      <c r="S554" s="16">
        <f>IF(OR($A554="",K554="",$C554=""),"",IF(COUNTIFS($A$5:$A$639,$A554,$C$5:$C$639,$C554-1,$D$5:$D$639,$D554,K$5:K$639,"&lt;&gt;")=0,"",IF(OR(SUMIFS(K$5:K$639,$A$5:$A$639,$A554,$C$5:$C$639,$C554-1,$D$5:$D$639,$D554)=0,K554*SUMIFS(K$5:K$639,$A$5:$A$639,$A554,$C$5:$C$639,$C554-1,$D$5:$D$639,$D554)&lt;0),"n.s.",ABS(K554)/ABS(SUMIFS(K$5:K$639,$A$5:$A$639,$A554,$C$5:$C$639,$C554-1,$D$5:$D$639,$D554))-1)))</f>
        <v/>
      </c>
      <c r="T554" s="16">
        <f>IF(OR($A554="",L554="",$C554=""),"",IF(COUNTIFS($A$5:$A$639,$A554,$C$5:$C$639,$C554-1,$D$5:$D$639,$D554,L$5:L$639,"&lt;&gt;")=0,"",IF(OR(SUMIFS(L$5:L$639,$A$5:$A$639,$A554,$C$5:$C$639,$C554-1,$D$5:$D$639,$D554)=0,L554*SUMIFS(L$5:L$639,$A$5:$A$639,$A554,$C$5:$C$639,$C554-1,$D$5:$D$639,$D554)&lt;0),"n.s.",ABS(L554)/ABS(SUMIFS(L$5:L$639,$A$5:$A$639,$A554,$C$5:$C$639,$C554-1,$D$5:$D$639,$D554))-1)))</f>
        <v/>
      </c>
      <c r="U554" s="16">
        <f>IF(OR($A554="",M554="",$C554=""),"",IF(COUNTIFS($A$5:$A$639,$A554,$C$5:$C$639,$C554-1,$D$5:$D$639,$D554,M$5:M$639,"&lt;&gt;")=0,"",IF(OR(SUMIFS(M$5:M$639,$A$5:$A$639,$A554,$C$5:$C$639,$C554-1,$D$5:$D$639,$D554)=0,M554*SUMIFS(M$5:M$639,$A$5:$A$639,$A554,$C$5:$C$639,$C554-1,$D$5:$D$639,$D554)&lt;0),"n.s.",ABS(M554)/ABS(SUMIFS(M$5:M$639,$A$5:$A$639,$A554,$C$5:$C$639,$C554-1,$D$5:$D$639,$D554))-1)))</f>
        <v/>
      </c>
    </row>
    <row r="555">
      <c r="A555" s="9" t="inlineStr">
        <is>
          <t>SMBC</t>
        </is>
      </c>
      <c r="B555" s="10">
        <f>IF(A555="","",IFERROR(VLOOKUP(A555,Titres!$A$2:$B$400,2,FALSE),"Ticker inconnu"))</f>
        <v/>
      </c>
      <c r="C555" s="11" t="n">
        <v>2024</v>
      </c>
      <c r="D555" s="11" t="inlineStr">
        <is>
          <t>S1</t>
        </is>
      </c>
      <c r="E555" s="9" t="n"/>
      <c r="F555" s="12" t="n"/>
      <c r="G555" s="9" t="n"/>
      <c r="H555" s="13" t="n"/>
      <c r="I555" s="13" t="n"/>
      <c r="J555" s="13" t="n"/>
      <c r="K555" s="13" t="n"/>
      <c r="L555" s="13" t="n"/>
      <c r="M555" s="13" t="n"/>
      <c r="N555" s="14">
        <f>IF(A555="","",COUNT(H555:M555)/6)</f>
        <v/>
      </c>
      <c r="O555" s="15">
        <f>IF(COUNT(H555:M555)=0,"",IF(LEN(IF(COUNT(I555,J555)=2,IF(J555&gt;I555+1,"EBE &gt; VA ",""),"")&amp;IF(COUNT(H555,M555)=2,IF(ABS(M555)&gt;ABS(H555),"RN &gt; CA ",""),"")&amp;IF(COUNT(H555,K555)=2,IF(ABS(K555)&gt;ABS(H555),"RE &gt; CA ",""),""))=0,"OK",IF(COUNT(I555,J555)=2,IF(J555&gt;I555+1,"EBE &gt; VA ",""),"")&amp;IF(COUNT(H555,M555)=2,IF(ABS(M555)&gt;ABS(H555),"RN &gt; CA ",""),"")&amp;IF(COUNT(H555,K555)=2,IF(ABS(K555)&gt;ABS(H555),"RE &gt; CA ",""),"")))</f>
        <v/>
      </c>
      <c r="P555" s="16">
        <f>IF(OR($A555="",H555="",$C555=""),"",IF(COUNTIFS($A$5:$A$639,$A555,$C$5:$C$639,$C555-1,$D$5:$D$639,$D555,H$5:H$639,"&lt;&gt;")=0,"",IF(OR(SUMIFS(H$5:H$639,$A$5:$A$639,$A555,$C$5:$C$639,$C555-1,$D$5:$D$639,$D555)=0,H555*SUMIFS(H$5:H$639,$A$5:$A$639,$A555,$C$5:$C$639,$C555-1,$D$5:$D$639,$D555)&lt;0),"n.s.",ABS(H555)/ABS(SUMIFS(H$5:H$639,$A$5:$A$639,$A555,$C$5:$C$639,$C555-1,$D$5:$D$639,$D555))-1)))</f>
        <v/>
      </c>
      <c r="Q555" s="16">
        <f>IF(OR($A555="",I555="",$C555=""),"",IF(COUNTIFS($A$5:$A$639,$A555,$C$5:$C$639,$C555-1,$D$5:$D$639,$D555,I$5:I$639,"&lt;&gt;")=0,"",IF(OR(SUMIFS(I$5:I$639,$A$5:$A$639,$A555,$C$5:$C$639,$C555-1,$D$5:$D$639,$D555)=0,I555*SUMIFS(I$5:I$639,$A$5:$A$639,$A555,$C$5:$C$639,$C555-1,$D$5:$D$639,$D555)&lt;0),"n.s.",ABS(I555)/ABS(SUMIFS(I$5:I$639,$A$5:$A$639,$A555,$C$5:$C$639,$C555-1,$D$5:$D$639,$D555))-1)))</f>
        <v/>
      </c>
      <c r="R555" s="16">
        <f>IF(OR($A555="",J555="",$C555=""),"",IF(COUNTIFS($A$5:$A$639,$A555,$C$5:$C$639,$C555-1,$D$5:$D$639,$D555,J$5:J$639,"&lt;&gt;")=0,"",IF(OR(SUMIFS(J$5:J$639,$A$5:$A$639,$A555,$C$5:$C$639,$C555-1,$D$5:$D$639,$D555)=0,J555*SUMIFS(J$5:J$639,$A$5:$A$639,$A555,$C$5:$C$639,$C555-1,$D$5:$D$639,$D555)&lt;0),"n.s.",ABS(J555)/ABS(SUMIFS(J$5:J$639,$A$5:$A$639,$A555,$C$5:$C$639,$C555-1,$D$5:$D$639,$D555))-1)))</f>
        <v/>
      </c>
      <c r="S555" s="16">
        <f>IF(OR($A555="",K555="",$C555=""),"",IF(COUNTIFS($A$5:$A$639,$A555,$C$5:$C$639,$C555-1,$D$5:$D$639,$D555,K$5:K$639,"&lt;&gt;")=0,"",IF(OR(SUMIFS(K$5:K$639,$A$5:$A$639,$A555,$C$5:$C$639,$C555-1,$D$5:$D$639,$D555)=0,K555*SUMIFS(K$5:K$639,$A$5:$A$639,$A555,$C$5:$C$639,$C555-1,$D$5:$D$639,$D555)&lt;0),"n.s.",ABS(K555)/ABS(SUMIFS(K$5:K$639,$A$5:$A$639,$A555,$C$5:$C$639,$C555-1,$D$5:$D$639,$D555))-1)))</f>
        <v/>
      </c>
      <c r="T555" s="16">
        <f>IF(OR($A555="",L555="",$C555=""),"",IF(COUNTIFS($A$5:$A$639,$A555,$C$5:$C$639,$C555-1,$D$5:$D$639,$D555,L$5:L$639,"&lt;&gt;")=0,"",IF(OR(SUMIFS(L$5:L$639,$A$5:$A$639,$A555,$C$5:$C$639,$C555-1,$D$5:$D$639,$D555)=0,L555*SUMIFS(L$5:L$639,$A$5:$A$639,$A555,$C$5:$C$639,$C555-1,$D$5:$D$639,$D555)&lt;0),"n.s.",ABS(L555)/ABS(SUMIFS(L$5:L$639,$A$5:$A$639,$A555,$C$5:$C$639,$C555-1,$D$5:$D$639,$D555))-1)))</f>
        <v/>
      </c>
      <c r="U555" s="16">
        <f>IF(OR($A555="",M555="",$C555=""),"",IF(COUNTIFS($A$5:$A$639,$A555,$C$5:$C$639,$C555-1,$D$5:$D$639,$D555,M$5:M$639,"&lt;&gt;")=0,"",IF(OR(SUMIFS(M$5:M$639,$A$5:$A$639,$A555,$C$5:$C$639,$C555-1,$D$5:$D$639,$D555)=0,M555*SUMIFS(M$5:M$639,$A$5:$A$639,$A555,$C$5:$C$639,$C555-1,$D$5:$D$639,$D555)&lt;0),"n.s.",ABS(M555)/ABS(SUMIFS(M$5:M$639,$A$5:$A$639,$A555,$C$5:$C$639,$C555-1,$D$5:$D$639,$D555))-1)))</f>
        <v/>
      </c>
    </row>
    <row r="556">
      <c r="A556" s="9" t="inlineStr">
        <is>
          <t>SMBC</t>
        </is>
      </c>
      <c r="B556" s="10">
        <f>IF(A556="","",IFERROR(VLOOKUP(A556,Titres!$A$2:$B$400,2,FALSE),"Ticker inconnu"))</f>
        <v/>
      </c>
      <c r="C556" s="11" t="n">
        <v>2024</v>
      </c>
      <c r="D556" s="11" t="inlineStr">
        <is>
          <t>T3</t>
        </is>
      </c>
      <c r="E556" s="9" t="n"/>
      <c r="F556" s="12" t="n"/>
      <c r="G556" s="9" t="n"/>
      <c r="H556" s="13" t="n"/>
      <c r="I556" s="13" t="n"/>
      <c r="J556" s="13" t="n"/>
      <c r="K556" s="13" t="n"/>
      <c r="L556" s="13" t="n"/>
      <c r="M556" s="13" t="n"/>
      <c r="N556" s="14">
        <f>IF(A556="","",COUNT(H556:M556)/6)</f>
        <v/>
      </c>
      <c r="O556" s="15">
        <f>IF(COUNT(H556:M556)=0,"",IF(LEN(IF(COUNT(I556,J556)=2,IF(J556&gt;I556+1,"EBE &gt; VA ",""),"")&amp;IF(COUNT(H556,M556)=2,IF(ABS(M556)&gt;ABS(H556),"RN &gt; CA ",""),"")&amp;IF(COUNT(H556,K556)=2,IF(ABS(K556)&gt;ABS(H556),"RE &gt; CA ",""),""))=0,"OK",IF(COUNT(I556,J556)=2,IF(J556&gt;I556+1,"EBE &gt; VA ",""),"")&amp;IF(COUNT(H556,M556)=2,IF(ABS(M556)&gt;ABS(H556),"RN &gt; CA ",""),"")&amp;IF(COUNT(H556,K556)=2,IF(ABS(K556)&gt;ABS(H556),"RE &gt; CA ",""),"")))</f>
        <v/>
      </c>
      <c r="P556" s="16">
        <f>IF(OR($A556="",H556="",$C556=""),"",IF(COUNTIFS($A$5:$A$639,$A556,$C$5:$C$639,$C556-1,$D$5:$D$639,$D556,H$5:H$639,"&lt;&gt;")=0,"",IF(OR(SUMIFS(H$5:H$639,$A$5:$A$639,$A556,$C$5:$C$639,$C556-1,$D$5:$D$639,$D556)=0,H556*SUMIFS(H$5:H$639,$A$5:$A$639,$A556,$C$5:$C$639,$C556-1,$D$5:$D$639,$D556)&lt;0),"n.s.",ABS(H556)/ABS(SUMIFS(H$5:H$639,$A$5:$A$639,$A556,$C$5:$C$639,$C556-1,$D$5:$D$639,$D556))-1)))</f>
        <v/>
      </c>
      <c r="Q556" s="16">
        <f>IF(OR($A556="",I556="",$C556=""),"",IF(COUNTIFS($A$5:$A$639,$A556,$C$5:$C$639,$C556-1,$D$5:$D$639,$D556,I$5:I$639,"&lt;&gt;")=0,"",IF(OR(SUMIFS(I$5:I$639,$A$5:$A$639,$A556,$C$5:$C$639,$C556-1,$D$5:$D$639,$D556)=0,I556*SUMIFS(I$5:I$639,$A$5:$A$639,$A556,$C$5:$C$639,$C556-1,$D$5:$D$639,$D556)&lt;0),"n.s.",ABS(I556)/ABS(SUMIFS(I$5:I$639,$A$5:$A$639,$A556,$C$5:$C$639,$C556-1,$D$5:$D$639,$D556))-1)))</f>
        <v/>
      </c>
      <c r="R556" s="16">
        <f>IF(OR($A556="",J556="",$C556=""),"",IF(COUNTIFS($A$5:$A$639,$A556,$C$5:$C$639,$C556-1,$D$5:$D$639,$D556,J$5:J$639,"&lt;&gt;")=0,"",IF(OR(SUMIFS(J$5:J$639,$A$5:$A$639,$A556,$C$5:$C$639,$C556-1,$D$5:$D$639,$D556)=0,J556*SUMIFS(J$5:J$639,$A$5:$A$639,$A556,$C$5:$C$639,$C556-1,$D$5:$D$639,$D556)&lt;0),"n.s.",ABS(J556)/ABS(SUMIFS(J$5:J$639,$A$5:$A$639,$A556,$C$5:$C$639,$C556-1,$D$5:$D$639,$D556))-1)))</f>
        <v/>
      </c>
      <c r="S556" s="16">
        <f>IF(OR($A556="",K556="",$C556=""),"",IF(COUNTIFS($A$5:$A$639,$A556,$C$5:$C$639,$C556-1,$D$5:$D$639,$D556,K$5:K$639,"&lt;&gt;")=0,"",IF(OR(SUMIFS(K$5:K$639,$A$5:$A$639,$A556,$C$5:$C$639,$C556-1,$D$5:$D$639,$D556)=0,K556*SUMIFS(K$5:K$639,$A$5:$A$639,$A556,$C$5:$C$639,$C556-1,$D$5:$D$639,$D556)&lt;0),"n.s.",ABS(K556)/ABS(SUMIFS(K$5:K$639,$A$5:$A$639,$A556,$C$5:$C$639,$C556-1,$D$5:$D$639,$D556))-1)))</f>
        <v/>
      </c>
      <c r="T556" s="16">
        <f>IF(OR($A556="",L556="",$C556=""),"",IF(COUNTIFS($A$5:$A$639,$A556,$C$5:$C$639,$C556-1,$D$5:$D$639,$D556,L$5:L$639,"&lt;&gt;")=0,"",IF(OR(SUMIFS(L$5:L$639,$A$5:$A$639,$A556,$C$5:$C$639,$C556-1,$D$5:$D$639,$D556)=0,L556*SUMIFS(L$5:L$639,$A$5:$A$639,$A556,$C$5:$C$639,$C556-1,$D$5:$D$639,$D556)&lt;0),"n.s.",ABS(L556)/ABS(SUMIFS(L$5:L$639,$A$5:$A$639,$A556,$C$5:$C$639,$C556-1,$D$5:$D$639,$D556))-1)))</f>
        <v/>
      </c>
      <c r="U556" s="16">
        <f>IF(OR($A556="",M556="",$C556=""),"",IF(COUNTIFS($A$5:$A$639,$A556,$C$5:$C$639,$C556-1,$D$5:$D$639,$D556,M$5:M$639,"&lt;&gt;")=0,"",IF(OR(SUMIFS(M$5:M$639,$A$5:$A$639,$A556,$C$5:$C$639,$C556-1,$D$5:$D$639,$D556)=0,M556*SUMIFS(M$5:M$639,$A$5:$A$639,$A556,$C$5:$C$639,$C556-1,$D$5:$D$639,$D556)&lt;0),"n.s.",ABS(M556)/ABS(SUMIFS(M$5:M$639,$A$5:$A$639,$A556,$C$5:$C$639,$C556-1,$D$5:$D$639,$D556))-1)))</f>
        <v/>
      </c>
    </row>
    <row r="557">
      <c r="A557" s="9" t="inlineStr">
        <is>
          <t>SMBC</t>
        </is>
      </c>
      <c r="B557" s="10">
        <f>IF(A557="","",IFERROR(VLOOKUP(A557,Titres!$A$2:$B$400,2,FALSE),"Ticker inconnu"))</f>
        <v/>
      </c>
      <c r="C557" s="11" t="n">
        <v>2025</v>
      </c>
      <c r="D557" s="11" t="inlineStr">
        <is>
          <t>T1</t>
        </is>
      </c>
      <c r="E557" s="9" t="inlineStr">
        <is>
          <t>Publié</t>
        </is>
      </c>
      <c r="F557" s="12" t="n">
        <v>46142</v>
      </c>
      <c r="G557" s="9" t="inlineStr">
        <is>
          <t>https://www.richbourse.com/common/actualite/afficher-fichier/30-04-2026-smb-ci-rapport-dactivites-1er-trimestre-2026 (comparatif N-1)</t>
        </is>
      </c>
      <c r="H557" s="13" t="n">
        <v>54777</v>
      </c>
      <c r="I557" s="13" t="n"/>
      <c r="J557" s="13" t="n"/>
      <c r="K557" s="13" t="n"/>
      <c r="L557" s="13" t="n"/>
      <c r="M557" s="13" t="n">
        <v>2715</v>
      </c>
      <c r="N557" s="14">
        <f>IF(A557="","",COUNT(H557:M557)/6)</f>
        <v/>
      </c>
      <c r="O557" s="15">
        <f>IF(COUNT(H557:M557)=0,"",IF(LEN(IF(COUNT(I557,J557)=2,IF(J557&gt;I557+1,"EBE &gt; VA ",""),"")&amp;IF(COUNT(H557,M557)=2,IF(ABS(M557)&gt;ABS(H557),"RN &gt; CA ",""),"")&amp;IF(COUNT(H557,K557)=2,IF(ABS(K557)&gt;ABS(H557),"RE &gt; CA ",""),""))=0,"OK",IF(COUNT(I557,J557)=2,IF(J557&gt;I557+1,"EBE &gt; VA ",""),"")&amp;IF(COUNT(H557,M557)=2,IF(ABS(M557)&gt;ABS(H557),"RN &gt; CA ",""),"")&amp;IF(COUNT(H557,K557)=2,IF(ABS(K557)&gt;ABS(H557),"RE &gt; CA ",""),"")))</f>
        <v/>
      </c>
      <c r="P557" s="16">
        <f>IF(OR($A557="",H557="",$C557=""),"",IF(COUNTIFS($A$5:$A$639,$A557,$C$5:$C$639,$C557-1,$D$5:$D$639,$D557,H$5:H$639,"&lt;&gt;")=0,"",IF(OR(SUMIFS(H$5:H$639,$A$5:$A$639,$A557,$C$5:$C$639,$C557-1,$D$5:$D$639,$D557)=0,H557*SUMIFS(H$5:H$639,$A$5:$A$639,$A557,$C$5:$C$639,$C557-1,$D$5:$D$639,$D557)&lt;0),"n.s.",ABS(H557)/ABS(SUMIFS(H$5:H$639,$A$5:$A$639,$A557,$C$5:$C$639,$C557-1,$D$5:$D$639,$D557))-1)))</f>
        <v/>
      </c>
      <c r="Q557" s="16">
        <f>IF(OR($A557="",I557="",$C557=""),"",IF(COUNTIFS($A$5:$A$639,$A557,$C$5:$C$639,$C557-1,$D$5:$D$639,$D557,I$5:I$639,"&lt;&gt;")=0,"",IF(OR(SUMIFS(I$5:I$639,$A$5:$A$639,$A557,$C$5:$C$639,$C557-1,$D$5:$D$639,$D557)=0,I557*SUMIFS(I$5:I$639,$A$5:$A$639,$A557,$C$5:$C$639,$C557-1,$D$5:$D$639,$D557)&lt;0),"n.s.",ABS(I557)/ABS(SUMIFS(I$5:I$639,$A$5:$A$639,$A557,$C$5:$C$639,$C557-1,$D$5:$D$639,$D557))-1)))</f>
        <v/>
      </c>
      <c r="R557" s="16">
        <f>IF(OR($A557="",J557="",$C557=""),"",IF(COUNTIFS($A$5:$A$639,$A557,$C$5:$C$639,$C557-1,$D$5:$D$639,$D557,J$5:J$639,"&lt;&gt;")=0,"",IF(OR(SUMIFS(J$5:J$639,$A$5:$A$639,$A557,$C$5:$C$639,$C557-1,$D$5:$D$639,$D557)=0,J557*SUMIFS(J$5:J$639,$A$5:$A$639,$A557,$C$5:$C$639,$C557-1,$D$5:$D$639,$D557)&lt;0),"n.s.",ABS(J557)/ABS(SUMIFS(J$5:J$639,$A$5:$A$639,$A557,$C$5:$C$639,$C557-1,$D$5:$D$639,$D557))-1)))</f>
        <v/>
      </c>
      <c r="S557" s="16">
        <f>IF(OR($A557="",K557="",$C557=""),"",IF(COUNTIFS($A$5:$A$639,$A557,$C$5:$C$639,$C557-1,$D$5:$D$639,$D557,K$5:K$639,"&lt;&gt;")=0,"",IF(OR(SUMIFS(K$5:K$639,$A$5:$A$639,$A557,$C$5:$C$639,$C557-1,$D$5:$D$639,$D557)=0,K557*SUMIFS(K$5:K$639,$A$5:$A$639,$A557,$C$5:$C$639,$C557-1,$D$5:$D$639,$D557)&lt;0),"n.s.",ABS(K557)/ABS(SUMIFS(K$5:K$639,$A$5:$A$639,$A557,$C$5:$C$639,$C557-1,$D$5:$D$639,$D557))-1)))</f>
        <v/>
      </c>
      <c r="T557" s="16">
        <f>IF(OR($A557="",L557="",$C557=""),"",IF(COUNTIFS($A$5:$A$639,$A557,$C$5:$C$639,$C557-1,$D$5:$D$639,$D557,L$5:L$639,"&lt;&gt;")=0,"",IF(OR(SUMIFS(L$5:L$639,$A$5:$A$639,$A557,$C$5:$C$639,$C557-1,$D$5:$D$639,$D557)=0,L557*SUMIFS(L$5:L$639,$A$5:$A$639,$A557,$C$5:$C$639,$C557-1,$D$5:$D$639,$D557)&lt;0),"n.s.",ABS(L557)/ABS(SUMIFS(L$5:L$639,$A$5:$A$639,$A557,$C$5:$C$639,$C557-1,$D$5:$D$639,$D557))-1)))</f>
        <v/>
      </c>
      <c r="U557" s="16">
        <f>IF(OR($A557="",M557="",$C557=""),"",IF(COUNTIFS($A$5:$A$639,$A557,$C$5:$C$639,$C557-1,$D$5:$D$639,$D557,M$5:M$639,"&lt;&gt;")=0,"",IF(OR(SUMIFS(M$5:M$639,$A$5:$A$639,$A557,$C$5:$C$639,$C557-1,$D$5:$D$639,$D557)=0,M557*SUMIFS(M$5:M$639,$A$5:$A$639,$A557,$C$5:$C$639,$C557-1,$D$5:$D$639,$D557)&lt;0),"n.s.",ABS(M557)/ABS(SUMIFS(M$5:M$639,$A$5:$A$639,$A557,$C$5:$C$639,$C557-1,$D$5:$D$639,$D557))-1)))</f>
        <v/>
      </c>
    </row>
    <row r="558">
      <c r="A558" s="9" t="inlineStr">
        <is>
          <t>SMBC</t>
        </is>
      </c>
      <c r="B558" s="10">
        <f>IF(A558="","",IFERROR(VLOOKUP(A558,Titres!$A$2:$B$400,2,FALSE),"Ticker inconnu"))</f>
        <v/>
      </c>
      <c r="C558" s="11" t="n">
        <v>2025</v>
      </c>
      <c r="D558" s="11" t="inlineStr">
        <is>
          <t>S1</t>
        </is>
      </c>
      <c r="E558" s="9" t="n"/>
      <c r="F558" s="12" t="n"/>
      <c r="G558" s="9" t="n"/>
      <c r="H558" s="13" t="n"/>
      <c r="I558" s="13" t="n"/>
      <c r="J558" s="13" t="n"/>
      <c r="K558" s="13" t="n"/>
      <c r="L558" s="13" t="n"/>
      <c r="M558" s="13" t="n"/>
      <c r="N558" s="14">
        <f>IF(A558="","",COUNT(H558:M558)/6)</f>
        <v/>
      </c>
      <c r="O558" s="15">
        <f>IF(COUNT(H558:M558)=0,"",IF(LEN(IF(COUNT(I558,J558)=2,IF(J558&gt;I558+1,"EBE &gt; VA ",""),"")&amp;IF(COUNT(H558,M558)=2,IF(ABS(M558)&gt;ABS(H558),"RN &gt; CA ",""),"")&amp;IF(COUNT(H558,K558)=2,IF(ABS(K558)&gt;ABS(H558),"RE &gt; CA ",""),""))=0,"OK",IF(COUNT(I558,J558)=2,IF(J558&gt;I558+1,"EBE &gt; VA ",""),"")&amp;IF(COUNT(H558,M558)=2,IF(ABS(M558)&gt;ABS(H558),"RN &gt; CA ",""),"")&amp;IF(COUNT(H558,K558)=2,IF(ABS(K558)&gt;ABS(H558),"RE &gt; CA ",""),"")))</f>
        <v/>
      </c>
      <c r="P558" s="16">
        <f>IF(OR($A558="",H558="",$C558=""),"",IF(COUNTIFS($A$5:$A$639,$A558,$C$5:$C$639,$C558-1,$D$5:$D$639,$D558,H$5:H$639,"&lt;&gt;")=0,"",IF(OR(SUMIFS(H$5:H$639,$A$5:$A$639,$A558,$C$5:$C$639,$C558-1,$D$5:$D$639,$D558)=0,H558*SUMIFS(H$5:H$639,$A$5:$A$639,$A558,$C$5:$C$639,$C558-1,$D$5:$D$639,$D558)&lt;0),"n.s.",ABS(H558)/ABS(SUMIFS(H$5:H$639,$A$5:$A$639,$A558,$C$5:$C$639,$C558-1,$D$5:$D$639,$D558))-1)))</f>
        <v/>
      </c>
      <c r="Q558" s="16">
        <f>IF(OR($A558="",I558="",$C558=""),"",IF(COUNTIFS($A$5:$A$639,$A558,$C$5:$C$639,$C558-1,$D$5:$D$639,$D558,I$5:I$639,"&lt;&gt;")=0,"",IF(OR(SUMIFS(I$5:I$639,$A$5:$A$639,$A558,$C$5:$C$639,$C558-1,$D$5:$D$639,$D558)=0,I558*SUMIFS(I$5:I$639,$A$5:$A$639,$A558,$C$5:$C$639,$C558-1,$D$5:$D$639,$D558)&lt;0),"n.s.",ABS(I558)/ABS(SUMIFS(I$5:I$639,$A$5:$A$639,$A558,$C$5:$C$639,$C558-1,$D$5:$D$639,$D558))-1)))</f>
        <v/>
      </c>
      <c r="R558" s="16">
        <f>IF(OR($A558="",J558="",$C558=""),"",IF(COUNTIFS($A$5:$A$639,$A558,$C$5:$C$639,$C558-1,$D$5:$D$639,$D558,J$5:J$639,"&lt;&gt;")=0,"",IF(OR(SUMIFS(J$5:J$639,$A$5:$A$639,$A558,$C$5:$C$639,$C558-1,$D$5:$D$639,$D558)=0,J558*SUMIFS(J$5:J$639,$A$5:$A$639,$A558,$C$5:$C$639,$C558-1,$D$5:$D$639,$D558)&lt;0),"n.s.",ABS(J558)/ABS(SUMIFS(J$5:J$639,$A$5:$A$639,$A558,$C$5:$C$639,$C558-1,$D$5:$D$639,$D558))-1)))</f>
        <v/>
      </c>
      <c r="S558" s="16">
        <f>IF(OR($A558="",K558="",$C558=""),"",IF(COUNTIFS($A$5:$A$639,$A558,$C$5:$C$639,$C558-1,$D$5:$D$639,$D558,K$5:K$639,"&lt;&gt;")=0,"",IF(OR(SUMIFS(K$5:K$639,$A$5:$A$639,$A558,$C$5:$C$639,$C558-1,$D$5:$D$639,$D558)=0,K558*SUMIFS(K$5:K$639,$A$5:$A$639,$A558,$C$5:$C$639,$C558-1,$D$5:$D$639,$D558)&lt;0),"n.s.",ABS(K558)/ABS(SUMIFS(K$5:K$639,$A$5:$A$639,$A558,$C$5:$C$639,$C558-1,$D$5:$D$639,$D558))-1)))</f>
        <v/>
      </c>
      <c r="T558" s="16">
        <f>IF(OR($A558="",L558="",$C558=""),"",IF(COUNTIFS($A$5:$A$639,$A558,$C$5:$C$639,$C558-1,$D$5:$D$639,$D558,L$5:L$639,"&lt;&gt;")=0,"",IF(OR(SUMIFS(L$5:L$639,$A$5:$A$639,$A558,$C$5:$C$639,$C558-1,$D$5:$D$639,$D558)=0,L558*SUMIFS(L$5:L$639,$A$5:$A$639,$A558,$C$5:$C$639,$C558-1,$D$5:$D$639,$D558)&lt;0),"n.s.",ABS(L558)/ABS(SUMIFS(L$5:L$639,$A$5:$A$639,$A558,$C$5:$C$639,$C558-1,$D$5:$D$639,$D558))-1)))</f>
        <v/>
      </c>
      <c r="U558" s="16">
        <f>IF(OR($A558="",M558="",$C558=""),"",IF(COUNTIFS($A$5:$A$639,$A558,$C$5:$C$639,$C558-1,$D$5:$D$639,$D558,M$5:M$639,"&lt;&gt;")=0,"",IF(OR(SUMIFS(M$5:M$639,$A$5:$A$639,$A558,$C$5:$C$639,$C558-1,$D$5:$D$639,$D558)=0,M558*SUMIFS(M$5:M$639,$A$5:$A$639,$A558,$C$5:$C$639,$C558-1,$D$5:$D$639,$D558)&lt;0),"n.s.",ABS(M558)/ABS(SUMIFS(M$5:M$639,$A$5:$A$639,$A558,$C$5:$C$639,$C558-1,$D$5:$D$639,$D558))-1)))</f>
        <v/>
      </c>
    </row>
    <row r="559">
      <c r="A559" s="9" t="inlineStr">
        <is>
          <t>SMBC</t>
        </is>
      </c>
      <c r="B559" s="10">
        <f>IF(A559="","",IFERROR(VLOOKUP(A559,Titres!$A$2:$B$400,2,FALSE),"Ticker inconnu"))</f>
        <v/>
      </c>
      <c r="C559" s="11" t="n">
        <v>2025</v>
      </c>
      <c r="D559" s="11" t="inlineStr">
        <is>
          <t>T3</t>
        </is>
      </c>
      <c r="E559" s="9" t="n"/>
      <c r="F559" s="12" t="n"/>
      <c r="G559" s="9" t="n"/>
      <c r="H559" s="13" t="n"/>
      <c r="I559" s="13" t="n"/>
      <c r="J559" s="13" t="n"/>
      <c r="K559" s="13" t="n"/>
      <c r="L559" s="13" t="n"/>
      <c r="M559" s="13" t="n"/>
      <c r="N559" s="14">
        <f>IF(A559="","",COUNT(H559:M559)/6)</f>
        <v/>
      </c>
      <c r="O559" s="15">
        <f>IF(COUNT(H559:M559)=0,"",IF(LEN(IF(COUNT(I559,J559)=2,IF(J559&gt;I559+1,"EBE &gt; VA ",""),"")&amp;IF(COUNT(H559,M559)=2,IF(ABS(M559)&gt;ABS(H559),"RN &gt; CA ",""),"")&amp;IF(COUNT(H559,K559)=2,IF(ABS(K559)&gt;ABS(H559),"RE &gt; CA ",""),""))=0,"OK",IF(COUNT(I559,J559)=2,IF(J559&gt;I559+1,"EBE &gt; VA ",""),"")&amp;IF(COUNT(H559,M559)=2,IF(ABS(M559)&gt;ABS(H559),"RN &gt; CA ",""),"")&amp;IF(COUNT(H559,K559)=2,IF(ABS(K559)&gt;ABS(H559),"RE &gt; CA ",""),"")))</f>
        <v/>
      </c>
      <c r="P559" s="16">
        <f>IF(OR($A559="",H559="",$C559=""),"",IF(COUNTIFS($A$5:$A$639,$A559,$C$5:$C$639,$C559-1,$D$5:$D$639,$D559,H$5:H$639,"&lt;&gt;")=0,"",IF(OR(SUMIFS(H$5:H$639,$A$5:$A$639,$A559,$C$5:$C$639,$C559-1,$D$5:$D$639,$D559)=0,H559*SUMIFS(H$5:H$639,$A$5:$A$639,$A559,$C$5:$C$639,$C559-1,$D$5:$D$639,$D559)&lt;0),"n.s.",ABS(H559)/ABS(SUMIFS(H$5:H$639,$A$5:$A$639,$A559,$C$5:$C$639,$C559-1,$D$5:$D$639,$D559))-1)))</f>
        <v/>
      </c>
      <c r="Q559" s="16">
        <f>IF(OR($A559="",I559="",$C559=""),"",IF(COUNTIFS($A$5:$A$639,$A559,$C$5:$C$639,$C559-1,$D$5:$D$639,$D559,I$5:I$639,"&lt;&gt;")=0,"",IF(OR(SUMIFS(I$5:I$639,$A$5:$A$639,$A559,$C$5:$C$639,$C559-1,$D$5:$D$639,$D559)=0,I559*SUMIFS(I$5:I$639,$A$5:$A$639,$A559,$C$5:$C$639,$C559-1,$D$5:$D$639,$D559)&lt;0),"n.s.",ABS(I559)/ABS(SUMIFS(I$5:I$639,$A$5:$A$639,$A559,$C$5:$C$639,$C559-1,$D$5:$D$639,$D559))-1)))</f>
        <v/>
      </c>
      <c r="R559" s="16">
        <f>IF(OR($A559="",J559="",$C559=""),"",IF(COUNTIFS($A$5:$A$639,$A559,$C$5:$C$639,$C559-1,$D$5:$D$639,$D559,J$5:J$639,"&lt;&gt;")=0,"",IF(OR(SUMIFS(J$5:J$639,$A$5:$A$639,$A559,$C$5:$C$639,$C559-1,$D$5:$D$639,$D559)=0,J559*SUMIFS(J$5:J$639,$A$5:$A$639,$A559,$C$5:$C$639,$C559-1,$D$5:$D$639,$D559)&lt;0),"n.s.",ABS(J559)/ABS(SUMIFS(J$5:J$639,$A$5:$A$639,$A559,$C$5:$C$639,$C559-1,$D$5:$D$639,$D559))-1)))</f>
        <v/>
      </c>
      <c r="S559" s="16">
        <f>IF(OR($A559="",K559="",$C559=""),"",IF(COUNTIFS($A$5:$A$639,$A559,$C$5:$C$639,$C559-1,$D$5:$D$639,$D559,K$5:K$639,"&lt;&gt;")=0,"",IF(OR(SUMIFS(K$5:K$639,$A$5:$A$639,$A559,$C$5:$C$639,$C559-1,$D$5:$D$639,$D559)=0,K559*SUMIFS(K$5:K$639,$A$5:$A$639,$A559,$C$5:$C$639,$C559-1,$D$5:$D$639,$D559)&lt;0),"n.s.",ABS(K559)/ABS(SUMIFS(K$5:K$639,$A$5:$A$639,$A559,$C$5:$C$639,$C559-1,$D$5:$D$639,$D559))-1)))</f>
        <v/>
      </c>
      <c r="T559" s="16">
        <f>IF(OR($A559="",L559="",$C559=""),"",IF(COUNTIFS($A$5:$A$639,$A559,$C$5:$C$639,$C559-1,$D$5:$D$639,$D559,L$5:L$639,"&lt;&gt;")=0,"",IF(OR(SUMIFS(L$5:L$639,$A$5:$A$639,$A559,$C$5:$C$639,$C559-1,$D$5:$D$639,$D559)=0,L559*SUMIFS(L$5:L$639,$A$5:$A$639,$A559,$C$5:$C$639,$C559-1,$D$5:$D$639,$D559)&lt;0),"n.s.",ABS(L559)/ABS(SUMIFS(L$5:L$639,$A$5:$A$639,$A559,$C$5:$C$639,$C559-1,$D$5:$D$639,$D559))-1)))</f>
        <v/>
      </c>
      <c r="U559" s="16">
        <f>IF(OR($A559="",M559="",$C559=""),"",IF(COUNTIFS($A$5:$A$639,$A559,$C$5:$C$639,$C559-1,$D$5:$D$639,$D559,M$5:M$639,"&lt;&gt;")=0,"",IF(OR(SUMIFS(M$5:M$639,$A$5:$A$639,$A559,$C$5:$C$639,$C559-1,$D$5:$D$639,$D559)=0,M559*SUMIFS(M$5:M$639,$A$5:$A$639,$A559,$C$5:$C$639,$C559-1,$D$5:$D$639,$D559)&lt;0),"n.s.",ABS(M559)/ABS(SUMIFS(M$5:M$639,$A$5:$A$639,$A559,$C$5:$C$639,$C559-1,$D$5:$D$639,$D559))-1)))</f>
        <v/>
      </c>
    </row>
    <row r="560">
      <c r="A560" s="9" t="inlineStr">
        <is>
          <t>SMBC</t>
        </is>
      </c>
      <c r="B560" s="10">
        <f>IF(A560="","",IFERROR(VLOOKUP(A560,Titres!$A$2:$B$400,2,FALSE),"Ticker inconnu"))</f>
        <v/>
      </c>
      <c r="C560" s="11" t="n">
        <v>2026</v>
      </c>
      <c r="D560" s="11" t="inlineStr">
        <is>
          <t>T1</t>
        </is>
      </c>
      <c r="E560" s="9" t="inlineStr">
        <is>
          <t>Publié</t>
        </is>
      </c>
      <c r="F560" s="12" t="n">
        <v>46142</v>
      </c>
      <c r="G560" s="9" t="inlineStr">
        <is>
          <t>https://www.richbourse.com/common/actualite/afficher-fichier/30-04-2026-smb-ci-rapport-dactivites-1er-trimestre-2026</t>
        </is>
      </c>
      <c r="H560" s="13" t="n">
        <v>31143</v>
      </c>
      <c r="I560" s="13" t="n"/>
      <c r="J560" s="13" t="n"/>
      <c r="K560" s="13" t="n"/>
      <c r="L560" s="13" t="n">
        <v>1983</v>
      </c>
      <c r="M560" s="13" t="n">
        <v>1487</v>
      </c>
      <c r="N560" s="14">
        <f>IF(A560="","",COUNT(H560:M560)/6)</f>
        <v/>
      </c>
      <c r="O560" s="15">
        <f>IF(COUNT(H560:M560)=0,"",IF(LEN(IF(COUNT(I560,J560)=2,IF(J560&gt;I560+1,"EBE &gt; VA ",""),"")&amp;IF(COUNT(H560,M560)=2,IF(ABS(M560)&gt;ABS(H560),"RN &gt; CA ",""),"")&amp;IF(COUNT(H560,K560)=2,IF(ABS(K560)&gt;ABS(H560),"RE &gt; CA ",""),""))=0,"OK",IF(COUNT(I560,J560)=2,IF(J560&gt;I560+1,"EBE &gt; VA ",""),"")&amp;IF(COUNT(H560,M560)=2,IF(ABS(M560)&gt;ABS(H560),"RN &gt; CA ",""),"")&amp;IF(COUNT(H560,K560)=2,IF(ABS(K560)&gt;ABS(H560),"RE &gt; CA ",""),"")))</f>
        <v/>
      </c>
      <c r="P560" s="16">
        <f>IF(OR($A560="",H560="",$C560=""),"",IF(COUNTIFS($A$5:$A$639,$A560,$C$5:$C$639,$C560-1,$D$5:$D$639,$D560,H$5:H$639,"&lt;&gt;")=0,"",IF(OR(SUMIFS(H$5:H$639,$A$5:$A$639,$A560,$C$5:$C$639,$C560-1,$D$5:$D$639,$D560)=0,H560*SUMIFS(H$5:H$639,$A$5:$A$639,$A560,$C$5:$C$639,$C560-1,$D$5:$D$639,$D560)&lt;0),"n.s.",ABS(H560)/ABS(SUMIFS(H$5:H$639,$A$5:$A$639,$A560,$C$5:$C$639,$C560-1,$D$5:$D$639,$D560))-1)))</f>
        <v/>
      </c>
      <c r="Q560" s="16">
        <f>IF(OR($A560="",I560="",$C560=""),"",IF(COUNTIFS($A$5:$A$639,$A560,$C$5:$C$639,$C560-1,$D$5:$D$639,$D560,I$5:I$639,"&lt;&gt;")=0,"",IF(OR(SUMIFS(I$5:I$639,$A$5:$A$639,$A560,$C$5:$C$639,$C560-1,$D$5:$D$639,$D560)=0,I560*SUMIFS(I$5:I$639,$A$5:$A$639,$A560,$C$5:$C$639,$C560-1,$D$5:$D$639,$D560)&lt;0),"n.s.",ABS(I560)/ABS(SUMIFS(I$5:I$639,$A$5:$A$639,$A560,$C$5:$C$639,$C560-1,$D$5:$D$639,$D560))-1)))</f>
        <v/>
      </c>
      <c r="R560" s="16">
        <f>IF(OR($A560="",J560="",$C560=""),"",IF(COUNTIFS($A$5:$A$639,$A560,$C$5:$C$639,$C560-1,$D$5:$D$639,$D560,J$5:J$639,"&lt;&gt;")=0,"",IF(OR(SUMIFS(J$5:J$639,$A$5:$A$639,$A560,$C$5:$C$639,$C560-1,$D$5:$D$639,$D560)=0,J560*SUMIFS(J$5:J$639,$A$5:$A$639,$A560,$C$5:$C$639,$C560-1,$D$5:$D$639,$D560)&lt;0),"n.s.",ABS(J560)/ABS(SUMIFS(J$5:J$639,$A$5:$A$639,$A560,$C$5:$C$639,$C560-1,$D$5:$D$639,$D560))-1)))</f>
        <v/>
      </c>
      <c r="S560" s="16">
        <f>IF(OR($A560="",K560="",$C560=""),"",IF(COUNTIFS($A$5:$A$639,$A560,$C$5:$C$639,$C560-1,$D$5:$D$639,$D560,K$5:K$639,"&lt;&gt;")=0,"",IF(OR(SUMIFS(K$5:K$639,$A$5:$A$639,$A560,$C$5:$C$639,$C560-1,$D$5:$D$639,$D560)=0,K560*SUMIFS(K$5:K$639,$A$5:$A$639,$A560,$C$5:$C$639,$C560-1,$D$5:$D$639,$D560)&lt;0),"n.s.",ABS(K560)/ABS(SUMIFS(K$5:K$639,$A$5:$A$639,$A560,$C$5:$C$639,$C560-1,$D$5:$D$639,$D560))-1)))</f>
        <v/>
      </c>
      <c r="T560" s="16">
        <f>IF(OR($A560="",L560="",$C560=""),"",IF(COUNTIFS($A$5:$A$639,$A560,$C$5:$C$639,$C560-1,$D$5:$D$639,$D560,L$5:L$639,"&lt;&gt;")=0,"",IF(OR(SUMIFS(L$5:L$639,$A$5:$A$639,$A560,$C$5:$C$639,$C560-1,$D$5:$D$639,$D560)=0,L560*SUMIFS(L$5:L$639,$A$5:$A$639,$A560,$C$5:$C$639,$C560-1,$D$5:$D$639,$D560)&lt;0),"n.s.",ABS(L560)/ABS(SUMIFS(L$5:L$639,$A$5:$A$639,$A560,$C$5:$C$639,$C560-1,$D$5:$D$639,$D560))-1)))</f>
        <v/>
      </c>
      <c r="U560" s="16">
        <f>IF(OR($A560="",M560="",$C560=""),"",IF(COUNTIFS($A$5:$A$639,$A560,$C$5:$C$639,$C560-1,$D$5:$D$639,$D560,M$5:M$639,"&lt;&gt;")=0,"",IF(OR(SUMIFS(M$5:M$639,$A$5:$A$639,$A560,$C$5:$C$639,$C560-1,$D$5:$D$639,$D560)=0,M560*SUMIFS(M$5:M$639,$A$5:$A$639,$A560,$C$5:$C$639,$C560-1,$D$5:$D$639,$D560)&lt;0),"n.s.",ABS(M560)/ABS(SUMIFS(M$5:M$639,$A$5:$A$639,$A560,$C$5:$C$639,$C560-1,$D$5:$D$639,$D560))-1)))</f>
        <v/>
      </c>
    </row>
    <row r="561">
      <c r="A561" s="9" t="inlineStr">
        <is>
          <t>SMBC</t>
        </is>
      </c>
      <c r="B561" s="10">
        <f>IF(A561="","",IFERROR(VLOOKUP(A561,Titres!$A$2:$B$400,2,FALSE),"Ticker inconnu"))</f>
        <v/>
      </c>
      <c r="C561" s="11" t="n">
        <v>2026</v>
      </c>
      <c r="D561" s="11" t="inlineStr">
        <is>
          <t>S1</t>
        </is>
      </c>
      <c r="E561" s="9" t="n"/>
      <c r="F561" s="12" t="n"/>
      <c r="G561" s="9" t="n"/>
      <c r="H561" s="13" t="n"/>
      <c r="I561" s="13" t="n"/>
      <c r="J561" s="13" t="n"/>
      <c r="K561" s="13" t="n"/>
      <c r="L561" s="13" t="n"/>
      <c r="M561" s="13" t="n"/>
      <c r="N561" s="14">
        <f>IF(A561="","",COUNT(H561:M561)/6)</f>
        <v/>
      </c>
      <c r="O561" s="15">
        <f>IF(COUNT(H561:M561)=0,"",IF(LEN(IF(COUNT(I561,J561)=2,IF(J561&gt;I561+1,"EBE &gt; VA ",""),"")&amp;IF(COUNT(H561,M561)=2,IF(ABS(M561)&gt;ABS(H561),"RN &gt; CA ",""),"")&amp;IF(COUNT(H561,K561)=2,IF(ABS(K561)&gt;ABS(H561),"RE &gt; CA ",""),""))=0,"OK",IF(COUNT(I561,J561)=2,IF(J561&gt;I561+1,"EBE &gt; VA ",""),"")&amp;IF(COUNT(H561,M561)=2,IF(ABS(M561)&gt;ABS(H561),"RN &gt; CA ",""),"")&amp;IF(COUNT(H561,K561)=2,IF(ABS(K561)&gt;ABS(H561),"RE &gt; CA ",""),"")))</f>
        <v/>
      </c>
      <c r="P561" s="16">
        <f>IF(OR($A561="",H561="",$C561=""),"",IF(COUNTIFS($A$5:$A$639,$A561,$C$5:$C$639,$C561-1,$D$5:$D$639,$D561,H$5:H$639,"&lt;&gt;")=0,"",IF(OR(SUMIFS(H$5:H$639,$A$5:$A$639,$A561,$C$5:$C$639,$C561-1,$D$5:$D$639,$D561)=0,H561*SUMIFS(H$5:H$639,$A$5:$A$639,$A561,$C$5:$C$639,$C561-1,$D$5:$D$639,$D561)&lt;0),"n.s.",ABS(H561)/ABS(SUMIFS(H$5:H$639,$A$5:$A$639,$A561,$C$5:$C$639,$C561-1,$D$5:$D$639,$D561))-1)))</f>
        <v/>
      </c>
      <c r="Q561" s="16">
        <f>IF(OR($A561="",I561="",$C561=""),"",IF(COUNTIFS($A$5:$A$639,$A561,$C$5:$C$639,$C561-1,$D$5:$D$639,$D561,I$5:I$639,"&lt;&gt;")=0,"",IF(OR(SUMIFS(I$5:I$639,$A$5:$A$639,$A561,$C$5:$C$639,$C561-1,$D$5:$D$639,$D561)=0,I561*SUMIFS(I$5:I$639,$A$5:$A$639,$A561,$C$5:$C$639,$C561-1,$D$5:$D$639,$D561)&lt;0),"n.s.",ABS(I561)/ABS(SUMIFS(I$5:I$639,$A$5:$A$639,$A561,$C$5:$C$639,$C561-1,$D$5:$D$639,$D561))-1)))</f>
        <v/>
      </c>
      <c r="R561" s="16">
        <f>IF(OR($A561="",J561="",$C561=""),"",IF(COUNTIFS($A$5:$A$639,$A561,$C$5:$C$639,$C561-1,$D$5:$D$639,$D561,J$5:J$639,"&lt;&gt;")=0,"",IF(OR(SUMIFS(J$5:J$639,$A$5:$A$639,$A561,$C$5:$C$639,$C561-1,$D$5:$D$639,$D561)=0,J561*SUMIFS(J$5:J$639,$A$5:$A$639,$A561,$C$5:$C$639,$C561-1,$D$5:$D$639,$D561)&lt;0),"n.s.",ABS(J561)/ABS(SUMIFS(J$5:J$639,$A$5:$A$639,$A561,$C$5:$C$639,$C561-1,$D$5:$D$639,$D561))-1)))</f>
        <v/>
      </c>
      <c r="S561" s="16">
        <f>IF(OR($A561="",K561="",$C561=""),"",IF(COUNTIFS($A$5:$A$639,$A561,$C$5:$C$639,$C561-1,$D$5:$D$639,$D561,K$5:K$639,"&lt;&gt;")=0,"",IF(OR(SUMIFS(K$5:K$639,$A$5:$A$639,$A561,$C$5:$C$639,$C561-1,$D$5:$D$639,$D561)=0,K561*SUMIFS(K$5:K$639,$A$5:$A$639,$A561,$C$5:$C$639,$C561-1,$D$5:$D$639,$D561)&lt;0),"n.s.",ABS(K561)/ABS(SUMIFS(K$5:K$639,$A$5:$A$639,$A561,$C$5:$C$639,$C561-1,$D$5:$D$639,$D561))-1)))</f>
        <v/>
      </c>
      <c r="T561" s="16">
        <f>IF(OR($A561="",L561="",$C561=""),"",IF(COUNTIFS($A$5:$A$639,$A561,$C$5:$C$639,$C561-1,$D$5:$D$639,$D561,L$5:L$639,"&lt;&gt;")=0,"",IF(OR(SUMIFS(L$5:L$639,$A$5:$A$639,$A561,$C$5:$C$639,$C561-1,$D$5:$D$639,$D561)=0,L561*SUMIFS(L$5:L$639,$A$5:$A$639,$A561,$C$5:$C$639,$C561-1,$D$5:$D$639,$D561)&lt;0),"n.s.",ABS(L561)/ABS(SUMIFS(L$5:L$639,$A$5:$A$639,$A561,$C$5:$C$639,$C561-1,$D$5:$D$639,$D561))-1)))</f>
        <v/>
      </c>
      <c r="U561" s="16">
        <f>IF(OR($A561="",M561="",$C561=""),"",IF(COUNTIFS($A$5:$A$639,$A561,$C$5:$C$639,$C561-1,$D$5:$D$639,$D561,M$5:M$639,"&lt;&gt;")=0,"",IF(OR(SUMIFS(M$5:M$639,$A$5:$A$639,$A561,$C$5:$C$639,$C561-1,$D$5:$D$639,$D561)=0,M561*SUMIFS(M$5:M$639,$A$5:$A$639,$A561,$C$5:$C$639,$C561-1,$D$5:$D$639,$D561)&lt;0),"n.s.",ABS(M561)/ABS(SUMIFS(M$5:M$639,$A$5:$A$639,$A561,$C$5:$C$639,$C561-1,$D$5:$D$639,$D561))-1)))</f>
        <v/>
      </c>
    </row>
    <row r="562">
      <c r="A562" s="9" t="inlineStr">
        <is>
          <t>SMBC</t>
        </is>
      </c>
      <c r="B562" s="10">
        <f>IF(A562="","",IFERROR(VLOOKUP(A562,Titres!$A$2:$B$400,2,FALSE),"Ticker inconnu"))</f>
        <v/>
      </c>
      <c r="C562" s="11" t="n">
        <v>2026</v>
      </c>
      <c r="D562" s="11" t="inlineStr">
        <is>
          <t>T3</t>
        </is>
      </c>
      <c r="E562" s="9" t="n"/>
      <c r="F562" s="12" t="n"/>
      <c r="G562" s="9" t="n"/>
      <c r="H562" s="13" t="n"/>
      <c r="I562" s="13" t="n"/>
      <c r="J562" s="13" t="n"/>
      <c r="K562" s="13" t="n"/>
      <c r="L562" s="13" t="n"/>
      <c r="M562" s="13" t="n"/>
      <c r="N562" s="14">
        <f>IF(A562="","",COUNT(H562:M562)/6)</f>
        <v/>
      </c>
      <c r="O562" s="15">
        <f>IF(COUNT(H562:M562)=0,"",IF(LEN(IF(COUNT(I562,J562)=2,IF(J562&gt;I562+1,"EBE &gt; VA ",""),"")&amp;IF(COUNT(H562,M562)=2,IF(ABS(M562)&gt;ABS(H562),"RN &gt; CA ",""),"")&amp;IF(COUNT(H562,K562)=2,IF(ABS(K562)&gt;ABS(H562),"RE &gt; CA ",""),""))=0,"OK",IF(COUNT(I562,J562)=2,IF(J562&gt;I562+1,"EBE &gt; VA ",""),"")&amp;IF(COUNT(H562,M562)=2,IF(ABS(M562)&gt;ABS(H562),"RN &gt; CA ",""),"")&amp;IF(COUNT(H562,K562)=2,IF(ABS(K562)&gt;ABS(H562),"RE &gt; CA ",""),"")))</f>
        <v/>
      </c>
      <c r="P562" s="16">
        <f>IF(OR($A562="",H562="",$C562=""),"",IF(COUNTIFS($A$5:$A$639,$A562,$C$5:$C$639,$C562-1,$D$5:$D$639,$D562,H$5:H$639,"&lt;&gt;")=0,"",IF(OR(SUMIFS(H$5:H$639,$A$5:$A$639,$A562,$C$5:$C$639,$C562-1,$D$5:$D$639,$D562)=0,H562*SUMIFS(H$5:H$639,$A$5:$A$639,$A562,$C$5:$C$639,$C562-1,$D$5:$D$639,$D562)&lt;0),"n.s.",ABS(H562)/ABS(SUMIFS(H$5:H$639,$A$5:$A$639,$A562,$C$5:$C$639,$C562-1,$D$5:$D$639,$D562))-1)))</f>
        <v/>
      </c>
      <c r="Q562" s="16">
        <f>IF(OR($A562="",I562="",$C562=""),"",IF(COUNTIFS($A$5:$A$639,$A562,$C$5:$C$639,$C562-1,$D$5:$D$639,$D562,I$5:I$639,"&lt;&gt;")=0,"",IF(OR(SUMIFS(I$5:I$639,$A$5:$A$639,$A562,$C$5:$C$639,$C562-1,$D$5:$D$639,$D562)=0,I562*SUMIFS(I$5:I$639,$A$5:$A$639,$A562,$C$5:$C$639,$C562-1,$D$5:$D$639,$D562)&lt;0),"n.s.",ABS(I562)/ABS(SUMIFS(I$5:I$639,$A$5:$A$639,$A562,$C$5:$C$639,$C562-1,$D$5:$D$639,$D562))-1)))</f>
        <v/>
      </c>
      <c r="R562" s="16">
        <f>IF(OR($A562="",J562="",$C562=""),"",IF(COUNTIFS($A$5:$A$639,$A562,$C$5:$C$639,$C562-1,$D$5:$D$639,$D562,J$5:J$639,"&lt;&gt;")=0,"",IF(OR(SUMIFS(J$5:J$639,$A$5:$A$639,$A562,$C$5:$C$639,$C562-1,$D$5:$D$639,$D562)=0,J562*SUMIFS(J$5:J$639,$A$5:$A$639,$A562,$C$5:$C$639,$C562-1,$D$5:$D$639,$D562)&lt;0),"n.s.",ABS(J562)/ABS(SUMIFS(J$5:J$639,$A$5:$A$639,$A562,$C$5:$C$639,$C562-1,$D$5:$D$639,$D562))-1)))</f>
        <v/>
      </c>
      <c r="S562" s="16">
        <f>IF(OR($A562="",K562="",$C562=""),"",IF(COUNTIFS($A$5:$A$639,$A562,$C$5:$C$639,$C562-1,$D$5:$D$639,$D562,K$5:K$639,"&lt;&gt;")=0,"",IF(OR(SUMIFS(K$5:K$639,$A$5:$A$639,$A562,$C$5:$C$639,$C562-1,$D$5:$D$639,$D562)=0,K562*SUMIFS(K$5:K$639,$A$5:$A$639,$A562,$C$5:$C$639,$C562-1,$D$5:$D$639,$D562)&lt;0),"n.s.",ABS(K562)/ABS(SUMIFS(K$5:K$639,$A$5:$A$639,$A562,$C$5:$C$639,$C562-1,$D$5:$D$639,$D562))-1)))</f>
        <v/>
      </c>
      <c r="T562" s="16">
        <f>IF(OR($A562="",L562="",$C562=""),"",IF(COUNTIFS($A$5:$A$639,$A562,$C$5:$C$639,$C562-1,$D$5:$D$639,$D562,L$5:L$639,"&lt;&gt;")=0,"",IF(OR(SUMIFS(L$5:L$639,$A$5:$A$639,$A562,$C$5:$C$639,$C562-1,$D$5:$D$639,$D562)=0,L562*SUMIFS(L$5:L$639,$A$5:$A$639,$A562,$C$5:$C$639,$C562-1,$D$5:$D$639,$D562)&lt;0),"n.s.",ABS(L562)/ABS(SUMIFS(L$5:L$639,$A$5:$A$639,$A562,$C$5:$C$639,$C562-1,$D$5:$D$639,$D562))-1)))</f>
        <v/>
      </c>
      <c r="U562" s="16">
        <f>IF(OR($A562="",M562="",$C562=""),"",IF(COUNTIFS($A$5:$A$639,$A562,$C$5:$C$639,$C562-1,$D$5:$D$639,$D562,M$5:M$639,"&lt;&gt;")=0,"",IF(OR(SUMIFS(M$5:M$639,$A$5:$A$639,$A562,$C$5:$C$639,$C562-1,$D$5:$D$639,$D562)=0,M562*SUMIFS(M$5:M$639,$A$5:$A$639,$A562,$C$5:$C$639,$C562-1,$D$5:$D$639,$D562)&lt;0),"n.s.",ABS(M562)/ABS(SUMIFS(M$5:M$639,$A$5:$A$639,$A562,$C$5:$C$639,$C562-1,$D$5:$D$639,$D562))-1)))</f>
        <v/>
      </c>
    </row>
    <row r="563">
      <c r="A563" s="9" t="inlineStr">
        <is>
          <t>TTLC</t>
        </is>
      </c>
      <c r="B563" s="10">
        <f>IF(A563="","",IFERROR(VLOOKUP(A563,Titres!$A$2:$B$400,2,FALSE),"Ticker inconnu"))</f>
        <v/>
      </c>
      <c r="C563" s="11" t="n">
        <v>2021</v>
      </c>
      <c r="D563" s="11" t="inlineStr">
        <is>
          <t>T1</t>
        </is>
      </c>
      <c r="E563" s="9" t="n"/>
      <c r="F563" s="12" t="n"/>
      <c r="G563" s="9" t="n"/>
      <c r="H563" s="13" t="n"/>
      <c r="I563" s="13" t="n"/>
      <c r="J563" s="13" t="n"/>
      <c r="K563" s="13" t="n"/>
      <c r="L563" s="13" t="n"/>
      <c r="M563" s="13" t="n"/>
      <c r="N563" s="14">
        <f>IF(A563="","",COUNT(H563:M563)/6)</f>
        <v/>
      </c>
      <c r="O563" s="15">
        <f>IF(COUNT(H563:M563)=0,"",IF(LEN(IF(COUNT(I563,J563)=2,IF(J563&gt;I563+1,"EBE &gt; VA ",""),"")&amp;IF(COUNT(H563,M563)=2,IF(ABS(M563)&gt;ABS(H563),"RN &gt; CA ",""),"")&amp;IF(COUNT(H563,K563)=2,IF(ABS(K563)&gt;ABS(H563),"RE &gt; CA ",""),""))=0,"OK",IF(COUNT(I563,J563)=2,IF(J563&gt;I563+1,"EBE &gt; VA ",""),"")&amp;IF(COUNT(H563,M563)=2,IF(ABS(M563)&gt;ABS(H563),"RN &gt; CA ",""),"")&amp;IF(COUNT(H563,K563)=2,IF(ABS(K563)&gt;ABS(H563),"RE &gt; CA ",""),"")))</f>
        <v/>
      </c>
      <c r="P563" s="16">
        <f>IF(OR($A563="",H563="",$C563=""),"",IF(COUNTIFS($A$5:$A$639,$A563,$C$5:$C$639,$C563-1,$D$5:$D$639,$D563,H$5:H$639,"&lt;&gt;")=0,"",IF(OR(SUMIFS(H$5:H$639,$A$5:$A$639,$A563,$C$5:$C$639,$C563-1,$D$5:$D$639,$D563)=0,H563*SUMIFS(H$5:H$639,$A$5:$A$639,$A563,$C$5:$C$639,$C563-1,$D$5:$D$639,$D563)&lt;0),"n.s.",ABS(H563)/ABS(SUMIFS(H$5:H$639,$A$5:$A$639,$A563,$C$5:$C$639,$C563-1,$D$5:$D$639,$D563))-1)))</f>
        <v/>
      </c>
      <c r="Q563" s="16">
        <f>IF(OR($A563="",I563="",$C563=""),"",IF(COUNTIFS($A$5:$A$639,$A563,$C$5:$C$639,$C563-1,$D$5:$D$639,$D563,I$5:I$639,"&lt;&gt;")=0,"",IF(OR(SUMIFS(I$5:I$639,$A$5:$A$639,$A563,$C$5:$C$639,$C563-1,$D$5:$D$639,$D563)=0,I563*SUMIFS(I$5:I$639,$A$5:$A$639,$A563,$C$5:$C$639,$C563-1,$D$5:$D$639,$D563)&lt;0),"n.s.",ABS(I563)/ABS(SUMIFS(I$5:I$639,$A$5:$A$639,$A563,$C$5:$C$639,$C563-1,$D$5:$D$639,$D563))-1)))</f>
        <v/>
      </c>
      <c r="R563" s="16">
        <f>IF(OR($A563="",J563="",$C563=""),"",IF(COUNTIFS($A$5:$A$639,$A563,$C$5:$C$639,$C563-1,$D$5:$D$639,$D563,J$5:J$639,"&lt;&gt;")=0,"",IF(OR(SUMIFS(J$5:J$639,$A$5:$A$639,$A563,$C$5:$C$639,$C563-1,$D$5:$D$639,$D563)=0,J563*SUMIFS(J$5:J$639,$A$5:$A$639,$A563,$C$5:$C$639,$C563-1,$D$5:$D$639,$D563)&lt;0),"n.s.",ABS(J563)/ABS(SUMIFS(J$5:J$639,$A$5:$A$639,$A563,$C$5:$C$639,$C563-1,$D$5:$D$639,$D563))-1)))</f>
        <v/>
      </c>
      <c r="S563" s="16">
        <f>IF(OR($A563="",K563="",$C563=""),"",IF(COUNTIFS($A$5:$A$639,$A563,$C$5:$C$639,$C563-1,$D$5:$D$639,$D563,K$5:K$639,"&lt;&gt;")=0,"",IF(OR(SUMIFS(K$5:K$639,$A$5:$A$639,$A563,$C$5:$C$639,$C563-1,$D$5:$D$639,$D563)=0,K563*SUMIFS(K$5:K$639,$A$5:$A$639,$A563,$C$5:$C$639,$C563-1,$D$5:$D$639,$D563)&lt;0),"n.s.",ABS(K563)/ABS(SUMIFS(K$5:K$639,$A$5:$A$639,$A563,$C$5:$C$639,$C563-1,$D$5:$D$639,$D563))-1)))</f>
        <v/>
      </c>
      <c r="T563" s="16">
        <f>IF(OR($A563="",L563="",$C563=""),"",IF(COUNTIFS($A$5:$A$639,$A563,$C$5:$C$639,$C563-1,$D$5:$D$639,$D563,L$5:L$639,"&lt;&gt;")=0,"",IF(OR(SUMIFS(L$5:L$639,$A$5:$A$639,$A563,$C$5:$C$639,$C563-1,$D$5:$D$639,$D563)=0,L563*SUMIFS(L$5:L$639,$A$5:$A$639,$A563,$C$5:$C$639,$C563-1,$D$5:$D$639,$D563)&lt;0),"n.s.",ABS(L563)/ABS(SUMIFS(L$5:L$639,$A$5:$A$639,$A563,$C$5:$C$639,$C563-1,$D$5:$D$639,$D563))-1)))</f>
        <v/>
      </c>
      <c r="U563" s="16">
        <f>IF(OR($A563="",M563="",$C563=""),"",IF(COUNTIFS($A$5:$A$639,$A563,$C$5:$C$639,$C563-1,$D$5:$D$639,$D563,M$5:M$639,"&lt;&gt;")=0,"",IF(OR(SUMIFS(M$5:M$639,$A$5:$A$639,$A563,$C$5:$C$639,$C563-1,$D$5:$D$639,$D563)=0,M563*SUMIFS(M$5:M$639,$A$5:$A$639,$A563,$C$5:$C$639,$C563-1,$D$5:$D$639,$D563)&lt;0),"n.s.",ABS(M563)/ABS(SUMIFS(M$5:M$639,$A$5:$A$639,$A563,$C$5:$C$639,$C563-1,$D$5:$D$639,$D563))-1)))</f>
        <v/>
      </c>
    </row>
    <row r="564">
      <c r="A564" s="9" t="inlineStr">
        <is>
          <t>TTLC</t>
        </is>
      </c>
      <c r="B564" s="10">
        <f>IF(A564="","",IFERROR(VLOOKUP(A564,Titres!$A$2:$B$400,2,FALSE),"Ticker inconnu"))</f>
        <v/>
      </c>
      <c r="C564" s="11" t="n">
        <v>2021</v>
      </c>
      <c r="D564" s="11" t="inlineStr">
        <is>
          <t>S1</t>
        </is>
      </c>
      <c r="E564" s="9" t="n"/>
      <c r="F564" s="12" t="n"/>
      <c r="G564" s="9" t="n"/>
      <c r="H564" s="13" t="n"/>
      <c r="I564" s="13" t="n"/>
      <c r="J564" s="13" t="n"/>
      <c r="K564" s="13" t="n"/>
      <c r="L564" s="13" t="n"/>
      <c r="M564" s="13" t="n"/>
      <c r="N564" s="14">
        <f>IF(A564="","",COUNT(H564:M564)/6)</f>
        <v/>
      </c>
      <c r="O564" s="15">
        <f>IF(COUNT(H564:M564)=0,"",IF(LEN(IF(COUNT(I564,J564)=2,IF(J564&gt;I564+1,"EBE &gt; VA ",""),"")&amp;IF(COUNT(H564,M564)=2,IF(ABS(M564)&gt;ABS(H564),"RN &gt; CA ",""),"")&amp;IF(COUNT(H564,K564)=2,IF(ABS(K564)&gt;ABS(H564),"RE &gt; CA ",""),""))=0,"OK",IF(COUNT(I564,J564)=2,IF(J564&gt;I564+1,"EBE &gt; VA ",""),"")&amp;IF(COUNT(H564,M564)=2,IF(ABS(M564)&gt;ABS(H564),"RN &gt; CA ",""),"")&amp;IF(COUNT(H564,K564)=2,IF(ABS(K564)&gt;ABS(H564),"RE &gt; CA ",""),"")))</f>
        <v/>
      </c>
      <c r="P564" s="16">
        <f>IF(OR($A564="",H564="",$C564=""),"",IF(COUNTIFS($A$5:$A$639,$A564,$C$5:$C$639,$C564-1,$D$5:$D$639,$D564,H$5:H$639,"&lt;&gt;")=0,"",IF(OR(SUMIFS(H$5:H$639,$A$5:$A$639,$A564,$C$5:$C$639,$C564-1,$D$5:$D$639,$D564)=0,H564*SUMIFS(H$5:H$639,$A$5:$A$639,$A564,$C$5:$C$639,$C564-1,$D$5:$D$639,$D564)&lt;0),"n.s.",ABS(H564)/ABS(SUMIFS(H$5:H$639,$A$5:$A$639,$A564,$C$5:$C$639,$C564-1,$D$5:$D$639,$D564))-1)))</f>
        <v/>
      </c>
      <c r="Q564" s="16">
        <f>IF(OR($A564="",I564="",$C564=""),"",IF(COUNTIFS($A$5:$A$639,$A564,$C$5:$C$639,$C564-1,$D$5:$D$639,$D564,I$5:I$639,"&lt;&gt;")=0,"",IF(OR(SUMIFS(I$5:I$639,$A$5:$A$639,$A564,$C$5:$C$639,$C564-1,$D$5:$D$639,$D564)=0,I564*SUMIFS(I$5:I$639,$A$5:$A$639,$A564,$C$5:$C$639,$C564-1,$D$5:$D$639,$D564)&lt;0),"n.s.",ABS(I564)/ABS(SUMIFS(I$5:I$639,$A$5:$A$639,$A564,$C$5:$C$639,$C564-1,$D$5:$D$639,$D564))-1)))</f>
        <v/>
      </c>
      <c r="R564" s="16">
        <f>IF(OR($A564="",J564="",$C564=""),"",IF(COUNTIFS($A$5:$A$639,$A564,$C$5:$C$639,$C564-1,$D$5:$D$639,$D564,J$5:J$639,"&lt;&gt;")=0,"",IF(OR(SUMIFS(J$5:J$639,$A$5:$A$639,$A564,$C$5:$C$639,$C564-1,$D$5:$D$639,$D564)=0,J564*SUMIFS(J$5:J$639,$A$5:$A$639,$A564,$C$5:$C$639,$C564-1,$D$5:$D$639,$D564)&lt;0),"n.s.",ABS(J564)/ABS(SUMIFS(J$5:J$639,$A$5:$A$639,$A564,$C$5:$C$639,$C564-1,$D$5:$D$639,$D564))-1)))</f>
        <v/>
      </c>
      <c r="S564" s="16">
        <f>IF(OR($A564="",K564="",$C564=""),"",IF(COUNTIFS($A$5:$A$639,$A564,$C$5:$C$639,$C564-1,$D$5:$D$639,$D564,K$5:K$639,"&lt;&gt;")=0,"",IF(OR(SUMIFS(K$5:K$639,$A$5:$A$639,$A564,$C$5:$C$639,$C564-1,$D$5:$D$639,$D564)=0,K564*SUMIFS(K$5:K$639,$A$5:$A$639,$A564,$C$5:$C$639,$C564-1,$D$5:$D$639,$D564)&lt;0),"n.s.",ABS(K564)/ABS(SUMIFS(K$5:K$639,$A$5:$A$639,$A564,$C$5:$C$639,$C564-1,$D$5:$D$639,$D564))-1)))</f>
        <v/>
      </c>
      <c r="T564" s="16">
        <f>IF(OR($A564="",L564="",$C564=""),"",IF(COUNTIFS($A$5:$A$639,$A564,$C$5:$C$639,$C564-1,$D$5:$D$639,$D564,L$5:L$639,"&lt;&gt;")=0,"",IF(OR(SUMIFS(L$5:L$639,$A$5:$A$639,$A564,$C$5:$C$639,$C564-1,$D$5:$D$639,$D564)=0,L564*SUMIFS(L$5:L$639,$A$5:$A$639,$A564,$C$5:$C$639,$C564-1,$D$5:$D$639,$D564)&lt;0),"n.s.",ABS(L564)/ABS(SUMIFS(L$5:L$639,$A$5:$A$639,$A564,$C$5:$C$639,$C564-1,$D$5:$D$639,$D564))-1)))</f>
        <v/>
      </c>
      <c r="U564" s="16">
        <f>IF(OR($A564="",M564="",$C564=""),"",IF(COUNTIFS($A$5:$A$639,$A564,$C$5:$C$639,$C564-1,$D$5:$D$639,$D564,M$5:M$639,"&lt;&gt;")=0,"",IF(OR(SUMIFS(M$5:M$639,$A$5:$A$639,$A564,$C$5:$C$639,$C564-1,$D$5:$D$639,$D564)=0,M564*SUMIFS(M$5:M$639,$A$5:$A$639,$A564,$C$5:$C$639,$C564-1,$D$5:$D$639,$D564)&lt;0),"n.s.",ABS(M564)/ABS(SUMIFS(M$5:M$639,$A$5:$A$639,$A564,$C$5:$C$639,$C564-1,$D$5:$D$639,$D564))-1)))</f>
        <v/>
      </c>
    </row>
    <row r="565">
      <c r="A565" s="9" t="inlineStr">
        <is>
          <t>TTLC</t>
        </is>
      </c>
      <c r="B565" s="10">
        <f>IF(A565="","",IFERROR(VLOOKUP(A565,Titres!$A$2:$B$400,2,FALSE),"Ticker inconnu"))</f>
        <v/>
      </c>
      <c r="C565" s="11" t="n">
        <v>2021</v>
      </c>
      <c r="D565" s="11" t="inlineStr">
        <is>
          <t>T3</t>
        </is>
      </c>
      <c r="E565" s="9" t="n"/>
      <c r="F565" s="12" t="n"/>
      <c r="G565" s="9" t="n"/>
      <c r="H565" s="13" t="n"/>
      <c r="I565" s="13" t="n"/>
      <c r="J565" s="13" t="n"/>
      <c r="K565" s="13" t="n"/>
      <c r="L565" s="13" t="n"/>
      <c r="M565" s="13" t="n"/>
      <c r="N565" s="14">
        <f>IF(A565="","",COUNT(H565:M565)/6)</f>
        <v/>
      </c>
      <c r="O565" s="15">
        <f>IF(COUNT(H565:M565)=0,"",IF(LEN(IF(COUNT(I565,J565)=2,IF(J565&gt;I565+1,"EBE &gt; VA ",""),"")&amp;IF(COUNT(H565,M565)=2,IF(ABS(M565)&gt;ABS(H565),"RN &gt; CA ",""),"")&amp;IF(COUNT(H565,K565)=2,IF(ABS(K565)&gt;ABS(H565),"RE &gt; CA ",""),""))=0,"OK",IF(COUNT(I565,J565)=2,IF(J565&gt;I565+1,"EBE &gt; VA ",""),"")&amp;IF(COUNT(H565,M565)=2,IF(ABS(M565)&gt;ABS(H565),"RN &gt; CA ",""),"")&amp;IF(COUNT(H565,K565)=2,IF(ABS(K565)&gt;ABS(H565),"RE &gt; CA ",""),"")))</f>
        <v/>
      </c>
      <c r="P565" s="16">
        <f>IF(OR($A565="",H565="",$C565=""),"",IF(COUNTIFS($A$5:$A$639,$A565,$C$5:$C$639,$C565-1,$D$5:$D$639,$D565,H$5:H$639,"&lt;&gt;")=0,"",IF(OR(SUMIFS(H$5:H$639,$A$5:$A$639,$A565,$C$5:$C$639,$C565-1,$D$5:$D$639,$D565)=0,H565*SUMIFS(H$5:H$639,$A$5:$A$639,$A565,$C$5:$C$639,$C565-1,$D$5:$D$639,$D565)&lt;0),"n.s.",ABS(H565)/ABS(SUMIFS(H$5:H$639,$A$5:$A$639,$A565,$C$5:$C$639,$C565-1,$D$5:$D$639,$D565))-1)))</f>
        <v/>
      </c>
      <c r="Q565" s="16">
        <f>IF(OR($A565="",I565="",$C565=""),"",IF(COUNTIFS($A$5:$A$639,$A565,$C$5:$C$639,$C565-1,$D$5:$D$639,$D565,I$5:I$639,"&lt;&gt;")=0,"",IF(OR(SUMIFS(I$5:I$639,$A$5:$A$639,$A565,$C$5:$C$639,$C565-1,$D$5:$D$639,$D565)=0,I565*SUMIFS(I$5:I$639,$A$5:$A$639,$A565,$C$5:$C$639,$C565-1,$D$5:$D$639,$D565)&lt;0),"n.s.",ABS(I565)/ABS(SUMIFS(I$5:I$639,$A$5:$A$639,$A565,$C$5:$C$639,$C565-1,$D$5:$D$639,$D565))-1)))</f>
        <v/>
      </c>
      <c r="R565" s="16">
        <f>IF(OR($A565="",J565="",$C565=""),"",IF(COUNTIFS($A$5:$A$639,$A565,$C$5:$C$639,$C565-1,$D$5:$D$639,$D565,J$5:J$639,"&lt;&gt;")=0,"",IF(OR(SUMIFS(J$5:J$639,$A$5:$A$639,$A565,$C$5:$C$639,$C565-1,$D$5:$D$639,$D565)=0,J565*SUMIFS(J$5:J$639,$A$5:$A$639,$A565,$C$5:$C$639,$C565-1,$D$5:$D$639,$D565)&lt;0),"n.s.",ABS(J565)/ABS(SUMIFS(J$5:J$639,$A$5:$A$639,$A565,$C$5:$C$639,$C565-1,$D$5:$D$639,$D565))-1)))</f>
        <v/>
      </c>
      <c r="S565" s="16">
        <f>IF(OR($A565="",K565="",$C565=""),"",IF(COUNTIFS($A$5:$A$639,$A565,$C$5:$C$639,$C565-1,$D$5:$D$639,$D565,K$5:K$639,"&lt;&gt;")=0,"",IF(OR(SUMIFS(K$5:K$639,$A$5:$A$639,$A565,$C$5:$C$639,$C565-1,$D$5:$D$639,$D565)=0,K565*SUMIFS(K$5:K$639,$A$5:$A$639,$A565,$C$5:$C$639,$C565-1,$D$5:$D$639,$D565)&lt;0),"n.s.",ABS(K565)/ABS(SUMIFS(K$5:K$639,$A$5:$A$639,$A565,$C$5:$C$639,$C565-1,$D$5:$D$639,$D565))-1)))</f>
        <v/>
      </c>
      <c r="T565" s="16">
        <f>IF(OR($A565="",L565="",$C565=""),"",IF(COUNTIFS($A$5:$A$639,$A565,$C$5:$C$639,$C565-1,$D$5:$D$639,$D565,L$5:L$639,"&lt;&gt;")=0,"",IF(OR(SUMIFS(L$5:L$639,$A$5:$A$639,$A565,$C$5:$C$639,$C565-1,$D$5:$D$639,$D565)=0,L565*SUMIFS(L$5:L$639,$A$5:$A$639,$A565,$C$5:$C$639,$C565-1,$D$5:$D$639,$D565)&lt;0),"n.s.",ABS(L565)/ABS(SUMIFS(L$5:L$639,$A$5:$A$639,$A565,$C$5:$C$639,$C565-1,$D$5:$D$639,$D565))-1)))</f>
        <v/>
      </c>
      <c r="U565" s="16">
        <f>IF(OR($A565="",M565="",$C565=""),"",IF(COUNTIFS($A$5:$A$639,$A565,$C$5:$C$639,$C565-1,$D$5:$D$639,$D565,M$5:M$639,"&lt;&gt;")=0,"",IF(OR(SUMIFS(M$5:M$639,$A$5:$A$639,$A565,$C$5:$C$639,$C565-1,$D$5:$D$639,$D565)=0,M565*SUMIFS(M$5:M$639,$A$5:$A$639,$A565,$C$5:$C$639,$C565-1,$D$5:$D$639,$D565)&lt;0),"n.s.",ABS(M565)/ABS(SUMIFS(M$5:M$639,$A$5:$A$639,$A565,$C$5:$C$639,$C565-1,$D$5:$D$639,$D565))-1)))</f>
        <v/>
      </c>
    </row>
    <row r="566">
      <c r="A566" s="9" t="inlineStr">
        <is>
          <t>TTLC</t>
        </is>
      </c>
      <c r="B566" s="10">
        <f>IF(A566="","",IFERROR(VLOOKUP(A566,Titres!$A$2:$B$400,2,FALSE),"Ticker inconnu"))</f>
        <v/>
      </c>
      <c r="C566" s="11" t="n">
        <v>2022</v>
      </c>
      <c r="D566" s="11" t="inlineStr">
        <is>
          <t>T1</t>
        </is>
      </c>
      <c r="E566" s="9" t="n"/>
      <c r="F566" s="12" t="n"/>
      <c r="G566" s="9" t="n"/>
      <c r="H566" s="13" t="n"/>
      <c r="I566" s="13" t="n"/>
      <c r="J566" s="13" t="n"/>
      <c r="K566" s="13" t="n"/>
      <c r="L566" s="13" t="n"/>
      <c r="M566" s="13" t="n"/>
      <c r="N566" s="14">
        <f>IF(A566="","",COUNT(H566:M566)/6)</f>
        <v/>
      </c>
      <c r="O566" s="15">
        <f>IF(COUNT(H566:M566)=0,"",IF(LEN(IF(COUNT(I566,J566)=2,IF(J566&gt;I566+1,"EBE &gt; VA ",""),"")&amp;IF(COUNT(H566,M566)=2,IF(ABS(M566)&gt;ABS(H566),"RN &gt; CA ",""),"")&amp;IF(COUNT(H566,K566)=2,IF(ABS(K566)&gt;ABS(H566),"RE &gt; CA ",""),""))=0,"OK",IF(COUNT(I566,J566)=2,IF(J566&gt;I566+1,"EBE &gt; VA ",""),"")&amp;IF(COUNT(H566,M566)=2,IF(ABS(M566)&gt;ABS(H566),"RN &gt; CA ",""),"")&amp;IF(COUNT(H566,K566)=2,IF(ABS(K566)&gt;ABS(H566),"RE &gt; CA ",""),"")))</f>
        <v/>
      </c>
      <c r="P566" s="16">
        <f>IF(OR($A566="",H566="",$C566=""),"",IF(COUNTIFS($A$5:$A$639,$A566,$C$5:$C$639,$C566-1,$D$5:$D$639,$D566,H$5:H$639,"&lt;&gt;")=0,"",IF(OR(SUMIFS(H$5:H$639,$A$5:$A$639,$A566,$C$5:$C$639,$C566-1,$D$5:$D$639,$D566)=0,H566*SUMIFS(H$5:H$639,$A$5:$A$639,$A566,$C$5:$C$639,$C566-1,$D$5:$D$639,$D566)&lt;0),"n.s.",ABS(H566)/ABS(SUMIFS(H$5:H$639,$A$5:$A$639,$A566,$C$5:$C$639,$C566-1,$D$5:$D$639,$D566))-1)))</f>
        <v/>
      </c>
      <c r="Q566" s="16">
        <f>IF(OR($A566="",I566="",$C566=""),"",IF(COUNTIFS($A$5:$A$639,$A566,$C$5:$C$639,$C566-1,$D$5:$D$639,$D566,I$5:I$639,"&lt;&gt;")=0,"",IF(OR(SUMIFS(I$5:I$639,$A$5:$A$639,$A566,$C$5:$C$639,$C566-1,$D$5:$D$639,$D566)=0,I566*SUMIFS(I$5:I$639,$A$5:$A$639,$A566,$C$5:$C$639,$C566-1,$D$5:$D$639,$D566)&lt;0),"n.s.",ABS(I566)/ABS(SUMIFS(I$5:I$639,$A$5:$A$639,$A566,$C$5:$C$639,$C566-1,$D$5:$D$639,$D566))-1)))</f>
        <v/>
      </c>
      <c r="R566" s="16">
        <f>IF(OR($A566="",J566="",$C566=""),"",IF(COUNTIFS($A$5:$A$639,$A566,$C$5:$C$639,$C566-1,$D$5:$D$639,$D566,J$5:J$639,"&lt;&gt;")=0,"",IF(OR(SUMIFS(J$5:J$639,$A$5:$A$639,$A566,$C$5:$C$639,$C566-1,$D$5:$D$639,$D566)=0,J566*SUMIFS(J$5:J$639,$A$5:$A$639,$A566,$C$5:$C$639,$C566-1,$D$5:$D$639,$D566)&lt;0),"n.s.",ABS(J566)/ABS(SUMIFS(J$5:J$639,$A$5:$A$639,$A566,$C$5:$C$639,$C566-1,$D$5:$D$639,$D566))-1)))</f>
        <v/>
      </c>
      <c r="S566" s="16">
        <f>IF(OR($A566="",K566="",$C566=""),"",IF(COUNTIFS($A$5:$A$639,$A566,$C$5:$C$639,$C566-1,$D$5:$D$639,$D566,K$5:K$639,"&lt;&gt;")=0,"",IF(OR(SUMIFS(K$5:K$639,$A$5:$A$639,$A566,$C$5:$C$639,$C566-1,$D$5:$D$639,$D566)=0,K566*SUMIFS(K$5:K$639,$A$5:$A$639,$A566,$C$5:$C$639,$C566-1,$D$5:$D$639,$D566)&lt;0),"n.s.",ABS(K566)/ABS(SUMIFS(K$5:K$639,$A$5:$A$639,$A566,$C$5:$C$639,$C566-1,$D$5:$D$639,$D566))-1)))</f>
        <v/>
      </c>
      <c r="T566" s="16">
        <f>IF(OR($A566="",L566="",$C566=""),"",IF(COUNTIFS($A$5:$A$639,$A566,$C$5:$C$639,$C566-1,$D$5:$D$639,$D566,L$5:L$639,"&lt;&gt;")=0,"",IF(OR(SUMIFS(L$5:L$639,$A$5:$A$639,$A566,$C$5:$C$639,$C566-1,$D$5:$D$639,$D566)=0,L566*SUMIFS(L$5:L$639,$A$5:$A$639,$A566,$C$5:$C$639,$C566-1,$D$5:$D$639,$D566)&lt;0),"n.s.",ABS(L566)/ABS(SUMIFS(L$5:L$639,$A$5:$A$639,$A566,$C$5:$C$639,$C566-1,$D$5:$D$639,$D566))-1)))</f>
        <v/>
      </c>
      <c r="U566" s="16">
        <f>IF(OR($A566="",M566="",$C566=""),"",IF(COUNTIFS($A$5:$A$639,$A566,$C$5:$C$639,$C566-1,$D$5:$D$639,$D566,M$5:M$639,"&lt;&gt;")=0,"",IF(OR(SUMIFS(M$5:M$639,$A$5:$A$639,$A566,$C$5:$C$639,$C566-1,$D$5:$D$639,$D566)=0,M566*SUMIFS(M$5:M$639,$A$5:$A$639,$A566,$C$5:$C$639,$C566-1,$D$5:$D$639,$D566)&lt;0),"n.s.",ABS(M566)/ABS(SUMIFS(M$5:M$639,$A$5:$A$639,$A566,$C$5:$C$639,$C566-1,$D$5:$D$639,$D566))-1)))</f>
        <v/>
      </c>
    </row>
    <row r="567">
      <c r="A567" s="9" t="inlineStr">
        <is>
          <t>TTLC</t>
        </is>
      </c>
      <c r="B567" s="10">
        <f>IF(A567="","",IFERROR(VLOOKUP(A567,Titres!$A$2:$B$400,2,FALSE),"Ticker inconnu"))</f>
        <v/>
      </c>
      <c r="C567" s="11" t="n">
        <v>2022</v>
      </c>
      <c r="D567" s="11" t="inlineStr">
        <is>
          <t>S1</t>
        </is>
      </c>
      <c r="E567" s="9" t="n"/>
      <c r="F567" s="12" t="n"/>
      <c r="G567" s="9" t="n"/>
      <c r="H567" s="13" t="n"/>
      <c r="I567" s="13" t="n"/>
      <c r="J567" s="13" t="n"/>
      <c r="K567" s="13" t="n"/>
      <c r="L567" s="13" t="n"/>
      <c r="M567" s="13" t="n"/>
      <c r="N567" s="14">
        <f>IF(A567="","",COUNT(H567:M567)/6)</f>
        <v/>
      </c>
      <c r="O567" s="15">
        <f>IF(COUNT(H567:M567)=0,"",IF(LEN(IF(COUNT(I567,J567)=2,IF(J567&gt;I567+1,"EBE &gt; VA ",""),"")&amp;IF(COUNT(H567,M567)=2,IF(ABS(M567)&gt;ABS(H567),"RN &gt; CA ",""),"")&amp;IF(COUNT(H567,K567)=2,IF(ABS(K567)&gt;ABS(H567),"RE &gt; CA ",""),""))=0,"OK",IF(COUNT(I567,J567)=2,IF(J567&gt;I567+1,"EBE &gt; VA ",""),"")&amp;IF(COUNT(H567,M567)=2,IF(ABS(M567)&gt;ABS(H567),"RN &gt; CA ",""),"")&amp;IF(COUNT(H567,K567)=2,IF(ABS(K567)&gt;ABS(H567),"RE &gt; CA ",""),"")))</f>
        <v/>
      </c>
      <c r="P567" s="16">
        <f>IF(OR($A567="",H567="",$C567=""),"",IF(COUNTIFS($A$5:$A$639,$A567,$C$5:$C$639,$C567-1,$D$5:$D$639,$D567,H$5:H$639,"&lt;&gt;")=0,"",IF(OR(SUMIFS(H$5:H$639,$A$5:$A$639,$A567,$C$5:$C$639,$C567-1,$D$5:$D$639,$D567)=0,H567*SUMIFS(H$5:H$639,$A$5:$A$639,$A567,$C$5:$C$639,$C567-1,$D$5:$D$639,$D567)&lt;0),"n.s.",ABS(H567)/ABS(SUMIFS(H$5:H$639,$A$5:$A$639,$A567,$C$5:$C$639,$C567-1,$D$5:$D$639,$D567))-1)))</f>
        <v/>
      </c>
      <c r="Q567" s="16">
        <f>IF(OR($A567="",I567="",$C567=""),"",IF(COUNTIFS($A$5:$A$639,$A567,$C$5:$C$639,$C567-1,$D$5:$D$639,$D567,I$5:I$639,"&lt;&gt;")=0,"",IF(OR(SUMIFS(I$5:I$639,$A$5:$A$639,$A567,$C$5:$C$639,$C567-1,$D$5:$D$639,$D567)=0,I567*SUMIFS(I$5:I$639,$A$5:$A$639,$A567,$C$5:$C$639,$C567-1,$D$5:$D$639,$D567)&lt;0),"n.s.",ABS(I567)/ABS(SUMIFS(I$5:I$639,$A$5:$A$639,$A567,$C$5:$C$639,$C567-1,$D$5:$D$639,$D567))-1)))</f>
        <v/>
      </c>
      <c r="R567" s="16">
        <f>IF(OR($A567="",J567="",$C567=""),"",IF(COUNTIFS($A$5:$A$639,$A567,$C$5:$C$639,$C567-1,$D$5:$D$639,$D567,J$5:J$639,"&lt;&gt;")=0,"",IF(OR(SUMIFS(J$5:J$639,$A$5:$A$639,$A567,$C$5:$C$639,$C567-1,$D$5:$D$639,$D567)=0,J567*SUMIFS(J$5:J$639,$A$5:$A$639,$A567,$C$5:$C$639,$C567-1,$D$5:$D$639,$D567)&lt;0),"n.s.",ABS(J567)/ABS(SUMIFS(J$5:J$639,$A$5:$A$639,$A567,$C$5:$C$639,$C567-1,$D$5:$D$639,$D567))-1)))</f>
        <v/>
      </c>
      <c r="S567" s="16">
        <f>IF(OR($A567="",K567="",$C567=""),"",IF(COUNTIFS($A$5:$A$639,$A567,$C$5:$C$639,$C567-1,$D$5:$D$639,$D567,K$5:K$639,"&lt;&gt;")=0,"",IF(OR(SUMIFS(K$5:K$639,$A$5:$A$639,$A567,$C$5:$C$639,$C567-1,$D$5:$D$639,$D567)=0,K567*SUMIFS(K$5:K$639,$A$5:$A$639,$A567,$C$5:$C$639,$C567-1,$D$5:$D$639,$D567)&lt;0),"n.s.",ABS(K567)/ABS(SUMIFS(K$5:K$639,$A$5:$A$639,$A567,$C$5:$C$639,$C567-1,$D$5:$D$639,$D567))-1)))</f>
        <v/>
      </c>
      <c r="T567" s="16">
        <f>IF(OR($A567="",L567="",$C567=""),"",IF(COUNTIFS($A$5:$A$639,$A567,$C$5:$C$639,$C567-1,$D$5:$D$639,$D567,L$5:L$639,"&lt;&gt;")=0,"",IF(OR(SUMIFS(L$5:L$639,$A$5:$A$639,$A567,$C$5:$C$639,$C567-1,$D$5:$D$639,$D567)=0,L567*SUMIFS(L$5:L$639,$A$5:$A$639,$A567,$C$5:$C$639,$C567-1,$D$5:$D$639,$D567)&lt;0),"n.s.",ABS(L567)/ABS(SUMIFS(L$5:L$639,$A$5:$A$639,$A567,$C$5:$C$639,$C567-1,$D$5:$D$639,$D567))-1)))</f>
        <v/>
      </c>
      <c r="U567" s="16">
        <f>IF(OR($A567="",M567="",$C567=""),"",IF(COUNTIFS($A$5:$A$639,$A567,$C$5:$C$639,$C567-1,$D$5:$D$639,$D567,M$5:M$639,"&lt;&gt;")=0,"",IF(OR(SUMIFS(M$5:M$639,$A$5:$A$639,$A567,$C$5:$C$639,$C567-1,$D$5:$D$639,$D567)=0,M567*SUMIFS(M$5:M$639,$A$5:$A$639,$A567,$C$5:$C$639,$C567-1,$D$5:$D$639,$D567)&lt;0),"n.s.",ABS(M567)/ABS(SUMIFS(M$5:M$639,$A$5:$A$639,$A567,$C$5:$C$639,$C567-1,$D$5:$D$639,$D567))-1)))</f>
        <v/>
      </c>
    </row>
    <row r="568">
      <c r="A568" s="9" t="inlineStr">
        <is>
          <t>TTLC</t>
        </is>
      </c>
      <c r="B568" s="10">
        <f>IF(A568="","",IFERROR(VLOOKUP(A568,Titres!$A$2:$B$400,2,FALSE),"Ticker inconnu"))</f>
        <v/>
      </c>
      <c r="C568" s="11" t="n">
        <v>2022</v>
      </c>
      <c r="D568" s="11" t="inlineStr">
        <is>
          <t>T3</t>
        </is>
      </c>
      <c r="E568" s="9" t="n"/>
      <c r="F568" s="12" t="n"/>
      <c r="G568" s="9" t="n"/>
      <c r="H568" s="13" t="n"/>
      <c r="I568" s="13" t="n"/>
      <c r="J568" s="13" t="n"/>
      <c r="K568" s="13" t="n"/>
      <c r="L568" s="13" t="n"/>
      <c r="M568" s="13" t="n"/>
      <c r="N568" s="14">
        <f>IF(A568="","",COUNT(H568:M568)/6)</f>
        <v/>
      </c>
      <c r="O568" s="15">
        <f>IF(COUNT(H568:M568)=0,"",IF(LEN(IF(COUNT(I568,J568)=2,IF(J568&gt;I568+1,"EBE &gt; VA ",""),"")&amp;IF(COUNT(H568,M568)=2,IF(ABS(M568)&gt;ABS(H568),"RN &gt; CA ",""),"")&amp;IF(COUNT(H568,K568)=2,IF(ABS(K568)&gt;ABS(H568),"RE &gt; CA ",""),""))=0,"OK",IF(COUNT(I568,J568)=2,IF(J568&gt;I568+1,"EBE &gt; VA ",""),"")&amp;IF(COUNT(H568,M568)=2,IF(ABS(M568)&gt;ABS(H568),"RN &gt; CA ",""),"")&amp;IF(COUNT(H568,K568)=2,IF(ABS(K568)&gt;ABS(H568),"RE &gt; CA ",""),"")))</f>
        <v/>
      </c>
      <c r="P568" s="16">
        <f>IF(OR($A568="",H568="",$C568=""),"",IF(COUNTIFS($A$5:$A$639,$A568,$C$5:$C$639,$C568-1,$D$5:$D$639,$D568,H$5:H$639,"&lt;&gt;")=0,"",IF(OR(SUMIFS(H$5:H$639,$A$5:$A$639,$A568,$C$5:$C$639,$C568-1,$D$5:$D$639,$D568)=0,H568*SUMIFS(H$5:H$639,$A$5:$A$639,$A568,$C$5:$C$639,$C568-1,$D$5:$D$639,$D568)&lt;0),"n.s.",ABS(H568)/ABS(SUMIFS(H$5:H$639,$A$5:$A$639,$A568,$C$5:$C$639,$C568-1,$D$5:$D$639,$D568))-1)))</f>
        <v/>
      </c>
      <c r="Q568" s="16">
        <f>IF(OR($A568="",I568="",$C568=""),"",IF(COUNTIFS($A$5:$A$639,$A568,$C$5:$C$639,$C568-1,$D$5:$D$639,$D568,I$5:I$639,"&lt;&gt;")=0,"",IF(OR(SUMIFS(I$5:I$639,$A$5:$A$639,$A568,$C$5:$C$639,$C568-1,$D$5:$D$639,$D568)=0,I568*SUMIFS(I$5:I$639,$A$5:$A$639,$A568,$C$5:$C$639,$C568-1,$D$5:$D$639,$D568)&lt;0),"n.s.",ABS(I568)/ABS(SUMIFS(I$5:I$639,$A$5:$A$639,$A568,$C$5:$C$639,$C568-1,$D$5:$D$639,$D568))-1)))</f>
        <v/>
      </c>
      <c r="R568" s="16">
        <f>IF(OR($A568="",J568="",$C568=""),"",IF(COUNTIFS($A$5:$A$639,$A568,$C$5:$C$639,$C568-1,$D$5:$D$639,$D568,J$5:J$639,"&lt;&gt;")=0,"",IF(OR(SUMIFS(J$5:J$639,$A$5:$A$639,$A568,$C$5:$C$639,$C568-1,$D$5:$D$639,$D568)=0,J568*SUMIFS(J$5:J$639,$A$5:$A$639,$A568,$C$5:$C$639,$C568-1,$D$5:$D$639,$D568)&lt;0),"n.s.",ABS(J568)/ABS(SUMIFS(J$5:J$639,$A$5:$A$639,$A568,$C$5:$C$639,$C568-1,$D$5:$D$639,$D568))-1)))</f>
        <v/>
      </c>
      <c r="S568" s="16">
        <f>IF(OR($A568="",K568="",$C568=""),"",IF(COUNTIFS($A$5:$A$639,$A568,$C$5:$C$639,$C568-1,$D$5:$D$639,$D568,K$5:K$639,"&lt;&gt;")=0,"",IF(OR(SUMIFS(K$5:K$639,$A$5:$A$639,$A568,$C$5:$C$639,$C568-1,$D$5:$D$639,$D568)=0,K568*SUMIFS(K$5:K$639,$A$5:$A$639,$A568,$C$5:$C$639,$C568-1,$D$5:$D$639,$D568)&lt;0),"n.s.",ABS(K568)/ABS(SUMIFS(K$5:K$639,$A$5:$A$639,$A568,$C$5:$C$639,$C568-1,$D$5:$D$639,$D568))-1)))</f>
        <v/>
      </c>
      <c r="T568" s="16">
        <f>IF(OR($A568="",L568="",$C568=""),"",IF(COUNTIFS($A$5:$A$639,$A568,$C$5:$C$639,$C568-1,$D$5:$D$639,$D568,L$5:L$639,"&lt;&gt;")=0,"",IF(OR(SUMIFS(L$5:L$639,$A$5:$A$639,$A568,$C$5:$C$639,$C568-1,$D$5:$D$639,$D568)=0,L568*SUMIFS(L$5:L$639,$A$5:$A$639,$A568,$C$5:$C$639,$C568-1,$D$5:$D$639,$D568)&lt;0),"n.s.",ABS(L568)/ABS(SUMIFS(L$5:L$639,$A$5:$A$639,$A568,$C$5:$C$639,$C568-1,$D$5:$D$639,$D568))-1)))</f>
        <v/>
      </c>
      <c r="U568" s="16">
        <f>IF(OR($A568="",M568="",$C568=""),"",IF(COUNTIFS($A$5:$A$639,$A568,$C$5:$C$639,$C568-1,$D$5:$D$639,$D568,M$5:M$639,"&lt;&gt;")=0,"",IF(OR(SUMIFS(M$5:M$639,$A$5:$A$639,$A568,$C$5:$C$639,$C568-1,$D$5:$D$639,$D568)=0,M568*SUMIFS(M$5:M$639,$A$5:$A$639,$A568,$C$5:$C$639,$C568-1,$D$5:$D$639,$D568)&lt;0),"n.s.",ABS(M568)/ABS(SUMIFS(M$5:M$639,$A$5:$A$639,$A568,$C$5:$C$639,$C568-1,$D$5:$D$639,$D568))-1)))</f>
        <v/>
      </c>
    </row>
    <row r="569">
      <c r="A569" s="9" t="inlineStr">
        <is>
          <t>TTLC</t>
        </is>
      </c>
      <c r="B569" s="10">
        <f>IF(A569="","",IFERROR(VLOOKUP(A569,Titres!$A$2:$B$400,2,FALSE),"Ticker inconnu"))</f>
        <v/>
      </c>
      <c r="C569" s="11" t="n">
        <v>2023</v>
      </c>
      <c r="D569" s="11" t="inlineStr">
        <is>
          <t>T1</t>
        </is>
      </c>
      <c r="E569" s="9" t="n"/>
      <c r="F569" s="12" t="n"/>
      <c r="G569" s="9" t="n"/>
      <c r="H569" s="13" t="n"/>
      <c r="I569" s="13" t="n"/>
      <c r="J569" s="13" t="n"/>
      <c r="K569" s="13" t="n"/>
      <c r="L569" s="13" t="n"/>
      <c r="M569" s="13" t="n"/>
      <c r="N569" s="14">
        <f>IF(A569="","",COUNT(H569:M569)/6)</f>
        <v/>
      </c>
      <c r="O569" s="15">
        <f>IF(COUNT(H569:M569)=0,"",IF(LEN(IF(COUNT(I569,J569)=2,IF(J569&gt;I569+1,"EBE &gt; VA ",""),"")&amp;IF(COUNT(H569,M569)=2,IF(ABS(M569)&gt;ABS(H569),"RN &gt; CA ",""),"")&amp;IF(COUNT(H569,K569)=2,IF(ABS(K569)&gt;ABS(H569),"RE &gt; CA ",""),""))=0,"OK",IF(COUNT(I569,J569)=2,IF(J569&gt;I569+1,"EBE &gt; VA ",""),"")&amp;IF(COUNT(H569,M569)=2,IF(ABS(M569)&gt;ABS(H569),"RN &gt; CA ",""),"")&amp;IF(COUNT(H569,K569)=2,IF(ABS(K569)&gt;ABS(H569),"RE &gt; CA ",""),"")))</f>
        <v/>
      </c>
      <c r="P569" s="16">
        <f>IF(OR($A569="",H569="",$C569=""),"",IF(COUNTIFS($A$5:$A$639,$A569,$C$5:$C$639,$C569-1,$D$5:$D$639,$D569,H$5:H$639,"&lt;&gt;")=0,"",IF(OR(SUMIFS(H$5:H$639,$A$5:$A$639,$A569,$C$5:$C$639,$C569-1,$D$5:$D$639,$D569)=0,H569*SUMIFS(H$5:H$639,$A$5:$A$639,$A569,$C$5:$C$639,$C569-1,$D$5:$D$639,$D569)&lt;0),"n.s.",ABS(H569)/ABS(SUMIFS(H$5:H$639,$A$5:$A$639,$A569,$C$5:$C$639,$C569-1,$D$5:$D$639,$D569))-1)))</f>
        <v/>
      </c>
      <c r="Q569" s="16">
        <f>IF(OR($A569="",I569="",$C569=""),"",IF(COUNTIFS($A$5:$A$639,$A569,$C$5:$C$639,$C569-1,$D$5:$D$639,$D569,I$5:I$639,"&lt;&gt;")=0,"",IF(OR(SUMIFS(I$5:I$639,$A$5:$A$639,$A569,$C$5:$C$639,$C569-1,$D$5:$D$639,$D569)=0,I569*SUMIFS(I$5:I$639,$A$5:$A$639,$A569,$C$5:$C$639,$C569-1,$D$5:$D$639,$D569)&lt;0),"n.s.",ABS(I569)/ABS(SUMIFS(I$5:I$639,$A$5:$A$639,$A569,$C$5:$C$639,$C569-1,$D$5:$D$639,$D569))-1)))</f>
        <v/>
      </c>
      <c r="R569" s="16">
        <f>IF(OR($A569="",J569="",$C569=""),"",IF(COUNTIFS($A$5:$A$639,$A569,$C$5:$C$639,$C569-1,$D$5:$D$639,$D569,J$5:J$639,"&lt;&gt;")=0,"",IF(OR(SUMIFS(J$5:J$639,$A$5:$A$639,$A569,$C$5:$C$639,$C569-1,$D$5:$D$639,$D569)=0,J569*SUMIFS(J$5:J$639,$A$5:$A$639,$A569,$C$5:$C$639,$C569-1,$D$5:$D$639,$D569)&lt;0),"n.s.",ABS(J569)/ABS(SUMIFS(J$5:J$639,$A$5:$A$639,$A569,$C$5:$C$639,$C569-1,$D$5:$D$639,$D569))-1)))</f>
        <v/>
      </c>
      <c r="S569" s="16">
        <f>IF(OR($A569="",K569="",$C569=""),"",IF(COUNTIFS($A$5:$A$639,$A569,$C$5:$C$639,$C569-1,$D$5:$D$639,$D569,K$5:K$639,"&lt;&gt;")=0,"",IF(OR(SUMIFS(K$5:K$639,$A$5:$A$639,$A569,$C$5:$C$639,$C569-1,$D$5:$D$639,$D569)=0,K569*SUMIFS(K$5:K$639,$A$5:$A$639,$A569,$C$5:$C$639,$C569-1,$D$5:$D$639,$D569)&lt;0),"n.s.",ABS(K569)/ABS(SUMIFS(K$5:K$639,$A$5:$A$639,$A569,$C$5:$C$639,$C569-1,$D$5:$D$639,$D569))-1)))</f>
        <v/>
      </c>
      <c r="T569" s="16">
        <f>IF(OR($A569="",L569="",$C569=""),"",IF(COUNTIFS($A$5:$A$639,$A569,$C$5:$C$639,$C569-1,$D$5:$D$639,$D569,L$5:L$639,"&lt;&gt;")=0,"",IF(OR(SUMIFS(L$5:L$639,$A$5:$A$639,$A569,$C$5:$C$639,$C569-1,$D$5:$D$639,$D569)=0,L569*SUMIFS(L$5:L$639,$A$5:$A$639,$A569,$C$5:$C$639,$C569-1,$D$5:$D$639,$D569)&lt;0),"n.s.",ABS(L569)/ABS(SUMIFS(L$5:L$639,$A$5:$A$639,$A569,$C$5:$C$639,$C569-1,$D$5:$D$639,$D569))-1)))</f>
        <v/>
      </c>
      <c r="U569" s="16">
        <f>IF(OR($A569="",M569="",$C569=""),"",IF(COUNTIFS($A$5:$A$639,$A569,$C$5:$C$639,$C569-1,$D$5:$D$639,$D569,M$5:M$639,"&lt;&gt;")=0,"",IF(OR(SUMIFS(M$5:M$639,$A$5:$A$639,$A569,$C$5:$C$639,$C569-1,$D$5:$D$639,$D569)=0,M569*SUMIFS(M$5:M$639,$A$5:$A$639,$A569,$C$5:$C$639,$C569-1,$D$5:$D$639,$D569)&lt;0),"n.s.",ABS(M569)/ABS(SUMIFS(M$5:M$639,$A$5:$A$639,$A569,$C$5:$C$639,$C569-1,$D$5:$D$639,$D569))-1)))</f>
        <v/>
      </c>
    </row>
    <row r="570">
      <c r="A570" s="9" t="inlineStr">
        <is>
          <t>TTLC</t>
        </is>
      </c>
      <c r="B570" s="10">
        <f>IF(A570="","",IFERROR(VLOOKUP(A570,Titres!$A$2:$B$400,2,FALSE),"Ticker inconnu"))</f>
        <v/>
      </c>
      <c r="C570" s="11" t="n">
        <v>2023</v>
      </c>
      <c r="D570" s="11" t="inlineStr">
        <is>
          <t>S1</t>
        </is>
      </c>
      <c r="E570" s="9" t="n"/>
      <c r="F570" s="12" t="n"/>
      <c r="G570" s="9" t="n"/>
      <c r="H570" s="13" t="n"/>
      <c r="I570" s="13" t="n"/>
      <c r="J570" s="13" t="n"/>
      <c r="K570" s="13" t="n"/>
      <c r="L570" s="13" t="n"/>
      <c r="M570" s="13" t="n"/>
      <c r="N570" s="14">
        <f>IF(A570="","",COUNT(H570:M570)/6)</f>
        <v/>
      </c>
      <c r="O570" s="15">
        <f>IF(COUNT(H570:M570)=0,"",IF(LEN(IF(COUNT(I570,J570)=2,IF(J570&gt;I570+1,"EBE &gt; VA ",""),"")&amp;IF(COUNT(H570,M570)=2,IF(ABS(M570)&gt;ABS(H570),"RN &gt; CA ",""),"")&amp;IF(COUNT(H570,K570)=2,IF(ABS(K570)&gt;ABS(H570),"RE &gt; CA ",""),""))=0,"OK",IF(COUNT(I570,J570)=2,IF(J570&gt;I570+1,"EBE &gt; VA ",""),"")&amp;IF(COUNT(H570,M570)=2,IF(ABS(M570)&gt;ABS(H570),"RN &gt; CA ",""),"")&amp;IF(COUNT(H570,K570)=2,IF(ABS(K570)&gt;ABS(H570),"RE &gt; CA ",""),"")))</f>
        <v/>
      </c>
      <c r="P570" s="16">
        <f>IF(OR($A570="",H570="",$C570=""),"",IF(COUNTIFS($A$5:$A$639,$A570,$C$5:$C$639,$C570-1,$D$5:$D$639,$D570,H$5:H$639,"&lt;&gt;")=0,"",IF(OR(SUMIFS(H$5:H$639,$A$5:$A$639,$A570,$C$5:$C$639,$C570-1,$D$5:$D$639,$D570)=0,H570*SUMIFS(H$5:H$639,$A$5:$A$639,$A570,$C$5:$C$639,$C570-1,$D$5:$D$639,$D570)&lt;0),"n.s.",ABS(H570)/ABS(SUMIFS(H$5:H$639,$A$5:$A$639,$A570,$C$5:$C$639,$C570-1,$D$5:$D$639,$D570))-1)))</f>
        <v/>
      </c>
      <c r="Q570" s="16">
        <f>IF(OR($A570="",I570="",$C570=""),"",IF(COUNTIFS($A$5:$A$639,$A570,$C$5:$C$639,$C570-1,$D$5:$D$639,$D570,I$5:I$639,"&lt;&gt;")=0,"",IF(OR(SUMIFS(I$5:I$639,$A$5:$A$639,$A570,$C$5:$C$639,$C570-1,$D$5:$D$639,$D570)=0,I570*SUMIFS(I$5:I$639,$A$5:$A$639,$A570,$C$5:$C$639,$C570-1,$D$5:$D$639,$D570)&lt;0),"n.s.",ABS(I570)/ABS(SUMIFS(I$5:I$639,$A$5:$A$639,$A570,$C$5:$C$639,$C570-1,$D$5:$D$639,$D570))-1)))</f>
        <v/>
      </c>
      <c r="R570" s="16">
        <f>IF(OR($A570="",J570="",$C570=""),"",IF(COUNTIFS($A$5:$A$639,$A570,$C$5:$C$639,$C570-1,$D$5:$D$639,$D570,J$5:J$639,"&lt;&gt;")=0,"",IF(OR(SUMIFS(J$5:J$639,$A$5:$A$639,$A570,$C$5:$C$639,$C570-1,$D$5:$D$639,$D570)=0,J570*SUMIFS(J$5:J$639,$A$5:$A$639,$A570,$C$5:$C$639,$C570-1,$D$5:$D$639,$D570)&lt;0),"n.s.",ABS(J570)/ABS(SUMIFS(J$5:J$639,$A$5:$A$639,$A570,$C$5:$C$639,$C570-1,$D$5:$D$639,$D570))-1)))</f>
        <v/>
      </c>
      <c r="S570" s="16">
        <f>IF(OR($A570="",K570="",$C570=""),"",IF(COUNTIFS($A$5:$A$639,$A570,$C$5:$C$639,$C570-1,$D$5:$D$639,$D570,K$5:K$639,"&lt;&gt;")=0,"",IF(OR(SUMIFS(K$5:K$639,$A$5:$A$639,$A570,$C$5:$C$639,$C570-1,$D$5:$D$639,$D570)=0,K570*SUMIFS(K$5:K$639,$A$5:$A$639,$A570,$C$5:$C$639,$C570-1,$D$5:$D$639,$D570)&lt;0),"n.s.",ABS(K570)/ABS(SUMIFS(K$5:K$639,$A$5:$A$639,$A570,$C$5:$C$639,$C570-1,$D$5:$D$639,$D570))-1)))</f>
        <v/>
      </c>
      <c r="T570" s="16">
        <f>IF(OR($A570="",L570="",$C570=""),"",IF(COUNTIFS($A$5:$A$639,$A570,$C$5:$C$639,$C570-1,$D$5:$D$639,$D570,L$5:L$639,"&lt;&gt;")=0,"",IF(OR(SUMIFS(L$5:L$639,$A$5:$A$639,$A570,$C$5:$C$639,$C570-1,$D$5:$D$639,$D570)=0,L570*SUMIFS(L$5:L$639,$A$5:$A$639,$A570,$C$5:$C$639,$C570-1,$D$5:$D$639,$D570)&lt;0),"n.s.",ABS(L570)/ABS(SUMIFS(L$5:L$639,$A$5:$A$639,$A570,$C$5:$C$639,$C570-1,$D$5:$D$639,$D570))-1)))</f>
        <v/>
      </c>
      <c r="U570" s="16">
        <f>IF(OR($A570="",M570="",$C570=""),"",IF(COUNTIFS($A$5:$A$639,$A570,$C$5:$C$639,$C570-1,$D$5:$D$639,$D570,M$5:M$639,"&lt;&gt;")=0,"",IF(OR(SUMIFS(M$5:M$639,$A$5:$A$639,$A570,$C$5:$C$639,$C570-1,$D$5:$D$639,$D570)=0,M570*SUMIFS(M$5:M$639,$A$5:$A$639,$A570,$C$5:$C$639,$C570-1,$D$5:$D$639,$D570)&lt;0),"n.s.",ABS(M570)/ABS(SUMIFS(M$5:M$639,$A$5:$A$639,$A570,$C$5:$C$639,$C570-1,$D$5:$D$639,$D570))-1)))</f>
        <v/>
      </c>
    </row>
    <row r="571">
      <c r="A571" s="9" t="inlineStr">
        <is>
          <t>TTLC</t>
        </is>
      </c>
      <c r="B571" s="10">
        <f>IF(A571="","",IFERROR(VLOOKUP(A571,Titres!$A$2:$B$400,2,FALSE),"Ticker inconnu"))</f>
        <v/>
      </c>
      <c r="C571" s="11" t="n">
        <v>2023</v>
      </c>
      <c r="D571" s="11" t="inlineStr">
        <is>
          <t>T3</t>
        </is>
      </c>
      <c r="E571" s="9" t="n"/>
      <c r="F571" s="12" t="n"/>
      <c r="G571" s="9" t="n"/>
      <c r="H571" s="13" t="n"/>
      <c r="I571" s="13" t="n"/>
      <c r="J571" s="13" t="n"/>
      <c r="K571" s="13" t="n"/>
      <c r="L571" s="13" t="n"/>
      <c r="M571" s="13" t="n"/>
      <c r="N571" s="14">
        <f>IF(A571="","",COUNT(H571:M571)/6)</f>
        <v/>
      </c>
      <c r="O571" s="15">
        <f>IF(COUNT(H571:M571)=0,"",IF(LEN(IF(COUNT(I571,J571)=2,IF(J571&gt;I571+1,"EBE &gt; VA ",""),"")&amp;IF(COUNT(H571,M571)=2,IF(ABS(M571)&gt;ABS(H571),"RN &gt; CA ",""),"")&amp;IF(COUNT(H571,K571)=2,IF(ABS(K571)&gt;ABS(H571),"RE &gt; CA ",""),""))=0,"OK",IF(COUNT(I571,J571)=2,IF(J571&gt;I571+1,"EBE &gt; VA ",""),"")&amp;IF(COUNT(H571,M571)=2,IF(ABS(M571)&gt;ABS(H571),"RN &gt; CA ",""),"")&amp;IF(COUNT(H571,K571)=2,IF(ABS(K571)&gt;ABS(H571),"RE &gt; CA ",""),"")))</f>
        <v/>
      </c>
      <c r="P571" s="16">
        <f>IF(OR($A571="",H571="",$C571=""),"",IF(COUNTIFS($A$5:$A$639,$A571,$C$5:$C$639,$C571-1,$D$5:$D$639,$D571,H$5:H$639,"&lt;&gt;")=0,"",IF(OR(SUMIFS(H$5:H$639,$A$5:$A$639,$A571,$C$5:$C$639,$C571-1,$D$5:$D$639,$D571)=0,H571*SUMIFS(H$5:H$639,$A$5:$A$639,$A571,$C$5:$C$639,$C571-1,$D$5:$D$639,$D571)&lt;0),"n.s.",ABS(H571)/ABS(SUMIFS(H$5:H$639,$A$5:$A$639,$A571,$C$5:$C$639,$C571-1,$D$5:$D$639,$D571))-1)))</f>
        <v/>
      </c>
      <c r="Q571" s="16">
        <f>IF(OR($A571="",I571="",$C571=""),"",IF(COUNTIFS($A$5:$A$639,$A571,$C$5:$C$639,$C571-1,$D$5:$D$639,$D571,I$5:I$639,"&lt;&gt;")=0,"",IF(OR(SUMIFS(I$5:I$639,$A$5:$A$639,$A571,$C$5:$C$639,$C571-1,$D$5:$D$639,$D571)=0,I571*SUMIFS(I$5:I$639,$A$5:$A$639,$A571,$C$5:$C$639,$C571-1,$D$5:$D$639,$D571)&lt;0),"n.s.",ABS(I571)/ABS(SUMIFS(I$5:I$639,$A$5:$A$639,$A571,$C$5:$C$639,$C571-1,$D$5:$D$639,$D571))-1)))</f>
        <v/>
      </c>
      <c r="R571" s="16">
        <f>IF(OR($A571="",J571="",$C571=""),"",IF(COUNTIFS($A$5:$A$639,$A571,$C$5:$C$639,$C571-1,$D$5:$D$639,$D571,J$5:J$639,"&lt;&gt;")=0,"",IF(OR(SUMIFS(J$5:J$639,$A$5:$A$639,$A571,$C$5:$C$639,$C571-1,$D$5:$D$639,$D571)=0,J571*SUMIFS(J$5:J$639,$A$5:$A$639,$A571,$C$5:$C$639,$C571-1,$D$5:$D$639,$D571)&lt;0),"n.s.",ABS(J571)/ABS(SUMIFS(J$5:J$639,$A$5:$A$639,$A571,$C$5:$C$639,$C571-1,$D$5:$D$639,$D571))-1)))</f>
        <v/>
      </c>
      <c r="S571" s="16">
        <f>IF(OR($A571="",K571="",$C571=""),"",IF(COUNTIFS($A$5:$A$639,$A571,$C$5:$C$639,$C571-1,$D$5:$D$639,$D571,K$5:K$639,"&lt;&gt;")=0,"",IF(OR(SUMIFS(K$5:K$639,$A$5:$A$639,$A571,$C$5:$C$639,$C571-1,$D$5:$D$639,$D571)=0,K571*SUMIFS(K$5:K$639,$A$5:$A$639,$A571,$C$5:$C$639,$C571-1,$D$5:$D$639,$D571)&lt;0),"n.s.",ABS(K571)/ABS(SUMIFS(K$5:K$639,$A$5:$A$639,$A571,$C$5:$C$639,$C571-1,$D$5:$D$639,$D571))-1)))</f>
        <v/>
      </c>
      <c r="T571" s="16">
        <f>IF(OR($A571="",L571="",$C571=""),"",IF(COUNTIFS($A$5:$A$639,$A571,$C$5:$C$639,$C571-1,$D$5:$D$639,$D571,L$5:L$639,"&lt;&gt;")=0,"",IF(OR(SUMIFS(L$5:L$639,$A$5:$A$639,$A571,$C$5:$C$639,$C571-1,$D$5:$D$639,$D571)=0,L571*SUMIFS(L$5:L$639,$A$5:$A$639,$A571,$C$5:$C$639,$C571-1,$D$5:$D$639,$D571)&lt;0),"n.s.",ABS(L571)/ABS(SUMIFS(L$5:L$639,$A$5:$A$639,$A571,$C$5:$C$639,$C571-1,$D$5:$D$639,$D571))-1)))</f>
        <v/>
      </c>
      <c r="U571" s="16">
        <f>IF(OR($A571="",M571="",$C571=""),"",IF(COUNTIFS($A$5:$A$639,$A571,$C$5:$C$639,$C571-1,$D$5:$D$639,$D571,M$5:M$639,"&lt;&gt;")=0,"",IF(OR(SUMIFS(M$5:M$639,$A$5:$A$639,$A571,$C$5:$C$639,$C571-1,$D$5:$D$639,$D571)=0,M571*SUMIFS(M$5:M$639,$A$5:$A$639,$A571,$C$5:$C$639,$C571-1,$D$5:$D$639,$D571)&lt;0),"n.s.",ABS(M571)/ABS(SUMIFS(M$5:M$639,$A$5:$A$639,$A571,$C$5:$C$639,$C571-1,$D$5:$D$639,$D571))-1)))</f>
        <v/>
      </c>
    </row>
    <row r="572">
      <c r="A572" s="9" t="inlineStr">
        <is>
          <t>TTLC</t>
        </is>
      </c>
      <c r="B572" s="10">
        <f>IF(A572="","",IFERROR(VLOOKUP(A572,Titres!$A$2:$B$400,2,FALSE),"Ticker inconnu"))</f>
        <v/>
      </c>
      <c r="C572" s="11" t="n">
        <v>2024</v>
      </c>
      <c r="D572" s="11" t="inlineStr">
        <is>
          <t>T1</t>
        </is>
      </c>
      <c r="E572" s="9" t="n"/>
      <c r="F572" s="12" t="n"/>
      <c r="G572" s="9" t="n"/>
      <c r="H572" s="13" t="n"/>
      <c r="I572" s="13" t="n"/>
      <c r="J572" s="13" t="n"/>
      <c r="K572" s="13" t="n"/>
      <c r="L572" s="13" t="n"/>
      <c r="M572" s="13" t="n"/>
      <c r="N572" s="14">
        <f>IF(A572="","",COUNT(H572:M572)/6)</f>
        <v/>
      </c>
      <c r="O572" s="15">
        <f>IF(COUNT(H572:M572)=0,"",IF(LEN(IF(COUNT(I572,J572)=2,IF(J572&gt;I572+1,"EBE &gt; VA ",""),"")&amp;IF(COUNT(H572,M572)=2,IF(ABS(M572)&gt;ABS(H572),"RN &gt; CA ",""),"")&amp;IF(COUNT(H572,K572)=2,IF(ABS(K572)&gt;ABS(H572),"RE &gt; CA ",""),""))=0,"OK",IF(COUNT(I572,J572)=2,IF(J572&gt;I572+1,"EBE &gt; VA ",""),"")&amp;IF(COUNT(H572,M572)=2,IF(ABS(M572)&gt;ABS(H572),"RN &gt; CA ",""),"")&amp;IF(COUNT(H572,K572)=2,IF(ABS(K572)&gt;ABS(H572),"RE &gt; CA ",""),"")))</f>
        <v/>
      </c>
      <c r="P572" s="16">
        <f>IF(OR($A572="",H572="",$C572=""),"",IF(COUNTIFS($A$5:$A$639,$A572,$C$5:$C$639,$C572-1,$D$5:$D$639,$D572,H$5:H$639,"&lt;&gt;")=0,"",IF(OR(SUMIFS(H$5:H$639,$A$5:$A$639,$A572,$C$5:$C$639,$C572-1,$D$5:$D$639,$D572)=0,H572*SUMIFS(H$5:H$639,$A$5:$A$639,$A572,$C$5:$C$639,$C572-1,$D$5:$D$639,$D572)&lt;0),"n.s.",ABS(H572)/ABS(SUMIFS(H$5:H$639,$A$5:$A$639,$A572,$C$5:$C$639,$C572-1,$D$5:$D$639,$D572))-1)))</f>
        <v/>
      </c>
      <c r="Q572" s="16">
        <f>IF(OR($A572="",I572="",$C572=""),"",IF(COUNTIFS($A$5:$A$639,$A572,$C$5:$C$639,$C572-1,$D$5:$D$639,$D572,I$5:I$639,"&lt;&gt;")=0,"",IF(OR(SUMIFS(I$5:I$639,$A$5:$A$639,$A572,$C$5:$C$639,$C572-1,$D$5:$D$639,$D572)=0,I572*SUMIFS(I$5:I$639,$A$5:$A$639,$A572,$C$5:$C$639,$C572-1,$D$5:$D$639,$D572)&lt;0),"n.s.",ABS(I572)/ABS(SUMIFS(I$5:I$639,$A$5:$A$639,$A572,$C$5:$C$639,$C572-1,$D$5:$D$639,$D572))-1)))</f>
        <v/>
      </c>
      <c r="R572" s="16">
        <f>IF(OR($A572="",J572="",$C572=""),"",IF(COUNTIFS($A$5:$A$639,$A572,$C$5:$C$639,$C572-1,$D$5:$D$639,$D572,J$5:J$639,"&lt;&gt;")=0,"",IF(OR(SUMIFS(J$5:J$639,$A$5:$A$639,$A572,$C$5:$C$639,$C572-1,$D$5:$D$639,$D572)=0,J572*SUMIFS(J$5:J$639,$A$5:$A$639,$A572,$C$5:$C$639,$C572-1,$D$5:$D$639,$D572)&lt;0),"n.s.",ABS(J572)/ABS(SUMIFS(J$5:J$639,$A$5:$A$639,$A572,$C$5:$C$639,$C572-1,$D$5:$D$639,$D572))-1)))</f>
        <v/>
      </c>
      <c r="S572" s="16">
        <f>IF(OR($A572="",K572="",$C572=""),"",IF(COUNTIFS($A$5:$A$639,$A572,$C$5:$C$639,$C572-1,$D$5:$D$639,$D572,K$5:K$639,"&lt;&gt;")=0,"",IF(OR(SUMIFS(K$5:K$639,$A$5:$A$639,$A572,$C$5:$C$639,$C572-1,$D$5:$D$639,$D572)=0,K572*SUMIFS(K$5:K$639,$A$5:$A$639,$A572,$C$5:$C$639,$C572-1,$D$5:$D$639,$D572)&lt;0),"n.s.",ABS(K572)/ABS(SUMIFS(K$5:K$639,$A$5:$A$639,$A572,$C$5:$C$639,$C572-1,$D$5:$D$639,$D572))-1)))</f>
        <v/>
      </c>
      <c r="T572" s="16">
        <f>IF(OR($A572="",L572="",$C572=""),"",IF(COUNTIFS($A$5:$A$639,$A572,$C$5:$C$639,$C572-1,$D$5:$D$639,$D572,L$5:L$639,"&lt;&gt;")=0,"",IF(OR(SUMIFS(L$5:L$639,$A$5:$A$639,$A572,$C$5:$C$639,$C572-1,$D$5:$D$639,$D572)=0,L572*SUMIFS(L$5:L$639,$A$5:$A$639,$A572,$C$5:$C$639,$C572-1,$D$5:$D$639,$D572)&lt;0),"n.s.",ABS(L572)/ABS(SUMIFS(L$5:L$639,$A$5:$A$639,$A572,$C$5:$C$639,$C572-1,$D$5:$D$639,$D572))-1)))</f>
        <v/>
      </c>
      <c r="U572" s="16">
        <f>IF(OR($A572="",M572="",$C572=""),"",IF(COUNTIFS($A$5:$A$639,$A572,$C$5:$C$639,$C572-1,$D$5:$D$639,$D572,M$5:M$639,"&lt;&gt;")=0,"",IF(OR(SUMIFS(M$5:M$639,$A$5:$A$639,$A572,$C$5:$C$639,$C572-1,$D$5:$D$639,$D572)=0,M572*SUMIFS(M$5:M$639,$A$5:$A$639,$A572,$C$5:$C$639,$C572-1,$D$5:$D$639,$D572)&lt;0),"n.s.",ABS(M572)/ABS(SUMIFS(M$5:M$639,$A$5:$A$639,$A572,$C$5:$C$639,$C572-1,$D$5:$D$639,$D572))-1)))</f>
        <v/>
      </c>
    </row>
    <row r="573">
      <c r="A573" s="9" t="inlineStr">
        <is>
          <t>TTLC</t>
        </is>
      </c>
      <c r="B573" s="10">
        <f>IF(A573="","",IFERROR(VLOOKUP(A573,Titres!$A$2:$B$400,2,FALSE),"Ticker inconnu"))</f>
        <v/>
      </c>
      <c r="C573" s="11" t="n">
        <v>2024</v>
      </c>
      <c r="D573" s="11" t="inlineStr">
        <is>
          <t>S1</t>
        </is>
      </c>
      <c r="E573" s="9" t="n"/>
      <c r="F573" s="12" t="n"/>
      <c r="G573" s="9" t="n"/>
      <c r="H573" s="13" t="n"/>
      <c r="I573" s="13" t="n"/>
      <c r="J573" s="13" t="n"/>
      <c r="K573" s="13" t="n"/>
      <c r="L573" s="13" t="n"/>
      <c r="M573" s="13" t="n"/>
      <c r="N573" s="14">
        <f>IF(A573="","",COUNT(H573:M573)/6)</f>
        <v/>
      </c>
      <c r="O573" s="15">
        <f>IF(COUNT(H573:M573)=0,"",IF(LEN(IF(COUNT(I573,J573)=2,IF(J573&gt;I573+1,"EBE &gt; VA ",""),"")&amp;IF(COUNT(H573,M573)=2,IF(ABS(M573)&gt;ABS(H573),"RN &gt; CA ",""),"")&amp;IF(COUNT(H573,K573)=2,IF(ABS(K573)&gt;ABS(H573),"RE &gt; CA ",""),""))=0,"OK",IF(COUNT(I573,J573)=2,IF(J573&gt;I573+1,"EBE &gt; VA ",""),"")&amp;IF(COUNT(H573,M573)=2,IF(ABS(M573)&gt;ABS(H573),"RN &gt; CA ",""),"")&amp;IF(COUNT(H573,K573)=2,IF(ABS(K573)&gt;ABS(H573),"RE &gt; CA ",""),"")))</f>
        <v/>
      </c>
      <c r="P573" s="16">
        <f>IF(OR($A573="",H573="",$C573=""),"",IF(COUNTIFS($A$5:$A$639,$A573,$C$5:$C$639,$C573-1,$D$5:$D$639,$D573,H$5:H$639,"&lt;&gt;")=0,"",IF(OR(SUMIFS(H$5:H$639,$A$5:$A$639,$A573,$C$5:$C$639,$C573-1,$D$5:$D$639,$D573)=0,H573*SUMIFS(H$5:H$639,$A$5:$A$639,$A573,$C$5:$C$639,$C573-1,$D$5:$D$639,$D573)&lt;0),"n.s.",ABS(H573)/ABS(SUMIFS(H$5:H$639,$A$5:$A$639,$A573,$C$5:$C$639,$C573-1,$D$5:$D$639,$D573))-1)))</f>
        <v/>
      </c>
      <c r="Q573" s="16">
        <f>IF(OR($A573="",I573="",$C573=""),"",IF(COUNTIFS($A$5:$A$639,$A573,$C$5:$C$639,$C573-1,$D$5:$D$639,$D573,I$5:I$639,"&lt;&gt;")=0,"",IF(OR(SUMIFS(I$5:I$639,$A$5:$A$639,$A573,$C$5:$C$639,$C573-1,$D$5:$D$639,$D573)=0,I573*SUMIFS(I$5:I$639,$A$5:$A$639,$A573,$C$5:$C$639,$C573-1,$D$5:$D$639,$D573)&lt;0),"n.s.",ABS(I573)/ABS(SUMIFS(I$5:I$639,$A$5:$A$639,$A573,$C$5:$C$639,$C573-1,$D$5:$D$639,$D573))-1)))</f>
        <v/>
      </c>
      <c r="R573" s="16">
        <f>IF(OR($A573="",J573="",$C573=""),"",IF(COUNTIFS($A$5:$A$639,$A573,$C$5:$C$639,$C573-1,$D$5:$D$639,$D573,J$5:J$639,"&lt;&gt;")=0,"",IF(OR(SUMIFS(J$5:J$639,$A$5:$A$639,$A573,$C$5:$C$639,$C573-1,$D$5:$D$639,$D573)=0,J573*SUMIFS(J$5:J$639,$A$5:$A$639,$A573,$C$5:$C$639,$C573-1,$D$5:$D$639,$D573)&lt;0),"n.s.",ABS(J573)/ABS(SUMIFS(J$5:J$639,$A$5:$A$639,$A573,$C$5:$C$639,$C573-1,$D$5:$D$639,$D573))-1)))</f>
        <v/>
      </c>
      <c r="S573" s="16">
        <f>IF(OR($A573="",K573="",$C573=""),"",IF(COUNTIFS($A$5:$A$639,$A573,$C$5:$C$639,$C573-1,$D$5:$D$639,$D573,K$5:K$639,"&lt;&gt;")=0,"",IF(OR(SUMIFS(K$5:K$639,$A$5:$A$639,$A573,$C$5:$C$639,$C573-1,$D$5:$D$639,$D573)=0,K573*SUMIFS(K$5:K$639,$A$5:$A$639,$A573,$C$5:$C$639,$C573-1,$D$5:$D$639,$D573)&lt;0),"n.s.",ABS(K573)/ABS(SUMIFS(K$5:K$639,$A$5:$A$639,$A573,$C$5:$C$639,$C573-1,$D$5:$D$639,$D573))-1)))</f>
        <v/>
      </c>
      <c r="T573" s="16">
        <f>IF(OR($A573="",L573="",$C573=""),"",IF(COUNTIFS($A$5:$A$639,$A573,$C$5:$C$639,$C573-1,$D$5:$D$639,$D573,L$5:L$639,"&lt;&gt;")=0,"",IF(OR(SUMIFS(L$5:L$639,$A$5:$A$639,$A573,$C$5:$C$639,$C573-1,$D$5:$D$639,$D573)=0,L573*SUMIFS(L$5:L$639,$A$5:$A$639,$A573,$C$5:$C$639,$C573-1,$D$5:$D$639,$D573)&lt;0),"n.s.",ABS(L573)/ABS(SUMIFS(L$5:L$639,$A$5:$A$639,$A573,$C$5:$C$639,$C573-1,$D$5:$D$639,$D573))-1)))</f>
        <v/>
      </c>
      <c r="U573" s="16">
        <f>IF(OR($A573="",M573="",$C573=""),"",IF(COUNTIFS($A$5:$A$639,$A573,$C$5:$C$639,$C573-1,$D$5:$D$639,$D573,M$5:M$639,"&lt;&gt;")=0,"",IF(OR(SUMIFS(M$5:M$639,$A$5:$A$639,$A573,$C$5:$C$639,$C573-1,$D$5:$D$639,$D573)=0,M573*SUMIFS(M$5:M$639,$A$5:$A$639,$A573,$C$5:$C$639,$C573-1,$D$5:$D$639,$D573)&lt;0),"n.s.",ABS(M573)/ABS(SUMIFS(M$5:M$639,$A$5:$A$639,$A573,$C$5:$C$639,$C573-1,$D$5:$D$639,$D573))-1)))</f>
        <v/>
      </c>
    </row>
    <row r="574">
      <c r="A574" s="9" t="inlineStr">
        <is>
          <t>TTLC</t>
        </is>
      </c>
      <c r="B574" s="10">
        <f>IF(A574="","",IFERROR(VLOOKUP(A574,Titres!$A$2:$B$400,2,FALSE),"Ticker inconnu"))</f>
        <v/>
      </c>
      <c r="C574" s="11" t="n">
        <v>2024</v>
      </c>
      <c r="D574" s="11" t="inlineStr">
        <is>
          <t>T3</t>
        </is>
      </c>
      <c r="E574" s="9" t="n"/>
      <c r="F574" s="12" t="n"/>
      <c r="G574" s="9" t="n"/>
      <c r="H574" s="13" t="n"/>
      <c r="I574" s="13" t="n"/>
      <c r="J574" s="13" t="n"/>
      <c r="K574" s="13" t="n"/>
      <c r="L574" s="13" t="n"/>
      <c r="M574" s="13" t="n"/>
      <c r="N574" s="14">
        <f>IF(A574="","",COUNT(H574:M574)/6)</f>
        <v/>
      </c>
      <c r="O574" s="15">
        <f>IF(COUNT(H574:M574)=0,"",IF(LEN(IF(COUNT(I574,J574)=2,IF(J574&gt;I574+1,"EBE &gt; VA ",""),"")&amp;IF(COUNT(H574,M574)=2,IF(ABS(M574)&gt;ABS(H574),"RN &gt; CA ",""),"")&amp;IF(COUNT(H574,K574)=2,IF(ABS(K574)&gt;ABS(H574),"RE &gt; CA ",""),""))=0,"OK",IF(COUNT(I574,J574)=2,IF(J574&gt;I574+1,"EBE &gt; VA ",""),"")&amp;IF(COUNT(H574,M574)=2,IF(ABS(M574)&gt;ABS(H574),"RN &gt; CA ",""),"")&amp;IF(COUNT(H574,K574)=2,IF(ABS(K574)&gt;ABS(H574),"RE &gt; CA ",""),"")))</f>
        <v/>
      </c>
      <c r="P574" s="16">
        <f>IF(OR($A574="",H574="",$C574=""),"",IF(COUNTIFS($A$5:$A$639,$A574,$C$5:$C$639,$C574-1,$D$5:$D$639,$D574,H$5:H$639,"&lt;&gt;")=0,"",IF(OR(SUMIFS(H$5:H$639,$A$5:$A$639,$A574,$C$5:$C$639,$C574-1,$D$5:$D$639,$D574)=0,H574*SUMIFS(H$5:H$639,$A$5:$A$639,$A574,$C$5:$C$639,$C574-1,$D$5:$D$639,$D574)&lt;0),"n.s.",ABS(H574)/ABS(SUMIFS(H$5:H$639,$A$5:$A$639,$A574,$C$5:$C$639,$C574-1,$D$5:$D$639,$D574))-1)))</f>
        <v/>
      </c>
      <c r="Q574" s="16">
        <f>IF(OR($A574="",I574="",$C574=""),"",IF(COUNTIFS($A$5:$A$639,$A574,$C$5:$C$639,$C574-1,$D$5:$D$639,$D574,I$5:I$639,"&lt;&gt;")=0,"",IF(OR(SUMIFS(I$5:I$639,$A$5:$A$639,$A574,$C$5:$C$639,$C574-1,$D$5:$D$639,$D574)=0,I574*SUMIFS(I$5:I$639,$A$5:$A$639,$A574,$C$5:$C$639,$C574-1,$D$5:$D$639,$D574)&lt;0),"n.s.",ABS(I574)/ABS(SUMIFS(I$5:I$639,$A$5:$A$639,$A574,$C$5:$C$639,$C574-1,$D$5:$D$639,$D574))-1)))</f>
        <v/>
      </c>
      <c r="R574" s="16">
        <f>IF(OR($A574="",J574="",$C574=""),"",IF(COUNTIFS($A$5:$A$639,$A574,$C$5:$C$639,$C574-1,$D$5:$D$639,$D574,J$5:J$639,"&lt;&gt;")=0,"",IF(OR(SUMIFS(J$5:J$639,$A$5:$A$639,$A574,$C$5:$C$639,$C574-1,$D$5:$D$639,$D574)=0,J574*SUMIFS(J$5:J$639,$A$5:$A$639,$A574,$C$5:$C$639,$C574-1,$D$5:$D$639,$D574)&lt;0),"n.s.",ABS(J574)/ABS(SUMIFS(J$5:J$639,$A$5:$A$639,$A574,$C$5:$C$639,$C574-1,$D$5:$D$639,$D574))-1)))</f>
        <v/>
      </c>
      <c r="S574" s="16">
        <f>IF(OR($A574="",K574="",$C574=""),"",IF(COUNTIFS($A$5:$A$639,$A574,$C$5:$C$639,$C574-1,$D$5:$D$639,$D574,K$5:K$639,"&lt;&gt;")=0,"",IF(OR(SUMIFS(K$5:K$639,$A$5:$A$639,$A574,$C$5:$C$639,$C574-1,$D$5:$D$639,$D574)=0,K574*SUMIFS(K$5:K$639,$A$5:$A$639,$A574,$C$5:$C$639,$C574-1,$D$5:$D$639,$D574)&lt;0),"n.s.",ABS(K574)/ABS(SUMIFS(K$5:K$639,$A$5:$A$639,$A574,$C$5:$C$639,$C574-1,$D$5:$D$639,$D574))-1)))</f>
        <v/>
      </c>
      <c r="T574" s="16">
        <f>IF(OR($A574="",L574="",$C574=""),"",IF(COUNTIFS($A$5:$A$639,$A574,$C$5:$C$639,$C574-1,$D$5:$D$639,$D574,L$5:L$639,"&lt;&gt;")=0,"",IF(OR(SUMIFS(L$5:L$639,$A$5:$A$639,$A574,$C$5:$C$639,$C574-1,$D$5:$D$639,$D574)=0,L574*SUMIFS(L$5:L$639,$A$5:$A$639,$A574,$C$5:$C$639,$C574-1,$D$5:$D$639,$D574)&lt;0),"n.s.",ABS(L574)/ABS(SUMIFS(L$5:L$639,$A$5:$A$639,$A574,$C$5:$C$639,$C574-1,$D$5:$D$639,$D574))-1)))</f>
        <v/>
      </c>
      <c r="U574" s="16">
        <f>IF(OR($A574="",M574="",$C574=""),"",IF(COUNTIFS($A$5:$A$639,$A574,$C$5:$C$639,$C574-1,$D$5:$D$639,$D574,M$5:M$639,"&lt;&gt;")=0,"",IF(OR(SUMIFS(M$5:M$639,$A$5:$A$639,$A574,$C$5:$C$639,$C574-1,$D$5:$D$639,$D574)=0,M574*SUMIFS(M$5:M$639,$A$5:$A$639,$A574,$C$5:$C$639,$C574-1,$D$5:$D$639,$D574)&lt;0),"n.s.",ABS(M574)/ABS(SUMIFS(M$5:M$639,$A$5:$A$639,$A574,$C$5:$C$639,$C574-1,$D$5:$D$639,$D574))-1)))</f>
        <v/>
      </c>
    </row>
    <row r="575">
      <c r="A575" s="9" t="inlineStr">
        <is>
          <t>TTLC</t>
        </is>
      </c>
      <c r="B575" s="10">
        <f>IF(A575="","",IFERROR(VLOOKUP(A575,Titres!$A$2:$B$400,2,FALSE),"Ticker inconnu"))</f>
        <v/>
      </c>
      <c r="C575" s="11" t="n">
        <v>2025</v>
      </c>
      <c r="D575" s="11" t="inlineStr">
        <is>
          <t>T1</t>
        </is>
      </c>
      <c r="E575" s="9" t="n"/>
      <c r="F575" s="12" t="n"/>
      <c r="G575" s="9" t="n"/>
      <c r="H575" s="13" t="n"/>
      <c r="I575" s="13" t="n"/>
      <c r="J575" s="13" t="n"/>
      <c r="K575" s="13" t="n"/>
      <c r="L575" s="13" t="n"/>
      <c r="M575" s="13" t="n"/>
      <c r="N575" s="14">
        <f>IF(A575="","",COUNT(H575:M575)/6)</f>
        <v/>
      </c>
      <c r="O575" s="15">
        <f>IF(COUNT(H575:M575)=0,"",IF(LEN(IF(COUNT(I575,J575)=2,IF(J575&gt;I575+1,"EBE &gt; VA ",""),"")&amp;IF(COUNT(H575,M575)=2,IF(ABS(M575)&gt;ABS(H575),"RN &gt; CA ",""),"")&amp;IF(COUNT(H575,K575)=2,IF(ABS(K575)&gt;ABS(H575),"RE &gt; CA ",""),""))=0,"OK",IF(COUNT(I575,J575)=2,IF(J575&gt;I575+1,"EBE &gt; VA ",""),"")&amp;IF(COUNT(H575,M575)=2,IF(ABS(M575)&gt;ABS(H575),"RN &gt; CA ",""),"")&amp;IF(COUNT(H575,K575)=2,IF(ABS(K575)&gt;ABS(H575),"RE &gt; CA ",""),"")))</f>
        <v/>
      </c>
      <c r="P575" s="16">
        <f>IF(OR($A575="",H575="",$C575=""),"",IF(COUNTIFS($A$5:$A$639,$A575,$C$5:$C$639,$C575-1,$D$5:$D$639,$D575,H$5:H$639,"&lt;&gt;")=0,"",IF(OR(SUMIFS(H$5:H$639,$A$5:$A$639,$A575,$C$5:$C$639,$C575-1,$D$5:$D$639,$D575)=0,H575*SUMIFS(H$5:H$639,$A$5:$A$639,$A575,$C$5:$C$639,$C575-1,$D$5:$D$639,$D575)&lt;0),"n.s.",ABS(H575)/ABS(SUMIFS(H$5:H$639,$A$5:$A$639,$A575,$C$5:$C$639,$C575-1,$D$5:$D$639,$D575))-1)))</f>
        <v/>
      </c>
      <c r="Q575" s="16">
        <f>IF(OR($A575="",I575="",$C575=""),"",IF(COUNTIFS($A$5:$A$639,$A575,$C$5:$C$639,$C575-1,$D$5:$D$639,$D575,I$5:I$639,"&lt;&gt;")=0,"",IF(OR(SUMIFS(I$5:I$639,$A$5:$A$639,$A575,$C$5:$C$639,$C575-1,$D$5:$D$639,$D575)=0,I575*SUMIFS(I$5:I$639,$A$5:$A$639,$A575,$C$5:$C$639,$C575-1,$D$5:$D$639,$D575)&lt;0),"n.s.",ABS(I575)/ABS(SUMIFS(I$5:I$639,$A$5:$A$639,$A575,$C$5:$C$639,$C575-1,$D$5:$D$639,$D575))-1)))</f>
        <v/>
      </c>
      <c r="R575" s="16">
        <f>IF(OR($A575="",J575="",$C575=""),"",IF(COUNTIFS($A$5:$A$639,$A575,$C$5:$C$639,$C575-1,$D$5:$D$639,$D575,J$5:J$639,"&lt;&gt;")=0,"",IF(OR(SUMIFS(J$5:J$639,$A$5:$A$639,$A575,$C$5:$C$639,$C575-1,$D$5:$D$639,$D575)=0,J575*SUMIFS(J$5:J$639,$A$5:$A$639,$A575,$C$5:$C$639,$C575-1,$D$5:$D$639,$D575)&lt;0),"n.s.",ABS(J575)/ABS(SUMIFS(J$5:J$639,$A$5:$A$639,$A575,$C$5:$C$639,$C575-1,$D$5:$D$639,$D575))-1)))</f>
        <v/>
      </c>
      <c r="S575" s="16">
        <f>IF(OR($A575="",K575="",$C575=""),"",IF(COUNTIFS($A$5:$A$639,$A575,$C$5:$C$639,$C575-1,$D$5:$D$639,$D575,K$5:K$639,"&lt;&gt;")=0,"",IF(OR(SUMIFS(K$5:K$639,$A$5:$A$639,$A575,$C$5:$C$639,$C575-1,$D$5:$D$639,$D575)=0,K575*SUMIFS(K$5:K$639,$A$5:$A$639,$A575,$C$5:$C$639,$C575-1,$D$5:$D$639,$D575)&lt;0),"n.s.",ABS(K575)/ABS(SUMIFS(K$5:K$639,$A$5:$A$639,$A575,$C$5:$C$639,$C575-1,$D$5:$D$639,$D575))-1)))</f>
        <v/>
      </c>
      <c r="T575" s="16">
        <f>IF(OR($A575="",L575="",$C575=""),"",IF(COUNTIFS($A$5:$A$639,$A575,$C$5:$C$639,$C575-1,$D$5:$D$639,$D575,L$5:L$639,"&lt;&gt;")=0,"",IF(OR(SUMIFS(L$5:L$639,$A$5:$A$639,$A575,$C$5:$C$639,$C575-1,$D$5:$D$639,$D575)=0,L575*SUMIFS(L$5:L$639,$A$5:$A$639,$A575,$C$5:$C$639,$C575-1,$D$5:$D$639,$D575)&lt;0),"n.s.",ABS(L575)/ABS(SUMIFS(L$5:L$639,$A$5:$A$639,$A575,$C$5:$C$639,$C575-1,$D$5:$D$639,$D575))-1)))</f>
        <v/>
      </c>
      <c r="U575" s="16">
        <f>IF(OR($A575="",M575="",$C575=""),"",IF(COUNTIFS($A$5:$A$639,$A575,$C$5:$C$639,$C575-1,$D$5:$D$639,$D575,M$5:M$639,"&lt;&gt;")=0,"",IF(OR(SUMIFS(M$5:M$639,$A$5:$A$639,$A575,$C$5:$C$639,$C575-1,$D$5:$D$639,$D575)=0,M575*SUMIFS(M$5:M$639,$A$5:$A$639,$A575,$C$5:$C$639,$C575-1,$D$5:$D$639,$D575)&lt;0),"n.s.",ABS(M575)/ABS(SUMIFS(M$5:M$639,$A$5:$A$639,$A575,$C$5:$C$639,$C575-1,$D$5:$D$639,$D575))-1)))</f>
        <v/>
      </c>
    </row>
    <row r="576">
      <c r="A576" s="9" t="inlineStr">
        <is>
          <t>TTLC</t>
        </is>
      </c>
      <c r="B576" s="10">
        <f>IF(A576="","",IFERROR(VLOOKUP(A576,Titres!$A$2:$B$400,2,FALSE),"Ticker inconnu"))</f>
        <v/>
      </c>
      <c r="C576" s="11" t="n">
        <v>2025</v>
      </c>
      <c r="D576" s="11" t="inlineStr">
        <is>
          <t>S1</t>
        </is>
      </c>
      <c r="E576" s="9" t="n"/>
      <c r="F576" s="12" t="n"/>
      <c r="G576" s="9" t="n"/>
      <c r="H576" s="13" t="n"/>
      <c r="I576" s="13" t="n"/>
      <c r="J576" s="13" t="n"/>
      <c r="K576" s="13" t="n"/>
      <c r="L576" s="13" t="n"/>
      <c r="M576" s="13" t="n"/>
      <c r="N576" s="14">
        <f>IF(A576="","",COUNT(H576:M576)/6)</f>
        <v/>
      </c>
      <c r="O576" s="15">
        <f>IF(COUNT(H576:M576)=0,"",IF(LEN(IF(COUNT(I576,J576)=2,IF(J576&gt;I576+1,"EBE &gt; VA ",""),"")&amp;IF(COUNT(H576,M576)=2,IF(ABS(M576)&gt;ABS(H576),"RN &gt; CA ",""),"")&amp;IF(COUNT(H576,K576)=2,IF(ABS(K576)&gt;ABS(H576),"RE &gt; CA ",""),""))=0,"OK",IF(COUNT(I576,J576)=2,IF(J576&gt;I576+1,"EBE &gt; VA ",""),"")&amp;IF(COUNT(H576,M576)=2,IF(ABS(M576)&gt;ABS(H576),"RN &gt; CA ",""),"")&amp;IF(COUNT(H576,K576)=2,IF(ABS(K576)&gt;ABS(H576),"RE &gt; CA ",""),"")))</f>
        <v/>
      </c>
      <c r="P576" s="16">
        <f>IF(OR($A576="",H576="",$C576=""),"",IF(COUNTIFS($A$5:$A$639,$A576,$C$5:$C$639,$C576-1,$D$5:$D$639,$D576,H$5:H$639,"&lt;&gt;")=0,"",IF(OR(SUMIFS(H$5:H$639,$A$5:$A$639,$A576,$C$5:$C$639,$C576-1,$D$5:$D$639,$D576)=0,H576*SUMIFS(H$5:H$639,$A$5:$A$639,$A576,$C$5:$C$639,$C576-1,$D$5:$D$639,$D576)&lt;0),"n.s.",ABS(H576)/ABS(SUMIFS(H$5:H$639,$A$5:$A$639,$A576,$C$5:$C$639,$C576-1,$D$5:$D$639,$D576))-1)))</f>
        <v/>
      </c>
      <c r="Q576" s="16">
        <f>IF(OR($A576="",I576="",$C576=""),"",IF(COUNTIFS($A$5:$A$639,$A576,$C$5:$C$639,$C576-1,$D$5:$D$639,$D576,I$5:I$639,"&lt;&gt;")=0,"",IF(OR(SUMIFS(I$5:I$639,$A$5:$A$639,$A576,$C$5:$C$639,$C576-1,$D$5:$D$639,$D576)=0,I576*SUMIFS(I$5:I$639,$A$5:$A$639,$A576,$C$5:$C$639,$C576-1,$D$5:$D$639,$D576)&lt;0),"n.s.",ABS(I576)/ABS(SUMIFS(I$5:I$639,$A$5:$A$639,$A576,$C$5:$C$639,$C576-1,$D$5:$D$639,$D576))-1)))</f>
        <v/>
      </c>
      <c r="R576" s="16">
        <f>IF(OR($A576="",J576="",$C576=""),"",IF(COUNTIFS($A$5:$A$639,$A576,$C$5:$C$639,$C576-1,$D$5:$D$639,$D576,J$5:J$639,"&lt;&gt;")=0,"",IF(OR(SUMIFS(J$5:J$639,$A$5:$A$639,$A576,$C$5:$C$639,$C576-1,$D$5:$D$639,$D576)=0,J576*SUMIFS(J$5:J$639,$A$5:$A$639,$A576,$C$5:$C$639,$C576-1,$D$5:$D$639,$D576)&lt;0),"n.s.",ABS(J576)/ABS(SUMIFS(J$5:J$639,$A$5:$A$639,$A576,$C$5:$C$639,$C576-1,$D$5:$D$639,$D576))-1)))</f>
        <v/>
      </c>
      <c r="S576" s="16">
        <f>IF(OR($A576="",K576="",$C576=""),"",IF(COUNTIFS($A$5:$A$639,$A576,$C$5:$C$639,$C576-1,$D$5:$D$639,$D576,K$5:K$639,"&lt;&gt;")=0,"",IF(OR(SUMIFS(K$5:K$639,$A$5:$A$639,$A576,$C$5:$C$639,$C576-1,$D$5:$D$639,$D576)=0,K576*SUMIFS(K$5:K$639,$A$5:$A$639,$A576,$C$5:$C$639,$C576-1,$D$5:$D$639,$D576)&lt;0),"n.s.",ABS(K576)/ABS(SUMIFS(K$5:K$639,$A$5:$A$639,$A576,$C$5:$C$639,$C576-1,$D$5:$D$639,$D576))-1)))</f>
        <v/>
      </c>
      <c r="T576" s="16">
        <f>IF(OR($A576="",L576="",$C576=""),"",IF(COUNTIFS($A$5:$A$639,$A576,$C$5:$C$639,$C576-1,$D$5:$D$639,$D576,L$5:L$639,"&lt;&gt;")=0,"",IF(OR(SUMIFS(L$5:L$639,$A$5:$A$639,$A576,$C$5:$C$639,$C576-1,$D$5:$D$639,$D576)=0,L576*SUMIFS(L$5:L$639,$A$5:$A$639,$A576,$C$5:$C$639,$C576-1,$D$5:$D$639,$D576)&lt;0),"n.s.",ABS(L576)/ABS(SUMIFS(L$5:L$639,$A$5:$A$639,$A576,$C$5:$C$639,$C576-1,$D$5:$D$639,$D576))-1)))</f>
        <v/>
      </c>
      <c r="U576" s="16">
        <f>IF(OR($A576="",M576="",$C576=""),"",IF(COUNTIFS($A$5:$A$639,$A576,$C$5:$C$639,$C576-1,$D$5:$D$639,$D576,M$5:M$639,"&lt;&gt;")=0,"",IF(OR(SUMIFS(M$5:M$639,$A$5:$A$639,$A576,$C$5:$C$639,$C576-1,$D$5:$D$639,$D576)=0,M576*SUMIFS(M$5:M$639,$A$5:$A$639,$A576,$C$5:$C$639,$C576-1,$D$5:$D$639,$D576)&lt;0),"n.s.",ABS(M576)/ABS(SUMIFS(M$5:M$639,$A$5:$A$639,$A576,$C$5:$C$639,$C576-1,$D$5:$D$639,$D576))-1)))</f>
        <v/>
      </c>
    </row>
    <row r="577">
      <c r="A577" s="9" t="inlineStr">
        <is>
          <t>TTLC</t>
        </is>
      </c>
      <c r="B577" s="10">
        <f>IF(A577="","",IFERROR(VLOOKUP(A577,Titres!$A$2:$B$400,2,FALSE),"Ticker inconnu"))</f>
        <v/>
      </c>
      <c r="C577" s="11" t="n">
        <v>2025</v>
      </c>
      <c r="D577" s="11" t="inlineStr">
        <is>
          <t>T3</t>
        </is>
      </c>
      <c r="E577" s="9" t="n"/>
      <c r="F577" s="12" t="n"/>
      <c r="G577" s="9" t="n"/>
      <c r="H577" s="13" t="n"/>
      <c r="I577" s="13" t="n"/>
      <c r="J577" s="13" t="n"/>
      <c r="K577" s="13" t="n"/>
      <c r="L577" s="13" t="n"/>
      <c r="M577" s="13" t="n"/>
      <c r="N577" s="14">
        <f>IF(A577="","",COUNT(H577:M577)/6)</f>
        <v/>
      </c>
      <c r="O577" s="15">
        <f>IF(COUNT(H577:M577)=0,"",IF(LEN(IF(COUNT(I577,J577)=2,IF(J577&gt;I577+1,"EBE &gt; VA ",""),"")&amp;IF(COUNT(H577,M577)=2,IF(ABS(M577)&gt;ABS(H577),"RN &gt; CA ",""),"")&amp;IF(COUNT(H577,K577)=2,IF(ABS(K577)&gt;ABS(H577),"RE &gt; CA ",""),""))=0,"OK",IF(COUNT(I577,J577)=2,IF(J577&gt;I577+1,"EBE &gt; VA ",""),"")&amp;IF(COUNT(H577,M577)=2,IF(ABS(M577)&gt;ABS(H577),"RN &gt; CA ",""),"")&amp;IF(COUNT(H577,K577)=2,IF(ABS(K577)&gt;ABS(H577),"RE &gt; CA ",""),"")))</f>
        <v/>
      </c>
      <c r="P577" s="16">
        <f>IF(OR($A577="",H577="",$C577=""),"",IF(COUNTIFS($A$5:$A$639,$A577,$C$5:$C$639,$C577-1,$D$5:$D$639,$D577,H$5:H$639,"&lt;&gt;")=0,"",IF(OR(SUMIFS(H$5:H$639,$A$5:$A$639,$A577,$C$5:$C$639,$C577-1,$D$5:$D$639,$D577)=0,H577*SUMIFS(H$5:H$639,$A$5:$A$639,$A577,$C$5:$C$639,$C577-1,$D$5:$D$639,$D577)&lt;0),"n.s.",ABS(H577)/ABS(SUMIFS(H$5:H$639,$A$5:$A$639,$A577,$C$5:$C$639,$C577-1,$D$5:$D$639,$D577))-1)))</f>
        <v/>
      </c>
      <c r="Q577" s="16">
        <f>IF(OR($A577="",I577="",$C577=""),"",IF(COUNTIFS($A$5:$A$639,$A577,$C$5:$C$639,$C577-1,$D$5:$D$639,$D577,I$5:I$639,"&lt;&gt;")=0,"",IF(OR(SUMIFS(I$5:I$639,$A$5:$A$639,$A577,$C$5:$C$639,$C577-1,$D$5:$D$639,$D577)=0,I577*SUMIFS(I$5:I$639,$A$5:$A$639,$A577,$C$5:$C$639,$C577-1,$D$5:$D$639,$D577)&lt;0),"n.s.",ABS(I577)/ABS(SUMIFS(I$5:I$639,$A$5:$A$639,$A577,$C$5:$C$639,$C577-1,$D$5:$D$639,$D577))-1)))</f>
        <v/>
      </c>
      <c r="R577" s="16">
        <f>IF(OR($A577="",J577="",$C577=""),"",IF(COUNTIFS($A$5:$A$639,$A577,$C$5:$C$639,$C577-1,$D$5:$D$639,$D577,J$5:J$639,"&lt;&gt;")=0,"",IF(OR(SUMIFS(J$5:J$639,$A$5:$A$639,$A577,$C$5:$C$639,$C577-1,$D$5:$D$639,$D577)=0,J577*SUMIFS(J$5:J$639,$A$5:$A$639,$A577,$C$5:$C$639,$C577-1,$D$5:$D$639,$D577)&lt;0),"n.s.",ABS(J577)/ABS(SUMIFS(J$5:J$639,$A$5:$A$639,$A577,$C$5:$C$639,$C577-1,$D$5:$D$639,$D577))-1)))</f>
        <v/>
      </c>
      <c r="S577" s="16">
        <f>IF(OR($A577="",K577="",$C577=""),"",IF(COUNTIFS($A$5:$A$639,$A577,$C$5:$C$639,$C577-1,$D$5:$D$639,$D577,K$5:K$639,"&lt;&gt;")=0,"",IF(OR(SUMIFS(K$5:K$639,$A$5:$A$639,$A577,$C$5:$C$639,$C577-1,$D$5:$D$639,$D577)=0,K577*SUMIFS(K$5:K$639,$A$5:$A$639,$A577,$C$5:$C$639,$C577-1,$D$5:$D$639,$D577)&lt;0),"n.s.",ABS(K577)/ABS(SUMIFS(K$5:K$639,$A$5:$A$639,$A577,$C$5:$C$639,$C577-1,$D$5:$D$639,$D577))-1)))</f>
        <v/>
      </c>
      <c r="T577" s="16">
        <f>IF(OR($A577="",L577="",$C577=""),"",IF(COUNTIFS($A$5:$A$639,$A577,$C$5:$C$639,$C577-1,$D$5:$D$639,$D577,L$5:L$639,"&lt;&gt;")=0,"",IF(OR(SUMIFS(L$5:L$639,$A$5:$A$639,$A577,$C$5:$C$639,$C577-1,$D$5:$D$639,$D577)=0,L577*SUMIFS(L$5:L$639,$A$5:$A$639,$A577,$C$5:$C$639,$C577-1,$D$5:$D$639,$D577)&lt;0),"n.s.",ABS(L577)/ABS(SUMIFS(L$5:L$639,$A$5:$A$639,$A577,$C$5:$C$639,$C577-1,$D$5:$D$639,$D577))-1)))</f>
        <v/>
      </c>
      <c r="U577" s="16">
        <f>IF(OR($A577="",M577="",$C577=""),"",IF(COUNTIFS($A$5:$A$639,$A577,$C$5:$C$639,$C577-1,$D$5:$D$639,$D577,M$5:M$639,"&lt;&gt;")=0,"",IF(OR(SUMIFS(M$5:M$639,$A$5:$A$639,$A577,$C$5:$C$639,$C577-1,$D$5:$D$639,$D577)=0,M577*SUMIFS(M$5:M$639,$A$5:$A$639,$A577,$C$5:$C$639,$C577-1,$D$5:$D$639,$D577)&lt;0),"n.s.",ABS(M577)/ABS(SUMIFS(M$5:M$639,$A$5:$A$639,$A577,$C$5:$C$639,$C577-1,$D$5:$D$639,$D577))-1)))</f>
        <v/>
      </c>
    </row>
    <row r="578">
      <c r="A578" s="9" t="inlineStr">
        <is>
          <t>TTLC</t>
        </is>
      </c>
      <c r="B578" s="10">
        <f>IF(A578="","",IFERROR(VLOOKUP(A578,Titres!$A$2:$B$400,2,FALSE),"Ticker inconnu"))</f>
        <v/>
      </c>
      <c r="C578" s="11" t="n">
        <v>2026</v>
      </c>
      <c r="D578" s="11" t="inlineStr">
        <is>
          <t>T1</t>
        </is>
      </c>
      <c r="E578" s="9" t="n"/>
      <c r="F578" s="12" t="n"/>
      <c r="G578" s="9" t="n"/>
      <c r="H578" s="13" t="n"/>
      <c r="I578" s="13" t="n"/>
      <c r="J578" s="13" t="n"/>
      <c r="K578" s="13" t="n"/>
      <c r="L578" s="13" t="n"/>
      <c r="M578" s="13" t="n"/>
      <c r="N578" s="14">
        <f>IF(A578="","",COUNT(H578:M578)/6)</f>
        <v/>
      </c>
      <c r="O578" s="15">
        <f>IF(COUNT(H578:M578)=0,"",IF(LEN(IF(COUNT(I578,J578)=2,IF(J578&gt;I578+1,"EBE &gt; VA ",""),"")&amp;IF(COUNT(H578,M578)=2,IF(ABS(M578)&gt;ABS(H578),"RN &gt; CA ",""),"")&amp;IF(COUNT(H578,K578)=2,IF(ABS(K578)&gt;ABS(H578),"RE &gt; CA ",""),""))=0,"OK",IF(COUNT(I578,J578)=2,IF(J578&gt;I578+1,"EBE &gt; VA ",""),"")&amp;IF(COUNT(H578,M578)=2,IF(ABS(M578)&gt;ABS(H578),"RN &gt; CA ",""),"")&amp;IF(COUNT(H578,K578)=2,IF(ABS(K578)&gt;ABS(H578),"RE &gt; CA ",""),"")))</f>
        <v/>
      </c>
      <c r="P578" s="16">
        <f>IF(OR($A578="",H578="",$C578=""),"",IF(COUNTIFS($A$5:$A$639,$A578,$C$5:$C$639,$C578-1,$D$5:$D$639,$D578,H$5:H$639,"&lt;&gt;")=0,"",IF(OR(SUMIFS(H$5:H$639,$A$5:$A$639,$A578,$C$5:$C$639,$C578-1,$D$5:$D$639,$D578)=0,H578*SUMIFS(H$5:H$639,$A$5:$A$639,$A578,$C$5:$C$639,$C578-1,$D$5:$D$639,$D578)&lt;0),"n.s.",ABS(H578)/ABS(SUMIFS(H$5:H$639,$A$5:$A$639,$A578,$C$5:$C$639,$C578-1,$D$5:$D$639,$D578))-1)))</f>
        <v/>
      </c>
      <c r="Q578" s="16">
        <f>IF(OR($A578="",I578="",$C578=""),"",IF(COUNTIFS($A$5:$A$639,$A578,$C$5:$C$639,$C578-1,$D$5:$D$639,$D578,I$5:I$639,"&lt;&gt;")=0,"",IF(OR(SUMIFS(I$5:I$639,$A$5:$A$639,$A578,$C$5:$C$639,$C578-1,$D$5:$D$639,$D578)=0,I578*SUMIFS(I$5:I$639,$A$5:$A$639,$A578,$C$5:$C$639,$C578-1,$D$5:$D$639,$D578)&lt;0),"n.s.",ABS(I578)/ABS(SUMIFS(I$5:I$639,$A$5:$A$639,$A578,$C$5:$C$639,$C578-1,$D$5:$D$639,$D578))-1)))</f>
        <v/>
      </c>
      <c r="R578" s="16">
        <f>IF(OR($A578="",J578="",$C578=""),"",IF(COUNTIFS($A$5:$A$639,$A578,$C$5:$C$639,$C578-1,$D$5:$D$639,$D578,J$5:J$639,"&lt;&gt;")=0,"",IF(OR(SUMIFS(J$5:J$639,$A$5:$A$639,$A578,$C$5:$C$639,$C578-1,$D$5:$D$639,$D578)=0,J578*SUMIFS(J$5:J$639,$A$5:$A$639,$A578,$C$5:$C$639,$C578-1,$D$5:$D$639,$D578)&lt;0),"n.s.",ABS(J578)/ABS(SUMIFS(J$5:J$639,$A$5:$A$639,$A578,$C$5:$C$639,$C578-1,$D$5:$D$639,$D578))-1)))</f>
        <v/>
      </c>
      <c r="S578" s="16">
        <f>IF(OR($A578="",K578="",$C578=""),"",IF(COUNTIFS($A$5:$A$639,$A578,$C$5:$C$639,$C578-1,$D$5:$D$639,$D578,K$5:K$639,"&lt;&gt;")=0,"",IF(OR(SUMIFS(K$5:K$639,$A$5:$A$639,$A578,$C$5:$C$639,$C578-1,$D$5:$D$639,$D578)=0,K578*SUMIFS(K$5:K$639,$A$5:$A$639,$A578,$C$5:$C$639,$C578-1,$D$5:$D$639,$D578)&lt;0),"n.s.",ABS(K578)/ABS(SUMIFS(K$5:K$639,$A$5:$A$639,$A578,$C$5:$C$639,$C578-1,$D$5:$D$639,$D578))-1)))</f>
        <v/>
      </c>
      <c r="T578" s="16">
        <f>IF(OR($A578="",L578="",$C578=""),"",IF(COUNTIFS($A$5:$A$639,$A578,$C$5:$C$639,$C578-1,$D$5:$D$639,$D578,L$5:L$639,"&lt;&gt;")=0,"",IF(OR(SUMIFS(L$5:L$639,$A$5:$A$639,$A578,$C$5:$C$639,$C578-1,$D$5:$D$639,$D578)=0,L578*SUMIFS(L$5:L$639,$A$5:$A$639,$A578,$C$5:$C$639,$C578-1,$D$5:$D$639,$D578)&lt;0),"n.s.",ABS(L578)/ABS(SUMIFS(L$5:L$639,$A$5:$A$639,$A578,$C$5:$C$639,$C578-1,$D$5:$D$639,$D578))-1)))</f>
        <v/>
      </c>
      <c r="U578" s="16">
        <f>IF(OR($A578="",M578="",$C578=""),"",IF(COUNTIFS($A$5:$A$639,$A578,$C$5:$C$639,$C578-1,$D$5:$D$639,$D578,M$5:M$639,"&lt;&gt;")=0,"",IF(OR(SUMIFS(M$5:M$639,$A$5:$A$639,$A578,$C$5:$C$639,$C578-1,$D$5:$D$639,$D578)=0,M578*SUMIFS(M$5:M$639,$A$5:$A$639,$A578,$C$5:$C$639,$C578-1,$D$5:$D$639,$D578)&lt;0),"n.s.",ABS(M578)/ABS(SUMIFS(M$5:M$639,$A$5:$A$639,$A578,$C$5:$C$639,$C578-1,$D$5:$D$639,$D578))-1)))</f>
        <v/>
      </c>
    </row>
    <row r="579">
      <c r="A579" s="9" t="inlineStr">
        <is>
          <t>TTLC</t>
        </is>
      </c>
      <c r="B579" s="10">
        <f>IF(A579="","",IFERROR(VLOOKUP(A579,Titres!$A$2:$B$400,2,FALSE),"Ticker inconnu"))</f>
        <v/>
      </c>
      <c r="C579" s="11" t="n">
        <v>2026</v>
      </c>
      <c r="D579" s="11" t="inlineStr">
        <is>
          <t>S1</t>
        </is>
      </c>
      <c r="E579" s="9" t="n"/>
      <c r="F579" s="12" t="n"/>
      <c r="G579" s="9" t="n"/>
      <c r="H579" s="13" t="n"/>
      <c r="I579" s="13" t="n"/>
      <c r="J579" s="13" t="n"/>
      <c r="K579" s="13" t="n"/>
      <c r="L579" s="13" t="n"/>
      <c r="M579" s="13" t="n"/>
      <c r="N579" s="14">
        <f>IF(A579="","",COUNT(H579:M579)/6)</f>
        <v/>
      </c>
      <c r="O579" s="15">
        <f>IF(COUNT(H579:M579)=0,"",IF(LEN(IF(COUNT(I579,J579)=2,IF(J579&gt;I579+1,"EBE &gt; VA ",""),"")&amp;IF(COUNT(H579,M579)=2,IF(ABS(M579)&gt;ABS(H579),"RN &gt; CA ",""),"")&amp;IF(COUNT(H579,K579)=2,IF(ABS(K579)&gt;ABS(H579),"RE &gt; CA ",""),""))=0,"OK",IF(COUNT(I579,J579)=2,IF(J579&gt;I579+1,"EBE &gt; VA ",""),"")&amp;IF(COUNT(H579,M579)=2,IF(ABS(M579)&gt;ABS(H579),"RN &gt; CA ",""),"")&amp;IF(COUNT(H579,K579)=2,IF(ABS(K579)&gt;ABS(H579),"RE &gt; CA ",""),"")))</f>
        <v/>
      </c>
      <c r="P579" s="16">
        <f>IF(OR($A579="",H579="",$C579=""),"",IF(COUNTIFS($A$5:$A$639,$A579,$C$5:$C$639,$C579-1,$D$5:$D$639,$D579,H$5:H$639,"&lt;&gt;")=0,"",IF(OR(SUMIFS(H$5:H$639,$A$5:$A$639,$A579,$C$5:$C$639,$C579-1,$D$5:$D$639,$D579)=0,H579*SUMIFS(H$5:H$639,$A$5:$A$639,$A579,$C$5:$C$639,$C579-1,$D$5:$D$639,$D579)&lt;0),"n.s.",ABS(H579)/ABS(SUMIFS(H$5:H$639,$A$5:$A$639,$A579,$C$5:$C$639,$C579-1,$D$5:$D$639,$D579))-1)))</f>
        <v/>
      </c>
      <c r="Q579" s="16">
        <f>IF(OR($A579="",I579="",$C579=""),"",IF(COUNTIFS($A$5:$A$639,$A579,$C$5:$C$639,$C579-1,$D$5:$D$639,$D579,I$5:I$639,"&lt;&gt;")=0,"",IF(OR(SUMIFS(I$5:I$639,$A$5:$A$639,$A579,$C$5:$C$639,$C579-1,$D$5:$D$639,$D579)=0,I579*SUMIFS(I$5:I$639,$A$5:$A$639,$A579,$C$5:$C$639,$C579-1,$D$5:$D$639,$D579)&lt;0),"n.s.",ABS(I579)/ABS(SUMIFS(I$5:I$639,$A$5:$A$639,$A579,$C$5:$C$639,$C579-1,$D$5:$D$639,$D579))-1)))</f>
        <v/>
      </c>
      <c r="R579" s="16">
        <f>IF(OR($A579="",J579="",$C579=""),"",IF(COUNTIFS($A$5:$A$639,$A579,$C$5:$C$639,$C579-1,$D$5:$D$639,$D579,J$5:J$639,"&lt;&gt;")=0,"",IF(OR(SUMIFS(J$5:J$639,$A$5:$A$639,$A579,$C$5:$C$639,$C579-1,$D$5:$D$639,$D579)=0,J579*SUMIFS(J$5:J$639,$A$5:$A$639,$A579,$C$5:$C$639,$C579-1,$D$5:$D$639,$D579)&lt;0),"n.s.",ABS(J579)/ABS(SUMIFS(J$5:J$639,$A$5:$A$639,$A579,$C$5:$C$639,$C579-1,$D$5:$D$639,$D579))-1)))</f>
        <v/>
      </c>
      <c r="S579" s="16">
        <f>IF(OR($A579="",K579="",$C579=""),"",IF(COUNTIFS($A$5:$A$639,$A579,$C$5:$C$639,$C579-1,$D$5:$D$639,$D579,K$5:K$639,"&lt;&gt;")=0,"",IF(OR(SUMIFS(K$5:K$639,$A$5:$A$639,$A579,$C$5:$C$639,$C579-1,$D$5:$D$639,$D579)=0,K579*SUMIFS(K$5:K$639,$A$5:$A$639,$A579,$C$5:$C$639,$C579-1,$D$5:$D$639,$D579)&lt;0),"n.s.",ABS(K579)/ABS(SUMIFS(K$5:K$639,$A$5:$A$639,$A579,$C$5:$C$639,$C579-1,$D$5:$D$639,$D579))-1)))</f>
        <v/>
      </c>
      <c r="T579" s="16">
        <f>IF(OR($A579="",L579="",$C579=""),"",IF(COUNTIFS($A$5:$A$639,$A579,$C$5:$C$639,$C579-1,$D$5:$D$639,$D579,L$5:L$639,"&lt;&gt;")=0,"",IF(OR(SUMIFS(L$5:L$639,$A$5:$A$639,$A579,$C$5:$C$639,$C579-1,$D$5:$D$639,$D579)=0,L579*SUMIFS(L$5:L$639,$A$5:$A$639,$A579,$C$5:$C$639,$C579-1,$D$5:$D$639,$D579)&lt;0),"n.s.",ABS(L579)/ABS(SUMIFS(L$5:L$639,$A$5:$A$639,$A579,$C$5:$C$639,$C579-1,$D$5:$D$639,$D579))-1)))</f>
        <v/>
      </c>
      <c r="U579" s="16">
        <f>IF(OR($A579="",M579="",$C579=""),"",IF(COUNTIFS($A$5:$A$639,$A579,$C$5:$C$639,$C579-1,$D$5:$D$639,$D579,M$5:M$639,"&lt;&gt;")=0,"",IF(OR(SUMIFS(M$5:M$639,$A$5:$A$639,$A579,$C$5:$C$639,$C579-1,$D$5:$D$639,$D579)=0,M579*SUMIFS(M$5:M$639,$A$5:$A$639,$A579,$C$5:$C$639,$C579-1,$D$5:$D$639,$D579)&lt;0),"n.s.",ABS(M579)/ABS(SUMIFS(M$5:M$639,$A$5:$A$639,$A579,$C$5:$C$639,$C579-1,$D$5:$D$639,$D579))-1)))</f>
        <v/>
      </c>
    </row>
    <row r="580">
      <c r="A580" s="9" t="inlineStr">
        <is>
          <t>TTLC</t>
        </is>
      </c>
      <c r="B580" s="10">
        <f>IF(A580="","",IFERROR(VLOOKUP(A580,Titres!$A$2:$B$400,2,FALSE),"Ticker inconnu"))</f>
        <v/>
      </c>
      <c r="C580" s="11" t="n">
        <v>2026</v>
      </c>
      <c r="D580" s="11" t="inlineStr">
        <is>
          <t>T3</t>
        </is>
      </c>
      <c r="E580" s="9" t="n"/>
      <c r="F580" s="12" t="n"/>
      <c r="G580" s="9" t="n"/>
      <c r="H580" s="13" t="n"/>
      <c r="I580" s="13" t="n"/>
      <c r="J580" s="13" t="n"/>
      <c r="K580" s="13" t="n"/>
      <c r="L580" s="13" t="n"/>
      <c r="M580" s="13" t="n"/>
      <c r="N580" s="14">
        <f>IF(A580="","",COUNT(H580:M580)/6)</f>
        <v/>
      </c>
      <c r="O580" s="15">
        <f>IF(COUNT(H580:M580)=0,"",IF(LEN(IF(COUNT(I580,J580)=2,IF(J580&gt;I580+1,"EBE &gt; VA ",""),"")&amp;IF(COUNT(H580,M580)=2,IF(ABS(M580)&gt;ABS(H580),"RN &gt; CA ",""),"")&amp;IF(COUNT(H580,K580)=2,IF(ABS(K580)&gt;ABS(H580),"RE &gt; CA ",""),""))=0,"OK",IF(COUNT(I580,J580)=2,IF(J580&gt;I580+1,"EBE &gt; VA ",""),"")&amp;IF(COUNT(H580,M580)=2,IF(ABS(M580)&gt;ABS(H580),"RN &gt; CA ",""),"")&amp;IF(COUNT(H580,K580)=2,IF(ABS(K580)&gt;ABS(H580),"RE &gt; CA ",""),"")))</f>
        <v/>
      </c>
      <c r="P580" s="16">
        <f>IF(OR($A580="",H580="",$C580=""),"",IF(COUNTIFS($A$5:$A$639,$A580,$C$5:$C$639,$C580-1,$D$5:$D$639,$D580,H$5:H$639,"&lt;&gt;")=0,"",IF(OR(SUMIFS(H$5:H$639,$A$5:$A$639,$A580,$C$5:$C$639,$C580-1,$D$5:$D$639,$D580)=0,H580*SUMIFS(H$5:H$639,$A$5:$A$639,$A580,$C$5:$C$639,$C580-1,$D$5:$D$639,$D580)&lt;0),"n.s.",ABS(H580)/ABS(SUMIFS(H$5:H$639,$A$5:$A$639,$A580,$C$5:$C$639,$C580-1,$D$5:$D$639,$D580))-1)))</f>
        <v/>
      </c>
      <c r="Q580" s="16">
        <f>IF(OR($A580="",I580="",$C580=""),"",IF(COUNTIFS($A$5:$A$639,$A580,$C$5:$C$639,$C580-1,$D$5:$D$639,$D580,I$5:I$639,"&lt;&gt;")=0,"",IF(OR(SUMIFS(I$5:I$639,$A$5:$A$639,$A580,$C$5:$C$639,$C580-1,$D$5:$D$639,$D580)=0,I580*SUMIFS(I$5:I$639,$A$5:$A$639,$A580,$C$5:$C$639,$C580-1,$D$5:$D$639,$D580)&lt;0),"n.s.",ABS(I580)/ABS(SUMIFS(I$5:I$639,$A$5:$A$639,$A580,$C$5:$C$639,$C580-1,$D$5:$D$639,$D580))-1)))</f>
        <v/>
      </c>
      <c r="R580" s="16">
        <f>IF(OR($A580="",J580="",$C580=""),"",IF(COUNTIFS($A$5:$A$639,$A580,$C$5:$C$639,$C580-1,$D$5:$D$639,$D580,J$5:J$639,"&lt;&gt;")=0,"",IF(OR(SUMIFS(J$5:J$639,$A$5:$A$639,$A580,$C$5:$C$639,$C580-1,$D$5:$D$639,$D580)=0,J580*SUMIFS(J$5:J$639,$A$5:$A$639,$A580,$C$5:$C$639,$C580-1,$D$5:$D$639,$D580)&lt;0),"n.s.",ABS(J580)/ABS(SUMIFS(J$5:J$639,$A$5:$A$639,$A580,$C$5:$C$639,$C580-1,$D$5:$D$639,$D580))-1)))</f>
        <v/>
      </c>
      <c r="S580" s="16">
        <f>IF(OR($A580="",K580="",$C580=""),"",IF(COUNTIFS($A$5:$A$639,$A580,$C$5:$C$639,$C580-1,$D$5:$D$639,$D580,K$5:K$639,"&lt;&gt;")=0,"",IF(OR(SUMIFS(K$5:K$639,$A$5:$A$639,$A580,$C$5:$C$639,$C580-1,$D$5:$D$639,$D580)=0,K580*SUMIFS(K$5:K$639,$A$5:$A$639,$A580,$C$5:$C$639,$C580-1,$D$5:$D$639,$D580)&lt;0),"n.s.",ABS(K580)/ABS(SUMIFS(K$5:K$639,$A$5:$A$639,$A580,$C$5:$C$639,$C580-1,$D$5:$D$639,$D580))-1)))</f>
        <v/>
      </c>
      <c r="T580" s="16">
        <f>IF(OR($A580="",L580="",$C580=""),"",IF(COUNTIFS($A$5:$A$639,$A580,$C$5:$C$639,$C580-1,$D$5:$D$639,$D580,L$5:L$639,"&lt;&gt;")=0,"",IF(OR(SUMIFS(L$5:L$639,$A$5:$A$639,$A580,$C$5:$C$639,$C580-1,$D$5:$D$639,$D580)=0,L580*SUMIFS(L$5:L$639,$A$5:$A$639,$A580,$C$5:$C$639,$C580-1,$D$5:$D$639,$D580)&lt;0),"n.s.",ABS(L580)/ABS(SUMIFS(L$5:L$639,$A$5:$A$639,$A580,$C$5:$C$639,$C580-1,$D$5:$D$639,$D580))-1)))</f>
        <v/>
      </c>
      <c r="U580" s="16">
        <f>IF(OR($A580="",M580="",$C580=""),"",IF(COUNTIFS($A$5:$A$639,$A580,$C$5:$C$639,$C580-1,$D$5:$D$639,$D580,M$5:M$639,"&lt;&gt;")=0,"",IF(OR(SUMIFS(M$5:M$639,$A$5:$A$639,$A580,$C$5:$C$639,$C580-1,$D$5:$D$639,$D580)=0,M580*SUMIFS(M$5:M$639,$A$5:$A$639,$A580,$C$5:$C$639,$C580-1,$D$5:$D$639,$D580)&lt;0),"n.s.",ABS(M580)/ABS(SUMIFS(M$5:M$639,$A$5:$A$639,$A580,$C$5:$C$639,$C580-1,$D$5:$D$639,$D580))-1)))</f>
        <v/>
      </c>
    </row>
    <row r="581">
      <c r="A581" s="9" t="inlineStr">
        <is>
          <t>TTLS</t>
        </is>
      </c>
      <c r="B581" s="10">
        <f>IF(A581="","",IFERROR(VLOOKUP(A581,Titres!$A$2:$B$400,2,FALSE),"Ticker inconnu"))</f>
        <v/>
      </c>
      <c r="C581" s="11" t="n">
        <v>2021</v>
      </c>
      <c r="D581" s="11" t="inlineStr">
        <is>
          <t>T1</t>
        </is>
      </c>
      <c r="E581" s="9" t="n"/>
      <c r="F581" s="12" t="n"/>
      <c r="G581" s="9" t="n"/>
      <c r="H581" s="13" t="n"/>
      <c r="I581" s="13" t="n"/>
      <c r="J581" s="13" t="n"/>
      <c r="K581" s="13" t="n"/>
      <c r="L581" s="13" t="n"/>
      <c r="M581" s="13" t="n"/>
      <c r="N581" s="14">
        <f>IF(A581="","",COUNT(H581:M581)/6)</f>
        <v/>
      </c>
      <c r="O581" s="15">
        <f>IF(COUNT(H581:M581)=0,"",IF(LEN(IF(COUNT(I581,J581)=2,IF(J581&gt;I581+1,"EBE &gt; VA ",""),"")&amp;IF(COUNT(H581,M581)=2,IF(ABS(M581)&gt;ABS(H581),"RN &gt; CA ",""),"")&amp;IF(COUNT(H581,K581)=2,IF(ABS(K581)&gt;ABS(H581),"RE &gt; CA ",""),""))=0,"OK",IF(COUNT(I581,J581)=2,IF(J581&gt;I581+1,"EBE &gt; VA ",""),"")&amp;IF(COUNT(H581,M581)=2,IF(ABS(M581)&gt;ABS(H581),"RN &gt; CA ",""),"")&amp;IF(COUNT(H581,K581)=2,IF(ABS(K581)&gt;ABS(H581),"RE &gt; CA ",""),"")))</f>
        <v/>
      </c>
      <c r="P581" s="16">
        <f>IF(OR($A581="",H581="",$C581=""),"",IF(COUNTIFS($A$5:$A$639,$A581,$C$5:$C$639,$C581-1,$D$5:$D$639,$D581,H$5:H$639,"&lt;&gt;")=0,"",IF(OR(SUMIFS(H$5:H$639,$A$5:$A$639,$A581,$C$5:$C$639,$C581-1,$D$5:$D$639,$D581)=0,H581*SUMIFS(H$5:H$639,$A$5:$A$639,$A581,$C$5:$C$639,$C581-1,$D$5:$D$639,$D581)&lt;0),"n.s.",ABS(H581)/ABS(SUMIFS(H$5:H$639,$A$5:$A$639,$A581,$C$5:$C$639,$C581-1,$D$5:$D$639,$D581))-1)))</f>
        <v/>
      </c>
      <c r="Q581" s="16">
        <f>IF(OR($A581="",I581="",$C581=""),"",IF(COUNTIFS($A$5:$A$639,$A581,$C$5:$C$639,$C581-1,$D$5:$D$639,$D581,I$5:I$639,"&lt;&gt;")=0,"",IF(OR(SUMIFS(I$5:I$639,$A$5:$A$639,$A581,$C$5:$C$639,$C581-1,$D$5:$D$639,$D581)=0,I581*SUMIFS(I$5:I$639,$A$5:$A$639,$A581,$C$5:$C$639,$C581-1,$D$5:$D$639,$D581)&lt;0),"n.s.",ABS(I581)/ABS(SUMIFS(I$5:I$639,$A$5:$A$639,$A581,$C$5:$C$639,$C581-1,$D$5:$D$639,$D581))-1)))</f>
        <v/>
      </c>
      <c r="R581" s="16">
        <f>IF(OR($A581="",J581="",$C581=""),"",IF(COUNTIFS($A$5:$A$639,$A581,$C$5:$C$639,$C581-1,$D$5:$D$639,$D581,J$5:J$639,"&lt;&gt;")=0,"",IF(OR(SUMIFS(J$5:J$639,$A$5:$A$639,$A581,$C$5:$C$639,$C581-1,$D$5:$D$639,$D581)=0,J581*SUMIFS(J$5:J$639,$A$5:$A$639,$A581,$C$5:$C$639,$C581-1,$D$5:$D$639,$D581)&lt;0),"n.s.",ABS(J581)/ABS(SUMIFS(J$5:J$639,$A$5:$A$639,$A581,$C$5:$C$639,$C581-1,$D$5:$D$639,$D581))-1)))</f>
        <v/>
      </c>
      <c r="S581" s="16">
        <f>IF(OR($A581="",K581="",$C581=""),"",IF(COUNTIFS($A$5:$A$639,$A581,$C$5:$C$639,$C581-1,$D$5:$D$639,$D581,K$5:K$639,"&lt;&gt;")=0,"",IF(OR(SUMIFS(K$5:K$639,$A$5:$A$639,$A581,$C$5:$C$639,$C581-1,$D$5:$D$639,$D581)=0,K581*SUMIFS(K$5:K$639,$A$5:$A$639,$A581,$C$5:$C$639,$C581-1,$D$5:$D$639,$D581)&lt;0),"n.s.",ABS(K581)/ABS(SUMIFS(K$5:K$639,$A$5:$A$639,$A581,$C$5:$C$639,$C581-1,$D$5:$D$639,$D581))-1)))</f>
        <v/>
      </c>
      <c r="T581" s="16">
        <f>IF(OR($A581="",L581="",$C581=""),"",IF(COUNTIFS($A$5:$A$639,$A581,$C$5:$C$639,$C581-1,$D$5:$D$639,$D581,L$5:L$639,"&lt;&gt;")=0,"",IF(OR(SUMIFS(L$5:L$639,$A$5:$A$639,$A581,$C$5:$C$639,$C581-1,$D$5:$D$639,$D581)=0,L581*SUMIFS(L$5:L$639,$A$5:$A$639,$A581,$C$5:$C$639,$C581-1,$D$5:$D$639,$D581)&lt;0),"n.s.",ABS(L581)/ABS(SUMIFS(L$5:L$639,$A$5:$A$639,$A581,$C$5:$C$639,$C581-1,$D$5:$D$639,$D581))-1)))</f>
        <v/>
      </c>
      <c r="U581" s="16">
        <f>IF(OR($A581="",M581="",$C581=""),"",IF(COUNTIFS($A$5:$A$639,$A581,$C$5:$C$639,$C581-1,$D$5:$D$639,$D581,M$5:M$639,"&lt;&gt;")=0,"",IF(OR(SUMIFS(M$5:M$639,$A$5:$A$639,$A581,$C$5:$C$639,$C581-1,$D$5:$D$639,$D581)=0,M581*SUMIFS(M$5:M$639,$A$5:$A$639,$A581,$C$5:$C$639,$C581-1,$D$5:$D$639,$D581)&lt;0),"n.s.",ABS(M581)/ABS(SUMIFS(M$5:M$639,$A$5:$A$639,$A581,$C$5:$C$639,$C581-1,$D$5:$D$639,$D581))-1)))</f>
        <v/>
      </c>
    </row>
    <row r="582">
      <c r="A582" s="9" t="inlineStr">
        <is>
          <t>TTLS</t>
        </is>
      </c>
      <c r="B582" s="10">
        <f>IF(A582="","",IFERROR(VLOOKUP(A582,Titres!$A$2:$B$400,2,FALSE),"Ticker inconnu"))</f>
        <v/>
      </c>
      <c r="C582" s="11" t="n">
        <v>2021</v>
      </c>
      <c r="D582" s="11" t="inlineStr">
        <is>
          <t>S1</t>
        </is>
      </c>
      <c r="E582" s="9" t="n"/>
      <c r="F582" s="12" t="n"/>
      <c r="G582" s="9" t="n"/>
      <c r="H582" s="13" t="n"/>
      <c r="I582" s="13" t="n"/>
      <c r="J582" s="13" t="n"/>
      <c r="K582" s="13" t="n"/>
      <c r="L582" s="13" t="n"/>
      <c r="M582" s="13" t="n"/>
      <c r="N582" s="14">
        <f>IF(A582="","",COUNT(H582:M582)/6)</f>
        <v/>
      </c>
      <c r="O582" s="15">
        <f>IF(COUNT(H582:M582)=0,"",IF(LEN(IF(COUNT(I582,J582)=2,IF(J582&gt;I582+1,"EBE &gt; VA ",""),"")&amp;IF(COUNT(H582,M582)=2,IF(ABS(M582)&gt;ABS(H582),"RN &gt; CA ",""),"")&amp;IF(COUNT(H582,K582)=2,IF(ABS(K582)&gt;ABS(H582),"RE &gt; CA ",""),""))=0,"OK",IF(COUNT(I582,J582)=2,IF(J582&gt;I582+1,"EBE &gt; VA ",""),"")&amp;IF(COUNT(H582,M582)=2,IF(ABS(M582)&gt;ABS(H582),"RN &gt; CA ",""),"")&amp;IF(COUNT(H582,K582)=2,IF(ABS(K582)&gt;ABS(H582),"RE &gt; CA ",""),"")))</f>
        <v/>
      </c>
      <c r="P582" s="16">
        <f>IF(OR($A582="",H582="",$C582=""),"",IF(COUNTIFS($A$5:$A$639,$A582,$C$5:$C$639,$C582-1,$D$5:$D$639,$D582,H$5:H$639,"&lt;&gt;")=0,"",IF(OR(SUMIFS(H$5:H$639,$A$5:$A$639,$A582,$C$5:$C$639,$C582-1,$D$5:$D$639,$D582)=0,H582*SUMIFS(H$5:H$639,$A$5:$A$639,$A582,$C$5:$C$639,$C582-1,$D$5:$D$639,$D582)&lt;0),"n.s.",ABS(H582)/ABS(SUMIFS(H$5:H$639,$A$5:$A$639,$A582,$C$5:$C$639,$C582-1,$D$5:$D$639,$D582))-1)))</f>
        <v/>
      </c>
      <c r="Q582" s="16">
        <f>IF(OR($A582="",I582="",$C582=""),"",IF(COUNTIFS($A$5:$A$639,$A582,$C$5:$C$639,$C582-1,$D$5:$D$639,$D582,I$5:I$639,"&lt;&gt;")=0,"",IF(OR(SUMIFS(I$5:I$639,$A$5:$A$639,$A582,$C$5:$C$639,$C582-1,$D$5:$D$639,$D582)=0,I582*SUMIFS(I$5:I$639,$A$5:$A$639,$A582,$C$5:$C$639,$C582-1,$D$5:$D$639,$D582)&lt;0),"n.s.",ABS(I582)/ABS(SUMIFS(I$5:I$639,$A$5:$A$639,$A582,$C$5:$C$639,$C582-1,$D$5:$D$639,$D582))-1)))</f>
        <v/>
      </c>
      <c r="R582" s="16">
        <f>IF(OR($A582="",J582="",$C582=""),"",IF(COUNTIFS($A$5:$A$639,$A582,$C$5:$C$639,$C582-1,$D$5:$D$639,$D582,J$5:J$639,"&lt;&gt;")=0,"",IF(OR(SUMIFS(J$5:J$639,$A$5:$A$639,$A582,$C$5:$C$639,$C582-1,$D$5:$D$639,$D582)=0,J582*SUMIFS(J$5:J$639,$A$5:$A$639,$A582,$C$5:$C$639,$C582-1,$D$5:$D$639,$D582)&lt;0),"n.s.",ABS(J582)/ABS(SUMIFS(J$5:J$639,$A$5:$A$639,$A582,$C$5:$C$639,$C582-1,$D$5:$D$639,$D582))-1)))</f>
        <v/>
      </c>
      <c r="S582" s="16">
        <f>IF(OR($A582="",K582="",$C582=""),"",IF(COUNTIFS($A$5:$A$639,$A582,$C$5:$C$639,$C582-1,$D$5:$D$639,$D582,K$5:K$639,"&lt;&gt;")=0,"",IF(OR(SUMIFS(K$5:K$639,$A$5:$A$639,$A582,$C$5:$C$639,$C582-1,$D$5:$D$639,$D582)=0,K582*SUMIFS(K$5:K$639,$A$5:$A$639,$A582,$C$5:$C$639,$C582-1,$D$5:$D$639,$D582)&lt;0),"n.s.",ABS(K582)/ABS(SUMIFS(K$5:K$639,$A$5:$A$639,$A582,$C$5:$C$639,$C582-1,$D$5:$D$639,$D582))-1)))</f>
        <v/>
      </c>
      <c r="T582" s="16">
        <f>IF(OR($A582="",L582="",$C582=""),"",IF(COUNTIFS($A$5:$A$639,$A582,$C$5:$C$639,$C582-1,$D$5:$D$639,$D582,L$5:L$639,"&lt;&gt;")=0,"",IF(OR(SUMIFS(L$5:L$639,$A$5:$A$639,$A582,$C$5:$C$639,$C582-1,$D$5:$D$639,$D582)=0,L582*SUMIFS(L$5:L$639,$A$5:$A$639,$A582,$C$5:$C$639,$C582-1,$D$5:$D$639,$D582)&lt;0),"n.s.",ABS(L582)/ABS(SUMIFS(L$5:L$639,$A$5:$A$639,$A582,$C$5:$C$639,$C582-1,$D$5:$D$639,$D582))-1)))</f>
        <v/>
      </c>
      <c r="U582" s="16">
        <f>IF(OR($A582="",M582="",$C582=""),"",IF(COUNTIFS($A$5:$A$639,$A582,$C$5:$C$639,$C582-1,$D$5:$D$639,$D582,M$5:M$639,"&lt;&gt;")=0,"",IF(OR(SUMIFS(M$5:M$639,$A$5:$A$639,$A582,$C$5:$C$639,$C582-1,$D$5:$D$639,$D582)=0,M582*SUMIFS(M$5:M$639,$A$5:$A$639,$A582,$C$5:$C$639,$C582-1,$D$5:$D$639,$D582)&lt;0),"n.s.",ABS(M582)/ABS(SUMIFS(M$5:M$639,$A$5:$A$639,$A582,$C$5:$C$639,$C582-1,$D$5:$D$639,$D582))-1)))</f>
        <v/>
      </c>
    </row>
    <row r="583">
      <c r="A583" s="9" t="inlineStr">
        <is>
          <t>TTLS</t>
        </is>
      </c>
      <c r="B583" s="10">
        <f>IF(A583="","",IFERROR(VLOOKUP(A583,Titres!$A$2:$B$400,2,FALSE),"Ticker inconnu"))</f>
        <v/>
      </c>
      <c r="C583" s="11" t="n">
        <v>2021</v>
      </c>
      <c r="D583" s="11" t="inlineStr">
        <is>
          <t>T3</t>
        </is>
      </c>
      <c r="E583" s="9" t="n"/>
      <c r="F583" s="12" t="n"/>
      <c r="G583" s="9" t="n"/>
      <c r="H583" s="13" t="n"/>
      <c r="I583" s="13" t="n"/>
      <c r="J583" s="13" t="n"/>
      <c r="K583" s="13" t="n"/>
      <c r="L583" s="13" t="n"/>
      <c r="M583" s="13" t="n"/>
      <c r="N583" s="14">
        <f>IF(A583="","",COUNT(H583:M583)/6)</f>
        <v/>
      </c>
      <c r="O583" s="15">
        <f>IF(COUNT(H583:M583)=0,"",IF(LEN(IF(COUNT(I583,J583)=2,IF(J583&gt;I583+1,"EBE &gt; VA ",""),"")&amp;IF(COUNT(H583,M583)=2,IF(ABS(M583)&gt;ABS(H583),"RN &gt; CA ",""),"")&amp;IF(COUNT(H583,K583)=2,IF(ABS(K583)&gt;ABS(H583),"RE &gt; CA ",""),""))=0,"OK",IF(COUNT(I583,J583)=2,IF(J583&gt;I583+1,"EBE &gt; VA ",""),"")&amp;IF(COUNT(H583,M583)=2,IF(ABS(M583)&gt;ABS(H583),"RN &gt; CA ",""),"")&amp;IF(COUNT(H583,K583)=2,IF(ABS(K583)&gt;ABS(H583),"RE &gt; CA ",""),"")))</f>
        <v/>
      </c>
      <c r="P583" s="16">
        <f>IF(OR($A583="",H583="",$C583=""),"",IF(COUNTIFS($A$5:$A$639,$A583,$C$5:$C$639,$C583-1,$D$5:$D$639,$D583,H$5:H$639,"&lt;&gt;")=0,"",IF(OR(SUMIFS(H$5:H$639,$A$5:$A$639,$A583,$C$5:$C$639,$C583-1,$D$5:$D$639,$D583)=0,H583*SUMIFS(H$5:H$639,$A$5:$A$639,$A583,$C$5:$C$639,$C583-1,$D$5:$D$639,$D583)&lt;0),"n.s.",ABS(H583)/ABS(SUMIFS(H$5:H$639,$A$5:$A$639,$A583,$C$5:$C$639,$C583-1,$D$5:$D$639,$D583))-1)))</f>
        <v/>
      </c>
      <c r="Q583" s="16">
        <f>IF(OR($A583="",I583="",$C583=""),"",IF(COUNTIFS($A$5:$A$639,$A583,$C$5:$C$639,$C583-1,$D$5:$D$639,$D583,I$5:I$639,"&lt;&gt;")=0,"",IF(OR(SUMIFS(I$5:I$639,$A$5:$A$639,$A583,$C$5:$C$639,$C583-1,$D$5:$D$639,$D583)=0,I583*SUMIFS(I$5:I$639,$A$5:$A$639,$A583,$C$5:$C$639,$C583-1,$D$5:$D$639,$D583)&lt;0),"n.s.",ABS(I583)/ABS(SUMIFS(I$5:I$639,$A$5:$A$639,$A583,$C$5:$C$639,$C583-1,$D$5:$D$639,$D583))-1)))</f>
        <v/>
      </c>
      <c r="R583" s="16">
        <f>IF(OR($A583="",J583="",$C583=""),"",IF(COUNTIFS($A$5:$A$639,$A583,$C$5:$C$639,$C583-1,$D$5:$D$639,$D583,J$5:J$639,"&lt;&gt;")=0,"",IF(OR(SUMIFS(J$5:J$639,$A$5:$A$639,$A583,$C$5:$C$639,$C583-1,$D$5:$D$639,$D583)=0,J583*SUMIFS(J$5:J$639,$A$5:$A$639,$A583,$C$5:$C$639,$C583-1,$D$5:$D$639,$D583)&lt;0),"n.s.",ABS(J583)/ABS(SUMIFS(J$5:J$639,$A$5:$A$639,$A583,$C$5:$C$639,$C583-1,$D$5:$D$639,$D583))-1)))</f>
        <v/>
      </c>
      <c r="S583" s="16">
        <f>IF(OR($A583="",K583="",$C583=""),"",IF(COUNTIFS($A$5:$A$639,$A583,$C$5:$C$639,$C583-1,$D$5:$D$639,$D583,K$5:K$639,"&lt;&gt;")=0,"",IF(OR(SUMIFS(K$5:K$639,$A$5:$A$639,$A583,$C$5:$C$639,$C583-1,$D$5:$D$639,$D583)=0,K583*SUMIFS(K$5:K$639,$A$5:$A$639,$A583,$C$5:$C$639,$C583-1,$D$5:$D$639,$D583)&lt;0),"n.s.",ABS(K583)/ABS(SUMIFS(K$5:K$639,$A$5:$A$639,$A583,$C$5:$C$639,$C583-1,$D$5:$D$639,$D583))-1)))</f>
        <v/>
      </c>
      <c r="T583" s="16">
        <f>IF(OR($A583="",L583="",$C583=""),"",IF(COUNTIFS($A$5:$A$639,$A583,$C$5:$C$639,$C583-1,$D$5:$D$639,$D583,L$5:L$639,"&lt;&gt;")=0,"",IF(OR(SUMIFS(L$5:L$639,$A$5:$A$639,$A583,$C$5:$C$639,$C583-1,$D$5:$D$639,$D583)=0,L583*SUMIFS(L$5:L$639,$A$5:$A$639,$A583,$C$5:$C$639,$C583-1,$D$5:$D$639,$D583)&lt;0),"n.s.",ABS(L583)/ABS(SUMIFS(L$5:L$639,$A$5:$A$639,$A583,$C$5:$C$639,$C583-1,$D$5:$D$639,$D583))-1)))</f>
        <v/>
      </c>
      <c r="U583" s="16">
        <f>IF(OR($A583="",M583="",$C583=""),"",IF(COUNTIFS($A$5:$A$639,$A583,$C$5:$C$639,$C583-1,$D$5:$D$639,$D583,M$5:M$639,"&lt;&gt;")=0,"",IF(OR(SUMIFS(M$5:M$639,$A$5:$A$639,$A583,$C$5:$C$639,$C583-1,$D$5:$D$639,$D583)=0,M583*SUMIFS(M$5:M$639,$A$5:$A$639,$A583,$C$5:$C$639,$C583-1,$D$5:$D$639,$D583)&lt;0),"n.s.",ABS(M583)/ABS(SUMIFS(M$5:M$639,$A$5:$A$639,$A583,$C$5:$C$639,$C583-1,$D$5:$D$639,$D583))-1)))</f>
        <v/>
      </c>
    </row>
    <row r="584">
      <c r="A584" s="9" t="inlineStr">
        <is>
          <t>TTLS</t>
        </is>
      </c>
      <c r="B584" s="10">
        <f>IF(A584="","",IFERROR(VLOOKUP(A584,Titres!$A$2:$B$400,2,FALSE),"Ticker inconnu"))</f>
        <v/>
      </c>
      <c r="C584" s="11" t="n">
        <v>2022</v>
      </c>
      <c r="D584" s="11" t="inlineStr">
        <is>
          <t>T1</t>
        </is>
      </c>
      <c r="E584" s="9" t="n"/>
      <c r="F584" s="12" t="n"/>
      <c r="G584" s="9" t="n"/>
      <c r="H584" s="13" t="n"/>
      <c r="I584" s="13" t="n"/>
      <c r="J584" s="13" t="n"/>
      <c r="K584" s="13" t="n"/>
      <c r="L584" s="13" t="n"/>
      <c r="M584" s="13" t="n"/>
      <c r="N584" s="14">
        <f>IF(A584="","",COUNT(H584:M584)/6)</f>
        <v/>
      </c>
      <c r="O584" s="15">
        <f>IF(COUNT(H584:M584)=0,"",IF(LEN(IF(COUNT(I584,J584)=2,IF(J584&gt;I584+1,"EBE &gt; VA ",""),"")&amp;IF(COUNT(H584,M584)=2,IF(ABS(M584)&gt;ABS(H584),"RN &gt; CA ",""),"")&amp;IF(COUNT(H584,K584)=2,IF(ABS(K584)&gt;ABS(H584),"RE &gt; CA ",""),""))=0,"OK",IF(COUNT(I584,J584)=2,IF(J584&gt;I584+1,"EBE &gt; VA ",""),"")&amp;IF(COUNT(H584,M584)=2,IF(ABS(M584)&gt;ABS(H584),"RN &gt; CA ",""),"")&amp;IF(COUNT(H584,K584)=2,IF(ABS(K584)&gt;ABS(H584),"RE &gt; CA ",""),"")))</f>
        <v/>
      </c>
      <c r="P584" s="16">
        <f>IF(OR($A584="",H584="",$C584=""),"",IF(COUNTIFS($A$5:$A$639,$A584,$C$5:$C$639,$C584-1,$D$5:$D$639,$D584,H$5:H$639,"&lt;&gt;")=0,"",IF(OR(SUMIFS(H$5:H$639,$A$5:$A$639,$A584,$C$5:$C$639,$C584-1,$D$5:$D$639,$D584)=0,H584*SUMIFS(H$5:H$639,$A$5:$A$639,$A584,$C$5:$C$639,$C584-1,$D$5:$D$639,$D584)&lt;0),"n.s.",ABS(H584)/ABS(SUMIFS(H$5:H$639,$A$5:$A$639,$A584,$C$5:$C$639,$C584-1,$D$5:$D$639,$D584))-1)))</f>
        <v/>
      </c>
      <c r="Q584" s="16">
        <f>IF(OR($A584="",I584="",$C584=""),"",IF(COUNTIFS($A$5:$A$639,$A584,$C$5:$C$639,$C584-1,$D$5:$D$639,$D584,I$5:I$639,"&lt;&gt;")=0,"",IF(OR(SUMIFS(I$5:I$639,$A$5:$A$639,$A584,$C$5:$C$639,$C584-1,$D$5:$D$639,$D584)=0,I584*SUMIFS(I$5:I$639,$A$5:$A$639,$A584,$C$5:$C$639,$C584-1,$D$5:$D$639,$D584)&lt;0),"n.s.",ABS(I584)/ABS(SUMIFS(I$5:I$639,$A$5:$A$639,$A584,$C$5:$C$639,$C584-1,$D$5:$D$639,$D584))-1)))</f>
        <v/>
      </c>
      <c r="R584" s="16">
        <f>IF(OR($A584="",J584="",$C584=""),"",IF(COUNTIFS($A$5:$A$639,$A584,$C$5:$C$639,$C584-1,$D$5:$D$639,$D584,J$5:J$639,"&lt;&gt;")=0,"",IF(OR(SUMIFS(J$5:J$639,$A$5:$A$639,$A584,$C$5:$C$639,$C584-1,$D$5:$D$639,$D584)=0,J584*SUMIFS(J$5:J$639,$A$5:$A$639,$A584,$C$5:$C$639,$C584-1,$D$5:$D$639,$D584)&lt;0),"n.s.",ABS(J584)/ABS(SUMIFS(J$5:J$639,$A$5:$A$639,$A584,$C$5:$C$639,$C584-1,$D$5:$D$639,$D584))-1)))</f>
        <v/>
      </c>
      <c r="S584" s="16">
        <f>IF(OR($A584="",K584="",$C584=""),"",IF(COUNTIFS($A$5:$A$639,$A584,$C$5:$C$639,$C584-1,$D$5:$D$639,$D584,K$5:K$639,"&lt;&gt;")=0,"",IF(OR(SUMIFS(K$5:K$639,$A$5:$A$639,$A584,$C$5:$C$639,$C584-1,$D$5:$D$639,$D584)=0,K584*SUMIFS(K$5:K$639,$A$5:$A$639,$A584,$C$5:$C$639,$C584-1,$D$5:$D$639,$D584)&lt;0),"n.s.",ABS(K584)/ABS(SUMIFS(K$5:K$639,$A$5:$A$639,$A584,$C$5:$C$639,$C584-1,$D$5:$D$639,$D584))-1)))</f>
        <v/>
      </c>
      <c r="T584" s="16">
        <f>IF(OR($A584="",L584="",$C584=""),"",IF(COUNTIFS($A$5:$A$639,$A584,$C$5:$C$639,$C584-1,$D$5:$D$639,$D584,L$5:L$639,"&lt;&gt;")=0,"",IF(OR(SUMIFS(L$5:L$639,$A$5:$A$639,$A584,$C$5:$C$639,$C584-1,$D$5:$D$639,$D584)=0,L584*SUMIFS(L$5:L$639,$A$5:$A$639,$A584,$C$5:$C$639,$C584-1,$D$5:$D$639,$D584)&lt;0),"n.s.",ABS(L584)/ABS(SUMIFS(L$5:L$639,$A$5:$A$639,$A584,$C$5:$C$639,$C584-1,$D$5:$D$639,$D584))-1)))</f>
        <v/>
      </c>
      <c r="U584" s="16">
        <f>IF(OR($A584="",M584="",$C584=""),"",IF(COUNTIFS($A$5:$A$639,$A584,$C$5:$C$639,$C584-1,$D$5:$D$639,$D584,M$5:M$639,"&lt;&gt;")=0,"",IF(OR(SUMIFS(M$5:M$639,$A$5:$A$639,$A584,$C$5:$C$639,$C584-1,$D$5:$D$639,$D584)=0,M584*SUMIFS(M$5:M$639,$A$5:$A$639,$A584,$C$5:$C$639,$C584-1,$D$5:$D$639,$D584)&lt;0),"n.s.",ABS(M584)/ABS(SUMIFS(M$5:M$639,$A$5:$A$639,$A584,$C$5:$C$639,$C584-1,$D$5:$D$639,$D584))-1)))</f>
        <v/>
      </c>
    </row>
    <row r="585">
      <c r="A585" s="9" t="inlineStr">
        <is>
          <t>TTLS</t>
        </is>
      </c>
      <c r="B585" s="10">
        <f>IF(A585="","",IFERROR(VLOOKUP(A585,Titres!$A$2:$B$400,2,FALSE),"Ticker inconnu"))</f>
        <v/>
      </c>
      <c r="C585" s="11" t="n">
        <v>2022</v>
      </c>
      <c r="D585" s="11" t="inlineStr">
        <is>
          <t>S1</t>
        </is>
      </c>
      <c r="E585" s="9" t="n"/>
      <c r="F585" s="12" t="n"/>
      <c r="G585" s="9" t="n"/>
      <c r="H585" s="13" t="n"/>
      <c r="I585" s="13" t="n"/>
      <c r="J585" s="13" t="n"/>
      <c r="K585" s="13" t="n"/>
      <c r="L585" s="13" t="n"/>
      <c r="M585" s="13" t="n"/>
      <c r="N585" s="14">
        <f>IF(A585="","",COUNT(H585:M585)/6)</f>
        <v/>
      </c>
      <c r="O585" s="15">
        <f>IF(COUNT(H585:M585)=0,"",IF(LEN(IF(COUNT(I585,J585)=2,IF(J585&gt;I585+1,"EBE &gt; VA ",""),"")&amp;IF(COUNT(H585,M585)=2,IF(ABS(M585)&gt;ABS(H585),"RN &gt; CA ",""),"")&amp;IF(COUNT(H585,K585)=2,IF(ABS(K585)&gt;ABS(H585),"RE &gt; CA ",""),""))=0,"OK",IF(COUNT(I585,J585)=2,IF(J585&gt;I585+1,"EBE &gt; VA ",""),"")&amp;IF(COUNT(H585,M585)=2,IF(ABS(M585)&gt;ABS(H585),"RN &gt; CA ",""),"")&amp;IF(COUNT(H585,K585)=2,IF(ABS(K585)&gt;ABS(H585),"RE &gt; CA ",""),"")))</f>
        <v/>
      </c>
      <c r="P585" s="16">
        <f>IF(OR($A585="",H585="",$C585=""),"",IF(COUNTIFS($A$5:$A$639,$A585,$C$5:$C$639,$C585-1,$D$5:$D$639,$D585,H$5:H$639,"&lt;&gt;")=0,"",IF(OR(SUMIFS(H$5:H$639,$A$5:$A$639,$A585,$C$5:$C$639,$C585-1,$D$5:$D$639,$D585)=0,H585*SUMIFS(H$5:H$639,$A$5:$A$639,$A585,$C$5:$C$639,$C585-1,$D$5:$D$639,$D585)&lt;0),"n.s.",ABS(H585)/ABS(SUMIFS(H$5:H$639,$A$5:$A$639,$A585,$C$5:$C$639,$C585-1,$D$5:$D$639,$D585))-1)))</f>
        <v/>
      </c>
      <c r="Q585" s="16">
        <f>IF(OR($A585="",I585="",$C585=""),"",IF(COUNTIFS($A$5:$A$639,$A585,$C$5:$C$639,$C585-1,$D$5:$D$639,$D585,I$5:I$639,"&lt;&gt;")=0,"",IF(OR(SUMIFS(I$5:I$639,$A$5:$A$639,$A585,$C$5:$C$639,$C585-1,$D$5:$D$639,$D585)=0,I585*SUMIFS(I$5:I$639,$A$5:$A$639,$A585,$C$5:$C$639,$C585-1,$D$5:$D$639,$D585)&lt;0),"n.s.",ABS(I585)/ABS(SUMIFS(I$5:I$639,$A$5:$A$639,$A585,$C$5:$C$639,$C585-1,$D$5:$D$639,$D585))-1)))</f>
        <v/>
      </c>
      <c r="R585" s="16">
        <f>IF(OR($A585="",J585="",$C585=""),"",IF(COUNTIFS($A$5:$A$639,$A585,$C$5:$C$639,$C585-1,$D$5:$D$639,$D585,J$5:J$639,"&lt;&gt;")=0,"",IF(OR(SUMIFS(J$5:J$639,$A$5:$A$639,$A585,$C$5:$C$639,$C585-1,$D$5:$D$639,$D585)=0,J585*SUMIFS(J$5:J$639,$A$5:$A$639,$A585,$C$5:$C$639,$C585-1,$D$5:$D$639,$D585)&lt;0),"n.s.",ABS(J585)/ABS(SUMIFS(J$5:J$639,$A$5:$A$639,$A585,$C$5:$C$639,$C585-1,$D$5:$D$639,$D585))-1)))</f>
        <v/>
      </c>
      <c r="S585" s="16">
        <f>IF(OR($A585="",K585="",$C585=""),"",IF(COUNTIFS($A$5:$A$639,$A585,$C$5:$C$639,$C585-1,$D$5:$D$639,$D585,K$5:K$639,"&lt;&gt;")=0,"",IF(OR(SUMIFS(K$5:K$639,$A$5:$A$639,$A585,$C$5:$C$639,$C585-1,$D$5:$D$639,$D585)=0,K585*SUMIFS(K$5:K$639,$A$5:$A$639,$A585,$C$5:$C$639,$C585-1,$D$5:$D$639,$D585)&lt;0),"n.s.",ABS(K585)/ABS(SUMIFS(K$5:K$639,$A$5:$A$639,$A585,$C$5:$C$639,$C585-1,$D$5:$D$639,$D585))-1)))</f>
        <v/>
      </c>
      <c r="T585" s="16">
        <f>IF(OR($A585="",L585="",$C585=""),"",IF(COUNTIFS($A$5:$A$639,$A585,$C$5:$C$639,$C585-1,$D$5:$D$639,$D585,L$5:L$639,"&lt;&gt;")=0,"",IF(OR(SUMIFS(L$5:L$639,$A$5:$A$639,$A585,$C$5:$C$639,$C585-1,$D$5:$D$639,$D585)=0,L585*SUMIFS(L$5:L$639,$A$5:$A$639,$A585,$C$5:$C$639,$C585-1,$D$5:$D$639,$D585)&lt;0),"n.s.",ABS(L585)/ABS(SUMIFS(L$5:L$639,$A$5:$A$639,$A585,$C$5:$C$639,$C585-1,$D$5:$D$639,$D585))-1)))</f>
        <v/>
      </c>
      <c r="U585" s="16">
        <f>IF(OR($A585="",M585="",$C585=""),"",IF(COUNTIFS($A$5:$A$639,$A585,$C$5:$C$639,$C585-1,$D$5:$D$639,$D585,M$5:M$639,"&lt;&gt;")=0,"",IF(OR(SUMIFS(M$5:M$639,$A$5:$A$639,$A585,$C$5:$C$639,$C585-1,$D$5:$D$639,$D585)=0,M585*SUMIFS(M$5:M$639,$A$5:$A$639,$A585,$C$5:$C$639,$C585-1,$D$5:$D$639,$D585)&lt;0),"n.s.",ABS(M585)/ABS(SUMIFS(M$5:M$639,$A$5:$A$639,$A585,$C$5:$C$639,$C585-1,$D$5:$D$639,$D585))-1)))</f>
        <v/>
      </c>
    </row>
    <row r="586">
      <c r="A586" s="9" t="inlineStr">
        <is>
          <t>TTLS</t>
        </is>
      </c>
      <c r="B586" s="10">
        <f>IF(A586="","",IFERROR(VLOOKUP(A586,Titres!$A$2:$B$400,2,FALSE),"Ticker inconnu"))</f>
        <v/>
      </c>
      <c r="C586" s="11" t="n">
        <v>2022</v>
      </c>
      <c r="D586" s="11" t="inlineStr">
        <is>
          <t>T3</t>
        </is>
      </c>
      <c r="E586" s="9" t="n"/>
      <c r="F586" s="12" t="n"/>
      <c r="G586" s="9" t="n"/>
      <c r="H586" s="13" t="n"/>
      <c r="I586" s="13" t="n"/>
      <c r="J586" s="13" t="n"/>
      <c r="K586" s="13" t="n"/>
      <c r="L586" s="13" t="n"/>
      <c r="M586" s="13" t="n"/>
      <c r="N586" s="14">
        <f>IF(A586="","",COUNT(H586:M586)/6)</f>
        <v/>
      </c>
      <c r="O586" s="15">
        <f>IF(COUNT(H586:M586)=0,"",IF(LEN(IF(COUNT(I586,J586)=2,IF(J586&gt;I586+1,"EBE &gt; VA ",""),"")&amp;IF(COUNT(H586,M586)=2,IF(ABS(M586)&gt;ABS(H586),"RN &gt; CA ",""),"")&amp;IF(COUNT(H586,K586)=2,IF(ABS(K586)&gt;ABS(H586),"RE &gt; CA ",""),""))=0,"OK",IF(COUNT(I586,J586)=2,IF(J586&gt;I586+1,"EBE &gt; VA ",""),"")&amp;IF(COUNT(H586,M586)=2,IF(ABS(M586)&gt;ABS(H586),"RN &gt; CA ",""),"")&amp;IF(COUNT(H586,K586)=2,IF(ABS(K586)&gt;ABS(H586),"RE &gt; CA ",""),"")))</f>
        <v/>
      </c>
      <c r="P586" s="16">
        <f>IF(OR($A586="",H586="",$C586=""),"",IF(COUNTIFS($A$5:$A$639,$A586,$C$5:$C$639,$C586-1,$D$5:$D$639,$D586,H$5:H$639,"&lt;&gt;")=0,"",IF(OR(SUMIFS(H$5:H$639,$A$5:$A$639,$A586,$C$5:$C$639,$C586-1,$D$5:$D$639,$D586)=0,H586*SUMIFS(H$5:H$639,$A$5:$A$639,$A586,$C$5:$C$639,$C586-1,$D$5:$D$639,$D586)&lt;0),"n.s.",ABS(H586)/ABS(SUMIFS(H$5:H$639,$A$5:$A$639,$A586,$C$5:$C$639,$C586-1,$D$5:$D$639,$D586))-1)))</f>
        <v/>
      </c>
      <c r="Q586" s="16">
        <f>IF(OR($A586="",I586="",$C586=""),"",IF(COUNTIFS($A$5:$A$639,$A586,$C$5:$C$639,$C586-1,$D$5:$D$639,$D586,I$5:I$639,"&lt;&gt;")=0,"",IF(OR(SUMIFS(I$5:I$639,$A$5:$A$639,$A586,$C$5:$C$639,$C586-1,$D$5:$D$639,$D586)=0,I586*SUMIFS(I$5:I$639,$A$5:$A$639,$A586,$C$5:$C$639,$C586-1,$D$5:$D$639,$D586)&lt;0),"n.s.",ABS(I586)/ABS(SUMIFS(I$5:I$639,$A$5:$A$639,$A586,$C$5:$C$639,$C586-1,$D$5:$D$639,$D586))-1)))</f>
        <v/>
      </c>
      <c r="R586" s="16">
        <f>IF(OR($A586="",J586="",$C586=""),"",IF(COUNTIFS($A$5:$A$639,$A586,$C$5:$C$639,$C586-1,$D$5:$D$639,$D586,J$5:J$639,"&lt;&gt;")=0,"",IF(OR(SUMIFS(J$5:J$639,$A$5:$A$639,$A586,$C$5:$C$639,$C586-1,$D$5:$D$639,$D586)=0,J586*SUMIFS(J$5:J$639,$A$5:$A$639,$A586,$C$5:$C$639,$C586-1,$D$5:$D$639,$D586)&lt;0),"n.s.",ABS(J586)/ABS(SUMIFS(J$5:J$639,$A$5:$A$639,$A586,$C$5:$C$639,$C586-1,$D$5:$D$639,$D586))-1)))</f>
        <v/>
      </c>
      <c r="S586" s="16">
        <f>IF(OR($A586="",K586="",$C586=""),"",IF(COUNTIFS($A$5:$A$639,$A586,$C$5:$C$639,$C586-1,$D$5:$D$639,$D586,K$5:K$639,"&lt;&gt;")=0,"",IF(OR(SUMIFS(K$5:K$639,$A$5:$A$639,$A586,$C$5:$C$639,$C586-1,$D$5:$D$639,$D586)=0,K586*SUMIFS(K$5:K$639,$A$5:$A$639,$A586,$C$5:$C$639,$C586-1,$D$5:$D$639,$D586)&lt;0),"n.s.",ABS(K586)/ABS(SUMIFS(K$5:K$639,$A$5:$A$639,$A586,$C$5:$C$639,$C586-1,$D$5:$D$639,$D586))-1)))</f>
        <v/>
      </c>
      <c r="T586" s="16">
        <f>IF(OR($A586="",L586="",$C586=""),"",IF(COUNTIFS($A$5:$A$639,$A586,$C$5:$C$639,$C586-1,$D$5:$D$639,$D586,L$5:L$639,"&lt;&gt;")=0,"",IF(OR(SUMIFS(L$5:L$639,$A$5:$A$639,$A586,$C$5:$C$639,$C586-1,$D$5:$D$639,$D586)=0,L586*SUMIFS(L$5:L$639,$A$5:$A$639,$A586,$C$5:$C$639,$C586-1,$D$5:$D$639,$D586)&lt;0),"n.s.",ABS(L586)/ABS(SUMIFS(L$5:L$639,$A$5:$A$639,$A586,$C$5:$C$639,$C586-1,$D$5:$D$639,$D586))-1)))</f>
        <v/>
      </c>
      <c r="U586" s="16">
        <f>IF(OR($A586="",M586="",$C586=""),"",IF(COUNTIFS($A$5:$A$639,$A586,$C$5:$C$639,$C586-1,$D$5:$D$639,$D586,M$5:M$639,"&lt;&gt;")=0,"",IF(OR(SUMIFS(M$5:M$639,$A$5:$A$639,$A586,$C$5:$C$639,$C586-1,$D$5:$D$639,$D586)=0,M586*SUMIFS(M$5:M$639,$A$5:$A$639,$A586,$C$5:$C$639,$C586-1,$D$5:$D$639,$D586)&lt;0),"n.s.",ABS(M586)/ABS(SUMIFS(M$5:M$639,$A$5:$A$639,$A586,$C$5:$C$639,$C586-1,$D$5:$D$639,$D586))-1)))</f>
        <v/>
      </c>
    </row>
    <row r="587">
      <c r="A587" s="9" t="inlineStr">
        <is>
          <t>TTLS</t>
        </is>
      </c>
      <c r="B587" s="10">
        <f>IF(A587="","",IFERROR(VLOOKUP(A587,Titres!$A$2:$B$400,2,FALSE),"Ticker inconnu"))</f>
        <v/>
      </c>
      <c r="C587" s="11" t="n">
        <v>2023</v>
      </c>
      <c r="D587" s="11" t="inlineStr">
        <is>
          <t>T1</t>
        </is>
      </c>
      <c r="E587" s="9" t="n"/>
      <c r="F587" s="12" t="n"/>
      <c r="G587" s="9" t="n"/>
      <c r="H587" s="13" t="n"/>
      <c r="I587" s="13" t="n"/>
      <c r="J587" s="13" t="n"/>
      <c r="K587" s="13" t="n"/>
      <c r="L587" s="13" t="n"/>
      <c r="M587" s="13" t="n"/>
      <c r="N587" s="14">
        <f>IF(A587="","",COUNT(H587:M587)/6)</f>
        <v/>
      </c>
      <c r="O587" s="15">
        <f>IF(COUNT(H587:M587)=0,"",IF(LEN(IF(COUNT(I587,J587)=2,IF(J587&gt;I587+1,"EBE &gt; VA ",""),"")&amp;IF(COUNT(H587,M587)=2,IF(ABS(M587)&gt;ABS(H587),"RN &gt; CA ",""),"")&amp;IF(COUNT(H587,K587)=2,IF(ABS(K587)&gt;ABS(H587),"RE &gt; CA ",""),""))=0,"OK",IF(COUNT(I587,J587)=2,IF(J587&gt;I587+1,"EBE &gt; VA ",""),"")&amp;IF(COUNT(H587,M587)=2,IF(ABS(M587)&gt;ABS(H587),"RN &gt; CA ",""),"")&amp;IF(COUNT(H587,K587)=2,IF(ABS(K587)&gt;ABS(H587),"RE &gt; CA ",""),"")))</f>
        <v/>
      </c>
      <c r="P587" s="16">
        <f>IF(OR($A587="",H587="",$C587=""),"",IF(COUNTIFS($A$5:$A$639,$A587,$C$5:$C$639,$C587-1,$D$5:$D$639,$D587,H$5:H$639,"&lt;&gt;")=0,"",IF(OR(SUMIFS(H$5:H$639,$A$5:$A$639,$A587,$C$5:$C$639,$C587-1,$D$5:$D$639,$D587)=0,H587*SUMIFS(H$5:H$639,$A$5:$A$639,$A587,$C$5:$C$639,$C587-1,$D$5:$D$639,$D587)&lt;0),"n.s.",ABS(H587)/ABS(SUMIFS(H$5:H$639,$A$5:$A$639,$A587,$C$5:$C$639,$C587-1,$D$5:$D$639,$D587))-1)))</f>
        <v/>
      </c>
      <c r="Q587" s="16">
        <f>IF(OR($A587="",I587="",$C587=""),"",IF(COUNTIFS($A$5:$A$639,$A587,$C$5:$C$639,$C587-1,$D$5:$D$639,$D587,I$5:I$639,"&lt;&gt;")=0,"",IF(OR(SUMIFS(I$5:I$639,$A$5:$A$639,$A587,$C$5:$C$639,$C587-1,$D$5:$D$639,$D587)=0,I587*SUMIFS(I$5:I$639,$A$5:$A$639,$A587,$C$5:$C$639,$C587-1,$D$5:$D$639,$D587)&lt;0),"n.s.",ABS(I587)/ABS(SUMIFS(I$5:I$639,$A$5:$A$639,$A587,$C$5:$C$639,$C587-1,$D$5:$D$639,$D587))-1)))</f>
        <v/>
      </c>
      <c r="R587" s="16">
        <f>IF(OR($A587="",J587="",$C587=""),"",IF(COUNTIFS($A$5:$A$639,$A587,$C$5:$C$639,$C587-1,$D$5:$D$639,$D587,J$5:J$639,"&lt;&gt;")=0,"",IF(OR(SUMIFS(J$5:J$639,$A$5:$A$639,$A587,$C$5:$C$639,$C587-1,$D$5:$D$639,$D587)=0,J587*SUMIFS(J$5:J$639,$A$5:$A$639,$A587,$C$5:$C$639,$C587-1,$D$5:$D$639,$D587)&lt;0),"n.s.",ABS(J587)/ABS(SUMIFS(J$5:J$639,$A$5:$A$639,$A587,$C$5:$C$639,$C587-1,$D$5:$D$639,$D587))-1)))</f>
        <v/>
      </c>
      <c r="S587" s="16">
        <f>IF(OR($A587="",K587="",$C587=""),"",IF(COUNTIFS($A$5:$A$639,$A587,$C$5:$C$639,$C587-1,$D$5:$D$639,$D587,K$5:K$639,"&lt;&gt;")=0,"",IF(OR(SUMIFS(K$5:K$639,$A$5:$A$639,$A587,$C$5:$C$639,$C587-1,$D$5:$D$639,$D587)=0,K587*SUMIFS(K$5:K$639,$A$5:$A$639,$A587,$C$5:$C$639,$C587-1,$D$5:$D$639,$D587)&lt;0),"n.s.",ABS(K587)/ABS(SUMIFS(K$5:K$639,$A$5:$A$639,$A587,$C$5:$C$639,$C587-1,$D$5:$D$639,$D587))-1)))</f>
        <v/>
      </c>
      <c r="T587" s="16">
        <f>IF(OR($A587="",L587="",$C587=""),"",IF(COUNTIFS($A$5:$A$639,$A587,$C$5:$C$639,$C587-1,$D$5:$D$639,$D587,L$5:L$639,"&lt;&gt;")=0,"",IF(OR(SUMIFS(L$5:L$639,$A$5:$A$639,$A587,$C$5:$C$639,$C587-1,$D$5:$D$639,$D587)=0,L587*SUMIFS(L$5:L$639,$A$5:$A$639,$A587,$C$5:$C$639,$C587-1,$D$5:$D$639,$D587)&lt;0),"n.s.",ABS(L587)/ABS(SUMIFS(L$5:L$639,$A$5:$A$639,$A587,$C$5:$C$639,$C587-1,$D$5:$D$639,$D587))-1)))</f>
        <v/>
      </c>
      <c r="U587" s="16">
        <f>IF(OR($A587="",M587="",$C587=""),"",IF(COUNTIFS($A$5:$A$639,$A587,$C$5:$C$639,$C587-1,$D$5:$D$639,$D587,M$5:M$639,"&lt;&gt;")=0,"",IF(OR(SUMIFS(M$5:M$639,$A$5:$A$639,$A587,$C$5:$C$639,$C587-1,$D$5:$D$639,$D587)=0,M587*SUMIFS(M$5:M$639,$A$5:$A$639,$A587,$C$5:$C$639,$C587-1,$D$5:$D$639,$D587)&lt;0),"n.s.",ABS(M587)/ABS(SUMIFS(M$5:M$639,$A$5:$A$639,$A587,$C$5:$C$639,$C587-1,$D$5:$D$639,$D587))-1)))</f>
        <v/>
      </c>
    </row>
    <row r="588">
      <c r="A588" s="9" t="inlineStr">
        <is>
          <t>TTLS</t>
        </is>
      </c>
      <c r="B588" s="10">
        <f>IF(A588="","",IFERROR(VLOOKUP(A588,Titres!$A$2:$B$400,2,FALSE),"Ticker inconnu"))</f>
        <v/>
      </c>
      <c r="C588" s="11" t="n">
        <v>2023</v>
      </c>
      <c r="D588" s="11" t="inlineStr">
        <is>
          <t>S1</t>
        </is>
      </c>
      <c r="E588" s="9" t="n"/>
      <c r="F588" s="12" t="n"/>
      <c r="G588" s="9" t="n"/>
      <c r="H588" s="13" t="n"/>
      <c r="I588" s="13" t="n"/>
      <c r="J588" s="13" t="n"/>
      <c r="K588" s="13" t="n"/>
      <c r="L588" s="13" t="n"/>
      <c r="M588" s="13" t="n"/>
      <c r="N588" s="14">
        <f>IF(A588="","",COUNT(H588:M588)/6)</f>
        <v/>
      </c>
      <c r="O588" s="15">
        <f>IF(COUNT(H588:M588)=0,"",IF(LEN(IF(COUNT(I588,J588)=2,IF(J588&gt;I588+1,"EBE &gt; VA ",""),"")&amp;IF(COUNT(H588,M588)=2,IF(ABS(M588)&gt;ABS(H588),"RN &gt; CA ",""),"")&amp;IF(COUNT(H588,K588)=2,IF(ABS(K588)&gt;ABS(H588),"RE &gt; CA ",""),""))=0,"OK",IF(COUNT(I588,J588)=2,IF(J588&gt;I588+1,"EBE &gt; VA ",""),"")&amp;IF(COUNT(H588,M588)=2,IF(ABS(M588)&gt;ABS(H588),"RN &gt; CA ",""),"")&amp;IF(COUNT(H588,K588)=2,IF(ABS(K588)&gt;ABS(H588),"RE &gt; CA ",""),"")))</f>
        <v/>
      </c>
      <c r="P588" s="16">
        <f>IF(OR($A588="",H588="",$C588=""),"",IF(COUNTIFS($A$5:$A$639,$A588,$C$5:$C$639,$C588-1,$D$5:$D$639,$D588,H$5:H$639,"&lt;&gt;")=0,"",IF(OR(SUMIFS(H$5:H$639,$A$5:$A$639,$A588,$C$5:$C$639,$C588-1,$D$5:$D$639,$D588)=0,H588*SUMIFS(H$5:H$639,$A$5:$A$639,$A588,$C$5:$C$639,$C588-1,$D$5:$D$639,$D588)&lt;0),"n.s.",ABS(H588)/ABS(SUMIFS(H$5:H$639,$A$5:$A$639,$A588,$C$5:$C$639,$C588-1,$D$5:$D$639,$D588))-1)))</f>
        <v/>
      </c>
      <c r="Q588" s="16">
        <f>IF(OR($A588="",I588="",$C588=""),"",IF(COUNTIFS($A$5:$A$639,$A588,$C$5:$C$639,$C588-1,$D$5:$D$639,$D588,I$5:I$639,"&lt;&gt;")=0,"",IF(OR(SUMIFS(I$5:I$639,$A$5:$A$639,$A588,$C$5:$C$639,$C588-1,$D$5:$D$639,$D588)=0,I588*SUMIFS(I$5:I$639,$A$5:$A$639,$A588,$C$5:$C$639,$C588-1,$D$5:$D$639,$D588)&lt;0),"n.s.",ABS(I588)/ABS(SUMIFS(I$5:I$639,$A$5:$A$639,$A588,$C$5:$C$639,$C588-1,$D$5:$D$639,$D588))-1)))</f>
        <v/>
      </c>
      <c r="R588" s="16">
        <f>IF(OR($A588="",J588="",$C588=""),"",IF(COUNTIFS($A$5:$A$639,$A588,$C$5:$C$639,$C588-1,$D$5:$D$639,$D588,J$5:J$639,"&lt;&gt;")=0,"",IF(OR(SUMIFS(J$5:J$639,$A$5:$A$639,$A588,$C$5:$C$639,$C588-1,$D$5:$D$639,$D588)=0,J588*SUMIFS(J$5:J$639,$A$5:$A$639,$A588,$C$5:$C$639,$C588-1,$D$5:$D$639,$D588)&lt;0),"n.s.",ABS(J588)/ABS(SUMIFS(J$5:J$639,$A$5:$A$639,$A588,$C$5:$C$639,$C588-1,$D$5:$D$639,$D588))-1)))</f>
        <v/>
      </c>
      <c r="S588" s="16">
        <f>IF(OR($A588="",K588="",$C588=""),"",IF(COUNTIFS($A$5:$A$639,$A588,$C$5:$C$639,$C588-1,$D$5:$D$639,$D588,K$5:K$639,"&lt;&gt;")=0,"",IF(OR(SUMIFS(K$5:K$639,$A$5:$A$639,$A588,$C$5:$C$639,$C588-1,$D$5:$D$639,$D588)=0,K588*SUMIFS(K$5:K$639,$A$5:$A$639,$A588,$C$5:$C$639,$C588-1,$D$5:$D$639,$D588)&lt;0),"n.s.",ABS(K588)/ABS(SUMIFS(K$5:K$639,$A$5:$A$639,$A588,$C$5:$C$639,$C588-1,$D$5:$D$639,$D588))-1)))</f>
        <v/>
      </c>
      <c r="T588" s="16">
        <f>IF(OR($A588="",L588="",$C588=""),"",IF(COUNTIFS($A$5:$A$639,$A588,$C$5:$C$639,$C588-1,$D$5:$D$639,$D588,L$5:L$639,"&lt;&gt;")=0,"",IF(OR(SUMIFS(L$5:L$639,$A$5:$A$639,$A588,$C$5:$C$639,$C588-1,$D$5:$D$639,$D588)=0,L588*SUMIFS(L$5:L$639,$A$5:$A$639,$A588,$C$5:$C$639,$C588-1,$D$5:$D$639,$D588)&lt;0),"n.s.",ABS(L588)/ABS(SUMIFS(L$5:L$639,$A$5:$A$639,$A588,$C$5:$C$639,$C588-1,$D$5:$D$639,$D588))-1)))</f>
        <v/>
      </c>
      <c r="U588" s="16">
        <f>IF(OR($A588="",M588="",$C588=""),"",IF(COUNTIFS($A$5:$A$639,$A588,$C$5:$C$639,$C588-1,$D$5:$D$639,$D588,M$5:M$639,"&lt;&gt;")=0,"",IF(OR(SUMIFS(M$5:M$639,$A$5:$A$639,$A588,$C$5:$C$639,$C588-1,$D$5:$D$639,$D588)=0,M588*SUMIFS(M$5:M$639,$A$5:$A$639,$A588,$C$5:$C$639,$C588-1,$D$5:$D$639,$D588)&lt;0),"n.s.",ABS(M588)/ABS(SUMIFS(M$5:M$639,$A$5:$A$639,$A588,$C$5:$C$639,$C588-1,$D$5:$D$639,$D588))-1)))</f>
        <v/>
      </c>
    </row>
    <row r="589">
      <c r="A589" s="9" t="inlineStr">
        <is>
          <t>TTLS</t>
        </is>
      </c>
      <c r="B589" s="10">
        <f>IF(A589="","",IFERROR(VLOOKUP(A589,Titres!$A$2:$B$400,2,FALSE),"Ticker inconnu"))</f>
        <v/>
      </c>
      <c r="C589" s="11" t="n">
        <v>2023</v>
      </c>
      <c r="D589" s="11" t="inlineStr">
        <is>
          <t>T3</t>
        </is>
      </c>
      <c r="E589" s="9" t="n"/>
      <c r="F589" s="12" t="n"/>
      <c r="G589" s="9" t="n"/>
      <c r="H589" s="13" t="n"/>
      <c r="I589" s="13" t="n"/>
      <c r="J589" s="13" t="n"/>
      <c r="K589" s="13" t="n"/>
      <c r="L589" s="13" t="n"/>
      <c r="M589" s="13" t="n"/>
      <c r="N589" s="14">
        <f>IF(A589="","",COUNT(H589:M589)/6)</f>
        <v/>
      </c>
      <c r="O589" s="15">
        <f>IF(COUNT(H589:M589)=0,"",IF(LEN(IF(COUNT(I589,J589)=2,IF(J589&gt;I589+1,"EBE &gt; VA ",""),"")&amp;IF(COUNT(H589,M589)=2,IF(ABS(M589)&gt;ABS(H589),"RN &gt; CA ",""),"")&amp;IF(COUNT(H589,K589)=2,IF(ABS(K589)&gt;ABS(H589),"RE &gt; CA ",""),""))=0,"OK",IF(COUNT(I589,J589)=2,IF(J589&gt;I589+1,"EBE &gt; VA ",""),"")&amp;IF(COUNT(H589,M589)=2,IF(ABS(M589)&gt;ABS(H589),"RN &gt; CA ",""),"")&amp;IF(COUNT(H589,K589)=2,IF(ABS(K589)&gt;ABS(H589),"RE &gt; CA ",""),"")))</f>
        <v/>
      </c>
      <c r="P589" s="16">
        <f>IF(OR($A589="",H589="",$C589=""),"",IF(COUNTIFS($A$5:$A$639,$A589,$C$5:$C$639,$C589-1,$D$5:$D$639,$D589,H$5:H$639,"&lt;&gt;")=0,"",IF(OR(SUMIFS(H$5:H$639,$A$5:$A$639,$A589,$C$5:$C$639,$C589-1,$D$5:$D$639,$D589)=0,H589*SUMIFS(H$5:H$639,$A$5:$A$639,$A589,$C$5:$C$639,$C589-1,$D$5:$D$639,$D589)&lt;0),"n.s.",ABS(H589)/ABS(SUMIFS(H$5:H$639,$A$5:$A$639,$A589,$C$5:$C$639,$C589-1,$D$5:$D$639,$D589))-1)))</f>
        <v/>
      </c>
      <c r="Q589" s="16">
        <f>IF(OR($A589="",I589="",$C589=""),"",IF(COUNTIFS($A$5:$A$639,$A589,$C$5:$C$639,$C589-1,$D$5:$D$639,$D589,I$5:I$639,"&lt;&gt;")=0,"",IF(OR(SUMIFS(I$5:I$639,$A$5:$A$639,$A589,$C$5:$C$639,$C589-1,$D$5:$D$639,$D589)=0,I589*SUMIFS(I$5:I$639,$A$5:$A$639,$A589,$C$5:$C$639,$C589-1,$D$5:$D$639,$D589)&lt;0),"n.s.",ABS(I589)/ABS(SUMIFS(I$5:I$639,$A$5:$A$639,$A589,$C$5:$C$639,$C589-1,$D$5:$D$639,$D589))-1)))</f>
        <v/>
      </c>
      <c r="R589" s="16">
        <f>IF(OR($A589="",J589="",$C589=""),"",IF(COUNTIFS($A$5:$A$639,$A589,$C$5:$C$639,$C589-1,$D$5:$D$639,$D589,J$5:J$639,"&lt;&gt;")=0,"",IF(OR(SUMIFS(J$5:J$639,$A$5:$A$639,$A589,$C$5:$C$639,$C589-1,$D$5:$D$639,$D589)=0,J589*SUMIFS(J$5:J$639,$A$5:$A$639,$A589,$C$5:$C$639,$C589-1,$D$5:$D$639,$D589)&lt;0),"n.s.",ABS(J589)/ABS(SUMIFS(J$5:J$639,$A$5:$A$639,$A589,$C$5:$C$639,$C589-1,$D$5:$D$639,$D589))-1)))</f>
        <v/>
      </c>
      <c r="S589" s="16">
        <f>IF(OR($A589="",K589="",$C589=""),"",IF(COUNTIFS($A$5:$A$639,$A589,$C$5:$C$639,$C589-1,$D$5:$D$639,$D589,K$5:K$639,"&lt;&gt;")=0,"",IF(OR(SUMIFS(K$5:K$639,$A$5:$A$639,$A589,$C$5:$C$639,$C589-1,$D$5:$D$639,$D589)=0,K589*SUMIFS(K$5:K$639,$A$5:$A$639,$A589,$C$5:$C$639,$C589-1,$D$5:$D$639,$D589)&lt;0),"n.s.",ABS(K589)/ABS(SUMIFS(K$5:K$639,$A$5:$A$639,$A589,$C$5:$C$639,$C589-1,$D$5:$D$639,$D589))-1)))</f>
        <v/>
      </c>
      <c r="T589" s="16">
        <f>IF(OR($A589="",L589="",$C589=""),"",IF(COUNTIFS($A$5:$A$639,$A589,$C$5:$C$639,$C589-1,$D$5:$D$639,$D589,L$5:L$639,"&lt;&gt;")=0,"",IF(OR(SUMIFS(L$5:L$639,$A$5:$A$639,$A589,$C$5:$C$639,$C589-1,$D$5:$D$639,$D589)=0,L589*SUMIFS(L$5:L$639,$A$5:$A$639,$A589,$C$5:$C$639,$C589-1,$D$5:$D$639,$D589)&lt;0),"n.s.",ABS(L589)/ABS(SUMIFS(L$5:L$639,$A$5:$A$639,$A589,$C$5:$C$639,$C589-1,$D$5:$D$639,$D589))-1)))</f>
        <v/>
      </c>
      <c r="U589" s="16">
        <f>IF(OR($A589="",M589="",$C589=""),"",IF(COUNTIFS($A$5:$A$639,$A589,$C$5:$C$639,$C589-1,$D$5:$D$639,$D589,M$5:M$639,"&lt;&gt;")=0,"",IF(OR(SUMIFS(M$5:M$639,$A$5:$A$639,$A589,$C$5:$C$639,$C589-1,$D$5:$D$639,$D589)=0,M589*SUMIFS(M$5:M$639,$A$5:$A$639,$A589,$C$5:$C$639,$C589-1,$D$5:$D$639,$D589)&lt;0),"n.s.",ABS(M589)/ABS(SUMIFS(M$5:M$639,$A$5:$A$639,$A589,$C$5:$C$639,$C589-1,$D$5:$D$639,$D589))-1)))</f>
        <v/>
      </c>
    </row>
    <row r="590">
      <c r="A590" s="9" t="inlineStr">
        <is>
          <t>TTLS</t>
        </is>
      </c>
      <c r="B590" s="10">
        <f>IF(A590="","",IFERROR(VLOOKUP(A590,Titres!$A$2:$B$400,2,FALSE),"Ticker inconnu"))</f>
        <v/>
      </c>
      <c r="C590" s="11" t="n">
        <v>2024</v>
      </c>
      <c r="D590" s="11" t="inlineStr">
        <is>
          <t>T1</t>
        </is>
      </c>
      <c r="E590" s="9" t="n"/>
      <c r="F590" s="12" t="n"/>
      <c r="G590" s="9" t="n"/>
      <c r="H590" s="13" t="n"/>
      <c r="I590" s="13" t="n"/>
      <c r="J590" s="13" t="n"/>
      <c r="K590" s="13" t="n"/>
      <c r="L590" s="13" t="n"/>
      <c r="M590" s="13" t="n"/>
      <c r="N590" s="14">
        <f>IF(A590="","",COUNT(H590:M590)/6)</f>
        <v/>
      </c>
      <c r="O590" s="15">
        <f>IF(COUNT(H590:M590)=0,"",IF(LEN(IF(COUNT(I590,J590)=2,IF(J590&gt;I590+1,"EBE &gt; VA ",""),"")&amp;IF(COUNT(H590,M590)=2,IF(ABS(M590)&gt;ABS(H590),"RN &gt; CA ",""),"")&amp;IF(COUNT(H590,K590)=2,IF(ABS(K590)&gt;ABS(H590),"RE &gt; CA ",""),""))=0,"OK",IF(COUNT(I590,J590)=2,IF(J590&gt;I590+1,"EBE &gt; VA ",""),"")&amp;IF(COUNT(H590,M590)=2,IF(ABS(M590)&gt;ABS(H590),"RN &gt; CA ",""),"")&amp;IF(COUNT(H590,K590)=2,IF(ABS(K590)&gt;ABS(H590),"RE &gt; CA ",""),"")))</f>
        <v/>
      </c>
      <c r="P590" s="16">
        <f>IF(OR($A590="",H590="",$C590=""),"",IF(COUNTIFS($A$5:$A$639,$A590,$C$5:$C$639,$C590-1,$D$5:$D$639,$D590,H$5:H$639,"&lt;&gt;")=0,"",IF(OR(SUMIFS(H$5:H$639,$A$5:$A$639,$A590,$C$5:$C$639,$C590-1,$D$5:$D$639,$D590)=0,H590*SUMIFS(H$5:H$639,$A$5:$A$639,$A590,$C$5:$C$639,$C590-1,$D$5:$D$639,$D590)&lt;0),"n.s.",ABS(H590)/ABS(SUMIFS(H$5:H$639,$A$5:$A$639,$A590,$C$5:$C$639,$C590-1,$D$5:$D$639,$D590))-1)))</f>
        <v/>
      </c>
      <c r="Q590" s="16">
        <f>IF(OR($A590="",I590="",$C590=""),"",IF(COUNTIFS($A$5:$A$639,$A590,$C$5:$C$639,$C590-1,$D$5:$D$639,$D590,I$5:I$639,"&lt;&gt;")=0,"",IF(OR(SUMIFS(I$5:I$639,$A$5:$A$639,$A590,$C$5:$C$639,$C590-1,$D$5:$D$639,$D590)=0,I590*SUMIFS(I$5:I$639,$A$5:$A$639,$A590,$C$5:$C$639,$C590-1,$D$5:$D$639,$D590)&lt;0),"n.s.",ABS(I590)/ABS(SUMIFS(I$5:I$639,$A$5:$A$639,$A590,$C$5:$C$639,$C590-1,$D$5:$D$639,$D590))-1)))</f>
        <v/>
      </c>
      <c r="R590" s="16">
        <f>IF(OR($A590="",J590="",$C590=""),"",IF(COUNTIFS($A$5:$A$639,$A590,$C$5:$C$639,$C590-1,$D$5:$D$639,$D590,J$5:J$639,"&lt;&gt;")=0,"",IF(OR(SUMIFS(J$5:J$639,$A$5:$A$639,$A590,$C$5:$C$639,$C590-1,$D$5:$D$639,$D590)=0,J590*SUMIFS(J$5:J$639,$A$5:$A$639,$A590,$C$5:$C$639,$C590-1,$D$5:$D$639,$D590)&lt;0),"n.s.",ABS(J590)/ABS(SUMIFS(J$5:J$639,$A$5:$A$639,$A590,$C$5:$C$639,$C590-1,$D$5:$D$639,$D590))-1)))</f>
        <v/>
      </c>
      <c r="S590" s="16">
        <f>IF(OR($A590="",K590="",$C590=""),"",IF(COUNTIFS($A$5:$A$639,$A590,$C$5:$C$639,$C590-1,$D$5:$D$639,$D590,K$5:K$639,"&lt;&gt;")=0,"",IF(OR(SUMIFS(K$5:K$639,$A$5:$A$639,$A590,$C$5:$C$639,$C590-1,$D$5:$D$639,$D590)=0,K590*SUMIFS(K$5:K$639,$A$5:$A$639,$A590,$C$5:$C$639,$C590-1,$D$5:$D$639,$D590)&lt;0),"n.s.",ABS(K590)/ABS(SUMIFS(K$5:K$639,$A$5:$A$639,$A590,$C$5:$C$639,$C590-1,$D$5:$D$639,$D590))-1)))</f>
        <v/>
      </c>
      <c r="T590" s="16">
        <f>IF(OR($A590="",L590="",$C590=""),"",IF(COUNTIFS($A$5:$A$639,$A590,$C$5:$C$639,$C590-1,$D$5:$D$639,$D590,L$5:L$639,"&lt;&gt;")=0,"",IF(OR(SUMIFS(L$5:L$639,$A$5:$A$639,$A590,$C$5:$C$639,$C590-1,$D$5:$D$639,$D590)=0,L590*SUMIFS(L$5:L$639,$A$5:$A$639,$A590,$C$5:$C$639,$C590-1,$D$5:$D$639,$D590)&lt;0),"n.s.",ABS(L590)/ABS(SUMIFS(L$5:L$639,$A$5:$A$639,$A590,$C$5:$C$639,$C590-1,$D$5:$D$639,$D590))-1)))</f>
        <v/>
      </c>
      <c r="U590" s="16">
        <f>IF(OR($A590="",M590="",$C590=""),"",IF(COUNTIFS($A$5:$A$639,$A590,$C$5:$C$639,$C590-1,$D$5:$D$639,$D590,M$5:M$639,"&lt;&gt;")=0,"",IF(OR(SUMIFS(M$5:M$639,$A$5:$A$639,$A590,$C$5:$C$639,$C590-1,$D$5:$D$639,$D590)=0,M590*SUMIFS(M$5:M$639,$A$5:$A$639,$A590,$C$5:$C$639,$C590-1,$D$5:$D$639,$D590)&lt;0),"n.s.",ABS(M590)/ABS(SUMIFS(M$5:M$639,$A$5:$A$639,$A590,$C$5:$C$639,$C590-1,$D$5:$D$639,$D590))-1)))</f>
        <v/>
      </c>
    </row>
    <row r="591">
      <c r="A591" s="9" t="inlineStr">
        <is>
          <t>TTLS</t>
        </is>
      </c>
      <c r="B591" s="10">
        <f>IF(A591="","",IFERROR(VLOOKUP(A591,Titres!$A$2:$B$400,2,FALSE),"Ticker inconnu"))</f>
        <v/>
      </c>
      <c r="C591" s="11" t="n">
        <v>2024</v>
      </c>
      <c r="D591" s="11" t="inlineStr">
        <is>
          <t>S1</t>
        </is>
      </c>
      <c r="E591" s="9" t="n"/>
      <c r="F591" s="12" t="n"/>
      <c r="G591" s="9" t="n"/>
      <c r="H591" s="13" t="n"/>
      <c r="I591" s="13" t="n"/>
      <c r="J591" s="13" t="n"/>
      <c r="K591" s="13" t="n"/>
      <c r="L591" s="13" t="n"/>
      <c r="M591" s="13" t="n"/>
      <c r="N591" s="14">
        <f>IF(A591="","",COUNT(H591:M591)/6)</f>
        <v/>
      </c>
      <c r="O591" s="15">
        <f>IF(COUNT(H591:M591)=0,"",IF(LEN(IF(COUNT(I591,J591)=2,IF(J591&gt;I591+1,"EBE &gt; VA ",""),"")&amp;IF(COUNT(H591,M591)=2,IF(ABS(M591)&gt;ABS(H591),"RN &gt; CA ",""),"")&amp;IF(COUNT(H591,K591)=2,IF(ABS(K591)&gt;ABS(H591),"RE &gt; CA ",""),""))=0,"OK",IF(COUNT(I591,J591)=2,IF(J591&gt;I591+1,"EBE &gt; VA ",""),"")&amp;IF(COUNT(H591,M591)=2,IF(ABS(M591)&gt;ABS(H591),"RN &gt; CA ",""),"")&amp;IF(COUNT(H591,K591)=2,IF(ABS(K591)&gt;ABS(H591),"RE &gt; CA ",""),"")))</f>
        <v/>
      </c>
      <c r="P591" s="16">
        <f>IF(OR($A591="",H591="",$C591=""),"",IF(COUNTIFS($A$5:$A$639,$A591,$C$5:$C$639,$C591-1,$D$5:$D$639,$D591,H$5:H$639,"&lt;&gt;")=0,"",IF(OR(SUMIFS(H$5:H$639,$A$5:$A$639,$A591,$C$5:$C$639,$C591-1,$D$5:$D$639,$D591)=0,H591*SUMIFS(H$5:H$639,$A$5:$A$639,$A591,$C$5:$C$639,$C591-1,$D$5:$D$639,$D591)&lt;0),"n.s.",ABS(H591)/ABS(SUMIFS(H$5:H$639,$A$5:$A$639,$A591,$C$5:$C$639,$C591-1,$D$5:$D$639,$D591))-1)))</f>
        <v/>
      </c>
      <c r="Q591" s="16">
        <f>IF(OR($A591="",I591="",$C591=""),"",IF(COUNTIFS($A$5:$A$639,$A591,$C$5:$C$639,$C591-1,$D$5:$D$639,$D591,I$5:I$639,"&lt;&gt;")=0,"",IF(OR(SUMIFS(I$5:I$639,$A$5:$A$639,$A591,$C$5:$C$639,$C591-1,$D$5:$D$639,$D591)=0,I591*SUMIFS(I$5:I$639,$A$5:$A$639,$A591,$C$5:$C$639,$C591-1,$D$5:$D$639,$D591)&lt;0),"n.s.",ABS(I591)/ABS(SUMIFS(I$5:I$639,$A$5:$A$639,$A591,$C$5:$C$639,$C591-1,$D$5:$D$639,$D591))-1)))</f>
        <v/>
      </c>
      <c r="R591" s="16">
        <f>IF(OR($A591="",J591="",$C591=""),"",IF(COUNTIFS($A$5:$A$639,$A591,$C$5:$C$639,$C591-1,$D$5:$D$639,$D591,J$5:J$639,"&lt;&gt;")=0,"",IF(OR(SUMIFS(J$5:J$639,$A$5:$A$639,$A591,$C$5:$C$639,$C591-1,$D$5:$D$639,$D591)=0,J591*SUMIFS(J$5:J$639,$A$5:$A$639,$A591,$C$5:$C$639,$C591-1,$D$5:$D$639,$D591)&lt;0),"n.s.",ABS(J591)/ABS(SUMIFS(J$5:J$639,$A$5:$A$639,$A591,$C$5:$C$639,$C591-1,$D$5:$D$639,$D591))-1)))</f>
        <v/>
      </c>
      <c r="S591" s="16">
        <f>IF(OR($A591="",K591="",$C591=""),"",IF(COUNTIFS($A$5:$A$639,$A591,$C$5:$C$639,$C591-1,$D$5:$D$639,$D591,K$5:K$639,"&lt;&gt;")=0,"",IF(OR(SUMIFS(K$5:K$639,$A$5:$A$639,$A591,$C$5:$C$639,$C591-1,$D$5:$D$639,$D591)=0,K591*SUMIFS(K$5:K$639,$A$5:$A$639,$A591,$C$5:$C$639,$C591-1,$D$5:$D$639,$D591)&lt;0),"n.s.",ABS(K591)/ABS(SUMIFS(K$5:K$639,$A$5:$A$639,$A591,$C$5:$C$639,$C591-1,$D$5:$D$639,$D591))-1)))</f>
        <v/>
      </c>
      <c r="T591" s="16">
        <f>IF(OR($A591="",L591="",$C591=""),"",IF(COUNTIFS($A$5:$A$639,$A591,$C$5:$C$639,$C591-1,$D$5:$D$639,$D591,L$5:L$639,"&lt;&gt;")=0,"",IF(OR(SUMIFS(L$5:L$639,$A$5:$A$639,$A591,$C$5:$C$639,$C591-1,$D$5:$D$639,$D591)=0,L591*SUMIFS(L$5:L$639,$A$5:$A$639,$A591,$C$5:$C$639,$C591-1,$D$5:$D$639,$D591)&lt;0),"n.s.",ABS(L591)/ABS(SUMIFS(L$5:L$639,$A$5:$A$639,$A591,$C$5:$C$639,$C591-1,$D$5:$D$639,$D591))-1)))</f>
        <v/>
      </c>
      <c r="U591" s="16">
        <f>IF(OR($A591="",M591="",$C591=""),"",IF(COUNTIFS($A$5:$A$639,$A591,$C$5:$C$639,$C591-1,$D$5:$D$639,$D591,M$5:M$639,"&lt;&gt;")=0,"",IF(OR(SUMIFS(M$5:M$639,$A$5:$A$639,$A591,$C$5:$C$639,$C591-1,$D$5:$D$639,$D591)=0,M591*SUMIFS(M$5:M$639,$A$5:$A$639,$A591,$C$5:$C$639,$C591-1,$D$5:$D$639,$D591)&lt;0),"n.s.",ABS(M591)/ABS(SUMIFS(M$5:M$639,$A$5:$A$639,$A591,$C$5:$C$639,$C591-1,$D$5:$D$639,$D591))-1)))</f>
        <v/>
      </c>
    </row>
    <row r="592">
      <c r="A592" s="9" t="inlineStr">
        <is>
          <t>TTLS</t>
        </is>
      </c>
      <c r="B592" s="10">
        <f>IF(A592="","",IFERROR(VLOOKUP(A592,Titres!$A$2:$B$400,2,FALSE),"Ticker inconnu"))</f>
        <v/>
      </c>
      <c r="C592" s="11" t="n">
        <v>2024</v>
      </c>
      <c r="D592" s="11" t="inlineStr">
        <is>
          <t>T3</t>
        </is>
      </c>
      <c r="E592" s="9" t="n"/>
      <c r="F592" s="12" t="n"/>
      <c r="G592" s="9" t="n"/>
      <c r="H592" s="13" t="n"/>
      <c r="I592" s="13" t="n"/>
      <c r="J592" s="13" t="n"/>
      <c r="K592" s="13" t="n"/>
      <c r="L592" s="13" t="n"/>
      <c r="M592" s="13" t="n"/>
      <c r="N592" s="14">
        <f>IF(A592="","",COUNT(H592:M592)/6)</f>
        <v/>
      </c>
      <c r="O592" s="15">
        <f>IF(COUNT(H592:M592)=0,"",IF(LEN(IF(COUNT(I592,J592)=2,IF(J592&gt;I592+1,"EBE &gt; VA ",""),"")&amp;IF(COUNT(H592,M592)=2,IF(ABS(M592)&gt;ABS(H592),"RN &gt; CA ",""),"")&amp;IF(COUNT(H592,K592)=2,IF(ABS(K592)&gt;ABS(H592),"RE &gt; CA ",""),""))=0,"OK",IF(COUNT(I592,J592)=2,IF(J592&gt;I592+1,"EBE &gt; VA ",""),"")&amp;IF(COUNT(H592,M592)=2,IF(ABS(M592)&gt;ABS(H592),"RN &gt; CA ",""),"")&amp;IF(COUNT(H592,K592)=2,IF(ABS(K592)&gt;ABS(H592),"RE &gt; CA ",""),"")))</f>
        <v/>
      </c>
      <c r="P592" s="16">
        <f>IF(OR($A592="",H592="",$C592=""),"",IF(COUNTIFS($A$5:$A$639,$A592,$C$5:$C$639,$C592-1,$D$5:$D$639,$D592,H$5:H$639,"&lt;&gt;")=0,"",IF(OR(SUMIFS(H$5:H$639,$A$5:$A$639,$A592,$C$5:$C$639,$C592-1,$D$5:$D$639,$D592)=0,H592*SUMIFS(H$5:H$639,$A$5:$A$639,$A592,$C$5:$C$639,$C592-1,$D$5:$D$639,$D592)&lt;0),"n.s.",ABS(H592)/ABS(SUMIFS(H$5:H$639,$A$5:$A$639,$A592,$C$5:$C$639,$C592-1,$D$5:$D$639,$D592))-1)))</f>
        <v/>
      </c>
      <c r="Q592" s="16">
        <f>IF(OR($A592="",I592="",$C592=""),"",IF(COUNTIFS($A$5:$A$639,$A592,$C$5:$C$639,$C592-1,$D$5:$D$639,$D592,I$5:I$639,"&lt;&gt;")=0,"",IF(OR(SUMIFS(I$5:I$639,$A$5:$A$639,$A592,$C$5:$C$639,$C592-1,$D$5:$D$639,$D592)=0,I592*SUMIFS(I$5:I$639,$A$5:$A$639,$A592,$C$5:$C$639,$C592-1,$D$5:$D$639,$D592)&lt;0),"n.s.",ABS(I592)/ABS(SUMIFS(I$5:I$639,$A$5:$A$639,$A592,$C$5:$C$639,$C592-1,$D$5:$D$639,$D592))-1)))</f>
        <v/>
      </c>
      <c r="R592" s="16">
        <f>IF(OR($A592="",J592="",$C592=""),"",IF(COUNTIFS($A$5:$A$639,$A592,$C$5:$C$639,$C592-1,$D$5:$D$639,$D592,J$5:J$639,"&lt;&gt;")=0,"",IF(OR(SUMIFS(J$5:J$639,$A$5:$A$639,$A592,$C$5:$C$639,$C592-1,$D$5:$D$639,$D592)=0,J592*SUMIFS(J$5:J$639,$A$5:$A$639,$A592,$C$5:$C$639,$C592-1,$D$5:$D$639,$D592)&lt;0),"n.s.",ABS(J592)/ABS(SUMIFS(J$5:J$639,$A$5:$A$639,$A592,$C$5:$C$639,$C592-1,$D$5:$D$639,$D592))-1)))</f>
        <v/>
      </c>
      <c r="S592" s="16">
        <f>IF(OR($A592="",K592="",$C592=""),"",IF(COUNTIFS($A$5:$A$639,$A592,$C$5:$C$639,$C592-1,$D$5:$D$639,$D592,K$5:K$639,"&lt;&gt;")=0,"",IF(OR(SUMIFS(K$5:K$639,$A$5:$A$639,$A592,$C$5:$C$639,$C592-1,$D$5:$D$639,$D592)=0,K592*SUMIFS(K$5:K$639,$A$5:$A$639,$A592,$C$5:$C$639,$C592-1,$D$5:$D$639,$D592)&lt;0),"n.s.",ABS(K592)/ABS(SUMIFS(K$5:K$639,$A$5:$A$639,$A592,$C$5:$C$639,$C592-1,$D$5:$D$639,$D592))-1)))</f>
        <v/>
      </c>
      <c r="T592" s="16">
        <f>IF(OR($A592="",L592="",$C592=""),"",IF(COUNTIFS($A$5:$A$639,$A592,$C$5:$C$639,$C592-1,$D$5:$D$639,$D592,L$5:L$639,"&lt;&gt;")=0,"",IF(OR(SUMIFS(L$5:L$639,$A$5:$A$639,$A592,$C$5:$C$639,$C592-1,$D$5:$D$639,$D592)=0,L592*SUMIFS(L$5:L$639,$A$5:$A$639,$A592,$C$5:$C$639,$C592-1,$D$5:$D$639,$D592)&lt;0),"n.s.",ABS(L592)/ABS(SUMIFS(L$5:L$639,$A$5:$A$639,$A592,$C$5:$C$639,$C592-1,$D$5:$D$639,$D592))-1)))</f>
        <v/>
      </c>
      <c r="U592" s="16">
        <f>IF(OR($A592="",M592="",$C592=""),"",IF(COUNTIFS($A$5:$A$639,$A592,$C$5:$C$639,$C592-1,$D$5:$D$639,$D592,M$5:M$639,"&lt;&gt;")=0,"",IF(OR(SUMIFS(M$5:M$639,$A$5:$A$639,$A592,$C$5:$C$639,$C592-1,$D$5:$D$639,$D592)=0,M592*SUMIFS(M$5:M$639,$A$5:$A$639,$A592,$C$5:$C$639,$C592-1,$D$5:$D$639,$D592)&lt;0),"n.s.",ABS(M592)/ABS(SUMIFS(M$5:M$639,$A$5:$A$639,$A592,$C$5:$C$639,$C592-1,$D$5:$D$639,$D592))-1)))</f>
        <v/>
      </c>
    </row>
    <row r="593">
      <c r="A593" s="9" t="inlineStr">
        <is>
          <t>TTLS</t>
        </is>
      </c>
      <c r="B593" s="10">
        <f>IF(A593="","",IFERROR(VLOOKUP(A593,Titres!$A$2:$B$400,2,FALSE),"Ticker inconnu"))</f>
        <v/>
      </c>
      <c r="C593" s="11" t="n">
        <v>2025</v>
      </c>
      <c r="D593" s="11" t="inlineStr">
        <is>
          <t>T1</t>
        </is>
      </c>
      <c r="E593" s="9" t="n"/>
      <c r="F593" s="12" t="n"/>
      <c r="G593" s="9" t="n"/>
      <c r="H593" s="13" t="n"/>
      <c r="I593" s="13" t="n"/>
      <c r="J593" s="13" t="n"/>
      <c r="K593" s="13" t="n"/>
      <c r="L593" s="13" t="n"/>
      <c r="M593" s="13" t="n"/>
      <c r="N593" s="14">
        <f>IF(A593="","",COUNT(H593:M593)/6)</f>
        <v/>
      </c>
      <c r="O593" s="15">
        <f>IF(COUNT(H593:M593)=0,"",IF(LEN(IF(COUNT(I593,J593)=2,IF(J593&gt;I593+1,"EBE &gt; VA ",""),"")&amp;IF(COUNT(H593,M593)=2,IF(ABS(M593)&gt;ABS(H593),"RN &gt; CA ",""),"")&amp;IF(COUNT(H593,K593)=2,IF(ABS(K593)&gt;ABS(H593),"RE &gt; CA ",""),""))=0,"OK",IF(COUNT(I593,J593)=2,IF(J593&gt;I593+1,"EBE &gt; VA ",""),"")&amp;IF(COUNT(H593,M593)=2,IF(ABS(M593)&gt;ABS(H593),"RN &gt; CA ",""),"")&amp;IF(COUNT(H593,K593)=2,IF(ABS(K593)&gt;ABS(H593),"RE &gt; CA ",""),"")))</f>
        <v/>
      </c>
      <c r="P593" s="16">
        <f>IF(OR($A593="",H593="",$C593=""),"",IF(COUNTIFS($A$5:$A$639,$A593,$C$5:$C$639,$C593-1,$D$5:$D$639,$D593,H$5:H$639,"&lt;&gt;")=0,"",IF(OR(SUMIFS(H$5:H$639,$A$5:$A$639,$A593,$C$5:$C$639,$C593-1,$D$5:$D$639,$D593)=0,H593*SUMIFS(H$5:H$639,$A$5:$A$639,$A593,$C$5:$C$639,$C593-1,$D$5:$D$639,$D593)&lt;0),"n.s.",ABS(H593)/ABS(SUMIFS(H$5:H$639,$A$5:$A$639,$A593,$C$5:$C$639,$C593-1,$D$5:$D$639,$D593))-1)))</f>
        <v/>
      </c>
      <c r="Q593" s="16">
        <f>IF(OR($A593="",I593="",$C593=""),"",IF(COUNTIFS($A$5:$A$639,$A593,$C$5:$C$639,$C593-1,$D$5:$D$639,$D593,I$5:I$639,"&lt;&gt;")=0,"",IF(OR(SUMIFS(I$5:I$639,$A$5:$A$639,$A593,$C$5:$C$639,$C593-1,$D$5:$D$639,$D593)=0,I593*SUMIFS(I$5:I$639,$A$5:$A$639,$A593,$C$5:$C$639,$C593-1,$D$5:$D$639,$D593)&lt;0),"n.s.",ABS(I593)/ABS(SUMIFS(I$5:I$639,$A$5:$A$639,$A593,$C$5:$C$639,$C593-1,$D$5:$D$639,$D593))-1)))</f>
        <v/>
      </c>
      <c r="R593" s="16">
        <f>IF(OR($A593="",J593="",$C593=""),"",IF(COUNTIFS($A$5:$A$639,$A593,$C$5:$C$639,$C593-1,$D$5:$D$639,$D593,J$5:J$639,"&lt;&gt;")=0,"",IF(OR(SUMIFS(J$5:J$639,$A$5:$A$639,$A593,$C$5:$C$639,$C593-1,$D$5:$D$639,$D593)=0,J593*SUMIFS(J$5:J$639,$A$5:$A$639,$A593,$C$5:$C$639,$C593-1,$D$5:$D$639,$D593)&lt;0),"n.s.",ABS(J593)/ABS(SUMIFS(J$5:J$639,$A$5:$A$639,$A593,$C$5:$C$639,$C593-1,$D$5:$D$639,$D593))-1)))</f>
        <v/>
      </c>
      <c r="S593" s="16">
        <f>IF(OR($A593="",K593="",$C593=""),"",IF(COUNTIFS($A$5:$A$639,$A593,$C$5:$C$639,$C593-1,$D$5:$D$639,$D593,K$5:K$639,"&lt;&gt;")=0,"",IF(OR(SUMIFS(K$5:K$639,$A$5:$A$639,$A593,$C$5:$C$639,$C593-1,$D$5:$D$639,$D593)=0,K593*SUMIFS(K$5:K$639,$A$5:$A$639,$A593,$C$5:$C$639,$C593-1,$D$5:$D$639,$D593)&lt;0),"n.s.",ABS(K593)/ABS(SUMIFS(K$5:K$639,$A$5:$A$639,$A593,$C$5:$C$639,$C593-1,$D$5:$D$639,$D593))-1)))</f>
        <v/>
      </c>
      <c r="T593" s="16">
        <f>IF(OR($A593="",L593="",$C593=""),"",IF(COUNTIFS($A$5:$A$639,$A593,$C$5:$C$639,$C593-1,$D$5:$D$639,$D593,L$5:L$639,"&lt;&gt;")=0,"",IF(OR(SUMIFS(L$5:L$639,$A$5:$A$639,$A593,$C$5:$C$639,$C593-1,$D$5:$D$639,$D593)=0,L593*SUMIFS(L$5:L$639,$A$5:$A$639,$A593,$C$5:$C$639,$C593-1,$D$5:$D$639,$D593)&lt;0),"n.s.",ABS(L593)/ABS(SUMIFS(L$5:L$639,$A$5:$A$639,$A593,$C$5:$C$639,$C593-1,$D$5:$D$639,$D593))-1)))</f>
        <v/>
      </c>
      <c r="U593" s="16">
        <f>IF(OR($A593="",M593="",$C593=""),"",IF(COUNTIFS($A$5:$A$639,$A593,$C$5:$C$639,$C593-1,$D$5:$D$639,$D593,M$5:M$639,"&lt;&gt;")=0,"",IF(OR(SUMIFS(M$5:M$639,$A$5:$A$639,$A593,$C$5:$C$639,$C593-1,$D$5:$D$639,$D593)=0,M593*SUMIFS(M$5:M$639,$A$5:$A$639,$A593,$C$5:$C$639,$C593-1,$D$5:$D$639,$D593)&lt;0),"n.s.",ABS(M593)/ABS(SUMIFS(M$5:M$639,$A$5:$A$639,$A593,$C$5:$C$639,$C593-1,$D$5:$D$639,$D593))-1)))</f>
        <v/>
      </c>
    </row>
    <row r="594">
      <c r="A594" s="9" t="inlineStr">
        <is>
          <t>TTLS</t>
        </is>
      </c>
      <c r="B594" s="10">
        <f>IF(A594="","",IFERROR(VLOOKUP(A594,Titres!$A$2:$B$400,2,FALSE),"Ticker inconnu"))</f>
        <v/>
      </c>
      <c r="C594" s="11" t="n">
        <v>2025</v>
      </c>
      <c r="D594" s="11" t="inlineStr">
        <is>
          <t>S1</t>
        </is>
      </c>
      <c r="E594" s="9" t="n"/>
      <c r="F594" s="12" t="n"/>
      <c r="G594" s="9" t="n"/>
      <c r="H594" s="13" t="n"/>
      <c r="I594" s="13" t="n"/>
      <c r="J594" s="13" t="n"/>
      <c r="K594" s="13" t="n"/>
      <c r="L594" s="13" t="n"/>
      <c r="M594" s="13" t="n"/>
      <c r="N594" s="14">
        <f>IF(A594="","",COUNT(H594:M594)/6)</f>
        <v/>
      </c>
      <c r="O594" s="15">
        <f>IF(COUNT(H594:M594)=0,"",IF(LEN(IF(COUNT(I594,J594)=2,IF(J594&gt;I594+1,"EBE &gt; VA ",""),"")&amp;IF(COUNT(H594,M594)=2,IF(ABS(M594)&gt;ABS(H594),"RN &gt; CA ",""),"")&amp;IF(COUNT(H594,K594)=2,IF(ABS(K594)&gt;ABS(H594),"RE &gt; CA ",""),""))=0,"OK",IF(COUNT(I594,J594)=2,IF(J594&gt;I594+1,"EBE &gt; VA ",""),"")&amp;IF(COUNT(H594,M594)=2,IF(ABS(M594)&gt;ABS(H594),"RN &gt; CA ",""),"")&amp;IF(COUNT(H594,K594)=2,IF(ABS(K594)&gt;ABS(H594),"RE &gt; CA ",""),"")))</f>
        <v/>
      </c>
      <c r="P594" s="16">
        <f>IF(OR($A594="",H594="",$C594=""),"",IF(COUNTIFS($A$5:$A$639,$A594,$C$5:$C$639,$C594-1,$D$5:$D$639,$D594,H$5:H$639,"&lt;&gt;")=0,"",IF(OR(SUMIFS(H$5:H$639,$A$5:$A$639,$A594,$C$5:$C$639,$C594-1,$D$5:$D$639,$D594)=0,H594*SUMIFS(H$5:H$639,$A$5:$A$639,$A594,$C$5:$C$639,$C594-1,$D$5:$D$639,$D594)&lt;0),"n.s.",ABS(H594)/ABS(SUMIFS(H$5:H$639,$A$5:$A$639,$A594,$C$5:$C$639,$C594-1,$D$5:$D$639,$D594))-1)))</f>
        <v/>
      </c>
      <c r="Q594" s="16">
        <f>IF(OR($A594="",I594="",$C594=""),"",IF(COUNTIFS($A$5:$A$639,$A594,$C$5:$C$639,$C594-1,$D$5:$D$639,$D594,I$5:I$639,"&lt;&gt;")=0,"",IF(OR(SUMIFS(I$5:I$639,$A$5:$A$639,$A594,$C$5:$C$639,$C594-1,$D$5:$D$639,$D594)=0,I594*SUMIFS(I$5:I$639,$A$5:$A$639,$A594,$C$5:$C$639,$C594-1,$D$5:$D$639,$D594)&lt;0),"n.s.",ABS(I594)/ABS(SUMIFS(I$5:I$639,$A$5:$A$639,$A594,$C$5:$C$639,$C594-1,$D$5:$D$639,$D594))-1)))</f>
        <v/>
      </c>
      <c r="R594" s="16">
        <f>IF(OR($A594="",J594="",$C594=""),"",IF(COUNTIFS($A$5:$A$639,$A594,$C$5:$C$639,$C594-1,$D$5:$D$639,$D594,J$5:J$639,"&lt;&gt;")=0,"",IF(OR(SUMIFS(J$5:J$639,$A$5:$A$639,$A594,$C$5:$C$639,$C594-1,$D$5:$D$639,$D594)=0,J594*SUMIFS(J$5:J$639,$A$5:$A$639,$A594,$C$5:$C$639,$C594-1,$D$5:$D$639,$D594)&lt;0),"n.s.",ABS(J594)/ABS(SUMIFS(J$5:J$639,$A$5:$A$639,$A594,$C$5:$C$639,$C594-1,$D$5:$D$639,$D594))-1)))</f>
        <v/>
      </c>
      <c r="S594" s="16">
        <f>IF(OR($A594="",K594="",$C594=""),"",IF(COUNTIFS($A$5:$A$639,$A594,$C$5:$C$639,$C594-1,$D$5:$D$639,$D594,K$5:K$639,"&lt;&gt;")=0,"",IF(OR(SUMIFS(K$5:K$639,$A$5:$A$639,$A594,$C$5:$C$639,$C594-1,$D$5:$D$639,$D594)=0,K594*SUMIFS(K$5:K$639,$A$5:$A$639,$A594,$C$5:$C$639,$C594-1,$D$5:$D$639,$D594)&lt;0),"n.s.",ABS(K594)/ABS(SUMIFS(K$5:K$639,$A$5:$A$639,$A594,$C$5:$C$639,$C594-1,$D$5:$D$639,$D594))-1)))</f>
        <v/>
      </c>
      <c r="T594" s="16">
        <f>IF(OR($A594="",L594="",$C594=""),"",IF(COUNTIFS($A$5:$A$639,$A594,$C$5:$C$639,$C594-1,$D$5:$D$639,$D594,L$5:L$639,"&lt;&gt;")=0,"",IF(OR(SUMIFS(L$5:L$639,$A$5:$A$639,$A594,$C$5:$C$639,$C594-1,$D$5:$D$639,$D594)=0,L594*SUMIFS(L$5:L$639,$A$5:$A$639,$A594,$C$5:$C$639,$C594-1,$D$5:$D$639,$D594)&lt;0),"n.s.",ABS(L594)/ABS(SUMIFS(L$5:L$639,$A$5:$A$639,$A594,$C$5:$C$639,$C594-1,$D$5:$D$639,$D594))-1)))</f>
        <v/>
      </c>
      <c r="U594" s="16">
        <f>IF(OR($A594="",M594="",$C594=""),"",IF(COUNTIFS($A$5:$A$639,$A594,$C$5:$C$639,$C594-1,$D$5:$D$639,$D594,M$5:M$639,"&lt;&gt;")=0,"",IF(OR(SUMIFS(M$5:M$639,$A$5:$A$639,$A594,$C$5:$C$639,$C594-1,$D$5:$D$639,$D594)=0,M594*SUMIFS(M$5:M$639,$A$5:$A$639,$A594,$C$5:$C$639,$C594-1,$D$5:$D$639,$D594)&lt;0),"n.s.",ABS(M594)/ABS(SUMIFS(M$5:M$639,$A$5:$A$639,$A594,$C$5:$C$639,$C594-1,$D$5:$D$639,$D594))-1)))</f>
        <v/>
      </c>
    </row>
    <row r="595">
      <c r="A595" s="9" t="inlineStr">
        <is>
          <t>TTLS</t>
        </is>
      </c>
      <c r="B595" s="10">
        <f>IF(A595="","",IFERROR(VLOOKUP(A595,Titres!$A$2:$B$400,2,FALSE),"Ticker inconnu"))</f>
        <v/>
      </c>
      <c r="C595" s="11" t="n">
        <v>2025</v>
      </c>
      <c r="D595" s="11" t="inlineStr">
        <is>
          <t>T3</t>
        </is>
      </c>
      <c r="E595" s="9" t="n"/>
      <c r="F595" s="12" t="n"/>
      <c r="G595" s="9" t="n"/>
      <c r="H595" s="13" t="n"/>
      <c r="I595" s="13" t="n"/>
      <c r="J595" s="13" t="n"/>
      <c r="K595" s="13" t="n"/>
      <c r="L595" s="13" t="n"/>
      <c r="M595" s="13" t="n"/>
      <c r="N595" s="14">
        <f>IF(A595="","",COUNT(H595:M595)/6)</f>
        <v/>
      </c>
      <c r="O595" s="15">
        <f>IF(COUNT(H595:M595)=0,"",IF(LEN(IF(COUNT(I595,J595)=2,IF(J595&gt;I595+1,"EBE &gt; VA ",""),"")&amp;IF(COUNT(H595,M595)=2,IF(ABS(M595)&gt;ABS(H595),"RN &gt; CA ",""),"")&amp;IF(COUNT(H595,K595)=2,IF(ABS(K595)&gt;ABS(H595),"RE &gt; CA ",""),""))=0,"OK",IF(COUNT(I595,J595)=2,IF(J595&gt;I595+1,"EBE &gt; VA ",""),"")&amp;IF(COUNT(H595,M595)=2,IF(ABS(M595)&gt;ABS(H595),"RN &gt; CA ",""),"")&amp;IF(COUNT(H595,K595)=2,IF(ABS(K595)&gt;ABS(H595),"RE &gt; CA ",""),"")))</f>
        <v/>
      </c>
      <c r="P595" s="16">
        <f>IF(OR($A595="",H595="",$C595=""),"",IF(COUNTIFS($A$5:$A$639,$A595,$C$5:$C$639,$C595-1,$D$5:$D$639,$D595,H$5:H$639,"&lt;&gt;")=0,"",IF(OR(SUMIFS(H$5:H$639,$A$5:$A$639,$A595,$C$5:$C$639,$C595-1,$D$5:$D$639,$D595)=0,H595*SUMIFS(H$5:H$639,$A$5:$A$639,$A595,$C$5:$C$639,$C595-1,$D$5:$D$639,$D595)&lt;0),"n.s.",ABS(H595)/ABS(SUMIFS(H$5:H$639,$A$5:$A$639,$A595,$C$5:$C$639,$C595-1,$D$5:$D$639,$D595))-1)))</f>
        <v/>
      </c>
      <c r="Q595" s="16">
        <f>IF(OR($A595="",I595="",$C595=""),"",IF(COUNTIFS($A$5:$A$639,$A595,$C$5:$C$639,$C595-1,$D$5:$D$639,$D595,I$5:I$639,"&lt;&gt;")=0,"",IF(OR(SUMIFS(I$5:I$639,$A$5:$A$639,$A595,$C$5:$C$639,$C595-1,$D$5:$D$639,$D595)=0,I595*SUMIFS(I$5:I$639,$A$5:$A$639,$A595,$C$5:$C$639,$C595-1,$D$5:$D$639,$D595)&lt;0),"n.s.",ABS(I595)/ABS(SUMIFS(I$5:I$639,$A$5:$A$639,$A595,$C$5:$C$639,$C595-1,$D$5:$D$639,$D595))-1)))</f>
        <v/>
      </c>
      <c r="R595" s="16">
        <f>IF(OR($A595="",J595="",$C595=""),"",IF(COUNTIFS($A$5:$A$639,$A595,$C$5:$C$639,$C595-1,$D$5:$D$639,$D595,J$5:J$639,"&lt;&gt;")=0,"",IF(OR(SUMIFS(J$5:J$639,$A$5:$A$639,$A595,$C$5:$C$639,$C595-1,$D$5:$D$639,$D595)=0,J595*SUMIFS(J$5:J$639,$A$5:$A$639,$A595,$C$5:$C$639,$C595-1,$D$5:$D$639,$D595)&lt;0),"n.s.",ABS(J595)/ABS(SUMIFS(J$5:J$639,$A$5:$A$639,$A595,$C$5:$C$639,$C595-1,$D$5:$D$639,$D595))-1)))</f>
        <v/>
      </c>
      <c r="S595" s="16">
        <f>IF(OR($A595="",K595="",$C595=""),"",IF(COUNTIFS($A$5:$A$639,$A595,$C$5:$C$639,$C595-1,$D$5:$D$639,$D595,K$5:K$639,"&lt;&gt;")=0,"",IF(OR(SUMIFS(K$5:K$639,$A$5:$A$639,$A595,$C$5:$C$639,$C595-1,$D$5:$D$639,$D595)=0,K595*SUMIFS(K$5:K$639,$A$5:$A$639,$A595,$C$5:$C$639,$C595-1,$D$5:$D$639,$D595)&lt;0),"n.s.",ABS(K595)/ABS(SUMIFS(K$5:K$639,$A$5:$A$639,$A595,$C$5:$C$639,$C595-1,$D$5:$D$639,$D595))-1)))</f>
        <v/>
      </c>
      <c r="T595" s="16">
        <f>IF(OR($A595="",L595="",$C595=""),"",IF(COUNTIFS($A$5:$A$639,$A595,$C$5:$C$639,$C595-1,$D$5:$D$639,$D595,L$5:L$639,"&lt;&gt;")=0,"",IF(OR(SUMIFS(L$5:L$639,$A$5:$A$639,$A595,$C$5:$C$639,$C595-1,$D$5:$D$639,$D595)=0,L595*SUMIFS(L$5:L$639,$A$5:$A$639,$A595,$C$5:$C$639,$C595-1,$D$5:$D$639,$D595)&lt;0),"n.s.",ABS(L595)/ABS(SUMIFS(L$5:L$639,$A$5:$A$639,$A595,$C$5:$C$639,$C595-1,$D$5:$D$639,$D595))-1)))</f>
        <v/>
      </c>
      <c r="U595" s="16">
        <f>IF(OR($A595="",M595="",$C595=""),"",IF(COUNTIFS($A$5:$A$639,$A595,$C$5:$C$639,$C595-1,$D$5:$D$639,$D595,M$5:M$639,"&lt;&gt;")=0,"",IF(OR(SUMIFS(M$5:M$639,$A$5:$A$639,$A595,$C$5:$C$639,$C595-1,$D$5:$D$639,$D595)=0,M595*SUMIFS(M$5:M$639,$A$5:$A$639,$A595,$C$5:$C$639,$C595-1,$D$5:$D$639,$D595)&lt;0),"n.s.",ABS(M595)/ABS(SUMIFS(M$5:M$639,$A$5:$A$639,$A595,$C$5:$C$639,$C595-1,$D$5:$D$639,$D595))-1)))</f>
        <v/>
      </c>
    </row>
    <row r="596">
      <c r="A596" s="9" t="inlineStr">
        <is>
          <t>TTLS</t>
        </is>
      </c>
      <c r="B596" s="10">
        <f>IF(A596="","",IFERROR(VLOOKUP(A596,Titres!$A$2:$B$400,2,FALSE),"Ticker inconnu"))</f>
        <v/>
      </c>
      <c r="C596" s="11" t="n">
        <v>2026</v>
      </c>
      <c r="D596" s="11" t="inlineStr">
        <is>
          <t>T1</t>
        </is>
      </c>
      <c r="E596" s="9" t="n"/>
      <c r="F596" s="12" t="n"/>
      <c r="G596" s="9" t="n"/>
      <c r="H596" s="13" t="n"/>
      <c r="I596" s="13" t="n"/>
      <c r="J596" s="13" t="n"/>
      <c r="K596" s="13" t="n"/>
      <c r="L596" s="13" t="n"/>
      <c r="M596" s="13" t="n"/>
      <c r="N596" s="14">
        <f>IF(A596="","",COUNT(H596:M596)/6)</f>
        <v/>
      </c>
      <c r="O596" s="15">
        <f>IF(COUNT(H596:M596)=0,"",IF(LEN(IF(COUNT(I596,J596)=2,IF(J596&gt;I596+1,"EBE &gt; VA ",""),"")&amp;IF(COUNT(H596,M596)=2,IF(ABS(M596)&gt;ABS(H596),"RN &gt; CA ",""),"")&amp;IF(COUNT(H596,K596)=2,IF(ABS(K596)&gt;ABS(H596),"RE &gt; CA ",""),""))=0,"OK",IF(COUNT(I596,J596)=2,IF(J596&gt;I596+1,"EBE &gt; VA ",""),"")&amp;IF(COUNT(H596,M596)=2,IF(ABS(M596)&gt;ABS(H596),"RN &gt; CA ",""),"")&amp;IF(COUNT(H596,K596)=2,IF(ABS(K596)&gt;ABS(H596),"RE &gt; CA ",""),"")))</f>
        <v/>
      </c>
      <c r="P596" s="16">
        <f>IF(OR($A596="",H596="",$C596=""),"",IF(COUNTIFS($A$5:$A$639,$A596,$C$5:$C$639,$C596-1,$D$5:$D$639,$D596,H$5:H$639,"&lt;&gt;")=0,"",IF(OR(SUMIFS(H$5:H$639,$A$5:$A$639,$A596,$C$5:$C$639,$C596-1,$D$5:$D$639,$D596)=0,H596*SUMIFS(H$5:H$639,$A$5:$A$639,$A596,$C$5:$C$639,$C596-1,$D$5:$D$639,$D596)&lt;0),"n.s.",ABS(H596)/ABS(SUMIFS(H$5:H$639,$A$5:$A$639,$A596,$C$5:$C$639,$C596-1,$D$5:$D$639,$D596))-1)))</f>
        <v/>
      </c>
      <c r="Q596" s="16">
        <f>IF(OR($A596="",I596="",$C596=""),"",IF(COUNTIFS($A$5:$A$639,$A596,$C$5:$C$639,$C596-1,$D$5:$D$639,$D596,I$5:I$639,"&lt;&gt;")=0,"",IF(OR(SUMIFS(I$5:I$639,$A$5:$A$639,$A596,$C$5:$C$639,$C596-1,$D$5:$D$639,$D596)=0,I596*SUMIFS(I$5:I$639,$A$5:$A$639,$A596,$C$5:$C$639,$C596-1,$D$5:$D$639,$D596)&lt;0),"n.s.",ABS(I596)/ABS(SUMIFS(I$5:I$639,$A$5:$A$639,$A596,$C$5:$C$639,$C596-1,$D$5:$D$639,$D596))-1)))</f>
        <v/>
      </c>
      <c r="R596" s="16">
        <f>IF(OR($A596="",J596="",$C596=""),"",IF(COUNTIFS($A$5:$A$639,$A596,$C$5:$C$639,$C596-1,$D$5:$D$639,$D596,J$5:J$639,"&lt;&gt;")=0,"",IF(OR(SUMIFS(J$5:J$639,$A$5:$A$639,$A596,$C$5:$C$639,$C596-1,$D$5:$D$639,$D596)=0,J596*SUMIFS(J$5:J$639,$A$5:$A$639,$A596,$C$5:$C$639,$C596-1,$D$5:$D$639,$D596)&lt;0),"n.s.",ABS(J596)/ABS(SUMIFS(J$5:J$639,$A$5:$A$639,$A596,$C$5:$C$639,$C596-1,$D$5:$D$639,$D596))-1)))</f>
        <v/>
      </c>
      <c r="S596" s="16">
        <f>IF(OR($A596="",K596="",$C596=""),"",IF(COUNTIFS($A$5:$A$639,$A596,$C$5:$C$639,$C596-1,$D$5:$D$639,$D596,K$5:K$639,"&lt;&gt;")=0,"",IF(OR(SUMIFS(K$5:K$639,$A$5:$A$639,$A596,$C$5:$C$639,$C596-1,$D$5:$D$639,$D596)=0,K596*SUMIFS(K$5:K$639,$A$5:$A$639,$A596,$C$5:$C$639,$C596-1,$D$5:$D$639,$D596)&lt;0),"n.s.",ABS(K596)/ABS(SUMIFS(K$5:K$639,$A$5:$A$639,$A596,$C$5:$C$639,$C596-1,$D$5:$D$639,$D596))-1)))</f>
        <v/>
      </c>
      <c r="T596" s="16">
        <f>IF(OR($A596="",L596="",$C596=""),"",IF(COUNTIFS($A$5:$A$639,$A596,$C$5:$C$639,$C596-1,$D$5:$D$639,$D596,L$5:L$639,"&lt;&gt;")=0,"",IF(OR(SUMIFS(L$5:L$639,$A$5:$A$639,$A596,$C$5:$C$639,$C596-1,$D$5:$D$639,$D596)=0,L596*SUMIFS(L$5:L$639,$A$5:$A$639,$A596,$C$5:$C$639,$C596-1,$D$5:$D$639,$D596)&lt;0),"n.s.",ABS(L596)/ABS(SUMIFS(L$5:L$639,$A$5:$A$639,$A596,$C$5:$C$639,$C596-1,$D$5:$D$639,$D596))-1)))</f>
        <v/>
      </c>
      <c r="U596" s="16">
        <f>IF(OR($A596="",M596="",$C596=""),"",IF(COUNTIFS($A$5:$A$639,$A596,$C$5:$C$639,$C596-1,$D$5:$D$639,$D596,M$5:M$639,"&lt;&gt;")=0,"",IF(OR(SUMIFS(M$5:M$639,$A$5:$A$639,$A596,$C$5:$C$639,$C596-1,$D$5:$D$639,$D596)=0,M596*SUMIFS(M$5:M$639,$A$5:$A$639,$A596,$C$5:$C$639,$C596-1,$D$5:$D$639,$D596)&lt;0),"n.s.",ABS(M596)/ABS(SUMIFS(M$5:M$639,$A$5:$A$639,$A596,$C$5:$C$639,$C596-1,$D$5:$D$639,$D596))-1)))</f>
        <v/>
      </c>
    </row>
    <row r="597">
      <c r="A597" s="9" t="inlineStr">
        <is>
          <t>TTLS</t>
        </is>
      </c>
      <c r="B597" s="10">
        <f>IF(A597="","",IFERROR(VLOOKUP(A597,Titres!$A$2:$B$400,2,FALSE),"Ticker inconnu"))</f>
        <v/>
      </c>
      <c r="C597" s="11" t="n">
        <v>2026</v>
      </c>
      <c r="D597" s="11" t="inlineStr">
        <is>
          <t>S1</t>
        </is>
      </c>
      <c r="E597" s="9" t="n"/>
      <c r="F597" s="12" t="n"/>
      <c r="G597" s="9" t="n"/>
      <c r="H597" s="13" t="n"/>
      <c r="I597" s="13" t="n"/>
      <c r="J597" s="13" t="n"/>
      <c r="K597" s="13" t="n"/>
      <c r="L597" s="13" t="n"/>
      <c r="M597" s="13" t="n"/>
      <c r="N597" s="14">
        <f>IF(A597="","",COUNT(H597:M597)/6)</f>
        <v/>
      </c>
      <c r="O597" s="15">
        <f>IF(COUNT(H597:M597)=0,"",IF(LEN(IF(COUNT(I597,J597)=2,IF(J597&gt;I597+1,"EBE &gt; VA ",""),"")&amp;IF(COUNT(H597,M597)=2,IF(ABS(M597)&gt;ABS(H597),"RN &gt; CA ",""),"")&amp;IF(COUNT(H597,K597)=2,IF(ABS(K597)&gt;ABS(H597),"RE &gt; CA ",""),""))=0,"OK",IF(COUNT(I597,J597)=2,IF(J597&gt;I597+1,"EBE &gt; VA ",""),"")&amp;IF(COUNT(H597,M597)=2,IF(ABS(M597)&gt;ABS(H597),"RN &gt; CA ",""),"")&amp;IF(COUNT(H597,K597)=2,IF(ABS(K597)&gt;ABS(H597),"RE &gt; CA ",""),"")))</f>
        <v/>
      </c>
      <c r="P597" s="16">
        <f>IF(OR($A597="",H597="",$C597=""),"",IF(COUNTIFS($A$5:$A$639,$A597,$C$5:$C$639,$C597-1,$D$5:$D$639,$D597,H$5:H$639,"&lt;&gt;")=0,"",IF(OR(SUMIFS(H$5:H$639,$A$5:$A$639,$A597,$C$5:$C$639,$C597-1,$D$5:$D$639,$D597)=0,H597*SUMIFS(H$5:H$639,$A$5:$A$639,$A597,$C$5:$C$639,$C597-1,$D$5:$D$639,$D597)&lt;0),"n.s.",ABS(H597)/ABS(SUMIFS(H$5:H$639,$A$5:$A$639,$A597,$C$5:$C$639,$C597-1,$D$5:$D$639,$D597))-1)))</f>
        <v/>
      </c>
      <c r="Q597" s="16">
        <f>IF(OR($A597="",I597="",$C597=""),"",IF(COUNTIFS($A$5:$A$639,$A597,$C$5:$C$639,$C597-1,$D$5:$D$639,$D597,I$5:I$639,"&lt;&gt;")=0,"",IF(OR(SUMIFS(I$5:I$639,$A$5:$A$639,$A597,$C$5:$C$639,$C597-1,$D$5:$D$639,$D597)=0,I597*SUMIFS(I$5:I$639,$A$5:$A$639,$A597,$C$5:$C$639,$C597-1,$D$5:$D$639,$D597)&lt;0),"n.s.",ABS(I597)/ABS(SUMIFS(I$5:I$639,$A$5:$A$639,$A597,$C$5:$C$639,$C597-1,$D$5:$D$639,$D597))-1)))</f>
        <v/>
      </c>
      <c r="R597" s="16">
        <f>IF(OR($A597="",J597="",$C597=""),"",IF(COUNTIFS($A$5:$A$639,$A597,$C$5:$C$639,$C597-1,$D$5:$D$639,$D597,J$5:J$639,"&lt;&gt;")=0,"",IF(OR(SUMIFS(J$5:J$639,$A$5:$A$639,$A597,$C$5:$C$639,$C597-1,$D$5:$D$639,$D597)=0,J597*SUMIFS(J$5:J$639,$A$5:$A$639,$A597,$C$5:$C$639,$C597-1,$D$5:$D$639,$D597)&lt;0),"n.s.",ABS(J597)/ABS(SUMIFS(J$5:J$639,$A$5:$A$639,$A597,$C$5:$C$639,$C597-1,$D$5:$D$639,$D597))-1)))</f>
        <v/>
      </c>
      <c r="S597" s="16">
        <f>IF(OR($A597="",K597="",$C597=""),"",IF(COUNTIFS($A$5:$A$639,$A597,$C$5:$C$639,$C597-1,$D$5:$D$639,$D597,K$5:K$639,"&lt;&gt;")=0,"",IF(OR(SUMIFS(K$5:K$639,$A$5:$A$639,$A597,$C$5:$C$639,$C597-1,$D$5:$D$639,$D597)=0,K597*SUMIFS(K$5:K$639,$A$5:$A$639,$A597,$C$5:$C$639,$C597-1,$D$5:$D$639,$D597)&lt;0),"n.s.",ABS(K597)/ABS(SUMIFS(K$5:K$639,$A$5:$A$639,$A597,$C$5:$C$639,$C597-1,$D$5:$D$639,$D597))-1)))</f>
        <v/>
      </c>
      <c r="T597" s="16">
        <f>IF(OR($A597="",L597="",$C597=""),"",IF(COUNTIFS($A$5:$A$639,$A597,$C$5:$C$639,$C597-1,$D$5:$D$639,$D597,L$5:L$639,"&lt;&gt;")=0,"",IF(OR(SUMIFS(L$5:L$639,$A$5:$A$639,$A597,$C$5:$C$639,$C597-1,$D$5:$D$639,$D597)=0,L597*SUMIFS(L$5:L$639,$A$5:$A$639,$A597,$C$5:$C$639,$C597-1,$D$5:$D$639,$D597)&lt;0),"n.s.",ABS(L597)/ABS(SUMIFS(L$5:L$639,$A$5:$A$639,$A597,$C$5:$C$639,$C597-1,$D$5:$D$639,$D597))-1)))</f>
        <v/>
      </c>
      <c r="U597" s="16">
        <f>IF(OR($A597="",M597="",$C597=""),"",IF(COUNTIFS($A$5:$A$639,$A597,$C$5:$C$639,$C597-1,$D$5:$D$639,$D597,M$5:M$639,"&lt;&gt;")=0,"",IF(OR(SUMIFS(M$5:M$639,$A$5:$A$639,$A597,$C$5:$C$639,$C597-1,$D$5:$D$639,$D597)=0,M597*SUMIFS(M$5:M$639,$A$5:$A$639,$A597,$C$5:$C$639,$C597-1,$D$5:$D$639,$D597)&lt;0),"n.s.",ABS(M597)/ABS(SUMIFS(M$5:M$639,$A$5:$A$639,$A597,$C$5:$C$639,$C597-1,$D$5:$D$639,$D597))-1)))</f>
        <v/>
      </c>
    </row>
    <row r="598">
      <c r="A598" s="9" t="inlineStr">
        <is>
          <t>TTLS</t>
        </is>
      </c>
      <c r="B598" s="10">
        <f>IF(A598="","",IFERROR(VLOOKUP(A598,Titres!$A$2:$B$400,2,FALSE),"Ticker inconnu"))</f>
        <v/>
      </c>
      <c r="C598" s="11" t="n">
        <v>2026</v>
      </c>
      <c r="D598" s="11" t="inlineStr">
        <is>
          <t>T3</t>
        </is>
      </c>
      <c r="E598" s="9" t="n"/>
      <c r="F598" s="12" t="n"/>
      <c r="G598" s="9" t="n"/>
      <c r="H598" s="13" t="n"/>
      <c r="I598" s="13" t="n"/>
      <c r="J598" s="13" t="n"/>
      <c r="K598" s="13" t="n"/>
      <c r="L598" s="13" t="n"/>
      <c r="M598" s="13" t="n"/>
      <c r="N598" s="14">
        <f>IF(A598="","",COUNT(H598:M598)/6)</f>
        <v/>
      </c>
      <c r="O598" s="15">
        <f>IF(COUNT(H598:M598)=0,"",IF(LEN(IF(COUNT(I598,J598)=2,IF(J598&gt;I598+1,"EBE &gt; VA ",""),"")&amp;IF(COUNT(H598,M598)=2,IF(ABS(M598)&gt;ABS(H598),"RN &gt; CA ",""),"")&amp;IF(COUNT(H598,K598)=2,IF(ABS(K598)&gt;ABS(H598),"RE &gt; CA ",""),""))=0,"OK",IF(COUNT(I598,J598)=2,IF(J598&gt;I598+1,"EBE &gt; VA ",""),"")&amp;IF(COUNT(H598,M598)=2,IF(ABS(M598)&gt;ABS(H598),"RN &gt; CA ",""),"")&amp;IF(COUNT(H598,K598)=2,IF(ABS(K598)&gt;ABS(H598),"RE &gt; CA ",""),"")))</f>
        <v/>
      </c>
      <c r="P598" s="16">
        <f>IF(OR($A598="",H598="",$C598=""),"",IF(COUNTIFS($A$5:$A$639,$A598,$C$5:$C$639,$C598-1,$D$5:$D$639,$D598,H$5:H$639,"&lt;&gt;")=0,"",IF(OR(SUMIFS(H$5:H$639,$A$5:$A$639,$A598,$C$5:$C$639,$C598-1,$D$5:$D$639,$D598)=0,H598*SUMIFS(H$5:H$639,$A$5:$A$639,$A598,$C$5:$C$639,$C598-1,$D$5:$D$639,$D598)&lt;0),"n.s.",ABS(H598)/ABS(SUMIFS(H$5:H$639,$A$5:$A$639,$A598,$C$5:$C$639,$C598-1,$D$5:$D$639,$D598))-1)))</f>
        <v/>
      </c>
      <c r="Q598" s="16">
        <f>IF(OR($A598="",I598="",$C598=""),"",IF(COUNTIFS($A$5:$A$639,$A598,$C$5:$C$639,$C598-1,$D$5:$D$639,$D598,I$5:I$639,"&lt;&gt;")=0,"",IF(OR(SUMIFS(I$5:I$639,$A$5:$A$639,$A598,$C$5:$C$639,$C598-1,$D$5:$D$639,$D598)=0,I598*SUMIFS(I$5:I$639,$A$5:$A$639,$A598,$C$5:$C$639,$C598-1,$D$5:$D$639,$D598)&lt;0),"n.s.",ABS(I598)/ABS(SUMIFS(I$5:I$639,$A$5:$A$639,$A598,$C$5:$C$639,$C598-1,$D$5:$D$639,$D598))-1)))</f>
        <v/>
      </c>
      <c r="R598" s="16">
        <f>IF(OR($A598="",J598="",$C598=""),"",IF(COUNTIFS($A$5:$A$639,$A598,$C$5:$C$639,$C598-1,$D$5:$D$639,$D598,J$5:J$639,"&lt;&gt;")=0,"",IF(OR(SUMIFS(J$5:J$639,$A$5:$A$639,$A598,$C$5:$C$639,$C598-1,$D$5:$D$639,$D598)=0,J598*SUMIFS(J$5:J$639,$A$5:$A$639,$A598,$C$5:$C$639,$C598-1,$D$5:$D$639,$D598)&lt;0),"n.s.",ABS(J598)/ABS(SUMIFS(J$5:J$639,$A$5:$A$639,$A598,$C$5:$C$639,$C598-1,$D$5:$D$639,$D598))-1)))</f>
        <v/>
      </c>
      <c r="S598" s="16">
        <f>IF(OR($A598="",K598="",$C598=""),"",IF(COUNTIFS($A$5:$A$639,$A598,$C$5:$C$639,$C598-1,$D$5:$D$639,$D598,K$5:K$639,"&lt;&gt;")=0,"",IF(OR(SUMIFS(K$5:K$639,$A$5:$A$639,$A598,$C$5:$C$639,$C598-1,$D$5:$D$639,$D598)=0,K598*SUMIFS(K$5:K$639,$A$5:$A$639,$A598,$C$5:$C$639,$C598-1,$D$5:$D$639,$D598)&lt;0),"n.s.",ABS(K598)/ABS(SUMIFS(K$5:K$639,$A$5:$A$639,$A598,$C$5:$C$639,$C598-1,$D$5:$D$639,$D598))-1)))</f>
        <v/>
      </c>
      <c r="T598" s="16">
        <f>IF(OR($A598="",L598="",$C598=""),"",IF(COUNTIFS($A$5:$A$639,$A598,$C$5:$C$639,$C598-1,$D$5:$D$639,$D598,L$5:L$639,"&lt;&gt;")=0,"",IF(OR(SUMIFS(L$5:L$639,$A$5:$A$639,$A598,$C$5:$C$639,$C598-1,$D$5:$D$639,$D598)=0,L598*SUMIFS(L$5:L$639,$A$5:$A$639,$A598,$C$5:$C$639,$C598-1,$D$5:$D$639,$D598)&lt;0),"n.s.",ABS(L598)/ABS(SUMIFS(L$5:L$639,$A$5:$A$639,$A598,$C$5:$C$639,$C598-1,$D$5:$D$639,$D598))-1)))</f>
        <v/>
      </c>
      <c r="U598" s="16">
        <f>IF(OR($A598="",M598="",$C598=""),"",IF(COUNTIFS($A$5:$A$639,$A598,$C$5:$C$639,$C598-1,$D$5:$D$639,$D598,M$5:M$639,"&lt;&gt;")=0,"",IF(OR(SUMIFS(M$5:M$639,$A$5:$A$639,$A598,$C$5:$C$639,$C598-1,$D$5:$D$639,$D598)=0,M598*SUMIFS(M$5:M$639,$A$5:$A$639,$A598,$C$5:$C$639,$C598-1,$D$5:$D$639,$D598)&lt;0),"n.s.",ABS(M598)/ABS(SUMIFS(M$5:M$639,$A$5:$A$639,$A598,$C$5:$C$639,$C598-1,$D$5:$D$639,$D598))-1)))</f>
        <v/>
      </c>
    </row>
    <row r="599">
      <c r="A599" s="9" t="n"/>
      <c r="B599" s="10">
        <f>IF(A599="","",IFERROR(VLOOKUP(A599,Titres!$A$2:$B$400,2,FALSE),"Ticker inconnu"))</f>
        <v/>
      </c>
      <c r="C599" s="11" t="n"/>
      <c r="D599" s="11" t="n"/>
      <c r="E599" s="9" t="n"/>
      <c r="F599" s="12" t="n"/>
      <c r="G599" s="9" t="n"/>
      <c r="H599" s="13" t="n"/>
      <c r="I599" s="13" t="n"/>
      <c r="J599" s="13" t="n"/>
      <c r="K599" s="13" t="n"/>
      <c r="L599" s="13" t="n"/>
      <c r="M599" s="13" t="n"/>
      <c r="N599" s="14">
        <f>IF(A599="","",COUNT(H599:M599)/6)</f>
        <v/>
      </c>
      <c r="O599" s="15">
        <f>IF(COUNT(H599:M599)=0,"",IF(LEN(IF(COUNT(I599,J599)=2,IF(J599&gt;I599+1,"EBE &gt; VA ",""),"")&amp;IF(COUNT(H599,M599)=2,IF(ABS(M599)&gt;ABS(H599),"RN &gt; CA ",""),"")&amp;IF(COUNT(H599,K599)=2,IF(ABS(K599)&gt;ABS(H599),"RE &gt; CA ",""),""))=0,"OK",IF(COUNT(I599,J599)=2,IF(J599&gt;I599+1,"EBE &gt; VA ",""),"")&amp;IF(COUNT(H599,M599)=2,IF(ABS(M599)&gt;ABS(H599),"RN &gt; CA ",""),"")&amp;IF(COUNT(H599,K599)=2,IF(ABS(K599)&gt;ABS(H599),"RE &gt; CA ",""),"")))</f>
        <v/>
      </c>
      <c r="P599" s="16">
        <f>IF(OR($A599="",H599="",$C599=""),"",IF(COUNTIFS($A$5:$A$639,$A599,$C$5:$C$639,$C599-1,$D$5:$D$639,$D599,H$5:H$639,"&lt;&gt;")=0,"",IF(OR(SUMIFS(H$5:H$639,$A$5:$A$639,$A599,$C$5:$C$639,$C599-1,$D$5:$D$639,$D599)=0,H599*SUMIFS(H$5:H$639,$A$5:$A$639,$A599,$C$5:$C$639,$C599-1,$D$5:$D$639,$D599)&lt;0),"n.s.",ABS(H599)/ABS(SUMIFS(H$5:H$639,$A$5:$A$639,$A599,$C$5:$C$639,$C599-1,$D$5:$D$639,$D599))-1)))</f>
        <v/>
      </c>
      <c r="Q599" s="16">
        <f>IF(OR($A599="",I599="",$C599=""),"",IF(COUNTIFS($A$5:$A$639,$A599,$C$5:$C$639,$C599-1,$D$5:$D$639,$D599,I$5:I$639,"&lt;&gt;")=0,"",IF(OR(SUMIFS(I$5:I$639,$A$5:$A$639,$A599,$C$5:$C$639,$C599-1,$D$5:$D$639,$D599)=0,I599*SUMIFS(I$5:I$639,$A$5:$A$639,$A599,$C$5:$C$639,$C599-1,$D$5:$D$639,$D599)&lt;0),"n.s.",ABS(I599)/ABS(SUMIFS(I$5:I$639,$A$5:$A$639,$A599,$C$5:$C$639,$C599-1,$D$5:$D$639,$D599))-1)))</f>
        <v/>
      </c>
      <c r="R599" s="16">
        <f>IF(OR($A599="",J599="",$C599=""),"",IF(COUNTIFS($A$5:$A$639,$A599,$C$5:$C$639,$C599-1,$D$5:$D$639,$D599,J$5:J$639,"&lt;&gt;")=0,"",IF(OR(SUMIFS(J$5:J$639,$A$5:$A$639,$A599,$C$5:$C$639,$C599-1,$D$5:$D$639,$D599)=0,J599*SUMIFS(J$5:J$639,$A$5:$A$639,$A599,$C$5:$C$639,$C599-1,$D$5:$D$639,$D599)&lt;0),"n.s.",ABS(J599)/ABS(SUMIFS(J$5:J$639,$A$5:$A$639,$A599,$C$5:$C$639,$C599-1,$D$5:$D$639,$D599))-1)))</f>
        <v/>
      </c>
      <c r="S599" s="16">
        <f>IF(OR($A599="",K599="",$C599=""),"",IF(COUNTIFS($A$5:$A$639,$A599,$C$5:$C$639,$C599-1,$D$5:$D$639,$D599,K$5:K$639,"&lt;&gt;")=0,"",IF(OR(SUMIFS(K$5:K$639,$A$5:$A$639,$A599,$C$5:$C$639,$C599-1,$D$5:$D$639,$D599)=0,K599*SUMIFS(K$5:K$639,$A$5:$A$639,$A599,$C$5:$C$639,$C599-1,$D$5:$D$639,$D599)&lt;0),"n.s.",ABS(K599)/ABS(SUMIFS(K$5:K$639,$A$5:$A$639,$A599,$C$5:$C$639,$C599-1,$D$5:$D$639,$D599))-1)))</f>
        <v/>
      </c>
      <c r="T599" s="16">
        <f>IF(OR($A599="",L599="",$C599=""),"",IF(COUNTIFS($A$5:$A$639,$A599,$C$5:$C$639,$C599-1,$D$5:$D$639,$D599,L$5:L$639,"&lt;&gt;")=0,"",IF(OR(SUMIFS(L$5:L$639,$A$5:$A$639,$A599,$C$5:$C$639,$C599-1,$D$5:$D$639,$D599)=0,L599*SUMIFS(L$5:L$639,$A$5:$A$639,$A599,$C$5:$C$639,$C599-1,$D$5:$D$639,$D599)&lt;0),"n.s.",ABS(L599)/ABS(SUMIFS(L$5:L$639,$A$5:$A$639,$A599,$C$5:$C$639,$C599-1,$D$5:$D$639,$D599))-1)))</f>
        <v/>
      </c>
      <c r="U599" s="16">
        <f>IF(OR($A599="",M599="",$C599=""),"",IF(COUNTIFS($A$5:$A$639,$A599,$C$5:$C$639,$C599-1,$D$5:$D$639,$D599,M$5:M$639,"&lt;&gt;")=0,"",IF(OR(SUMIFS(M$5:M$639,$A$5:$A$639,$A599,$C$5:$C$639,$C599-1,$D$5:$D$639,$D599)=0,M599*SUMIFS(M$5:M$639,$A$5:$A$639,$A599,$C$5:$C$639,$C599-1,$D$5:$D$639,$D599)&lt;0),"n.s.",ABS(M599)/ABS(SUMIFS(M$5:M$639,$A$5:$A$639,$A599,$C$5:$C$639,$C599-1,$D$5:$D$639,$D599))-1)))</f>
        <v/>
      </c>
    </row>
    <row r="600">
      <c r="A600" s="9" t="n"/>
      <c r="B600" s="10">
        <f>IF(A600="","",IFERROR(VLOOKUP(A600,Titres!$A$2:$B$400,2,FALSE),"Ticker inconnu"))</f>
        <v/>
      </c>
      <c r="C600" s="11" t="n"/>
      <c r="D600" s="11" t="n"/>
      <c r="E600" s="9" t="n"/>
      <c r="F600" s="12" t="n"/>
      <c r="G600" s="9" t="n"/>
      <c r="H600" s="13" t="n"/>
      <c r="I600" s="13" t="n"/>
      <c r="J600" s="13" t="n"/>
      <c r="K600" s="13" t="n"/>
      <c r="L600" s="13" t="n"/>
      <c r="M600" s="13" t="n"/>
      <c r="N600" s="14">
        <f>IF(A600="","",COUNT(H600:M600)/6)</f>
        <v/>
      </c>
      <c r="O600" s="15">
        <f>IF(COUNT(H600:M600)=0,"",IF(LEN(IF(COUNT(I600,J600)=2,IF(J600&gt;I600+1,"EBE &gt; VA ",""),"")&amp;IF(COUNT(H600,M600)=2,IF(ABS(M600)&gt;ABS(H600),"RN &gt; CA ",""),"")&amp;IF(COUNT(H600,K600)=2,IF(ABS(K600)&gt;ABS(H600),"RE &gt; CA ",""),""))=0,"OK",IF(COUNT(I600,J600)=2,IF(J600&gt;I600+1,"EBE &gt; VA ",""),"")&amp;IF(COUNT(H600,M600)=2,IF(ABS(M600)&gt;ABS(H600),"RN &gt; CA ",""),"")&amp;IF(COUNT(H600,K600)=2,IF(ABS(K600)&gt;ABS(H600),"RE &gt; CA ",""),"")))</f>
        <v/>
      </c>
      <c r="P600" s="16">
        <f>IF(OR($A600="",H600="",$C600=""),"",IF(COUNTIFS($A$5:$A$639,$A600,$C$5:$C$639,$C600-1,$D$5:$D$639,$D600,H$5:H$639,"&lt;&gt;")=0,"",IF(OR(SUMIFS(H$5:H$639,$A$5:$A$639,$A600,$C$5:$C$639,$C600-1,$D$5:$D$639,$D600)=0,H600*SUMIFS(H$5:H$639,$A$5:$A$639,$A600,$C$5:$C$639,$C600-1,$D$5:$D$639,$D600)&lt;0),"n.s.",ABS(H600)/ABS(SUMIFS(H$5:H$639,$A$5:$A$639,$A600,$C$5:$C$639,$C600-1,$D$5:$D$639,$D600))-1)))</f>
        <v/>
      </c>
      <c r="Q600" s="16">
        <f>IF(OR($A600="",I600="",$C600=""),"",IF(COUNTIFS($A$5:$A$639,$A600,$C$5:$C$639,$C600-1,$D$5:$D$639,$D600,I$5:I$639,"&lt;&gt;")=0,"",IF(OR(SUMIFS(I$5:I$639,$A$5:$A$639,$A600,$C$5:$C$639,$C600-1,$D$5:$D$639,$D600)=0,I600*SUMIFS(I$5:I$639,$A$5:$A$639,$A600,$C$5:$C$639,$C600-1,$D$5:$D$639,$D600)&lt;0),"n.s.",ABS(I600)/ABS(SUMIFS(I$5:I$639,$A$5:$A$639,$A600,$C$5:$C$639,$C600-1,$D$5:$D$639,$D600))-1)))</f>
        <v/>
      </c>
      <c r="R600" s="16">
        <f>IF(OR($A600="",J600="",$C600=""),"",IF(COUNTIFS($A$5:$A$639,$A600,$C$5:$C$639,$C600-1,$D$5:$D$639,$D600,J$5:J$639,"&lt;&gt;")=0,"",IF(OR(SUMIFS(J$5:J$639,$A$5:$A$639,$A600,$C$5:$C$639,$C600-1,$D$5:$D$639,$D600)=0,J600*SUMIFS(J$5:J$639,$A$5:$A$639,$A600,$C$5:$C$639,$C600-1,$D$5:$D$639,$D600)&lt;0),"n.s.",ABS(J600)/ABS(SUMIFS(J$5:J$639,$A$5:$A$639,$A600,$C$5:$C$639,$C600-1,$D$5:$D$639,$D600))-1)))</f>
        <v/>
      </c>
      <c r="S600" s="16">
        <f>IF(OR($A600="",K600="",$C600=""),"",IF(COUNTIFS($A$5:$A$639,$A600,$C$5:$C$639,$C600-1,$D$5:$D$639,$D600,K$5:K$639,"&lt;&gt;")=0,"",IF(OR(SUMIFS(K$5:K$639,$A$5:$A$639,$A600,$C$5:$C$639,$C600-1,$D$5:$D$639,$D600)=0,K600*SUMIFS(K$5:K$639,$A$5:$A$639,$A600,$C$5:$C$639,$C600-1,$D$5:$D$639,$D600)&lt;0),"n.s.",ABS(K600)/ABS(SUMIFS(K$5:K$639,$A$5:$A$639,$A600,$C$5:$C$639,$C600-1,$D$5:$D$639,$D600))-1)))</f>
        <v/>
      </c>
      <c r="T600" s="16">
        <f>IF(OR($A600="",L600="",$C600=""),"",IF(COUNTIFS($A$5:$A$639,$A600,$C$5:$C$639,$C600-1,$D$5:$D$639,$D600,L$5:L$639,"&lt;&gt;")=0,"",IF(OR(SUMIFS(L$5:L$639,$A$5:$A$639,$A600,$C$5:$C$639,$C600-1,$D$5:$D$639,$D600)=0,L600*SUMIFS(L$5:L$639,$A$5:$A$639,$A600,$C$5:$C$639,$C600-1,$D$5:$D$639,$D600)&lt;0),"n.s.",ABS(L600)/ABS(SUMIFS(L$5:L$639,$A$5:$A$639,$A600,$C$5:$C$639,$C600-1,$D$5:$D$639,$D600))-1)))</f>
        <v/>
      </c>
      <c r="U600" s="16">
        <f>IF(OR($A600="",M600="",$C600=""),"",IF(COUNTIFS($A$5:$A$639,$A600,$C$5:$C$639,$C600-1,$D$5:$D$639,$D600,M$5:M$639,"&lt;&gt;")=0,"",IF(OR(SUMIFS(M$5:M$639,$A$5:$A$639,$A600,$C$5:$C$639,$C600-1,$D$5:$D$639,$D600)=0,M600*SUMIFS(M$5:M$639,$A$5:$A$639,$A600,$C$5:$C$639,$C600-1,$D$5:$D$639,$D600)&lt;0),"n.s.",ABS(M600)/ABS(SUMIFS(M$5:M$639,$A$5:$A$639,$A600,$C$5:$C$639,$C600-1,$D$5:$D$639,$D600))-1)))</f>
        <v/>
      </c>
    </row>
    <row r="601">
      <c r="A601" s="9" t="n"/>
      <c r="B601" s="10">
        <f>IF(A601="","",IFERROR(VLOOKUP(A601,Titres!$A$2:$B$400,2,FALSE),"Ticker inconnu"))</f>
        <v/>
      </c>
      <c r="C601" s="11" t="n"/>
      <c r="D601" s="11" t="n"/>
      <c r="E601" s="9" t="n"/>
      <c r="F601" s="12" t="n"/>
      <c r="G601" s="9" t="n"/>
      <c r="H601" s="13" t="n"/>
      <c r="I601" s="13" t="n"/>
      <c r="J601" s="13" t="n"/>
      <c r="K601" s="13" t="n"/>
      <c r="L601" s="13" t="n"/>
      <c r="M601" s="13" t="n"/>
      <c r="N601" s="14">
        <f>IF(A601="","",COUNT(H601:M601)/6)</f>
        <v/>
      </c>
      <c r="O601" s="15">
        <f>IF(COUNT(H601:M601)=0,"",IF(LEN(IF(COUNT(I601,J601)=2,IF(J601&gt;I601+1,"EBE &gt; VA ",""),"")&amp;IF(COUNT(H601,M601)=2,IF(ABS(M601)&gt;ABS(H601),"RN &gt; CA ",""),"")&amp;IF(COUNT(H601,K601)=2,IF(ABS(K601)&gt;ABS(H601),"RE &gt; CA ",""),""))=0,"OK",IF(COUNT(I601,J601)=2,IF(J601&gt;I601+1,"EBE &gt; VA ",""),"")&amp;IF(COUNT(H601,M601)=2,IF(ABS(M601)&gt;ABS(H601),"RN &gt; CA ",""),"")&amp;IF(COUNT(H601,K601)=2,IF(ABS(K601)&gt;ABS(H601),"RE &gt; CA ",""),"")))</f>
        <v/>
      </c>
      <c r="P601" s="16">
        <f>IF(OR($A601="",H601="",$C601=""),"",IF(COUNTIFS($A$5:$A$639,$A601,$C$5:$C$639,$C601-1,$D$5:$D$639,$D601,H$5:H$639,"&lt;&gt;")=0,"",IF(OR(SUMIFS(H$5:H$639,$A$5:$A$639,$A601,$C$5:$C$639,$C601-1,$D$5:$D$639,$D601)=0,H601*SUMIFS(H$5:H$639,$A$5:$A$639,$A601,$C$5:$C$639,$C601-1,$D$5:$D$639,$D601)&lt;0),"n.s.",ABS(H601)/ABS(SUMIFS(H$5:H$639,$A$5:$A$639,$A601,$C$5:$C$639,$C601-1,$D$5:$D$639,$D601))-1)))</f>
        <v/>
      </c>
      <c r="Q601" s="16">
        <f>IF(OR($A601="",I601="",$C601=""),"",IF(COUNTIFS($A$5:$A$639,$A601,$C$5:$C$639,$C601-1,$D$5:$D$639,$D601,I$5:I$639,"&lt;&gt;")=0,"",IF(OR(SUMIFS(I$5:I$639,$A$5:$A$639,$A601,$C$5:$C$639,$C601-1,$D$5:$D$639,$D601)=0,I601*SUMIFS(I$5:I$639,$A$5:$A$639,$A601,$C$5:$C$639,$C601-1,$D$5:$D$639,$D601)&lt;0),"n.s.",ABS(I601)/ABS(SUMIFS(I$5:I$639,$A$5:$A$639,$A601,$C$5:$C$639,$C601-1,$D$5:$D$639,$D601))-1)))</f>
        <v/>
      </c>
      <c r="R601" s="16">
        <f>IF(OR($A601="",J601="",$C601=""),"",IF(COUNTIFS($A$5:$A$639,$A601,$C$5:$C$639,$C601-1,$D$5:$D$639,$D601,J$5:J$639,"&lt;&gt;")=0,"",IF(OR(SUMIFS(J$5:J$639,$A$5:$A$639,$A601,$C$5:$C$639,$C601-1,$D$5:$D$639,$D601)=0,J601*SUMIFS(J$5:J$639,$A$5:$A$639,$A601,$C$5:$C$639,$C601-1,$D$5:$D$639,$D601)&lt;0),"n.s.",ABS(J601)/ABS(SUMIFS(J$5:J$639,$A$5:$A$639,$A601,$C$5:$C$639,$C601-1,$D$5:$D$639,$D601))-1)))</f>
        <v/>
      </c>
      <c r="S601" s="16">
        <f>IF(OR($A601="",K601="",$C601=""),"",IF(COUNTIFS($A$5:$A$639,$A601,$C$5:$C$639,$C601-1,$D$5:$D$639,$D601,K$5:K$639,"&lt;&gt;")=0,"",IF(OR(SUMIFS(K$5:K$639,$A$5:$A$639,$A601,$C$5:$C$639,$C601-1,$D$5:$D$639,$D601)=0,K601*SUMIFS(K$5:K$639,$A$5:$A$639,$A601,$C$5:$C$639,$C601-1,$D$5:$D$639,$D601)&lt;0),"n.s.",ABS(K601)/ABS(SUMIFS(K$5:K$639,$A$5:$A$639,$A601,$C$5:$C$639,$C601-1,$D$5:$D$639,$D601))-1)))</f>
        <v/>
      </c>
      <c r="T601" s="16">
        <f>IF(OR($A601="",L601="",$C601=""),"",IF(COUNTIFS($A$5:$A$639,$A601,$C$5:$C$639,$C601-1,$D$5:$D$639,$D601,L$5:L$639,"&lt;&gt;")=0,"",IF(OR(SUMIFS(L$5:L$639,$A$5:$A$639,$A601,$C$5:$C$639,$C601-1,$D$5:$D$639,$D601)=0,L601*SUMIFS(L$5:L$639,$A$5:$A$639,$A601,$C$5:$C$639,$C601-1,$D$5:$D$639,$D601)&lt;0),"n.s.",ABS(L601)/ABS(SUMIFS(L$5:L$639,$A$5:$A$639,$A601,$C$5:$C$639,$C601-1,$D$5:$D$639,$D601))-1)))</f>
        <v/>
      </c>
      <c r="U601" s="16">
        <f>IF(OR($A601="",M601="",$C601=""),"",IF(COUNTIFS($A$5:$A$639,$A601,$C$5:$C$639,$C601-1,$D$5:$D$639,$D601,M$5:M$639,"&lt;&gt;")=0,"",IF(OR(SUMIFS(M$5:M$639,$A$5:$A$639,$A601,$C$5:$C$639,$C601-1,$D$5:$D$639,$D601)=0,M601*SUMIFS(M$5:M$639,$A$5:$A$639,$A601,$C$5:$C$639,$C601-1,$D$5:$D$639,$D601)&lt;0),"n.s.",ABS(M601)/ABS(SUMIFS(M$5:M$639,$A$5:$A$639,$A601,$C$5:$C$639,$C601-1,$D$5:$D$639,$D601))-1)))</f>
        <v/>
      </c>
    </row>
    <row r="602">
      <c r="A602" s="9" t="n"/>
      <c r="B602" s="10">
        <f>IF(A602="","",IFERROR(VLOOKUP(A602,Titres!$A$2:$B$400,2,FALSE),"Ticker inconnu"))</f>
        <v/>
      </c>
      <c r="C602" s="11" t="n"/>
      <c r="D602" s="11" t="n"/>
      <c r="E602" s="9" t="n"/>
      <c r="F602" s="12" t="n"/>
      <c r="G602" s="9" t="n"/>
      <c r="H602" s="13" t="n"/>
      <c r="I602" s="13" t="n"/>
      <c r="J602" s="13" t="n"/>
      <c r="K602" s="13" t="n"/>
      <c r="L602" s="13" t="n"/>
      <c r="M602" s="13" t="n"/>
      <c r="N602" s="14">
        <f>IF(A602="","",COUNT(H602:M602)/6)</f>
        <v/>
      </c>
      <c r="O602" s="15">
        <f>IF(COUNT(H602:M602)=0,"",IF(LEN(IF(COUNT(I602,J602)=2,IF(J602&gt;I602+1,"EBE &gt; VA ",""),"")&amp;IF(COUNT(H602,M602)=2,IF(ABS(M602)&gt;ABS(H602),"RN &gt; CA ",""),"")&amp;IF(COUNT(H602,K602)=2,IF(ABS(K602)&gt;ABS(H602),"RE &gt; CA ",""),""))=0,"OK",IF(COUNT(I602,J602)=2,IF(J602&gt;I602+1,"EBE &gt; VA ",""),"")&amp;IF(COUNT(H602,M602)=2,IF(ABS(M602)&gt;ABS(H602),"RN &gt; CA ",""),"")&amp;IF(COUNT(H602,K602)=2,IF(ABS(K602)&gt;ABS(H602),"RE &gt; CA ",""),"")))</f>
        <v/>
      </c>
      <c r="P602" s="16">
        <f>IF(OR($A602="",H602="",$C602=""),"",IF(COUNTIFS($A$5:$A$639,$A602,$C$5:$C$639,$C602-1,$D$5:$D$639,$D602,H$5:H$639,"&lt;&gt;")=0,"",IF(OR(SUMIFS(H$5:H$639,$A$5:$A$639,$A602,$C$5:$C$639,$C602-1,$D$5:$D$639,$D602)=0,H602*SUMIFS(H$5:H$639,$A$5:$A$639,$A602,$C$5:$C$639,$C602-1,$D$5:$D$639,$D602)&lt;0),"n.s.",ABS(H602)/ABS(SUMIFS(H$5:H$639,$A$5:$A$639,$A602,$C$5:$C$639,$C602-1,$D$5:$D$639,$D602))-1)))</f>
        <v/>
      </c>
      <c r="Q602" s="16">
        <f>IF(OR($A602="",I602="",$C602=""),"",IF(COUNTIFS($A$5:$A$639,$A602,$C$5:$C$639,$C602-1,$D$5:$D$639,$D602,I$5:I$639,"&lt;&gt;")=0,"",IF(OR(SUMIFS(I$5:I$639,$A$5:$A$639,$A602,$C$5:$C$639,$C602-1,$D$5:$D$639,$D602)=0,I602*SUMIFS(I$5:I$639,$A$5:$A$639,$A602,$C$5:$C$639,$C602-1,$D$5:$D$639,$D602)&lt;0),"n.s.",ABS(I602)/ABS(SUMIFS(I$5:I$639,$A$5:$A$639,$A602,$C$5:$C$639,$C602-1,$D$5:$D$639,$D602))-1)))</f>
        <v/>
      </c>
      <c r="R602" s="16">
        <f>IF(OR($A602="",J602="",$C602=""),"",IF(COUNTIFS($A$5:$A$639,$A602,$C$5:$C$639,$C602-1,$D$5:$D$639,$D602,J$5:J$639,"&lt;&gt;")=0,"",IF(OR(SUMIFS(J$5:J$639,$A$5:$A$639,$A602,$C$5:$C$639,$C602-1,$D$5:$D$639,$D602)=0,J602*SUMIFS(J$5:J$639,$A$5:$A$639,$A602,$C$5:$C$639,$C602-1,$D$5:$D$639,$D602)&lt;0),"n.s.",ABS(J602)/ABS(SUMIFS(J$5:J$639,$A$5:$A$639,$A602,$C$5:$C$639,$C602-1,$D$5:$D$639,$D602))-1)))</f>
        <v/>
      </c>
      <c r="S602" s="16">
        <f>IF(OR($A602="",K602="",$C602=""),"",IF(COUNTIFS($A$5:$A$639,$A602,$C$5:$C$639,$C602-1,$D$5:$D$639,$D602,K$5:K$639,"&lt;&gt;")=0,"",IF(OR(SUMIFS(K$5:K$639,$A$5:$A$639,$A602,$C$5:$C$639,$C602-1,$D$5:$D$639,$D602)=0,K602*SUMIFS(K$5:K$639,$A$5:$A$639,$A602,$C$5:$C$639,$C602-1,$D$5:$D$639,$D602)&lt;0),"n.s.",ABS(K602)/ABS(SUMIFS(K$5:K$639,$A$5:$A$639,$A602,$C$5:$C$639,$C602-1,$D$5:$D$639,$D602))-1)))</f>
        <v/>
      </c>
      <c r="T602" s="16">
        <f>IF(OR($A602="",L602="",$C602=""),"",IF(COUNTIFS($A$5:$A$639,$A602,$C$5:$C$639,$C602-1,$D$5:$D$639,$D602,L$5:L$639,"&lt;&gt;")=0,"",IF(OR(SUMIFS(L$5:L$639,$A$5:$A$639,$A602,$C$5:$C$639,$C602-1,$D$5:$D$639,$D602)=0,L602*SUMIFS(L$5:L$639,$A$5:$A$639,$A602,$C$5:$C$639,$C602-1,$D$5:$D$639,$D602)&lt;0),"n.s.",ABS(L602)/ABS(SUMIFS(L$5:L$639,$A$5:$A$639,$A602,$C$5:$C$639,$C602-1,$D$5:$D$639,$D602))-1)))</f>
        <v/>
      </c>
      <c r="U602" s="16">
        <f>IF(OR($A602="",M602="",$C602=""),"",IF(COUNTIFS($A$5:$A$639,$A602,$C$5:$C$639,$C602-1,$D$5:$D$639,$D602,M$5:M$639,"&lt;&gt;")=0,"",IF(OR(SUMIFS(M$5:M$639,$A$5:$A$639,$A602,$C$5:$C$639,$C602-1,$D$5:$D$639,$D602)=0,M602*SUMIFS(M$5:M$639,$A$5:$A$639,$A602,$C$5:$C$639,$C602-1,$D$5:$D$639,$D602)&lt;0),"n.s.",ABS(M602)/ABS(SUMIFS(M$5:M$639,$A$5:$A$639,$A602,$C$5:$C$639,$C602-1,$D$5:$D$639,$D602))-1)))</f>
        <v/>
      </c>
    </row>
    <row r="603">
      <c r="A603" s="9" t="n"/>
      <c r="B603" s="10">
        <f>IF(A603="","",IFERROR(VLOOKUP(A603,Titres!$A$2:$B$400,2,FALSE),"Ticker inconnu"))</f>
        <v/>
      </c>
      <c r="C603" s="11" t="n"/>
      <c r="D603" s="11" t="n"/>
      <c r="E603" s="9" t="n"/>
      <c r="F603" s="12" t="n"/>
      <c r="G603" s="9" t="n"/>
      <c r="H603" s="13" t="n"/>
      <c r="I603" s="13" t="n"/>
      <c r="J603" s="13" t="n"/>
      <c r="K603" s="13" t="n"/>
      <c r="L603" s="13" t="n"/>
      <c r="M603" s="13" t="n"/>
      <c r="N603" s="14">
        <f>IF(A603="","",COUNT(H603:M603)/6)</f>
        <v/>
      </c>
      <c r="O603" s="15">
        <f>IF(COUNT(H603:M603)=0,"",IF(LEN(IF(COUNT(I603,J603)=2,IF(J603&gt;I603+1,"EBE &gt; VA ",""),"")&amp;IF(COUNT(H603,M603)=2,IF(ABS(M603)&gt;ABS(H603),"RN &gt; CA ",""),"")&amp;IF(COUNT(H603,K603)=2,IF(ABS(K603)&gt;ABS(H603),"RE &gt; CA ",""),""))=0,"OK",IF(COUNT(I603,J603)=2,IF(J603&gt;I603+1,"EBE &gt; VA ",""),"")&amp;IF(COUNT(H603,M603)=2,IF(ABS(M603)&gt;ABS(H603),"RN &gt; CA ",""),"")&amp;IF(COUNT(H603,K603)=2,IF(ABS(K603)&gt;ABS(H603),"RE &gt; CA ",""),"")))</f>
        <v/>
      </c>
      <c r="P603" s="16">
        <f>IF(OR($A603="",H603="",$C603=""),"",IF(COUNTIFS($A$5:$A$639,$A603,$C$5:$C$639,$C603-1,$D$5:$D$639,$D603,H$5:H$639,"&lt;&gt;")=0,"",IF(OR(SUMIFS(H$5:H$639,$A$5:$A$639,$A603,$C$5:$C$639,$C603-1,$D$5:$D$639,$D603)=0,H603*SUMIFS(H$5:H$639,$A$5:$A$639,$A603,$C$5:$C$639,$C603-1,$D$5:$D$639,$D603)&lt;0),"n.s.",ABS(H603)/ABS(SUMIFS(H$5:H$639,$A$5:$A$639,$A603,$C$5:$C$639,$C603-1,$D$5:$D$639,$D603))-1)))</f>
        <v/>
      </c>
      <c r="Q603" s="16">
        <f>IF(OR($A603="",I603="",$C603=""),"",IF(COUNTIFS($A$5:$A$639,$A603,$C$5:$C$639,$C603-1,$D$5:$D$639,$D603,I$5:I$639,"&lt;&gt;")=0,"",IF(OR(SUMIFS(I$5:I$639,$A$5:$A$639,$A603,$C$5:$C$639,$C603-1,$D$5:$D$639,$D603)=0,I603*SUMIFS(I$5:I$639,$A$5:$A$639,$A603,$C$5:$C$639,$C603-1,$D$5:$D$639,$D603)&lt;0),"n.s.",ABS(I603)/ABS(SUMIFS(I$5:I$639,$A$5:$A$639,$A603,$C$5:$C$639,$C603-1,$D$5:$D$639,$D603))-1)))</f>
        <v/>
      </c>
      <c r="R603" s="16">
        <f>IF(OR($A603="",J603="",$C603=""),"",IF(COUNTIFS($A$5:$A$639,$A603,$C$5:$C$639,$C603-1,$D$5:$D$639,$D603,J$5:J$639,"&lt;&gt;")=0,"",IF(OR(SUMIFS(J$5:J$639,$A$5:$A$639,$A603,$C$5:$C$639,$C603-1,$D$5:$D$639,$D603)=0,J603*SUMIFS(J$5:J$639,$A$5:$A$639,$A603,$C$5:$C$639,$C603-1,$D$5:$D$639,$D603)&lt;0),"n.s.",ABS(J603)/ABS(SUMIFS(J$5:J$639,$A$5:$A$639,$A603,$C$5:$C$639,$C603-1,$D$5:$D$639,$D603))-1)))</f>
        <v/>
      </c>
      <c r="S603" s="16">
        <f>IF(OR($A603="",K603="",$C603=""),"",IF(COUNTIFS($A$5:$A$639,$A603,$C$5:$C$639,$C603-1,$D$5:$D$639,$D603,K$5:K$639,"&lt;&gt;")=0,"",IF(OR(SUMIFS(K$5:K$639,$A$5:$A$639,$A603,$C$5:$C$639,$C603-1,$D$5:$D$639,$D603)=0,K603*SUMIFS(K$5:K$639,$A$5:$A$639,$A603,$C$5:$C$639,$C603-1,$D$5:$D$639,$D603)&lt;0),"n.s.",ABS(K603)/ABS(SUMIFS(K$5:K$639,$A$5:$A$639,$A603,$C$5:$C$639,$C603-1,$D$5:$D$639,$D603))-1)))</f>
        <v/>
      </c>
      <c r="T603" s="16">
        <f>IF(OR($A603="",L603="",$C603=""),"",IF(COUNTIFS($A$5:$A$639,$A603,$C$5:$C$639,$C603-1,$D$5:$D$639,$D603,L$5:L$639,"&lt;&gt;")=0,"",IF(OR(SUMIFS(L$5:L$639,$A$5:$A$639,$A603,$C$5:$C$639,$C603-1,$D$5:$D$639,$D603)=0,L603*SUMIFS(L$5:L$639,$A$5:$A$639,$A603,$C$5:$C$639,$C603-1,$D$5:$D$639,$D603)&lt;0),"n.s.",ABS(L603)/ABS(SUMIFS(L$5:L$639,$A$5:$A$639,$A603,$C$5:$C$639,$C603-1,$D$5:$D$639,$D603))-1)))</f>
        <v/>
      </c>
      <c r="U603" s="16">
        <f>IF(OR($A603="",M603="",$C603=""),"",IF(COUNTIFS($A$5:$A$639,$A603,$C$5:$C$639,$C603-1,$D$5:$D$639,$D603,M$5:M$639,"&lt;&gt;")=0,"",IF(OR(SUMIFS(M$5:M$639,$A$5:$A$639,$A603,$C$5:$C$639,$C603-1,$D$5:$D$639,$D603)=0,M603*SUMIFS(M$5:M$639,$A$5:$A$639,$A603,$C$5:$C$639,$C603-1,$D$5:$D$639,$D603)&lt;0),"n.s.",ABS(M603)/ABS(SUMIFS(M$5:M$639,$A$5:$A$639,$A603,$C$5:$C$639,$C603-1,$D$5:$D$639,$D603))-1)))</f>
        <v/>
      </c>
    </row>
    <row r="604">
      <c r="A604" s="9" t="n"/>
      <c r="B604" s="10">
        <f>IF(A604="","",IFERROR(VLOOKUP(A604,Titres!$A$2:$B$400,2,FALSE),"Ticker inconnu"))</f>
        <v/>
      </c>
      <c r="C604" s="11" t="n"/>
      <c r="D604" s="11" t="n"/>
      <c r="E604" s="9" t="n"/>
      <c r="F604" s="12" t="n"/>
      <c r="G604" s="9" t="n"/>
      <c r="H604" s="13" t="n"/>
      <c r="I604" s="13" t="n"/>
      <c r="J604" s="13" t="n"/>
      <c r="K604" s="13" t="n"/>
      <c r="L604" s="13" t="n"/>
      <c r="M604" s="13" t="n"/>
      <c r="N604" s="14">
        <f>IF(A604="","",COUNT(H604:M604)/6)</f>
        <v/>
      </c>
      <c r="O604" s="15">
        <f>IF(COUNT(H604:M604)=0,"",IF(LEN(IF(COUNT(I604,J604)=2,IF(J604&gt;I604+1,"EBE &gt; VA ",""),"")&amp;IF(COUNT(H604,M604)=2,IF(ABS(M604)&gt;ABS(H604),"RN &gt; CA ",""),"")&amp;IF(COUNT(H604,K604)=2,IF(ABS(K604)&gt;ABS(H604),"RE &gt; CA ",""),""))=0,"OK",IF(COUNT(I604,J604)=2,IF(J604&gt;I604+1,"EBE &gt; VA ",""),"")&amp;IF(COUNT(H604,M604)=2,IF(ABS(M604)&gt;ABS(H604),"RN &gt; CA ",""),"")&amp;IF(COUNT(H604,K604)=2,IF(ABS(K604)&gt;ABS(H604),"RE &gt; CA ",""),"")))</f>
        <v/>
      </c>
      <c r="P604" s="16">
        <f>IF(OR($A604="",H604="",$C604=""),"",IF(COUNTIFS($A$5:$A$639,$A604,$C$5:$C$639,$C604-1,$D$5:$D$639,$D604,H$5:H$639,"&lt;&gt;")=0,"",IF(OR(SUMIFS(H$5:H$639,$A$5:$A$639,$A604,$C$5:$C$639,$C604-1,$D$5:$D$639,$D604)=0,H604*SUMIFS(H$5:H$639,$A$5:$A$639,$A604,$C$5:$C$639,$C604-1,$D$5:$D$639,$D604)&lt;0),"n.s.",ABS(H604)/ABS(SUMIFS(H$5:H$639,$A$5:$A$639,$A604,$C$5:$C$639,$C604-1,$D$5:$D$639,$D604))-1)))</f>
        <v/>
      </c>
      <c r="Q604" s="16">
        <f>IF(OR($A604="",I604="",$C604=""),"",IF(COUNTIFS($A$5:$A$639,$A604,$C$5:$C$639,$C604-1,$D$5:$D$639,$D604,I$5:I$639,"&lt;&gt;")=0,"",IF(OR(SUMIFS(I$5:I$639,$A$5:$A$639,$A604,$C$5:$C$639,$C604-1,$D$5:$D$639,$D604)=0,I604*SUMIFS(I$5:I$639,$A$5:$A$639,$A604,$C$5:$C$639,$C604-1,$D$5:$D$639,$D604)&lt;0),"n.s.",ABS(I604)/ABS(SUMIFS(I$5:I$639,$A$5:$A$639,$A604,$C$5:$C$639,$C604-1,$D$5:$D$639,$D604))-1)))</f>
        <v/>
      </c>
      <c r="R604" s="16">
        <f>IF(OR($A604="",J604="",$C604=""),"",IF(COUNTIFS($A$5:$A$639,$A604,$C$5:$C$639,$C604-1,$D$5:$D$639,$D604,J$5:J$639,"&lt;&gt;")=0,"",IF(OR(SUMIFS(J$5:J$639,$A$5:$A$639,$A604,$C$5:$C$639,$C604-1,$D$5:$D$639,$D604)=0,J604*SUMIFS(J$5:J$639,$A$5:$A$639,$A604,$C$5:$C$639,$C604-1,$D$5:$D$639,$D604)&lt;0),"n.s.",ABS(J604)/ABS(SUMIFS(J$5:J$639,$A$5:$A$639,$A604,$C$5:$C$639,$C604-1,$D$5:$D$639,$D604))-1)))</f>
        <v/>
      </c>
      <c r="S604" s="16">
        <f>IF(OR($A604="",K604="",$C604=""),"",IF(COUNTIFS($A$5:$A$639,$A604,$C$5:$C$639,$C604-1,$D$5:$D$639,$D604,K$5:K$639,"&lt;&gt;")=0,"",IF(OR(SUMIFS(K$5:K$639,$A$5:$A$639,$A604,$C$5:$C$639,$C604-1,$D$5:$D$639,$D604)=0,K604*SUMIFS(K$5:K$639,$A$5:$A$639,$A604,$C$5:$C$639,$C604-1,$D$5:$D$639,$D604)&lt;0),"n.s.",ABS(K604)/ABS(SUMIFS(K$5:K$639,$A$5:$A$639,$A604,$C$5:$C$639,$C604-1,$D$5:$D$639,$D604))-1)))</f>
        <v/>
      </c>
      <c r="T604" s="16">
        <f>IF(OR($A604="",L604="",$C604=""),"",IF(COUNTIFS($A$5:$A$639,$A604,$C$5:$C$639,$C604-1,$D$5:$D$639,$D604,L$5:L$639,"&lt;&gt;")=0,"",IF(OR(SUMIFS(L$5:L$639,$A$5:$A$639,$A604,$C$5:$C$639,$C604-1,$D$5:$D$639,$D604)=0,L604*SUMIFS(L$5:L$639,$A$5:$A$639,$A604,$C$5:$C$639,$C604-1,$D$5:$D$639,$D604)&lt;0),"n.s.",ABS(L604)/ABS(SUMIFS(L$5:L$639,$A$5:$A$639,$A604,$C$5:$C$639,$C604-1,$D$5:$D$639,$D604))-1)))</f>
        <v/>
      </c>
      <c r="U604" s="16">
        <f>IF(OR($A604="",M604="",$C604=""),"",IF(COUNTIFS($A$5:$A$639,$A604,$C$5:$C$639,$C604-1,$D$5:$D$639,$D604,M$5:M$639,"&lt;&gt;")=0,"",IF(OR(SUMIFS(M$5:M$639,$A$5:$A$639,$A604,$C$5:$C$639,$C604-1,$D$5:$D$639,$D604)=0,M604*SUMIFS(M$5:M$639,$A$5:$A$639,$A604,$C$5:$C$639,$C604-1,$D$5:$D$639,$D604)&lt;0),"n.s.",ABS(M604)/ABS(SUMIFS(M$5:M$639,$A$5:$A$639,$A604,$C$5:$C$639,$C604-1,$D$5:$D$639,$D604))-1)))</f>
        <v/>
      </c>
    </row>
    <row r="605">
      <c r="A605" s="9" t="n"/>
      <c r="B605" s="10">
        <f>IF(A605="","",IFERROR(VLOOKUP(A605,Titres!$A$2:$B$400,2,FALSE),"Ticker inconnu"))</f>
        <v/>
      </c>
      <c r="C605" s="11" t="n"/>
      <c r="D605" s="11" t="n"/>
      <c r="E605" s="9" t="n"/>
      <c r="F605" s="12" t="n"/>
      <c r="G605" s="9" t="n"/>
      <c r="H605" s="13" t="n"/>
      <c r="I605" s="13" t="n"/>
      <c r="J605" s="13" t="n"/>
      <c r="K605" s="13" t="n"/>
      <c r="L605" s="13" t="n"/>
      <c r="M605" s="13" t="n"/>
      <c r="N605" s="14">
        <f>IF(A605="","",COUNT(H605:M605)/6)</f>
        <v/>
      </c>
      <c r="O605" s="15">
        <f>IF(COUNT(H605:M605)=0,"",IF(LEN(IF(COUNT(I605,J605)=2,IF(J605&gt;I605+1,"EBE &gt; VA ",""),"")&amp;IF(COUNT(H605,M605)=2,IF(ABS(M605)&gt;ABS(H605),"RN &gt; CA ",""),"")&amp;IF(COUNT(H605,K605)=2,IF(ABS(K605)&gt;ABS(H605),"RE &gt; CA ",""),""))=0,"OK",IF(COUNT(I605,J605)=2,IF(J605&gt;I605+1,"EBE &gt; VA ",""),"")&amp;IF(COUNT(H605,M605)=2,IF(ABS(M605)&gt;ABS(H605),"RN &gt; CA ",""),"")&amp;IF(COUNT(H605,K605)=2,IF(ABS(K605)&gt;ABS(H605),"RE &gt; CA ",""),"")))</f>
        <v/>
      </c>
      <c r="P605" s="16">
        <f>IF(OR($A605="",H605="",$C605=""),"",IF(COUNTIFS($A$5:$A$639,$A605,$C$5:$C$639,$C605-1,$D$5:$D$639,$D605,H$5:H$639,"&lt;&gt;")=0,"",IF(OR(SUMIFS(H$5:H$639,$A$5:$A$639,$A605,$C$5:$C$639,$C605-1,$D$5:$D$639,$D605)=0,H605*SUMIFS(H$5:H$639,$A$5:$A$639,$A605,$C$5:$C$639,$C605-1,$D$5:$D$639,$D605)&lt;0),"n.s.",ABS(H605)/ABS(SUMIFS(H$5:H$639,$A$5:$A$639,$A605,$C$5:$C$639,$C605-1,$D$5:$D$639,$D605))-1)))</f>
        <v/>
      </c>
      <c r="Q605" s="16">
        <f>IF(OR($A605="",I605="",$C605=""),"",IF(COUNTIFS($A$5:$A$639,$A605,$C$5:$C$639,$C605-1,$D$5:$D$639,$D605,I$5:I$639,"&lt;&gt;")=0,"",IF(OR(SUMIFS(I$5:I$639,$A$5:$A$639,$A605,$C$5:$C$639,$C605-1,$D$5:$D$639,$D605)=0,I605*SUMIFS(I$5:I$639,$A$5:$A$639,$A605,$C$5:$C$639,$C605-1,$D$5:$D$639,$D605)&lt;0),"n.s.",ABS(I605)/ABS(SUMIFS(I$5:I$639,$A$5:$A$639,$A605,$C$5:$C$639,$C605-1,$D$5:$D$639,$D605))-1)))</f>
        <v/>
      </c>
      <c r="R605" s="16">
        <f>IF(OR($A605="",J605="",$C605=""),"",IF(COUNTIFS($A$5:$A$639,$A605,$C$5:$C$639,$C605-1,$D$5:$D$639,$D605,J$5:J$639,"&lt;&gt;")=0,"",IF(OR(SUMIFS(J$5:J$639,$A$5:$A$639,$A605,$C$5:$C$639,$C605-1,$D$5:$D$639,$D605)=0,J605*SUMIFS(J$5:J$639,$A$5:$A$639,$A605,$C$5:$C$639,$C605-1,$D$5:$D$639,$D605)&lt;0),"n.s.",ABS(J605)/ABS(SUMIFS(J$5:J$639,$A$5:$A$639,$A605,$C$5:$C$639,$C605-1,$D$5:$D$639,$D605))-1)))</f>
        <v/>
      </c>
      <c r="S605" s="16">
        <f>IF(OR($A605="",K605="",$C605=""),"",IF(COUNTIFS($A$5:$A$639,$A605,$C$5:$C$639,$C605-1,$D$5:$D$639,$D605,K$5:K$639,"&lt;&gt;")=0,"",IF(OR(SUMIFS(K$5:K$639,$A$5:$A$639,$A605,$C$5:$C$639,$C605-1,$D$5:$D$639,$D605)=0,K605*SUMIFS(K$5:K$639,$A$5:$A$639,$A605,$C$5:$C$639,$C605-1,$D$5:$D$639,$D605)&lt;0),"n.s.",ABS(K605)/ABS(SUMIFS(K$5:K$639,$A$5:$A$639,$A605,$C$5:$C$639,$C605-1,$D$5:$D$639,$D605))-1)))</f>
        <v/>
      </c>
      <c r="T605" s="16">
        <f>IF(OR($A605="",L605="",$C605=""),"",IF(COUNTIFS($A$5:$A$639,$A605,$C$5:$C$639,$C605-1,$D$5:$D$639,$D605,L$5:L$639,"&lt;&gt;")=0,"",IF(OR(SUMIFS(L$5:L$639,$A$5:$A$639,$A605,$C$5:$C$639,$C605-1,$D$5:$D$639,$D605)=0,L605*SUMIFS(L$5:L$639,$A$5:$A$639,$A605,$C$5:$C$639,$C605-1,$D$5:$D$639,$D605)&lt;0),"n.s.",ABS(L605)/ABS(SUMIFS(L$5:L$639,$A$5:$A$639,$A605,$C$5:$C$639,$C605-1,$D$5:$D$639,$D605))-1)))</f>
        <v/>
      </c>
      <c r="U605" s="16">
        <f>IF(OR($A605="",M605="",$C605=""),"",IF(COUNTIFS($A$5:$A$639,$A605,$C$5:$C$639,$C605-1,$D$5:$D$639,$D605,M$5:M$639,"&lt;&gt;")=0,"",IF(OR(SUMIFS(M$5:M$639,$A$5:$A$639,$A605,$C$5:$C$639,$C605-1,$D$5:$D$639,$D605)=0,M605*SUMIFS(M$5:M$639,$A$5:$A$639,$A605,$C$5:$C$639,$C605-1,$D$5:$D$639,$D605)&lt;0),"n.s.",ABS(M605)/ABS(SUMIFS(M$5:M$639,$A$5:$A$639,$A605,$C$5:$C$639,$C605-1,$D$5:$D$639,$D605))-1)))</f>
        <v/>
      </c>
    </row>
    <row r="606">
      <c r="A606" s="9" t="n"/>
      <c r="B606" s="10">
        <f>IF(A606="","",IFERROR(VLOOKUP(A606,Titres!$A$2:$B$400,2,FALSE),"Ticker inconnu"))</f>
        <v/>
      </c>
      <c r="C606" s="11" t="n"/>
      <c r="D606" s="11" t="n"/>
      <c r="E606" s="9" t="n"/>
      <c r="F606" s="12" t="n"/>
      <c r="G606" s="9" t="n"/>
      <c r="H606" s="13" t="n"/>
      <c r="I606" s="13" t="n"/>
      <c r="J606" s="13" t="n"/>
      <c r="K606" s="13" t="n"/>
      <c r="L606" s="13" t="n"/>
      <c r="M606" s="13" t="n"/>
      <c r="N606" s="14">
        <f>IF(A606="","",COUNT(H606:M606)/6)</f>
        <v/>
      </c>
      <c r="O606" s="15">
        <f>IF(COUNT(H606:M606)=0,"",IF(LEN(IF(COUNT(I606,J606)=2,IF(J606&gt;I606+1,"EBE &gt; VA ",""),"")&amp;IF(COUNT(H606,M606)=2,IF(ABS(M606)&gt;ABS(H606),"RN &gt; CA ",""),"")&amp;IF(COUNT(H606,K606)=2,IF(ABS(K606)&gt;ABS(H606),"RE &gt; CA ",""),""))=0,"OK",IF(COUNT(I606,J606)=2,IF(J606&gt;I606+1,"EBE &gt; VA ",""),"")&amp;IF(COUNT(H606,M606)=2,IF(ABS(M606)&gt;ABS(H606),"RN &gt; CA ",""),"")&amp;IF(COUNT(H606,K606)=2,IF(ABS(K606)&gt;ABS(H606),"RE &gt; CA ",""),"")))</f>
        <v/>
      </c>
      <c r="P606" s="16">
        <f>IF(OR($A606="",H606="",$C606=""),"",IF(COUNTIFS($A$5:$A$639,$A606,$C$5:$C$639,$C606-1,$D$5:$D$639,$D606,H$5:H$639,"&lt;&gt;")=0,"",IF(OR(SUMIFS(H$5:H$639,$A$5:$A$639,$A606,$C$5:$C$639,$C606-1,$D$5:$D$639,$D606)=0,H606*SUMIFS(H$5:H$639,$A$5:$A$639,$A606,$C$5:$C$639,$C606-1,$D$5:$D$639,$D606)&lt;0),"n.s.",ABS(H606)/ABS(SUMIFS(H$5:H$639,$A$5:$A$639,$A606,$C$5:$C$639,$C606-1,$D$5:$D$639,$D606))-1)))</f>
        <v/>
      </c>
      <c r="Q606" s="16">
        <f>IF(OR($A606="",I606="",$C606=""),"",IF(COUNTIFS($A$5:$A$639,$A606,$C$5:$C$639,$C606-1,$D$5:$D$639,$D606,I$5:I$639,"&lt;&gt;")=0,"",IF(OR(SUMIFS(I$5:I$639,$A$5:$A$639,$A606,$C$5:$C$639,$C606-1,$D$5:$D$639,$D606)=0,I606*SUMIFS(I$5:I$639,$A$5:$A$639,$A606,$C$5:$C$639,$C606-1,$D$5:$D$639,$D606)&lt;0),"n.s.",ABS(I606)/ABS(SUMIFS(I$5:I$639,$A$5:$A$639,$A606,$C$5:$C$639,$C606-1,$D$5:$D$639,$D606))-1)))</f>
        <v/>
      </c>
      <c r="R606" s="16">
        <f>IF(OR($A606="",J606="",$C606=""),"",IF(COUNTIFS($A$5:$A$639,$A606,$C$5:$C$639,$C606-1,$D$5:$D$639,$D606,J$5:J$639,"&lt;&gt;")=0,"",IF(OR(SUMIFS(J$5:J$639,$A$5:$A$639,$A606,$C$5:$C$639,$C606-1,$D$5:$D$639,$D606)=0,J606*SUMIFS(J$5:J$639,$A$5:$A$639,$A606,$C$5:$C$639,$C606-1,$D$5:$D$639,$D606)&lt;0),"n.s.",ABS(J606)/ABS(SUMIFS(J$5:J$639,$A$5:$A$639,$A606,$C$5:$C$639,$C606-1,$D$5:$D$639,$D606))-1)))</f>
        <v/>
      </c>
      <c r="S606" s="16">
        <f>IF(OR($A606="",K606="",$C606=""),"",IF(COUNTIFS($A$5:$A$639,$A606,$C$5:$C$639,$C606-1,$D$5:$D$639,$D606,K$5:K$639,"&lt;&gt;")=0,"",IF(OR(SUMIFS(K$5:K$639,$A$5:$A$639,$A606,$C$5:$C$639,$C606-1,$D$5:$D$639,$D606)=0,K606*SUMIFS(K$5:K$639,$A$5:$A$639,$A606,$C$5:$C$639,$C606-1,$D$5:$D$639,$D606)&lt;0),"n.s.",ABS(K606)/ABS(SUMIFS(K$5:K$639,$A$5:$A$639,$A606,$C$5:$C$639,$C606-1,$D$5:$D$639,$D606))-1)))</f>
        <v/>
      </c>
      <c r="T606" s="16">
        <f>IF(OR($A606="",L606="",$C606=""),"",IF(COUNTIFS($A$5:$A$639,$A606,$C$5:$C$639,$C606-1,$D$5:$D$639,$D606,L$5:L$639,"&lt;&gt;")=0,"",IF(OR(SUMIFS(L$5:L$639,$A$5:$A$639,$A606,$C$5:$C$639,$C606-1,$D$5:$D$639,$D606)=0,L606*SUMIFS(L$5:L$639,$A$5:$A$639,$A606,$C$5:$C$639,$C606-1,$D$5:$D$639,$D606)&lt;0),"n.s.",ABS(L606)/ABS(SUMIFS(L$5:L$639,$A$5:$A$639,$A606,$C$5:$C$639,$C606-1,$D$5:$D$639,$D606))-1)))</f>
        <v/>
      </c>
      <c r="U606" s="16">
        <f>IF(OR($A606="",M606="",$C606=""),"",IF(COUNTIFS($A$5:$A$639,$A606,$C$5:$C$639,$C606-1,$D$5:$D$639,$D606,M$5:M$639,"&lt;&gt;")=0,"",IF(OR(SUMIFS(M$5:M$639,$A$5:$A$639,$A606,$C$5:$C$639,$C606-1,$D$5:$D$639,$D606)=0,M606*SUMIFS(M$5:M$639,$A$5:$A$639,$A606,$C$5:$C$639,$C606-1,$D$5:$D$639,$D606)&lt;0),"n.s.",ABS(M606)/ABS(SUMIFS(M$5:M$639,$A$5:$A$639,$A606,$C$5:$C$639,$C606-1,$D$5:$D$639,$D606))-1)))</f>
        <v/>
      </c>
    </row>
    <row r="607">
      <c r="A607" s="9" t="n"/>
      <c r="B607" s="10">
        <f>IF(A607="","",IFERROR(VLOOKUP(A607,Titres!$A$2:$B$400,2,FALSE),"Ticker inconnu"))</f>
        <v/>
      </c>
      <c r="C607" s="11" t="n"/>
      <c r="D607" s="11" t="n"/>
      <c r="E607" s="9" t="n"/>
      <c r="F607" s="12" t="n"/>
      <c r="G607" s="9" t="n"/>
      <c r="H607" s="13" t="n"/>
      <c r="I607" s="13" t="n"/>
      <c r="J607" s="13" t="n"/>
      <c r="K607" s="13" t="n"/>
      <c r="L607" s="13" t="n"/>
      <c r="M607" s="13" t="n"/>
      <c r="N607" s="14">
        <f>IF(A607="","",COUNT(H607:M607)/6)</f>
        <v/>
      </c>
      <c r="O607" s="15">
        <f>IF(COUNT(H607:M607)=0,"",IF(LEN(IF(COUNT(I607,J607)=2,IF(J607&gt;I607+1,"EBE &gt; VA ",""),"")&amp;IF(COUNT(H607,M607)=2,IF(ABS(M607)&gt;ABS(H607),"RN &gt; CA ",""),"")&amp;IF(COUNT(H607,K607)=2,IF(ABS(K607)&gt;ABS(H607),"RE &gt; CA ",""),""))=0,"OK",IF(COUNT(I607,J607)=2,IF(J607&gt;I607+1,"EBE &gt; VA ",""),"")&amp;IF(COUNT(H607,M607)=2,IF(ABS(M607)&gt;ABS(H607),"RN &gt; CA ",""),"")&amp;IF(COUNT(H607,K607)=2,IF(ABS(K607)&gt;ABS(H607),"RE &gt; CA ",""),"")))</f>
        <v/>
      </c>
      <c r="P607" s="16">
        <f>IF(OR($A607="",H607="",$C607=""),"",IF(COUNTIFS($A$5:$A$639,$A607,$C$5:$C$639,$C607-1,$D$5:$D$639,$D607,H$5:H$639,"&lt;&gt;")=0,"",IF(OR(SUMIFS(H$5:H$639,$A$5:$A$639,$A607,$C$5:$C$639,$C607-1,$D$5:$D$639,$D607)=0,H607*SUMIFS(H$5:H$639,$A$5:$A$639,$A607,$C$5:$C$639,$C607-1,$D$5:$D$639,$D607)&lt;0),"n.s.",ABS(H607)/ABS(SUMIFS(H$5:H$639,$A$5:$A$639,$A607,$C$5:$C$639,$C607-1,$D$5:$D$639,$D607))-1)))</f>
        <v/>
      </c>
      <c r="Q607" s="16">
        <f>IF(OR($A607="",I607="",$C607=""),"",IF(COUNTIFS($A$5:$A$639,$A607,$C$5:$C$639,$C607-1,$D$5:$D$639,$D607,I$5:I$639,"&lt;&gt;")=0,"",IF(OR(SUMIFS(I$5:I$639,$A$5:$A$639,$A607,$C$5:$C$639,$C607-1,$D$5:$D$639,$D607)=0,I607*SUMIFS(I$5:I$639,$A$5:$A$639,$A607,$C$5:$C$639,$C607-1,$D$5:$D$639,$D607)&lt;0),"n.s.",ABS(I607)/ABS(SUMIFS(I$5:I$639,$A$5:$A$639,$A607,$C$5:$C$639,$C607-1,$D$5:$D$639,$D607))-1)))</f>
        <v/>
      </c>
      <c r="R607" s="16">
        <f>IF(OR($A607="",J607="",$C607=""),"",IF(COUNTIFS($A$5:$A$639,$A607,$C$5:$C$639,$C607-1,$D$5:$D$639,$D607,J$5:J$639,"&lt;&gt;")=0,"",IF(OR(SUMIFS(J$5:J$639,$A$5:$A$639,$A607,$C$5:$C$639,$C607-1,$D$5:$D$639,$D607)=0,J607*SUMIFS(J$5:J$639,$A$5:$A$639,$A607,$C$5:$C$639,$C607-1,$D$5:$D$639,$D607)&lt;0),"n.s.",ABS(J607)/ABS(SUMIFS(J$5:J$639,$A$5:$A$639,$A607,$C$5:$C$639,$C607-1,$D$5:$D$639,$D607))-1)))</f>
        <v/>
      </c>
      <c r="S607" s="16">
        <f>IF(OR($A607="",K607="",$C607=""),"",IF(COUNTIFS($A$5:$A$639,$A607,$C$5:$C$639,$C607-1,$D$5:$D$639,$D607,K$5:K$639,"&lt;&gt;")=0,"",IF(OR(SUMIFS(K$5:K$639,$A$5:$A$639,$A607,$C$5:$C$639,$C607-1,$D$5:$D$639,$D607)=0,K607*SUMIFS(K$5:K$639,$A$5:$A$639,$A607,$C$5:$C$639,$C607-1,$D$5:$D$639,$D607)&lt;0),"n.s.",ABS(K607)/ABS(SUMIFS(K$5:K$639,$A$5:$A$639,$A607,$C$5:$C$639,$C607-1,$D$5:$D$639,$D607))-1)))</f>
        <v/>
      </c>
      <c r="T607" s="16">
        <f>IF(OR($A607="",L607="",$C607=""),"",IF(COUNTIFS($A$5:$A$639,$A607,$C$5:$C$639,$C607-1,$D$5:$D$639,$D607,L$5:L$639,"&lt;&gt;")=0,"",IF(OR(SUMIFS(L$5:L$639,$A$5:$A$639,$A607,$C$5:$C$639,$C607-1,$D$5:$D$639,$D607)=0,L607*SUMIFS(L$5:L$639,$A$5:$A$639,$A607,$C$5:$C$639,$C607-1,$D$5:$D$639,$D607)&lt;0),"n.s.",ABS(L607)/ABS(SUMIFS(L$5:L$639,$A$5:$A$639,$A607,$C$5:$C$639,$C607-1,$D$5:$D$639,$D607))-1)))</f>
        <v/>
      </c>
      <c r="U607" s="16">
        <f>IF(OR($A607="",M607="",$C607=""),"",IF(COUNTIFS($A$5:$A$639,$A607,$C$5:$C$639,$C607-1,$D$5:$D$639,$D607,M$5:M$639,"&lt;&gt;")=0,"",IF(OR(SUMIFS(M$5:M$639,$A$5:$A$639,$A607,$C$5:$C$639,$C607-1,$D$5:$D$639,$D607)=0,M607*SUMIFS(M$5:M$639,$A$5:$A$639,$A607,$C$5:$C$639,$C607-1,$D$5:$D$639,$D607)&lt;0),"n.s.",ABS(M607)/ABS(SUMIFS(M$5:M$639,$A$5:$A$639,$A607,$C$5:$C$639,$C607-1,$D$5:$D$639,$D607))-1)))</f>
        <v/>
      </c>
    </row>
    <row r="608">
      <c r="A608" s="9" t="n"/>
      <c r="B608" s="10">
        <f>IF(A608="","",IFERROR(VLOOKUP(A608,Titres!$A$2:$B$400,2,FALSE),"Ticker inconnu"))</f>
        <v/>
      </c>
      <c r="C608" s="11" t="n"/>
      <c r="D608" s="11" t="n"/>
      <c r="E608" s="9" t="n"/>
      <c r="F608" s="12" t="n"/>
      <c r="G608" s="9" t="n"/>
      <c r="H608" s="13" t="n"/>
      <c r="I608" s="13" t="n"/>
      <c r="J608" s="13" t="n"/>
      <c r="K608" s="13" t="n"/>
      <c r="L608" s="13" t="n"/>
      <c r="M608" s="13" t="n"/>
      <c r="N608" s="14">
        <f>IF(A608="","",COUNT(H608:M608)/6)</f>
        <v/>
      </c>
      <c r="O608" s="15">
        <f>IF(COUNT(H608:M608)=0,"",IF(LEN(IF(COUNT(I608,J608)=2,IF(J608&gt;I608+1,"EBE &gt; VA ",""),"")&amp;IF(COUNT(H608,M608)=2,IF(ABS(M608)&gt;ABS(H608),"RN &gt; CA ",""),"")&amp;IF(COUNT(H608,K608)=2,IF(ABS(K608)&gt;ABS(H608),"RE &gt; CA ",""),""))=0,"OK",IF(COUNT(I608,J608)=2,IF(J608&gt;I608+1,"EBE &gt; VA ",""),"")&amp;IF(COUNT(H608,M608)=2,IF(ABS(M608)&gt;ABS(H608),"RN &gt; CA ",""),"")&amp;IF(COUNT(H608,K608)=2,IF(ABS(K608)&gt;ABS(H608),"RE &gt; CA ",""),"")))</f>
        <v/>
      </c>
      <c r="P608" s="16">
        <f>IF(OR($A608="",H608="",$C608=""),"",IF(COUNTIFS($A$5:$A$639,$A608,$C$5:$C$639,$C608-1,$D$5:$D$639,$D608,H$5:H$639,"&lt;&gt;")=0,"",IF(OR(SUMIFS(H$5:H$639,$A$5:$A$639,$A608,$C$5:$C$639,$C608-1,$D$5:$D$639,$D608)=0,H608*SUMIFS(H$5:H$639,$A$5:$A$639,$A608,$C$5:$C$639,$C608-1,$D$5:$D$639,$D608)&lt;0),"n.s.",ABS(H608)/ABS(SUMIFS(H$5:H$639,$A$5:$A$639,$A608,$C$5:$C$639,$C608-1,$D$5:$D$639,$D608))-1)))</f>
        <v/>
      </c>
      <c r="Q608" s="16">
        <f>IF(OR($A608="",I608="",$C608=""),"",IF(COUNTIFS($A$5:$A$639,$A608,$C$5:$C$639,$C608-1,$D$5:$D$639,$D608,I$5:I$639,"&lt;&gt;")=0,"",IF(OR(SUMIFS(I$5:I$639,$A$5:$A$639,$A608,$C$5:$C$639,$C608-1,$D$5:$D$639,$D608)=0,I608*SUMIFS(I$5:I$639,$A$5:$A$639,$A608,$C$5:$C$639,$C608-1,$D$5:$D$639,$D608)&lt;0),"n.s.",ABS(I608)/ABS(SUMIFS(I$5:I$639,$A$5:$A$639,$A608,$C$5:$C$639,$C608-1,$D$5:$D$639,$D608))-1)))</f>
        <v/>
      </c>
      <c r="R608" s="16">
        <f>IF(OR($A608="",J608="",$C608=""),"",IF(COUNTIFS($A$5:$A$639,$A608,$C$5:$C$639,$C608-1,$D$5:$D$639,$D608,J$5:J$639,"&lt;&gt;")=0,"",IF(OR(SUMIFS(J$5:J$639,$A$5:$A$639,$A608,$C$5:$C$639,$C608-1,$D$5:$D$639,$D608)=0,J608*SUMIFS(J$5:J$639,$A$5:$A$639,$A608,$C$5:$C$639,$C608-1,$D$5:$D$639,$D608)&lt;0),"n.s.",ABS(J608)/ABS(SUMIFS(J$5:J$639,$A$5:$A$639,$A608,$C$5:$C$639,$C608-1,$D$5:$D$639,$D608))-1)))</f>
        <v/>
      </c>
      <c r="S608" s="16">
        <f>IF(OR($A608="",K608="",$C608=""),"",IF(COUNTIFS($A$5:$A$639,$A608,$C$5:$C$639,$C608-1,$D$5:$D$639,$D608,K$5:K$639,"&lt;&gt;")=0,"",IF(OR(SUMIFS(K$5:K$639,$A$5:$A$639,$A608,$C$5:$C$639,$C608-1,$D$5:$D$639,$D608)=0,K608*SUMIFS(K$5:K$639,$A$5:$A$639,$A608,$C$5:$C$639,$C608-1,$D$5:$D$639,$D608)&lt;0),"n.s.",ABS(K608)/ABS(SUMIFS(K$5:K$639,$A$5:$A$639,$A608,$C$5:$C$639,$C608-1,$D$5:$D$639,$D608))-1)))</f>
        <v/>
      </c>
      <c r="T608" s="16">
        <f>IF(OR($A608="",L608="",$C608=""),"",IF(COUNTIFS($A$5:$A$639,$A608,$C$5:$C$639,$C608-1,$D$5:$D$639,$D608,L$5:L$639,"&lt;&gt;")=0,"",IF(OR(SUMIFS(L$5:L$639,$A$5:$A$639,$A608,$C$5:$C$639,$C608-1,$D$5:$D$639,$D608)=0,L608*SUMIFS(L$5:L$639,$A$5:$A$639,$A608,$C$5:$C$639,$C608-1,$D$5:$D$639,$D608)&lt;0),"n.s.",ABS(L608)/ABS(SUMIFS(L$5:L$639,$A$5:$A$639,$A608,$C$5:$C$639,$C608-1,$D$5:$D$639,$D608))-1)))</f>
        <v/>
      </c>
      <c r="U608" s="16">
        <f>IF(OR($A608="",M608="",$C608=""),"",IF(COUNTIFS($A$5:$A$639,$A608,$C$5:$C$639,$C608-1,$D$5:$D$639,$D608,M$5:M$639,"&lt;&gt;")=0,"",IF(OR(SUMIFS(M$5:M$639,$A$5:$A$639,$A608,$C$5:$C$639,$C608-1,$D$5:$D$639,$D608)=0,M608*SUMIFS(M$5:M$639,$A$5:$A$639,$A608,$C$5:$C$639,$C608-1,$D$5:$D$639,$D608)&lt;0),"n.s.",ABS(M608)/ABS(SUMIFS(M$5:M$639,$A$5:$A$639,$A608,$C$5:$C$639,$C608-1,$D$5:$D$639,$D608))-1)))</f>
        <v/>
      </c>
    </row>
    <row r="609">
      <c r="A609" s="9" t="n"/>
      <c r="B609" s="10">
        <f>IF(A609="","",IFERROR(VLOOKUP(A609,Titres!$A$2:$B$400,2,FALSE),"Ticker inconnu"))</f>
        <v/>
      </c>
      <c r="C609" s="11" t="n"/>
      <c r="D609" s="11" t="n"/>
      <c r="E609" s="9" t="n"/>
      <c r="F609" s="12" t="n"/>
      <c r="G609" s="9" t="n"/>
      <c r="H609" s="13" t="n"/>
      <c r="I609" s="13" t="n"/>
      <c r="J609" s="13" t="n"/>
      <c r="K609" s="13" t="n"/>
      <c r="L609" s="13" t="n"/>
      <c r="M609" s="13" t="n"/>
      <c r="N609" s="14">
        <f>IF(A609="","",COUNT(H609:M609)/6)</f>
        <v/>
      </c>
      <c r="O609" s="15">
        <f>IF(COUNT(H609:M609)=0,"",IF(LEN(IF(COUNT(I609,J609)=2,IF(J609&gt;I609+1,"EBE &gt; VA ",""),"")&amp;IF(COUNT(H609,M609)=2,IF(ABS(M609)&gt;ABS(H609),"RN &gt; CA ",""),"")&amp;IF(COUNT(H609,K609)=2,IF(ABS(K609)&gt;ABS(H609),"RE &gt; CA ",""),""))=0,"OK",IF(COUNT(I609,J609)=2,IF(J609&gt;I609+1,"EBE &gt; VA ",""),"")&amp;IF(COUNT(H609,M609)=2,IF(ABS(M609)&gt;ABS(H609),"RN &gt; CA ",""),"")&amp;IF(COUNT(H609,K609)=2,IF(ABS(K609)&gt;ABS(H609),"RE &gt; CA ",""),"")))</f>
        <v/>
      </c>
      <c r="P609" s="16">
        <f>IF(OR($A609="",H609="",$C609=""),"",IF(COUNTIFS($A$5:$A$639,$A609,$C$5:$C$639,$C609-1,$D$5:$D$639,$D609,H$5:H$639,"&lt;&gt;")=0,"",IF(OR(SUMIFS(H$5:H$639,$A$5:$A$639,$A609,$C$5:$C$639,$C609-1,$D$5:$D$639,$D609)=0,H609*SUMIFS(H$5:H$639,$A$5:$A$639,$A609,$C$5:$C$639,$C609-1,$D$5:$D$639,$D609)&lt;0),"n.s.",ABS(H609)/ABS(SUMIFS(H$5:H$639,$A$5:$A$639,$A609,$C$5:$C$639,$C609-1,$D$5:$D$639,$D609))-1)))</f>
        <v/>
      </c>
      <c r="Q609" s="16">
        <f>IF(OR($A609="",I609="",$C609=""),"",IF(COUNTIFS($A$5:$A$639,$A609,$C$5:$C$639,$C609-1,$D$5:$D$639,$D609,I$5:I$639,"&lt;&gt;")=0,"",IF(OR(SUMIFS(I$5:I$639,$A$5:$A$639,$A609,$C$5:$C$639,$C609-1,$D$5:$D$639,$D609)=0,I609*SUMIFS(I$5:I$639,$A$5:$A$639,$A609,$C$5:$C$639,$C609-1,$D$5:$D$639,$D609)&lt;0),"n.s.",ABS(I609)/ABS(SUMIFS(I$5:I$639,$A$5:$A$639,$A609,$C$5:$C$639,$C609-1,$D$5:$D$639,$D609))-1)))</f>
        <v/>
      </c>
      <c r="R609" s="16">
        <f>IF(OR($A609="",J609="",$C609=""),"",IF(COUNTIFS($A$5:$A$639,$A609,$C$5:$C$639,$C609-1,$D$5:$D$639,$D609,J$5:J$639,"&lt;&gt;")=0,"",IF(OR(SUMIFS(J$5:J$639,$A$5:$A$639,$A609,$C$5:$C$639,$C609-1,$D$5:$D$639,$D609)=0,J609*SUMIFS(J$5:J$639,$A$5:$A$639,$A609,$C$5:$C$639,$C609-1,$D$5:$D$639,$D609)&lt;0),"n.s.",ABS(J609)/ABS(SUMIFS(J$5:J$639,$A$5:$A$639,$A609,$C$5:$C$639,$C609-1,$D$5:$D$639,$D609))-1)))</f>
        <v/>
      </c>
      <c r="S609" s="16">
        <f>IF(OR($A609="",K609="",$C609=""),"",IF(COUNTIFS($A$5:$A$639,$A609,$C$5:$C$639,$C609-1,$D$5:$D$639,$D609,K$5:K$639,"&lt;&gt;")=0,"",IF(OR(SUMIFS(K$5:K$639,$A$5:$A$639,$A609,$C$5:$C$639,$C609-1,$D$5:$D$639,$D609)=0,K609*SUMIFS(K$5:K$639,$A$5:$A$639,$A609,$C$5:$C$639,$C609-1,$D$5:$D$639,$D609)&lt;0),"n.s.",ABS(K609)/ABS(SUMIFS(K$5:K$639,$A$5:$A$639,$A609,$C$5:$C$639,$C609-1,$D$5:$D$639,$D609))-1)))</f>
        <v/>
      </c>
      <c r="T609" s="16">
        <f>IF(OR($A609="",L609="",$C609=""),"",IF(COUNTIFS($A$5:$A$639,$A609,$C$5:$C$639,$C609-1,$D$5:$D$639,$D609,L$5:L$639,"&lt;&gt;")=0,"",IF(OR(SUMIFS(L$5:L$639,$A$5:$A$639,$A609,$C$5:$C$639,$C609-1,$D$5:$D$639,$D609)=0,L609*SUMIFS(L$5:L$639,$A$5:$A$639,$A609,$C$5:$C$639,$C609-1,$D$5:$D$639,$D609)&lt;0),"n.s.",ABS(L609)/ABS(SUMIFS(L$5:L$639,$A$5:$A$639,$A609,$C$5:$C$639,$C609-1,$D$5:$D$639,$D609))-1)))</f>
        <v/>
      </c>
      <c r="U609" s="16">
        <f>IF(OR($A609="",M609="",$C609=""),"",IF(COUNTIFS($A$5:$A$639,$A609,$C$5:$C$639,$C609-1,$D$5:$D$639,$D609,M$5:M$639,"&lt;&gt;")=0,"",IF(OR(SUMIFS(M$5:M$639,$A$5:$A$639,$A609,$C$5:$C$639,$C609-1,$D$5:$D$639,$D609)=0,M609*SUMIFS(M$5:M$639,$A$5:$A$639,$A609,$C$5:$C$639,$C609-1,$D$5:$D$639,$D609)&lt;0),"n.s.",ABS(M609)/ABS(SUMIFS(M$5:M$639,$A$5:$A$639,$A609,$C$5:$C$639,$C609-1,$D$5:$D$639,$D609))-1)))</f>
        <v/>
      </c>
    </row>
    <row r="610">
      <c r="A610" s="9" t="n"/>
      <c r="B610" s="10">
        <f>IF(A610="","",IFERROR(VLOOKUP(A610,Titres!$A$2:$B$400,2,FALSE),"Ticker inconnu"))</f>
        <v/>
      </c>
      <c r="C610" s="11" t="n"/>
      <c r="D610" s="11" t="n"/>
      <c r="E610" s="9" t="n"/>
      <c r="F610" s="12" t="n"/>
      <c r="G610" s="9" t="n"/>
      <c r="H610" s="13" t="n"/>
      <c r="I610" s="13" t="n"/>
      <c r="J610" s="13" t="n"/>
      <c r="K610" s="13" t="n"/>
      <c r="L610" s="13" t="n"/>
      <c r="M610" s="13" t="n"/>
      <c r="N610" s="14">
        <f>IF(A610="","",COUNT(H610:M610)/6)</f>
        <v/>
      </c>
      <c r="O610" s="15">
        <f>IF(COUNT(H610:M610)=0,"",IF(LEN(IF(COUNT(I610,J610)=2,IF(J610&gt;I610+1,"EBE &gt; VA ",""),"")&amp;IF(COUNT(H610,M610)=2,IF(ABS(M610)&gt;ABS(H610),"RN &gt; CA ",""),"")&amp;IF(COUNT(H610,K610)=2,IF(ABS(K610)&gt;ABS(H610),"RE &gt; CA ",""),""))=0,"OK",IF(COUNT(I610,J610)=2,IF(J610&gt;I610+1,"EBE &gt; VA ",""),"")&amp;IF(COUNT(H610,M610)=2,IF(ABS(M610)&gt;ABS(H610),"RN &gt; CA ",""),"")&amp;IF(COUNT(H610,K610)=2,IF(ABS(K610)&gt;ABS(H610),"RE &gt; CA ",""),"")))</f>
        <v/>
      </c>
      <c r="P610" s="16">
        <f>IF(OR($A610="",H610="",$C610=""),"",IF(COUNTIFS($A$5:$A$639,$A610,$C$5:$C$639,$C610-1,$D$5:$D$639,$D610,H$5:H$639,"&lt;&gt;")=0,"",IF(OR(SUMIFS(H$5:H$639,$A$5:$A$639,$A610,$C$5:$C$639,$C610-1,$D$5:$D$639,$D610)=0,H610*SUMIFS(H$5:H$639,$A$5:$A$639,$A610,$C$5:$C$639,$C610-1,$D$5:$D$639,$D610)&lt;0),"n.s.",ABS(H610)/ABS(SUMIFS(H$5:H$639,$A$5:$A$639,$A610,$C$5:$C$639,$C610-1,$D$5:$D$639,$D610))-1)))</f>
        <v/>
      </c>
      <c r="Q610" s="16">
        <f>IF(OR($A610="",I610="",$C610=""),"",IF(COUNTIFS($A$5:$A$639,$A610,$C$5:$C$639,$C610-1,$D$5:$D$639,$D610,I$5:I$639,"&lt;&gt;")=0,"",IF(OR(SUMIFS(I$5:I$639,$A$5:$A$639,$A610,$C$5:$C$639,$C610-1,$D$5:$D$639,$D610)=0,I610*SUMIFS(I$5:I$639,$A$5:$A$639,$A610,$C$5:$C$639,$C610-1,$D$5:$D$639,$D610)&lt;0),"n.s.",ABS(I610)/ABS(SUMIFS(I$5:I$639,$A$5:$A$639,$A610,$C$5:$C$639,$C610-1,$D$5:$D$639,$D610))-1)))</f>
        <v/>
      </c>
      <c r="R610" s="16">
        <f>IF(OR($A610="",J610="",$C610=""),"",IF(COUNTIFS($A$5:$A$639,$A610,$C$5:$C$639,$C610-1,$D$5:$D$639,$D610,J$5:J$639,"&lt;&gt;")=0,"",IF(OR(SUMIFS(J$5:J$639,$A$5:$A$639,$A610,$C$5:$C$639,$C610-1,$D$5:$D$639,$D610)=0,J610*SUMIFS(J$5:J$639,$A$5:$A$639,$A610,$C$5:$C$639,$C610-1,$D$5:$D$639,$D610)&lt;0),"n.s.",ABS(J610)/ABS(SUMIFS(J$5:J$639,$A$5:$A$639,$A610,$C$5:$C$639,$C610-1,$D$5:$D$639,$D610))-1)))</f>
        <v/>
      </c>
      <c r="S610" s="16">
        <f>IF(OR($A610="",K610="",$C610=""),"",IF(COUNTIFS($A$5:$A$639,$A610,$C$5:$C$639,$C610-1,$D$5:$D$639,$D610,K$5:K$639,"&lt;&gt;")=0,"",IF(OR(SUMIFS(K$5:K$639,$A$5:$A$639,$A610,$C$5:$C$639,$C610-1,$D$5:$D$639,$D610)=0,K610*SUMIFS(K$5:K$639,$A$5:$A$639,$A610,$C$5:$C$639,$C610-1,$D$5:$D$639,$D610)&lt;0),"n.s.",ABS(K610)/ABS(SUMIFS(K$5:K$639,$A$5:$A$639,$A610,$C$5:$C$639,$C610-1,$D$5:$D$639,$D610))-1)))</f>
        <v/>
      </c>
      <c r="T610" s="16">
        <f>IF(OR($A610="",L610="",$C610=""),"",IF(COUNTIFS($A$5:$A$639,$A610,$C$5:$C$639,$C610-1,$D$5:$D$639,$D610,L$5:L$639,"&lt;&gt;")=0,"",IF(OR(SUMIFS(L$5:L$639,$A$5:$A$639,$A610,$C$5:$C$639,$C610-1,$D$5:$D$639,$D610)=0,L610*SUMIFS(L$5:L$639,$A$5:$A$639,$A610,$C$5:$C$639,$C610-1,$D$5:$D$639,$D610)&lt;0),"n.s.",ABS(L610)/ABS(SUMIFS(L$5:L$639,$A$5:$A$639,$A610,$C$5:$C$639,$C610-1,$D$5:$D$639,$D610))-1)))</f>
        <v/>
      </c>
      <c r="U610" s="16">
        <f>IF(OR($A610="",M610="",$C610=""),"",IF(COUNTIFS($A$5:$A$639,$A610,$C$5:$C$639,$C610-1,$D$5:$D$639,$D610,M$5:M$639,"&lt;&gt;")=0,"",IF(OR(SUMIFS(M$5:M$639,$A$5:$A$639,$A610,$C$5:$C$639,$C610-1,$D$5:$D$639,$D610)=0,M610*SUMIFS(M$5:M$639,$A$5:$A$639,$A610,$C$5:$C$639,$C610-1,$D$5:$D$639,$D610)&lt;0),"n.s.",ABS(M610)/ABS(SUMIFS(M$5:M$639,$A$5:$A$639,$A610,$C$5:$C$639,$C610-1,$D$5:$D$639,$D610))-1)))</f>
        <v/>
      </c>
    </row>
    <row r="611">
      <c r="A611" s="9" t="n"/>
      <c r="B611" s="10">
        <f>IF(A611="","",IFERROR(VLOOKUP(A611,Titres!$A$2:$B$400,2,FALSE),"Ticker inconnu"))</f>
        <v/>
      </c>
      <c r="C611" s="11" t="n"/>
      <c r="D611" s="11" t="n"/>
      <c r="E611" s="9" t="n"/>
      <c r="F611" s="12" t="n"/>
      <c r="G611" s="9" t="n"/>
      <c r="H611" s="13" t="n"/>
      <c r="I611" s="13" t="n"/>
      <c r="J611" s="13" t="n"/>
      <c r="K611" s="13" t="n"/>
      <c r="L611" s="13" t="n"/>
      <c r="M611" s="13" t="n"/>
      <c r="N611" s="14">
        <f>IF(A611="","",COUNT(H611:M611)/6)</f>
        <v/>
      </c>
      <c r="O611" s="15">
        <f>IF(COUNT(H611:M611)=0,"",IF(LEN(IF(COUNT(I611,J611)=2,IF(J611&gt;I611+1,"EBE &gt; VA ",""),"")&amp;IF(COUNT(H611,M611)=2,IF(ABS(M611)&gt;ABS(H611),"RN &gt; CA ",""),"")&amp;IF(COUNT(H611,K611)=2,IF(ABS(K611)&gt;ABS(H611),"RE &gt; CA ",""),""))=0,"OK",IF(COUNT(I611,J611)=2,IF(J611&gt;I611+1,"EBE &gt; VA ",""),"")&amp;IF(COUNT(H611,M611)=2,IF(ABS(M611)&gt;ABS(H611),"RN &gt; CA ",""),"")&amp;IF(COUNT(H611,K611)=2,IF(ABS(K611)&gt;ABS(H611),"RE &gt; CA ",""),"")))</f>
        <v/>
      </c>
      <c r="P611" s="16">
        <f>IF(OR($A611="",H611="",$C611=""),"",IF(COUNTIFS($A$5:$A$639,$A611,$C$5:$C$639,$C611-1,$D$5:$D$639,$D611,H$5:H$639,"&lt;&gt;")=0,"",IF(OR(SUMIFS(H$5:H$639,$A$5:$A$639,$A611,$C$5:$C$639,$C611-1,$D$5:$D$639,$D611)=0,H611*SUMIFS(H$5:H$639,$A$5:$A$639,$A611,$C$5:$C$639,$C611-1,$D$5:$D$639,$D611)&lt;0),"n.s.",ABS(H611)/ABS(SUMIFS(H$5:H$639,$A$5:$A$639,$A611,$C$5:$C$639,$C611-1,$D$5:$D$639,$D611))-1)))</f>
        <v/>
      </c>
      <c r="Q611" s="16">
        <f>IF(OR($A611="",I611="",$C611=""),"",IF(COUNTIFS($A$5:$A$639,$A611,$C$5:$C$639,$C611-1,$D$5:$D$639,$D611,I$5:I$639,"&lt;&gt;")=0,"",IF(OR(SUMIFS(I$5:I$639,$A$5:$A$639,$A611,$C$5:$C$639,$C611-1,$D$5:$D$639,$D611)=0,I611*SUMIFS(I$5:I$639,$A$5:$A$639,$A611,$C$5:$C$639,$C611-1,$D$5:$D$639,$D611)&lt;0),"n.s.",ABS(I611)/ABS(SUMIFS(I$5:I$639,$A$5:$A$639,$A611,$C$5:$C$639,$C611-1,$D$5:$D$639,$D611))-1)))</f>
        <v/>
      </c>
      <c r="R611" s="16">
        <f>IF(OR($A611="",J611="",$C611=""),"",IF(COUNTIFS($A$5:$A$639,$A611,$C$5:$C$639,$C611-1,$D$5:$D$639,$D611,J$5:J$639,"&lt;&gt;")=0,"",IF(OR(SUMIFS(J$5:J$639,$A$5:$A$639,$A611,$C$5:$C$639,$C611-1,$D$5:$D$639,$D611)=0,J611*SUMIFS(J$5:J$639,$A$5:$A$639,$A611,$C$5:$C$639,$C611-1,$D$5:$D$639,$D611)&lt;0),"n.s.",ABS(J611)/ABS(SUMIFS(J$5:J$639,$A$5:$A$639,$A611,$C$5:$C$639,$C611-1,$D$5:$D$639,$D611))-1)))</f>
        <v/>
      </c>
      <c r="S611" s="16">
        <f>IF(OR($A611="",K611="",$C611=""),"",IF(COUNTIFS($A$5:$A$639,$A611,$C$5:$C$639,$C611-1,$D$5:$D$639,$D611,K$5:K$639,"&lt;&gt;")=0,"",IF(OR(SUMIFS(K$5:K$639,$A$5:$A$639,$A611,$C$5:$C$639,$C611-1,$D$5:$D$639,$D611)=0,K611*SUMIFS(K$5:K$639,$A$5:$A$639,$A611,$C$5:$C$639,$C611-1,$D$5:$D$639,$D611)&lt;0),"n.s.",ABS(K611)/ABS(SUMIFS(K$5:K$639,$A$5:$A$639,$A611,$C$5:$C$639,$C611-1,$D$5:$D$639,$D611))-1)))</f>
        <v/>
      </c>
      <c r="T611" s="16">
        <f>IF(OR($A611="",L611="",$C611=""),"",IF(COUNTIFS($A$5:$A$639,$A611,$C$5:$C$639,$C611-1,$D$5:$D$639,$D611,L$5:L$639,"&lt;&gt;")=0,"",IF(OR(SUMIFS(L$5:L$639,$A$5:$A$639,$A611,$C$5:$C$639,$C611-1,$D$5:$D$639,$D611)=0,L611*SUMIFS(L$5:L$639,$A$5:$A$639,$A611,$C$5:$C$639,$C611-1,$D$5:$D$639,$D611)&lt;0),"n.s.",ABS(L611)/ABS(SUMIFS(L$5:L$639,$A$5:$A$639,$A611,$C$5:$C$639,$C611-1,$D$5:$D$639,$D611))-1)))</f>
        <v/>
      </c>
      <c r="U611" s="16">
        <f>IF(OR($A611="",M611="",$C611=""),"",IF(COUNTIFS($A$5:$A$639,$A611,$C$5:$C$639,$C611-1,$D$5:$D$639,$D611,M$5:M$639,"&lt;&gt;")=0,"",IF(OR(SUMIFS(M$5:M$639,$A$5:$A$639,$A611,$C$5:$C$639,$C611-1,$D$5:$D$639,$D611)=0,M611*SUMIFS(M$5:M$639,$A$5:$A$639,$A611,$C$5:$C$639,$C611-1,$D$5:$D$639,$D611)&lt;0),"n.s.",ABS(M611)/ABS(SUMIFS(M$5:M$639,$A$5:$A$639,$A611,$C$5:$C$639,$C611-1,$D$5:$D$639,$D611))-1)))</f>
        <v/>
      </c>
    </row>
    <row r="612">
      <c r="A612" s="9" t="n"/>
      <c r="B612" s="10">
        <f>IF(A612="","",IFERROR(VLOOKUP(A612,Titres!$A$2:$B$400,2,FALSE),"Ticker inconnu"))</f>
        <v/>
      </c>
      <c r="C612" s="11" t="n"/>
      <c r="D612" s="11" t="n"/>
      <c r="E612" s="9" t="n"/>
      <c r="F612" s="12" t="n"/>
      <c r="G612" s="9" t="n"/>
      <c r="H612" s="13" t="n"/>
      <c r="I612" s="13" t="n"/>
      <c r="J612" s="13" t="n"/>
      <c r="K612" s="13" t="n"/>
      <c r="L612" s="13" t="n"/>
      <c r="M612" s="13" t="n"/>
      <c r="N612" s="14">
        <f>IF(A612="","",COUNT(H612:M612)/6)</f>
        <v/>
      </c>
      <c r="O612" s="15">
        <f>IF(COUNT(H612:M612)=0,"",IF(LEN(IF(COUNT(I612,J612)=2,IF(J612&gt;I612+1,"EBE &gt; VA ",""),"")&amp;IF(COUNT(H612,M612)=2,IF(ABS(M612)&gt;ABS(H612),"RN &gt; CA ",""),"")&amp;IF(COUNT(H612,K612)=2,IF(ABS(K612)&gt;ABS(H612),"RE &gt; CA ",""),""))=0,"OK",IF(COUNT(I612,J612)=2,IF(J612&gt;I612+1,"EBE &gt; VA ",""),"")&amp;IF(COUNT(H612,M612)=2,IF(ABS(M612)&gt;ABS(H612),"RN &gt; CA ",""),"")&amp;IF(COUNT(H612,K612)=2,IF(ABS(K612)&gt;ABS(H612),"RE &gt; CA ",""),"")))</f>
        <v/>
      </c>
      <c r="P612" s="16">
        <f>IF(OR($A612="",H612="",$C612=""),"",IF(COUNTIFS($A$5:$A$639,$A612,$C$5:$C$639,$C612-1,$D$5:$D$639,$D612,H$5:H$639,"&lt;&gt;")=0,"",IF(OR(SUMIFS(H$5:H$639,$A$5:$A$639,$A612,$C$5:$C$639,$C612-1,$D$5:$D$639,$D612)=0,H612*SUMIFS(H$5:H$639,$A$5:$A$639,$A612,$C$5:$C$639,$C612-1,$D$5:$D$639,$D612)&lt;0),"n.s.",ABS(H612)/ABS(SUMIFS(H$5:H$639,$A$5:$A$639,$A612,$C$5:$C$639,$C612-1,$D$5:$D$639,$D612))-1)))</f>
        <v/>
      </c>
      <c r="Q612" s="16">
        <f>IF(OR($A612="",I612="",$C612=""),"",IF(COUNTIFS($A$5:$A$639,$A612,$C$5:$C$639,$C612-1,$D$5:$D$639,$D612,I$5:I$639,"&lt;&gt;")=0,"",IF(OR(SUMIFS(I$5:I$639,$A$5:$A$639,$A612,$C$5:$C$639,$C612-1,$D$5:$D$639,$D612)=0,I612*SUMIFS(I$5:I$639,$A$5:$A$639,$A612,$C$5:$C$639,$C612-1,$D$5:$D$639,$D612)&lt;0),"n.s.",ABS(I612)/ABS(SUMIFS(I$5:I$639,$A$5:$A$639,$A612,$C$5:$C$639,$C612-1,$D$5:$D$639,$D612))-1)))</f>
        <v/>
      </c>
      <c r="R612" s="16">
        <f>IF(OR($A612="",J612="",$C612=""),"",IF(COUNTIFS($A$5:$A$639,$A612,$C$5:$C$639,$C612-1,$D$5:$D$639,$D612,J$5:J$639,"&lt;&gt;")=0,"",IF(OR(SUMIFS(J$5:J$639,$A$5:$A$639,$A612,$C$5:$C$639,$C612-1,$D$5:$D$639,$D612)=0,J612*SUMIFS(J$5:J$639,$A$5:$A$639,$A612,$C$5:$C$639,$C612-1,$D$5:$D$639,$D612)&lt;0),"n.s.",ABS(J612)/ABS(SUMIFS(J$5:J$639,$A$5:$A$639,$A612,$C$5:$C$639,$C612-1,$D$5:$D$639,$D612))-1)))</f>
        <v/>
      </c>
      <c r="S612" s="16">
        <f>IF(OR($A612="",K612="",$C612=""),"",IF(COUNTIFS($A$5:$A$639,$A612,$C$5:$C$639,$C612-1,$D$5:$D$639,$D612,K$5:K$639,"&lt;&gt;")=0,"",IF(OR(SUMIFS(K$5:K$639,$A$5:$A$639,$A612,$C$5:$C$639,$C612-1,$D$5:$D$639,$D612)=0,K612*SUMIFS(K$5:K$639,$A$5:$A$639,$A612,$C$5:$C$639,$C612-1,$D$5:$D$639,$D612)&lt;0),"n.s.",ABS(K612)/ABS(SUMIFS(K$5:K$639,$A$5:$A$639,$A612,$C$5:$C$639,$C612-1,$D$5:$D$639,$D612))-1)))</f>
        <v/>
      </c>
      <c r="T612" s="16">
        <f>IF(OR($A612="",L612="",$C612=""),"",IF(COUNTIFS($A$5:$A$639,$A612,$C$5:$C$639,$C612-1,$D$5:$D$639,$D612,L$5:L$639,"&lt;&gt;")=0,"",IF(OR(SUMIFS(L$5:L$639,$A$5:$A$639,$A612,$C$5:$C$639,$C612-1,$D$5:$D$639,$D612)=0,L612*SUMIFS(L$5:L$639,$A$5:$A$639,$A612,$C$5:$C$639,$C612-1,$D$5:$D$639,$D612)&lt;0),"n.s.",ABS(L612)/ABS(SUMIFS(L$5:L$639,$A$5:$A$639,$A612,$C$5:$C$639,$C612-1,$D$5:$D$639,$D612))-1)))</f>
        <v/>
      </c>
      <c r="U612" s="16">
        <f>IF(OR($A612="",M612="",$C612=""),"",IF(COUNTIFS($A$5:$A$639,$A612,$C$5:$C$639,$C612-1,$D$5:$D$639,$D612,M$5:M$639,"&lt;&gt;")=0,"",IF(OR(SUMIFS(M$5:M$639,$A$5:$A$639,$A612,$C$5:$C$639,$C612-1,$D$5:$D$639,$D612)=0,M612*SUMIFS(M$5:M$639,$A$5:$A$639,$A612,$C$5:$C$639,$C612-1,$D$5:$D$639,$D612)&lt;0),"n.s.",ABS(M612)/ABS(SUMIFS(M$5:M$639,$A$5:$A$639,$A612,$C$5:$C$639,$C612-1,$D$5:$D$639,$D612))-1)))</f>
        <v/>
      </c>
    </row>
    <row r="613">
      <c r="A613" s="9" t="n"/>
      <c r="B613" s="10">
        <f>IF(A613="","",IFERROR(VLOOKUP(A613,Titres!$A$2:$B$400,2,FALSE),"Ticker inconnu"))</f>
        <v/>
      </c>
      <c r="C613" s="11" t="n"/>
      <c r="D613" s="11" t="n"/>
      <c r="E613" s="9" t="n"/>
      <c r="F613" s="12" t="n"/>
      <c r="G613" s="9" t="n"/>
      <c r="H613" s="13" t="n"/>
      <c r="I613" s="13" t="n"/>
      <c r="J613" s="13" t="n"/>
      <c r="K613" s="13" t="n"/>
      <c r="L613" s="13" t="n"/>
      <c r="M613" s="13" t="n"/>
      <c r="N613" s="14">
        <f>IF(A613="","",COUNT(H613:M613)/6)</f>
        <v/>
      </c>
      <c r="O613" s="15">
        <f>IF(COUNT(H613:M613)=0,"",IF(LEN(IF(COUNT(I613,J613)=2,IF(J613&gt;I613+1,"EBE &gt; VA ",""),"")&amp;IF(COUNT(H613,M613)=2,IF(ABS(M613)&gt;ABS(H613),"RN &gt; CA ",""),"")&amp;IF(COUNT(H613,K613)=2,IF(ABS(K613)&gt;ABS(H613),"RE &gt; CA ",""),""))=0,"OK",IF(COUNT(I613,J613)=2,IF(J613&gt;I613+1,"EBE &gt; VA ",""),"")&amp;IF(COUNT(H613,M613)=2,IF(ABS(M613)&gt;ABS(H613),"RN &gt; CA ",""),"")&amp;IF(COUNT(H613,K613)=2,IF(ABS(K613)&gt;ABS(H613),"RE &gt; CA ",""),"")))</f>
        <v/>
      </c>
      <c r="P613" s="16">
        <f>IF(OR($A613="",H613="",$C613=""),"",IF(COUNTIFS($A$5:$A$639,$A613,$C$5:$C$639,$C613-1,$D$5:$D$639,$D613,H$5:H$639,"&lt;&gt;")=0,"",IF(OR(SUMIFS(H$5:H$639,$A$5:$A$639,$A613,$C$5:$C$639,$C613-1,$D$5:$D$639,$D613)=0,H613*SUMIFS(H$5:H$639,$A$5:$A$639,$A613,$C$5:$C$639,$C613-1,$D$5:$D$639,$D613)&lt;0),"n.s.",ABS(H613)/ABS(SUMIFS(H$5:H$639,$A$5:$A$639,$A613,$C$5:$C$639,$C613-1,$D$5:$D$639,$D613))-1)))</f>
        <v/>
      </c>
      <c r="Q613" s="16">
        <f>IF(OR($A613="",I613="",$C613=""),"",IF(COUNTIFS($A$5:$A$639,$A613,$C$5:$C$639,$C613-1,$D$5:$D$639,$D613,I$5:I$639,"&lt;&gt;")=0,"",IF(OR(SUMIFS(I$5:I$639,$A$5:$A$639,$A613,$C$5:$C$639,$C613-1,$D$5:$D$639,$D613)=0,I613*SUMIFS(I$5:I$639,$A$5:$A$639,$A613,$C$5:$C$639,$C613-1,$D$5:$D$639,$D613)&lt;0),"n.s.",ABS(I613)/ABS(SUMIFS(I$5:I$639,$A$5:$A$639,$A613,$C$5:$C$639,$C613-1,$D$5:$D$639,$D613))-1)))</f>
        <v/>
      </c>
      <c r="R613" s="16">
        <f>IF(OR($A613="",J613="",$C613=""),"",IF(COUNTIFS($A$5:$A$639,$A613,$C$5:$C$639,$C613-1,$D$5:$D$639,$D613,J$5:J$639,"&lt;&gt;")=0,"",IF(OR(SUMIFS(J$5:J$639,$A$5:$A$639,$A613,$C$5:$C$639,$C613-1,$D$5:$D$639,$D613)=0,J613*SUMIFS(J$5:J$639,$A$5:$A$639,$A613,$C$5:$C$639,$C613-1,$D$5:$D$639,$D613)&lt;0),"n.s.",ABS(J613)/ABS(SUMIFS(J$5:J$639,$A$5:$A$639,$A613,$C$5:$C$639,$C613-1,$D$5:$D$639,$D613))-1)))</f>
        <v/>
      </c>
      <c r="S613" s="16">
        <f>IF(OR($A613="",K613="",$C613=""),"",IF(COUNTIFS($A$5:$A$639,$A613,$C$5:$C$639,$C613-1,$D$5:$D$639,$D613,K$5:K$639,"&lt;&gt;")=0,"",IF(OR(SUMIFS(K$5:K$639,$A$5:$A$639,$A613,$C$5:$C$639,$C613-1,$D$5:$D$639,$D613)=0,K613*SUMIFS(K$5:K$639,$A$5:$A$639,$A613,$C$5:$C$639,$C613-1,$D$5:$D$639,$D613)&lt;0),"n.s.",ABS(K613)/ABS(SUMIFS(K$5:K$639,$A$5:$A$639,$A613,$C$5:$C$639,$C613-1,$D$5:$D$639,$D613))-1)))</f>
        <v/>
      </c>
      <c r="T613" s="16">
        <f>IF(OR($A613="",L613="",$C613=""),"",IF(COUNTIFS($A$5:$A$639,$A613,$C$5:$C$639,$C613-1,$D$5:$D$639,$D613,L$5:L$639,"&lt;&gt;")=0,"",IF(OR(SUMIFS(L$5:L$639,$A$5:$A$639,$A613,$C$5:$C$639,$C613-1,$D$5:$D$639,$D613)=0,L613*SUMIFS(L$5:L$639,$A$5:$A$639,$A613,$C$5:$C$639,$C613-1,$D$5:$D$639,$D613)&lt;0),"n.s.",ABS(L613)/ABS(SUMIFS(L$5:L$639,$A$5:$A$639,$A613,$C$5:$C$639,$C613-1,$D$5:$D$639,$D613))-1)))</f>
        <v/>
      </c>
      <c r="U613" s="16">
        <f>IF(OR($A613="",M613="",$C613=""),"",IF(COUNTIFS($A$5:$A$639,$A613,$C$5:$C$639,$C613-1,$D$5:$D$639,$D613,M$5:M$639,"&lt;&gt;")=0,"",IF(OR(SUMIFS(M$5:M$639,$A$5:$A$639,$A613,$C$5:$C$639,$C613-1,$D$5:$D$639,$D613)=0,M613*SUMIFS(M$5:M$639,$A$5:$A$639,$A613,$C$5:$C$639,$C613-1,$D$5:$D$639,$D613)&lt;0),"n.s.",ABS(M613)/ABS(SUMIFS(M$5:M$639,$A$5:$A$639,$A613,$C$5:$C$639,$C613-1,$D$5:$D$639,$D613))-1)))</f>
        <v/>
      </c>
    </row>
    <row r="614">
      <c r="A614" s="9" t="n"/>
      <c r="B614" s="10">
        <f>IF(A614="","",IFERROR(VLOOKUP(A614,Titres!$A$2:$B$400,2,FALSE),"Ticker inconnu"))</f>
        <v/>
      </c>
      <c r="C614" s="11" t="n"/>
      <c r="D614" s="11" t="n"/>
      <c r="E614" s="9" t="n"/>
      <c r="F614" s="12" t="n"/>
      <c r="G614" s="9" t="n"/>
      <c r="H614" s="13" t="n"/>
      <c r="I614" s="13" t="n"/>
      <c r="J614" s="13" t="n"/>
      <c r="K614" s="13" t="n"/>
      <c r="L614" s="13" t="n"/>
      <c r="M614" s="13" t="n"/>
      <c r="N614" s="14">
        <f>IF(A614="","",COUNT(H614:M614)/6)</f>
        <v/>
      </c>
      <c r="O614" s="15">
        <f>IF(COUNT(H614:M614)=0,"",IF(LEN(IF(COUNT(I614,J614)=2,IF(J614&gt;I614+1,"EBE &gt; VA ",""),"")&amp;IF(COUNT(H614,M614)=2,IF(ABS(M614)&gt;ABS(H614),"RN &gt; CA ",""),"")&amp;IF(COUNT(H614,K614)=2,IF(ABS(K614)&gt;ABS(H614),"RE &gt; CA ",""),""))=0,"OK",IF(COUNT(I614,J614)=2,IF(J614&gt;I614+1,"EBE &gt; VA ",""),"")&amp;IF(COUNT(H614,M614)=2,IF(ABS(M614)&gt;ABS(H614),"RN &gt; CA ",""),"")&amp;IF(COUNT(H614,K614)=2,IF(ABS(K614)&gt;ABS(H614),"RE &gt; CA ",""),"")))</f>
        <v/>
      </c>
      <c r="P614" s="16">
        <f>IF(OR($A614="",H614="",$C614=""),"",IF(COUNTIFS($A$5:$A$639,$A614,$C$5:$C$639,$C614-1,$D$5:$D$639,$D614,H$5:H$639,"&lt;&gt;")=0,"",IF(OR(SUMIFS(H$5:H$639,$A$5:$A$639,$A614,$C$5:$C$639,$C614-1,$D$5:$D$639,$D614)=0,H614*SUMIFS(H$5:H$639,$A$5:$A$639,$A614,$C$5:$C$639,$C614-1,$D$5:$D$639,$D614)&lt;0),"n.s.",ABS(H614)/ABS(SUMIFS(H$5:H$639,$A$5:$A$639,$A614,$C$5:$C$639,$C614-1,$D$5:$D$639,$D614))-1)))</f>
        <v/>
      </c>
      <c r="Q614" s="16">
        <f>IF(OR($A614="",I614="",$C614=""),"",IF(COUNTIFS($A$5:$A$639,$A614,$C$5:$C$639,$C614-1,$D$5:$D$639,$D614,I$5:I$639,"&lt;&gt;")=0,"",IF(OR(SUMIFS(I$5:I$639,$A$5:$A$639,$A614,$C$5:$C$639,$C614-1,$D$5:$D$639,$D614)=0,I614*SUMIFS(I$5:I$639,$A$5:$A$639,$A614,$C$5:$C$639,$C614-1,$D$5:$D$639,$D614)&lt;0),"n.s.",ABS(I614)/ABS(SUMIFS(I$5:I$639,$A$5:$A$639,$A614,$C$5:$C$639,$C614-1,$D$5:$D$639,$D614))-1)))</f>
        <v/>
      </c>
      <c r="R614" s="16">
        <f>IF(OR($A614="",J614="",$C614=""),"",IF(COUNTIFS($A$5:$A$639,$A614,$C$5:$C$639,$C614-1,$D$5:$D$639,$D614,J$5:J$639,"&lt;&gt;")=0,"",IF(OR(SUMIFS(J$5:J$639,$A$5:$A$639,$A614,$C$5:$C$639,$C614-1,$D$5:$D$639,$D614)=0,J614*SUMIFS(J$5:J$639,$A$5:$A$639,$A614,$C$5:$C$639,$C614-1,$D$5:$D$639,$D614)&lt;0),"n.s.",ABS(J614)/ABS(SUMIFS(J$5:J$639,$A$5:$A$639,$A614,$C$5:$C$639,$C614-1,$D$5:$D$639,$D614))-1)))</f>
        <v/>
      </c>
      <c r="S614" s="16">
        <f>IF(OR($A614="",K614="",$C614=""),"",IF(COUNTIFS($A$5:$A$639,$A614,$C$5:$C$639,$C614-1,$D$5:$D$639,$D614,K$5:K$639,"&lt;&gt;")=0,"",IF(OR(SUMIFS(K$5:K$639,$A$5:$A$639,$A614,$C$5:$C$639,$C614-1,$D$5:$D$639,$D614)=0,K614*SUMIFS(K$5:K$639,$A$5:$A$639,$A614,$C$5:$C$639,$C614-1,$D$5:$D$639,$D614)&lt;0),"n.s.",ABS(K614)/ABS(SUMIFS(K$5:K$639,$A$5:$A$639,$A614,$C$5:$C$639,$C614-1,$D$5:$D$639,$D614))-1)))</f>
        <v/>
      </c>
      <c r="T614" s="16">
        <f>IF(OR($A614="",L614="",$C614=""),"",IF(COUNTIFS($A$5:$A$639,$A614,$C$5:$C$639,$C614-1,$D$5:$D$639,$D614,L$5:L$639,"&lt;&gt;")=0,"",IF(OR(SUMIFS(L$5:L$639,$A$5:$A$639,$A614,$C$5:$C$639,$C614-1,$D$5:$D$639,$D614)=0,L614*SUMIFS(L$5:L$639,$A$5:$A$639,$A614,$C$5:$C$639,$C614-1,$D$5:$D$639,$D614)&lt;0),"n.s.",ABS(L614)/ABS(SUMIFS(L$5:L$639,$A$5:$A$639,$A614,$C$5:$C$639,$C614-1,$D$5:$D$639,$D614))-1)))</f>
        <v/>
      </c>
      <c r="U614" s="16">
        <f>IF(OR($A614="",M614="",$C614=""),"",IF(COUNTIFS($A$5:$A$639,$A614,$C$5:$C$639,$C614-1,$D$5:$D$639,$D614,M$5:M$639,"&lt;&gt;")=0,"",IF(OR(SUMIFS(M$5:M$639,$A$5:$A$639,$A614,$C$5:$C$639,$C614-1,$D$5:$D$639,$D614)=0,M614*SUMIFS(M$5:M$639,$A$5:$A$639,$A614,$C$5:$C$639,$C614-1,$D$5:$D$639,$D614)&lt;0),"n.s.",ABS(M614)/ABS(SUMIFS(M$5:M$639,$A$5:$A$639,$A614,$C$5:$C$639,$C614-1,$D$5:$D$639,$D614))-1)))</f>
        <v/>
      </c>
    </row>
    <row r="615">
      <c r="A615" s="9" t="n"/>
      <c r="B615" s="10">
        <f>IF(A615="","",IFERROR(VLOOKUP(A615,Titres!$A$2:$B$400,2,FALSE),"Ticker inconnu"))</f>
        <v/>
      </c>
      <c r="C615" s="11" t="n"/>
      <c r="D615" s="11" t="n"/>
      <c r="E615" s="9" t="n"/>
      <c r="F615" s="12" t="n"/>
      <c r="G615" s="9" t="n"/>
      <c r="H615" s="13" t="n"/>
      <c r="I615" s="13" t="n"/>
      <c r="J615" s="13" t="n"/>
      <c r="K615" s="13" t="n"/>
      <c r="L615" s="13" t="n"/>
      <c r="M615" s="13" t="n"/>
      <c r="N615" s="14">
        <f>IF(A615="","",COUNT(H615:M615)/6)</f>
        <v/>
      </c>
      <c r="O615" s="15">
        <f>IF(COUNT(H615:M615)=0,"",IF(LEN(IF(COUNT(I615,J615)=2,IF(J615&gt;I615+1,"EBE &gt; VA ",""),"")&amp;IF(COUNT(H615,M615)=2,IF(ABS(M615)&gt;ABS(H615),"RN &gt; CA ",""),"")&amp;IF(COUNT(H615,K615)=2,IF(ABS(K615)&gt;ABS(H615),"RE &gt; CA ",""),""))=0,"OK",IF(COUNT(I615,J615)=2,IF(J615&gt;I615+1,"EBE &gt; VA ",""),"")&amp;IF(COUNT(H615,M615)=2,IF(ABS(M615)&gt;ABS(H615),"RN &gt; CA ",""),"")&amp;IF(COUNT(H615,K615)=2,IF(ABS(K615)&gt;ABS(H615),"RE &gt; CA ",""),"")))</f>
        <v/>
      </c>
      <c r="P615" s="16">
        <f>IF(OR($A615="",H615="",$C615=""),"",IF(COUNTIFS($A$5:$A$639,$A615,$C$5:$C$639,$C615-1,$D$5:$D$639,$D615,H$5:H$639,"&lt;&gt;")=0,"",IF(OR(SUMIFS(H$5:H$639,$A$5:$A$639,$A615,$C$5:$C$639,$C615-1,$D$5:$D$639,$D615)=0,H615*SUMIFS(H$5:H$639,$A$5:$A$639,$A615,$C$5:$C$639,$C615-1,$D$5:$D$639,$D615)&lt;0),"n.s.",ABS(H615)/ABS(SUMIFS(H$5:H$639,$A$5:$A$639,$A615,$C$5:$C$639,$C615-1,$D$5:$D$639,$D615))-1)))</f>
        <v/>
      </c>
      <c r="Q615" s="16">
        <f>IF(OR($A615="",I615="",$C615=""),"",IF(COUNTIFS($A$5:$A$639,$A615,$C$5:$C$639,$C615-1,$D$5:$D$639,$D615,I$5:I$639,"&lt;&gt;")=0,"",IF(OR(SUMIFS(I$5:I$639,$A$5:$A$639,$A615,$C$5:$C$639,$C615-1,$D$5:$D$639,$D615)=0,I615*SUMIFS(I$5:I$639,$A$5:$A$639,$A615,$C$5:$C$639,$C615-1,$D$5:$D$639,$D615)&lt;0),"n.s.",ABS(I615)/ABS(SUMIFS(I$5:I$639,$A$5:$A$639,$A615,$C$5:$C$639,$C615-1,$D$5:$D$639,$D615))-1)))</f>
        <v/>
      </c>
      <c r="R615" s="16">
        <f>IF(OR($A615="",J615="",$C615=""),"",IF(COUNTIFS($A$5:$A$639,$A615,$C$5:$C$639,$C615-1,$D$5:$D$639,$D615,J$5:J$639,"&lt;&gt;")=0,"",IF(OR(SUMIFS(J$5:J$639,$A$5:$A$639,$A615,$C$5:$C$639,$C615-1,$D$5:$D$639,$D615)=0,J615*SUMIFS(J$5:J$639,$A$5:$A$639,$A615,$C$5:$C$639,$C615-1,$D$5:$D$639,$D615)&lt;0),"n.s.",ABS(J615)/ABS(SUMIFS(J$5:J$639,$A$5:$A$639,$A615,$C$5:$C$639,$C615-1,$D$5:$D$639,$D615))-1)))</f>
        <v/>
      </c>
      <c r="S615" s="16">
        <f>IF(OR($A615="",K615="",$C615=""),"",IF(COUNTIFS($A$5:$A$639,$A615,$C$5:$C$639,$C615-1,$D$5:$D$639,$D615,K$5:K$639,"&lt;&gt;")=0,"",IF(OR(SUMIFS(K$5:K$639,$A$5:$A$639,$A615,$C$5:$C$639,$C615-1,$D$5:$D$639,$D615)=0,K615*SUMIFS(K$5:K$639,$A$5:$A$639,$A615,$C$5:$C$639,$C615-1,$D$5:$D$639,$D615)&lt;0),"n.s.",ABS(K615)/ABS(SUMIFS(K$5:K$639,$A$5:$A$639,$A615,$C$5:$C$639,$C615-1,$D$5:$D$639,$D615))-1)))</f>
        <v/>
      </c>
      <c r="T615" s="16">
        <f>IF(OR($A615="",L615="",$C615=""),"",IF(COUNTIFS($A$5:$A$639,$A615,$C$5:$C$639,$C615-1,$D$5:$D$639,$D615,L$5:L$639,"&lt;&gt;")=0,"",IF(OR(SUMIFS(L$5:L$639,$A$5:$A$639,$A615,$C$5:$C$639,$C615-1,$D$5:$D$639,$D615)=0,L615*SUMIFS(L$5:L$639,$A$5:$A$639,$A615,$C$5:$C$639,$C615-1,$D$5:$D$639,$D615)&lt;0),"n.s.",ABS(L615)/ABS(SUMIFS(L$5:L$639,$A$5:$A$639,$A615,$C$5:$C$639,$C615-1,$D$5:$D$639,$D615))-1)))</f>
        <v/>
      </c>
      <c r="U615" s="16">
        <f>IF(OR($A615="",M615="",$C615=""),"",IF(COUNTIFS($A$5:$A$639,$A615,$C$5:$C$639,$C615-1,$D$5:$D$639,$D615,M$5:M$639,"&lt;&gt;")=0,"",IF(OR(SUMIFS(M$5:M$639,$A$5:$A$639,$A615,$C$5:$C$639,$C615-1,$D$5:$D$639,$D615)=0,M615*SUMIFS(M$5:M$639,$A$5:$A$639,$A615,$C$5:$C$639,$C615-1,$D$5:$D$639,$D615)&lt;0),"n.s.",ABS(M615)/ABS(SUMIFS(M$5:M$639,$A$5:$A$639,$A615,$C$5:$C$639,$C615-1,$D$5:$D$639,$D615))-1)))</f>
        <v/>
      </c>
    </row>
    <row r="616">
      <c r="A616" s="9" t="n"/>
      <c r="B616" s="10">
        <f>IF(A616="","",IFERROR(VLOOKUP(A616,Titres!$A$2:$B$400,2,FALSE),"Ticker inconnu"))</f>
        <v/>
      </c>
      <c r="C616" s="11" t="n"/>
      <c r="D616" s="11" t="n"/>
      <c r="E616" s="9" t="n"/>
      <c r="F616" s="12" t="n"/>
      <c r="G616" s="9" t="n"/>
      <c r="H616" s="13" t="n"/>
      <c r="I616" s="13" t="n"/>
      <c r="J616" s="13" t="n"/>
      <c r="K616" s="13" t="n"/>
      <c r="L616" s="13" t="n"/>
      <c r="M616" s="13" t="n"/>
      <c r="N616" s="14">
        <f>IF(A616="","",COUNT(H616:M616)/6)</f>
        <v/>
      </c>
      <c r="O616" s="15">
        <f>IF(COUNT(H616:M616)=0,"",IF(LEN(IF(COUNT(I616,J616)=2,IF(J616&gt;I616+1,"EBE &gt; VA ",""),"")&amp;IF(COUNT(H616,M616)=2,IF(ABS(M616)&gt;ABS(H616),"RN &gt; CA ",""),"")&amp;IF(COUNT(H616,K616)=2,IF(ABS(K616)&gt;ABS(H616),"RE &gt; CA ",""),""))=0,"OK",IF(COUNT(I616,J616)=2,IF(J616&gt;I616+1,"EBE &gt; VA ",""),"")&amp;IF(COUNT(H616,M616)=2,IF(ABS(M616)&gt;ABS(H616),"RN &gt; CA ",""),"")&amp;IF(COUNT(H616,K616)=2,IF(ABS(K616)&gt;ABS(H616),"RE &gt; CA ",""),"")))</f>
        <v/>
      </c>
      <c r="P616" s="16">
        <f>IF(OR($A616="",H616="",$C616=""),"",IF(COUNTIFS($A$5:$A$639,$A616,$C$5:$C$639,$C616-1,$D$5:$D$639,$D616,H$5:H$639,"&lt;&gt;")=0,"",IF(OR(SUMIFS(H$5:H$639,$A$5:$A$639,$A616,$C$5:$C$639,$C616-1,$D$5:$D$639,$D616)=0,H616*SUMIFS(H$5:H$639,$A$5:$A$639,$A616,$C$5:$C$639,$C616-1,$D$5:$D$639,$D616)&lt;0),"n.s.",ABS(H616)/ABS(SUMIFS(H$5:H$639,$A$5:$A$639,$A616,$C$5:$C$639,$C616-1,$D$5:$D$639,$D616))-1)))</f>
        <v/>
      </c>
      <c r="Q616" s="16">
        <f>IF(OR($A616="",I616="",$C616=""),"",IF(COUNTIFS($A$5:$A$639,$A616,$C$5:$C$639,$C616-1,$D$5:$D$639,$D616,I$5:I$639,"&lt;&gt;")=0,"",IF(OR(SUMIFS(I$5:I$639,$A$5:$A$639,$A616,$C$5:$C$639,$C616-1,$D$5:$D$639,$D616)=0,I616*SUMIFS(I$5:I$639,$A$5:$A$639,$A616,$C$5:$C$639,$C616-1,$D$5:$D$639,$D616)&lt;0),"n.s.",ABS(I616)/ABS(SUMIFS(I$5:I$639,$A$5:$A$639,$A616,$C$5:$C$639,$C616-1,$D$5:$D$639,$D616))-1)))</f>
        <v/>
      </c>
      <c r="R616" s="16">
        <f>IF(OR($A616="",J616="",$C616=""),"",IF(COUNTIFS($A$5:$A$639,$A616,$C$5:$C$639,$C616-1,$D$5:$D$639,$D616,J$5:J$639,"&lt;&gt;")=0,"",IF(OR(SUMIFS(J$5:J$639,$A$5:$A$639,$A616,$C$5:$C$639,$C616-1,$D$5:$D$639,$D616)=0,J616*SUMIFS(J$5:J$639,$A$5:$A$639,$A616,$C$5:$C$639,$C616-1,$D$5:$D$639,$D616)&lt;0),"n.s.",ABS(J616)/ABS(SUMIFS(J$5:J$639,$A$5:$A$639,$A616,$C$5:$C$639,$C616-1,$D$5:$D$639,$D616))-1)))</f>
        <v/>
      </c>
      <c r="S616" s="16">
        <f>IF(OR($A616="",K616="",$C616=""),"",IF(COUNTIFS($A$5:$A$639,$A616,$C$5:$C$639,$C616-1,$D$5:$D$639,$D616,K$5:K$639,"&lt;&gt;")=0,"",IF(OR(SUMIFS(K$5:K$639,$A$5:$A$639,$A616,$C$5:$C$639,$C616-1,$D$5:$D$639,$D616)=0,K616*SUMIFS(K$5:K$639,$A$5:$A$639,$A616,$C$5:$C$639,$C616-1,$D$5:$D$639,$D616)&lt;0),"n.s.",ABS(K616)/ABS(SUMIFS(K$5:K$639,$A$5:$A$639,$A616,$C$5:$C$639,$C616-1,$D$5:$D$639,$D616))-1)))</f>
        <v/>
      </c>
      <c r="T616" s="16">
        <f>IF(OR($A616="",L616="",$C616=""),"",IF(COUNTIFS($A$5:$A$639,$A616,$C$5:$C$639,$C616-1,$D$5:$D$639,$D616,L$5:L$639,"&lt;&gt;")=0,"",IF(OR(SUMIFS(L$5:L$639,$A$5:$A$639,$A616,$C$5:$C$639,$C616-1,$D$5:$D$639,$D616)=0,L616*SUMIFS(L$5:L$639,$A$5:$A$639,$A616,$C$5:$C$639,$C616-1,$D$5:$D$639,$D616)&lt;0),"n.s.",ABS(L616)/ABS(SUMIFS(L$5:L$639,$A$5:$A$639,$A616,$C$5:$C$639,$C616-1,$D$5:$D$639,$D616))-1)))</f>
        <v/>
      </c>
      <c r="U616" s="16">
        <f>IF(OR($A616="",M616="",$C616=""),"",IF(COUNTIFS($A$5:$A$639,$A616,$C$5:$C$639,$C616-1,$D$5:$D$639,$D616,M$5:M$639,"&lt;&gt;")=0,"",IF(OR(SUMIFS(M$5:M$639,$A$5:$A$639,$A616,$C$5:$C$639,$C616-1,$D$5:$D$639,$D616)=0,M616*SUMIFS(M$5:M$639,$A$5:$A$639,$A616,$C$5:$C$639,$C616-1,$D$5:$D$639,$D616)&lt;0),"n.s.",ABS(M616)/ABS(SUMIFS(M$5:M$639,$A$5:$A$639,$A616,$C$5:$C$639,$C616-1,$D$5:$D$639,$D616))-1)))</f>
        <v/>
      </c>
    </row>
    <row r="617">
      <c r="A617" s="9" t="n"/>
      <c r="B617" s="10">
        <f>IF(A617="","",IFERROR(VLOOKUP(A617,Titres!$A$2:$B$400,2,FALSE),"Ticker inconnu"))</f>
        <v/>
      </c>
      <c r="C617" s="11" t="n"/>
      <c r="D617" s="11" t="n"/>
      <c r="E617" s="9" t="n"/>
      <c r="F617" s="12" t="n"/>
      <c r="G617" s="9" t="n"/>
      <c r="H617" s="13" t="n"/>
      <c r="I617" s="13" t="n"/>
      <c r="J617" s="13" t="n"/>
      <c r="K617" s="13" t="n"/>
      <c r="L617" s="13" t="n"/>
      <c r="M617" s="13" t="n"/>
      <c r="N617" s="14">
        <f>IF(A617="","",COUNT(H617:M617)/6)</f>
        <v/>
      </c>
      <c r="O617" s="15">
        <f>IF(COUNT(H617:M617)=0,"",IF(LEN(IF(COUNT(I617,J617)=2,IF(J617&gt;I617+1,"EBE &gt; VA ",""),"")&amp;IF(COUNT(H617,M617)=2,IF(ABS(M617)&gt;ABS(H617),"RN &gt; CA ",""),"")&amp;IF(COUNT(H617,K617)=2,IF(ABS(K617)&gt;ABS(H617),"RE &gt; CA ",""),""))=0,"OK",IF(COUNT(I617,J617)=2,IF(J617&gt;I617+1,"EBE &gt; VA ",""),"")&amp;IF(COUNT(H617,M617)=2,IF(ABS(M617)&gt;ABS(H617),"RN &gt; CA ",""),"")&amp;IF(COUNT(H617,K617)=2,IF(ABS(K617)&gt;ABS(H617),"RE &gt; CA ",""),"")))</f>
        <v/>
      </c>
      <c r="P617" s="16">
        <f>IF(OR($A617="",H617="",$C617=""),"",IF(COUNTIFS($A$5:$A$639,$A617,$C$5:$C$639,$C617-1,$D$5:$D$639,$D617,H$5:H$639,"&lt;&gt;")=0,"",IF(OR(SUMIFS(H$5:H$639,$A$5:$A$639,$A617,$C$5:$C$639,$C617-1,$D$5:$D$639,$D617)=0,H617*SUMIFS(H$5:H$639,$A$5:$A$639,$A617,$C$5:$C$639,$C617-1,$D$5:$D$639,$D617)&lt;0),"n.s.",ABS(H617)/ABS(SUMIFS(H$5:H$639,$A$5:$A$639,$A617,$C$5:$C$639,$C617-1,$D$5:$D$639,$D617))-1)))</f>
        <v/>
      </c>
      <c r="Q617" s="16">
        <f>IF(OR($A617="",I617="",$C617=""),"",IF(COUNTIFS($A$5:$A$639,$A617,$C$5:$C$639,$C617-1,$D$5:$D$639,$D617,I$5:I$639,"&lt;&gt;")=0,"",IF(OR(SUMIFS(I$5:I$639,$A$5:$A$639,$A617,$C$5:$C$639,$C617-1,$D$5:$D$639,$D617)=0,I617*SUMIFS(I$5:I$639,$A$5:$A$639,$A617,$C$5:$C$639,$C617-1,$D$5:$D$639,$D617)&lt;0),"n.s.",ABS(I617)/ABS(SUMIFS(I$5:I$639,$A$5:$A$639,$A617,$C$5:$C$639,$C617-1,$D$5:$D$639,$D617))-1)))</f>
        <v/>
      </c>
      <c r="R617" s="16">
        <f>IF(OR($A617="",J617="",$C617=""),"",IF(COUNTIFS($A$5:$A$639,$A617,$C$5:$C$639,$C617-1,$D$5:$D$639,$D617,J$5:J$639,"&lt;&gt;")=0,"",IF(OR(SUMIFS(J$5:J$639,$A$5:$A$639,$A617,$C$5:$C$639,$C617-1,$D$5:$D$639,$D617)=0,J617*SUMIFS(J$5:J$639,$A$5:$A$639,$A617,$C$5:$C$639,$C617-1,$D$5:$D$639,$D617)&lt;0),"n.s.",ABS(J617)/ABS(SUMIFS(J$5:J$639,$A$5:$A$639,$A617,$C$5:$C$639,$C617-1,$D$5:$D$639,$D617))-1)))</f>
        <v/>
      </c>
      <c r="S617" s="16">
        <f>IF(OR($A617="",K617="",$C617=""),"",IF(COUNTIFS($A$5:$A$639,$A617,$C$5:$C$639,$C617-1,$D$5:$D$639,$D617,K$5:K$639,"&lt;&gt;")=0,"",IF(OR(SUMIFS(K$5:K$639,$A$5:$A$639,$A617,$C$5:$C$639,$C617-1,$D$5:$D$639,$D617)=0,K617*SUMIFS(K$5:K$639,$A$5:$A$639,$A617,$C$5:$C$639,$C617-1,$D$5:$D$639,$D617)&lt;0),"n.s.",ABS(K617)/ABS(SUMIFS(K$5:K$639,$A$5:$A$639,$A617,$C$5:$C$639,$C617-1,$D$5:$D$639,$D617))-1)))</f>
        <v/>
      </c>
      <c r="T617" s="16">
        <f>IF(OR($A617="",L617="",$C617=""),"",IF(COUNTIFS($A$5:$A$639,$A617,$C$5:$C$639,$C617-1,$D$5:$D$639,$D617,L$5:L$639,"&lt;&gt;")=0,"",IF(OR(SUMIFS(L$5:L$639,$A$5:$A$639,$A617,$C$5:$C$639,$C617-1,$D$5:$D$639,$D617)=0,L617*SUMIFS(L$5:L$639,$A$5:$A$639,$A617,$C$5:$C$639,$C617-1,$D$5:$D$639,$D617)&lt;0),"n.s.",ABS(L617)/ABS(SUMIFS(L$5:L$639,$A$5:$A$639,$A617,$C$5:$C$639,$C617-1,$D$5:$D$639,$D617))-1)))</f>
        <v/>
      </c>
      <c r="U617" s="16">
        <f>IF(OR($A617="",M617="",$C617=""),"",IF(COUNTIFS($A$5:$A$639,$A617,$C$5:$C$639,$C617-1,$D$5:$D$639,$D617,M$5:M$639,"&lt;&gt;")=0,"",IF(OR(SUMIFS(M$5:M$639,$A$5:$A$639,$A617,$C$5:$C$639,$C617-1,$D$5:$D$639,$D617)=0,M617*SUMIFS(M$5:M$639,$A$5:$A$639,$A617,$C$5:$C$639,$C617-1,$D$5:$D$639,$D617)&lt;0),"n.s.",ABS(M617)/ABS(SUMIFS(M$5:M$639,$A$5:$A$639,$A617,$C$5:$C$639,$C617-1,$D$5:$D$639,$D617))-1)))</f>
        <v/>
      </c>
    </row>
    <row r="618">
      <c r="A618" s="9" t="n"/>
      <c r="B618" s="10">
        <f>IF(A618="","",IFERROR(VLOOKUP(A618,Titres!$A$2:$B$400,2,FALSE),"Ticker inconnu"))</f>
        <v/>
      </c>
      <c r="C618" s="11" t="n"/>
      <c r="D618" s="11" t="n"/>
      <c r="E618" s="9" t="n"/>
      <c r="F618" s="12" t="n"/>
      <c r="G618" s="9" t="n"/>
      <c r="H618" s="13" t="n"/>
      <c r="I618" s="13" t="n"/>
      <c r="J618" s="13" t="n"/>
      <c r="K618" s="13" t="n"/>
      <c r="L618" s="13" t="n"/>
      <c r="M618" s="13" t="n"/>
      <c r="N618" s="14">
        <f>IF(A618="","",COUNT(H618:M618)/6)</f>
        <v/>
      </c>
      <c r="O618" s="15">
        <f>IF(COUNT(H618:M618)=0,"",IF(LEN(IF(COUNT(I618,J618)=2,IF(J618&gt;I618+1,"EBE &gt; VA ",""),"")&amp;IF(COUNT(H618,M618)=2,IF(ABS(M618)&gt;ABS(H618),"RN &gt; CA ",""),"")&amp;IF(COUNT(H618,K618)=2,IF(ABS(K618)&gt;ABS(H618),"RE &gt; CA ",""),""))=0,"OK",IF(COUNT(I618,J618)=2,IF(J618&gt;I618+1,"EBE &gt; VA ",""),"")&amp;IF(COUNT(H618,M618)=2,IF(ABS(M618)&gt;ABS(H618),"RN &gt; CA ",""),"")&amp;IF(COUNT(H618,K618)=2,IF(ABS(K618)&gt;ABS(H618),"RE &gt; CA ",""),"")))</f>
        <v/>
      </c>
      <c r="P618" s="16">
        <f>IF(OR($A618="",H618="",$C618=""),"",IF(COUNTIFS($A$5:$A$639,$A618,$C$5:$C$639,$C618-1,$D$5:$D$639,$D618,H$5:H$639,"&lt;&gt;")=0,"",IF(OR(SUMIFS(H$5:H$639,$A$5:$A$639,$A618,$C$5:$C$639,$C618-1,$D$5:$D$639,$D618)=0,H618*SUMIFS(H$5:H$639,$A$5:$A$639,$A618,$C$5:$C$639,$C618-1,$D$5:$D$639,$D618)&lt;0),"n.s.",ABS(H618)/ABS(SUMIFS(H$5:H$639,$A$5:$A$639,$A618,$C$5:$C$639,$C618-1,$D$5:$D$639,$D618))-1)))</f>
        <v/>
      </c>
      <c r="Q618" s="16">
        <f>IF(OR($A618="",I618="",$C618=""),"",IF(COUNTIFS($A$5:$A$639,$A618,$C$5:$C$639,$C618-1,$D$5:$D$639,$D618,I$5:I$639,"&lt;&gt;")=0,"",IF(OR(SUMIFS(I$5:I$639,$A$5:$A$639,$A618,$C$5:$C$639,$C618-1,$D$5:$D$639,$D618)=0,I618*SUMIFS(I$5:I$639,$A$5:$A$639,$A618,$C$5:$C$639,$C618-1,$D$5:$D$639,$D618)&lt;0),"n.s.",ABS(I618)/ABS(SUMIFS(I$5:I$639,$A$5:$A$639,$A618,$C$5:$C$639,$C618-1,$D$5:$D$639,$D618))-1)))</f>
        <v/>
      </c>
      <c r="R618" s="16">
        <f>IF(OR($A618="",J618="",$C618=""),"",IF(COUNTIFS($A$5:$A$639,$A618,$C$5:$C$639,$C618-1,$D$5:$D$639,$D618,J$5:J$639,"&lt;&gt;")=0,"",IF(OR(SUMIFS(J$5:J$639,$A$5:$A$639,$A618,$C$5:$C$639,$C618-1,$D$5:$D$639,$D618)=0,J618*SUMIFS(J$5:J$639,$A$5:$A$639,$A618,$C$5:$C$639,$C618-1,$D$5:$D$639,$D618)&lt;0),"n.s.",ABS(J618)/ABS(SUMIFS(J$5:J$639,$A$5:$A$639,$A618,$C$5:$C$639,$C618-1,$D$5:$D$639,$D618))-1)))</f>
        <v/>
      </c>
      <c r="S618" s="16">
        <f>IF(OR($A618="",K618="",$C618=""),"",IF(COUNTIFS($A$5:$A$639,$A618,$C$5:$C$639,$C618-1,$D$5:$D$639,$D618,K$5:K$639,"&lt;&gt;")=0,"",IF(OR(SUMIFS(K$5:K$639,$A$5:$A$639,$A618,$C$5:$C$639,$C618-1,$D$5:$D$639,$D618)=0,K618*SUMIFS(K$5:K$639,$A$5:$A$639,$A618,$C$5:$C$639,$C618-1,$D$5:$D$639,$D618)&lt;0),"n.s.",ABS(K618)/ABS(SUMIFS(K$5:K$639,$A$5:$A$639,$A618,$C$5:$C$639,$C618-1,$D$5:$D$639,$D618))-1)))</f>
        <v/>
      </c>
      <c r="T618" s="16">
        <f>IF(OR($A618="",L618="",$C618=""),"",IF(COUNTIFS($A$5:$A$639,$A618,$C$5:$C$639,$C618-1,$D$5:$D$639,$D618,L$5:L$639,"&lt;&gt;")=0,"",IF(OR(SUMIFS(L$5:L$639,$A$5:$A$639,$A618,$C$5:$C$639,$C618-1,$D$5:$D$639,$D618)=0,L618*SUMIFS(L$5:L$639,$A$5:$A$639,$A618,$C$5:$C$639,$C618-1,$D$5:$D$639,$D618)&lt;0),"n.s.",ABS(L618)/ABS(SUMIFS(L$5:L$639,$A$5:$A$639,$A618,$C$5:$C$639,$C618-1,$D$5:$D$639,$D618))-1)))</f>
        <v/>
      </c>
      <c r="U618" s="16">
        <f>IF(OR($A618="",M618="",$C618=""),"",IF(COUNTIFS($A$5:$A$639,$A618,$C$5:$C$639,$C618-1,$D$5:$D$639,$D618,M$5:M$639,"&lt;&gt;")=0,"",IF(OR(SUMIFS(M$5:M$639,$A$5:$A$639,$A618,$C$5:$C$639,$C618-1,$D$5:$D$639,$D618)=0,M618*SUMIFS(M$5:M$639,$A$5:$A$639,$A618,$C$5:$C$639,$C618-1,$D$5:$D$639,$D618)&lt;0),"n.s.",ABS(M618)/ABS(SUMIFS(M$5:M$639,$A$5:$A$639,$A618,$C$5:$C$639,$C618-1,$D$5:$D$639,$D618))-1)))</f>
        <v/>
      </c>
    </row>
    <row r="619">
      <c r="A619" s="9" t="n"/>
      <c r="B619" s="10">
        <f>IF(A619="","",IFERROR(VLOOKUP(A619,Titres!$A$2:$B$400,2,FALSE),"Ticker inconnu"))</f>
        <v/>
      </c>
      <c r="C619" s="11" t="n"/>
      <c r="D619" s="11" t="n"/>
      <c r="E619" s="9" t="n"/>
      <c r="F619" s="12" t="n"/>
      <c r="G619" s="9" t="n"/>
      <c r="H619" s="13" t="n"/>
      <c r="I619" s="13" t="n"/>
      <c r="J619" s="13" t="n"/>
      <c r="K619" s="13" t="n"/>
      <c r="L619" s="13" t="n"/>
      <c r="M619" s="13" t="n"/>
      <c r="N619" s="14">
        <f>IF(A619="","",COUNT(H619:M619)/6)</f>
        <v/>
      </c>
      <c r="O619" s="15">
        <f>IF(COUNT(H619:M619)=0,"",IF(LEN(IF(COUNT(I619,J619)=2,IF(J619&gt;I619+1,"EBE &gt; VA ",""),"")&amp;IF(COUNT(H619,M619)=2,IF(ABS(M619)&gt;ABS(H619),"RN &gt; CA ",""),"")&amp;IF(COUNT(H619,K619)=2,IF(ABS(K619)&gt;ABS(H619),"RE &gt; CA ",""),""))=0,"OK",IF(COUNT(I619,J619)=2,IF(J619&gt;I619+1,"EBE &gt; VA ",""),"")&amp;IF(COUNT(H619,M619)=2,IF(ABS(M619)&gt;ABS(H619),"RN &gt; CA ",""),"")&amp;IF(COUNT(H619,K619)=2,IF(ABS(K619)&gt;ABS(H619),"RE &gt; CA ",""),"")))</f>
        <v/>
      </c>
      <c r="P619" s="16">
        <f>IF(OR($A619="",H619="",$C619=""),"",IF(COUNTIFS($A$5:$A$639,$A619,$C$5:$C$639,$C619-1,$D$5:$D$639,$D619,H$5:H$639,"&lt;&gt;")=0,"",IF(OR(SUMIFS(H$5:H$639,$A$5:$A$639,$A619,$C$5:$C$639,$C619-1,$D$5:$D$639,$D619)=0,H619*SUMIFS(H$5:H$639,$A$5:$A$639,$A619,$C$5:$C$639,$C619-1,$D$5:$D$639,$D619)&lt;0),"n.s.",ABS(H619)/ABS(SUMIFS(H$5:H$639,$A$5:$A$639,$A619,$C$5:$C$639,$C619-1,$D$5:$D$639,$D619))-1)))</f>
        <v/>
      </c>
      <c r="Q619" s="16">
        <f>IF(OR($A619="",I619="",$C619=""),"",IF(COUNTIFS($A$5:$A$639,$A619,$C$5:$C$639,$C619-1,$D$5:$D$639,$D619,I$5:I$639,"&lt;&gt;")=0,"",IF(OR(SUMIFS(I$5:I$639,$A$5:$A$639,$A619,$C$5:$C$639,$C619-1,$D$5:$D$639,$D619)=0,I619*SUMIFS(I$5:I$639,$A$5:$A$639,$A619,$C$5:$C$639,$C619-1,$D$5:$D$639,$D619)&lt;0),"n.s.",ABS(I619)/ABS(SUMIFS(I$5:I$639,$A$5:$A$639,$A619,$C$5:$C$639,$C619-1,$D$5:$D$639,$D619))-1)))</f>
        <v/>
      </c>
      <c r="R619" s="16">
        <f>IF(OR($A619="",J619="",$C619=""),"",IF(COUNTIFS($A$5:$A$639,$A619,$C$5:$C$639,$C619-1,$D$5:$D$639,$D619,J$5:J$639,"&lt;&gt;")=0,"",IF(OR(SUMIFS(J$5:J$639,$A$5:$A$639,$A619,$C$5:$C$639,$C619-1,$D$5:$D$639,$D619)=0,J619*SUMIFS(J$5:J$639,$A$5:$A$639,$A619,$C$5:$C$639,$C619-1,$D$5:$D$639,$D619)&lt;0),"n.s.",ABS(J619)/ABS(SUMIFS(J$5:J$639,$A$5:$A$639,$A619,$C$5:$C$639,$C619-1,$D$5:$D$639,$D619))-1)))</f>
        <v/>
      </c>
      <c r="S619" s="16">
        <f>IF(OR($A619="",K619="",$C619=""),"",IF(COUNTIFS($A$5:$A$639,$A619,$C$5:$C$639,$C619-1,$D$5:$D$639,$D619,K$5:K$639,"&lt;&gt;")=0,"",IF(OR(SUMIFS(K$5:K$639,$A$5:$A$639,$A619,$C$5:$C$639,$C619-1,$D$5:$D$639,$D619)=0,K619*SUMIFS(K$5:K$639,$A$5:$A$639,$A619,$C$5:$C$639,$C619-1,$D$5:$D$639,$D619)&lt;0),"n.s.",ABS(K619)/ABS(SUMIFS(K$5:K$639,$A$5:$A$639,$A619,$C$5:$C$639,$C619-1,$D$5:$D$639,$D619))-1)))</f>
        <v/>
      </c>
      <c r="T619" s="16">
        <f>IF(OR($A619="",L619="",$C619=""),"",IF(COUNTIFS($A$5:$A$639,$A619,$C$5:$C$639,$C619-1,$D$5:$D$639,$D619,L$5:L$639,"&lt;&gt;")=0,"",IF(OR(SUMIFS(L$5:L$639,$A$5:$A$639,$A619,$C$5:$C$639,$C619-1,$D$5:$D$639,$D619)=0,L619*SUMIFS(L$5:L$639,$A$5:$A$639,$A619,$C$5:$C$639,$C619-1,$D$5:$D$639,$D619)&lt;0),"n.s.",ABS(L619)/ABS(SUMIFS(L$5:L$639,$A$5:$A$639,$A619,$C$5:$C$639,$C619-1,$D$5:$D$639,$D619))-1)))</f>
        <v/>
      </c>
      <c r="U619" s="16">
        <f>IF(OR($A619="",M619="",$C619=""),"",IF(COUNTIFS($A$5:$A$639,$A619,$C$5:$C$639,$C619-1,$D$5:$D$639,$D619,M$5:M$639,"&lt;&gt;")=0,"",IF(OR(SUMIFS(M$5:M$639,$A$5:$A$639,$A619,$C$5:$C$639,$C619-1,$D$5:$D$639,$D619)=0,M619*SUMIFS(M$5:M$639,$A$5:$A$639,$A619,$C$5:$C$639,$C619-1,$D$5:$D$639,$D619)&lt;0),"n.s.",ABS(M619)/ABS(SUMIFS(M$5:M$639,$A$5:$A$639,$A619,$C$5:$C$639,$C619-1,$D$5:$D$639,$D619))-1)))</f>
        <v/>
      </c>
    </row>
    <row r="620">
      <c r="A620" s="9" t="n"/>
      <c r="B620" s="10">
        <f>IF(A620="","",IFERROR(VLOOKUP(A620,Titres!$A$2:$B$400,2,FALSE),"Ticker inconnu"))</f>
        <v/>
      </c>
      <c r="C620" s="11" t="n"/>
      <c r="D620" s="11" t="n"/>
      <c r="E620" s="9" t="n"/>
      <c r="F620" s="12" t="n"/>
      <c r="G620" s="9" t="n"/>
      <c r="H620" s="13" t="n"/>
      <c r="I620" s="13" t="n"/>
      <c r="J620" s="13" t="n"/>
      <c r="K620" s="13" t="n"/>
      <c r="L620" s="13" t="n"/>
      <c r="M620" s="13" t="n"/>
      <c r="N620" s="14">
        <f>IF(A620="","",COUNT(H620:M620)/6)</f>
        <v/>
      </c>
      <c r="O620" s="15">
        <f>IF(COUNT(H620:M620)=0,"",IF(LEN(IF(COUNT(I620,J620)=2,IF(J620&gt;I620+1,"EBE &gt; VA ",""),"")&amp;IF(COUNT(H620,M620)=2,IF(ABS(M620)&gt;ABS(H620),"RN &gt; CA ",""),"")&amp;IF(COUNT(H620,K620)=2,IF(ABS(K620)&gt;ABS(H620),"RE &gt; CA ",""),""))=0,"OK",IF(COUNT(I620,J620)=2,IF(J620&gt;I620+1,"EBE &gt; VA ",""),"")&amp;IF(COUNT(H620,M620)=2,IF(ABS(M620)&gt;ABS(H620),"RN &gt; CA ",""),"")&amp;IF(COUNT(H620,K620)=2,IF(ABS(K620)&gt;ABS(H620),"RE &gt; CA ",""),"")))</f>
        <v/>
      </c>
      <c r="P620" s="16">
        <f>IF(OR($A620="",H620="",$C620=""),"",IF(COUNTIFS($A$5:$A$639,$A620,$C$5:$C$639,$C620-1,$D$5:$D$639,$D620,H$5:H$639,"&lt;&gt;")=0,"",IF(OR(SUMIFS(H$5:H$639,$A$5:$A$639,$A620,$C$5:$C$639,$C620-1,$D$5:$D$639,$D620)=0,H620*SUMIFS(H$5:H$639,$A$5:$A$639,$A620,$C$5:$C$639,$C620-1,$D$5:$D$639,$D620)&lt;0),"n.s.",ABS(H620)/ABS(SUMIFS(H$5:H$639,$A$5:$A$639,$A620,$C$5:$C$639,$C620-1,$D$5:$D$639,$D620))-1)))</f>
        <v/>
      </c>
      <c r="Q620" s="16">
        <f>IF(OR($A620="",I620="",$C620=""),"",IF(COUNTIFS($A$5:$A$639,$A620,$C$5:$C$639,$C620-1,$D$5:$D$639,$D620,I$5:I$639,"&lt;&gt;")=0,"",IF(OR(SUMIFS(I$5:I$639,$A$5:$A$639,$A620,$C$5:$C$639,$C620-1,$D$5:$D$639,$D620)=0,I620*SUMIFS(I$5:I$639,$A$5:$A$639,$A620,$C$5:$C$639,$C620-1,$D$5:$D$639,$D620)&lt;0),"n.s.",ABS(I620)/ABS(SUMIFS(I$5:I$639,$A$5:$A$639,$A620,$C$5:$C$639,$C620-1,$D$5:$D$639,$D620))-1)))</f>
        <v/>
      </c>
      <c r="R620" s="16">
        <f>IF(OR($A620="",J620="",$C620=""),"",IF(COUNTIFS($A$5:$A$639,$A620,$C$5:$C$639,$C620-1,$D$5:$D$639,$D620,J$5:J$639,"&lt;&gt;")=0,"",IF(OR(SUMIFS(J$5:J$639,$A$5:$A$639,$A620,$C$5:$C$639,$C620-1,$D$5:$D$639,$D620)=0,J620*SUMIFS(J$5:J$639,$A$5:$A$639,$A620,$C$5:$C$639,$C620-1,$D$5:$D$639,$D620)&lt;0),"n.s.",ABS(J620)/ABS(SUMIFS(J$5:J$639,$A$5:$A$639,$A620,$C$5:$C$639,$C620-1,$D$5:$D$639,$D620))-1)))</f>
        <v/>
      </c>
      <c r="S620" s="16">
        <f>IF(OR($A620="",K620="",$C620=""),"",IF(COUNTIFS($A$5:$A$639,$A620,$C$5:$C$639,$C620-1,$D$5:$D$639,$D620,K$5:K$639,"&lt;&gt;")=0,"",IF(OR(SUMIFS(K$5:K$639,$A$5:$A$639,$A620,$C$5:$C$639,$C620-1,$D$5:$D$639,$D620)=0,K620*SUMIFS(K$5:K$639,$A$5:$A$639,$A620,$C$5:$C$639,$C620-1,$D$5:$D$639,$D620)&lt;0),"n.s.",ABS(K620)/ABS(SUMIFS(K$5:K$639,$A$5:$A$639,$A620,$C$5:$C$639,$C620-1,$D$5:$D$639,$D620))-1)))</f>
        <v/>
      </c>
      <c r="T620" s="16">
        <f>IF(OR($A620="",L620="",$C620=""),"",IF(COUNTIFS($A$5:$A$639,$A620,$C$5:$C$639,$C620-1,$D$5:$D$639,$D620,L$5:L$639,"&lt;&gt;")=0,"",IF(OR(SUMIFS(L$5:L$639,$A$5:$A$639,$A620,$C$5:$C$639,$C620-1,$D$5:$D$639,$D620)=0,L620*SUMIFS(L$5:L$639,$A$5:$A$639,$A620,$C$5:$C$639,$C620-1,$D$5:$D$639,$D620)&lt;0),"n.s.",ABS(L620)/ABS(SUMIFS(L$5:L$639,$A$5:$A$639,$A620,$C$5:$C$639,$C620-1,$D$5:$D$639,$D620))-1)))</f>
        <v/>
      </c>
      <c r="U620" s="16">
        <f>IF(OR($A620="",M620="",$C620=""),"",IF(COUNTIFS($A$5:$A$639,$A620,$C$5:$C$639,$C620-1,$D$5:$D$639,$D620,M$5:M$639,"&lt;&gt;")=0,"",IF(OR(SUMIFS(M$5:M$639,$A$5:$A$639,$A620,$C$5:$C$639,$C620-1,$D$5:$D$639,$D620)=0,M620*SUMIFS(M$5:M$639,$A$5:$A$639,$A620,$C$5:$C$639,$C620-1,$D$5:$D$639,$D620)&lt;0),"n.s.",ABS(M620)/ABS(SUMIFS(M$5:M$639,$A$5:$A$639,$A620,$C$5:$C$639,$C620-1,$D$5:$D$639,$D620))-1)))</f>
        <v/>
      </c>
    </row>
    <row r="621">
      <c r="A621" s="9" t="n"/>
      <c r="B621" s="10">
        <f>IF(A621="","",IFERROR(VLOOKUP(A621,Titres!$A$2:$B$400,2,FALSE),"Ticker inconnu"))</f>
        <v/>
      </c>
      <c r="C621" s="11" t="n"/>
      <c r="D621" s="11" t="n"/>
      <c r="E621" s="9" t="n"/>
      <c r="F621" s="12" t="n"/>
      <c r="G621" s="9" t="n"/>
      <c r="H621" s="13" t="n"/>
      <c r="I621" s="13" t="n"/>
      <c r="J621" s="13" t="n"/>
      <c r="K621" s="13" t="n"/>
      <c r="L621" s="13" t="n"/>
      <c r="M621" s="13" t="n"/>
      <c r="N621" s="14">
        <f>IF(A621="","",COUNT(H621:M621)/6)</f>
        <v/>
      </c>
      <c r="O621" s="15">
        <f>IF(COUNT(H621:M621)=0,"",IF(LEN(IF(COUNT(I621,J621)=2,IF(J621&gt;I621+1,"EBE &gt; VA ",""),"")&amp;IF(COUNT(H621,M621)=2,IF(ABS(M621)&gt;ABS(H621),"RN &gt; CA ",""),"")&amp;IF(COUNT(H621,K621)=2,IF(ABS(K621)&gt;ABS(H621),"RE &gt; CA ",""),""))=0,"OK",IF(COUNT(I621,J621)=2,IF(J621&gt;I621+1,"EBE &gt; VA ",""),"")&amp;IF(COUNT(H621,M621)=2,IF(ABS(M621)&gt;ABS(H621),"RN &gt; CA ",""),"")&amp;IF(COUNT(H621,K621)=2,IF(ABS(K621)&gt;ABS(H621),"RE &gt; CA ",""),"")))</f>
        <v/>
      </c>
      <c r="P621" s="16">
        <f>IF(OR($A621="",H621="",$C621=""),"",IF(COUNTIFS($A$5:$A$639,$A621,$C$5:$C$639,$C621-1,$D$5:$D$639,$D621,H$5:H$639,"&lt;&gt;")=0,"",IF(OR(SUMIFS(H$5:H$639,$A$5:$A$639,$A621,$C$5:$C$639,$C621-1,$D$5:$D$639,$D621)=0,H621*SUMIFS(H$5:H$639,$A$5:$A$639,$A621,$C$5:$C$639,$C621-1,$D$5:$D$639,$D621)&lt;0),"n.s.",ABS(H621)/ABS(SUMIFS(H$5:H$639,$A$5:$A$639,$A621,$C$5:$C$639,$C621-1,$D$5:$D$639,$D621))-1)))</f>
        <v/>
      </c>
      <c r="Q621" s="16">
        <f>IF(OR($A621="",I621="",$C621=""),"",IF(COUNTIFS($A$5:$A$639,$A621,$C$5:$C$639,$C621-1,$D$5:$D$639,$D621,I$5:I$639,"&lt;&gt;")=0,"",IF(OR(SUMIFS(I$5:I$639,$A$5:$A$639,$A621,$C$5:$C$639,$C621-1,$D$5:$D$639,$D621)=0,I621*SUMIFS(I$5:I$639,$A$5:$A$639,$A621,$C$5:$C$639,$C621-1,$D$5:$D$639,$D621)&lt;0),"n.s.",ABS(I621)/ABS(SUMIFS(I$5:I$639,$A$5:$A$639,$A621,$C$5:$C$639,$C621-1,$D$5:$D$639,$D621))-1)))</f>
        <v/>
      </c>
      <c r="R621" s="16">
        <f>IF(OR($A621="",J621="",$C621=""),"",IF(COUNTIFS($A$5:$A$639,$A621,$C$5:$C$639,$C621-1,$D$5:$D$639,$D621,J$5:J$639,"&lt;&gt;")=0,"",IF(OR(SUMIFS(J$5:J$639,$A$5:$A$639,$A621,$C$5:$C$639,$C621-1,$D$5:$D$639,$D621)=0,J621*SUMIFS(J$5:J$639,$A$5:$A$639,$A621,$C$5:$C$639,$C621-1,$D$5:$D$639,$D621)&lt;0),"n.s.",ABS(J621)/ABS(SUMIFS(J$5:J$639,$A$5:$A$639,$A621,$C$5:$C$639,$C621-1,$D$5:$D$639,$D621))-1)))</f>
        <v/>
      </c>
      <c r="S621" s="16">
        <f>IF(OR($A621="",K621="",$C621=""),"",IF(COUNTIFS($A$5:$A$639,$A621,$C$5:$C$639,$C621-1,$D$5:$D$639,$D621,K$5:K$639,"&lt;&gt;")=0,"",IF(OR(SUMIFS(K$5:K$639,$A$5:$A$639,$A621,$C$5:$C$639,$C621-1,$D$5:$D$639,$D621)=0,K621*SUMIFS(K$5:K$639,$A$5:$A$639,$A621,$C$5:$C$639,$C621-1,$D$5:$D$639,$D621)&lt;0),"n.s.",ABS(K621)/ABS(SUMIFS(K$5:K$639,$A$5:$A$639,$A621,$C$5:$C$639,$C621-1,$D$5:$D$639,$D621))-1)))</f>
        <v/>
      </c>
      <c r="T621" s="16">
        <f>IF(OR($A621="",L621="",$C621=""),"",IF(COUNTIFS($A$5:$A$639,$A621,$C$5:$C$639,$C621-1,$D$5:$D$639,$D621,L$5:L$639,"&lt;&gt;")=0,"",IF(OR(SUMIFS(L$5:L$639,$A$5:$A$639,$A621,$C$5:$C$639,$C621-1,$D$5:$D$639,$D621)=0,L621*SUMIFS(L$5:L$639,$A$5:$A$639,$A621,$C$5:$C$639,$C621-1,$D$5:$D$639,$D621)&lt;0),"n.s.",ABS(L621)/ABS(SUMIFS(L$5:L$639,$A$5:$A$639,$A621,$C$5:$C$639,$C621-1,$D$5:$D$639,$D621))-1)))</f>
        <v/>
      </c>
      <c r="U621" s="16">
        <f>IF(OR($A621="",M621="",$C621=""),"",IF(COUNTIFS($A$5:$A$639,$A621,$C$5:$C$639,$C621-1,$D$5:$D$639,$D621,M$5:M$639,"&lt;&gt;")=0,"",IF(OR(SUMIFS(M$5:M$639,$A$5:$A$639,$A621,$C$5:$C$639,$C621-1,$D$5:$D$639,$D621)=0,M621*SUMIFS(M$5:M$639,$A$5:$A$639,$A621,$C$5:$C$639,$C621-1,$D$5:$D$639,$D621)&lt;0),"n.s.",ABS(M621)/ABS(SUMIFS(M$5:M$639,$A$5:$A$639,$A621,$C$5:$C$639,$C621-1,$D$5:$D$639,$D621))-1)))</f>
        <v/>
      </c>
    </row>
    <row r="622">
      <c r="A622" s="9" t="n"/>
      <c r="B622" s="10">
        <f>IF(A622="","",IFERROR(VLOOKUP(A622,Titres!$A$2:$B$400,2,FALSE),"Ticker inconnu"))</f>
        <v/>
      </c>
      <c r="C622" s="11" t="n"/>
      <c r="D622" s="11" t="n"/>
      <c r="E622" s="9" t="n"/>
      <c r="F622" s="12" t="n"/>
      <c r="G622" s="9" t="n"/>
      <c r="H622" s="13" t="n"/>
      <c r="I622" s="13" t="n"/>
      <c r="J622" s="13" t="n"/>
      <c r="K622" s="13" t="n"/>
      <c r="L622" s="13" t="n"/>
      <c r="M622" s="13" t="n"/>
      <c r="N622" s="14">
        <f>IF(A622="","",COUNT(H622:M622)/6)</f>
        <v/>
      </c>
      <c r="O622" s="15">
        <f>IF(COUNT(H622:M622)=0,"",IF(LEN(IF(COUNT(I622,J622)=2,IF(J622&gt;I622+1,"EBE &gt; VA ",""),"")&amp;IF(COUNT(H622,M622)=2,IF(ABS(M622)&gt;ABS(H622),"RN &gt; CA ",""),"")&amp;IF(COUNT(H622,K622)=2,IF(ABS(K622)&gt;ABS(H622),"RE &gt; CA ",""),""))=0,"OK",IF(COUNT(I622,J622)=2,IF(J622&gt;I622+1,"EBE &gt; VA ",""),"")&amp;IF(COUNT(H622,M622)=2,IF(ABS(M622)&gt;ABS(H622),"RN &gt; CA ",""),"")&amp;IF(COUNT(H622,K622)=2,IF(ABS(K622)&gt;ABS(H622),"RE &gt; CA ",""),"")))</f>
        <v/>
      </c>
      <c r="P622" s="16">
        <f>IF(OR($A622="",H622="",$C622=""),"",IF(COUNTIFS($A$5:$A$639,$A622,$C$5:$C$639,$C622-1,$D$5:$D$639,$D622,H$5:H$639,"&lt;&gt;")=0,"",IF(OR(SUMIFS(H$5:H$639,$A$5:$A$639,$A622,$C$5:$C$639,$C622-1,$D$5:$D$639,$D622)=0,H622*SUMIFS(H$5:H$639,$A$5:$A$639,$A622,$C$5:$C$639,$C622-1,$D$5:$D$639,$D622)&lt;0),"n.s.",ABS(H622)/ABS(SUMIFS(H$5:H$639,$A$5:$A$639,$A622,$C$5:$C$639,$C622-1,$D$5:$D$639,$D622))-1)))</f>
        <v/>
      </c>
      <c r="Q622" s="16">
        <f>IF(OR($A622="",I622="",$C622=""),"",IF(COUNTIFS($A$5:$A$639,$A622,$C$5:$C$639,$C622-1,$D$5:$D$639,$D622,I$5:I$639,"&lt;&gt;")=0,"",IF(OR(SUMIFS(I$5:I$639,$A$5:$A$639,$A622,$C$5:$C$639,$C622-1,$D$5:$D$639,$D622)=0,I622*SUMIFS(I$5:I$639,$A$5:$A$639,$A622,$C$5:$C$639,$C622-1,$D$5:$D$639,$D622)&lt;0),"n.s.",ABS(I622)/ABS(SUMIFS(I$5:I$639,$A$5:$A$639,$A622,$C$5:$C$639,$C622-1,$D$5:$D$639,$D622))-1)))</f>
        <v/>
      </c>
      <c r="R622" s="16">
        <f>IF(OR($A622="",J622="",$C622=""),"",IF(COUNTIFS($A$5:$A$639,$A622,$C$5:$C$639,$C622-1,$D$5:$D$639,$D622,J$5:J$639,"&lt;&gt;")=0,"",IF(OR(SUMIFS(J$5:J$639,$A$5:$A$639,$A622,$C$5:$C$639,$C622-1,$D$5:$D$639,$D622)=0,J622*SUMIFS(J$5:J$639,$A$5:$A$639,$A622,$C$5:$C$639,$C622-1,$D$5:$D$639,$D622)&lt;0),"n.s.",ABS(J622)/ABS(SUMIFS(J$5:J$639,$A$5:$A$639,$A622,$C$5:$C$639,$C622-1,$D$5:$D$639,$D622))-1)))</f>
        <v/>
      </c>
      <c r="S622" s="16">
        <f>IF(OR($A622="",K622="",$C622=""),"",IF(COUNTIFS($A$5:$A$639,$A622,$C$5:$C$639,$C622-1,$D$5:$D$639,$D622,K$5:K$639,"&lt;&gt;")=0,"",IF(OR(SUMIFS(K$5:K$639,$A$5:$A$639,$A622,$C$5:$C$639,$C622-1,$D$5:$D$639,$D622)=0,K622*SUMIFS(K$5:K$639,$A$5:$A$639,$A622,$C$5:$C$639,$C622-1,$D$5:$D$639,$D622)&lt;0),"n.s.",ABS(K622)/ABS(SUMIFS(K$5:K$639,$A$5:$A$639,$A622,$C$5:$C$639,$C622-1,$D$5:$D$639,$D622))-1)))</f>
        <v/>
      </c>
      <c r="T622" s="16">
        <f>IF(OR($A622="",L622="",$C622=""),"",IF(COUNTIFS($A$5:$A$639,$A622,$C$5:$C$639,$C622-1,$D$5:$D$639,$D622,L$5:L$639,"&lt;&gt;")=0,"",IF(OR(SUMIFS(L$5:L$639,$A$5:$A$639,$A622,$C$5:$C$639,$C622-1,$D$5:$D$639,$D622)=0,L622*SUMIFS(L$5:L$639,$A$5:$A$639,$A622,$C$5:$C$639,$C622-1,$D$5:$D$639,$D622)&lt;0),"n.s.",ABS(L622)/ABS(SUMIFS(L$5:L$639,$A$5:$A$639,$A622,$C$5:$C$639,$C622-1,$D$5:$D$639,$D622))-1)))</f>
        <v/>
      </c>
      <c r="U622" s="16">
        <f>IF(OR($A622="",M622="",$C622=""),"",IF(COUNTIFS($A$5:$A$639,$A622,$C$5:$C$639,$C622-1,$D$5:$D$639,$D622,M$5:M$639,"&lt;&gt;")=0,"",IF(OR(SUMIFS(M$5:M$639,$A$5:$A$639,$A622,$C$5:$C$639,$C622-1,$D$5:$D$639,$D622)=0,M622*SUMIFS(M$5:M$639,$A$5:$A$639,$A622,$C$5:$C$639,$C622-1,$D$5:$D$639,$D622)&lt;0),"n.s.",ABS(M622)/ABS(SUMIFS(M$5:M$639,$A$5:$A$639,$A622,$C$5:$C$639,$C622-1,$D$5:$D$639,$D622))-1)))</f>
        <v/>
      </c>
    </row>
    <row r="623">
      <c r="A623" s="9" t="n"/>
      <c r="B623" s="10">
        <f>IF(A623="","",IFERROR(VLOOKUP(A623,Titres!$A$2:$B$400,2,FALSE),"Ticker inconnu"))</f>
        <v/>
      </c>
      <c r="C623" s="11" t="n"/>
      <c r="D623" s="11" t="n"/>
      <c r="E623" s="9" t="n"/>
      <c r="F623" s="12" t="n"/>
      <c r="G623" s="9" t="n"/>
      <c r="H623" s="13" t="n"/>
      <c r="I623" s="13" t="n"/>
      <c r="J623" s="13" t="n"/>
      <c r="K623" s="13" t="n"/>
      <c r="L623" s="13" t="n"/>
      <c r="M623" s="13" t="n"/>
      <c r="N623" s="14">
        <f>IF(A623="","",COUNT(H623:M623)/6)</f>
        <v/>
      </c>
      <c r="O623" s="15">
        <f>IF(COUNT(H623:M623)=0,"",IF(LEN(IF(COUNT(I623,J623)=2,IF(J623&gt;I623+1,"EBE &gt; VA ",""),"")&amp;IF(COUNT(H623,M623)=2,IF(ABS(M623)&gt;ABS(H623),"RN &gt; CA ",""),"")&amp;IF(COUNT(H623,K623)=2,IF(ABS(K623)&gt;ABS(H623),"RE &gt; CA ",""),""))=0,"OK",IF(COUNT(I623,J623)=2,IF(J623&gt;I623+1,"EBE &gt; VA ",""),"")&amp;IF(COUNT(H623,M623)=2,IF(ABS(M623)&gt;ABS(H623),"RN &gt; CA ",""),"")&amp;IF(COUNT(H623,K623)=2,IF(ABS(K623)&gt;ABS(H623),"RE &gt; CA ",""),"")))</f>
        <v/>
      </c>
      <c r="P623" s="16">
        <f>IF(OR($A623="",H623="",$C623=""),"",IF(COUNTIFS($A$5:$A$639,$A623,$C$5:$C$639,$C623-1,$D$5:$D$639,$D623,H$5:H$639,"&lt;&gt;")=0,"",IF(OR(SUMIFS(H$5:H$639,$A$5:$A$639,$A623,$C$5:$C$639,$C623-1,$D$5:$D$639,$D623)=0,H623*SUMIFS(H$5:H$639,$A$5:$A$639,$A623,$C$5:$C$639,$C623-1,$D$5:$D$639,$D623)&lt;0),"n.s.",ABS(H623)/ABS(SUMIFS(H$5:H$639,$A$5:$A$639,$A623,$C$5:$C$639,$C623-1,$D$5:$D$639,$D623))-1)))</f>
        <v/>
      </c>
      <c r="Q623" s="16">
        <f>IF(OR($A623="",I623="",$C623=""),"",IF(COUNTIFS($A$5:$A$639,$A623,$C$5:$C$639,$C623-1,$D$5:$D$639,$D623,I$5:I$639,"&lt;&gt;")=0,"",IF(OR(SUMIFS(I$5:I$639,$A$5:$A$639,$A623,$C$5:$C$639,$C623-1,$D$5:$D$639,$D623)=0,I623*SUMIFS(I$5:I$639,$A$5:$A$639,$A623,$C$5:$C$639,$C623-1,$D$5:$D$639,$D623)&lt;0),"n.s.",ABS(I623)/ABS(SUMIFS(I$5:I$639,$A$5:$A$639,$A623,$C$5:$C$639,$C623-1,$D$5:$D$639,$D623))-1)))</f>
        <v/>
      </c>
      <c r="R623" s="16">
        <f>IF(OR($A623="",J623="",$C623=""),"",IF(COUNTIFS($A$5:$A$639,$A623,$C$5:$C$639,$C623-1,$D$5:$D$639,$D623,J$5:J$639,"&lt;&gt;")=0,"",IF(OR(SUMIFS(J$5:J$639,$A$5:$A$639,$A623,$C$5:$C$639,$C623-1,$D$5:$D$639,$D623)=0,J623*SUMIFS(J$5:J$639,$A$5:$A$639,$A623,$C$5:$C$639,$C623-1,$D$5:$D$639,$D623)&lt;0),"n.s.",ABS(J623)/ABS(SUMIFS(J$5:J$639,$A$5:$A$639,$A623,$C$5:$C$639,$C623-1,$D$5:$D$639,$D623))-1)))</f>
        <v/>
      </c>
      <c r="S623" s="16">
        <f>IF(OR($A623="",K623="",$C623=""),"",IF(COUNTIFS($A$5:$A$639,$A623,$C$5:$C$639,$C623-1,$D$5:$D$639,$D623,K$5:K$639,"&lt;&gt;")=0,"",IF(OR(SUMIFS(K$5:K$639,$A$5:$A$639,$A623,$C$5:$C$639,$C623-1,$D$5:$D$639,$D623)=0,K623*SUMIFS(K$5:K$639,$A$5:$A$639,$A623,$C$5:$C$639,$C623-1,$D$5:$D$639,$D623)&lt;0),"n.s.",ABS(K623)/ABS(SUMIFS(K$5:K$639,$A$5:$A$639,$A623,$C$5:$C$639,$C623-1,$D$5:$D$639,$D623))-1)))</f>
        <v/>
      </c>
      <c r="T623" s="16">
        <f>IF(OR($A623="",L623="",$C623=""),"",IF(COUNTIFS($A$5:$A$639,$A623,$C$5:$C$639,$C623-1,$D$5:$D$639,$D623,L$5:L$639,"&lt;&gt;")=0,"",IF(OR(SUMIFS(L$5:L$639,$A$5:$A$639,$A623,$C$5:$C$639,$C623-1,$D$5:$D$639,$D623)=0,L623*SUMIFS(L$5:L$639,$A$5:$A$639,$A623,$C$5:$C$639,$C623-1,$D$5:$D$639,$D623)&lt;0),"n.s.",ABS(L623)/ABS(SUMIFS(L$5:L$639,$A$5:$A$639,$A623,$C$5:$C$639,$C623-1,$D$5:$D$639,$D623))-1)))</f>
        <v/>
      </c>
      <c r="U623" s="16">
        <f>IF(OR($A623="",M623="",$C623=""),"",IF(COUNTIFS($A$5:$A$639,$A623,$C$5:$C$639,$C623-1,$D$5:$D$639,$D623,M$5:M$639,"&lt;&gt;")=0,"",IF(OR(SUMIFS(M$5:M$639,$A$5:$A$639,$A623,$C$5:$C$639,$C623-1,$D$5:$D$639,$D623)=0,M623*SUMIFS(M$5:M$639,$A$5:$A$639,$A623,$C$5:$C$639,$C623-1,$D$5:$D$639,$D623)&lt;0),"n.s.",ABS(M623)/ABS(SUMIFS(M$5:M$639,$A$5:$A$639,$A623,$C$5:$C$639,$C623-1,$D$5:$D$639,$D623))-1)))</f>
        <v/>
      </c>
    </row>
    <row r="624">
      <c r="A624" s="9" t="n"/>
      <c r="B624" s="10">
        <f>IF(A624="","",IFERROR(VLOOKUP(A624,Titres!$A$2:$B$400,2,FALSE),"Ticker inconnu"))</f>
        <v/>
      </c>
      <c r="C624" s="11" t="n"/>
      <c r="D624" s="11" t="n"/>
      <c r="E624" s="9" t="n"/>
      <c r="F624" s="12" t="n"/>
      <c r="G624" s="9" t="n"/>
      <c r="H624" s="13" t="n"/>
      <c r="I624" s="13" t="n"/>
      <c r="J624" s="13" t="n"/>
      <c r="K624" s="13" t="n"/>
      <c r="L624" s="13" t="n"/>
      <c r="M624" s="13" t="n"/>
      <c r="N624" s="14">
        <f>IF(A624="","",COUNT(H624:M624)/6)</f>
        <v/>
      </c>
      <c r="O624" s="15">
        <f>IF(COUNT(H624:M624)=0,"",IF(LEN(IF(COUNT(I624,J624)=2,IF(J624&gt;I624+1,"EBE &gt; VA ",""),"")&amp;IF(COUNT(H624,M624)=2,IF(ABS(M624)&gt;ABS(H624),"RN &gt; CA ",""),"")&amp;IF(COUNT(H624,K624)=2,IF(ABS(K624)&gt;ABS(H624),"RE &gt; CA ",""),""))=0,"OK",IF(COUNT(I624,J624)=2,IF(J624&gt;I624+1,"EBE &gt; VA ",""),"")&amp;IF(COUNT(H624,M624)=2,IF(ABS(M624)&gt;ABS(H624),"RN &gt; CA ",""),"")&amp;IF(COUNT(H624,K624)=2,IF(ABS(K624)&gt;ABS(H624),"RE &gt; CA ",""),"")))</f>
        <v/>
      </c>
      <c r="P624" s="16">
        <f>IF(OR($A624="",H624="",$C624=""),"",IF(COUNTIFS($A$5:$A$639,$A624,$C$5:$C$639,$C624-1,$D$5:$D$639,$D624,H$5:H$639,"&lt;&gt;")=0,"",IF(OR(SUMIFS(H$5:H$639,$A$5:$A$639,$A624,$C$5:$C$639,$C624-1,$D$5:$D$639,$D624)=0,H624*SUMIFS(H$5:H$639,$A$5:$A$639,$A624,$C$5:$C$639,$C624-1,$D$5:$D$639,$D624)&lt;0),"n.s.",ABS(H624)/ABS(SUMIFS(H$5:H$639,$A$5:$A$639,$A624,$C$5:$C$639,$C624-1,$D$5:$D$639,$D624))-1)))</f>
        <v/>
      </c>
      <c r="Q624" s="16">
        <f>IF(OR($A624="",I624="",$C624=""),"",IF(COUNTIFS($A$5:$A$639,$A624,$C$5:$C$639,$C624-1,$D$5:$D$639,$D624,I$5:I$639,"&lt;&gt;")=0,"",IF(OR(SUMIFS(I$5:I$639,$A$5:$A$639,$A624,$C$5:$C$639,$C624-1,$D$5:$D$639,$D624)=0,I624*SUMIFS(I$5:I$639,$A$5:$A$639,$A624,$C$5:$C$639,$C624-1,$D$5:$D$639,$D624)&lt;0),"n.s.",ABS(I624)/ABS(SUMIFS(I$5:I$639,$A$5:$A$639,$A624,$C$5:$C$639,$C624-1,$D$5:$D$639,$D624))-1)))</f>
        <v/>
      </c>
      <c r="R624" s="16">
        <f>IF(OR($A624="",J624="",$C624=""),"",IF(COUNTIFS($A$5:$A$639,$A624,$C$5:$C$639,$C624-1,$D$5:$D$639,$D624,J$5:J$639,"&lt;&gt;")=0,"",IF(OR(SUMIFS(J$5:J$639,$A$5:$A$639,$A624,$C$5:$C$639,$C624-1,$D$5:$D$639,$D624)=0,J624*SUMIFS(J$5:J$639,$A$5:$A$639,$A624,$C$5:$C$639,$C624-1,$D$5:$D$639,$D624)&lt;0),"n.s.",ABS(J624)/ABS(SUMIFS(J$5:J$639,$A$5:$A$639,$A624,$C$5:$C$639,$C624-1,$D$5:$D$639,$D624))-1)))</f>
        <v/>
      </c>
      <c r="S624" s="16">
        <f>IF(OR($A624="",K624="",$C624=""),"",IF(COUNTIFS($A$5:$A$639,$A624,$C$5:$C$639,$C624-1,$D$5:$D$639,$D624,K$5:K$639,"&lt;&gt;")=0,"",IF(OR(SUMIFS(K$5:K$639,$A$5:$A$639,$A624,$C$5:$C$639,$C624-1,$D$5:$D$639,$D624)=0,K624*SUMIFS(K$5:K$639,$A$5:$A$639,$A624,$C$5:$C$639,$C624-1,$D$5:$D$639,$D624)&lt;0),"n.s.",ABS(K624)/ABS(SUMIFS(K$5:K$639,$A$5:$A$639,$A624,$C$5:$C$639,$C624-1,$D$5:$D$639,$D624))-1)))</f>
        <v/>
      </c>
      <c r="T624" s="16">
        <f>IF(OR($A624="",L624="",$C624=""),"",IF(COUNTIFS($A$5:$A$639,$A624,$C$5:$C$639,$C624-1,$D$5:$D$639,$D624,L$5:L$639,"&lt;&gt;")=0,"",IF(OR(SUMIFS(L$5:L$639,$A$5:$A$639,$A624,$C$5:$C$639,$C624-1,$D$5:$D$639,$D624)=0,L624*SUMIFS(L$5:L$639,$A$5:$A$639,$A624,$C$5:$C$639,$C624-1,$D$5:$D$639,$D624)&lt;0),"n.s.",ABS(L624)/ABS(SUMIFS(L$5:L$639,$A$5:$A$639,$A624,$C$5:$C$639,$C624-1,$D$5:$D$639,$D624))-1)))</f>
        <v/>
      </c>
      <c r="U624" s="16">
        <f>IF(OR($A624="",M624="",$C624=""),"",IF(COUNTIFS($A$5:$A$639,$A624,$C$5:$C$639,$C624-1,$D$5:$D$639,$D624,M$5:M$639,"&lt;&gt;")=0,"",IF(OR(SUMIFS(M$5:M$639,$A$5:$A$639,$A624,$C$5:$C$639,$C624-1,$D$5:$D$639,$D624)=0,M624*SUMIFS(M$5:M$639,$A$5:$A$639,$A624,$C$5:$C$639,$C624-1,$D$5:$D$639,$D624)&lt;0),"n.s.",ABS(M624)/ABS(SUMIFS(M$5:M$639,$A$5:$A$639,$A624,$C$5:$C$639,$C624-1,$D$5:$D$639,$D624))-1)))</f>
        <v/>
      </c>
    </row>
    <row r="625">
      <c r="A625" s="9" t="n"/>
      <c r="B625" s="10">
        <f>IF(A625="","",IFERROR(VLOOKUP(A625,Titres!$A$2:$B$400,2,FALSE),"Ticker inconnu"))</f>
        <v/>
      </c>
      <c r="C625" s="11" t="n"/>
      <c r="D625" s="11" t="n"/>
      <c r="E625" s="9" t="n"/>
      <c r="F625" s="12" t="n"/>
      <c r="G625" s="9" t="n"/>
      <c r="H625" s="13" t="n"/>
      <c r="I625" s="13" t="n"/>
      <c r="J625" s="13" t="n"/>
      <c r="K625" s="13" t="n"/>
      <c r="L625" s="13" t="n"/>
      <c r="M625" s="13" t="n"/>
      <c r="N625" s="14">
        <f>IF(A625="","",COUNT(H625:M625)/6)</f>
        <v/>
      </c>
      <c r="O625" s="15">
        <f>IF(COUNT(H625:M625)=0,"",IF(LEN(IF(COUNT(I625,J625)=2,IF(J625&gt;I625+1,"EBE &gt; VA ",""),"")&amp;IF(COUNT(H625,M625)=2,IF(ABS(M625)&gt;ABS(H625),"RN &gt; CA ",""),"")&amp;IF(COUNT(H625,K625)=2,IF(ABS(K625)&gt;ABS(H625),"RE &gt; CA ",""),""))=0,"OK",IF(COUNT(I625,J625)=2,IF(J625&gt;I625+1,"EBE &gt; VA ",""),"")&amp;IF(COUNT(H625,M625)=2,IF(ABS(M625)&gt;ABS(H625),"RN &gt; CA ",""),"")&amp;IF(COUNT(H625,K625)=2,IF(ABS(K625)&gt;ABS(H625),"RE &gt; CA ",""),"")))</f>
        <v/>
      </c>
      <c r="P625" s="16">
        <f>IF(OR($A625="",H625="",$C625=""),"",IF(COUNTIFS($A$5:$A$639,$A625,$C$5:$C$639,$C625-1,$D$5:$D$639,$D625,H$5:H$639,"&lt;&gt;")=0,"",IF(OR(SUMIFS(H$5:H$639,$A$5:$A$639,$A625,$C$5:$C$639,$C625-1,$D$5:$D$639,$D625)=0,H625*SUMIFS(H$5:H$639,$A$5:$A$639,$A625,$C$5:$C$639,$C625-1,$D$5:$D$639,$D625)&lt;0),"n.s.",ABS(H625)/ABS(SUMIFS(H$5:H$639,$A$5:$A$639,$A625,$C$5:$C$639,$C625-1,$D$5:$D$639,$D625))-1)))</f>
        <v/>
      </c>
      <c r="Q625" s="16">
        <f>IF(OR($A625="",I625="",$C625=""),"",IF(COUNTIFS($A$5:$A$639,$A625,$C$5:$C$639,$C625-1,$D$5:$D$639,$D625,I$5:I$639,"&lt;&gt;")=0,"",IF(OR(SUMIFS(I$5:I$639,$A$5:$A$639,$A625,$C$5:$C$639,$C625-1,$D$5:$D$639,$D625)=0,I625*SUMIFS(I$5:I$639,$A$5:$A$639,$A625,$C$5:$C$639,$C625-1,$D$5:$D$639,$D625)&lt;0),"n.s.",ABS(I625)/ABS(SUMIFS(I$5:I$639,$A$5:$A$639,$A625,$C$5:$C$639,$C625-1,$D$5:$D$639,$D625))-1)))</f>
        <v/>
      </c>
      <c r="R625" s="16">
        <f>IF(OR($A625="",J625="",$C625=""),"",IF(COUNTIFS($A$5:$A$639,$A625,$C$5:$C$639,$C625-1,$D$5:$D$639,$D625,J$5:J$639,"&lt;&gt;")=0,"",IF(OR(SUMIFS(J$5:J$639,$A$5:$A$639,$A625,$C$5:$C$639,$C625-1,$D$5:$D$639,$D625)=0,J625*SUMIFS(J$5:J$639,$A$5:$A$639,$A625,$C$5:$C$639,$C625-1,$D$5:$D$639,$D625)&lt;0),"n.s.",ABS(J625)/ABS(SUMIFS(J$5:J$639,$A$5:$A$639,$A625,$C$5:$C$639,$C625-1,$D$5:$D$639,$D625))-1)))</f>
        <v/>
      </c>
      <c r="S625" s="16">
        <f>IF(OR($A625="",K625="",$C625=""),"",IF(COUNTIFS($A$5:$A$639,$A625,$C$5:$C$639,$C625-1,$D$5:$D$639,$D625,K$5:K$639,"&lt;&gt;")=0,"",IF(OR(SUMIFS(K$5:K$639,$A$5:$A$639,$A625,$C$5:$C$639,$C625-1,$D$5:$D$639,$D625)=0,K625*SUMIFS(K$5:K$639,$A$5:$A$639,$A625,$C$5:$C$639,$C625-1,$D$5:$D$639,$D625)&lt;0),"n.s.",ABS(K625)/ABS(SUMIFS(K$5:K$639,$A$5:$A$639,$A625,$C$5:$C$639,$C625-1,$D$5:$D$639,$D625))-1)))</f>
        <v/>
      </c>
      <c r="T625" s="16">
        <f>IF(OR($A625="",L625="",$C625=""),"",IF(COUNTIFS($A$5:$A$639,$A625,$C$5:$C$639,$C625-1,$D$5:$D$639,$D625,L$5:L$639,"&lt;&gt;")=0,"",IF(OR(SUMIFS(L$5:L$639,$A$5:$A$639,$A625,$C$5:$C$639,$C625-1,$D$5:$D$639,$D625)=0,L625*SUMIFS(L$5:L$639,$A$5:$A$639,$A625,$C$5:$C$639,$C625-1,$D$5:$D$639,$D625)&lt;0),"n.s.",ABS(L625)/ABS(SUMIFS(L$5:L$639,$A$5:$A$639,$A625,$C$5:$C$639,$C625-1,$D$5:$D$639,$D625))-1)))</f>
        <v/>
      </c>
      <c r="U625" s="16">
        <f>IF(OR($A625="",M625="",$C625=""),"",IF(COUNTIFS($A$5:$A$639,$A625,$C$5:$C$639,$C625-1,$D$5:$D$639,$D625,M$5:M$639,"&lt;&gt;")=0,"",IF(OR(SUMIFS(M$5:M$639,$A$5:$A$639,$A625,$C$5:$C$639,$C625-1,$D$5:$D$639,$D625)=0,M625*SUMIFS(M$5:M$639,$A$5:$A$639,$A625,$C$5:$C$639,$C625-1,$D$5:$D$639,$D625)&lt;0),"n.s.",ABS(M625)/ABS(SUMIFS(M$5:M$639,$A$5:$A$639,$A625,$C$5:$C$639,$C625-1,$D$5:$D$639,$D625))-1)))</f>
        <v/>
      </c>
    </row>
    <row r="626">
      <c r="A626" s="9" t="n"/>
      <c r="B626" s="10">
        <f>IF(A626="","",IFERROR(VLOOKUP(A626,Titres!$A$2:$B$400,2,FALSE),"Ticker inconnu"))</f>
        <v/>
      </c>
      <c r="C626" s="11" t="n"/>
      <c r="D626" s="11" t="n"/>
      <c r="E626" s="9" t="n"/>
      <c r="F626" s="12" t="n"/>
      <c r="G626" s="9" t="n"/>
      <c r="H626" s="13" t="n"/>
      <c r="I626" s="13" t="n"/>
      <c r="J626" s="13" t="n"/>
      <c r="K626" s="13" t="n"/>
      <c r="L626" s="13" t="n"/>
      <c r="M626" s="13" t="n"/>
      <c r="N626" s="14">
        <f>IF(A626="","",COUNT(H626:M626)/6)</f>
        <v/>
      </c>
      <c r="O626" s="15">
        <f>IF(COUNT(H626:M626)=0,"",IF(LEN(IF(COUNT(I626,J626)=2,IF(J626&gt;I626+1,"EBE &gt; VA ",""),"")&amp;IF(COUNT(H626,M626)=2,IF(ABS(M626)&gt;ABS(H626),"RN &gt; CA ",""),"")&amp;IF(COUNT(H626,K626)=2,IF(ABS(K626)&gt;ABS(H626),"RE &gt; CA ",""),""))=0,"OK",IF(COUNT(I626,J626)=2,IF(J626&gt;I626+1,"EBE &gt; VA ",""),"")&amp;IF(COUNT(H626,M626)=2,IF(ABS(M626)&gt;ABS(H626),"RN &gt; CA ",""),"")&amp;IF(COUNT(H626,K626)=2,IF(ABS(K626)&gt;ABS(H626),"RE &gt; CA ",""),"")))</f>
        <v/>
      </c>
      <c r="P626" s="16">
        <f>IF(OR($A626="",H626="",$C626=""),"",IF(COUNTIFS($A$5:$A$639,$A626,$C$5:$C$639,$C626-1,$D$5:$D$639,$D626,H$5:H$639,"&lt;&gt;")=0,"",IF(OR(SUMIFS(H$5:H$639,$A$5:$A$639,$A626,$C$5:$C$639,$C626-1,$D$5:$D$639,$D626)=0,H626*SUMIFS(H$5:H$639,$A$5:$A$639,$A626,$C$5:$C$639,$C626-1,$D$5:$D$639,$D626)&lt;0),"n.s.",ABS(H626)/ABS(SUMIFS(H$5:H$639,$A$5:$A$639,$A626,$C$5:$C$639,$C626-1,$D$5:$D$639,$D626))-1)))</f>
        <v/>
      </c>
      <c r="Q626" s="16">
        <f>IF(OR($A626="",I626="",$C626=""),"",IF(COUNTIFS($A$5:$A$639,$A626,$C$5:$C$639,$C626-1,$D$5:$D$639,$D626,I$5:I$639,"&lt;&gt;")=0,"",IF(OR(SUMIFS(I$5:I$639,$A$5:$A$639,$A626,$C$5:$C$639,$C626-1,$D$5:$D$639,$D626)=0,I626*SUMIFS(I$5:I$639,$A$5:$A$639,$A626,$C$5:$C$639,$C626-1,$D$5:$D$639,$D626)&lt;0),"n.s.",ABS(I626)/ABS(SUMIFS(I$5:I$639,$A$5:$A$639,$A626,$C$5:$C$639,$C626-1,$D$5:$D$639,$D626))-1)))</f>
        <v/>
      </c>
      <c r="R626" s="16">
        <f>IF(OR($A626="",J626="",$C626=""),"",IF(COUNTIFS($A$5:$A$639,$A626,$C$5:$C$639,$C626-1,$D$5:$D$639,$D626,J$5:J$639,"&lt;&gt;")=0,"",IF(OR(SUMIFS(J$5:J$639,$A$5:$A$639,$A626,$C$5:$C$639,$C626-1,$D$5:$D$639,$D626)=0,J626*SUMIFS(J$5:J$639,$A$5:$A$639,$A626,$C$5:$C$639,$C626-1,$D$5:$D$639,$D626)&lt;0),"n.s.",ABS(J626)/ABS(SUMIFS(J$5:J$639,$A$5:$A$639,$A626,$C$5:$C$639,$C626-1,$D$5:$D$639,$D626))-1)))</f>
        <v/>
      </c>
      <c r="S626" s="16">
        <f>IF(OR($A626="",K626="",$C626=""),"",IF(COUNTIFS($A$5:$A$639,$A626,$C$5:$C$639,$C626-1,$D$5:$D$639,$D626,K$5:K$639,"&lt;&gt;")=0,"",IF(OR(SUMIFS(K$5:K$639,$A$5:$A$639,$A626,$C$5:$C$639,$C626-1,$D$5:$D$639,$D626)=0,K626*SUMIFS(K$5:K$639,$A$5:$A$639,$A626,$C$5:$C$639,$C626-1,$D$5:$D$639,$D626)&lt;0),"n.s.",ABS(K626)/ABS(SUMIFS(K$5:K$639,$A$5:$A$639,$A626,$C$5:$C$639,$C626-1,$D$5:$D$639,$D626))-1)))</f>
        <v/>
      </c>
      <c r="T626" s="16">
        <f>IF(OR($A626="",L626="",$C626=""),"",IF(COUNTIFS($A$5:$A$639,$A626,$C$5:$C$639,$C626-1,$D$5:$D$639,$D626,L$5:L$639,"&lt;&gt;")=0,"",IF(OR(SUMIFS(L$5:L$639,$A$5:$A$639,$A626,$C$5:$C$639,$C626-1,$D$5:$D$639,$D626)=0,L626*SUMIFS(L$5:L$639,$A$5:$A$639,$A626,$C$5:$C$639,$C626-1,$D$5:$D$639,$D626)&lt;0),"n.s.",ABS(L626)/ABS(SUMIFS(L$5:L$639,$A$5:$A$639,$A626,$C$5:$C$639,$C626-1,$D$5:$D$639,$D626))-1)))</f>
        <v/>
      </c>
      <c r="U626" s="16">
        <f>IF(OR($A626="",M626="",$C626=""),"",IF(COUNTIFS($A$5:$A$639,$A626,$C$5:$C$639,$C626-1,$D$5:$D$639,$D626,M$5:M$639,"&lt;&gt;")=0,"",IF(OR(SUMIFS(M$5:M$639,$A$5:$A$639,$A626,$C$5:$C$639,$C626-1,$D$5:$D$639,$D626)=0,M626*SUMIFS(M$5:M$639,$A$5:$A$639,$A626,$C$5:$C$639,$C626-1,$D$5:$D$639,$D626)&lt;0),"n.s.",ABS(M626)/ABS(SUMIFS(M$5:M$639,$A$5:$A$639,$A626,$C$5:$C$639,$C626-1,$D$5:$D$639,$D626))-1)))</f>
        <v/>
      </c>
    </row>
    <row r="627">
      <c r="A627" s="9" t="n"/>
      <c r="B627" s="10">
        <f>IF(A627="","",IFERROR(VLOOKUP(A627,Titres!$A$2:$B$400,2,FALSE),"Ticker inconnu"))</f>
        <v/>
      </c>
      <c r="C627" s="11" t="n"/>
      <c r="D627" s="11" t="n"/>
      <c r="E627" s="9" t="n"/>
      <c r="F627" s="12" t="n"/>
      <c r="G627" s="9" t="n"/>
      <c r="H627" s="13" t="n"/>
      <c r="I627" s="13" t="n"/>
      <c r="J627" s="13" t="n"/>
      <c r="K627" s="13" t="n"/>
      <c r="L627" s="13" t="n"/>
      <c r="M627" s="13" t="n"/>
      <c r="N627" s="14">
        <f>IF(A627="","",COUNT(H627:M627)/6)</f>
        <v/>
      </c>
      <c r="O627" s="15">
        <f>IF(COUNT(H627:M627)=0,"",IF(LEN(IF(COUNT(I627,J627)=2,IF(J627&gt;I627+1,"EBE &gt; VA ",""),"")&amp;IF(COUNT(H627,M627)=2,IF(ABS(M627)&gt;ABS(H627),"RN &gt; CA ",""),"")&amp;IF(COUNT(H627,K627)=2,IF(ABS(K627)&gt;ABS(H627),"RE &gt; CA ",""),""))=0,"OK",IF(COUNT(I627,J627)=2,IF(J627&gt;I627+1,"EBE &gt; VA ",""),"")&amp;IF(COUNT(H627,M627)=2,IF(ABS(M627)&gt;ABS(H627),"RN &gt; CA ",""),"")&amp;IF(COUNT(H627,K627)=2,IF(ABS(K627)&gt;ABS(H627),"RE &gt; CA ",""),"")))</f>
        <v/>
      </c>
      <c r="P627" s="16">
        <f>IF(OR($A627="",H627="",$C627=""),"",IF(COUNTIFS($A$5:$A$639,$A627,$C$5:$C$639,$C627-1,$D$5:$D$639,$D627,H$5:H$639,"&lt;&gt;")=0,"",IF(OR(SUMIFS(H$5:H$639,$A$5:$A$639,$A627,$C$5:$C$639,$C627-1,$D$5:$D$639,$D627)=0,H627*SUMIFS(H$5:H$639,$A$5:$A$639,$A627,$C$5:$C$639,$C627-1,$D$5:$D$639,$D627)&lt;0),"n.s.",ABS(H627)/ABS(SUMIFS(H$5:H$639,$A$5:$A$639,$A627,$C$5:$C$639,$C627-1,$D$5:$D$639,$D627))-1)))</f>
        <v/>
      </c>
      <c r="Q627" s="16">
        <f>IF(OR($A627="",I627="",$C627=""),"",IF(COUNTIFS($A$5:$A$639,$A627,$C$5:$C$639,$C627-1,$D$5:$D$639,$D627,I$5:I$639,"&lt;&gt;")=0,"",IF(OR(SUMIFS(I$5:I$639,$A$5:$A$639,$A627,$C$5:$C$639,$C627-1,$D$5:$D$639,$D627)=0,I627*SUMIFS(I$5:I$639,$A$5:$A$639,$A627,$C$5:$C$639,$C627-1,$D$5:$D$639,$D627)&lt;0),"n.s.",ABS(I627)/ABS(SUMIFS(I$5:I$639,$A$5:$A$639,$A627,$C$5:$C$639,$C627-1,$D$5:$D$639,$D627))-1)))</f>
        <v/>
      </c>
      <c r="R627" s="16">
        <f>IF(OR($A627="",J627="",$C627=""),"",IF(COUNTIFS($A$5:$A$639,$A627,$C$5:$C$639,$C627-1,$D$5:$D$639,$D627,J$5:J$639,"&lt;&gt;")=0,"",IF(OR(SUMIFS(J$5:J$639,$A$5:$A$639,$A627,$C$5:$C$639,$C627-1,$D$5:$D$639,$D627)=0,J627*SUMIFS(J$5:J$639,$A$5:$A$639,$A627,$C$5:$C$639,$C627-1,$D$5:$D$639,$D627)&lt;0),"n.s.",ABS(J627)/ABS(SUMIFS(J$5:J$639,$A$5:$A$639,$A627,$C$5:$C$639,$C627-1,$D$5:$D$639,$D627))-1)))</f>
        <v/>
      </c>
      <c r="S627" s="16">
        <f>IF(OR($A627="",K627="",$C627=""),"",IF(COUNTIFS($A$5:$A$639,$A627,$C$5:$C$639,$C627-1,$D$5:$D$639,$D627,K$5:K$639,"&lt;&gt;")=0,"",IF(OR(SUMIFS(K$5:K$639,$A$5:$A$639,$A627,$C$5:$C$639,$C627-1,$D$5:$D$639,$D627)=0,K627*SUMIFS(K$5:K$639,$A$5:$A$639,$A627,$C$5:$C$639,$C627-1,$D$5:$D$639,$D627)&lt;0),"n.s.",ABS(K627)/ABS(SUMIFS(K$5:K$639,$A$5:$A$639,$A627,$C$5:$C$639,$C627-1,$D$5:$D$639,$D627))-1)))</f>
        <v/>
      </c>
      <c r="T627" s="16">
        <f>IF(OR($A627="",L627="",$C627=""),"",IF(COUNTIFS($A$5:$A$639,$A627,$C$5:$C$639,$C627-1,$D$5:$D$639,$D627,L$5:L$639,"&lt;&gt;")=0,"",IF(OR(SUMIFS(L$5:L$639,$A$5:$A$639,$A627,$C$5:$C$639,$C627-1,$D$5:$D$639,$D627)=0,L627*SUMIFS(L$5:L$639,$A$5:$A$639,$A627,$C$5:$C$639,$C627-1,$D$5:$D$639,$D627)&lt;0),"n.s.",ABS(L627)/ABS(SUMIFS(L$5:L$639,$A$5:$A$639,$A627,$C$5:$C$639,$C627-1,$D$5:$D$639,$D627))-1)))</f>
        <v/>
      </c>
      <c r="U627" s="16">
        <f>IF(OR($A627="",M627="",$C627=""),"",IF(COUNTIFS($A$5:$A$639,$A627,$C$5:$C$639,$C627-1,$D$5:$D$639,$D627,M$5:M$639,"&lt;&gt;")=0,"",IF(OR(SUMIFS(M$5:M$639,$A$5:$A$639,$A627,$C$5:$C$639,$C627-1,$D$5:$D$639,$D627)=0,M627*SUMIFS(M$5:M$639,$A$5:$A$639,$A627,$C$5:$C$639,$C627-1,$D$5:$D$639,$D627)&lt;0),"n.s.",ABS(M627)/ABS(SUMIFS(M$5:M$639,$A$5:$A$639,$A627,$C$5:$C$639,$C627-1,$D$5:$D$639,$D627))-1)))</f>
        <v/>
      </c>
    </row>
    <row r="628">
      <c r="A628" s="9" t="n"/>
      <c r="B628" s="10">
        <f>IF(A628="","",IFERROR(VLOOKUP(A628,Titres!$A$2:$B$400,2,FALSE),"Ticker inconnu"))</f>
        <v/>
      </c>
      <c r="C628" s="11" t="n"/>
      <c r="D628" s="11" t="n"/>
      <c r="E628" s="9" t="n"/>
      <c r="F628" s="12" t="n"/>
      <c r="G628" s="9" t="n"/>
      <c r="H628" s="13" t="n"/>
      <c r="I628" s="13" t="n"/>
      <c r="J628" s="13" t="n"/>
      <c r="K628" s="13" t="n"/>
      <c r="L628" s="13" t="n"/>
      <c r="M628" s="13" t="n"/>
      <c r="N628" s="14">
        <f>IF(A628="","",COUNT(H628:M628)/6)</f>
        <v/>
      </c>
      <c r="O628" s="15">
        <f>IF(COUNT(H628:M628)=0,"",IF(LEN(IF(COUNT(I628,J628)=2,IF(J628&gt;I628+1,"EBE &gt; VA ",""),"")&amp;IF(COUNT(H628,M628)=2,IF(ABS(M628)&gt;ABS(H628),"RN &gt; CA ",""),"")&amp;IF(COUNT(H628,K628)=2,IF(ABS(K628)&gt;ABS(H628),"RE &gt; CA ",""),""))=0,"OK",IF(COUNT(I628,J628)=2,IF(J628&gt;I628+1,"EBE &gt; VA ",""),"")&amp;IF(COUNT(H628,M628)=2,IF(ABS(M628)&gt;ABS(H628),"RN &gt; CA ",""),"")&amp;IF(COUNT(H628,K628)=2,IF(ABS(K628)&gt;ABS(H628),"RE &gt; CA ",""),"")))</f>
        <v/>
      </c>
      <c r="P628" s="16">
        <f>IF(OR($A628="",H628="",$C628=""),"",IF(COUNTIFS($A$5:$A$639,$A628,$C$5:$C$639,$C628-1,$D$5:$D$639,$D628,H$5:H$639,"&lt;&gt;")=0,"",IF(OR(SUMIFS(H$5:H$639,$A$5:$A$639,$A628,$C$5:$C$639,$C628-1,$D$5:$D$639,$D628)=0,H628*SUMIFS(H$5:H$639,$A$5:$A$639,$A628,$C$5:$C$639,$C628-1,$D$5:$D$639,$D628)&lt;0),"n.s.",ABS(H628)/ABS(SUMIFS(H$5:H$639,$A$5:$A$639,$A628,$C$5:$C$639,$C628-1,$D$5:$D$639,$D628))-1)))</f>
        <v/>
      </c>
      <c r="Q628" s="16">
        <f>IF(OR($A628="",I628="",$C628=""),"",IF(COUNTIFS($A$5:$A$639,$A628,$C$5:$C$639,$C628-1,$D$5:$D$639,$D628,I$5:I$639,"&lt;&gt;")=0,"",IF(OR(SUMIFS(I$5:I$639,$A$5:$A$639,$A628,$C$5:$C$639,$C628-1,$D$5:$D$639,$D628)=0,I628*SUMIFS(I$5:I$639,$A$5:$A$639,$A628,$C$5:$C$639,$C628-1,$D$5:$D$639,$D628)&lt;0),"n.s.",ABS(I628)/ABS(SUMIFS(I$5:I$639,$A$5:$A$639,$A628,$C$5:$C$639,$C628-1,$D$5:$D$639,$D628))-1)))</f>
        <v/>
      </c>
      <c r="R628" s="16">
        <f>IF(OR($A628="",J628="",$C628=""),"",IF(COUNTIFS($A$5:$A$639,$A628,$C$5:$C$639,$C628-1,$D$5:$D$639,$D628,J$5:J$639,"&lt;&gt;")=0,"",IF(OR(SUMIFS(J$5:J$639,$A$5:$A$639,$A628,$C$5:$C$639,$C628-1,$D$5:$D$639,$D628)=0,J628*SUMIFS(J$5:J$639,$A$5:$A$639,$A628,$C$5:$C$639,$C628-1,$D$5:$D$639,$D628)&lt;0),"n.s.",ABS(J628)/ABS(SUMIFS(J$5:J$639,$A$5:$A$639,$A628,$C$5:$C$639,$C628-1,$D$5:$D$639,$D628))-1)))</f>
        <v/>
      </c>
      <c r="S628" s="16">
        <f>IF(OR($A628="",K628="",$C628=""),"",IF(COUNTIFS($A$5:$A$639,$A628,$C$5:$C$639,$C628-1,$D$5:$D$639,$D628,K$5:K$639,"&lt;&gt;")=0,"",IF(OR(SUMIFS(K$5:K$639,$A$5:$A$639,$A628,$C$5:$C$639,$C628-1,$D$5:$D$639,$D628)=0,K628*SUMIFS(K$5:K$639,$A$5:$A$639,$A628,$C$5:$C$639,$C628-1,$D$5:$D$639,$D628)&lt;0),"n.s.",ABS(K628)/ABS(SUMIFS(K$5:K$639,$A$5:$A$639,$A628,$C$5:$C$639,$C628-1,$D$5:$D$639,$D628))-1)))</f>
        <v/>
      </c>
      <c r="T628" s="16">
        <f>IF(OR($A628="",L628="",$C628=""),"",IF(COUNTIFS($A$5:$A$639,$A628,$C$5:$C$639,$C628-1,$D$5:$D$639,$D628,L$5:L$639,"&lt;&gt;")=0,"",IF(OR(SUMIFS(L$5:L$639,$A$5:$A$639,$A628,$C$5:$C$639,$C628-1,$D$5:$D$639,$D628)=0,L628*SUMIFS(L$5:L$639,$A$5:$A$639,$A628,$C$5:$C$639,$C628-1,$D$5:$D$639,$D628)&lt;0),"n.s.",ABS(L628)/ABS(SUMIFS(L$5:L$639,$A$5:$A$639,$A628,$C$5:$C$639,$C628-1,$D$5:$D$639,$D628))-1)))</f>
        <v/>
      </c>
      <c r="U628" s="16">
        <f>IF(OR($A628="",M628="",$C628=""),"",IF(COUNTIFS($A$5:$A$639,$A628,$C$5:$C$639,$C628-1,$D$5:$D$639,$D628,M$5:M$639,"&lt;&gt;")=0,"",IF(OR(SUMIFS(M$5:M$639,$A$5:$A$639,$A628,$C$5:$C$639,$C628-1,$D$5:$D$639,$D628)=0,M628*SUMIFS(M$5:M$639,$A$5:$A$639,$A628,$C$5:$C$639,$C628-1,$D$5:$D$639,$D628)&lt;0),"n.s.",ABS(M628)/ABS(SUMIFS(M$5:M$639,$A$5:$A$639,$A628,$C$5:$C$639,$C628-1,$D$5:$D$639,$D628))-1)))</f>
        <v/>
      </c>
    </row>
    <row r="629">
      <c r="A629" s="9" t="n"/>
      <c r="B629" s="10">
        <f>IF(A629="","",IFERROR(VLOOKUP(A629,Titres!$A$2:$B$400,2,FALSE),"Ticker inconnu"))</f>
        <v/>
      </c>
      <c r="C629" s="11" t="n"/>
      <c r="D629" s="11" t="n"/>
      <c r="E629" s="9" t="n"/>
      <c r="F629" s="12" t="n"/>
      <c r="G629" s="9" t="n"/>
      <c r="H629" s="13" t="n"/>
      <c r="I629" s="13" t="n"/>
      <c r="J629" s="13" t="n"/>
      <c r="K629" s="13" t="n"/>
      <c r="L629" s="13" t="n"/>
      <c r="M629" s="13" t="n"/>
      <c r="N629" s="14">
        <f>IF(A629="","",COUNT(H629:M629)/6)</f>
        <v/>
      </c>
      <c r="O629" s="15">
        <f>IF(COUNT(H629:M629)=0,"",IF(LEN(IF(COUNT(I629,J629)=2,IF(J629&gt;I629+1,"EBE &gt; VA ",""),"")&amp;IF(COUNT(H629,M629)=2,IF(ABS(M629)&gt;ABS(H629),"RN &gt; CA ",""),"")&amp;IF(COUNT(H629,K629)=2,IF(ABS(K629)&gt;ABS(H629),"RE &gt; CA ",""),""))=0,"OK",IF(COUNT(I629,J629)=2,IF(J629&gt;I629+1,"EBE &gt; VA ",""),"")&amp;IF(COUNT(H629,M629)=2,IF(ABS(M629)&gt;ABS(H629),"RN &gt; CA ",""),"")&amp;IF(COUNT(H629,K629)=2,IF(ABS(K629)&gt;ABS(H629),"RE &gt; CA ",""),"")))</f>
        <v/>
      </c>
      <c r="P629" s="16">
        <f>IF(OR($A629="",H629="",$C629=""),"",IF(COUNTIFS($A$5:$A$639,$A629,$C$5:$C$639,$C629-1,$D$5:$D$639,$D629,H$5:H$639,"&lt;&gt;")=0,"",IF(OR(SUMIFS(H$5:H$639,$A$5:$A$639,$A629,$C$5:$C$639,$C629-1,$D$5:$D$639,$D629)=0,H629*SUMIFS(H$5:H$639,$A$5:$A$639,$A629,$C$5:$C$639,$C629-1,$D$5:$D$639,$D629)&lt;0),"n.s.",ABS(H629)/ABS(SUMIFS(H$5:H$639,$A$5:$A$639,$A629,$C$5:$C$639,$C629-1,$D$5:$D$639,$D629))-1)))</f>
        <v/>
      </c>
      <c r="Q629" s="16">
        <f>IF(OR($A629="",I629="",$C629=""),"",IF(COUNTIFS($A$5:$A$639,$A629,$C$5:$C$639,$C629-1,$D$5:$D$639,$D629,I$5:I$639,"&lt;&gt;")=0,"",IF(OR(SUMIFS(I$5:I$639,$A$5:$A$639,$A629,$C$5:$C$639,$C629-1,$D$5:$D$639,$D629)=0,I629*SUMIFS(I$5:I$639,$A$5:$A$639,$A629,$C$5:$C$639,$C629-1,$D$5:$D$639,$D629)&lt;0),"n.s.",ABS(I629)/ABS(SUMIFS(I$5:I$639,$A$5:$A$639,$A629,$C$5:$C$639,$C629-1,$D$5:$D$639,$D629))-1)))</f>
        <v/>
      </c>
      <c r="R629" s="16">
        <f>IF(OR($A629="",J629="",$C629=""),"",IF(COUNTIFS($A$5:$A$639,$A629,$C$5:$C$639,$C629-1,$D$5:$D$639,$D629,J$5:J$639,"&lt;&gt;")=0,"",IF(OR(SUMIFS(J$5:J$639,$A$5:$A$639,$A629,$C$5:$C$639,$C629-1,$D$5:$D$639,$D629)=0,J629*SUMIFS(J$5:J$639,$A$5:$A$639,$A629,$C$5:$C$639,$C629-1,$D$5:$D$639,$D629)&lt;0),"n.s.",ABS(J629)/ABS(SUMIFS(J$5:J$639,$A$5:$A$639,$A629,$C$5:$C$639,$C629-1,$D$5:$D$639,$D629))-1)))</f>
        <v/>
      </c>
      <c r="S629" s="16">
        <f>IF(OR($A629="",K629="",$C629=""),"",IF(COUNTIFS($A$5:$A$639,$A629,$C$5:$C$639,$C629-1,$D$5:$D$639,$D629,K$5:K$639,"&lt;&gt;")=0,"",IF(OR(SUMIFS(K$5:K$639,$A$5:$A$639,$A629,$C$5:$C$639,$C629-1,$D$5:$D$639,$D629)=0,K629*SUMIFS(K$5:K$639,$A$5:$A$639,$A629,$C$5:$C$639,$C629-1,$D$5:$D$639,$D629)&lt;0),"n.s.",ABS(K629)/ABS(SUMIFS(K$5:K$639,$A$5:$A$639,$A629,$C$5:$C$639,$C629-1,$D$5:$D$639,$D629))-1)))</f>
        <v/>
      </c>
      <c r="T629" s="16">
        <f>IF(OR($A629="",L629="",$C629=""),"",IF(COUNTIFS($A$5:$A$639,$A629,$C$5:$C$639,$C629-1,$D$5:$D$639,$D629,L$5:L$639,"&lt;&gt;")=0,"",IF(OR(SUMIFS(L$5:L$639,$A$5:$A$639,$A629,$C$5:$C$639,$C629-1,$D$5:$D$639,$D629)=0,L629*SUMIFS(L$5:L$639,$A$5:$A$639,$A629,$C$5:$C$639,$C629-1,$D$5:$D$639,$D629)&lt;0),"n.s.",ABS(L629)/ABS(SUMIFS(L$5:L$639,$A$5:$A$639,$A629,$C$5:$C$639,$C629-1,$D$5:$D$639,$D629))-1)))</f>
        <v/>
      </c>
      <c r="U629" s="16">
        <f>IF(OR($A629="",M629="",$C629=""),"",IF(COUNTIFS($A$5:$A$639,$A629,$C$5:$C$639,$C629-1,$D$5:$D$639,$D629,M$5:M$639,"&lt;&gt;")=0,"",IF(OR(SUMIFS(M$5:M$639,$A$5:$A$639,$A629,$C$5:$C$639,$C629-1,$D$5:$D$639,$D629)=0,M629*SUMIFS(M$5:M$639,$A$5:$A$639,$A629,$C$5:$C$639,$C629-1,$D$5:$D$639,$D629)&lt;0),"n.s.",ABS(M629)/ABS(SUMIFS(M$5:M$639,$A$5:$A$639,$A629,$C$5:$C$639,$C629-1,$D$5:$D$639,$D629))-1)))</f>
        <v/>
      </c>
    </row>
    <row r="630">
      <c r="A630" s="9" t="n"/>
      <c r="B630" s="10">
        <f>IF(A630="","",IFERROR(VLOOKUP(A630,Titres!$A$2:$B$400,2,FALSE),"Ticker inconnu"))</f>
        <v/>
      </c>
      <c r="C630" s="11" t="n"/>
      <c r="D630" s="11" t="n"/>
      <c r="E630" s="9" t="n"/>
      <c r="F630" s="12" t="n"/>
      <c r="G630" s="9" t="n"/>
      <c r="H630" s="13" t="n"/>
      <c r="I630" s="13" t="n"/>
      <c r="J630" s="13" t="n"/>
      <c r="K630" s="13" t="n"/>
      <c r="L630" s="13" t="n"/>
      <c r="M630" s="13" t="n"/>
      <c r="N630" s="14">
        <f>IF(A630="","",COUNT(H630:M630)/6)</f>
        <v/>
      </c>
      <c r="O630" s="15">
        <f>IF(COUNT(H630:M630)=0,"",IF(LEN(IF(COUNT(I630,J630)=2,IF(J630&gt;I630+1,"EBE &gt; VA ",""),"")&amp;IF(COUNT(H630,M630)=2,IF(ABS(M630)&gt;ABS(H630),"RN &gt; CA ",""),"")&amp;IF(COUNT(H630,K630)=2,IF(ABS(K630)&gt;ABS(H630),"RE &gt; CA ",""),""))=0,"OK",IF(COUNT(I630,J630)=2,IF(J630&gt;I630+1,"EBE &gt; VA ",""),"")&amp;IF(COUNT(H630,M630)=2,IF(ABS(M630)&gt;ABS(H630),"RN &gt; CA ",""),"")&amp;IF(COUNT(H630,K630)=2,IF(ABS(K630)&gt;ABS(H630),"RE &gt; CA ",""),"")))</f>
        <v/>
      </c>
      <c r="P630" s="16">
        <f>IF(OR($A630="",H630="",$C630=""),"",IF(COUNTIFS($A$5:$A$639,$A630,$C$5:$C$639,$C630-1,$D$5:$D$639,$D630,H$5:H$639,"&lt;&gt;")=0,"",IF(OR(SUMIFS(H$5:H$639,$A$5:$A$639,$A630,$C$5:$C$639,$C630-1,$D$5:$D$639,$D630)=0,H630*SUMIFS(H$5:H$639,$A$5:$A$639,$A630,$C$5:$C$639,$C630-1,$D$5:$D$639,$D630)&lt;0),"n.s.",ABS(H630)/ABS(SUMIFS(H$5:H$639,$A$5:$A$639,$A630,$C$5:$C$639,$C630-1,$D$5:$D$639,$D630))-1)))</f>
        <v/>
      </c>
      <c r="Q630" s="16">
        <f>IF(OR($A630="",I630="",$C630=""),"",IF(COUNTIFS($A$5:$A$639,$A630,$C$5:$C$639,$C630-1,$D$5:$D$639,$D630,I$5:I$639,"&lt;&gt;")=0,"",IF(OR(SUMIFS(I$5:I$639,$A$5:$A$639,$A630,$C$5:$C$639,$C630-1,$D$5:$D$639,$D630)=0,I630*SUMIFS(I$5:I$639,$A$5:$A$639,$A630,$C$5:$C$639,$C630-1,$D$5:$D$639,$D630)&lt;0),"n.s.",ABS(I630)/ABS(SUMIFS(I$5:I$639,$A$5:$A$639,$A630,$C$5:$C$639,$C630-1,$D$5:$D$639,$D630))-1)))</f>
        <v/>
      </c>
      <c r="R630" s="16">
        <f>IF(OR($A630="",J630="",$C630=""),"",IF(COUNTIFS($A$5:$A$639,$A630,$C$5:$C$639,$C630-1,$D$5:$D$639,$D630,J$5:J$639,"&lt;&gt;")=0,"",IF(OR(SUMIFS(J$5:J$639,$A$5:$A$639,$A630,$C$5:$C$639,$C630-1,$D$5:$D$639,$D630)=0,J630*SUMIFS(J$5:J$639,$A$5:$A$639,$A630,$C$5:$C$639,$C630-1,$D$5:$D$639,$D630)&lt;0),"n.s.",ABS(J630)/ABS(SUMIFS(J$5:J$639,$A$5:$A$639,$A630,$C$5:$C$639,$C630-1,$D$5:$D$639,$D630))-1)))</f>
        <v/>
      </c>
      <c r="S630" s="16">
        <f>IF(OR($A630="",K630="",$C630=""),"",IF(COUNTIFS($A$5:$A$639,$A630,$C$5:$C$639,$C630-1,$D$5:$D$639,$D630,K$5:K$639,"&lt;&gt;")=0,"",IF(OR(SUMIFS(K$5:K$639,$A$5:$A$639,$A630,$C$5:$C$639,$C630-1,$D$5:$D$639,$D630)=0,K630*SUMIFS(K$5:K$639,$A$5:$A$639,$A630,$C$5:$C$639,$C630-1,$D$5:$D$639,$D630)&lt;0),"n.s.",ABS(K630)/ABS(SUMIFS(K$5:K$639,$A$5:$A$639,$A630,$C$5:$C$639,$C630-1,$D$5:$D$639,$D630))-1)))</f>
        <v/>
      </c>
      <c r="T630" s="16">
        <f>IF(OR($A630="",L630="",$C630=""),"",IF(COUNTIFS($A$5:$A$639,$A630,$C$5:$C$639,$C630-1,$D$5:$D$639,$D630,L$5:L$639,"&lt;&gt;")=0,"",IF(OR(SUMIFS(L$5:L$639,$A$5:$A$639,$A630,$C$5:$C$639,$C630-1,$D$5:$D$639,$D630)=0,L630*SUMIFS(L$5:L$639,$A$5:$A$639,$A630,$C$5:$C$639,$C630-1,$D$5:$D$639,$D630)&lt;0),"n.s.",ABS(L630)/ABS(SUMIFS(L$5:L$639,$A$5:$A$639,$A630,$C$5:$C$639,$C630-1,$D$5:$D$639,$D630))-1)))</f>
        <v/>
      </c>
      <c r="U630" s="16">
        <f>IF(OR($A630="",M630="",$C630=""),"",IF(COUNTIFS($A$5:$A$639,$A630,$C$5:$C$639,$C630-1,$D$5:$D$639,$D630,M$5:M$639,"&lt;&gt;")=0,"",IF(OR(SUMIFS(M$5:M$639,$A$5:$A$639,$A630,$C$5:$C$639,$C630-1,$D$5:$D$639,$D630)=0,M630*SUMIFS(M$5:M$639,$A$5:$A$639,$A630,$C$5:$C$639,$C630-1,$D$5:$D$639,$D630)&lt;0),"n.s.",ABS(M630)/ABS(SUMIFS(M$5:M$639,$A$5:$A$639,$A630,$C$5:$C$639,$C630-1,$D$5:$D$639,$D630))-1)))</f>
        <v/>
      </c>
    </row>
    <row r="631">
      <c r="A631" s="9" t="n"/>
      <c r="B631" s="10">
        <f>IF(A631="","",IFERROR(VLOOKUP(A631,Titres!$A$2:$B$400,2,FALSE),"Ticker inconnu"))</f>
        <v/>
      </c>
      <c r="C631" s="11" t="n"/>
      <c r="D631" s="11" t="n"/>
      <c r="E631" s="9" t="n"/>
      <c r="F631" s="12" t="n"/>
      <c r="G631" s="9" t="n"/>
      <c r="H631" s="13" t="n"/>
      <c r="I631" s="13" t="n"/>
      <c r="J631" s="13" t="n"/>
      <c r="K631" s="13" t="n"/>
      <c r="L631" s="13" t="n"/>
      <c r="M631" s="13" t="n"/>
      <c r="N631" s="14">
        <f>IF(A631="","",COUNT(H631:M631)/6)</f>
        <v/>
      </c>
      <c r="O631" s="15">
        <f>IF(COUNT(H631:M631)=0,"",IF(LEN(IF(COUNT(I631,J631)=2,IF(J631&gt;I631+1,"EBE &gt; VA ",""),"")&amp;IF(COUNT(H631,M631)=2,IF(ABS(M631)&gt;ABS(H631),"RN &gt; CA ",""),"")&amp;IF(COUNT(H631,K631)=2,IF(ABS(K631)&gt;ABS(H631),"RE &gt; CA ",""),""))=0,"OK",IF(COUNT(I631,J631)=2,IF(J631&gt;I631+1,"EBE &gt; VA ",""),"")&amp;IF(COUNT(H631,M631)=2,IF(ABS(M631)&gt;ABS(H631),"RN &gt; CA ",""),"")&amp;IF(COUNT(H631,K631)=2,IF(ABS(K631)&gt;ABS(H631),"RE &gt; CA ",""),"")))</f>
        <v/>
      </c>
      <c r="P631" s="16">
        <f>IF(OR($A631="",H631="",$C631=""),"",IF(COUNTIFS($A$5:$A$639,$A631,$C$5:$C$639,$C631-1,$D$5:$D$639,$D631,H$5:H$639,"&lt;&gt;")=0,"",IF(OR(SUMIFS(H$5:H$639,$A$5:$A$639,$A631,$C$5:$C$639,$C631-1,$D$5:$D$639,$D631)=0,H631*SUMIFS(H$5:H$639,$A$5:$A$639,$A631,$C$5:$C$639,$C631-1,$D$5:$D$639,$D631)&lt;0),"n.s.",ABS(H631)/ABS(SUMIFS(H$5:H$639,$A$5:$A$639,$A631,$C$5:$C$639,$C631-1,$D$5:$D$639,$D631))-1)))</f>
        <v/>
      </c>
      <c r="Q631" s="16">
        <f>IF(OR($A631="",I631="",$C631=""),"",IF(COUNTIFS($A$5:$A$639,$A631,$C$5:$C$639,$C631-1,$D$5:$D$639,$D631,I$5:I$639,"&lt;&gt;")=0,"",IF(OR(SUMIFS(I$5:I$639,$A$5:$A$639,$A631,$C$5:$C$639,$C631-1,$D$5:$D$639,$D631)=0,I631*SUMIFS(I$5:I$639,$A$5:$A$639,$A631,$C$5:$C$639,$C631-1,$D$5:$D$639,$D631)&lt;0),"n.s.",ABS(I631)/ABS(SUMIFS(I$5:I$639,$A$5:$A$639,$A631,$C$5:$C$639,$C631-1,$D$5:$D$639,$D631))-1)))</f>
        <v/>
      </c>
      <c r="R631" s="16">
        <f>IF(OR($A631="",J631="",$C631=""),"",IF(COUNTIFS($A$5:$A$639,$A631,$C$5:$C$639,$C631-1,$D$5:$D$639,$D631,J$5:J$639,"&lt;&gt;")=0,"",IF(OR(SUMIFS(J$5:J$639,$A$5:$A$639,$A631,$C$5:$C$639,$C631-1,$D$5:$D$639,$D631)=0,J631*SUMIFS(J$5:J$639,$A$5:$A$639,$A631,$C$5:$C$639,$C631-1,$D$5:$D$639,$D631)&lt;0),"n.s.",ABS(J631)/ABS(SUMIFS(J$5:J$639,$A$5:$A$639,$A631,$C$5:$C$639,$C631-1,$D$5:$D$639,$D631))-1)))</f>
        <v/>
      </c>
      <c r="S631" s="16">
        <f>IF(OR($A631="",K631="",$C631=""),"",IF(COUNTIFS($A$5:$A$639,$A631,$C$5:$C$639,$C631-1,$D$5:$D$639,$D631,K$5:K$639,"&lt;&gt;")=0,"",IF(OR(SUMIFS(K$5:K$639,$A$5:$A$639,$A631,$C$5:$C$639,$C631-1,$D$5:$D$639,$D631)=0,K631*SUMIFS(K$5:K$639,$A$5:$A$639,$A631,$C$5:$C$639,$C631-1,$D$5:$D$639,$D631)&lt;0),"n.s.",ABS(K631)/ABS(SUMIFS(K$5:K$639,$A$5:$A$639,$A631,$C$5:$C$639,$C631-1,$D$5:$D$639,$D631))-1)))</f>
        <v/>
      </c>
      <c r="T631" s="16">
        <f>IF(OR($A631="",L631="",$C631=""),"",IF(COUNTIFS($A$5:$A$639,$A631,$C$5:$C$639,$C631-1,$D$5:$D$639,$D631,L$5:L$639,"&lt;&gt;")=0,"",IF(OR(SUMIFS(L$5:L$639,$A$5:$A$639,$A631,$C$5:$C$639,$C631-1,$D$5:$D$639,$D631)=0,L631*SUMIFS(L$5:L$639,$A$5:$A$639,$A631,$C$5:$C$639,$C631-1,$D$5:$D$639,$D631)&lt;0),"n.s.",ABS(L631)/ABS(SUMIFS(L$5:L$639,$A$5:$A$639,$A631,$C$5:$C$639,$C631-1,$D$5:$D$639,$D631))-1)))</f>
        <v/>
      </c>
      <c r="U631" s="16">
        <f>IF(OR($A631="",M631="",$C631=""),"",IF(COUNTIFS($A$5:$A$639,$A631,$C$5:$C$639,$C631-1,$D$5:$D$639,$D631,M$5:M$639,"&lt;&gt;")=0,"",IF(OR(SUMIFS(M$5:M$639,$A$5:$A$639,$A631,$C$5:$C$639,$C631-1,$D$5:$D$639,$D631)=0,M631*SUMIFS(M$5:M$639,$A$5:$A$639,$A631,$C$5:$C$639,$C631-1,$D$5:$D$639,$D631)&lt;0),"n.s.",ABS(M631)/ABS(SUMIFS(M$5:M$639,$A$5:$A$639,$A631,$C$5:$C$639,$C631-1,$D$5:$D$639,$D631))-1)))</f>
        <v/>
      </c>
    </row>
    <row r="632">
      <c r="A632" s="9" t="n"/>
      <c r="B632" s="10">
        <f>IF(A632="","",IFERROR(VLOOKUP(A632,Titres!$A$2:$B$400,2,FALSE),"Ticker inconnu"))</f>
        <v/>
      </c>
      <c r="C632" s="11" t="n"/>
      <c r="D632" s="11" t="n"/>
      <c r="E632" s="9" t="n"/>
      <c r="F632" s="12" t="n"/>
      <c r="G632" s="9" t="n"/>
      <c r="H632" s="13" t="n"/>
      <c r="I632" s="13" t="n"/>
      <c r="J632" s="13" t="n"/>
      <c r="K632" s="13" t="n"/>
      <c r="L632" s="13" t="n"/>
      <c r="M632" s="13" t="n"/>
      <c r="N632" s="14">
        <f>IF(A632="","",COUNT(H632:M632)/6)</f>
        <v/>
      </c>
      <c r="O632" s="15">
        <f>IF(COUNT(H632:M632)=0,"",IF(LEN(IF(COUNT(I632,J632)=2,IF(J632&gt;I632+1,"EBE &gt; VA ",""),"")&amp;IF(COUNT(H632,M632)=2,IF(ABS(M632)&gt;ABS(H632),"RN &gt; CA ",""),"")&amp;IF(COUNT(H632,K632)=2,IF(ABS(K632)&gt;ABS(H632),"RE &gt; CA ",""),""))=0,"OK",IF(COUNT(I632,J632)=2,IF(J632&gt;I632+1,"EBE &gt; VA ",""),"")&amp;IF(COUNT(H632,M632)=2,IF(ABS(M632)&gt;ABS(H632),"RN &gt; CA ",""),"")&amp;IF(COUNT(H632,K632)=2,IF(ABS(K632)&gt;ABS(H632),"RE &gt; CA ",""),"")))</f>
        <v/>
      </c>
      <c r="P632" s="16">
        <f>IF(OR($A632="",H632="",$C632=""),"",IF(COUNTIFS($A$5:$A$639,$A632,$C$5:$C$639,$C632-1,$D$5:$D$639,$D632,H$5:H$639,"&lt;&gt;")=0,"",IF(OR(SUMIFS(H$5:H$639,$A$5:$A$639,$A632,$C$5:$C$639,$C632-1,$D$5:$D$639,$D632)=0,H632*SUMIFS(H$5:H$639,$A$5:$A$639,$A632,$C$5:$C$639,$C632-1,$D$5:$D$639,$D632)&lt;0),"n.s.",ABS(H632)/ABS(SUMIFS(H$5:H$639,$A$5:$A$639,$A632,$C$5:$C$639,$C632-1,$D$5:$D$639,$D632))-1)))</f>
        <v/>
      </c>
      <c r="Q632" s="16">
        <f>IF(OR($A632="",I632="",$C632=""),"",IF(COUNTIFS($A$5:$A$639,$A632,$C$5:$C$639,$C632-1,$D$5:$D$639,$D632,I$5:I$639,"&lt;&gt;")=0,"",IF(OR(SUMIFS(I$5:I$639,$A$5:$A$639,$A632,$C$5:$C$639,$C632-1,$D$5:$D$639,$D632)=0,I632*SUMIFS(I$5:I$639,$A$5:$A$639,$A632,$C$5:$C$639,$C632-1,$D$5:$D$639,$D632)&lt;0),"n.s.",ABS(I632)/ABS(SUMIFS(I$5:I$639,$A$5:$A$639,$A632,$C$5:$C$639,$C632-1,$D$5:$D$639,$D632))-1)))</f>
        <v/>
      </c>
      <c r="R632" s="16">
        <f>IF(OR($A632="",J632="",$C632=""),"",IF(COUNTIFS($A$5:$A$639,$A632,$C$5:$C$639,$C632-1,$D$5:$D$639,$D632,J$5:J$639,"&lt;&gt;")=0,"",IF(OR(SUMIFS(J$5:J$639,$A$5:$A$639,$A632,$C$5:$C$639,$C632-1,$D$5:$D$639,$D632)=0,J632*SUMIFS(J$5:J$639,$A$5:$A$639,$A632,$C$5:$C$639,$C632-1,$D$5:$D$639,$D632)&lt;0),"n.s.",ABS(J632)/ABS(SUMIFS(J$5:J$639,$A$5:$A$639,$A632,$C$5:$C$639,$C632-1,$D$5:$D$639,$D632))-1)))</f>
        <v/>
      </c>
      <c r="S632" s="16">
        <f>IF(OR($A632="",K632="",$C632=""),"",IF(COUNTIFS($A$5:$A$639,$A632,$C$5:$C$639,$C632-1,$D$5:$D$639,$D632,K$5:K$639,"&lt;&gt;")=0,"",IF(OR(SUMIFS(K$5:K$639,$A$5:$A$639,$A632,$C$5:$C$639,$C632-1,$D$5:$D$639,$D632)=0,K632*SUMIFS(K$5:K$639,$A$5:$A$639,$A632,$C$5:$C$639,$C632-1,$D$5:$D$639,$D632)&lt;0),"n.s.",ABS(K632)/ABS(SUMIFS(K$5:K$639,$A$5:$A$639,$A632,$C$5:$C$639,$C632-1,$D$5:$D$639,$D632))-1)))</f>
        <v/>
      </c>
      <c r="T632" s="16">
        <f>IF(OR($A632="",L632="",$C632=""),"",IF(COUNTIFS($A$5:$A$639,$A632,$C$5:$C$639,$C632-1,$D$5:$D$639,$D632,L$5:L$639,"&lt;&gt;")=0,"",IF(OR(SUMIFS(L$5:L$639,$A$5:$A$639,$A632,$C$5:$C$639,$C632-1,$D$5:$D$639,$D632)=0,L632*SUMIFS(L$5:L$639,$A$5:$A$639,$A632,$C$5:$C$639,$C632-1,$D$5:$D$639,$D632)&lt;0),"n.s.",ABS(L632)/ABS(SUMIFS(L$5:L$639,$A$5:$A$639,$A632,$C$5:$C$639,$C632-1,$D$5:$D$639,$D632))-1)))</f>
        <v/>
      </c>
      <c r="U632" s="16">
        <f>IF(OR($A632="",M632="",$C632=""),"",IF(COUNTIFS($A$5:$A$639,$A632,$C$5:$C$639,$C632-1,$D$5:$D$639,$D632,M$5:M$639,"&lt;&gt;")=0,"",IF(OR(SUMIFS(M$5:M$639,$A$5:$A$639,$A632,$C$5:$C$639,$C632-1,$D$5:$D$639,$D632)=0,M632*SUMIFS(M$5:M$639,$A$5:$A$639,$A632,$C$5:$C$639,$C632-1,$D$5:$D$639,$D632)&lt;0),"n.s.",ABS(M632)/ABS(SUMIFS(M$5:M$639,$A$5:$A$639,$A632,$C$5:$C$639,$C632-1,$D$5:$D$639,$D632))-1)))</f>
        <v/>
      </c>
    </row>
    <row r="633">
      <c r="A633" s="9" t="n"/>
      <c r="B633" s="10">
        <f>IF(A633="","",IFERROR(VLOOKUP(A633,Titres!$A$2:$B$400,2,FALSE),"Ticker inconnu"))</f>
        <v/>
      </c>
      <c r="C633" s="11" t="n"/>
      <c r="D633" s="11" t="n"/>
      <c r="E633" s="9" t="n"/>
      <c r="F633" s="12" t="n"/>
      <c r="G633" s="9" t="n"/>
      <c r="H633" s="13" t="n"/>
      <c r="I633" s="13" t="n"/>
      <c r="J633" s="13" t="n"/>
      <c r="K633" s="13" t="n"/>
      <c r="L633" s="13" t="n"/>
      <c r="M633" s="13" t="n"/>
      <c r="N633" s="14">
        <f>IF(A633="","",COUNT(H633:M633)/6)</f>
        <v/>
      </c>
      <c r="O633" s="15">
        <f>IF(COUNT(H633:M633)=0,"",IF(LEN(IF(COUNT(I633,J633)=2,IF(J633&gt;I633+1,"EBE &gt; VA ",""),"")&amp;IF(COUNT(H633,M633)=2,IF(ABS(M633)&gt;ABS(H633),"RN &gt; CA ",""),"")&amp;IF(COUNT(H633,K633)=2,IF(ABS(K633)&gt;ABS(H633),"RE &gt; CA ",""),""))=0,"OK",IF(COUNT(I633,J633)=2,IF(J633&gt;I633+1,"EBE &gt; VA ",""),"")&amp;IF(COUNT(H633,M633)=2,IF(ABS(M633)&gt;ABS(H633),"RN &gt; CA ",""),"")&amp;IF(COUNT(H633,K633)=2,IF(ABS(K633)&gt;ABS(H633),"RE &gt; CA ",""),"")))</f>
        <v/>
      </c>
      <c r="P633" s="16">
        <f>IF(OR($A633="",H633="",$C633=""),"",IF(COUNTIFS($A$5:$A$639,$A633,$C$5:$C$639,$C633-1,$D$5:$D$639,$D633,H$5:H$639,"&lt;&gt;")=0,"",IF(OR(SUMIFS(H$5:H$639,$A$5:$A$639,$A633,$C$5:$C$639,$C633-1,$D$5:$D$639,$D633)=0,H633*SUMIFS(H$5:H$639,$A$5:$A$639,$A633,$C$5:$C$639,$C633-1,$D$5:$D$639,$D633)&lt;0),"n.s.",ABS(H633)/ABS(SUMIFS(H$5:H$639,$A$5:$A$639,$A633,$C$5:$C$639,$C633-1,$D$5:$D$639,$D633))-1)))</f>
        <v/>
      </c>
      <c r="Q633" s="16">
        <f>IF(OR($A633="",I633="",$C633=""),"",IF(COUNTIFS($A$5:$A$639,$A633,$C$5:$C$639,$C633-1,$D$5:$D$639,$D633,I$5:I$639,"&lt;&gt;")=0,"",IF(OR(SUMIFS(I$5:I$639,$A$5:$A$639,$A633,$C$5:$C$639,$C633-1,$D$5:$D$639,$D633)=0,I633*SUMIFS(I$5:I$639,$A$5:$A$639,$A633,$C$5:$C$639,$C633-1,$D$5:$D$639,$D633)&lt;0),"n.s.",ABS(I633)/ABS(SUMIFS(I$5:I$639,$A$5:$A$639,$A633,$C$5:$C$639,$C633-1,$D$5:$D$639,$D633))-1)))</f>
        <v/>
      </c>
      <c r="R633" s="16">
        <f>IF(OR($A633="",J633="",$C633=""),"",IF(COUNTIFS($A$5:$A$639,$A633,$C$5:$C$639,$C633-1,$D$5:$D$639,$D633,J$5:J$639,"&lt;&gt;")=0,"",IF(OR(SUMIFS(J$5:J$639,$A$5:$A$639,$A633,$C$5:$C$639,$C633-1,$D$5:$D$639,$D633)=0,J633*SUMIFS(J$5:J$639,$A$5:$A$639,$A633,$C$5:$C$639,$C633-1,$D$5:$D$639,$D633)&lt;0),"n.s.",ABS(J633)/ABS(SUMIFS(J$5:J$639,$A$5:$A$639,$A633,$C$5:$C$639,$C633-1,$D$5:$D$639,$D633))-1)))</f>
        <v/>
      </c>
      <c r="S633" s="16">
        <f>IF(OR($A633="",K633="",$C633=""),"",IF(COUNTIFS($A$5:$A$639,$A633,$C$5:$C$639,$C633-1,$D$5:$D$639,$D633,K$5:K$639,"&lt;&gt;")=0,"",IF(OR(SUMIFS(K$5:K$639,$A$5:$A$639,$A633,$C$5:$C$639,$C633-1,$D$5:$D$639,$D633)=0,K633*SUMIFS(K$5:K$639,$A$5:$A$639,$A633,$C$5:$C$639,$C633-1,$D$5:$D$639,$D633)&lt;0),"n.s.",ABS(K633)/ABS(SUMIFS(K$5:K$639,$A$5:$A$639,$A633,$C$5:$C$639,$C633-1,$D$5:$D$639,$D633))-1)))</f>
        <v/>
      </c>
      <c r="T633" s="16">
        <f>IF(OR($A633="",L633="",$C633=""),"",IF(COUNTIFS($A$5:$A$639,$A633,$C$5:$C$639,$C633-1,$D$5:$D$639,$D633,L$5:L$639,"&lt;&gt;")=0,"",IF(OR(SUMIFS(L$5:L$639,$A$5:$A$639,$A633,$C$5:$C$639,$C633-1,$D$5:$D$639,$D633)=0,L633*SUMIFS(L$5:L$639,$A$5:$A$639,$A633,$C$5:$C$639,$C633-1,$D$5:$D$639,$D633)&lt;0),"n.s.",ABS(L633)/ABS(SUMIFS(L$5:L$639,$A$5:$A$639,$A633,$C$5:$C$639,$C633-1,$D$5:$D$639,$D633))-1)))</f>
        <v/>
      </c>
      <c r="U633" s="16">
        <f>IF(OR($A633="",M633="",$C633=""),"",IF(COUNTIFS($A$5:$A$639,$A633,$C$5:$C$639,$C633-1,$D$5:$D$639,$D633,M$5:M$639,"&lt;&gt;")=0,"",IF(OR(SUMIFS(M$5:M$639,$A$5:$A$639,$A633,$C$5:$C$639,$C633-1,$D$5:$D$639,$D633)=0,M633*SUMIFS(M$5:M$639,$A$5:$A$639,$A633,$C$5:$C$639,$C633-1,$D$5:$D$639,$D633)&lt;0),"n.s.",ABS(M633)/ABS(SUMIFS(M$5:M$639,$A$5:$A$639,$A633,$C$5:$C$639,$C633-1,$D$5:$D$639,$D633))-1)))</f>
        <v/>
      </c>
    </row>
    <row r="634">
      <c r="A634" s="9" t="n"/>
      <c r="B634" s="10">
        <f>IF(A634="","",IFERROR(VLOOKUP(A634,Titres!$A$2:$B$400,2,FALSE),"Ticker inconnu"))</f>
        <v/>
      </c>
      <c r="C634" s="11" t="n"/>
      <c r="D634" s="11" t="n"/>
      <c r="E634" s="9" t="n"/>
      <c r="F634" s="12" t="n"/>
      <c r="G634" s="9" t="n"/>
      <c r="H634" s="13" t="n"/>
      <c r="I634" s="13" t="n"/>
      <c r="J634" s="13" t="n"/>
      <c r="K634" s="13" t="n"/>
      <c r="L634" s="13" t="n"/>
      <c r="M634" s="13" t="n"/>
      <c r="N634" s="14">
        <f>IF(A634="","",COUNT(H634:M634)/6)</f>
        <v/>
      </c>
      <c r="O634" s="15">
        <f>IF(COUNT(H634:M634)=0,"",IF(LEN(IF(COUNT(I634,J634)=2,IF(J634&gt;I634+1,"EBE &gt; VA ",""),"")&amp;IF(COUNT(H634,M634)=2,IF(ABS(M634)&gt;ABS(H634),"RN &gt; CA ",""),"")&amp;IF(COUNT(H634,K634)=2,IF(ABS(K634)&gt;ABS(H634),"RE &gt; CA ",""),""))=0,"OK",IF(COUNT(I634,J634)=2,IF(J634&gt;I634+1,"EBE &gt; VA ",""),"")&amp;IF(COUNT(H634,M634)=2,IF(ABS(M634)&gt;ABS(H634),"RN &gt; CA ",""),"")&amp;IF(COUNT(H634,K634)=2,IF(ABS(K634)&gt;ABS(H634),"RE &gt; CA ",""),"")))</f>
        <v/>
      </c>
      <c r="P634" s="16">
        <f>IF(OR($A634="",H634="",$C634=""),"",IF(COUNTIFS($A$5:$A$639,$A634,$C$5:$C$639,$C634-1,$D$5:$D$639,$D634,H$5:H$639,"&lt;&gt;")=0,"",IF(OR(SUMIFS(H$5:H$639,$A$5:$A$639,$A634,$C$5:$C$639,$C634-1,$D$5:$D$639,$D634)=0,H634*SUMIFS(H$5:H$639,$A$5:$A$639,$A634,$C$5:$C$639,$C634-1,$D$5:$D$639,$D634)&lt;0),"n.s.",ABS(H634)/ABS(SUMIFS(H$5:H$639,$A$5:$A$639,$A634,$C$5:$C$639,$C634-1,$D$5:$D$639,$D634))-1)))</f>
        <v/>
      </c>
      <c r="Q634" s="16">
        <f>IF(OR($A634="",I634="",$C634=""),"",IF(COUNTIFS($A$5:$A$639,$A634,$C$5:$C$639,$C634-1,$D$5:$D$639,$D634,I$5:I$639,"&lt;&gt;")=0,"",IF(OR(SUMIFS(I$5:I$639,$A$5:$A$639,$A634,$C$5:$C$639,$C634-1,$D$5:$D$639,$D634)=0,I634*SUMIFS(I$5:I$639,$A$5:$A$639,$A634,$C$5:$C$639,$C634-1,$D$5:$D$639,$D634)&lt;0),"n.s.",ABS(I634)/ABS(SUMIFS(I$5:I$639,$A$5:$A$639,$A634,$C$5:$C$639,$C634-1,$D$5:$D$639,$D634))-1)))</f>
        <v/>
      </c>
      <c r="R634" s="16">
        <f>IF(OR($A634="",J634="",$C634=""),"",IF(COUNTIFS($A$5:$A$639,$A634,$C$5:$C$639,$C634-1,$D$5:$D$639,$D634,J$5:J$639,"&lt;&gt;")=0,"",IF(OR(SUMIFS(J$5:J$639,$A$5:$A$639,$A634,$C$5:$C$639,$C634-1,$D$5:$D$639,$D634)=0,J634*SUMIFS(J$5:J$639,$A$5:$A$639,$A634,$C$5:$C$639,$C634-1,$D$5:$D$639,$D634)&lt;0),"n.s.",ABS(J634)/ABS(SUMIFS(J$5:J$639,$A$5:$A$639,$A634,$C$5:$C$639,$C634-1,$D$5:$D$639,$D634))-1)))</f>
        <v/>
      </c>
      <c r="S634" s="16">
        <f>IF(OR($A634="",K634="",$C634=""),"",IF(COUNTIFS($A$5:$A$639,$A634,$C$5:$C$639,$C634-1,$D$5:$D$639,$D634,K$5:K$639,"&lt;&gt;")=0,"",IF(OR(SUMIFS(K$5:K$639,$A$5:$A$639,$A634,$C$5:$C$639,$C634-1,$D$5:$D$639,$D634)=0,K634*SUMIFS(K$5:K$639,$A$5:$A$639,$A634,$C$5:$C$639,$C634-1,$D$5:$D$639,$D634)&lt;0),"n.s.",ABS(K634)/ABS(SUMIFS(K$5:K$639,$A$5:$A$639,$A634,$C$5:$C$639,$C634-1,$D$5:$D$639,$D634))-1)))</f>
        <v/>
      </c>
      <c r="T634" s="16">
        <f>IF(OR($A634="",L634="",$C634=""),"",IF(COUNTIFS($A$5:$A$639,$A634,$C$5:$C$639,$C634-1,$D$5:$D$639,$D634,L$5:L$639,"&lt;&gt;")=0,"",IF(OR(SUMIFS(L$5:L$639,$A$5:$A$639,$A634,$C$5:$C$639,$C634-1,$D$5:$D$639,$D634)=0,L634*SUMIFS(L$5:L$639,$A$5:$A$639,$A634,$C$5:$C$639,$C634-1,$D$5:$D$639,$D634)&lt;0),"n.s.",ABS(L634)/ABS(SUMIFS(L$5:L$639,$A$5:$A$639,$A634,$C$5:$C$639,$C634-1,$D$5:$D$639,$D634))-1)))</f>
        <v/>
      </c>
      <c r="U634" s="16">
        <f>IF(OR($A634="",M634="",$C634=""),"",IF(COUNTIFS($A$5:$A$639,$A634,$C$5:$C$639,$C634-1,$D$5:$D$639,$D634,M$5:M$639,"&lt;&gt;")=0,"",IF(OR(SUMIFS(M$5:M$639,$A$5:$A$639,$A634,$C$5:$C$639,$C634-1,$D$5:$D$639,$D634)=0,M634*SUMIFS(M$5:M$639,$A$5:$A$639,$A634,$C$5:$C$639,$C634-1,$D$5:$D$639,$D634)&lt;0),"n.s.",ABS(M634)/ABS(SUMIFS(M$5:M$639,$A$5:$A$639,$A634,$C$5:$C$639,$C634-1,$D$5:$D$639,$D634))-1)))</f>
        <v/>
      </c>
    </row>
    <row r="635">
      <c r="A635" s="9" t="n"/>
      <c r="B635" s="10">
        <f>IF(A635="","",IFERROR(VLOOKUP(A635,Titres!$A$2:$B$400,2,FALSE),"Ticker inconnu"))</f>
        <v/>
      </c>
      <c r="C635" s="11" t="n"/>
      <c r="D635" s="11" t="n"/>
      <c r="E635" s="9" t="n"/>
      <c r="F635" s="12" t="n"/>
      <c r="G635" s="9" t="n"/>
      <c r="H635" s="13" t="n"/>
      <c r="I635" s="13" t="n"/>
      <c r="J635" s="13" t="n"/>
      <c r="K635" s="13" t="n"/>
      <c r="L635" s="13" t="n"/>
      <c r="M635" s="13" t="n"/>
      <c r="N635" s="14">
        <f>IF(A635="","",COUNT(H635:M635)/6)</f>
        <v/>
      </c>
      <c r="O635" s="15">
        <f>IF(COUNT(H635:M635)=0,"",IF(LEN(IF(COUNT(I635,J635)=2,IF(J635&gt;I635+1,"EBE &gt; VA ",""),"")&amp;IF(COUNT(H635,M635)=2,IF(ABS(M635)&gt;ABS(H635),"RN &gt; CA ",""),"")&amp;IF(COUNT(H635,K635)=2,IF(ABS(K635)&gt;ABS(H635),"RE &gt; CA ",""),""))=0,"OK",IF(COUNT(I635,J635)=2,IF(J635&gt;I635+1,"EBE &gt; VA ",""),"")&amp;IF(COUNT(H635,M635)=2,IF(ABS(M635)&gt;ABS(H635),"RN &gt; CA ",""),"")&amp;IF(COUNT(H635,K635)=2,IF(ABS(K635)&gt;ABS(H635),"RE &gt; CA ",""),"")))</f>
        <v/>
      </c>
      <c r="P635" s="16">
        <f>IF(OR($A635="",H635="",$C635=""),"",IF(COUNTIFS($A$5:$A$639,$A635,$C$5:$C$639,$C635-1,$D$5:$D$639,$D635,H$5:H$639,"&lt;&gt;")=0,"",IF(OR(SUMIFS(H$5:H$639,$A$5:$A$639,$A635,$C$5:$C$639,$C635-1,$D$5:$D$639,$D635)=0,H635*SUMIFS(H$5:H$639,$A$5:$A$639,$A635,$C$5:$C$639,$C635-1,$D$5:$D$639,$D635)&lt;0),"n.s.",ABS(H635)/ABS(SUMIFS(H$5:H$639,$A$5:$A$639,$A635,$C$5:$C$639,$C635-1,$D$5:$D$639,$D635))-1)))</f>
        <v/>
      </c>
      <c r="Q635" s="16">
        <f>IF(OR($A635="",I635="",$C635=""),"",IF(COUNTIFS($A$5:$A$639,$A635,$C$5:$C$639,$C635-1,$D$5:$D$639,$D635,I$5:I$639,"&lt;&gt;")=0,"",IF(OR(SUMIFS(I$5:I$639,$A$5:$A$639,$A635,$C$5:$C$639,$C635-1,$D$5:$D$639,$D635)=0,I635*SUMIFS(I$5:I$639,$A$5:$A$639,$A635,$C$5:$C$639,$C635-1,$D$5:$D$639,$D635)&lt;0),"n.s.",ABS(I635)/ABS(SUMIFS(I$5:I$639,$A$5:$A$639,$A635,$C$5:$C$639,$C635-1,$D$5:$D$639,$D635))-1)))</f>
        <v/>
      </c>
      <c r="R635" s="16">
        <f>IF(OR($A635="",J635="",$C635=""),"",IF(COUNTIFS($A$5:$A$639,$A635,$C$5:$C$639,$C635-1,$D$5:$D$639,$D635,J$5:J$639,"&lt;&gt;")=0,"",IF(OR(SUMIFS(J$5:J$639,$A$5:$A$639,$A635,$C$5:$C$639,$C635-1,$D$5:$D$639,$D635)=0,J635*SUMIFS(J$5:J$639,$A$5:$A$639,$A635,$C$5:$C$639,$C635-1,$D$5:$D$639,$D635)&lt;0),"n.s.",ABS(J635)/ABS(SUMIFS(J$5:J$639,$A$5:$A$639,$A635,$C$5:$C$639,$C635-1,$D$5:$D$639,$D635))-1)))</f>
        <v/>
      </c>
      <c r="S635" s="16">
        <f>IF(OR($A635="",K635="",$C635=""),"",IF(COUNTIFS($A$5:$A$639,$A635,$C$5:$C$639,$C635-1,$D$5:$D$639,$D635,K$5:K$639,"&lt;&gt;")=0,"",IF(OR(SUMIFS(K$5:K$639,$A$5:$A$639,$A635,$C$5:$C$639,$C635-1,$D$5:$D$639,$D635)=0,K635*SUMIFS(K$5:K$639,$A$5:$A$639,$A635,$C$5:$C$639,$C635-1,$D$5:$D$639,$D635)&lt;0),"n.s.",ABS(K635)/ABS(SUMIFS(K$5:K$639,$A$5:$A$639,$A635,$C$5:$C$639,$C635-1,$D$5:$D$639,$D635))-1)))</f>
        <v/>
      </c>
      <c r="T635" s="16">
        <f>IF(OR($A635="",L635="",$C635=""),"",IF(COUNTIFS($A$5:$A$639,$A635,$C$5:$C$639,$C635-1,$D$5:$D$639,$D635,L$5:L$639,"&lt;&gt;")=0,"",IF(OR(SUMIFS(L$5:L$639,$A$5:$A$639,$A635,$C$5:$C$639,$C635-1,$D$5:$D$639,$D635)=0,L635*SUMIFS(L$5:L$639,$A$5:$A$639,$A635,$C$5:$C$639,$C635-1,$D$5:$D$639,$D635)&lt;0),"n.s.",ABS(L635)/ABS(SUMIFS(L$5:L$639,$A$5:$A$639,$A635,$C$5:$C$639,$C635-1,$D$5:$D$639,$D635))-1)))</f>
        <v/>
      </c>
      <c r="U635" s="16">
        <f>IF(OR($A635="",M635="",$C635=""),"",IF(COUNTIFS($A$5:$A$639,$A635,$C$5:$C$639,$C635-1,$D$5:$D$639,$D635,M$5:M$639,"&lt;&gt;")=0,"",IF(OR(SUMIFS(M$5:M$639,$A$5:$A$639,$A635,$C$5:$C$639,$C635-1,$D$5:$D$639,$D635)=0,M635*SUMIFS(M$5:M$639,$A$5:$A$639,$A635,$C$5:$C$639,$C635-1,$D$5:$D$639,$D635)&lt;0),"n.s.",ABS(M635)/ABS(SUMIFS(M$5:M$639,$A$5:$A$639,$A635,$C$5:$C$639,$C635-1,$D$5:$D$639,$D635))-1)))</f>
        <v/>
      </c>
    </row>
    <row r="636">
      <c r="A636" s="9" t="n"/>
      <c r="B636" s="10">
        <f>IF(A636="","",IFERROR(VLOOKUP(A636,Titres!$A$2:$B$400,2,FALSE),"Ticker inconnu"))</f>
        <v/>
      </c>
      <c r="C636" s="11" t="n"/>
      <c r="D636" s="11" t="n"/>
      <c r="E636" s="9" t="n"/>
      <c r="F636" s="12" t="n"/>
      <c r="G636" s="9" t="n"/>
      <c r="H636" s="13" t="n"/>
      <c r="I636" s="13" t="n"/>
      <c r="J636" s="13" t="n"/>
      <c r="K636" s="13" t="n"/>
      <c r="L636" s="13" t="n"/>
      <c r="M636" s="13" t="n"/>
      <c r="N636" s="14">
        <f>IF(A636="","",COUNT(H636:M636)/6)</f>
        <v/>
      </c>
      <c r="O636" s="15">
        <f>IF(COUNT(H636:M636)=0,"",IF(LEN(IF(COUNT(I636,J636)=2,IF(J636&gt;I636+1,"EBE &gt; VA ",""),"")&amp;IF(COUNT(H636,M636)=2,IF(ABS(M636)&gt;ABS(H636),"RN &gt; CA ",""),"")&amp;IF(COUNT(H636,K636)=2,IF(ABS(K636)&gt;ABS(H636),"RE &gt; CA ",""),""))=0,"OK",IF(COUNT(I636,J636)=2,IF(J636&gt;I636+1,"EBE &gt; VA ",""),"")&amp;IF(COUNT(H636,M636)=2,IF(ABS(M636)&gt;ABS(H636),"RN &gt; CA ",""),"")&amp;IF(COUNT(H636,K636)=2,IF(ABS(K636)&gt;ABS(H636),"RE &gt; CA ",""),"")))</f>
        <v/>
      </c>
      <c r="P636" s="16">
        <f>IF(OR($A636="",H636="",$C636=""),"",IF(COUNTIFS($A$5:$A$639,$A636,$C$5:$C$639,$C636-1,$D$5:$D$639,$D636,H$5:H$639,"&lt;&gt;")=0,"",IF(OR(SUMIFS(H$5:H$639,$A$5:$A$639,$A636,$C$5:$C$639,$C636-1,$D$5:$D$639,$D636)=0,H636*SUMIFS(H$5:H$639,$A$5:$A$639,$A636,$C$5:$C$639,$C636-1,$D$5:$D$639,$D636)&lt;0),"n.s.",ABS(H636)/ABS(SUMIFS(H$5:H$639,$A$5:$A$639,$A636,$C$5:$C$639,$C636-1,$D$5:$D$639,$D636))-1)))</f>
        <v/>
      </c>
      <c r="Q636" s="16">
        <f>IF(OR($A636="",I636="",$C636=""),"",IF(COUNTIFS($A$5:$A$639,$A636,$C$5:$C$639,$C636-1,$D$5:$D$639,$D636,I$5:I$639,"&lt;&gt;")=0,"",IF(OR(SUMIFS(I$5:I$639,$A$5:$A$639,$A636,$C$5:$C$639,$C636-1,$D$5:$D$639,$D636)=0,I636*SUMIFS(I$5:I$639,$A$5:$A$639,$A636,$C$5:$C$639,$C636-1,$D$5:$D$639,$D636)&lt;0),"n.s.",ABS(I636)/ABS(SUMIFS(I$5:I$639,$A$5:$A$639,$A636,$C$5:$C$639,$C636-1,$D$5:$D$639,$D636))-1)))</f>
        <v/>
      </c>
      <c r="R636" s="16">
        <f>IF(OR($A636="",J636="",$C636=""),"",IF(COUNTIFS($A$5:$A$639,$A636,$C$5:$C$639,$C636-1,$D$5:$D$639,$D636,J$5:J$639,"&lt;&gt;")=0,"",IF(OR(SUMIFS(J$5:J$639,$A$5:$A$639,$A636,$C$5:$C$639,$C636-1,$D$5:$D$639,$D636)=0,J636*SUMIFS(J$5:J$639,$A$5:$A$639,$A636,$C$5:$C$639,$C636-1,$D$5:$D$639,$D636)&lt;0),"n.s.",ABS(J636)/ABS(SUMIFS(J$5:J$639,$A$5:$A$639,$A636,$C$5:$C$639,$C636-1,$D$5:$D$639,$D636))-1)))</f>
        <v/>
      </c>
      <c r="S636" s="16">
        <f>IF(OR($A636="",K636="",$C636=""),"",IF(COUNTIFS($A$5:$A$639,$A636,$C$5:$C$639,$C636-1,$D$5:$D$639,$D636,K$5:K$639,"&lt;&gt;")=0,"",IF(OR(SUMIFS(K$5:K$639,$A$5:$A$639,$A636,$C$5:$C$639,$C636-1,$D$5:$D$639,$D636)=0,K636*SUMIFS(K$5:K$639,$A$5:$A$639,$A636,$C$5:$C$639,$C636-1,$D$5:$D$639,$D636)&lt;0),"n.s.",ABS(K636)/ABS(SUMIFS(K$5:K$639,$A$5:$A$639,$A636,$C$5:$C$639,$C636-1,$D$5:$D$639,$D636))-1)))</f>
        <v/>
      </c>
      <c r="T636" s="16">
        <f>IF(OR($A636="",L636="",$C636=""),"",IF(COUNTIFS($A$5:$A$639,$A636,$C$5:$C$639,$C636-1,$D$5:$D$639,$D636,L$5:L$639,"&lt;&gt;")=0,"",IF(OR(SUMIFS(L$5:L$639,$A$5:$A$639,$A636,$C$5:$C$639,$C636-1,$D$5:$D$639,$D636)=0,L636*SUMIFS(L$5:L$639,$A$5:$A$639,$A636,$C$5:$C$639,$C636-1,$D$5:$D$639,$D636)&lt;0),"n.s.",ABS(L636)/ABS(SUMIFS(L$5:L$639,$A$5:$A$639,$A636,$C$5:$C$639,$C636-1,$D$5:$D$639,$D636))-1)))</f>
        <v/>
      </c>
      <c r="U636" s="16">
        <f>IF(OR($A636="",M636="",$C636=""),"",IF(COUNTIFS($A$5:$A$639,$A636,$C$5:$C$639,$C636-1,$D$5:$D$639,$D636,M$5:M$639,"&lt;&gt;")=0,"",IF(OR(SUMIFS(M$5:M$639,$A$5:$A$639,$A636,$C$5:$C$639,$C636-1,$D$5:$D$639,$D636)=0,M636*SUMIFS(M$5:M$639,$A$5:$A$639,$A636,$C$5:$C$639,$C636-1,$D$5:$D$639,$D636)&lt;0),"n.s.",ABS(M636)/ABS(SUMIFS(M$5:M$639,$A$5:$A$639,$A636,$C$5:$C$639,$C636-1,$D$5:$D$639,$D636))-1)))</f>
        <v/>
      </c>
    </row>
    <row r="637">
      <c r="A637" s="9" t="n"/>
      <c r="B637" s="10">
        <f>IF(A637="","",IFERROR(VLOOKUP(A637,Titres!$A$2:$B$400,2,FALSE),"Ticker inconnu"))</f>
        <v/>
      </c>
      <c r="C637" s="11" t="n"/>
      <c r="D637" s="11" t="n"/>
      <c r="E637" s="9" t="n"/>
      <c r="F637" s="12" t="n"/>
      <c r="G637" s="9" t="n"/>
      <c r="H637" s="13" t="n"/>
      <c r="I637" s="13" t="n"/>
      <c r="J637" s="13" t="n"/>
      <c r="K637" s="13" t="n"/>
      <c r="L637" s="13" t="n"/>
      <c r="M637" s="13" t="n"/>
      <c r="N637" s="14">
        <f>IF(A637="","",COUNT(H637:M637)/6)</f>
        <v/>
      </c>
      <c r="O637" s="15">
        <f>IF(COUNT(H637:M637)=0,"",IF(LEN(IF(COUNT(I637,J637)=2,IF(J637&gt;I637+1,"EBE &gt; VA ",""),"")&amp;IF(COUNT(H637,M637)=2,IF(ABS(M637)&gt;ABS(H637),"RN &gt; CA ",""),"")&amp;IF(COUNT(H637,K637)=2,IF(ABS(K637)&gt;ABS(H637),"RE &gt; CA ",""),""))=0,"OK",IF(COUNT(I637,J637)=2,IF(J637&gt;I637+1,"EBE &gt; VA ",""),"")&amp;IF(COUNT(H637,M637)=2,IF(ABS(M637)&gt;ABS(H637),"RN &gt; CA ",""),"")&amp;IF(COUNT(H637,K637)=2,IF(ABS(K637)&gt;ABS(H637),"RE &gt; CA ",""),"")))</f>
        <v/>
      </c>
      <c r="P637" s="16">
        <f>IF(OR($A637="",H637="",$C637=""),"",IF(COUNTIFS($A$5:$A$639,$A637,$C$5:$C$639,$C637-1,$D$5:$D$639,$D637,H$5:H$639,"&lt;&gt;")=0,"",IF(OR(SUMIFS(H$5:H$639,$A$5:$A$639,$A637,$C$5:$C$639,$C637-1,$D$5:$D$639,$D637)=0,H637*SUMIFS(H$5:H$639,$A$5:$A$639,$A637,$C$5:$C$639,$C637-1,$D$5:$D$639,$D637)&lt;0),"n.s.",ABS(H637)/ABS(SUMIFS(H$5:H$639,$A$5:$A$639,$A637,$C$5:$C$639,$C637-1,$D$5:$D$639,$D637))-1)))</f>
        <v/>
      </c>
      <c r="Q637" s="16">
        <f>IF(OR($A637="",I637="",$C637=""),"",IF(COUNTIFS($A$5:$A$639,$A637,$C$5:$C$639,$C637-1,$D$5:$D$639,$D637,I$5:I$639,"&lt;&gt;")=0,"",IF(OR(SUMIFS(I$5:I$639,$A$5:$A$639,$A637,$C$5:$C$639,$C637-1,$D$5:$D$639,$D637)=0,I637*SUMIFS(I$5:I$639,$A$5:$A$639,$A637,$C$5:$C$639,$C637-1,$D$5:$D$639,$D637)&lt;0),"n.s.",ABS(I637)/ABS(SUMIFS(I$5:I$639,$A$5:$A$639,$A637,$C$5:$C$639,$C637-1,$D$5:$D$639,$D637))-1)))</f>
        <v/>
      </c>
      <c r="R637" s="16">
        <f>IF(OR($A637="",J637="",$C637=""),"",IF(COUNTIFS($A$5:$A$639,$A637,$C$5:$C$639,$C637-1,$D$5:$D$639,$D637,J$5:J$639,"&lt;&gt;")=0,"",IF(OR(SUMIFS(J$5:J$639,$A$5:$A$639,$A637,$C$5:$C$639,$C637-1,$D$5:$D$639,$D637)=0,J637*SUMIFS(J$5:J$639,$A$5:$A$639,$A637,$C$5:$C$639,$C637-1,$D$5:$D$639,$D637)&lt;0),"n.s.",ABS(J637)/ABS(SUMIFS(J$5:J$639,$A$5:$A$639,$A637,$C$5:$C$639,$C637-1,$D$5:$D$639,$D637))-1)))</f>
        <v/>
      </c>
      <c r="S637" s="16">
        <f>IF(OR($A637="",K637="",$C637=""),"",IF(COUNTIFS($A$5:$A$639,$A637,$C$5:$C$639,$C637-1,$D$5:$D$639,$D637,K$5:K$639,"&lt;&gt;")=0,"",IF(OR(SUMIFS(K$5:K$639,$A$5:$A$639,$A637,$C$5:$C$639,$C637-1,$D$5:$D$639,$D637)=0,K637*SUMIFS(K$5:K$639,$A$5:$A$639,$A637,$C$5:$C$639,$C637-1,$D$5:$D$639,$D637)&lt;0),"n.s.",ABS(K637)/ABS(SUMIFS(K$5:K$639,$A$5:$A$639,$A637,$C$5:$C$639,$C637-1,$D$5:$D$639,$D637))-1)))</f>
        <v/>
      </c>
      <c r="T637" s="16">
        <f>IF(OR($A637="",L637="",$C637=""),"",IF(COUNTIFS($A$5:$A$639,$A637,$C$5:$C$639,$C637-1,$D$5:$D$639,$D637,L$5:L$639,"&lt;&gt;")=0,"",IF(OR(SUMIFS(L$5:L$639,$A$5:$A$639,$A637,$C$5:$C$639,$C637-1,$D$5:$D$639,$D637)=0,L637*SUMIFS(L$5:L$639,$A$5:$A$639,$A637,$C$5:$C$639,$C637-1,$D$5:$D$639,$D637)&lt;0),"n.s.",ABS(L637)/ABS(SUMIFS(L$5:L$639,$A$5:$A$639,$A637,$C$5:$C$639,$C637-1,$D$5:$D$639,$D637))-1)))</f>
        <v/>
      </c>
      <c r="U637" s="16">
        <f>IF(OR($A637="",M637="",$C637=""),"",IF(COUNTIFS($A$5:$A$639,$A637,$C$5:$C$639,$C637-1,$D$5:$D$639,$D637,M$5:M$639,"&lt;&gt;")=0,"",IF(OR(SUMIFS(M$5:M$639,$A$5:$A$639,$A637,$C$5:$C$639,$C637-1,$D$5:$D$639,$D637)=0,M637*SUMIFS(M$5:M$639,$A$5:$A$639,$A637,$C$5:$C$639,$C637-1,$D$5:$D$639,$D637)&lt;0),"n.s.",ABS(M637)/ABS(SUMIFS(M$5:M$639,$A$5:$A$639,$A637,$C$5:$C$639,$C637-1,$D$5:$D$639,$D637))-1)))</f>
        <v/>
      </c>
    </row>
    <row r="638">
      <c r="A638" s="9" t="n"/>
      <c r="B638" s="10">
        <f>IF(A638="","",IFERROR(VLOOKUP(A638,Titres!$A$2:$B$400,2,FALSE),"Ticker inconnu"))</f>
        <v/>
      </c>
      <c r="C638" s="11" t="n"/>
      <c r="D638" s="11" t="n"/>
      <c r="E638" s="9" t="n"/>
      <c r="F638" s="12" t="n"/>
      <c r="G638" s="9" t="n"/>
      <c r="H638" s="13" t="n"/>
      <c r="I638" s="13" t="n"/>
      <c r="J638" s="13" t="n"/>
      <c r="K638" s="13" t="n"/>
      <c r="L638" s="13" t="n"/>
      <c r="M638" s="13" t="n"/>
      <c r="N638" s="14">
        <f>IF(A638="","",COUNT(H638:M638)/6)</f>
        <v/>
      </c>
      <c r="O638" s="15">
        <f>IF(COUNT(H638:M638)=0,"",IF(LEN(IF(COUNT(I638,J638)=2,IF(J638&gt;I638+1,"EBE &gt; VA ",""),"")&amp;IF(COUNT(H638,M638)=2,IF(ABS(M638)&gt;ABS(H638),"RN &gt; CA ",""),"")&amp;IF(COUNT(H638,K638)=2,IF(ABS(K638)&gt;ABS(H638),"RE &gt; CA ",""),""))=0,"OK",IF(COUNT(I638,J638)=2,IF(J638&gt;I638+1,"EBE &gt; VA ",""),"")&amp;IF(COUNT(H638,M638)=2,IF(ABS(M638)&gt;ABS(H638),"RN &gt; CA ",""),"")&amp;IF(COUNT(H638,K638)=2,IF(ABS(K638)&gt;ABS(H638),"RE &gt; CA ",""),"")))</f>
        <v/>
      </c>
      <c r="P638" s="16">
        <f>IF(OR($A638="",H638="",$C638=""),"",IF(COUNTIFS($A$5:$A$639,$A638,$C$5:$C$639,$C638-1,$D$5:$D$639,$D638,H$5:H$639,"&lt;&gt;")=0,"",IF(OR(SUMIFS(H$5:H$639,$A$5:$A$639,$A638,$C$5:$C$639,$C638-1,$D$5:$D$639,$D638)=0,H638*SUMIFS(H$5:H$639,$A$5:$A$639,$A638,$C$5:$C$639,$C638-1,$D$5:$D$639,$D638)&lt;0),"n.s.",ABS(H638)/ABS(SUMIFS(H$5:H$639,$A$5:$A$639,$A638,$C$5:$C$639,$C638-1,$D$5:$D$639,$D638))-1)))</f>
        <v/>
      </c>
      <c r="Q638" s="16">
        <f>IF(OR($A638="",I638="",$C638=""),"",IF(COUNTIFS($A$5:$A$639,$A638,$C$5:$C$639,$C638-1,$D$5:$D$639,$D638,I$5:I$639,"&lt;&gt;")=0,"",IF(OR(SUMIFS(I$5:I$639,$A$5:$A$639,$A638,$C$5:$C$639,$C638-1,$D$5:$D$639,$D638)=0,I638*SUMIFS(I$5:I$639,$A$5:$A$639,$A638,$C$5:$C$639,$C638-1,$D$5:$D$639,$D638)&lt;0),"n.s.",ABS(I638)/ABS(SUMIFS(I$5:I$639,$A$5:$A$639,$A638,$C$5:$C$639,$C638-1,$D$5:$D$639,$D638))-1)))</f>
        <v/>
      </c>
      <c r="R638" s="16">
        <f>IF(OR($A638="",J638="",$C638=""),"",IF(COUNTIFS($A$5:$A$639,$A638,$C$5:$C$639,$C638-1,$D$5:$D$639,$D638,J$5:J$639,"&lt;&gt;")=0,"",IF(OR(SUMIFS(J$5:J$639,$A$5:$A$639,$A638,$C$5:$C$639,$C638-1,$D$5:$D$639,$D638)=0,J638*SUMIFS(J$5:J$639,$A$5:$A$639,$A638,$C$5:$C$639,$C638-1,$D$5:$D$639,$D638)&lt;0),"n.s.",ABS(J638)/ABS(SUMIFS(J$5:J$639,$A$5:$A$639,$A638,$C$5:$C$639,$C638-1,$D$5:$D$639,$D638))-1)))</f>
        <v/>
      </c>
      <c r="S638" s="16">
        <f>IF(OR($A638="",K638="",$C638=""),"",IF(COUNTIFS($A$5:$A$639,$A638,$C$5:$C$639,$C638-1,$D$5:$D$639,$D638,K$5:K$639,"&lt;&gt;")=0,"",IF(OR(SUMIFS(K$5:K$639,$A$5:$A$639,$A638,$C$5:$C$639,$C638-1,$D$5:$D$639,$D638)=0,K638*SUMIFS(K$5:K$639,$A$5:$A$639,$A638,$C$5:$C$639,$C638-1,$D$5:$D$639,$D638)&lt;0),"n.s.",ABS(K638)/ABS(SUMIFS(K$5:K$639,$A$5:$A$639,$A638,$C$5:$C$639,$C638-1,$D$5:$D$639,$D638))-1)))</f>
        <v/>
      </c>
      <c r="T638" s="16">
        <f>IF(OR($A638="",L638="",$C638=""),"",IF(COUNTIFS($A$5:$A$639,$A638,$C$5:$C$639,$C638-1,$D$5:$D$639,$D638,L$5:L$639,"&lt;&gt;")=0,"",IF(OR(SUMIFS(L$5:L$639,$A$5:$A$639,$A638,$C$5:$C$639,$C638-1,$D$5:$D$639,$D638)=0,L638*SUMIFS(L$5:L$639,$A$5:$A$639,$A638,$C$5:$C$639,$C638-1,$D$5:$D$639,$D638)&lt;0),"n.s.",ABS(L638)/ABS(SUMIFS(L$5:L$639,$A$5:$A$639,$A638,$C$5:$C$639,$C638-1,$D$5:$D$639,$D638))-1)))</f>
        <v/>
      </c>
      <c r="U638" s="16">
        <f>IF(OR($A638="",M638="",$C638=""),"",IF(COUNTIFS($A$5:$A$639,$A638,$C$5:$C$639,$C638-1,$D$5:$D$639,$D638,M$5:M$639,"&lt;&gt;")=0,"",IF(OR(SUMIFS(M$5:M$639,$A$5:$A$639,$A638,$C$5:$C$639,$C638-1,$D$5:$D$639,$D638)=0,M638*SUMIFS(M$5:M$639,$A$5:$A$639,$A638,$C$5:$C$639,$C638-1,$D$5:$D$639,$D638)&lt;0),"n.s.",ABS(M638)/ABS(SUMIFS(M$5:M$639,$A$5:$A$639,$A638,$C$5:$C$639,$C638-1,$D$5:$D$639,$D638))-1)))</f>
        <v/>
      </c>
    </row>
    <row r="639">
      <c r="A639" s="9" t="n"/>
      <c r="B639" s="10">
        <f>IF(A639="","",IFERROR(VLOOKUP(A639,Titres!$A$2:$B$400,2,FALSE),"Ticker inconnu"))</f>
        <v/>
      </c>
      <c r="C639" s="11" t="n"/>
      <c r="D639" s="11" t="n"/>
      <c r="E639" s="9" t="n"/>
      <c r="F639" s="12" t="n"/>
      <c r="G639" s="9" t="n"/>
      <c r="H639" s="13" t="n"/>
      <c r="I639" s="13" t="n"/>
      <c r="J639" s="13" t="n"/>
      <c r="K639" s="13" t="n"/>
      <c r="L639" s="13" t="n"/>
      <c r="M639" s="13" t="n"/>
      <c r="N639" s="14">
        <f>IF(A639="","",COUNT(H639:M639)/6)</f>
        <v/>
      </c>
      <c r="O639" s="15">
        <f>IF(COUNT(H639:M639)=0,"",IF(LEN(IF(COUNT(I639,J639)=2,IF(J639&gt;I639+1,"EBE &gt; VA ",""),"")&amp;IF(COUNT(H639,M639)=2,IF(ABS(M639)&gt;ABS(H639),"RN &gt; CA ",""),"")&amp;IF(COUNT(H639,K639)=2,IF(ABS(K639)&gt;ABS(H639),"RE &gt; CA ",""),""))=0,"OK",IF(COUNT(I639,J639)=2,IF(J639&gt;I639+1,"EBE &gt; VA ",""),"")&amp;IF(COUNT(H639,M639)=2,IF(ABS(M639)&gt;ABS(H639),"RN &gt; CA ",""),"")&amp;IF(COUNT(H639,K639)=2,IF(ABS(K639)&gt;ABS(H639),"RE &gt; CA ",""),"")))</f>
        <v/>
      </c>
      <c r="P639" s="16">
        <f>IF(OR($A639="",H639="",$C639=""),"",IF(COUNTIFS($A$5:$A$639,$A639,$C$5:$C$639,$C639-1,$D$5:$D$639,$D639,H$5:H$639,"&lt;&gt;")=0,"",IF(OR(SUMIFS(H$5:H$639,$A$5:$A$639,$A639,$C$5:$C$639,$C639-1,$D$5:$D$639,$D639)=0,H639*SUMIFS(H$5:H$639,$A$5:$A$639,$A639,$C$5:$C$639,$C639-1,$D$5:$D$639,$D639)&lt;0),"n.s.",ABS(H639)/ABS(SUMIFS(H$5:H$639,$A$5:$A$639,$A639,$C$5:$C$639,$C639-1,$D$5:$D$639,$D639))-1)))</f>
        <v/>
      </c>
      <c r="Q639" s="16">
        <f>IF(OR($A639="",I639="",$C639=""),"",IF(COUNTIFS($A$5:$A$639,$A639,$C$5:$C$639,$C639-1,$D$5:$D$639,$D639,I$5:I$639,"&lt;&gt;")=0,"",IF(OR(SUMIFS(I$5:I$639,$A$5:$A$639,$A639,$C$5:$C$639,$C639-1,$D$5:$D$639,$D639)=0,I639*SUMIFS(I$5:I$639,$A$5:$A$639,$A639,$C$5:$C$639,$C639-1,$D$5:$D$639,$D639)&lt;0),"n.s.",ABS(I639)/ABS(SUMIFS(I$5:I$639,$A$5:$A$639,$A639,$C$5:$C$639,$C639-1,$D$5:$D$639,$D639))-1)))</f>
        <v/>
      </c>
      <c r="R639" s="16">
        <f>IF(OR($A639="",J639="",$C639=""),"",IF(COUNTIFS($A$5:$A$639,$A639,$C$5:$C$639,$C639-1,$D$5:$D$639,$D639,J$5:J$639,"&lt;&gt;")=0,"",IF(OR(SUMIFS(J$5:J$639,$A$5:$A$639,$A639,$C$5:$C$639,$C639-1,$D$5:$D$639,$D639)=0,J639*SUMIFS(J$5:J$639,$A$5:$A$639,$A639,$C$5:$C$639,$C639-1,$D$5:$D$639,$D639)&lt;0),"n.s.",ABS(J639)/ABS(SUMIFS(J$5:J$639,$A$5:$A$639,$A639,$C$5:$C$639,$C639-1,$D$5:$D$639,$D639))-1)))</f>
        <v/>
      </c>
      <c r="S639" s="16">
        <f>IF(OR($A639="",K639="",$C639=""),"",IF(COUNTIFS($A$5:$A$639,$A639,$C$5:$C$639,$C639-1,$D$5:$D$639,$D639,K$5:K$639,"&lt;&gt;")=0,"",IF(OR(SUMIFS(K$5:K$639,$A$5:$A$639,$A639,$C$5:$C$639,$C639-1,$D$5:$D$639,$D639)=0,K639*SUMIFS(K$5:K$639,$A$5:$A$639,$A639,$C$5:$C$639,$C639-1,$D$5:$D$639,$D639)&lt;0),"n.s.",ABS(K639)/ABS(SUMIFS(K$5:K$639,$A$5:$A$639,$A639,$C$5:$C$639,$C639-1,$D$5:$D$639,$D639))-1)))</f>
        <v/>
      </c>
      <c r="T639" s="16">
        <f>IF(OR($A639="",L639="",$C639=""),"",IF(COUNTIFS($A$5:$A$639,$A639,$C$5:$C$639,$C639-1,$D$5:$D$639,$D639,L$5:L$639,"&lt;&gt;")=0,"",IF(OR(SUMIFS(L$5:L$639,$A$5:$A$639,$A639,$C$5:$C$639,$C639-1,$D$5:$D$639,$D639)=0,L639*SUMIFS(L$5:L$639,$A$5:$A$639,$A639,$C$5:$C$639,$C639-1,$D$5:$D$639,$D639)&lt;0),"n.s.",ABS(L639)/ABS(SUMIFS(L$5:L$639,$A$5:$A$639,$A639,$C$5:$C$639,$C639-1,$D$5:$D$639,$D639))-1)))</f>
        <v/>
      </c>
      <c r="U639" s="16">
        <f>IF(OR($A639="",M639="",$C639=""),"",IF(COUNTIFS($A$5:$A$639,$A639,$C$5:$C$639,$C639-1,$D$5:$D$639,$D639,M$5:M$639,"&lt;&gt;")=0,"",IF(OR(SUMIFS(M$5:M$639,$A$5:$A$639,$A639,$C$5:$C$639,$C639-1,$D$5:$D$639,$D639)=0,M639*SUMIFS(M$5:M$639,$A$5:$A$639,$A639,$C$5:$C$639,$C639-1,$D$5:$D$639,$D639)&lt;0),"n.s.",ABS(M639)/ABS(SUMIFS(M$5:M$639,$A$5:$A$639,$A639,$C$5:$C$639,$C639-1,$D$5:$D$639,$D639))-1)))</f>
        <v/>
      </c>
    </row>
  </sheetData>
  <autoFilter ref="A4:U639"/>
  <mergeCells count="1">
    <mergeCell ref="A2:L2"/>
  </mergeCells>
  <conditionalFormatting sqref="P5:P639">
    <cfRule type="expression" priority="1" dxfId="0">
      <formula>AND(ISNUMBER(P5),P5&lt;0)</formula>
    </cfRule>
    <cfRule type="expression" priority="2" dxfId="1">
      <formula>AND(ISNUMBER(P5),P5&gt;0)</formula>
    </cfRule>
  </conditionalFormatting>
  <conditionalFormatting sqref="Q5:Q639">
    <cfRule type="expression" priority="3" dxfId="0">
      <formula>AND(ISNUMBER(Q5),Q5&lt;0)</formula>
    </cfRule>
    <cfRule type="expression" priority="4" dxfId="1">
      <formula>AND(ISNUMBER(Q5),Q5&gt;0)</formula>
    </cfRule>
  </conditionalFormatting>
  <conditionalFormatting sqref="R5:R639">
    <cfRule type="expression" priority="5" dxfId="0">
      <formula>AND(ISNUMBER(R5),R5&lt;0)</formula>
    </cfRule>
    <cfRule type="expression" priority="6" dxfId="1">
      <formula>AND(ISNUMBER(R5),R5&gt;0)</formula>
    </cfRule>
  </conditionalFormatting>
  <conditionalFormatting sqref="S5:S639">
    <cfRule type="expression" priority="7" dxfId="0">
      <formula>AND(ISNUMBER(S5),S5&lt;0)</formula>
    </cfRule>
    <cfRule type="expression" priority="8" dxfId="1">
      <formula>AND(ISNUMBER(S5),S5&gt;0)</formula>
    </cfRule>
  </conditionalFormatting>
  <conditionalFormatting sqref="T5:T639">
    <cfRule type="expression" priority="9" dxfId="0">
      <formula>AND(ISNUMBER(T5),T5&lt;0)</formula>
    </cfRule>
    <cfRule type="expression" priority="10" dxfId="1">
      <formula>AND(ISNUMBER(T5),T5&gt;0)</formula>
    </cfRule>
  </conditionalFormatting>
  <conditionalFormatting sqref="U5:U639">
    <cfRule type="expression" priority="11" dxfId="0">
      <formula>AND(ISNUMBER(U5),U5&lt;0)</formula>
    </cfRule>
    <cfRule type="expression" priority="12" dxfId="1">
      <formula>AND(ISNUMBER(U5),U5&gt;0)</formula>
    </cfRule>
  </conditionalFormatting>
  <conditionalFormatting sqref="O5:O639">
    <cfRule type="expression" priority="13" dxfId="2">
      <formula>AND(O5&lt;&gt;"",O5&lt;&gt;"OK")</formula>
    </cfRule>
    <cfRule type="expression" priority="14" dxfId="3">
      <formula>O5="OK"</formula>
    </cfRule>
  </conditionalFormatting>
  <conditionalFormatting sqref="N5:N639">
    <cfRule type="colorScale" priority="15">
      <colorScale>
        <cfvo type="num" val="0"/>
        <cfvo type="num" val="1"/>
        <color rgb="00FFFFFF"/>
        <color rgb="009CCBE3"/>
      </colorScale>
    </cfRule>
  </conditionalFormatting>
  <dataValidations count="5">
    <dataValidation sqref="A5:A639" showDropDown="0" showInputMessage="0" showErrorMessage="1" allowBlank="1" errorTitle="Ticker" error="Choisissez un ticker de la feuille « Titres »." type="list">
      <formula1>=Titres!$A$2:$A$400</formula1>
    </dataValidation>
    <dataValidation sqref="C5:C639" showDropDown="0" showInputMessage="0" showErrorMessage="1" allowBlank="1" errorTitle="Exercice" error="Saisissez une année (ex. 2026)." type="whole" operator="between">
      <formula1>1990</formula1>
      <formula2>2100</formula2>
    </dataValidation>
    <dataValidation sqref="D5:D639" showDropDown="0" showInputMessage="0" showErrorMessage="1" allowBlank="1" errorTitle="Période" error="T1, S1 ou T3." type="list">
      <formula1>"T1,S1,T3"</formula1>
    </dataValidation>
    <dataValidation sqref="E5:E639" showDropDown="0" showInputMessage="0" showErrorMessage="0" allowBlank="1" type="list">
      <formula1>"Publié,Provisoire,À vérifier"</formula1>
    </dataValidation>
    <dataValidation sqref="H5:M639" showDropDown="0" showInputMessage="0" showErrorMessage="1" allowBlank="1" errorTitle="Montant" error="Saisissez un nombre (millions de FCFA)." type="decimal" operator="between">
      <formula1>-1E+12</formula1>
      <formula2>1E+12</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15"/>
  <sheetViews>
    <sheetView zoomScale="90" workbookViewId="0">
      <pane xSplit="7" ySplit="4" topLeftCell="H5"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9" customWidth="1" min="3" max="3"/>
    <col width="9" customWidth="1" min="4" max="4"/>
    <col width="12" customWidth="1" min="5" max="5"/>
    <col width="14" customWidth="1" min="6" max="6"/>
    <col width="40"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1" customWidth="1" min="16" max="16"/>
    <col width="30"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s>
  <sheetData>
    <row r="1">
      <c r="A1" s="6" t="inlineStr">
        <is>
          <t>Publications intermédiaires (T1, S1, T3) - banques et établissements financiers</t>
        </is>
      </c>
    </row>
    <row r="2" ht="40" customHeight="1">
      <c r="A2" s="7" t="inlineStr">
        <is>
          <t>Une ligne par titre, exercice et période. Montants cumulés depuis le 1er janvier (T1 = 3 mois, S1 = 6 mois, T3 = 9 mois), en millions de FCFA, tels que publiés. Charges en négatif. Une publication donne l'exercice N et le comparatif N-1 : renseignez les deux lignes. Texte bleu : saisie. Voir « Lisez-moi ».</t>
        </is>
      </c>
    </row>
    <row r="4" ht="54" customHeight="1">
      <c r="A4" s="8" t="inlineStr">
        <is>
          <t>Ticker</t>
        </is>
      </c>
      <c r="B4" s="8" t="inlineStr">
        <is>
          <t>Société</t>
        </is>
      </c>
      <c r="C4" s="8" t="inlineStr">
        <is>
          <t>Exercice</t>
        </is>
      </c>
      <c r="D4" s="8" t="inlineStr">
        <is>
          <t>Période</t>
        </is>
      </c>
      <c r="E4" s="8" t="inlineStr">
        <is>
          <t>Statut</t>
        </is>
      </c>
      <c r="F4" s="8" t="inlineStr">
        <is>
          <t>Date de publication</t>
        </is>
      </c>
      <c r="G4" s="8" t="inlineStr">
        <is>
          <t>Source (lien ou référence)</t>
        </is>
      </c>
      <c r="H4" s="8" t="inlineStr">
        <is>
          <t>Produit net bancaire (PNB)</t>
        </is>
      </c>
      <c r="I4" s="8" t="inlineStr">
        <is>
          <t>Frais de gestion (charges générales)</t>
        </is>
      </c>
      <c r="J4" s="8" t="inlineStr">
        <is>
          <t>Résultat brut d'exploitation (RBE)</t>
        </is>
      </c>
      <c r="K4" s="8" t="inlineStr">
        <is>
          <t>Coût du risque</t>
        </is>
      </c>
      <c r="L4" s="8" t="inlineStr">
        <is>
          <t>Résultat avant impôt</t>
        </is>
      </c>
      <c r="M4" s="8" t="inlineStr">
        <is>
          <t>Résultat net</t>
        </is>
      </c>
      <c r="N4" s="8" t="inlineStr">
        <is>
          <t>Crédits nets à la clientèle</t>
        </is>
      </c>
      <c r="O4" s="8" t="inlineStr">
        <is>
          <t>Dépôts de la clientèle</t>
        </is>
      </c>
      <c r="P4" s="8" t="inlineStr">
        <is>
          <t>Complétude</t>
        </is>
      </c>
      <c r="Q4" s="8" t="inlineStr">
        <is>
          <t>Contrôle de cohérence</t>
        </is>
      </c>
      <c r="R4" s="8" t="inlineStr">
        <is>
          <t>Var. produit net bancaire vs même période N-1</t>
        </is>
      </c>
      <c r="S4" s="8" t="inlineStr">
        <is>
          <t>Var. frais de gestion vs même période N-1</t>
        </is>
      </c>
      <c r="T4" s="8" t="inlineStr">
        <is>
          <t>Var. résultat brut d'exploitation vs même période N-1</t>
        </is>
      </c>
      <c r="U4" s="8" t="inlineStr">
        <is>
          <t>Var. coût du risque vs même période N-1</t>
        </is>
      </c>
      <c r="V4" s="8" t="inlineStr">
        <is>
          <t>Var. résultat avant impôt vs même période N-1</t>
        </is>
      </c>
      <c r="W4" s="8" t="inlineStr">
        <is>
          <t>Var. résultat net vs même période N-1</t>
        </is>
      </c>
      <c r="X4" s="8" t="inlineStr">
        <is>
          <t>Var. crédits nets à la clientèle vs même période N-1</t>
        </is>
      </c>
      <c r="Y4" s="8" t="inlineStr">
        <is>
          <t>Var. dépôts de la clientèle vs même période N-1</t>
        </is>
      </c>
    </row>
    <row r="5">
      <c r="A5" s="9" t="inlineStr">
        <is>
          <t>BBGC</t>
        </is>
      </c>
      <c r="B5" s="10">
        <f>IF(A5="","",IFERROR(VLOOKUP(A5,Titres!$A$2:$B$400,2,FALSE),"Ticker inconnu"))</f>
        <v/>
      </c>
      <c r="C5" s="11" t="n">
        <v>2021</v>
      </c>
      <c r="D5" s="11" t="inlineStr">
        <is>
          <t>T1</t>
        </is>
      </c>
      <c r="E5" s="9" t="n"/>
      <c r="F5" s="12" t="n"/>
      <c r="G5" s="9" t="n"/>
      <c r="H5" s="13" t="n"/>
      <c r="I5" s="13" t="n"/>
      <c r="J5" s="13" t="n"/>
      <c r="K5" s="13" t="n"/>
      <c r="L5" s="13" t="n"/>
      <c r="M5" s="13" t="n"/>
      <c r="N5" s="13" t="n"/>
      <c r="O5" s="13" t="n"/>
      <c r="P5" s="14">
        <f>IF(A5="","",COUNT(H5:O5)/8)</f>
        <v/>
      </c>
      <c r="Q5" s="15">
        <f>IF(COUNT(H5:O5)=0,"",IF(LEN(IF(COUNT(H5,I5,J5)=3,IF(ABS(H5+I5-J5)&lt;=MAX(1,0.02*ABS(J5)),"","RBE &lt;&gt; PNB + frais "),"")&amp;IF(COUNT(J5,K5,L5)=3,IF(ABS(J5+K5-L5)&lt;=MAX(1,0.03*ABS(L5)),"","RAI &lt;&gt; RBE + coût du risque "),"")&amp;IF(COUNT(H5,M5)=2,IF(ABS(M5)&gt;ABS(H5),"RN &gt; PNB ",""),""))=0,"OK",IF(COUNT(H5,I5,J5)=3,IF(ABS(H5+I5-J5)&lt;=MAX(1,0.02*ABS(J5)),"","RBE &lt;&gt; PNB + frais "),"")&amp;IF(COUNT(J5,K5,L5)=3,IF(ABS(J5+K5-L5)&lt;=MAX(1,0.03*ABS(L5)),"","RAI &lt;&gt; RBE + coût du risque "),"")&amp;IF(COUNT(H5,M5)=2,IF(ABS(M5)&gt;ABS(H5),"RN &gt; PNB ",""),"")))</f>
        <v/>
      </c>
      <c r="R5" s="16">
        <f>IF(OR($A5="",H5="",$C5=""),"",IF(COUNTIFS($A$5:$A$315,$A5,$C$5:$C$315,$C5-1,$D$5:$D$315,$D5,H$5:H$315,"&lt;&gt;")=0,"",IF(OR(SUMIFS(H$5:H$315,$A$5:$A$315,$A5,$C$5:$C$315,$C5-1,$D$5:$D$315,$D5)=0,H5*SUMIFS(H$5:H$315,$A$5:$A$315,$A5,$C$5:$C$315,$C5-1,$D$5:$D$315,$D5)&lt;0),"n.s.",ABS(H5)/ABS(SUMIFS(H$5:H$315,$A$5:$A$315,$A5,$C$5:$C$315,$C5-1,$D$5:$D$315,$D5))-1)))</f>
        <v/>
      </c>
      <c r="S5" s="16">
        <f>IF(OR($A5="",I5="",$C5=""),"",IF(COUNTIFS($A$5:$A$315,$A5,$C$5:$C$315,$C5-1,$D$5:$D$315,$D5,I$5:I$315,"&lt;&gt;")=0,"",IF(OR(SUMIFS(I$5:I$315,$A$5:$A$315,$A5,$C$5:$C$315,$C5-1,$D$5:$D$315,$D5)=0,I5*SUMIFS(I$5:I$315,$A$5:$A$315,$A5,$C$5:$C$315,$C5-1,$D$5:$D$315,$D5)&lt;0),"n.s.",ABS(I5)/ABS(SUMIFS(I$5:I$315,$A$5:$A$315,$A5,$C$5:$C$315,$C5-1,$D$5:$D$315,$D5))-1)))</f>
        <v/>
      </c>
      <c r="T5" s="16">
        <f>IF(OR($A5="",J5="",$C5=""),"",IF(COUNTIFS($A$5:$A$315,$A5,$C$5:$C$315,$C5-1,$D$5:$D$315,$D5,J$5:J$315,"&lt;&gt;")=0,"",IF(OR(SUMIFS(J$5:J$315,$A$5:$A$315,$A5,$C$5:$C$315,$C5-1,$D$5:$D$315,$D5)=0,J5*SUMIFS(J$5:J$315,$A$5:$A$315,$A5,$C$5:$C$315,$C5-1,$D$5:$D$315,$D5)&lt;0),"n.s.",ABS(J5)/ABS(SUMIFS(J$5:J$315,$A$5:$A$315,$A5,$C$5:$C$315,$C5-1,$D$5:$D$315,$D5))-1)))</f>
        <v/>
      </c>
      <c r="U5" s="16">
        <f>IF(OR($A5="",K5="",$C5=""),"",IF(COUNTIFS($A$5:$A$315,$A5,$C$5:$C$315,$C5-1,$D$5:$D$315,$D5,K$5:K$315,"&lt;&gt;")=0,"",IF(OR(SUMIFS(K$5:K$315,$A$5:$A$315,$A5,$C$5:$C$315,$C5-1,$D$5:$D$315,$D5)=0,K5*SUMIFS(K$5:K$315,$A$5:$A$315,$A5,$C$5:$C$315,$C5-1,$D$5:$D$315,$D5)&lt;0),"n.s.",ABS(K5)/ABS(SUMIFS(K$5:K$315,$A$5:$A$315,$A5,$C$5:$C$315,$C5-1,$D$5:$D$315,$D5))-1)))</f>
        <v/>
      </c>
      <c r="V5" s="16">
        <f>IF(OR($A5="",L5="",$C5=""),"",IF(COUNTIFS($A$5:$A$315,$A5,$C$5:$C$315,$C5-1,$D$5:$D$315,$D5,L$5:L$315,"&lt;&gt;")=0,"",IF(OR(SUMIFS(L$5:L$315,$A$5:$A$315,$A5,$C$5:$C$315,$C5-1,$D$5:$D$315,$D5)=0,L5*SUMIFS(L$5:L$315,$A$5:$A$315,$A5,$C$5:$C$315,$C5-1,$D$5:$D$315,$D5)&lt;0),"n.s.",ABS(L5)/ABS(SUMIFS(L$5:L$315,$A$5:$A$315,$A5,$C$5:$C$315,$C5-1,$D$5:$D$315,$D5))-1)))</f>
        <v/>
      </c>
      <c r="W5" s="16">
        <f>IF(OR($A5="",M5="",$C5=""),"",IF(COUNTIFS($A$5:$A$315,$A5,$C$5:$C$315,$C5-1,$D$5:$D$315,$D5,M$5:M$315,"&lt;&gt;")=0,"",IF(OR(SUMIFS(M$5:M$315,$A$5:$A$315,$A5,$C$5:$C$315,$C5-1,$D$5:$D$315,$D5)=0,M5*SUMIFS(M$5:M$315,$A$5:$A$315,$A5,$C$5:$C$315,$C5-1,$D$5:$D$315,$D5)&lt;0),"n.s.",ABS(M5)/ABS(SUMIFS(M$5:M$315,$A$5:$A$315,$A5,$C$5:$C$315,$C5-1,$D$5:$D$315,$D5))-1)))</f>
        <v/>
      </c>
      <c r="X5" s="16">
        <f>IF(OR($A5="",N5="",$C5=""),"",IF(COUNTIFS($A$5:$A$315,$A5,$C$5:$C$315,$C5-1,$D$5:$D$315,$D5,N$5:N$315,"&lt;&gt;")=0,"",IF(OR(SUMIFS(N$5:N$315,$A$5:$A$315,$A5,$C$5:$C$315,$C5-1,$D$5:$D$315,$D5)=0,N5*SUMIFS(N$5:N$315,$A$5:$A$315,$A5,$C$5:$C$315,$C5-1,$D$5:$D$315,$D5)&lt;0),"n.s.",ABS(N5)/ABS(SUMIFS(N$5:N$315,$A$5:$A$315,$A5,$C$5:$C$315,$C5-1,$D$5:$D$315,$D5))-1)))</f>
        <v/>
      </c>
      <c r="Y5" s="16">
        <f>IF(OR($A5="",O5="",$C5=""),"",IF(COUNTIFS($A$5:$A$315,$A5,$C$5:$C$315,$C5-1,$D$5:$D$315,$D5,O$5:O$315,"&lt;&gt;")=0,"",IF(OR(SUMIFS(O$5:O$315,$A$5:$A$315,$A5,$C$5:$C$315,$C5-1,$D$5:$D$315,$D5)=0,O5*SUMIFS(O$5:O$315,$A$5:$A$315,$A5,$C$5:$C$315,$C5-1,$D$5:$D$315,$D5)&lt;0),"n.s.",ABS(O5)/ABS(SUMIFS(O$5:O$315,$A$5:$A$315,$A5,$C$5:$C$315,$C5-1,$D$5:$D$315,$D5))-1)))</f>
        <v/>
      </c>
    </row>
    <row r="6">
      <c r="A6" s="9" t="inlineStr">
        <is>
          <t>BBGC</t>
        </is>
      </c>
      <c r="B6" s="10">
        <f>IF(A6="","",IFERROR(VLOOKUP(A6,Titres!$A$2:$B$400,2,FALSE),"Ticker inconnu"))</f>
        <v/>
      </c>
      <c r="C6" s="11" t="n">
        <v>2021</v>
      </c>
      <c r="D6" s="11" t="inlineStr">
        <is>
          <t>S1</t>
        </is>
      </c>
      <c r="E6" s="9" t="n"/>
      <c r="F6" s="12" t="n"/>
      <c r="G6" s="9" t="n"/>
      <c r="H6" s="13" t="n"/>
      <c r="I6" s="13" t="n"/>
      <c r="J6" s="13" t="n"/>
      <c r="K6" s="13" t="n"/>
      <c r="L6" s="13" t="n"/>
      <c r="M6" s="13" t="n"/>
      <c r="N6" s="13" t="n"/>
      <c r="O6" s="13" t="n"/>
      <c r="P6" s="14">
        <f>IF(A6="","",COUNT(H6:O6)/8)</f>
        <v/>
      </c>
      <c r="Q6" s="15">
        <f>IF(COUNT(H6:O6)=0,"",IF(LEN(IF(COUNT(H6,I6,J6)=3,IF(ABS(H6+I6-J6)&lt;=MAX(1,0.02*ABS(J6)),"","RBE &lt;&gt; PNB + frais "),"")&amp;IF(COUNT(J6,K6,L6)=3,IF(ABS(J6+K6-L6)&lt;=MAX(1,0.03*ABS(L6)),"","RAI &lt;&gt; RBE + coût du risque "),"")&amp;IF(COUNT(H6,M6)=2,IF(ABS(M6)&gt;ABS(H6),"RN &gt; PNB ",""),""))=0,"OK",IF(COUNT(H6,I6,J6)=3,IF(ABS(H6+I6-J6)&lt;=MAX(1,0.02*ABS(J6)),"","RBE &lt;&gt; PNB + frais "),"")&amp;IF(COUNT(J6,K6,L6)=3,IF(ABS(J6+K6-L6)&lt;=MAX(1,0.03*ABS(L6)),"","RAI &lt;&gt; RBE + coût du risque "),"")&amp;IF(COUNT(H6,M6)=2,IF(ABS(M6)&gt;ABS(H6),"RN &gt; PNB ",""),"")))</f>
        <v/>
      </c>
      <c r="R6" s="16">
        <f>IF(OR($A6="",H6="",$C6=""),"",IF(COUNTIFS($A$5:$A$315,$A6,$C$5:$C$315,$C6-1,$D$5:$D$315,$D6,H$5:H$315,"&lt;&gt;")=0,"",IF(OR(SUMIFS(H$5:H$315,$A$5:$A$315,$A6,$C$5:$C$315,$C6-1,$D$5:$D$315,$D6)=0,H6*SUMIFS(H$5:H$315,$A$5:$A$315,$A6,$C$5:$C$315,$C6-1,$D$5:$D$315,$D6)&lt;0),"n.s.",ABS(H6)/ABS(SUMIFS(H$5:H$315,$A$5:$A$315,$A6,$C$5:$C$315,$C6-1,$D$5:$D$315,$D6))-1)))</f>
        <v/>
      </c>
      <c r="S6" s="16">
        <f>IF(OR($A6="",I6="",$C6=""),"",IF(COUNTIFS($A$5:$A$315,$A6,$C$5:$C$315,$C6-1,$D$5:$D$315,$D6,I$5:I$315,"&lt;&gt;")=0,"",IF(OR(SUMIFS(I$5:I$315,$A$5:$A$315,$A6,$C$5:$C$315,$C6-1,$D$5:$D$315,$D6)=0,I6*SUMIFS(I$5:I$315,$A$5:$A$315,$A6,$C$5:$C$315,$C6-1,$D$5:$D$315,$D6)&lt;0),"n.s.",ABS(I6)/ABS(SUMIFS(I$5:I$315,$A$5:$A$315,$A6,$C$5:$C$315,$C6-1,$D$5:$D$315,$D6))-1)))</f>
        <v/>
      </c>
      <c r="T6" s="16">
        <f>IF(OR($A6="",J6="",$C6=""),"",IF(COUNTIFS($A$5:$A$315,$A6,$C$5:$C$315,$C6-1,$D$5:$D$315,$D6,J$5:J$315,"&lt;&gt;")=0,"",IF(OR(SUMIFS(J$5:J$315,$A$5:$A$315,$A6,$C$5:$C$315,$C6-1,$D$5:$D$315,$D6)=0,J6*SUMIFS(J$5:J$315,$A$5:$A$315,$A6,$C$5:$C$315,$C6-1,$D$5:$D$315,$D6)&lt;0),"n.s.",ABS(J6)/ABS(SUMIFS(J$5:J$315,$A$5:$A$315,$A6,$C$5:$C$315,$C6-1,$D$5:$D$315,$D6))-1)))</f>
        <v/>
      </c>
      <c r="U6" s="16">
        <f>IF(OR($A6="",K6="",$C6=""),"",IF(COUNTIFS($A$5:$A$315,$A6,$C$5:$C$315,$C6-1,$D$5:$D$315,$D6,K$5:K$315,"&lt;&gt;")=0,"",IF(OR(SUMIFS(K$5:K$315,$A$5:$A$315,$A6,$C$5:$C$315,$C6-1,$D$5:$D$315,$D6)=0,K6*SUMIFS(K$5:K$315,$A$5:$A$315,$A6,$C$5:$C$315,$C6-1,$D$5:$D$315,$D6)&lt;0),"n.s.",ABS(K6)/ABS(SUMIFS(K$5:K$315,$A$5:$A$315,$A6,$C$5:$C$315,$C6-1,$D$5:$D$315,$D6))-1)))</f>
        <v/>
      </c>
      <c r="V6" s="16">
        <f>IF(OR($A6="",L6="",$C6=""),"",IF(COUNTIFS($A$5:$A$315,$A6,$C$5:$C$315,$C6-1,$D$5:$D$315,$D6,L$5:L$315,"&lt;&gt;")=0,"",IF(OR(SUMIFS(L$5:L$315,$A$5:$A$315,$A6,$C$5:$C$315,$C6-1,$D$5:$D$315,$D6)=0,L6*SUMIFS(L$5:L$315,$A$5:$A$315,$A6,$C$5:$C$315,$C6-1,$D$5:$D$315,$D6)&lt;0),"n.s.",ABS(L6)/ABS(SUMIFS(L$5:L$315,$A$5:$A$315,$A6,$C$5:$C$315,$C6-1,$D$5:$D$315,$D6))-1)))</f>
        <v/>
      </c>
      <c r="W6" s="16">
        <f>IF(OR($A6="",M6="",$C6=""),"",IF(COUNTIFS($A$5:$A$315,$A6,$C$5:$C$315,$C6-1,$D$5:$D$315,$D6,M$5:M$315,"&lt;&gt;")=0,"",IF(OR(SUMIFS(M$5:M$315,$A$5:$A$315,$A6,$C$5:$C$315,$C6-1,$D$5:$D$315,$D6)=0,M6*SUMIFS(M$5:M$315,$A$5:$A$315,$A6,$C$5:$C$315,$C6-1,$D$5:$D$315,$D6)&lt;0),"n.s.",ABS(M6)/ABS(SUMIFS(M$5:M$315,$A$5:$A$315,$A6,$C$5:$C$315,$C6-1,$D$5:$D$315,$D6))-1)))</f>
        <v/>
      </c>
      <c r="X6" s="16">
        <f>IF(OR($A6="",N6="",$C6=""),"",IF(COUNTIFS($A$5:$A$315,$A6,$C$5:$C$315,$C6-1,$D$5:$D$315,$D6,N$5:N$315,"&lt;&gt;")=0,"",IF(OR(SUMIFS(N$5:N$315,$A$5:$A$315,$A6,$C$5:$C$315,$C6-1,$D$5:$D$315,$D6)=0,N6*SUMIFS(N$5:N$315,$A$5:$A$315,$A6,$C$5:$C$315,$C6-1,$D$5:$D$315,$D6)&lt;0),"n.s.",ABS(N6)/ABS(SUMIFS(N$5:N$315,$A$5:$A$315,$A6,$C$5:$C$315,$C6-1,$D$5:$D$315,$D6))-1)))</f>
        <v/>
      </c>
      <c r="Y6" s="16">
        <f>IF(OR($A6="",O6="",$C6=""),"",IF(COUNTIFS($A$5:$A$315,$A6,$C$5:$C$315,$C6-1,$D$5:$D$315,$D6,O$5:O$315,"&lt;&gt;")=0,"",IF(OR(SUMIFS(O$5:O$315,$A$5:$A$315,$A6,$C$5:$C$315,$C6-1,$D$5:$D$315,$D6)=0,O6*SUMIFS(O$5:O$315,$A$5:$A$315,$A6,$C$5:$C$315,$C6-1,$D$5:$D$315,$D6)&lt;0),"n.s.",ABS(O6)/ABS(SUMIFS(O$5:O$315,$A$5:$A$315,$A6,$C$5:$C$315,$C6-1,$D$5:$D$315,$D6))-1)))</f>
        <v/>
      </c>
    </row>
    <row r="7">
      <c r="A7" s="9" t="inlineStr">
        <is>
          <t>BBGC</t>
        </is>
      </c>
      <c r="B7" s="10">
        <f>IF(A7="","",IFERROR(VLOOKUP(A7,Titres!$A$2:$B$400,2,FALSE),"Ticker inconnu"))</f>
        <v/>
      </c>
      <c r="C7" s="11" t="n">
        <v>2021</v>
      </c>
      <c r="D7" s="11" t="inlineStr">
        <is>
          <t>T3</t>
        </is>
      </c>
      <c r="E7" s="9" t="n"/>
      <c r="F7" s="12" t="n"/>
      <c r="G7" s="9" t="n"/>
      <c r="H7" s="13" t="n"/>
      <c r="I7" s="13" t="n"/>
      <c r="J7" s="13" t="n"/>
      <c r="K7" s="13" t="n"/>
      <c r="L7" s="13" t="n"/>
      <c r="M7" s="13" t="n"/>
      <c r="N7" s="13" t="n"/>
      <c r="O7" s="13" t="n"/>
      <c r="P7" s="14">
        <f>IF(A7="","",COUNT(H7:O7)/8)</f>
        <v/>
      </c>
      <c r="Q7" s="15">
        <f>IF(COUNT(H7:O7)=0,"",IF(LEN(IF(COUNT(H7,I7,J7)=3,IF(ABS(H7+I7-J7)&lt;=MAX(1,0.02*ABS(J7)),"","RBE &lt;&gt; PNB + frais "),"")&amp;IF(COUNT(J7,K7,L7)=3,IF(ABS(J7+K7-L7)&lt;=MAX(1,0.03*ABS(L7)),"","RAI &lt;&gt; RBE + coût du risque "),"")&amp;IF(COUNT(H7,M7)=2,IF(ABS(M7)&gt;ABS(H7),"RN &gt; PNB ",""),""))=0,"OK",IF(COUNT(H7,I7,J7)=3,IF(ABS(H7+I7-J7)&lt;=MAX(1,0.02*ABS(J7)),"","RBE &lt;&gt; PNB + frais "),"")&amp;IF(COUNT(J7,K7,L7)=3,IF(ABS(J7+K7-L7)&lt;=MAX(1,0.03*ABS(L7)),"","RAI &lt;&gt; RBE + coût du risque "),"")&amp;IF(COUNT(H7,M7)=2,IF(ABS(M7)&gt;ABS(H7),"RN &gt; PNB ",""),"")))</f>
        <v/>
      </c>
      <c r="R7" s="16">
        <f>IF(OR($A7="",H7="",$C7=""),"",IF(COUNTIFS($A$5:$A$315,$A7,$C$5:$C$315,$C7-1,$D$5:$D$315,$D7,H$5:H$315,"&lt;&gt;")=0,"",IF(OR(SUMIFS(H$5:H$315,$A$5:$A$315,$A7,$C$5:$C$315,$C7-1,$D$5:$D$315,$D7)=0,H7*SUMIFS(H$5:H$315,$A$5:$A$315,$A7,$C$5:$C$315,$C7-1,$D$5:$D$315,$D7)&lt;0),"n.s.",ABS(H7)/ABS(SUMIFS(H$5:H$315,$A$5:$A$315,$A7,$C$5:$C$315,$C7-1,$D$5:$D$315,$D7))-1)))</f>
        <v/>
      </c>
      <c r="S7" s="16">
        <f>IF(OR($A7="",I7="",$C7=""),"",IF(COUNTIFS($A$5:$A$315,$A7,$C$5:$C$315,$C7-1,$D$5:$D$315,$D7,I$5:I$315,"&lt;&gt;")=0,"",IF(OR(SUMIFS(I$5:I$315,$A$5:$A$315,$A7,$C$5:$C$315,$C7-1,$D$5:$D$315,$D7)=0,I7*SUMIFS(I$5:I$315,$A$5:$A$315,$A7,$C$5:$C$315,$C7-1,$D$5:$D$315,$D7)&lt;0),"n.s.",ABS(I7)/ABS(SUMIFS(I$5:I$315,$A$5:$A$315,$A7,$C$5:$C$315,$C7-1,$D$5:$D$315,$D7))-1)))</f>
        <v/>
      </c>
      <c r="T7" s="16">
        <f>IF(OR($A7="",J7="",$C7=""),"",IF(COUNTIFS($A$5:$A$315,$A7,$C$5:$C$315,$C7-1,$D$5:$D$315,$D7,J$5:J$315,"&lt;&gt;")=0,"",IF(OR(SUMIFS(J$5:J$315,$A$5:$A$315,$A7,$C$5:$C$315,$C7-1,$D$5:$D$315,$D7)=0,J7*SUMIFS(J$5:J$315,$A$5:$A$315,$A7,$C$5:$C$315,$C7-1,$D$5:$D$315,$D7)&lt;0),"n.s.",ABS(J7)/ABS(SUMIFS(J$5:J$315,$A$5:$A$315,$A7,$C$5:$C$315,$C7-1,$D$5:$D$315,$D7))-1)))</f>
        <v/>
      </c>
      <c r="U7" s="16">
        <f>IF(OR($A7="",K7="",$C7=""),"",IF(COUNTIFS($A$5:$A$315,$A7,$C$5:$C$315,$C7-1,$D$5:$D$315,$D7,K$5:K$315,"&lt;&gt;")=0,"",IF(OR(SUMIFS(K$5:K$315,$A$5:$A$315,$A7,$C$5:$C$315,$C7-1,$D$5:$D$315,$D7)=0,K7*SUMIFS(K$5:K$315,$A$5:$A$315,$A7,$C$5:$C$315,$C7-1,$D$5:$D$315,$D7)&lt;0),"n.s.",ABS(K7)/ABS(SUMIFS(K$5:K$315,$A$5:$A$315,$A7,$C$5:$C$315,$C7-1,$D$5:$D$315,$D7))-1)))</f>
        <v/>
      </c>
      <c r="V7" s="16">
        <f>IF(OR($A7="",L7="",$C7=""),"",IF(COUNTIFS($A$5:$A$315,$A7,$C$5:$C$315,$C7-1,$D$5:$D$315,$D7,L$5:L$315,"&lt;&gt;")=0,"",IF(OR(SUMIFS(L$5:L$315,$A$5:$A$315,$A7,$C$5:$C$315,$C7-1,$D$5:$D$315,$D7)=0,L7*SUMIFS(L$5:L$315,$A$5:$A$315,$A7,$C$5:$C$315,$C7-1,$D$5:$D$315,$D7)&lt;0),"n.s.",ABS(L7)/ABS(SUMIFS(L$5:L$315,$A$5:$A$315,$A7,$C$5:$C$315,$C7-1,$D$5:$D$315,$D7))-1)))</f>
        <v/>
      </c>
      <c r="W7" s="16">
        <f>IF(OR($A7="",M7="",$C7=""),"",IF(COUNTIFS($A$5:$A$315,$A7,$C$5:$C$315,$C7-1,$D$5:$D$315,$D7,M$5:M$315,"&lt;&gt;")=0,"",IF(OR(SUMIFS(M$5:M$315,$A$5:$A$315,$A7,$C$5:$C$315,$C7-1,$D$5:$D$315,$D7)=0,M7*SUMIFS(M$5:M$315,$A$5:$A$315,$A7,$C$5:$C$315,$C7-1,$D$5:$D$315,$D7)&lt;0),"n.s.",ABS(M7)/ABS(SUMIFS(M$5:M$315,$A$5:$A$315,$A7,$C$5:$C$315,$C7-1,$D$5:$D$315,$D7))-1)))</f>
        <v/>
      </c>
      <c r="X7" s="16">
        <f>IF(OR($A7="",N7="",$C7=""),"",IF(COUNTIFS($A$5:$A$315,$A7,$C$5:$C$315,$C7-1,$D$5:$D$315,$D7,N$5:N$315,"&lt;&gt;")=0,"",IF(OR(SUMIFS(N$5:N$315,$A$5:$A$315,$A7,$C$5:$C$315,$C7-1,$D$5:$D$315,$D7)=0,N7*SUMIFS(N$5:N$315,$A$5:$A$315,$A7,$C$5:$C$315,$C7-1,$D$5:$D$315,$D7)&lt;0),"n.s.",ABS(N7)/ABS(SUMIFS(N$5:N$315,$A$5:$A$315,$A7,$C$5:$C$315,$C7-1,$D$5:$D$315,$D7))-1)))</f>
        <v/>
      </c>
      <c r="Y7" s="16">
        <f>IF(OR($A7="",O7="",$C7=""),"",IF(COUNTIFS($A$5:$A$315,$A7,$C$5:$C$315,$C7-1,$D$5:$D$315,$D7,O$5:O$315,"&lt;&gt;")=0,"",IF(OR(SUMIFS(O$5:O$315,$A$5:$A$315,$A7,$C$5:$C$315,$C7-1,$D$5:$D$315,$D7)=0,O7*SUMIFS(O$5:O$315,$A$5:$A$315,$A7,$C$5:$C$315,$C7-1,$D$5:$D$315,$D7)&lt;0),"n.s.",ABS(O7)/ABS(SUMIFS(O$5:O$315,$A$5:$A$315,$A7,$C$5:$C$315,$C7-1,$D$5:$D$315,$D7))-1)))</f>
        <v/>
      </c>
    </row>
    <row r="8">
      <c r="A8" s="9" t="inlineStr">
        <is>
          <t>BBGC</t>
        </is>
      </c>
      <c r="B8" s="10">
        <f>IF(A8="","",IFERROR(VLOOKUP(A8,Titres!$A$2:$B$400,2,FALSE),"Ticker inconnu"))</f>
        <v/>
      </c>
      <c r="C8" s="11" t="n">
        <v>2022</v>
      </c>
      <c r="D8" s="11" t="inlineStr">
        <is>
          <t>T1</t>
        </is>
      </c>
      <c r="E8" s="9" t="n"/>
      <c r="F8" s="12" t="n"/>
      <c r="G8" s="9" t="n"/>
      <c r="H8" s="13" t="n"/>
      <c r="I8" s="13" t="n"/>
      <c r="J8" s="13" t="n"/>
      <c r="K8" s="13" t="n"/>
      <c r="L8" s="13" t="n"/>
      <c r="M8" s="13" t="n"/>
      <c r="N8" s="13" t="n"/>
      <c r="O8" s="13" t="n"/>
      <c r="P8" s="14">
        <f>IF(A8="","",COUNT(H8:O8)/8)</f>
        <v/>
      </c>
      <c r="Q8" s="15">
        <f>IF(COUNT(H8:O8)=0,"",IF(LEN(IF(COUNT(H8,I8,J8)=3,IF(ABS(H8+I8-J8)&lt;=MAX(1,0.02*ABS(J8)),"","RBE &lt;&gt; PNB + frais "),"")&amp;IF(COUNT(J8,K8,L8)=3,IF(ABS(J8+K8-L8)&lt;=MAX(1,0.03*ABS(L8)),"","RAI &lt;&gt; RBE + coût du risque "),"")&amp;IF(COUNT(H8,M8)=2,IF(ABS(M8)&gt;ABS(H8),"RN &gt; PNB ",""),""))=0,"OK",IF(COUNT(H8,I8,J8)=3,IF(ABS(H8+I8-J8)&lt;=MAX(1,0.02*ABS(J8)),"","RBE &lt;&gt; PNB + frais "),"")&amp;IF(COUNT(J8,K8,L8)=3,IF(ABS(J8+K8-L8)&lt;=MAX(1,0.03*ABS(L8)),"","RAI &lt;&gt; RBE + coût du risque "),"")&amp;IF(COUNT(H8,M8)=2,IF(ABS(M8)&gt;ABS(H8),"RN &gt; PNB ",""),"")))</f>
        <v/>
      </c>
      <c r="R8" s="16">
        <f>IF(OR($A8="",H8="",$C8=""),"",IF(COUNTIFS($A$5:$A$315,$A8,$C$5:$C$315,$C8-1,$D$5:$D$315,$D8,H$5:H$315,"&lt;&gt;")=0,"",IF(OR(SUMIFS(H$5:H$315,$A$5:$A$315,$A8,$C$5:$C$315,$C8-1,$D$5:$D$315,$D8)=0,H8*SUMIFS(H$5:H$315,$A$5:$A$315,$A8,$C$5:$C$315,$C8-1,$D$5:$D$315,$D8)&lt;0),"n.s.",ABS(H8)/ABS(SUMIFS(H$5:H$315,$A$5:$A$315,$A8,$C$5:$C$315,$C8-1,$D$5:$D$315,$D8))-1)))</f>
        <v/>
      </c>
      <c r="S8" s="16">
        <f>IF(OR($A8="",I8="",$C8=""),"",IF(COUNTIFS($A$5:$A$315,$A8,$C$5:$C$315,$C8-1,$D$5:$D$315,$D8,I$5:I$315,"&lt;&gt;")=0,"",IF(OR(SUMIFS(I$5:I$315,$A$5:$A$315,$A8,$C$5:$C$315,$C8-1,$D$5:$D$315,$D8)=0,I8*SUMIFS(I$5:I$315,$A$5:$A$315,$A8,$C$5:$C$315,$C8-1,$D$5:$D$315,$D8)&lt;0),"n.s.",ABS(I8)/ABS(SUMIFS(I$5:I$315,$A$5:$A$315,$A8,$C$5:$C$315,$C8-1,$D$5:$D$315,$D8))-1)))</f>
        <v/>
      </c>
      <c r="T8" s="16">
        <f>IF(OR($A8="",J8="",$C8=""),"",IF(COUNTIFS($A$5:$A$315,$A8,$C$5:$C$315,$C8-1,$D$5:$D$315,$D8,J$5:J$315,"&lt;&gt;")=0,"",IF(OR(SUMIFS(J$5:J$315,$A$5:$A$315,$A8,$C$5:$C$315,$C8-1,$D$5:$D$315,$D8)=0,J8*SUMIFS(J$5:J$315,$A$5:$A$315,$A8,$C$5:$C$315,$C8-1,$D$5:$D$315,$D8)&lt;0),"n.s.",ABS(J8)/ABS(SUMIFS(J$5:J$315,$A$5:$A$315,$A8,$C$5:$C$315,$C8-1,$D$5:$D$315,$D8))-1)))</f>
        <v/>
      </c>
      <c r="U8" s="16">
        <f>IF(OR($A8="",K8="",$C8=""),"",IF(COUNTIFS($A$5:$A$315,$A8,$C$5:$C$315,$C8-1,$D$5:$D$315,$D8,K$5:K$315,"&lt;&gt;")=0,"",IF(OR(SUMIFS(K$5:K$315,$A$5:$A$315,$A8,$C$5:$C$315,$C8-1,$D$5:$D$315,$D8)=0,K8*SUMIFS(K$5:K$315,$A$5:$A$315,$A8,$C$5:$C$315,$C8-1,$D$5:$D$315,$D8)&lt;0),"n.s.",ABS(K8)/ABS(SUMIFS(K$5:K$315,$A$5:$A$315,$A8,$C$5:$C$315,$C8-1,$D$5:$D$315,$D8))-1)))</f>
        <v/>
      </c>
      <c r="V8" s="16">
        <f>IF(OR($A8="",L8="",$C8=""),"",IF(COUNTIFS($A$5:$A$315,$A8,$C$5:$C$315,$C8-1,$D$5:$D$315,$D8,L$5:L$315,"&lt;&gt;")=0,"",IF(OR(SUMIFS(L$5:L$315,$A$5:$A$315,$A8,$C$5:$C$315,$C8-1,$D$5:$D$315,$D8)=0,L8*SUMIFS(L$5:L$315,$A$5:$A$315,$A8,$C$5:$C$315,$C8-1,$D$5:$D$315,$D8)&lt;0),"n.s.",ABS(L8)/ABS(SUMIFS(L$5:L$315,$A$5:$A$315,$A8,$C$5:$C$315,$C8-1,$D$5:$D$315,$D8))-1)))</f>
        <v/>
      </c>
      <c r="W8" s="16">
        <f>IF(OR($A8="",M8="",$C8=""),"",IF(COUNTIFS($A$5:$A$315,$A8,$C$5:$C$315,$C8-1,$D$5:$D$315,$D8,M$5:M$315,"&lt;&gt;")=0,"",IF(OR(SUMIFS(M$5:M$315,$A$5:$A$315,$A8,$C$5:$C$315,$C8-1,$D$5:$D$315,$D8)=0,M8*SUMIFS(M$5:M$315,$A$5:$A$315,$A8,$C$5:$C$315,$C8-1,$D$5:$D$315,$D8)&lt;0),"n.s.",ABS(M8)/ABS(SUMIFS(M$5:M$315,$A$5:$A$315,$A8,$C$5:$C$315,$C8-1,$D$5:$D$315,$D8))-1)))</f>
        <v/>
      </c>
      <c r="X8" s="16">
        <f>IF(OR($A8="",N8="",$C8=""),"",IF(COUNTIFS($A$5:$A$315,$A8,$C$5:$C$315,$C8-1,$D$5:$D$315,$D8,N$5:N$315,"&lt;&gt;")=0,"",IF(OR(SUMIFS(N$5:N$315,$A$5:$A$315,$A8,$C$5:$C$315,$C8-1,$D$5:$D$315,$D8)=0,N8*SUMIFS(N$5:N$315,$A$5:$A$315,$A8,$C$5:$C$315,$C8-1,$D$5:$D$315,$D8)&lt;0),"n.s.",ABS(N8)/ABS(SUMIFS(N$5:N$315,$A$5:$A$315,$A8,$C$5:$C$315,$C8-1,$D$5:$D$315,$D8))-1)))</f>
        <v/>
      </c>
      <c r="Y8" s="16">
        <f>IF(OR($A8="",O8="",$C8=""),"",IF(COUNTIFS($A$5:$A$315,$A8,$C$5:$C$315,$C8-1,$D$5:$D$315,$D8,O$5:O$315,"&lt;&gt;")=0,"",IF(OR(SUMIFS(O$5:O$315,$A$5:$A$315,$A8,$C$5:$C$315,$C8-1,$D$5:$D$315,$D8)=0,O8*SUMIFS(O$5:O$315,$A$5:$A$315,$A8,$C$5:$C$315,$C8-1,$D$5:$D$315,$D8)&lt;0),"n.s.",ABS(O8)/ABS(SUMIFS(O$5:O$315,$A$5:$A$315,$A8,$C$5:$C$315,$C8-1,$D$5:$D$315,$D8))-1)))</f>
        <v/>
      </c>
    </row>
    <row r="9">
      <c r="A9" s="9" t="inlineStr">
        <is>
          <t>BBGC</t>
        </is>
      </c>
      <c r="B9" s="10">
        <f>IF(A9="","",IFERROR(VLOOKUP(A9,Titres!$A$2:$B$400,2,FALSE),"Ticker inconnu"))</f>
        <v/>
      </c>
      <c r="C9" s="11" t="n">
        <v>2022</v>
      </c>
      <c r="D9" s="11" t="inlineStr">
        <is>
          <t>S1</t>
        </is>
      </c>
      <c r="E9" s="9" t="n"/>
      <c r="F9" s="12" t="n"/>
      <c r="G9" s="9" t="n"/>
      <c r="H9" s="13" t="n"/>
      <c r="I9" s="13" t="n"/>
      <c r="J9" s="13" t="n"/>
      <c r="K9" s="13" t="n"/>
      <c r="L9" s="13" t="n"/>
      <c r="M9" s="13" t="n"/>
      <c r="N9" s="13" t="n"/>
      <c r="O9" s="13" t="n"/>
      <c r="P9" s="14">
        <f>IF(A9="","",COUNT(H9:O9)/8)</f>
        <v/>
      </c>
      <c r="Q9" s="15">
        <f>IF(COUNT(H9:O9)=0,"",IF(LEN(IF(COUNT(H9,I9,J9)=3,IF(ABS(H9+I9-J9)&lt;=MAX(1,0.02*ABS(J9)),"","RBE &lt;&gt; PNB + frais "),"")&amp;IF(COUNT(J9,K9,L9)=3,IF(ABS(J9+K9-L9)&lt;=MAX(1,0.03*ABS(L9)),"","RAI &lt;&gt; RBE + coût du risque "),"")&amp;IF(COUNT(H9,M9)=2,IF(ABS(M9)&gt;ABS(H9),"RN &gt; PNB ",""),""))=0,"OK",IF(COUNT(H9,I9,J9)=3,IF(ABS(H9+I9-J9)&lt;=MAX(1,0.02*ABS(J9)),"","RBE &lt;&gt; PNB + frais "),"")&amp;IF(COUNT(J9,K9,L9)=3,IF(ABS(J9+K9-L9)&lt;=MAX(1,0.03*ABS(L9)),"","RAI &lt;&gt; RBE + coût du risque "),"")&amp;IF(COUNT(H9,M9)=2,IF(ABS(M9)&gt;ABS(H9),"RN &gt; PNB ",""),"")))</f>
        <v/>
      </c>
      <c r="R9" s="16">
        <f>IF(OR($A9="",H9="",$C9=""),"",IF(COUNTIFS($A$5:$A$315,$A9,$C$5:$C$315,$C9-1,$D$5:$D$315,$D9,H$5:H$315,"&lt;&gt;")=0,"",IF(OR(SUMIFS(H$5:H$315,$A$5:$A$315,$A9,$C$5:$C$315,$C9-1,$D$5:$D$315,$D9)=0,H9*SUMIFS(H$5:H$315,$A$5:$A$315,$A9,$C$5:$C$315,$C9-1,$D$5:$D$315,$D9)&lt;0),"n.s.",ABS(H9)/ABS(SUMIFS(H$5:H$315,$A$5:$A$315,$A9,$C$5:$C$315,$C9-1,$D$5:$D$315,$D9))-1)))</f>
        <v/>
      </c>
      <c r="S9" s="16">
        <f>IF(OR($A9="",I9="",$C9=""),"",IF(COUNTIFS($A$5:$A$315,$A9,$C$5:$C$315,$C9-1,$D$5:$D$315,$D9,I$5:I$315,"&lt;&gt;")=0,"",IF(OR(SUMIFS(I$5:I$315,$A$5:$A$315,$A9,$C$5:$C$315,$C9-1,$D$5:$D$315,$D9)=0,I9*SUMIFS(I$5:I$315,$A$5:$A$315,$A9,$C$5:$C$315,$C9-1,$D$5:$D$315,$D9)&lt;0),"n.s.",ABS(I9)/ABS(SUMIFS(I$5:I$315,$A$5:$A$315,$A9,$C$5:$C$315,$C9-1,$D$5:$D$315,$D9))-1)))</f>
        <v/>
      </c>
      <c r="T9" s="16">
        <f>IF(OR($A9="",J9="",$C9=""),"",IF(COUNTIFS($A$5:$A$315,$A9,$C$5:$C$315,$C9-1,$D$5:$D$315,$D9,J$5:J$315,"&lt;&gt;")=0,"",IF(OR(SUMIFS(J$5:J$315,$A$5:$A$315,$A9,$C$5:$C$315,$C9-1,$D$5:$D$315,$D9)=0,J9*SUMIFS(J$5:J$315,$A$5:$A$315,$A9,$C$5:$C$315,$C9-1,$D$5:$D$315,$D9)&lt;0),"n.s.",ABS(J9)/ABS(SUMIFS(J$5:J$315,$A$5:$A$315,$A9,$C$5:$C$315,$C9-1,$D$5:$D$315,$D9))-1)))</f>
        <v/>
      </c>
      <c r="U9" s="16">
        <f>IF(OR($A9="",K9="",$C9=""),"",IF(COUNTIFS($A$5:$A$315,$A9,$C$5:$C$315,$C9-1,$D$5:$D$315,$D9,K$5:K$315,"&lt;&gt;")=0,"",IF(OR(SUMIFS(K$5:K$315,$A$5:$A$315,$A9,$C$5:$C$315,$C9-1,$D$5:$D$315,$D9)=0,K9*SUMIFS(K$5:K$315,$A$5:$A$315,$A9,$C$5:$C$315,$C9-1,$D$5:$D$315,$D9)&lt;0),"n.s.",ABS(K9)/ABS(SUMIFS(K$5:K$315,$A$5:$A$315,$A9,$C$5:$C$315,$C9-1,$D$5:$D$315,$D9))-1)))</f>
        <v/>
      </c>
      <c r="V9" s="16">
        <f>IF(OR($A9="",L9="",$C9=""),"",IF(COUNTIFS($A$5:$A$315,$A9,$C$5:$C$315,$C9-1,$D$5:$D$315,$D9,L$5:L$315,"&lt;&gt;")=0,"",IF(OR(SUMIFS(L$5:L$315,$A$5:$A$315,$A9,$C$5:$C$315,$C9-1,$D$5:$D$315,$D9)=0,L9*SUMIFS(L$5:L$315,$A$5:$A$315,$A9,$C$5:$C$315,$C9-1,$D$5:$D$315,$D9)&lt;0),"n.s.",ABS(L9)/ABS(SUMIFS(L$5:L$315,$A$5:$A$315,$A9,$C$5:$C$315,$C9-1,$D$5:$D$315,$D9))-1)))</f>
        <v/>
      </c>
      <c r="W9" s="16">
        <f>IF(OR($A9="",M9="",$C9=""),"",IF(COUNTIFS($A$5:$A$315,$A9,$C$5:$C$315,$C9-1,$D$5:$D$315,$D9,M$5:M$315,"&lt;&gt;")=0,"",IF(OR(SUMIFS(M$5:M$315,$A$5:$A$315,$A9,$C$5:$C$315,$C9-1,$D$5:$D$315,$D9)=0,M9*SUMIFS(M$5:M$315,$A$5:$A$315,$A9,$C$5:$C$315,$C9-1,$D$5:$D$315,$D9)&lt;0),"n.s.",ABS(M9)/ABS(SUMIFS(M$5:M$315,$A$5:$A$315,$A9,$C$5:$C$315,$C9-1,$D$5:$D$315,$D9))-1)))</f>
        <v/>
      </c>
      <c r="X9" s="16">
        <f>IF(OR($A9="",N9="",$C9=""),"",IF(COUNTIFS($A$5:$A$315,$A9,$C$5:$C$315,$C9-1,$D$5:$D$315,$D9,N$5:N$315,"&lt;&gt;")=0,"",IF(OR(SUMIFS(N$5:N$315,$A$5:$A$315,$A9,$C$5:$C$315,$C9-1,$D$5:$D$315,$D9)=0,N9*SUMIFS(N$5:N$315,$A$5:$A$315,$A9,$C$5:$C$315,$C9-1,$D$5:$D$315,$D9)&lt;0),"n.s.",ABS(N9)/ABS(SUMIFS(N$5:N$315,$A$5:$A$315,$A9,$C$5:$C$315,$C9-1,$D$5:$D$315,$D9))-1)))</f>
        <v/>
      </c>
      <c r="Y9" s="16">
        <f>IF(OR($A9="",O9="",$C9=""),"",IF(COUNTIFS($A$5:$A$315,$A9,$C$5:$C$315,$C9-1,$D$5:$D$315,$D9,O$5:O$315,"&lt;&gt;")=0,"",IF(OR(SUMIFS(O$5:O$315,$A$5:$A$315,$A9,$C$5:$C$315,$C9-1,$D$5:$D$315,$D9)=0,O9*SUMIFS(O$5:O$315,$A$5:$A$315,$A9,$C$5:$C$315,$C9-1,$D$5:$D$315,$D9)&lt;0),"n.s.",ABS(O9)/ABS(SUMIFS(O$5:O$315,$A$5:$A$315,$A9,$C$5:$C$315,$C9-1,$D$5:$D$315,$D9))-1)))</f>
        <v/>
      </c>
    </row>
    <row r="10">
      <c r="A10" s="9" t="inlineStr">
        <is>
          <t>BBGC</t>
        </is>
      </c>
      <c r="B10" s="10">
        <f>IF(A10="","",IFERROR(VLOOKUP(A10,Titres!$A$2:$B$400,2,FALSE),"Ticker inconnu"))</f>
        <v/>
      </c>
      <c r="C10" s="11" t="n">
        <v>2022</v>
      </c>
      <c r="D10" s="11" t="inlineStr">
        <is>
          <t>T3</t>
        </is>
      </c>
      <c r="E10" s="9" t="n"/>
      <c r="F10" s="12" t="n"/>
      <c r="G10" s="9" t="n"/>
      <c r="H10" s="13" t="n"/>
      <c r="I10" s="13" t="n"/>
      <c r="J10" s="13" t="n"/>
      <c r="K10" s="13" t="n"/>
      <c r="L10" s="13" t="n"/>
      <c r="M10" s="13" t="n"/>
      <c r="N10" s="13" t="n"/>
      <c r="O10" s="13" t="n"/>
      <c r="P10" s="14">
        <f>IF(A10="","",COUNT(H10:O10)/8)</f>
        <v/>
      </c>
      <c r="Q10" s="15">
        <f>IF(COUNT(H10:O10)=0,"",IF(LEN(IF(COUNT(H10,I10,J10)=3,IF(ABS(H10+I10-J10)&lt;=MAX(1,0.02*ABS(J10)),"","RBE &lt;&gt; PNB + frais "),"")&amp;IF(COUNT(J10,K10,L10)=3,IF(ABS(J10+K10-L10)&lt;=MAX(1,0.03*ABS(L10)),"","RAI &lt;&gt; RBE + coût du risque "),"")&amp;IF(COUNT(H10,M10)=2,IF(ABS(M10)&gt;ABS(H10),"RN &gt; PNB ",""),""))=0,"OK",IF(COUNT(H10,I10,J10)=3,IF(ABS(H10+I10-J10)&lt;=MAX(1,0.02*ABS(J10)),"","RBE &lt;&gt; PNB + frais "),"")&amp;IF(COUNT(J10,K10,L10)=3,IF(ABS(J10+K10-L10)&lt;=MAX(1,0.03*ABS(L10)),"","RAI &lt;&gt; RBE + coût du risque "),"")&amp;IF(COUNT(H10,M10)=2,IF(ABS(M10)&gt;ABS(H10),"RN &gt; PNB ",""),"")))</f>
        <v/>
      </c>
      <c r="R10" s="16">
        <f>IF(OR($A10="",H10="",$C10=""),"",IF(COUNTIFS($A$5:$A$315,$A10,$C$5:$C$315,$C10-1,$D$5:$D$315,$D10,H$5:H$315,"&lt;&gt;")=0,"",IF(OR(SUMIFS(H$5:H$315,$A$5:$A$315,$A10,$C$5:$C$315,$C10-1,$D$5:$D$315,$D10)=0,H10*SUMIFS(H$5:H$315,$A$5:$A$315,$A10,$C$5:$C$315,$C10-1,$D$5:$D$315,$D10)&lt;0),"n.s.",ABS(H10)/ABS(SUMIFS(H$5:H$315,$A$5:$A$315,$A10,$C$5:$C$315,$C10-1,$D$5:$D$315,$D10))-1)))</f>
        <v/>
      </c>
      <c r="S10" s="16">
        <f>IF(OR($A10="",I10="",$C10=""),"",IF(COUNTIFS($A$5:$A$315,$A10,$C$5:$C$315,$C10-1,$D$5:$D$315,$D10,I$5:I$315,"&lt;&gt;")=0,"",IF(OR(SUMIFS(I$5:I$315,$A$5:$A$315,$A10,$C$5:$C$315,$C10-1,$D$5:$D$315,$D10)=0,I10*SUMIFS(I$5:I$315,$A$5:$A$315,$A10,$C$5:$C$315,$C10-1,$D$5:$D$315,$D10)&lt;0),"n.s.",ABS(I10)/ABS(SUMIFS(I$5:I$315,$A$5:$A$315,$A10,$C$5:$C$315,$C10-1,$D$5:$D$315,$D10))-1)))</f>
        <v/>
      </c>
      <c r="T10" s="16">
        <f>IF(OR($A10="",J10="",$C10=""),"",IF(COUNTIFS($A$5:$A$315,$A10,$C$5:$C$315,$C10-1,$D$5:$D$315,$D10,J$5:J$315,"&lt;&gt;")=0,"",IF(OR(SUMIFS(J$5:J$315,$A$5:$A$315,$A10,$C$5:$C$315,$C10-1,$D$5:$D$315,$D10)=0,J10*SUMIFS(J$5:J$315,$A$5:$A$315,$A10,$C$5:$C$315,$C10-1,$D$5:$D$315,$D10)&lt;0),"n.s.",ABS(J10)/ABS(SUMIFS(J$5:J$315,$A$5:$A$315,$A10,$C$5:$C$315,$C10-1,$D$5:$D$315,$D10))-1)))</f>
        <v/>
      </c>
      <c r="U10" s="16">
        <f>IF(OR($A10="",K10="",$C10=""),"",IF(COUNTIFS($A$5:$A$315,$A10,$C$5:$C$315,$C10-1,$D$5:$D$315,$D10,K$5:K$315,"&lt;&gt;")=0,"",IF(OR(SUMIFS(K$5:K$315,$A$5:$A$315,$A10,$C$5:$C$315,$C10-1,$D$5:$D$315,$D10)=0,K10*SUMIFS(K$5:K$315,$A$5:$A$315,$A10,$C$5:$C$315,$C10-1,$D$5:$D$315,$D10)&lt;0),"n.s.",ABS(K10)/ABS(SUMIFS(K$5:K$315,$A$5:$A$315,$A10,$C$5:$C$315,$C10-1,$D$5:$D$315,$D10))-1)))</f>
        <v/>
      </c>
      <c r="V10" s="16">
        <f>IF(OR($A10="",L10="",$C10=""),"",IF(COUNTIFS($A$5:$A$315,$A10,$C$5:$C$315,$C10-1,$D$5:$D$315,$D10,L$5:L$315,"&lt;&gt;")=0,"",IF(OR(SUMIFS(L$5:L$315,$A$5:$A$315,$A10,$C$5:$C$315,$C10-1,$D$5:$D$315,$D10)=0,L10*SUMIFS(L$5:L$315,$A$5:$A$315,$A10,$C$5:$C$315,$C10-1,$D$5:$D$315,$D10)&lt;0),"n.s.",ABS(L10)/ABS(SUMIFS(L$5:L$315,$A$5:$A$315,$A10,$C$5:$C$315,$C10-1,$D$5:$D$315,$D10))-1)))</f>
        <v/>
      </c>
      <c r="W10" s="16">
        <f>IF(OR($A10="",M10="",$C10=""),"",IF(COUNTIFS($A$5:$A$315,$A10,$C$5:$C$315,$C10-1,$D$5:$D$315,$D10,M$5:M$315,"&lt;&gt;")=0,"",IF(OR(SUMIFS(M$5:M$315,$A$5:$A$315,$A10,$C$5:$C$315,$C10-1,$D$5:$D$315,$D10)=0,M10*SUMIFS(M$5:M$315,$A$5:$A$315,$A10,$C$5:$C$315,$C10-1,$D$5:$D$315,$D10)&lt;0),"n.s.",ABS(M10)/ABS(SUMIFS(M$5:M$315,$A$5:$A$315,$A10,$C$5:$C$315,$C10-1,$D$5:$D$315,$D10))-1)))</f>
        <v/>
      </c>
      <c r="X10" s="16">
        <f>IF(OR($A10="",N10="",$C10=""),"",IF(COUNTIFS($A$5:$A$315,$A10,$C$5:$C$315,$C10-1,$D$5:$D$315,$D10,N$5:N$315,"&lt;&gt;")=0,"",IF(OR(SUMIFS(N$5:N$315,$A$5:$A$315,$A10,$C$5:$C$315,$C10-1,$D$5:$D$315,$D10)=0,N10*SUMIFS(N$5:N$315,$A$5:$A$315,$A10,$C$5:$C$315,$C10-1,$D$5:$D$315,$D10)&lt;0),"n.s.",ABS(N10)/ABS(SUMIFS(N$5:N$315,$A$5:$A$315,$A10,$C$5:$C$315,$C10-1,$D$5:$D$315,$D10))-1)))</f>
        <v/>
      </c>
      <c r="Y10" s="16">
        <f>IF(OR($A10="",O10="",$C10=""),"",IF(COUNTIFS($A$5:$A$315,$A10,$C$5:$C$315,$C10-1,$D$5:$D$315,$D10,O$5:O$315,"&lt;&gt;")=0,"",IF(OR(SUMIFS(O$5:O$315,$A$5:$A$315,$A10,$C$5:$C$315,$C10-1,$D$5:$D$315,$D10)=0,O10*SUMIFS(O$5:O$315,$A$5:$A$315,$A10,$C$5:$C$315,$C10-1,$D$5:$D$315,$D10)&lt;0),"n.s.",ABS(O10)/ABS(SUMIFS(O$5:O$315,$A$5:$A$315,$A10,$C$5:$C$315,$C10-1,$D$5:$D$315,$D10))-1)))</f>
        <v/>
      </c>
    </row>
    <row r="11">
      <c r="A11" s="9" t="inlineStr">
        <is>
          <t>BBGC</t>
        </is>
      </c>
      <c r="B11" s="10">
        <f>IF(A11="","",IFERROR(VLOOKUP(A11,Titres!$A$2:$B$400,2,FALSE),"Ticker inconnu"))</f>
        <v/>
      </c>
      <c r="C11" s="11" t="n">
        <v>2023</v>
      </c>
      <c r="D11" s="11" t="inlineStr">
        <is>
          <t>T1</t>
        </is>
      </c>
      <c r="E11" s="9" t="n"/>
      <c r="F11" s="12" t="n"/>
      <c r="G11" s="9" t="n"/>
      <c r="H11" s="13" t="n"/>
      <c r="I11" s="13" t="n"/>
      <c r="J11" s="13" t="n"/>
      <c r="K11" s="13" t="n"/>
      <c r="L11" s="13" t="n"/>
      <c r="M11" s="13" t="n"/>
      <c r="N11" s="13" t="n"/>
      <c r="O11" s="13" t="n"/>
      <c r="P11" s="14">
        <f>IF(A11="","",COUNT(H11:O11)/8)</f>
        <v/>
      </c>
      <c r="Q11" s="15">
        <f>IF(COUNT(H11:O11)=0,"",IF(LEN(IF(COUNT(H11,I11,J11)=3,IF(ABS(H11+I11-J11)&lt;=MAX(1,0.02*ABS(J11)),"","RBE &lt;&gt; PNB + frais "),"")&amp;IF(COUNT(J11,K11,L11)=3,IF(ABS(J11+K11-L11)&lt;=MAX(1,0.03*ABS(L11)),"","RAI &lt;&gt; RBE + coût du risque "),"")&amp;IF(COUNT(H11,M11)=2,IF(ABS(M11)&gt;ABS(H11),"RN &gt; PNB ",""),""))=0,"OK",IF(COUNT(H11,I11,J11)=3,IF(ABS(H11+I11-J11)&lt;=MAX(1,0.02*ABS(J11)),"","RBE &lt;&gt; PNB + frais "),"")&amp;IF(COUNT(J11,K11,L11)=3,IF(ABS(J11+K11-L11)&lt;=MAX(1,0.03*ABS(L11)),"","RAI &lt;&gt; RBE + coût du risque "),"")&amp;IF(COUNT(H11,M11)=2,IF(ABS(M11)&gt;ABS(H11),"RN &gt; PNB ",""),"")))</f>
        <v/>
      </c>
      <c r="R11" s="16">
        <f>IF(OR($A11="",H11="",$C11=""),"",IF(COUNTIFS($A$5:$A$315,$A11,$C$5:$C$315,$C11-1,$D$5:$D$315,$D11,H$5:H$315,"&lt;&gt;")=0,"",IF(OR(SUMIFS(H$5:H$315,$A$5:$A$315,$A11,$C$5:$C$315,$C11-1,$D$5:$D$315,$D11)=0,H11*SUMIFS(H$5:H$315,$A$5:$A$315,$A11,$C$5:$C$315,$C11-1,$D$5:$D$315,$D11)&lt;0),"n.s.",ABS(H11)/ABS(SUMIFS(H$5:H$315,$A$5:$A$315,$A11,$C$5:$C$315,$C11-1,$D$5:$D$315,$D11))-1)))</f>
        <v/>
      </c>
      <c r="S11" s="16">
        <f>IF(OR($A11="",I11="",$C11=""),"",IF(COUNTIFS($A$5:$A$315,$A11,$C$5:$C$315,$C11-1,$D$5:$D$315,$D11,I$5:I$315,"&lt;&gt;")=0,"",IF(OR(SUMIFS(I$5:I$315,$A$5:$A$315,$A11,$C$5:$C$315,$C11-1,$D$5:$D$315,$D11)=0,I11*SUMIFS(I$5:I$315,$A$5:$A$315,$A11,$C$5:$C$315,$C11-1,$D$5:$D$315,$D11)&lt;0),"n.s.",ABS(I11)/ABS(SUMIFS(I$5:I$315,$A$5:$A$315,$A11,$C$5:$C$315,$C11-1,$D$5:$D$315,$D11))-1)))</f>
        <v/>
      </c>
      <c r="T11" s="16">
        <f>IF(OR($A11="",J11="",$C11=""),"",IF(COUNTIFS($A$5:$A$315,$A11,$C$5:$C$315,$C11-1,$D$5:$D$315,$D11,J$5:J$315,"&lt;&gt;")=0,"",IF(OR(SUMIFS(J$5:J$315,$A$5:$A$315,$A11,$C$5:$C$315,$C11-1,$D$5:$D$315,$D11)=0,J11*SUMIFS(J$5:J$315,$A$5:$A$315,$A11,$C$5:$C$315,$C11-1,$D$5:$D$315,$D11)&lt;0),"n.s.",ABS(J11)/ABS(SUMIFS(J$5:J$315,$A$5:$A$315,$A11,$C$5:$C$315,$C11-1,$D$5:$D$315,$D11))-1)))</f>
        <v/>
      </c>
      <c r="U11" s="16">
        <f>IF(OR($A11="",K11="",$C11=""),"",IF(COUNTIFS($A$5:$A$315,$A11,$C$5:$C$315,$C11-1,$D$5:$D$315,$D11,K$5:K$315,"&lt;&gt;")=0,"",IF(OR(SUMIFS(K$5:K$315,$A$5:$A$315,$A11,$C$5:$C$315,$C11-1,$D$5:$D$315,$D11)=0,K11*SUMIFS(K$5:K$315,$A$5:$A$315,$A11,$C$5:$C$315,$C11-1,$D$5:$D$315,$D11)&lt;0),"n.s.",ABS(K11)/ABS(SUMIFS(K$5:K$315,$A$5:$A$315,$A11,$C$5:$C$315,$C11-1,$D$5:$D$315,$D11))-1)))</f>
        <v/>
      </c>
      <c r="V11" s="16">
        <f>IF(OR($A11="",L11="",$C11=""),"",IF(COUNTIFS($A$5:$A$315,$A11,$C$5:$C$315,$C11-1,$D$5:$D$315,$D11,L$5:L$315,"&lt;&gt;")=0,"",IF(OR(SUMIFS(L$5:L$315,$A$5:$A$315,$A11,$C$5:$C$315,$C11-1,$D$5:$D$315,$D11)=0,L11*SUMIFS(L$5:L$315,$A$5:$A$315,$A11,$C$5:$C$315,$C11-1,$D$5:$D$315,$D11)&lt;0),"n.s.",ABS(L11)/ABS(SUMIFS(L$5:L$315,$A$5:$A$315,$A11,$C$5:$C$315,$C11-1,$D$5:$D$315,$D11))-1)))</f>
        <v/>
      </c>
      <c r="W11" s="16">
        <f>IF(OR($A11="",M11="",$C11=""),"",IF(COUNTIFS($A$5:$A$315,$A11,$C$5:$C$315,$C11-1,$D$5:$D$315,$D11,M$5:M$315,"&lt;&gt;")=0,"",IF(OR(SUMIFS(M$5:M$315,$A$5:$A$315,$A11,$C$5:$C$315,$C11-1,$D$5:$D$315,$D11)=0,M11*SUMIFS(M$5:M$315,$A$5:$A$315,$A11,$C$5:$C$315,$C11-1,$D$5:$D$315,$D11)&lt;0),"n.s.",ABS(M11)/ABS(SUMIFS(M$5:M$315,$A$5:$A$315,$A11,$C$5:$C$315,$C11-1,$D$5:$D$315,$D11))-1)))</f>
        <v/>
      </c>
      <c r="X11" s="16">
        <f>IF(OR($A11="",N11="",$C11=""),"",IF(COUNTIFS($A$5:$A$315,$A11,$C$5:$C$315,$C11-1,$D$5:$D$315,$D11,N$5:N$315,"&lt;&gt;")=0,"",IF(OR(SUMIFS(N$5:N$315,$A$5:$A$315,$A11,$C$5:$C$315,$C11-1,$D$5:$D$315,$D11)=0,N11*SUMIFS(N$5:N$315,$A$5:$A$315,$A11,$C$5:$C$315,$C11-1,$D$5:$D$315,$D11)&lt;0),"n.s.",ABS(N11)/ABS(SUMIFS(N$5:N$315,$A$5:$A$315,$A11,$C$5:$C$315,$C11-1,$D$5:$D$315,$D11))-1)))</f>
        <v/>
      </c>
      <c r="Y11" s="16">
        <f>IF(OR($A11="",O11="",$C11=""),"",IF(COUNTIFS($A$5:$A$315,$A11,$C$5:$C$315,$C11-1,$D$5:$D$315,$D11,O$5:O$315,"&lt;&gt;")=0,"",IF(OR(SUMIFS(O$5:O$315,$A$5:$A$315,$A11,$C$5:$C$315,$C11-1,$D$5:$D$315,$D11)=0,O11*SUMIFS(O$5:O$315,$A$5:$A$315,$A11,$C$5:$C$315,$C11-1,$D$5:$D$315,$D11)&lt;0),"n.s.",ABS(O11)/ABS(SUMIFS(O$5:O$315,$A$5:$A$315,$A11,$C$5:$C$315,$C11-1,$D$5:$D$315,$D11))-1)))</f>
        <v/>
      </c>
    </row>
    <row r="12">
      <c r="A12" s="9" t="inlineStr">
        <is>
          <t>BBGC</t>
        </is>
      </c>
      <c r="B12" s="10">
        <f>IF(A12="","",IFERROR(VLOOKUP(A12,Titres!$A$2:$B$400,2,FALSE),"Ticker inconnu"))</f>
        <v/>
      </c>
      <c r="C12" s="11" t="n">
        <v>2023</v>
      </c>
      <c r="D12" s="11" t="inlineStr">
        <is>
          <t>S1</t>
        </is>
      </c>
      <c r="E12" s="9" t="n"/>
      <c r="F12" s="12" t="n"/>
      <c r="G12" s="9" t="n"/>
      <c r="H12" s="13" t="n"/>
      <c r="I12" s="13" t="n"/>
      <c r="J12" s="13" t="n"/>
      <c r="K12" s="13" t="n"/>
      <c r="L12" s="13" t="n"/>
      <c r="M12" s="13" t="n"/>
      <c r="N12" s="13" t="n"/>
      <c r="O12" s="13" t="n"/>
      <c r="P12" s="14">
        <f>IF(A12="","",COUNT(H12:O12)/8)</f>
        <v/>
      </c>
      <c r="Q12" s="15">
        <f>IF(COUNT(H12:O12)=0,"",IF(LEN(IF(COUNT(H12,I12,J12)=3,IF(ABS(H12+I12-J12)&lt;=MAX(1,0.02*ABS(J12)),"","RBE &lt;&gt; PNB + frais "),"")&amp;IF(COUNT(J12,K12,L12)=3,IF(ABS(J12+K12-L12)&lt;=MAX(1,0.03*ABS(L12)),"","RAI &lt;&gt; RBE + coût du risque "),"")&amp;IF(COUNT(H12,M12)=2,IF(ABS(M12)&gt;ABS(H12),"RN &gt; PNB ",""),""))=0,"OK",IF(COUNT(H12,I12,J12)=3,IF(ABS(H12+I12-J12)&lt;=MAX(1,0.02*ABS(J12)),"","RBE &lt;&gt; PNB + frais "),"")&amp;IF(COUNT(J12,K12,L12)=3,IF(ABS(J12+K12-L12)&lt;=MAX(1,0.03*ABS(L12)),"","RAI &lt;&gt; RBE + coût du risque "),"")&amp;IF(COUNT(H12,M12)=2,IF(ABS(M12)&gt;ABS(H12),"RN &gt; PNB ",""),"")))</f>
        <v/>
      </c>
      <c r="R12" s="16">
        <f>IF(OR($A12="",H12="",$C12=""),"",IF(COUNTIFS($A$5:$A$315,$A12,$C$5:$C$315,$C12-1,$D$5:$D$315,$D12,H$5:H$315,"&lt;&gt;")=0,"",IF(OR(SUMIFS(H$5:H$315,$A$5:$A$315,$A12,$C$5:$C$315,$C12-1,$D$5:$D$315,$D12)=0,H12*SUMIFS(H$5:H$315,$A$5:$A$315,$A12,$C$5:$C$315,$C12-1,$D$5:$D$315,$D12)&lt;0),"n.s.",ABS(H12)/ABS(SUMIFS(H$5:H$315,$A$5:$A$315,$A12,$C$5:$C$315,$C12-1,$D$5:$D$315,$D12))-1)))</f>
        <v/>
      </c>
      <c r="S12" s="16">
        <f>IF(OR($A12="",I12="",$C12=""),"",IF(COUNTIFS($A$5:$A$315,$A12,$C$5:$C$315,$C12-1,$D$5:$D$315,$D12,I$5:I$315,"&lt;&gt;")=0,"",IF(OR(SUMIFS(I$5:I$315,$A$5:$A$315,$A12,$C$5:$C$315,$C12-1,$D$5:$D$315,$D12)=0,I12*SUMIFS(I$5:I$315,$A$5:$A$315,$A12,$C$5:$C$315,$C12-1,$D$5:$D$315,$D12)&lt;0),"n.s.",ABS(I12)/ABS(SUMIFS(I$5:I$315,$A$5:$A$315,$A12,$C$5:$C$315,$C12-1,$D$5:$D$315,$D12))-1)))</f>
        <v/>
      </c>
      <c r="T12" s="16">
        <f>IF(OR($A12="",J12="",$C12=""),"",IF(COUNTIFS($A$5:$A$315,$A12,$C$5:$C$315,$C12-1,$D$5:$D$315,$D12,J$5:J$315,"&lt;&gt;")=0,"",IF(OR(SUMIFS(J$5:J$315,$A$5:$A$315,$A12,$C$5:$C$315,$C12-1,$D$5:$D$315,$D12)=0,J12*SUMIFS(J$5:J$315,$A$5:$A$315,$A12,$C$5:$C$315,$C12-1,$D$5:$D$315,$D12)&lt;0),"n.s.",ABS(J12)/ABS(SUMIFS(J$5:J$315,$A$5:$A$315,$A12,$C$5:$C$315,$C12-1,$D$5:$D$315,$D12))-1)))</f>
        <v/>
      </c>
      <c r="U12" s="16">
        <f>IF(OR($A12="",K12="",$C12=""),"",IF(COUNTIFS($A$5:$A$315,$A12,$C$5:$C$315,$C12-1,$D$5:$D$315,$D12,K$5:K$315,"&lt;&gt;")=0,"",IF(OR(SUMIFS(K$5:K$315,$A$5:$A$315,$A12,$C$5:$C$315,$C12-1,$D$5:$D$315,$D12)=0,K12*SUMIFS(K$5:K$315,$A$5:$A$315,$A12,$C$5:$C$315,$C12-1,$D$5:$D$315,$D12)&lt;0),"n.s.",ABS(K12)/ABS(SUMIFS(K$5:K$315,$A$5:$A$315,$A12,$C$5:$C$315,$C12-1,$D$5:$D$315,$D12))-1)))</f>
        <v/>
      </c>
      <c r="V12" s="16">
        <f>IF(OR($A12="",L12="",$C12=""),"",IF(COUNTIFS($A$5:$A$315,$A12,$C$5:$C$315,$C12-1,$D$5:$D$315,$D12,L$5:L$315,"&lt;&gt;")=0,"",IF(OR(SUMIFS(L$5:L$315,$A$5:$A$315,$A12,$C$5:$C$315,$C12-1,$D$5:$D$315,$D12)=0,L12*SUMIFS(L$5:L$315,$A$5:$A$315,$A12,$C$5:$C$315,$C12-1,$D$5:$D$315,$D12)&lt;0),"n.s.",ABS(L12)/ABS(SUMIFS(L$5:L$315,$A$5:$A$315,$A12,$C$5:$C$315,$C12-1,$D$5:$D$315,$D12))-1)))</f>
        <v/>
      </c>
      <c r="W12" s="16">
        <f>IF(OR($A12="",M12="",$C12=""),"",IF(COUNTIFS($A$5:$A$315,$A12,$C$5:$C$315,$C12-1,$D$5:$D$315,$D12,M$5:M$315,"&lt;&gt;")=0,"",IF(OR(SUMIFS(M$5:M$315,$A$5:$A$315,$A12,$C$5:$C$315,$C12-1,$D$5:$D$315,$D12)=0,M12*SUMIFS(M$5:M$315,$A$5:$A$315,$A12,$C$5:$C$315,$C12-1,$D$5:$D$315,$D12)&lt;0),"n.s.",ABS(M12)/ABS(SUMIFS(M$5:M$315,$A$5:$A$315,$A12,$C$5:$C$315,$C12-1,$D$5:$D$315,$D12))-1)))</f>
        <v/>
      </c>
      <c r="X12" s="16">
        <f>IF(OR($A12="",N12="",$C12=""),"",IF(COUNTIFS($A$5:$A$315,$A12,$C$5:$C$315,$C12-1,$D$5:$D$315,$D12,N$5:N$315,"&lt;&gt;")=0,"",IF(OR(SUMIFS(N$5:N$315,$A$5:$A$315,$A12,$C$5:$C$315,$C12-1,$D$5:$D$315,$D12)=0,N12*SUMIFS(N$5:N$315,$A$5:$A$315,$A12,$C$5:$C$315,$C12-1,$D$5:$D$315,$D12)&lt;0),"n.s.",ABS(N12)/ABS(SUMIFS(N$5:N$315,$A$5:$A$315,$A12,$C$5:$C$315,$C12-1,$D$5:$D$315,$D12))-1)))</f>
        <v/>
      </c>
      <c r="Y12" s="16">
        <f>IF(OR($A12="",O12="",$C12=""),"",IF(COUNTIFS($A$5:$A$315,$A12,$C$5:$C$315,$C12-1,$D$5:$D$315,$D12,O$5:O$315,"&lt;&gt;")=0,"",IF(OR(SUMIFS(O$5:O$315,$A$5:$A$315,$A12,$C$5:$C$315,$C12-1,$D$5:$D$315,$D12)=0,O12*SUMIFS(O$5:O$315,$A$5:$A$315,$A12,$C$5:$C$315,$C12-1,$D$5:$D$315,$D12)&lt;0),"n.s.",ABS(O12)/ABS(SUMIFS(O$5:O$315,$A$5:$A$315,$A12,$C$5:$C$315,$C12-1,$D$5:$D$315,$D12))-1)))</f>
        <v/>
      </c>
    </row>
    <row r="13">
      <c r="A13" s="9" t="inlineStr">
        <is>
          <t>BBGC</t>
        </is>
      </c>
      <c r="B13" s="10">
        <f>IF(A13="","",IFERROR(VLOOKUP(A13,Titres!$A$2:$B$400,2,FALSE),"Ticker inconnu"))</f>
        <v/>
      </c>
      <c r="C13" s="11" t="n">
        <v>2023</v>
      </c>
      <c r="D13" s="11" t="inlineStr">
        <is>
          <t>T3</t>
        </is>
      </c>
      <c r="E13" s="9" t="n"/>
      <c r="F13" s="12" t="n"/>
      <c r="G13" s="9" t="n"/>
      <c r="H13" s="13" t="n"/>
      <c r="I13" s="13" t="n"/>
      <c r="J13" s="13" t="n"/>
      <c r="K13" s="13" t="n"/>
      <c r="L13" s="13" t="n"/>
      <c r="M13" s="13" t="n"/>
      <c r="N13" s="13" t="n"/>
      <c r="O13" s="13" t="n"/>
      <c r="P13" s="14">
        <f>IF(A13="","",COUNT(H13:O13)/8)</f>
        <v/>
      </c>
      <c r="Q13" s="15">
        <f>IF(COUNT(H13:O13)=0,"",IF(LEN(IF(COUNT(H13,I13,J13)=3,IF(ABS(H13+I13-J13)&lt;=MAX(1,0.02*ABS(J13)),"","RBE &lt;&gt; PNB + frais "),"")&amp;IF(COUNT(J13,K13,L13)=3,IF(ABS(J13+K13-L13)&lt;=MAX(1,0.03*ABS(L13)),"","RAI &lt;&gt; RBE + coût du risque "),"")&amp;IF(COUNT(H13,M13)=2,IF(ABS(M13)&gt;ABS(H13),"RN &gt; PNB ",""),""))=0,"OK",IF(COUNT(H13,I13,J13)=3,IF(ABS(H13+I13-J13)&lt;=MAX(1,0.02*ABS(J13)),"","RBE &lt;&gt; PNB + frais "),"")&amp;IF(COUNT(J13,K13,L13)=3,IF(ABS(J13+K13-L13)&lt;=MAX(1,0.03*ABS(L13)),"","RAI &lt;&gt; RBE + coût du risque "),"")&amp;IF(COUNT(H13,M13)=2,IF(ABS(M13)&gt;ABS(H13),"RN &gt; PNB ",""),"")))</f>
        <v/>
      </c>
      <c r="R13" s="16">
        <f>IF(OR($A13="",H13="",$C13=""),"",IF(COUNTIFS($A$5:$A$315,$A13,$C$5:$C$315,$C13-1,$D$5:$D$315,$D13,H$5:H$315,"&lt;&gt;")=0,"",IF(OR(SUMIFS(H$5:H$315,$A$5:$A$315,$A13,$C$5:$C$315,$C13-1,$D$5:$D$315,$D13)=0,H13*SUMIFS(H$5:H$315,$A$5:$A$315,$A13,$C$5:$C$315,$C13-1,$D$5:$D$315,$D13)&lt;0),"n.s.",ABS(H13)/ABS(SUMIFS(H$5:H$315,$A$5:$A$315,$A13,$C$5:$C$315,$C13-1,$D$5:$D$315,$D13))-1)))</f>
        <v/>
      </c>
      <c r="S13" s="16">
        <f>IF(OR($A13="",I13="",$C13=""),"",IF(COUNTIFS($A$5:$A$315,$A13,$C$5:$C$315,$C13-1,$D$5:$D$315,$D13,I$5:I$315,"&lt;&gt;")=0,"",IF(OR(SUMIFS(I$5:I$315,$A$5:$A$315,$A13,$C$5:$C$315,$C13-1,$D$5:$D$315,$D13)=0,I13*SUMIFS(I$5:I$315,$A$5:$A$315,$A13,$C$5:$C$315,$C13-1,$D$5:$D$315,$D13)&lt;0),"n.s.",ABS(I13)/ABS(SUMIFS(I$5:I$315,$A$5:$A$315,$A13,$C$5:$C$315,$C13-1,$D$5:$D$315,$D13))-1)))</f>
        <v/>
      </c>
      <c r="T13" s="16">
        <f>IF(OR($A13="",J13="",$C13=""),"",IF(COUNTIFS($A$5:$A$315,$A13,$C$5:$C$315,$C13-1,$D$5:$D$315,$D13,J$5:J$315,"&lt;&gt;")=0,"",IF(OR(SUMIFS(J$5:J$315,$A$5:$A$315,$A13,$C$5:$C$315,$C13-1,$D$5:$D$315,$D13)=0,J13*SUMIFS(J$5:J$315,$A$5:$A$315,$A13,$C$5:$C$315,$C13-1,$D$5:$D$315,$D13)&lt;0),"n.s.",ABS(J13)/ABS(SUMIFS(J$5:J$315,$A$5:$A$315,$A13,$C$5:$C$315,$C13-1,$D$5:$D$315,$D13))-1)))</f>
        <v/>
      </c>
      <c r="U13" s="16">
        <f>IF(OR($A13="",K13="",$C13=""),"",IF(COUNTIFS($A$5:$A$315,$A13,$C$5:$C$315,$C13-1,$D$5:$D$315,$D13,K$5:K$315,"&lt;&gt;")=0,"",IF(OR(SUMIFS(K$5:K$315,$A$5:$A$315,$A13,$C$5:$C$315,$C13-1,$D$5:$D$315,$D13)=0,K13*SUMIFS(K$5:K$315,$A$5:$A$315,$A13,$C$5:$C$315,$C13-1,$D$5:$D$315,$D13)&lt;0),"n.s.",ABS(K13)/ABS(SUMIFS(K$5:K$315,$A$5:$A$315,$A13,$C$5:$C$315,$C13-1,$D$5:$D$315,$D13))-1)))</f>
        <v/>
      </c>
      <c r="V13" s="16">
        <f>IF(OR($A13="",L13="",$C13=""),"",IF(COUNTIFS($A$5:$A$315,$A13,$C$5:$C$315,$C13-1,$D$5:$D$315,$D13,L$5:L$315,"&lt;&gt;")=0,"",IF(OR(SUMIFS(L$5:L$315,$A$5:$A$315,$A13,$C$5:$C$315,$C13-1,$D$5:$D$315,$D13)=0,L13*SUMIFS(L$5:L$315,$A$5:$A$315,$A13,$C$5:$C$315,$C13-1,$D$5:$D$315,$D13)&lt;0),"n.s.",ABS(L13)/ABS(SUMIFS(L$5:L$315,$A$5:$A$315,$A13,$C$5:$C$315,$C13-1,$D$5:$D$315,$D13))-1)))</f>
        <v/>
      </c>
      <c r="W13" s="16">
        <f>IF(OR($A13="",M13="",$C13=""),"",IF(COUNTIFS($A$5:$A$315,$A13,$C$5:$C$315,$C13-1,$D$5:$D$315,$D13,M$5:M$315,"&lt;&gt;")=0,"",IF(OR(SUMIFS(M$5:M$315,$A$5:$A$315,$A13,$C$5:$C$315,$C13-1,$D$5:$D$315,$D13)=0,M13*SUMIFS(M$5:M$315,$A$5:$A$315,$A13,$C$5:$C$315,$C13-1,$D$5:$D$315,$D13)&lt;0),"n.s.",ABS(M13)/ABS(SUMIFS(M$5:M$315,$A$5:$A$315,$A13,$C$5:$C$315,$C13-1,$D$5:$D$315,$D13))-1)))</f>
        <v/>
      </c>
      <c r="X13" s="16">
        <f>IF(OR($A13="",N13="",$C13=""),"",IF(COUNTIFS($A$5:$A$315,$A13,$C$5:$C$315,$C13-1,$D$5:$D$315,$D13,N$5:N$315,"&lt;&gt;")=0,"",IF(OR(SUMIFS(N$5:N$315,$A$5:$A$315,$A13,$C$5:$C$315,$C13-1,$D$5:$D$315,$D13)=0,N13*SUMIFS(N$5:N$315,$A$5:$A$315,$A13,$C$5:$C$315,$C13-1,$D$5:$D$315,$D13)&lt;0),"n.s.",ABS(N13)/ABS(SUMIFS(N$5:N$315,$A$5:$A$315,$A13,$C$5:$C$315,$C13-1,$D$5:$D$315,$D13))-1)))</f>
        <v/>
      </c>
      <c r="Y13" s="16">
        <f>IF(OR($A13="",O13="",$C13=""),"",IF(COUNTIFS($A$5:$A$315,$A13,$C$5:$C$315,$C13-1,$D$5:$D$315,$D13,O$5:O$315,"&lt;&gt;")=0,"",IF(OR(SUMIFS(O$5:O$315,$A$5:$A$315,$A13,$C$5:$C$315,$C13-1,$D$5:$D$315,$D13)=0,O13*SUMIFS(O$5:O$315,$A$5:$A$315,$A13,$C$5:$C$315,$C13-1,$D$5:$D$315,$D13)&lt;0),"n.s.",ABS(O13)/ABS(SUMIFS(O$5:O$315,$A$5:$A$315,$A13,$C$5:$C$315,$C13-1,$D$5:$D$315,$D13))-1)))</f>
        <v/>
      </c>
    </row>
    <row r="14">
      <c r="A14" s="9" t="inlineStr">
        <is>
          <t>BBGC</t>
        </is>
      </c>
      <c r="B14" s="10">
        <f>IF(A14="","",IFERROR(VLOOKUP(A14,Titres!$A$2:$B$400,2,FALSE),"Ticker inconnu"))</f>
        <v/>
      </c>
      <c r="C14" s="11" t="n">
        <v>2024</v>
      </c>
      <c r="D14" s="11" t="inlineStr">
        <is>
          <t>T1</t>
        </is>
      </c>
      <c r="E14" s="9" t="n"/>
      <c r="F14" s="12" t="n"/>
      <c r="G14" s="9" t="n"/>
      <c r="H14" s="13" t="n"/>
      <c r="I14" s="13" t="n"/>
      <c r="J14" s="13" t="n"/>
      <c r="K14" s="13" t="n"/>
      <c r="L14" s="13" t="n"/>
      <c r="M14" s="13" t="n"/>
      <c r="N14" s="13" t="n"/>
      <c r="O14" s="13" t="n"/>
      <c r="P14" s="14">
        <f>IF(A14="","",COUNT(H14:O14)/8)</f>
        <v/>
      </c>
      <c r="Q14" s="15">
        <f>IF(COUNT(H14:O14)=0,"",IF(LEN(IF(COUNT(H14,I14,J14)=3,IF(ABS(H14+I14-J14)&lt;=MAX(1,0.02*ABS(J14)),"","RBE &lt;&gt; PNB + frais "),"")&amp;IF(COUNT(J14,K14,L14)=3,IF(ABS(J14+K14-L14)&lt;=MAX(1,0.03*ABS(L14)),"","RAI &lt;&gt; RBE + coût du risque "),"")&amp;IF(COUNT(H14,M14)=2,IF(ABS(M14)&gt;ABS(H14),"RN &gt; PNB ",""),""))=0,"OK",IF(COUNT(H14,I14,J14)=3,IF(ABS(H14+I14-J14)&lt;=MAX(1,0.02*ABS(J14)),"","RBE &lt;&gt; PNB + frais "),"")&amp;IF(COUNT(J14,K14,L14)=3,IF(ABS(J14+K14-L14)&lt;=MAX(1,0.03*ABS(L14)),"","RAI &lt;&gt; RBE + coût du risque "),"")&amp;IF(COUNT(H14,M14)=2,IF(ABS(M14)&gt;ABS(H14),"RN &gt; PNB ",""),"")))</f>
        <v/>
      </c>
      <c r="R14" s="16">
        <f>IF(OR($A14="",H14="",$C14=""),"",IF(COUNTIFS($A$5:$A$315,$A14,$C$5:$C$315,$C14-1,$D$5:$D$315,$D14,H$5:H$315,"&lt;&gt;")=0,"",IF(OR(SUMIFS(H$5:H$315,$A$5:$A$315,$A14,$C$5:$C$315,$C14-1,$D$5:$D$315,$D14)=0,H14*SUMIFS(H$5:H$315,$A$5:$A$315,$A14,$C$5:$C$315,$C14-1,$D$5:$D$315,$D14)&lt;0),"n.s.",ABS(H14)/ABS(SUMIFS(H$5:H$315,$A$5:$A$315,$A14,$C$5:$C$315,$C14-1,$D$5:$D$315,$D14))-1)))</f>
        <v/>
      </c>
      <c r="S14" s="16">
        <f>IF(OR($A14="",I14="",$C14=""),"",IF(COUNTIFS($A$5:$A$315,$A14,$C$5:$C$315,$C14-1,$D$5:$D$315,$D14,I$5:I$315,"&lt;&gt;")=0,"",IF(OR(SUMIFS(I$5:I$315,$A$5:$A$315,$A14,$C$5:$C$315,$C14-1,$D$5:$D$315,$D14)=0,I14*SUMIFS(I$5:I$315,$A$5:$A$315,$A14,$C$5:$C$315,$C14-1,$D$5:$D$315,$D14)&lt;0),"n.s.",ABS(I14)/ABS(SUMIFS(I$5:I$315,$A$5:$A$315,$A14,$C$5:$C$315,$C14-1,$D$5:$D$315,$D14))-1)))</f>
        <v/>
      </c>
      <c r="T14" s="16">
        <f>IF(OR($A14="",J14="",$C14=""),"",IF(COUNTIFS($A$5:$A$315,$A14,$C$5:$C$315,$C14-1,$D$5:$D$315,$D14,J$5:J$315,"&lt;&gt;")=0,"",IF(OR(SUMIFS(J$5:J$315,$A$5:$A$315,$A14,$C$5:$C$315,$C14-1,$D$5:$D$315,$D14)=0,J14*SUMIFS(J$5:J$315,$A$5:$A$315,$A14,$C$5:$C$315,$C14-1,$D$5:$D$315,$D14)&lt;0),"n.s.",ABS(J14)/ABS(SUMIFS(J$5:J$315,$A$5:$A$315,$A14,$C$5:$C$315,$C14-1,$D$5:$D$315,$D14))-1)))</f>
        <v/>
      </c>
      <c r="U14" s="16">
        <f>IF(OR($A14="",K14="",$C14=""),"",IF(COUNTIFS($A$5:$A$315,$A14,$C$5:$C$315,$C14-1,$D$5:$D$315,$D14,K$5:K$315,"&lt;&gt;")=0,"",IF(OR(SUMIFS(K$5:K$315,$A$5:$A$315,$A14,$C$5:$C$315,$C14-1,$D$5:$D$315,$D14)=0,K14*SUMIFS(K$5:K$315,$A$5:$A$315,$A14,$C$5:$C$315,$C14-1,$D$5:$D$315,$D14)&lt;0),"n.s.",ABS(K14)/ABS(SUMIFS(K$5:K$315,$A$5:$A$315,$A14,$C$5:$C$315,$C14-1,$D$5:$D$315,$D14))-1)))</f>
        <v/>
      </c>
      <c r="V14" s="16">
        <f>IF(OR($A14="",L14="",$C14=""),"",IF(COUNTIFS($A$5:$A$315,$A14,$C$5:$C$315,$C14-1,$D$5:$D$315,$D14,L$5:L$315,"&lt;&gt;")=0,"",IF(OR(SUMIFS(L$5:L$315,$A$5:$A$315,$A14,$C$5:$C$315,$C14-1,$D$5:$D$315,$D14)=0,L14*SUMIFS(L$5:L$315,$A$5:$A$315,$A14,$C$5:$C$315,$C14-1,$D$5:$D$315,$D14)&lt;0),"n.s.",ABS(L14)/ABS(SUMIFS(L$5:L$315,$A$5:$A$315,$A14,$C$5:$C$315,$C14-1,$D$5:$D$315,$D14))-1)))</f>
        <v/>
      </c>
      <c r="W14" s="16">
        <f>IF(OR($A14="",M14="",$C14=""),"",IF(COUNTIFS($A$5:$A$315,$A14,$C$5:$C$315,$C14-1,$D$5:$D$315,$D14,M$5:M$315,"&lt;&gt;")=0,"",IF(OR(SUMIFS(M$5:M$315,$A$5:$A$315,$A14,$C$5:$C$315,$C14-1,$D$5:$D$315,$D14)=0,M14*SUMIFS(M$5:M$315,$A$5:$A$315,$A14,$C$5:$C$315,$C14-1,$D$5:$D$315,$D14)&lt;0),"n.s.",ABS(M14)/ABS(SUMIFS(M$5:M$315,$A$5:$A$315,$A14,$C$5:$C$315,$C14-1,$D$5:$D$315,$D14))-1)))</f>
        <v/>
      </c>
      <c r="X14" s="16">
        <f>IF(OR($A14="",N14="",$C14=""),"",IF(COUNTIFS($A$5:$A$315,$A14,$C$5:$C$315,$C14-1,$D$5:$D$315,$D14,N$5:N$315,"&lt;&gt;")=0,"",IF(OR(SUMIFS(N$5:N$315,$A$5:$A$315,$A14,$C$5:$C$315,$C14-1,$D$5:$D$315,$D14)=0,N14*SUMIFS(N$5:N$315,$A$5:$A$315,$A14,$C$5:$C$315,$C14-1,$D$5:$D$315,$D14)&lt;0),"n.s.",ABS(N14)/ABS(SUMIFS(N$5:N$315,$A$5:$A$315,$A14,$C$5:$C$315,$C14-1,$D$5:$D$315,$D14))-1)))</f>
        <v/>
      </c>
      <c r="Y14" s="16">
        <f>IF(OR($A14="",O14="",$C14=""),"",IF(COUNTIFS($A$5:$A$315,$A14,$C$5:$C$315,$C14-1,$D$5:$D$315,$D14,O$5:O$315,"&lt;&gt;")=0,"",IF(OR(SUMIFS(O$5:O$315,$A$5:$A$315,$A14,$C$5:$C$315,$C14-1,$D$5:$D$315,$D14)=0,O14*SUMIFS(O$5:O$315,$A$5:$A$315,$A14,$C$5:$C$315,$C14-1,$D$5:$D$315,$D14)&lt;0),"n.s.",ABS(O14)/ABS(SUMIFS(O$5:O$315,$A$5:$A$315,$A14,$C$5:$C$315,$C14-1,$D$5:$D$315,$D14))-1)))</f>
        <v/>
      </c>
    </row>
    <row r="15">
      <c r="A15" s="9" t="inlineStr">
        <is>
          <t>BBGC</t>
        </is>
      </c>
      <c r="B15" s="10">
        <f>IF(A15="","",IFERROR(VLOOKUP(A15,Titres!$A$2:$B$400,2,FALSE),"Ticker inconnu"))</f>
        <v/>
      </c>
      <c r="C15" s="11" t="n">
        <v>2024</v>
      </c>
      <c r="D15" s="11" t="inlineStr">
        <is>
          <t>S1</t>
        </is>
      </c>
      <c r="E15" s="9" t="n"/>
      <c r="F15" s="12" t="n"/>
      <c r="G15" s="9" t="n"/>
      <c r="H15" s="13" t="n"/>
      <c r="I15" s="13" t="n"/>
      <c r="J15" s="13" t="n"/>
      <c r="K15" s="13" t="n"/>
      <c r="L15" s="13" t="n"/>
      <c r="M15" s="13" t="n"/>
      <c r="N15" s="13" t="n"/>
      <c r="O15" s="13" t="n"/>
      <c r="P15" s="14">
        <f>IF(A15="","",COUNT(H15:O15)/8)</f>
        <v/>
      </c>
      <c r="Q15" s="15">
        <f>IF(COUNT(H15:O15)=0,"",IF(LEN(IF(COUNT(H15,I15,J15)=3,IF(ABS(H15+I15-J15)&lt;=MAX(1,0.02*ABS(J15)),"","RBE &lt;&gt; PNB + frais "),"")&amp;IF(COUNT(J15,K15,L15)=3,IF(ABS(J15+K15-L15)&lt;=MAX(1,0.03*ABS(L15)),"","RAI &lt;&gt; RBE + coût du risque "),"")&amp;IF(COUNT(H15,M15)=2,IF(ABS(M15)&gt;ABS(H15),"RN &gt; PNB ",""),""))=0,"OK",IF(COUNT(H15,I15,J15)=3,IF(ABS(H15+I15-J15)&lt;=MAX(1,0.02*ABS(J15)),"","RBE &lt;&gt; PNB + frais "),"")&amp;IF(COUNT(J15,K15,L15)=3,IF(ABS(J15+K15-L15)&lt;=MAX(1,0.03*ABS(L15)),"","RAI &lt;&gt; RBE + coût du risque "),"")&amp;IF(COUNT(H15,M15)=2,IF(ABS(M15)&gt;ABS(H15),"RN &gt; PNB ",""),"")))</f>
        <v/>
      </c>
      <c r="R15" s="16">
        <f>IF(OR($A15="",H15="",$C15=""),"",IF(COUNTIFS($A$5:$A$315,$A15,$C$5:$C$315,$C15-1,$D$5:$D$315,$D15,H$5:H$315,"&lt;&gt;")=0,"",IF(OR(SUMIFS(H$5:H$315,$A$5:$A$315,$A15,$C$5:$C$315,$C15-1,$D$5:$D$315,$D15)=0,H15*SUMIFS(H$5:H$315,$A$5:$A$315,$A15,$C$5:$C$315,$C15-1,$D$5:$D$315,$D15)&lt;0),"n.s.",ABS(H15)/ABS(SUMIFS(H$5:H$315,$A$5:$A$315,$A15,$C$5:$C$315,$C15-1,$D$5:$D$315,$D15))-1)))</f>
        <v/>
      </c>
      <c r="S15" s="16">
        <f>IF(OR($A15="",I15="",$C15=""),"",IF(COUNTIFS($A$5:$A$315,$A15,$C$5:$C$315,$C15-1,$D$5:$D$315,$D15,I$5:I$315,"&lt;&gt;")=0,"",IF(OR(SUMIFS(I$5:I$315,$A$5:$A$315,$A15,$C$5:$C$315,$C15-1,$D$5:$D$315,$D15)=0,I15*SUMIFS(I$5:I$315,$A$5:$A$315,$A15,$C$5:$C$315,$C15-1,$D$5:$D$315,$D15)&lt;0),"n.s.",ABS(I15)/ABS(SUMIFS(I$5:I$315,$A$5:$A$315,$A15,$C$5:$C$315,$C15-1,$D$5:$D$315,$D15))-1)))</f>
        <v/>
      </c>
      <c r="T15" s="16">
        <f>IF(OR($A15="",J15="",$C15=""),"",IF(COUNTIFS($A$5:$A$315,$A15,$C$5:$C$315,$C15-1,$D$5:$D$315,$D15,J$5:J$315,"&lt;&gt;")=0,"",IF(OR(SUMIFS(J$5:J$315,$A$5:$A$315,$A15,$C$5:$C$315,$C15-1,$D$5:$D$315,$D15)=0,J15*SUMIFS(J$5:J$315,$A$5:$A$315,$A15,$C$5:$C$315,$C15-1,$D$5:$D$315,$D15)&lt;0),"n.s.",ABS(J15)/ABS(SUMIFS(J$5:J$315,$A$5:$A$315,$A15,$C$5:$C$315,$C15-1,$D$5:$D$315,$D15))-1)))</f>
        <v/>
      </c>
      <c r="U15" s="16">
        <f>IF(OR($A15="",K15="",$C15=""),"",IF(COUNTIFS($A$5:$A$315,$A15,$C$5:$C$315,$C15-1,$D$5:$D$315,$D15,K$5:K$315,"&lt;&gt;")=0,"",IF(OR(SUMIFS(K$5:K$315,$A$5:$A$315,$A15,$C$5:$C$315,$C15-1,$D$5:$D$315,$D15)=0,K15*SUMIFS(K$5:K$315,$A$5:$A$315,$A15,$C$5:$C$315,$C15-1,$D$5:$D$315,$D15)&lt;0),"n.s.",ABS(K15)/ABS(SUMIFS(K$5:K$315,$A$5:$A$315,$A15,$C$5:$C$315,$C15-1,$D$5:$D$315,$D15))-1)))</f>
        <v/>
      </c>
      <c r="V15" s="16">
        <f>IF(OR($A15="",L15="",$C15=""),"",IF(COUNTIFS($A$5:$A$315,$A15,$C$5:$C$315,$C15-1,$D$5:$D$315,$D15,L$5:L$315,"&lt;&gt;")=0,"",IF(OR(SUMIFS(L$5:L$315,$A$5:$A$315,$A15,$C$5:$C$315,$C15-1,$D$5:$D$315,$D15)=0,L15*SUMIFS(L$5:L$315,$A$5:$A$315,$A15,$C$5:$C$315,$C15-1,$D$5:$D$315,$D15)&lt;0),"n.s.",ABS(L15)/ABS(SUMIFS(L$5:L$315,$A$5:$A$315,$A15,$C$5:$C$315,$C15-1,$D$5:$D$315,$D15))-1)))</f>
        <v/>
      </c>
      <c r="W15" s="16">
        <f>IF(OR($A15="",M15="",$C15=""),"",IF(COUNTIFS($A$5:$A$315,$A15,$C$5:$C$315,$C15-1,$D$5:$D$315,$D15,M$5:M$315,"&lt;&gt;")=0,"",IF(OR(SUMIFS(M$5:M$315,$A$5:$A$315,$A15,$C$5:$C$315,$C15-1,$D$5:$D$315,$D15)=0,M15*SUMIFS(M$5:M$315,$A$5:$A$315,$A15,$C$5:$C$315,$C15-1,$D$5:$D$315,$D15)&lt;0),"n.s.",ABS(M15)/ABS(SUMIFS(M$5:M$315,$A$5:$A$315,$A15,$C$5:$C$315,$C15-1,$D$5:$D$315,$D15))-1)))</f>
        <v/>
      </c>
      <c r="X15" s="16">
        <f>IF(OR($A15="",N15="",$C15=""),"",IF(COUNTIFS($A$5:$A$315,$A15,$C$5:$C$315,$C15-1,$D$5:$D$315,$D15,N$5:N$315,"&lt;&gt;")=0,"",IF(OR(SUMIFS(N$5:N$315,$A$5:$A$315,$A15,$C$5:$C$315,$C15-1,$D$5:$D$315,$D15)=0,N15*SUMIFS(N$5:N$315,$A$5:$A$315,$A15,$C$5:$C$315,$C15-1,$D$5:$D$315,$D15)&lt;0),"n.s.",ABS(N15)/ABS(SUMIFS(N$5:N$315,$A$5:$A$315,$A15,$C$5:$C$315,$C15-1,$D$5:$D$315,$D15))-1)))</f>
        <v/>
      </c>
      <c r="Y15" s="16">
        <f>IF(OR($A15="",O15="",$C15=""),"",IF(COUNTIFS($A$5:$A$315,$A15,$C$5:$C$315,$C15-1,$D$5:$D$315,$D15,O$5:O$315,"&lt;&gt;")=0,"",IF(OR(SUMIFS(O$5:O$315,$A$5:$A$315,$A15,$C$5:$C$315,$C15-1,$D$5:$D$315,$D15)=0,O15*SUMIFS(O$5:O$315,$A$5:$A$315,$A15,$C$5:$C$315,$C15-1,$D$5:$D$315,$D15)&lt;0),"n.s.",ABS(O15)/ABS(SUMIFS(O$5:O$315,$A$5:$A$315,$A15,$C$5:$C$315,$C15-1,$D$5:$D$315,$D15))-1)))</f>
        <v/>
      </c>
    </row>
    <row r="16">
      <c r="A16" s="9" t="inlineStr">
        <is>
          <t>BBGC</t>
        </is>
      </c>
      <c r="B16" s="10">
        <f>IF(A16="","",IFERROR(VLOOKUP(A16,Titres!$A$2:$B$400,2,FALSE),"Ticker inconnu"))</f>
        <v/>
      </c>
      <c r="C16" s="11" t="n">
        <v>2024</v>
      </c>
      <c r="D16" s="11" t="inlineStr">
        <is>
          <t>T3</t>
        </is>
      </c>
      <c r="E16" s="9" t="n"/>
      <c r="F16" s="12" t="n"/>
      <c r="G16" s="9" t="n"/>
      <c r="H16" s="13" t="n"/>
      <c r="I16" s="13" t="n"/>
      <c r="J16" s="13" t="n"/>
      <c r="K16" s="13" t="n"/>
      <c r="L16" s="13" t="n"/>
      <c r="M16" s="13" t="n"/>
      <c r="N16" s="13" t="n"/>
      <c r="O16" s="13" t="n"/>
      <c r="P16" s="14">
        <f>IF(A16="","",COUNT(H16:O16)/8)</f>
        <v/>
      </c>
      <c r="Q16" s="15">
        <f>IF(COUNT(H16:O16)=0,"",IF(LEN(IF(COUNT(H16,I16,J16)=3,IF(ABS(H16+I16-J16)&lt;=MAX(1,0.02*ABS(J16)),"","RBE &lt;&gt; PNB + frais "),"")&amp;IF(COUNT(J16,K16,L16)=3,IF(ABS(J16+K16-L16)&lt;=MAX(1,0.03*ABS(L16)),"","RAI &lt;&gt; RBE + coût du risque "),"")&amp;IF(COUNT(H16,M16)=2,IF(ABS(M16)&gt;ABS(H16),"RN &gt; PNB ",""),""))=0,"OK",IF(COUNT(H16,I16,J16)=3,IF(ABS(H16+I16-J16)&lt;=MAX(1,0.02*ABS(J16)),"","RBE &lt;&gt; PNB + frais "),"")&amp;IF(COUNT(J16,K16,L16)=3,IF(ABS(J16+K16-L16)&lt;=MAX(1,0.03*ABS(L16)),"","RAI &lt;&gt; RBE + coût du risque "),"")&amp;IF(COUNT(H16,M16)=2,IF(ABS(M16)&gt;ABS(H16),"RN &gt; PNB ",""),"")))</f>
        <v/>
      </c>
      <c r="R16" s="16">
        <f>IF(OR($A16="",H16="",$C16=""),"",IF(COUNTIFS($A$5:$A$315,$A16,$C$5:$C$315,$C16-1,$D$5:$D$315,$D16,H$5:H$315,"&lt;&gt;")=0,"",IF(OR(SUMIFS(H$5:H$315,$A$5:$A$315,$A16,$C$5:$C$315,$C16-1,$D$5:$D$315,$D16)=0,H16*SUMIFS(H$5:H$315,$A$5:$A$315,$A16,$C$5:$C$315,$C16-1,$D$5:$D$315,$D16)&lt;0),"n.s.",ABS(H16)/ABS(SUMIFS(H$5:H$315,$A$5:$A$315,$A16,$C$5:$C$315,$C16-1,$D$5:$D$315,$D16))-1)))</f>
        <v/>
      </c>
      <c r="S16" s="16">
        <f>IF(OR($A16="",I16="",$C16=""),"",IF(COUNTIFS($A$5:$A$315,$A16,$C$5:$C$315,$C16-1,$D$5:$D$315,$D16,I$5:I$315,"&lt;&gt;")=0,"",IF(OR(SUMIFS(I$5:I$315,$A$5:$A$315,$A16,$C$5:$C$315,$C16-1,$D$5:$D$315,$D16)=0,I16*SUMIFS(I$5:I$315,$A$5:$A$315,$A16,$C$5:$C$315,$C16-1,$D$5:$D$315,$D16)&lt;0),"n.s.",ABS(I16)/ABS(SUMIFS(I$5:I$315,$A$5:$A$315,$A16,$C$5:$C$315,$C16-1,$D$5:$D$315,$D16))-1)))</f>
        <v/>
      </c>
      <c r="T16" s="16">
        <f>IF(OR($A16="",J16="",$C16=""),"",IF(COUNTIFS($A$5:$A$315,$A16,$C$5:$C$315,$C16-1,$D$5:$D$315,$D16,J$5:J$315,"&lt;&gt;")=0,"",IF(OR(SUMIFS(J$5:J$315,$A$5:$A$315,$A16,$C$5:$C$315,$C16-1,$D$5:$D$315,$D16)=0,J16*SUMIFS(J$5:J$315,$A$5:$A$315,$A16,$C$5:$C$315,$C16-1,$D$5:$D$315,$D16)&lt;0),"n.s.",ABS(J16)/ABS(SUMIFS(J$5:J$315,$A$5:$A$315,$A16,$C$5:$C$315,$C16-1,$D$5:$D$315,$D16))-1)))</f>
        <v/>
      </c>
      <c r="U16" s="16">
        <f>IF(OR($A16="",K16="",$C16=""),"",IF(COUNTIFS($A$5:$A$315,$A16,$C$5:$C$315,$C16-1,$D$5:$D$315,$D16,K$5:K$315,"&lt;&gt;")=0,"",IF(OR(SUMIFS(K$5:K$315,$A$5:$A$315,$A16,$C$5:$C$315,$C16-1,$D$5:$D$315,$D16)=0,K16*SUMIFS(K$5:K$315,$A$5:$A$315,$A16,$C$5:$C$315,$C16-1,$D$5:$D$315,$D16)&lt;0),"n.s.",ABS(K16)/ABS(SUMIFS(K$5:K$315,$A$5:$A$315,$A16,$C$5:$C$315,$C16-1,$D$5:$D$315,$D16))-1)))</f>
        <v/>
      </c>
      <c r="V16" s="16">
        <f>IF(OR($A16="",L16="",$C16=""),"",IF(COUNTIFS($A$5:$A$315,$A16,$C$5:$C$315,$C16-1,$D$5:$D$315,$D16,L$5:L$315,"&lt;&gt;")=0,"",IF(OR(SUMIFS(L$5:L$315,$A$5:$A$315,$A16,$C$5:$C$315,$C16-1,$D$5:$D$315,$D16)=0,L16*SUMIFS(L$5:L$315,$A$5:$A$315,$A16,$C$5:$C$315,$C16-1,$D$5:$D$315,$D16)&lt;0),"n.s.",ABS(L16)/ABS(SUMIFS(L$5:L$315,$A$5:$A$315,$A16,$C$5:$C$315,$C16-1,$D$5:$D$315,$D16))-1)))</f>
        <v/>
      </c>
      <c r="W16" s="16">
        <f>IF(OR($A16="",M16="",$C16=""),"",IF(COUNTIFS($A$5:$A$315,$A16,$C$5:$C$315,$C16-1,$D$5:$D$315,$D16,M$5:M$315,"&lt;&gt;")=0,"",IF(OR(SUMIFS(M$5:M$315,$A$5:$A$315,$A16,$C$5:$C$315,$C16-1,$D$5:$D$315,$D16)=0,M16*SUMIFS(M$5:M$315,$A$5:$A$315,$A16,$C$5:$C$315,$C16-1,$D$5:$D$315,$D16)&lt;0),"n.s.",ABS(M16)/ABS(SUMIFS(M$5:M$315,$A$5:$A$315,$A16,$C$5:$C$315,$C16-1,$D$5:$D$315,$D16))-1)))</f>
        <v/>
      </c>
      <c r="X16" s="16">
        <f>IF(OR($A16="",N16="",$C16=""),"",IF(COUNTIFS($A$5:$A$315,$A16,$C$5:$C$315,$C16-1,$D$5:$D$315,$D16,N$5:N$315,"&lt;&gt;")=0,"",IF(OR(SUMIFS(N$5:N$315,$A$5:$A$315,$A16,$C$5:$C$315,$C16-1,$D$5:$D$315,$D16)=0,N16*SUMIFS(N$5:N$315,$A$5:$A$315,$A16,$C$5:$C$315,$C16-1,$D$5:$D$315,$D16)&lt;0),"n.s.",ABS(N16)/ABS(SUMIFS(N$5:N$315,$A$5:$A$315,$A16,$C$5:$C$315,$C16-1,$D$5:$D$315,$D16))-1)))</f>
        <v/>
      </c>
      <c r="Y16" s="16">
        <f>IF(OR($A16="",O16="",$C16=""),"",IF(COUNTIFS($A$5:$A$315,$A16,$C$5:$C$315,$C16-1,$D$5:$D$315,$D16,O$5:O$315,"&lt;&gt;")=0,"",IF(OR(SUMIFS(O$5:O$315,$A$5:$A$315,$A16,$C$5:$C$315,$C16-1,$D$5:$D$315,$D16)=0,O16*SUMIFS(O$5:O$315,$A$5:$A$315,$A16,$C$5:$C$315,$C16-1,$D$5:$D$315,$D16)&lt;0),"n.s.",ABS(O16)/ABS(SUMIFS(O$5:O$315,$A$5:$A$315,$A16,$C$5:$C$315,$C16-1,$D$5:$D$315,$D16))-1)))</f>
        <v/>
      </c>
    </row>
    <row r="17">
      <c r="A17" s="9" t="inlineStr">
        <is>
          <t>BBGC</t>
        </is>
      </c>
      <c r="B17" s="10">
        <f>IF(A17="","",IFERROR(VLOOKUP(A17,Titres!$A$2:$B$400,2,FALSE),"Ticker inconnu"))</f>
        <v/>
      </c>
      <c r="C17" s="11" t="n">
        <v>2025</v>
      </c>
      <c r="D17" s="11" t="inlineStr">
        <is>
          <t>T1</t>
        </is>
      </c>
      <c r="E17" s="9" t="n"/>
      <c r="F17" s="12" t="n"/>
      <c r="G17" s="9" t="n"/>
      <c r="H17" s="13" t="n"/>
      <c r="I17" s="13" t="n"/>
      <c r="J17" s="13" t="n"/>
      <c r="K17" s="13" t="n"/>
      <c r="L17" s="13" t="n"/>
      <c r="M17" s="13" t="n"/>
      <c r="N17" s="13" t="n"/>
      <c r="O17" s="13" t="n"/>
      <c r="P17" s="14">
        <f>IF(A17="","",COUNT(H17:O17)/8)</f>
        <v/>
      </c>
      <c r="Q17" s="15">
        <f>IF(COUNT(H17:O17)=0,"",IF(LEN(IF(COUNT(H17,I17,J17)=3,IF(ABS(H17+I17-J17)&lt;=MAX(1,0.02*ABS(J17)),"","RBE &lt;&gt; PNB + frais "),"")&amp;IF(COUNT(J17,K17,L17)=3,IF(ABS(J17+K17-L17)&lt;=MAX(1,0.03*ABS(L17)),"","RAI &lt;&gt; RBE + coût du risque "),"")&amp;IF(COUNT(H17,M17)=2,IF(ABS(M17)&gt;ABS(H17),"RN &gt; PNB ",""),""))=0,"OK",IF(COUNT(H17,I17,J17)=3,IF(ABS(H17+I17-J17)&lt;=MAX(1,0.02*ABS(J17)),"","RBE &lt;&gt; PNB + frais "),"")&amp;IF(COUNT(J17,K17,L17)=3,IF(ABS(J17+K17-L17)&lt;=MAX(1,0.03*ABS(L17)),"","RAI &lt;&gt; RBE + coût du risque "),"")&amp;IF(COUNT(H17,M17)=2,IF(ABS(M17)&gt;ABS(H17),"RN &gt; PNB ",""),"")))</f>
        <v/>
      </c>
      <c r="R17" s="16">
        <f>IF(OR($A17="",H17="",$C17=""),"",IF(COUNTIFS($A$5:$A$315,$A17,$C$5:$C$315,$C17-1,$D$5:$D$315,$D17,H$5:H$315,"&lt;&gt;")=0,"",IF(OR(SUMIFS(H$5:H$315,$A$5:$A$315,$A17,$C$5:$C$315,$C17-1,$D$5:$D$315,$D17)=0,H17*SUMIFS(H$5:H$315,$A$5:$A$315,$A17,$C$5:$C$315,$C17-1,$D$5:$D$315,$D17)&lt;0),"n.s.",ABS(H17)/ABS(SUMIFS(H$5:H$315,$A$5:$A$315,$A17,$C$5:$C$315,$C17-1,$D$5:$D$315,$D17))-1)))</f>
        <v/>
      </c>
      <c r="S17" s="16">
        <f>IF(OR($A17="",I17="",$C17=""),"",IF(COUNTIFS($A$5:$A$315,$A17,$C$5:$C$315,$C17-1,$D$5:$D$315,$D17,I$5:I$315,"&lt;&gt;")=0,"",IF(OR(SUMIFS(I$5:I$315,$A$5:$A$315,$A17,$C$5:$C$315,$C17-1,$D$5:$D$315,$D17)=0,I17*SUMIFS(I$5:I$315,$A$5:$A$315,$A17,$C$5:$C$315,$C17-1,$D$5:$D$315,$D17)&lt;0),"n.s.",ABS(I17)/ABS(SUMIFS(I$5:I$315,$A$5:$A$315,$A17,$C$5:$C$315,$C17-1,$D$5:$D$315,$D17))-1)))</f>
        <v/>
      </c>
      <c r="T17" s="16">
        <f>IF(OR($A17="",J17="",$C17=""),"",IF(COUNTIFS($A$5:$A$315,$A17,$C$5:$C$315,$C17-1,$D$5:$D$315,$D17,J$5:J$315,"&lt;&gt;")=0,"",IF(OR(SUMIFS(J$5:J$315,$A$5:$A$315,$A17,$C$5:$C$315,$C17-1,$D$5:$D$315,$D17)=0,J17*SUMIFS(J$5:J$315,$A$5:$A$315,$A17,$C$5:$C$315,$C17-1,$D$5:$D$315,$D17)&lt;0),"n.s.",ABS(J17)/ABS(SUMIFS(J$5:J$315,$A$5:$A$315,$A17,$C$5:$C$315,$C17-1,$D$5:$D$315,$D17))-1)))</f>
        <v/>
      </c>
      <c r="U17" s="16">
        <f>IF(OR($A17="",K17="",$C17=""),"",IF(COUNTIFS($A$5:$A$315,$A17,$C$5:$C$315,$C17-1,$D$5:$D$315,$D17,K$5:K$315,"&lt;&gt;")=0,"",IF(OR(SUMIFS(K$5:K$315,$A$5:$A$315,$A17,$C$5:$C$315,$C17-1,$D$5:$D$315,$D17)=0,K17*SUMIFS(K$5:K$315,$A$5:$A$315,$A17,$C$5:$C$315,$C17-1,$D$5:$D$315,$D17)&lt;0),"n.s.",ABS(K17)/ABS(SUMIFS(K$5:K$315,$A$5:$A$315,$A17,$C$5:$C$315,$C17-1,$D$5:$D$315,$D17))-1)))</f>
        <v/>
      </c>
      <c r="V17" s="16">
        <f>IF(OR($A17="",L17="",$C17=""),"",IF(COUNTIFS($A$5:$A$315,$A17,$C$5:$C$315,$C17-1,$D$5:$D$315,$D17,L$5:L$315,"&lt;&gt;")=0,"",IF(OR(SUMIFS(L$5:L$315,$A$5:$A$315,$A17,$C$5:$C$315,$C17-1,$D$5:$D$315,$D17)=0,L17*SUMIFS(L$5:L$315,$A$5:$A$315,$A17,$C$5:$C$315,$C17-1,$D$5:$D$315,$D17)&lt;0),"n.s.",ABS(L17)/ABS(SUMIFS(L$5:L$315,$A$5:$A$315,$A17,$C$5:$C$315,$C17-1,$D$5:$D$315,$D17))-1)))</f>
        <v/>
      </c>
      <c r="W17" s="16">
        <f>IF(OR($A17="",M17="",$C17=""),"",IF(COUNTIFS($A$5:$A$315,$A17,$C$5:$C$315,$C17-1,$D$5:$D$315,$D17,M$5:M$315,"&lt;&gt;")=0,"",IF(OR(SUMIFS(M$5:M$315,$A$5:$A$315,$A17,$C$5:$C$315,$C17-1,$D$5:$D$315,$D17)=0,M17*SUMIFS(M$5:M$315,$A$5:$A$315,$A17,$C$5:$C$315,$C17-1,$D$5:$D$315,$D17)&lt;0),"n.s.",ABS(M17)/ABS(SUMIFS(M$5:M$315,$A$5:$A$315,$A17,$C$5:$C$315,$C17-1,$D$5:$D$315,$D17))-1)))</f>
        <v/>
      </c>
      <c r="X17" s="16">
        <f>IF(OR($A17="",N17="",$C17=""),"",IF(COUNTIFS($A$5:$A$315,$A17,$C$5:$C$315,$C17-1,$D$5:$D$315,$D17,N$5:N$315,"&lt;&gt;")=0,"",IF(OR(SUMIFS(N$5:N$315,$A$5:$A$315,$A17,$C$5:$C$315,$C17-1,$D$5:$D$315,$D17)=0,N17*SUMIFS(N$5:N$315,$A$5:$A$315,$A17,$C$5:$C$315,$C17-1,$D$5:$D$315,$D17)&lt;0),"n.s.",ABS(N17)/ABS(SUMIFS(N$5:N$315,$A$5:$A$315,$A17,$C$5:$C$315,$C17-1,$D$5:$D$315,$D17))-1)))</f>
        <v/>
      </c>
      <c r="Y17" s="16">
        <f>IF(OR($A17="",O17="",$C17=""),"",IF(COUNTIFS($A$5:$A$315,$A17,$C$5:$C$315,$C17-1,$D$5:$D$315,$D17,O$5:O$315,"&lt;&gt;")=0,"",IF(OR(SUMIFS(O$5:O$315,$A$5:$A$315,$A17,$C$5:$C$315,$C17-1,$D$5:$D$315,$D17)=0,O17*SUMIFS(O$5:O$315,$A$5:$A$315,$A17,$C$5:$C$315,$C17-1,$D$5:$D$315,$D17)&lt;0),"n.s.",ABS(O17)/ABS(SUMIFS(O$5:O$315,$A$5:$A$315,$A17,$C$5:$C$315,$C17-1,$D$5:$D$315,$D17))-1)))</f>
        <v/>
      </c>
    </row>
    <row r="18">
      <c r="A18" s="9" t="inlineStr">
        <is>
          <t>BBGC</t>
        </is>
      </c>
      <c r="B18" s="10">
        <f>IF(A18="","",IFERROR(VLOOKUP(A18,Titres!$A$2:$B$400,2,FALSE),"Ticker inconnu"))</f>
        <v/>
      </c>
      <c r="C18" s="11" t="n">
        <v>2025</v>
      </c>
      <c r="D18" s="11" t="inlineStr">
        <is>
          <t>S1</t>
        </is>
      </c>
      <c r="E18" s="9" t="inlineStr">
        <is>
          <t>Publié</t>
        </is>
      </c>
      <c r="F18" s="12" t="n">
        <v>46289</v>
      </c>
      <c r="G18" s="9" t="inlineStr">
        <is>
          <t>https://www.richbourse.com/common/actualite/afficher-fichier/24-09-2026-bridge-bank-group-ci-rapport-d-activites-1er-semestre-2026 (comparatif N-1)</t>
        </is>
      </c>
      <c r="H18" s="13" t="n">
        <v>30200</v>
      </c>
      <c r="I18" s="13" t="n">
        <v>-13100</v>
      </c>
      <c r="J18" s="13" t="n">
        <v>17200</v>
      </c>
      <c r="K18" s="13" t="n">
        <v>-3800</v>
      </c>
      <c r="L18" s="13" t="n">
        <v>13400</v>
      </c>
      <c r="M18" s="13" t="n">
        <v>10400</v>
      </c>
      <c r="N18" s="13" t="n">
        <v>645300</v>
      </c>
      <c r="O18" s="13" t="n">
        <v>903600</v>
      </c>
      <c r="P18" s="14">
        <f>IF(A18="","",COUNT(H18:O18)/8)</f>
        <v/>
      </c>
      <c r="Q18" s="15">
        <f>IF(COUNT(H18:O18)=0,"",IF(LEN(IF(COUNT(H18,I18,J18)=3,IF(ABS(H18+I18-J18)&lt;=MAX(1,0.02*ABS(J18)),"","RBE &lt;&gt; PNB + frais "),"")&amp;IF(COUNT(J18,K18,L18)=3,IF(ABS(J18+K18-L18)&lt;=MAX(1,0.03*ABS(L18)),"","RAI &lt;&gt; RBE + coût du risque "),"")&amp;IF(COUNT(H18,M18)=2,IF(ABS(M18)&gt;ABS(H18),"RN &gt; PNB ",""),""))=0,"OK",IF(COUNT(H18,I18,J18)=3,IF(ABS(H18+I18-J18)&lt;=MAX(1,0.02*ABS(J18)),"","RBE &lt;&gt; PNB + frais "),"")&amp;IF(COUNT(J18,K18,L18)=3,IF(ABS(J18+K18-L18)&lt;=MAX(1,0.03*ABS(L18)),"","RAI &lt;&gt; RBE + coût du risque "),"")&amp;IF(COUNT(H18,M18)=2,IF(ABS(M18)&gt;ABS(H18),"RN &gt; PNB ",""),"")))</f>
        <v/>
      </c>
      <c r="R18" s="16">
        <f>IF(OR($A18="",H18="",$C18=""),"",IF(COUNTIFS($A$5:$A$315,$A18,$C$5:$C$315,$C18-1,$D$5:$D$315,$D18,H$5:H$315,"&lt;&gt;")=0,"",IF(OR(SUMIFS(H$5:H$315,$A$5:$A$315,$A18,$C$5:$C$315,$C18-1,$D$5:$D$315,$D18)=0,H18*SUMIFS(H$5:H$315,$A$5:$A$315,$A18,$C$5:$C$315,$C18-1,$D$5:$D$315,$D18)&lt;0),"n.s.",ABS(H18)/ABS(SUMIFS(H$5:H$315,$A$5:$A$315,$A18,$C$5:$C$315,$C18-1,$D$5:$D$315,$D18))-1)))</f>
        <v/>
      </c>
      <c r="S18" s="16">
        <f>IF(OR($A18="",I18="",$C18=""),"",IF(COUNTIFS($A$5:$A$315,$A18,$C$5:$C$315,$C18-1,$D$5:$D$315,$D18,I$5:I$315,"&lt;&gt;")=0,"",IF(OR(SUMIFS(I$5:I$315,$A$5:$A$315,$A18,$C$5:$C$315,$C18-1,$D$5:$D$315,$D18)=0,I18*SUMIFS(I$5:I$315,$A$5:$A$315,$A18,$C$5:$C$315,$C18-1,$D$5:$D$315,$D18)&lt;0),"n.s.",ABS(I18)/ABS(SUMIFS(I$5:I$315,$A$5:$A$315,$A18,$C$5:$C$315,$C18-1,$D$5:$D$315,$D18))-1)))</f>
        <v/>
      </c>
      <c r="T18" s="16">
        <f>IF(OR($A18="",J18="",$C18=""),"",IF(COUNTIFS($A$5:$A$315,$A18,$C$5:$C$315,$C18-1,$D$5:$D$315,$D18,J$5:J$315,"&lt;&gt;")=0,"",IF(OR(SUMIFS(J$5:J$315,$A$5:$A$315,$A18,$C$5:$C$315,$C18-1,$D$5:$D$315,$D18)=0,J18*SUMIFS(J$5:J$315,$A$5:$A$315,$A18,$C$5:$C$315,$C18-1,$D$5:$D$315,$D18)&lt;0),"n.s.",ABS(J18)/ABS(SUMIFS(J$5:J$315,$A$5:$A$315,$A18,$C$5:$C$315,$C18-1,$D$5:$D$315,$D18))-1)))</f>
        <v/>
      </c>
      <c r="U18" s="16">
        <f>IF(OR($A18="",K18="",$C18=""),"",IF(COUNTIFS($A$5:$A$315,$A18,$C$5:$C$315,$C18-1,$D$5:$D$315,$D18,K$5:K$315,"&lt;&gt;")=0,"",IF(OR(SUMIFS(K$5:K$315,$A$5:$A$315,$A18,$C$5:$C$315,$C18-1,$D$5:$D$315,$D18)=0,K18*SUMIFS(K$5:K$315,$A$5:$A$315,$A18,$C$5:$C$315,$C18-1,$D$5:$D$315,$D18)&lt;0),"n.s.",ABS(K18)/ABS(SUMIFS(K$5:K$315,$A$5:$A$315,$A18,$C$5:$C$315,$C18-1,$D$5:$D$315,$D18))-1)))</f>
        <v/>
      </c>
      <c r="V18" s="16">
        <f>IF(OR($A18="",L18="",$C18=""),"",IF(COUNTIFS($A$5:$A$315,$A18,$C$5:$C$315,$C18-1,$D$5:$D$315,$D18,L$5:L$315,"&lt;&gt;")=0,"",IF(OR(SUMIFS(L$5:L$315,$A$5:$A$315,$A18,$C$5:$C$315,$C18-1,$D$5:$D$315,$D18)=0,L18*SUMIFS(L$5:L$315,$A$5:$A$315,$A18,$C$5:$C$315,$C18-1,$D$5:$D$315,$D18)&lt;0),"n.s.",ABS(L18)/ABS(SUMIFS(L$5:L$315,$A$5:$A$315,$A18,$C$5:$C$315,$C18-1,$D$5:$D$315,$D18))-1)))</f>
        <v/>
      </c>
      <c r="W18" s="16">
        <f>IF(OR($A18="",M18="",$C18=""),"",IF(COUNTIFS($A$5:$A$315,$A18,$C$5:$C$315,$C18-1,$D$5:$D$315,$D18,M$5:M$315,"&lt;&gt;")=0,"",IF(OR(SUMIFS(M$5:M$315,$A$5:$A$315,$A18,$C$5:$C$315,$C18-1,$D$5:$D$315,$D18)=0,M18*SUMIFS(M$5:M$315,$A$5:$A$315,$A18,$C$5:$C$315,$C18-1,$D$5:$D$315,$D18)&lt;0),"n.s.",ABS(M18)/ABS(SUMIFS(M$5:M$315,$A$5:$A$315,$A18,$C$5:$C$315,$C18-1,$D$5:$D$315,$D18))-1)))</f>
        <v/>
      </c>
      <c r="X18" s="16">
        <f>IF(OR($A18="",N18="",$C18=""),"",IF(COUNTIFS($A$5:$A$315,$A18,$C$5:$C$315,$C18-1,$D$5:$D$315,$D18,N$5:N$315,"&lt;&gt;")=0,"",IF(OR(SUMIFS(N$5:N$315,$A$5:$A$315,$A18,$C$5:$C$315,$C18-1,$D$5:$D$315,$D18)=0,N18*SUMIFS(N$5:N$315,$A$5:$A$315,$A18,$C$5:$C$315,$C18-1,$D$5:$D$315,$D18)&lt;0),"n.s.",ABS(N18)/ABS(SUMIFS(N$5:N$315,$A$5:$A$315,$A18,$C$5:$C$315,$C18-1,$D$5:$D$315,$D18))-1)))</f>
        <v/>
      </c>
      <c r="Y18" s="16">
        <f>IF(OR($A18="",O18="",$C18=""),"",IF(COUNTIFS($A$5:$A$315,$A18,$C$5:$C$315,$C18-1,$D$5:$D$315,$D18,O$5:O$315,"&lt;&gt;")=0,"",IF(OR(SUMIFS(O$5:O$315,$A$5:$A$315,$A18,$C$5:$C$315,$C18-1,$D$5:$D$315,$D18)=0,O18*SUMIFS(O$5:O$315,$A$5:$A$315,$A18,$C$5:$C$315,$C18-1,$D$5:$D$315,$D18)&lt;0),"n.s.",ABS(O18)/ABS(SUMIFS(O$5:O$315,$A$5:$A$315,$A18,$C$5:$C$315,$C18-1,$D$5:$D$315,$D18))-1)))</f>
        <v/>
      </c>
    </row>
    <row r="19">
      <c r="A19" s="9" t="inlineStr">
        <is>
          <t>BBGC</t>
        </is>
      </c>
      <c r="B19" s="10">
        <f>IF(A19="","",IFERROR(VLOOKUP(A19,Titres!$A$2:$B$400,2,FALSE),"Ticker inconnu"))</f>
        <v/>
      </c>
      <c r="C19" s="11" t="n">
        <v>2025</v>
      </c>
      <c r="D19" s="11" t="inlineStr">
        <is>
          <t>T3</t>
        </is>
      </c>
      <c r="E19" s="9" t="n"/>
      <c r="F19" s="12" t="n"/>
      <c r="G19" s="9" t="n"/>
      <c r="H19" s="13" t="n"/>
      <c r="I19" s="13" t="n"/>
      <c r="J19" s="13" t="n"/>
      <c r="K19" s="13" t="n"/>
      <c r="L19" s="13" t="n"/>
      <c r="M19" s="13" t="n"/>
      <c r="N19" s="13" t="n"/>
      <c r="O19" s="13" t="n"/>
      <c r="P19" s="14">
        <f>IF(A19="","",COUNT(H19:O19)/8)</f>
        <v/>
      </c>
      <c r="Q19" s="15">
        <f>IF(COUNT(H19:O19)=0,"",IF(LEN(IF(COUNT(H19,I19,J19)=3,IF(ABS(H19+I19-J19)&lt;=MAX(1,0.02*ABS(J19)),"","RBE &lt;&gt; PNB + frais "),"")&amp;IF(COUNT(J19,K19,L19)=3,IF(ABS(J19+K19-L19)&lt;=MAX(1,0.03*ABS(L19)),"","RAI &lt;&gt; RBE + coût du risque "),"")&amp;IF(COUNT(H19,M19)=2,IF(ABS(M19)&gt;ABS(H19),"RN &gt; PNB ",""),""))=0,"OK",IF(COUNT(H19,I19,J19)=3,IF(ABS(H19+I19-J19)&lt;=MAX(1,0.02*ABS(J19)),"","RBE &lt;&gt; PNB + frais "),"")&amp;IF(COUNT(J19,K19,L19)=3,IF(ABS(J19+K19-L19)&lt;=MAX(1,0.03*ABS(L19)),"","RAI &lt;&gt; RBE + coût du risque "),"")&amp;IF(COUNT(H19,M19)=2,IF(ABS(M19)&gt;ABS(H19),"RN &gt; PNB ",""),"")))</f>
        <v/>
      </c>
      <c r="R19" s="16">
        <f>IF(OR($A19="",H19="",$C19=""),"",IF(COUNTIFS($A$5:$A$315,$A19,$C$5:$C$315,$C19-1,$D$5:$D$315,$D19,H$5:H$315,"&lt;&gt;")=0,"",IF(OR(SUMIFS(H$5:H$315,$A$5:$A$315,$A19,$C$5:$C$315,$C19-1,$D$5:$D$315,$D19)=0,H19*SUMIFS(H$5:H$315,$A$5:$A$315,$A19,$C$5:$C$315,$C19-1,$D$5:$D$315,$D19)&lt;0),"n.s.",ABS(H19)/ABS(SUMIFS(H$5:H$315,$A$5:$A$315,$A19,$C$5:$C$315,$C19-1,$D$5:$D$315,$D19))-1)))</f>
        <v/>
      </c>
      <c r="S19" s="16">
        <f>IF(OR($A19="",I19="",$C19=""),"",IF(COUNTIFS($A$5:$A$315,$A19,$C$5:$C$315,$C19-1,$D$5:$D$315,$D19,I$5:I$315,"&lt;&gt;")=0,"",IF(OR(SUMIFS(I$5:I$315,$A$5:$A$315,$A19,$C$5:$C$315,$C19-1,$D$5:$D$315,$D19)=0,I19*SUMIFS(I$5:I$315,$A$5:$A$315,$A19,$C$5:$C$315,$C19-1,$D$5:$D$315,$D19)&lt;0),"n.s.",ABS(I19)/ABS(SUMIFS(I$5:I$315,$A$5:$A$315,$A19,$C$5:$C$315,$C19-1,$D$5:$D$315,$D19))-1)))</f>
        <v/>
      </c>
      <c r="T19" s="16">
        <f>IF(OR($A19="",J19="",$C19=""),"",IF(COUNTIFS($A$5:$A$315,$A19,$C$5:$C$315,$C19-1,$D$5:$D$315,$D19,J$5:J$315,"&lt;&gt;")=0,"",IF(OR(SUMIFS(J$5:J$315,$A$5:$A$315,$A19,$C$5:$C$315,$C19-1,$D$5:$D$315,$D19)=0,J19*SUMIFS(J$5:J$315,$A$5:$A$315,$A19,$C$5:$C$315,$C19-1,$D$5:$D$315,$D19)&lt;0),"n.s.",ABS(J19)/ABS(SUMIFS(J$5:J$315,$A$5:$A$315,$A19,$C$5:$C$315,$C19-1,$D$5:$D$315,$D19))-1)))</f>
        <v/>
      </c>
      <c r="U19" s="16">
        <f>IF(OR($A19="",K19="",$C19=""),"",IF(COUNTIFS($A$5:$A$315,$A19,$C$5:$C$315,$C19-1,$D$5:$D$315,$D19,K$5:K$315,"&lt;&gt;")=0,"",IF(OR(SUMIFS(K$5:K$315,$A$5:$A$315,$A19,$C$5:$C$315,$C19-1,$D$5:$D$315,$D19)=0,K19*SUMIFS(K$5:K$315,$A$5:$A$315,$A19,$C$5:$C$315,$C19-1,$D$5:$D$315,$D19)&lt;0),"n.s.",ABS(K19)/ABS(SUMIFS(K$5:K$315,$A$5:$A$315,$A19,$C$5:$C$315,$C19-1,$D$5:$D$315,$D19))-1)))</f>
        <v/>
      </c>
      <c r="V19" s="16">
        <f>IF(OR($A19="",L19="",$C19=""),"",IF(COUNTIFS($A$5:$A$315,$A19,$C$5:$C$315,$C19-1,$D$5:$D$315,$D19,L$5:L$315,"&lt;&gt;")=0,"",IF(OR(SUMIFS(L$5:L$315,$A$5:$A$315,$A19,$C$5:$C$315,$C19-1,$D$5:$D$315,$D19)=0,L19*SUMIFS(L$5:L$315,$A$5:$A$315,$A19,$C$5:$C$315,$C19-1,$D$5:$D$315,$D19)&lt;0),"n.s.",ABS(L19)/ABS(SUMIFS(L$5:L$315,$A$5:$A$315,$A19,$C$5:$C$315,$C19-1,$D$5:$D$315,$D19))-1)))</f>
        <v/>
      </c>
      <c r="W19" s="16">
        <f>IF(OR($A19="",M19="",$C19=""),"",IF(COUNTIFS($A$5:$A$315,$A19,$C$5:$C$315,$C19-1,$D$5:$D$315,$D19,M$5:M$315,"&lt;&gt;")=0,"",IF(OR(SUMIFS(M$5:M$315,$A$5:$A$315,$A19,$C$5:$C$315,$C19-1,$D$5:$D$315,$D19)=0,M19*SUMIFS(M$5:M$315,$A$5:$A$315,$A19,$C$5:$C$315,$C19-1,$D$5:$D$315,$D19)&lt;0),"n.s.",ABS(M19)/ABS(SUMIFS(M$5:M$315,$A$5:$A$315,$A19,$C$5:$C$315,$C19-1,$D$5:$D$315,$D19))-1)))</f>
        <v/>
      </c>
      <c r="X19" s="16">
        <f>IF(OR($A19="",N19="",$C19=""),"",IF(COUNTIFS($A$5:$A$315,$A19,$C$5:$C$315,$C19-1,$D$5:$D$315,$D19,N$5:N$315,"&lt;&gt;")=0,"",IF(OR(SUMIFS(N$5:N$315,$A$5:$A$315,$A19,$C$5:$C$315,$C19-1,$D$5:$D$315,$D19)=0,N19*SUMIFS(N$5:N$315,$A$5:$A$315,$A19,$C$5:$C$315,$C19-1,$D$5:$D$315,$D19)&lt;0),"n.s.",ABS(N19)/ABS(SUMIFS(N$5:N$315,$A$5:$A$315,$A19,$C$5:$C$315,$C19-1,$D$5:$D$315,$D19))-1)))</f>
        <v/>
      </c>
      <c r="Y19" s="16">
        <f>IF(OR($A19="",O19="",$C19=""),"",IF(COUNTIFS($A$5:$A$315,$A19,$C$5:$C$315,$C19-1,$D$5:$D$315,$D19,O$5:O$315,"&lt;&gt;")=0,"",IF(OR(SUMIFS(O$5:O$315,$A$5:$A$315,$A19,$C$5:$C$315,$C19-1,$D$5:$D$315,$D19)=0,O19*SUMIFS(O$5:O$315,$A$5:$A$315,$A19,$C$5:$C$315,$C19-1,$D$5:$D$315,$D19)&lt;0),"n.s.",ABS(O19)/ABS(SUMIFS(O$5:O$315,$A$5:$A$315,$A19,$C$5:$C$315,$C19-1,$D$5:$D$315,$D19))-1)))</f>
        <v/>
      </c>
    </row>
    <row r="20">
      <c r="A20" s="9" t="inlineStr">
        <is>
          <t>BBGC</t>
        </is>
      </c>
      <c r="B20" s="10">
        <f>IF(A20="","",IFERROR(VLOOKUP(A20,Titres!$A$2:$B$400,2,FALSE),"Ticker inconnu"))</f>
        <v/>
      </c>
      <c r="C20" s="11" t="n">
        <v>2026</v>
      </c>
      <c r="D20" s="11" t="inlineStr">
        <is>
          <t>T1</t>
        </is>
      </c>
      <c r="E20" s="9" t="n"/>
      <c r="F20" s="12" t="n"/>
      <c r="G20" s="9" t="n"/>
      <c r="H20" s="13" t="n"/>
      <c r="I20" s="13" t="n"/>
      <c r="J20" s="13" t="n"/>
      <c r="K20" s="13" t="n"/>
      <c r="L20" s="13" t="n"/>
      <c r="M20" s="13" t="n"/>
      <c r="N20" s="13" t="n"/>
      <c r="O20" s="13" t="n"/>
      <c r="P20" s="14">
        <f>IF(A20="","",COUNT(H20:O20)/8)</f>
        <v/>
      </c>
      <c r="Q20" s="15">
        <f>IF(COUNT(H20:O20)=0,"",IF(LEN(IF(COUNT(H20,I20,J20)=3,IF(ABS(H20+I20-J20)&lt;=MAX(1,0.02*ABS(J20)),"","RBE &lt;&gt; PNB + frais "),"")&amp;IF(COUNT(J20,K20,L20)=3,IF(ABS(J20+K20-L20)&lt;=MAX(1,0.03*ABS(L20)),"","RAI &lt;&gt; RBE + coût du risque "),"")&amp;IF(COUNT(H20,M20)=2,IF(ABS(M20)&gt;ABS(H20),"RN &gt; PNB ",""),""))=0,"OK",IF(COUNT(H20,I20,J20)=3,IF(ABS(H20+I20-J20)&lt;=MAX(1,0.02*ABS(J20)),"","RBE &lt;&gt; PNB + frais "),"")&amp;IF(COUNT(J20,K20,L20)=3,IF(ABS(J20+K20-L20)&lt;=MAX(1,0.03*ABS(L20)),"","RAI &lt;&gt; RBE + coût du risque "),"")&amp;IF(COUNT(H20,M20)=2,IF(ABS(M20)&gt;ABS(H20),"RN &gt; PNB ",""),"")))</f>
        <v/>
      </c>
      <c r="R20" s="16">
        <f>IF(OR($A20="",H20="",$C20=""),"",IF(COUNTIFS($A$5:$A$315,$A20,$C$5:$C$315,$C20-1,$D$5:$D$315,$D20,H$5:H$315,"&lt;&gt;")=0,"",IF(OR(SUMIFS(H$5:H$315,$A$5:$A$315,$A20,$C$5:$C$315,$C20-1,$D$5:$D$315,$D20)=0,H20*SUMIFS(H$5:H$315,$A$5:$A$315,$A20,$C$5:$C$315,$C20-1,$D$5:$D$315,$D20)&lt;0),"n.s.",ABS(H20)/ABS(SUMIFS(H$5:H$315,$A$5:$A$315,$A20,$C$5:$C$315,$C20-1,$D$5:$D$315,$D20))-1)))</f>
        <v/>
      </c>
      <c r="S20" s="16">
        <f>IF(OR($A20="",I20="",$C20=""),"",IF(COUNTIFS($A$5:$A$315,$A20,$C$5:$C$315,$C20-1,$D$5:$D$315,$D20,I$5:I$315,"&lt;&gt;")=0,"",IF(OR(SUMIFS(I$5:I$315,$A$5:$A$315,$A20,$C$5:$C$315,$C20-1,$D$5:$D$315,$D20)=0,I20*SUMIFS(I$5:I$315,$A$5:$A$315,$A20,$C$5:$C$315,$C20-1,$D$5:$D$315,$D20)&lt;0),"n.s.",ABS(I20)/ABS(SUMIFS(I$5:I$315,$A$5:$A$315,$A20,$C$5:$C$315,$C20-1,$D$5:$D$315,$D20))-1)))</f>
        <v/>
      </c>
      <c r="T20" s="16">
        <f>IF(OR($A20="",J20="",$C20=""),"",IF(COUNTIFS($A$5:$A$315,$A20,$C$5:$C$315,$C20-1,$D$5:$D$315,$D20,J$5:J$315,"&lt;&gt;")=0,"",IF(OR(SUMIFS(J$5:J$315,$A$5:$A$315,$A20,$C$5:$C$315,$C20-1,$D$5:$D$315,$D20)=0,J20*SUMIFS(J$5:J$315,$A$5:$A$315,$A20,$C$5:$C$315,$C20-1,$D$5:$D$315,$D20)&lt;0),"n.s.",ABS(J20)/ABS(SUMIFS(J$5:J$315,$A$5:$A$315,$A20,$C$5:$C$315,$C20-1,$D$5:$D$315,$D20))-1)))</f>
        <v/>
      </c>
      <c r="U20" s="16">
        <f>IF(OR($A20="",K20="",$C20=""),"",IF(COUNTIFS($A$5:$A$315,$A20,$C$5:$C$315,$C20-1,$D$5:$D$315,$D20,K$5:K$315,"&lt;&gt;")=0,"",IF(OR(SUMIFS(K$5:K$315,$A$5:$A$315,$A20,$C$5:$C$315,$C20-1,$D$5:$D$315,$D20)=0,K20*SUMIFS(K$5:K$315,$A$5:$A$315,$A20,$C$5:$C$315,$C20-1,$D$5:$D$315,$D20)&lt;0),"n.s.",ABS(K20)/ABS(SUMIFS(K$5:K$315,$A$5:$A$315,$A20,$C$5:$C$315,$C20-1,$D$5:$D$315,$D20))-1)))</f>
        <v/>
      </c>
      <c r="V20" s="16">
        <f>IF(OR($A20="",L20="",$C20=""),"",IF(COUNTIFS($A$5:$A$315,$A20,$C$5:$C$315,$C20-1,$D$5:$D$315,$D20,L$5:L$315,"&lt;&gt;")=0,"",IF(OR(SUMIFS(L$5:L$315,$A$5:$A$315,$A20,$C$5:$C$315,$C20-1,$D$5:$D$315,$D20)=0,L20*SUMIFS(L$5:L$315,$A$5:$A$315,$A20,$C$5:$C$315,$C20-1,$D$5:$D$315,$D20)&lt;0),"n.s.",ABS(L20)/ABS(SUMIFS(L$5:L$315,$A$5:$A$315,$A20,$C$5:$C$315,$C20-1,$D$5:$D$315,$D20))-1)))</f>
        <v/>
      </c>
      <c r="W20" s="16">
        <f>IF(OR($A20="",M20="",$C20=""),"",IF(COUNTIFS($A$5:$A$315,$A20,$C$5:$C$315,$C20-1,$D$5:$D$315,$D20,M$5:M$315,"&lt;&gt;")=0,"",IF(OR(SUMIFS(M$5:M$315,$A$5:$A$315,$A20,$C$5:$C$315,$C20-1,$D$5:$D$315,$D20)=0,M20*SUMIFS(M$5:M$315,$A$5:$A$315,$A20,$C$5:$C$315,$C20-1,$D$5:$D$315,$D20)&lt;0),"n.s.",ABS(M20)/ABS(SUMIFS(M$5:M$315,$A$5:$A$315,$A20,$C$5:$C$315,$C20-1,$D$5:$D$315,$D20))-1)))</f>
        <v/>
      </c>
      <c r="X20" s="16">
        <f>IF(OR($A20="",N20="",$C20=""),"",IF(COUNTIFS($A$5:$A$315,$A20,$C$5:$C$315,$C20-1,$D$5:$D$315,$D20,N$5:N$315,"&lt;&gt;")=0,"",IF(OR(SUMIFS(N$5:N$315,$A$5:$A$315,$A20,$C$5:$C$315,$C20-1,$D$5:$D$315,$D20)=0,N20*SUMIFS(N$5:N$315,$A$5:$A$315,$A20,$C$5:$C$315,$C20-1,$D$5:$D$315,$D20)&lt;0),"n.s.",ABS(N20)/ABS(SUMIFS(N$5:N$315,$A$5:$A$315,$A20,$C$5:$C$315,$C20-1,$D$5:$D$315,$D20))-1)))</f>
        <v/>
      </c>
      <c r="Y20" s="16">
        <f>IF(OR($A20="",O20="",$C20=""),"",IF(COUNTIFS($A$5:$A$315,$A20,$C$5:$C$315,$C20-1,$D$5:$D$315,$D20,O$5:O$315,"&lt;&gt;")=0,"",IF(OR(SUMIFS(O$5:O$315,$A$5:$A$315,$A20,$C$5:$C$315,$C20-1,$D$5:$D$315,$D20)=0,O20*SUMIFS(O$5:O$315,$A$5:$A$315,$A20,$C$5:$C$315,$C20-1,$D$5:$D$315,$D20)&lt;0),"n.s.",ABS(O20)/ABS(SUMIFS(O$5:O$315,$A$5:$A$315,$A20,$C$5:$C$315,$C20-1,$D$5:$D$315,$D20))-1)))</f>
        <v/>
      </c>
    </row>
    <row r="21">
      <c r="A21" s="9" t="inlineStr">
        <is>
          <t>BBGC</t>
        </is>
      </c>
      <c r="B21" s="10">
        <f>IF(A21="","",IFERROR(VLOOKUP(A21,Titres!$A$2:$B$400,2,FALSE),"Ticker inconnu"))</f>
        <v/>
      </c>
      <c r="C21" s="11" t="n">
        <v>2026</v>
      </c>
      <c r="D21" s="11" t="inlineStr">
        <is>
          <t>S1</t>
        </is>
      </c>
      <c r="E21" s="9" t="inlineStr">
        <is>
          <t>Publié</t>
        </is>
      </c>
      <c r="F21" s="12" t="n">
        <v>46289</v>
      </c>
      <c r="G21" s="9" t="inlineStr">
        <is>
          <t>https://www.richbourse.com/common/actualite/afficher-fichier/24-09-2026-bridge-bank-group-ci-rapport-d-activites-1er-semestre-2026</t>
        </is>
      </c>
      <c r="H21" s="13" t="n">
        <v>37700</v>
      </c>
      <c r="I21" s="13" t="n">
        <v>-15200</v>
      </c>
      <c r="J21" s="13" t="n">
        <v>22500</v>
      </c>
      <c r="K21" s="13" t="n">
        <v>-4300</v>
      </c>
      <c r="L21" s="13" t="n">
        <v>18200</v>
      </c>
      <c r="M21" s="13" t="n">
        <v>15200</v>
      </c>
      <c r="N21" s="13" t="n">
        <v>823900</v>
      </c>
      <c r="O21" s="13" t="n">
        <v>1318300</v>
      </c>
      <c r="P21" s="14">
        <f>IF(A21="","",COUNT(H21:O21)/8)</f>
        <v/>
      </c>
      <c r="Q21" s="15">
        <f>IF(COUNT(H21:O21)=0,"",IF(LEN(IF(COUNT(H21,I21,J21)=3,IF(ABS(H21+I21-J21)&lt;=MAX(1,0.02*ABS(J21)),"","RBE &lt;&gt; PNB + frais "),"")&amp;IF(COUNT(J21,K21,L21)=3,IF(ABS(J21+K21-L21)&lt;=MAX(1,0.03*ABS(L21)),"","RAI &lt;&gt; RBE + coût du risque "),"")&amp;IF(COUNT(H21,M21)=2,IF(ABS(M21)&gt;ABS(H21),"RN &gt; PNB ",""),""))=0,"OK",IF(COUNT(H21,I21,J21)=3,IF(ABS(H21+I21-J21)&lt;=MAX(1,0.02*ABS(J21)),"","RBE &lt;&gt; PNB + frais "),"")&amp;IF(COUNT(J21,K21,L21)=3,IF(ABS(J21+K21-L21)&lt;=MAX(1,0.03*ABS(L21)),"","RAI &lt;&gt; RBE + coût du risque "),"")&amp;IF(COUNT(H21,M21)=2,IF(ABS(M21)&gt;ABS(H21),"RN &gt; PNB ",""),"")))</f>
        <v/>
      </c>
      <c r="R21" s="16">
        <f>IF(OR($A21="",H21="",$C21=""),"",IF(COUNTIFS($A$5:$A$315,$A21,$C$5:$C$315,$C21-1,$D$5:$D$315,$D21,H$5:H$315,"&lt;&gt;")=0,"",IF(OR(SUMIFS(H$5:H$315,$A$5:$A$315,$A21,$C$5:$C$315,$C21-1,$D$5:$D$315,$D21)=0,H21*SUMIFS(H$5:H$315,$A$5:$A$315,$A21,$C$5:$C$315,$C21-1,$D$5:$D$315,$D21)&lt;0),"n.s.",ABS(H21)/ABS(SUMIFS(H$5:H$315,$A$5:$A$315,$A21,$C$5:$C$315,$C21-1,$D$5:$D$315,$D21))-1)))</f>
        <v/>
      </c>
      <c r="S21" s="16">
        <f>IF(OR($A21="",I21="",$C21=""),"",IF(COUNTIFS($A$5:$A$315,$A21,$C$5:$C$315,$C21-1,$D$5:$D$315,$D21,I$5:I$315,"&lt;&gt;")=0,"",IF(OR(SUMIFS(I$5:I$315,$A$5:$A$315,$A21,$C$5:$C$315,$C21-1,$D$5:$D$315,$D21)=0,I21*SUMIFS(I$5:I$315,$A$5:$A$315,$A21,$C$5:$C$315,$C21-1,$D$5:$D$315,$D21)&lt;0),"n.s.",ABS(I21)/ABS(SUMIFS(I$5:I$315,$A$5:$A$315,$A21,$C$5:$C$315,$C21-1,$D$5:$D$315,$D21))-1)))</f>
        <v/>
      </c>
      <c r="T21" s="16">
        <f>IF(OR($A21="",J21="",$C21=""),"",IF(COUNTIFS($A$5:$A$315,$A21,$C$5:$C$315,$C21-1,$D$5:$D$315,$D21,J$5:J$315,"&lt;&gt;")=0,"",IF(OR(SUMIFS(J$5:J$315,$A$5:$A$315,$A21,$C$5:$C$315,$C21-1,$D$5:$D$315,$D21)=0,J21*SUMIFS(J$5:J$315,$A$5:$A$315,$A21,$C$5:$C$315,$C21-1,$D$5:$D$315,$D21)&lt;0),"n.s.",ABS(J21)/ABS(SUMIFS(J$5:J$315,$A$5:$A$315,$A21,$C$5:$C$315,$C21-1,$D$5:$D$315,$D21))-1)))</f>
        <v/>
      </c>
      <c r="U21" s="16">
        <f>IF(OR($A21="",K21="",$C21=""),"",IF(COUNTIFS($A$5:$A$315,$A21,$C$5:$C$315,$C21-1,$D$5:$D$315,$D21,K$5:K$315,"&lt;&gt;")=0,"",IF(OR(SUMIFS(K$5:K$315,$A$5:$A$315,$A21,$C$5:$C$315,$C21-1,$D$5:$D$315,$D21)=0,K21*SUMIFS(K$5:K$315,$A$5:$A$315,$A21,$C$5:$C$315,$C21-1,$D$5:$D$315,$D21)&lt;0),"n.s.",ABS(K21)/ABS(SUMIFS(K$5:K$315,$A$5:$A$315,$A21,$C$5:$C$315,$C21-1,$D$5:$D$315,$D21))-1)))</f>
        <v/>
      </c>
      <c r="V21" s="16">
        <f>IF(OR($A21="",L21="",$C21=""),"",IF(COUNTIFS($A$5:$A$315,$A21,$C$5:$C$315,$C21-1,$D$5:$D$315,$D21,L$5:L$315,"&lt;&gt;")=0,"",IF(OR(SUMIFS(L$5:L$315,$A$5:$A$315,$A21,$C$5:$C$315,$C21-1,$D$5:$D$315,$D21)=0,L21*SUMIFS(L$5:L$315,$A$5:$A$315,$A21,$C$5:$C$315,$C21-1,$D$5:$D$315,$D21)&lt;0),"n.s.",ABS(L21)/ABS(SUMIFS(L$5:L$315,$A$5:$A$315,$A21,$C$5:$C$315,$C21-1,$D$5:$D$315,$D21))-1)))</f>
        <v/>
      </c>
      <c r="W21" s="16">
        <f>IF(OR($A21="",M21="",$C21=""),"",IF(COUNTIFS($A$5:$A$315,$A21,$C$5:$C$315,$C21-1,$D$5:$D$315,$D21,M$5:M$315,"&lt;&gt;")=0,"",IF(OR(SUMIFS(M$5:M$315,$A$5:$A$315,$A21,$C$5:$C$315,$C21-1,$D$5:$D$315,$D21)=0,M21*SUMIFS(M$5:M$315,$A$5:$A$315,$A21,$C$5:$C$315,$C21-1,$D$5:$D$315,$D21)&lt;0),"n.s.",ABS(M21)/ABS(SUMIFS(M$5:M$315,$A$5:$A$315,$A21,$C$5:$C$315,$C21-1,$D$5:$D$315,$D21))-1)))</f>
        <v/>
      </c>
      <c r="X21" s="16">
        <f>IF(OR($A21="",N21="",$C21=""),"",IF(COUNTIFS($A$5:$A$315,$A21,$C$5:$C$315,$C21-1,$D$5:$D$315,$D21,N$5:N$315,"&lt;&gt;")=0,"",IF(OR(SUMIFS(N$5:N$315,$A$5:$A$315,$A21,$C$5:$C$315,$C21-1,$D$5:$D$315,$D21)=0,N21*SUMIFS(N$5:N$315,$A$5:$A$315,$A21,$C$5:$C$315,$C21-1,$D$5:$D$315,$D21)&lt;0),"n.s.",ABS(N21)/ABS(SUMIFS(N$5:N$315,$A$5:$A$315,$A21,$C$5:$C$315,$C21-1,$D$5:$D$315,$D21))-1)))</f>
        <v/>
      </c>
      <c r="Y21" s="16">
        <f>IF(OR($A21="",O21="",$C21=""),"",IF(COUNTIFS($A$5:$A$315,$A21,$C$5:$C$315,$C21-1,$D$5:$D$315,$D21,O$5:O$315,"&lt;&gt;")=0,"",IF(OR(SUMIFS(O$5:O$315,$A$5:$A$315,$A21,$C$5:$C$315,$C21-1,$D$5:$D$315,$D21)=0,O21*SUMIFS(O$5:O$315,$A$5:$A$315,$A21,$C$5:$C$315,$C21-1,$D$5:$D$315,$D21)&lt;0),"n.s.",ABS(O21)/ABS(SUMIFS(O$5:O$315,$A$5:$A$315,$A21,$C$5:$C$315,$C21-1,$D$5:$D$315,$D21))-1)))</f>
        <v/>
      </c>
    </row>
    <row r="22">
      <c r="A22" s="9" t="inlineStr">
        <is>
          <t>BBGC</t>
        </is>
      </c>
      <c r="B22" s="10">
        <f>IF(A22="","",IFERROR(VLOOKUP(A22,Titres!$A$2:$B$400,2,FALSE),"Ticker inconnu"))</f>
        <v/>
      </c>
      <c r="C22" s="11" t="n">
        <v>2026</v>
      </c>
      <c r="D22" s="11" t="inlineStr">
        <is>
          <t>T3</t>
        </is>
      </c>
      <c r="E22" s="9" t="n"/>
      <c r="F22" s="12" t="n"/>
      <c r="G22" s="9" t="n"/>
      <c r="H22" s="13" t="n"/>
      <c r="I22" s="13" t="n"/>
      <c r="J22" s="13" t="n"/>
      <c r="K22" s="13" t="n"/>
      <c r="L22" s="13" t="n"/>
      <c r="M22" s="13" t="n"/>
      <c r="N22" s="13" t="n"/>
      <c r="O22" s="13" t="n"/>
      <c r="P22" s="14">
        <f>IF(A22="","",COUNT(H22:O22)/8)</f>
        <v/>
      </c>
      <c r="Q22" s="15">
        <f>IF(COUNT(H22:O22)=0,"",IF(LEN(IF(COUNT(H22,I22,J22)=3,IF(ABS(H22+I22-J22)&lt;=MAX(1,0.02*ABS(J22)),"","RBE &lt;&gt; PNB + frais "),"")&amp;IF(COUNT(J22,K22,L22)=3,IF(ABS(J22+K22-L22)&lt;=MAX(1,0.03*ABS(L22)),"","RAI &lt;&gt; RBE + coût du risque "),"")&amp;IF(COUNT(H22,M22)=2,IF(ABS(M22)&gt;ABS(H22),"RN &gt; PNB ",""),""))=0,"OK",IF(COUNT(H22,I22,J22)=3,IF(ABS(H22+I22-J22)&lt;=MAX(1,0.02*ABS(J22)),"","RBE &lt;&gt; PNB + frais "),"")&amp;IF(COUNT(J22,K22,L22)=3,IF(ABS(J22+K22-L22)&lt;=MAX(1,0.03*ABS(L22)),"","RAI &lt;&gt; RBE + coût du risque "),"")&amp;IF(COUNT(H22,M22)=2,IF(ABS(M22)&gt;ABS(H22),"RN &gt; PNB ",""),"")))</f>
        <v/>
      </c>
      <c r="R22" s="16">
        <f>IF(OR($A22="",H22="",$C22=""),"",IF(COUNTIFS($A$5:$A$315,$A22,$C$5:$C$315,$C22-1,$D$5:$D$315,$D22,H$5:H$315,"&lt;&gt;")=0,"",IF(OR(SUMIFS(H$5:H$315,$A$5:$A$315,$A22,$C$5:$C$315,$C22-1,$D$5:$D$315,$D22)=0,H22*SUMIFS(H$5:H$315,$A$5:$A$315,$A22,$C$5:$C$315,$C22-1,$D$5:$D$315,$D22)&lt;0),"n.s.",ABS(H22)/ABS(SUMIFS(H$5:H$315,$A$5:$A$315,$A22,$C$5:$C$315,$C22-1,$D$5:$D$315,$D22))-1)))</f>
        <v/>
      </c>
      <c r="S22" s="16">
        <f>IF(OR($A22="",I22="",$C22=""),"",IF(COUNTIFS($A$5:$A$315,$A22,$C$5:$C$315,$C22-1,$D$5:$D$315,$D22,I$5:I$315,"&lt;&gt;")=0,"",IF(OR(SUMIFS(I$5:I$315,$A$5:$A$315,$A22,$C$5:$C$315,$C22-1,$D$5:$D$315,$D22)=0,I22*SUMIFS(I$5:I$315,$A$5:$A$315,$A22,$C$5:$C$315,$C22-1,$D$5:$D$315,$D22)&lt;0),"n.s.",ABS(I22)/ABS(SUMIFS(I$5:I$315,$A$5:$A$315,$A22,$C$5:$C$315,$C22-1,$D$5:$D$315,$D22))-1)))</f>
        <v/>
      </c>
      <c r="T22" s="16">
        <f>IF(OR($A22="",J22="",$C22=""),"",IF(COUNTIFS($A$5:$A$315,$A22,$C$5:$C$315,$C22-1,$D$5:$D$315,$D22,J$5:J$315,"&lt;&gt;")=0,"",IF(OR(SUMIFS(J$5:J$315,$A$5:$A$315,$A22,$C$5:$C$315,$C22-1,$D$5:$D$315,$D22)=0,J22*SUMIFS(J$5:J$315,$A$5:$A$315,$A22,$C$5:$C$315,$C22-1,$D$5:$D$315,$D22)&lt;0),"n.s.",ABS(J22)/ABS(SUMIFS(J$5:J$315,$A$5:$A$315,$A22,$C$5:$C$315,$C22-1,$D$5:$D$315,$D22))-1)))</f>
        <v/>
      </c>
      <c r="U22" s="16">
        <f>IF(OR($A22="",K22="",$C22=""),"",IF(COUNTIFS($A$5:$A$315,$A22,$C$5:$C$315,$C22-1,$D$5:$D$315,$D22,K$5:K$315,"&lt;&gt;")=0,"",IF(OR(SUMIFS(K$5:K$315,$A$5:$A$315,$A22,$C$5:$C$315,$C22-1,$D$5:$D$315,$D22)=0,K22*SUMIFS(K$5:K$315,$A$5:$A$315,$A22,$C$5:$C$315,$C22-1,$D$5:$D$315,$D22)&lt;0),"n.s.",ABS(K22)/ABS(SUMIFS(K$5:K$315,$A$5:$A$315,$A22,$C$5:$C$315,$C22-1,$D$5:$D$315,$D22))-1)))</f>
        <v/>
      </c>
      <c r="V22" s="16">
        <f>IF(OR($A22="",L22="",$C22=""),"",IF(COUNTIFS($A$5:$A$315,$A22,$C$5:$C$315,$C22-1,$D$5:$D$315,$D22,L$5:L$315,"&lt;&gt;")=0,"",IF(OR(SUMIFS(L$5:L$315,$A$5:$A$315,$A22,$C$5:$C$315,$C22-1,$D$5:$D$315,$D22)=0,L22*SUMIFS(L$5:L$315,$A$5:$A$315,$A22,$C$5:$C$315,$C22-1,$D$5:$D$315,$D22)&lt;0),"n.s.",ABS(L22)/ABS(SUMIFS(L$5:L$315,$A$5:$A$315,$A22,$C$5:$C$315,$C22-1,$D$5:$D$315,$D22))-1)))</f>
        <v/>
      </c>
      <c r="W22" s="16">
        <f>IF(OR($A22="",M22="",$C22=""),"",IF(COUNTIFS($A$5:$A$315,$A22,$C$5:$C$315,$C22-1,$D$5:$D$315,$D22,M$5:M$315,"&lt;&gt;")=0,"",IF(OR(SUMIFS(M$5:M$315,$A$5:$A$315,$A22,$C$5:$C$315,$C22-1,$D$5:$D$315,$D22)=0,M22*SUMIFS(M$5:M$315,$A$5:$A$315,$A22,$C$5:$C$315,$C22-1,$D$5:$D$315,$D22)&lt;0),"n.s.",ABS(M22)/ABS(SUMIFS(M$5:M$315,$A$5:$A$315,$A22,$C$5:$C$315,$C22-1,$D$5:$D$315,$D22))-1)))</f>
        <v/>
      </c>
      <c r="X22" s="16">
        <f>IF(OR($A22="",N22="",$C22=""),"",IF(COUNTIFS($A$5:$A$315,$A22,$C$5:$C$315,$C22-1,$D$5:$D$315,$D22,N$5:N$315,"&lt;&gt;")=0,"",IF(OR(SUMIFS(N$5:N$315,$A$5:$A$315,$A22,$C$5:$C$315,$C22-1,$D$5:$D$315,$D22)=0,N22*SUMIFS(N$5:N$315,$A$5:$A$315,$A22,$C$5:$C$315,$C22-1,$D$5:$D$315,$D22)&lt;0),"n.s.",ABS(N22)/ABS(SUMIFS(N$5:N$315,$A$5:$A$315,$A22,$C$5:$C$315,$C22-1,$D$5:$D$315,$D22))-1)))</f>
        <v/>
      </c>
      <c r="Y22" s="16">
        <f>IF(OR($A22="",O22="",$C22=""),"",IF(COUNTIFS($A$5:$A$315,$A22,$C$5:$C$315,$C22-1,$D$5:$D$315,$D22,O$5:O$315,"&lt;&gt;")=0,"",IF(OR(SUMIFS(O$5:O$315,$A$5:$A$315,$A22,$C$5:$C$315,$C22-1,$D$5:$D$315,$D22)=0,O22*SUMIFS(O$5:O$315,$A$5:$A$315,$A22,$C$5:$C$315,$C22-1,$D$5:$D$315,$D22)&lt;0),"n.s.",ABS(O22)/ABS(SUMIFS(O$5:O$315,$A$5:$A$315,$A22,$C$5:$C$315,$C22-1,$D$5:$D$315,$D22))-1)))</f>
        <v/>
      </c>
    </row>
    <row r="23">
      <c r="A23" s="9" t="inlineStr">
        <is>
          <t>BICB</t>
        </is>
      </c>
      <c r="B23" s="10">
        <f>IF(A23="","",IFERROR(VLOOKUP(A23,Titres!$A$2:$B$400,2,FALSE),"Ticker inconnu"))</f>
        <v/>
      </c>
      <c r="C23" s="11" t="n">
        <v>2021</v>
      </c>
      <c r="D23" s="11" t="inlineStr">
        <is>
          <t>T1</t>
        </is>
      </c>
      <c r="E23" s="9" t="n"/>
      <c r="F23" s="12" t="n"/>
      <c r="G23" s="9" t="n"/>
      <c r="H23" s="13" t="n"/>
      <c r="I23" s="13" t="n"/>
      <c r="J23" s="13" t="n"/>
      <c r="K23" s="13" t="n"/>
      <c r="L23" s="13" t="n"/>
      <c r="M23" s="13" t="n"/>
      <c r="N23" s="13" t="n"/>
      <c r="O23" s="13" t="n"/>
      <c r="P23" s="14">
        <f>IF(A23="","",COUNT(H23:O23)/8)</f>
        <v/>
      </c>
      <c r="Q23" s="15">
        <f>IF(COUNT(H23:O23)=0,"",IF(LEN(IF(COUNT(H23,I23,J23)=3,IF(ABS(H23+I23-J23)&lt;=MAX(1,0.02*ABS(J23)),"","RBE &lt;&gt; PNB + frais "),"")&amp;IF(COUNT(J23,K23,L23)=3,IF(ABS(J23+K23-L23)&lt;=MAX(1,0.03*ABS(L23)),"","RAI &lt;&gt; RBE + coût du risque "),"")&amp;IF(COUNT(H23,M23)=2,IF(ABS(M23)&gt;ABS(H23),"RN &gt; PNB ",""),""))=0,"OK",IF(COUNT(H23,I23,J23)=3,IF(ABS(H23+I23-J23)&lt;=MAX(1,0.02*ABS(J23)),"","RBE &lt;&gt; PNB + frais "),"")&amp;IF(COUNT(J23,K23,L23)=3,IF(ABS(J23+K23-L23)&lt;=MAX(1,0.03*ABS(L23)),"","RAI &lt;&gt; RBE + coût du risque "),"")&amp;IF(COUNT(H23,M23)=2,IF(ABS(M23)&gt;ABS(H23),"RN &gt; PNB ",""),"")))</f>
        <v/>
      </c>
      <c r="R23" s="16">
        <f>IF(OR($A23="",H23="",$C23=""),"",IF(COUNTIFS($A$5:$A$315,$A23,$C$5:$C$315,$C23-1,$D$5:$D$315,$D23,H$5:H$315,"&lt;&gt;")=0,"",IF(OR(SUMIFS(H$5:H$315,$A$5:$A$315,$A23,$C$5:$C$315,$C23-1,$D$5:$D$315,$D23)=0,H23*SUMIFS(H$5:H$315,$A$5:$A$315,$A23,$C$5:$C$315,$C23-1,$D$5:$D$315,$D23)&lt;0),"n.s.",ABS(H23)/ABS(SUMIFS(H$5:H$315,$A$5:$A$315,$A23,$C$5:$C$315,$C23-1,$D$5:$D$315,$D23))-1)))</f>
        <v/>
      </c>
      <c r="S23" s="16">
        <f>IF(OR($A23="",I23="",$C23=""),"",IF(COUNTIFS($A$5:$A$315,$A23,$C$5:$C$315,$C23-1,$D$5:$D$315,$D23,I$5:I$315,"&lt;&gt;")=0,"",IF(OR(SUMIFS(I$5:I$315,$A$5:$A$315,$A23,$C$5:$C$315,$C23-1,$D$5:$D$315,$D23)=0,I23*SUMIFS(I$5:I$315,$A$5:$A$315,$A23,$C$5:$C$315,$C23-1,$D$5:$D$315,$D23)&lt;0),"n.s.",ABS(I23)/ABS(SUMIFS(I$5:I$315,$A$5:$A$315,$A23,$C$5:$C$315,$C23-1,$D$5:$D$315,$D23))-1)))</f>
        <v/>
      </c>
      <c r="T23" s="16">
        <f>IF(OR($A23="",J23="",$C23=""),"",IF(COUNTIFS($A$5:$A$315,$A23,$C$5:$C$315,$C23-1,$D$5:$D$315,$D23,J$5:J$315,"&lt;&gt;")=0,"",IF(OR(SUMIFS(J$5:J$315,$A$5:$A$315,$A23,$C$5:$C$315,$C23-1,$D$5:$D$315,$D23)=0,J23*SUMIFS(J$5:J$315,$A$5:$A$315,$A23,$C$5:$C$315,$C23-1,$D$5:$D$315,$D23)&lt;0),"n.s.",ABS(J23)/ABS(SUMIFS(J$5:J$315,$A$5:$A$315,$A23,$C$5:$C$315,$C23-1,$D$5:$D$315,$D23))-1)))</f>
        <v/>
      </c>
      <c r="U23" s="16">
        <f>IF(OR($A23="",K23="",$C23=""),"",IF(COUNTIFS($A$5:$A$315,$A23,$C$5:$C$315,$C23-1,$D$5:$D$315,$D23,K$5:K$315,"&lt;&gt;")=0,"",IF(OR(SUMIFS(K$5:K$315,$A$5:$A$315,$A23,$C$5:$C$315,$C23-1,$D$5:$D$315,$D23)=0,K23*SUMIFS(K$5:K$315,$A$5:$A$315,$A23,$C$5:$C$315,$C23-1,$D$5:$D$315,$D23)&lt;0),"n.s.",ABS(K23)/ABS(SUMIFS(K$5:K$315,$A$5:$A$315,$A23,$C$5:$C$315,$C23-1,$D$5:$D$315,$D23))-1)))</f>
        <v/>
      </c>
      <c r="V23" s="16">
        <f>IF(OR($A23="",L23="",$C23=""),"",IF(COUNTIFS($A$5:$A$315,$A23,$C$5:$C$315,$C23-1,$D$5:$D$315,$D23,L$5:L$315,"&lt;&gt;")=0,"",IF(OR(SUMIFS(L$5:L$315,$A$5:$A$315,$A23,$C$5:$C$315,$C23-1,$D$5:$D$315,$D23)=0,L23*SUMIFS(L$5:L$315,$A$5:$A$315,$A23,$C$5:$C$315,$C23-1,$D$5:$D$315,$D23)&lt;0),"n.s.",ABS(L23)/ABS(SUMIFS(L$5:L$315,$A$5:$A$315,$A23,$C$5:$C$315,$C23-1,$D$5:$D$315,$D23))-1)))</f>
        <v/>
      </c>
      <c r="W23" s="16">
        <f>IF(OR($A23="",M23="",$C23=""),"",IF(COUNTIFS($A$5:$A$315,$A23,$C$5:$C$315,$C23-1,$D$5:$D$315,$D23,M$5:M$315,"&lt;&gt;")=0,"",IF(OR(SUMIFS(M$5:M$315,$A$5:$A$315,$A23,$C$5:$C$315,$C23-1,$D$5:$D$315,$D23)=0,M23*SUMIFS(M$5:M$315,$A$5:$A$315,$A23,$C$5:$C$315,$C23-1,$D$5:$D$315,$D23)&lt;0),"n.s.",ABS(M23)/ABS(SUMIFS(M$5:M$315,$A$5:$A$315,$A23,$C$5:$C$315,$C23-1,$D$5:$D$315,$D23))-1)))</f>
        <v/>
      </c>
      <c r="X23" s="16">
        <f>IF(OR($A23="",N23="",$C23=""),"",IF(COUNTIFS($A$5:$A$315,$A23,$C$5:$C$315,$C23-1,$D$5:$D$315,$D23,N$5:N$315,"&lt;&gt;")=0,"",IF(OR(SUMIFS(N$5:N$315,$A$5:$A$315,$A23,$C$5:$C$315,$C23-1,$D$5:$D$315,$D23)=0,N23*SUMIFS(N$5:N$315,$A$5:$A$315,$A23,$C$5:$C$315,$C23-1,$D$5:$D$315,$D23)&lt;0),"n.s.",ABS(N23)/ABS(SUMIFS(N$5:N$315,$A$5:$A$315,$A23,$C$5:$C$315,$C23-1,$D$5:$D$315,$D23))-1)))</f>
        <v/>
      </c>
      <c r="Y23" s="16">
        <f>IF(OR($A23="",O23="",$C23=""),"",IF(COUNTIFS($A$5:$A$315,$A23,$C$5:$C$315,$C23-1,$D$5:$D$315,$D23,O$5:O$315,"&lt;&gt;")=0,"",IF(OR(SUMIFS(O$5:O$315,$A$5:$A$315,$A23,$C$5:$C$315,$C23-1,$D$5:$D$315,$D23)=0,O23*SUMIFS(O$5:O$315,$A$5:$A$315,$A23,$C$5:$C$315,$C23-1,$D$5:$D$315,$D23)&lt;0),"n.s.",ABS(O23)/ABS(SUMIFS(O$5:O$315,$A$5:$A$315,$A23,$C$5:$C$315,$C23-1,$D$5:$D$315,$D23))-1)))</f>
        <v/>
      </c>
    </row>
    <row r="24">
      <c r="A24" s="9" t="inlineStr">
        <is>
          <t>BICB</t>
        </is>
      </c>
      <c r="B24" s="10">
        <f>IF(A24="","",IFERROR(VLOOKUP(A24,Titres!$A$2:$B$400,2,FALSE),"Ticker inconnu"))</f>
        <v/>
      </c>
      <c r="C24" s="11" t="n">
        <v>2021</v>
      </c>
      <c r="D24" s="11" t="inlineStr">
        <is>
          <t>S1</t>
        </is>
      </c>
      <c r="E24" s="9" t="n"/>
      <c r="F24" s="12" t="n"/>
      <c r="G24" s="9" t="n"/>
      <c r="H24" s="13" t="n"/>
      <c r="I24" s="13" t="n"/>
      <c r="J24" s="13" t="n"/>
      <c r="K24" s="13" t="n"/>
      <c r="L24" s="13" t="n"/>
      <c r="M24" s="13" t="n"/>
      <c r="N24" s="13" t="n"/>
      <c r="O24" s="13" t="n"/>
      <c r="P24" s="14">
        <f>IF(A24="","",COUNT(H24:O24)/8)</f>
        <v/>
      </c>
      <c r="Q24" s="15">
        <f>IF(COUNT(H24:O24)=0,"",IF(LEN(IF(COUNT(H24,I24,J24)=3,IF(ABS(H24+I24-J24)&lt;=MAX(1,0.02*ABS(J24)),"","RBE &lt;&gt; PNB + frais "),"")&amp;IF(COUNT(J24,K24,L24)=3,IF(ABS(J24+K24-L24)&lt;=MAX(1,0.03*ABS(L24)),"","RAI &lt;&gt; RBE + coût du risque "),"")&amp;IF(COUNT(H24,M24)=2,IF(ABS(M24)&gt;ABS(H24),"RN &gt; PNB ",""),""))=0,"OK",IF(COUNT(H24,I24,J24)=3,IF(ABS(H24+I24-J24)&lt;=MAX(1,0.02*ABS(J24)),"","RBE &lt;&gt; PNB + frais "),"")&amp;IF(COUNT(J24,K24,L24)=3,IF(ABS(J24+K24-L24)&lt;=MAX(1,0.03*ABS(L24)),"","RAI &lt;&gt; RBE + coût du risque "),"")&amp;IF(COUNT(H24,M24)=2,IF(ABS(M24)&gt;ABS(H24),"RN &gt; PNB ",""),"")))</f>
        <v/>
      </c>
      <c r="R24" s="16">
        <f>IF(OR($A24="",H24="",$C24=""),"",IF(COUNTIFS($A$5:$A$315,$A24,$C$5:$C$315,$C24-1,$D$5:$D$315,$D24,H$5:H$315,"&lt;&gt;")=0,"",IF(OR(SUMIFS(H$5:H$315,$A$5:$A$315,$A24,$C$5:$C$315,$C24-1,$D$5:$D$315,$D24)=0,H24*SUMIFS(H$5:H$315,$A$5:$A$315,$A24,$C$5:$C$315,$C24-1,$D$5:$D$315,$D24)&lt;0),"n.s.",ABS(H24)/ABS(SUMIFS(H$5:H$315,$A$5:$A$315,$A24,$C$5:$C$315,$C24-1,$D$5:$D$315,$D24))-1)))</f>
        <v/>
      </c>
      <c r="S24" s="16">
        <f>IF(OR($A24="",I24="",$C24=""),"",IF(COUNTIFS($A$5:$A$315,$A24,$C$5:$C$315,$C24-1,$D$5:$D$315,$D24,I$5:I$315,"&lt;&gt;")=0,"",IF(OR(SUMIFS(I$5:I$315,$A$5:$A$315,$A24,$C$5:$C$315,$C24-1,$D$5:$D$315,$D24)=0,I24*SUMIFS(I$5:I$315,$A$5:$A$315,$A24,$C$5:$C$315,$C24-1,$D$5:$D$315,$D24)&lt;0),"n.s.",ABS(I24)/ABS(SUMIFS(I$5:I$315,$A$5:$A$315,$A24,$C$5:$C$315,$C24-1,$D$5:$D$315,$D24))-1)))</f>
        <v/>
      </c>
      <c r="T24" s="16">
        <f>IF(OR($A24="",J24="",$C24=""),"",IF(COUNTIFS($A$5:$A$315,$A24,$C$5:$C$315,$C24-1,$D$5:$D$315,$D24,J$5:J$315,"&lt;&gt;")=0,"",IF(OR(SUMIFS(J$5:J$315,$A$5:$A$315,$A24,$C$5:$C$315,$C24-1,$D$5:$D$315,$D24)=0,J24*SUMIFS(J$5:J$315,$A$5:$A$315,$A24,$C$5:$C$315,$C24-1,$D$5:$D$315,$D24)&lt;0),"n.s.",ABS(J24)/ABS(SUMIFS(J$5:J$315,$A$5:$A$315,$A24,$C$5:$C$315,$C24-1,$D$5:$D$315,$D24))-1)))</f>
        <v/>
      </c>
      <c r="U24" s="16">
        <f>IF(OR($A24="",K24="",$C24=""),"",IF(COUNTIFS($A$5:$A$315,$A24,$C$5:$C$315,$C24-1,$D$5:$D$315,$D24,K$5:K$315,"&lt;&gt;")=0,"",IF(OR(SUMIFS(K$5:K$315,$A$5:$A$315,$A24,$C$5:$C$315,$C24-1,$D$5:$D$315,$D24)=0,K24*SUMIFS(K$5:K$315,$A$5:$A$315,$A24,$C$5:$C$315,$C24-1,$D$5:$D$315,$D24)&lt;0),"n.s.",ABS(K24)/ABS(SUMIFS(K$5:K$315,$A$5:$A$315,$A24,$C$5:$C$315,$C24-1,$D$5:$D$315,$D24))-1)))</f>
        <v/>
      </c>
      <c r="V24" s="16">
        <f>IF(OR($A24="",L24="",$C24=""),"",IF(COUNTIFS($A$5:$A$315,$A24,$C$5:$C$315,$C24-1,$D$5:$D$315,$D24,L$5:L$315,"&lt;&gt;")=0,"",IF(OR(SUMIFS(L$5:L$315,$A$5:$A$315,$A24,$C$5:$C$315,$C24-1,$D$5:$D$315,$D24)=0,L24*SUMIFS(L$5:L$315,$A$5:$A$315,$A24,$C$5:$C$315,$C24-1,$D$5:$D$315,$D24)&lt;0),"n.s.",ABS(L24)/ABS(SUMIFS(L$5:L$315,$A$5:$A$315,$A24,$C$5:$C$315,$C24-1,$D$5:$D$315,$D24))-1)))</f>
        <v/>
      </c>
      <c r="W24" s="16">
        <f>IF(OR($A24="",M24="",$C24=""),"",IF(COUNTIFS($A$5:$A$315,$A24,$C$5:$C$315,$C24-1,$D$5:$D$315,$D24,M$5:M$315,"&lt;&gt;")=0,"",IF(OR(SUMIFS(M$5:M$315,$A$5:$A$315,$A24,$C$5:$C$315,$C24-1,$D$5:$D$315,$D24)=0,M24*SUMIFS(M$5:M$315,$A$5:$A$315,$A24,$C$5:$C$315,$C24-1,$D$5:$D$315,$D24)&lt;0),"n.s.",ABS(M24)/ABS(SUMIFS(M$5:M$315,$A$5:$A$315,$A24,$C$5:$C$315,$C24-1,$D$5:$D$315,$D24))-1)))</f>
        <v/>
      </c>
      <c r="X24" s="16">
        <f>IF(OR($A24="",N24="",$C24=""),"",IF(COUNTIFS($A$5:$A$315,$A24,$C$5:$C$315,$C24-1,$D$5:$D$315,$D24,N$5:N$315,"&lt;&gt;")=0,"",IF(OR(SUMIFS(N$5:N$315,$A$5:$A$315,$A24,$C$5:$C$315,$C24-1,$D$5:$D$315,$D24)=0,N24*SUMIFS(N$5:N$315,$A$5:$A$315,$A24,$C$5:$C$315,$C24-1,$D$5:$D$315,$D24)&lt;0),"n.s.",ABS(N24)/ABS(SUMIFS(N$5:N$315,$A$5:$A$315,$A24,$C$5:$C$315,$C24-1,$D$5:$D$315,$D24))-1)))</f>
        <v/>
      </c>
      <c r="Y24" s="16">
        <f>IF(OR($A24="",O24="",$C24=""),"",IF(COUNTIFS($A$5:$A$315,$A24,$C$5:$C$315,$C24-1,$D$5:$D$315,$D24,O$5:O$315,"&lt;&gt;")=0,"",IF(OR(SUMIFS(O$5:O$315,$A$5:$A$315,$A24,$C$5:$C$315,$C24-1,$D$5:$D$315,$D24)=0,O24*SUMIFS(O$5:O$315,$A$5:$A$315,$A24,$C$5:$C$315,$C24-1,$D$5:$D$315,$D24)&lt;0),"n.s.",ABS(O24)/ABS(SUMIFS(O$5:O$315,$A$5:$A$315,$A24,$C$5:$C$315,$C24-1,$D$5:$D$315,$D24))-1)))</f>
        <v/>
      </c>
    </row>
    <row r="25">
      <c r="A25" s="9" t="inlineStr">
        <is>
          <t>BICB</t>
        </is>
      </c>
      <c r="B25" s="10">
        <f>IF(A25="","",IFERROR(VLOOKUP(A25,Titres!$A$2:$B$400,2,FALSE),"Ticker inconnu"))</f>
        <v/>
      </c>
      <c r="C25" s="11" t="n">
        <v>2021</v>
      </c>
      <c r="D25" s="11" t="inlineStr">
        <is>
          <t>T3</t>
        </is>
      </c>
      <c r="E25" s="9" t="n"/>
      <c r="F25" s="12" t="n"/>
      <c r="G25" s="9" t="n"/>
      <c r="H25" s="13" t="n"/>
      <c r="I25" s="13" t="n"/>
      <c r="J25" s="13" t="n"/>
      <c r="K25" s="13" t="n"/>
      <c r="L25" s="13" t="n"/>
      <c r="M25" s="13" t="n"/>
      <c r="N25" s="13" t="n"/>
      <c r="O25" s="13" t="n"/>
      <c r="P25" s="14">
        <f>IF(A25="","",COUNT(H25:O25)/8)</f>
        <v/>
      </c>
      <c r="Q25" s="15">
        <f>IF(COUNT(H25:O25)=0,"",IF(LEN(IF(COUNT(H25,I25,J25)=3,IF(ABS(H25+I25-J25)&lt;=MAX(1,0.02*ABS(J25)),"","RBE &lt;&gt; PNB + frais "),"")&amp;IF(COUNT(J25,K25,L25)=3,IF(ABS(J25+K25-L25)&lt;=MAX(1,0.03*ABS(L25)),"","RAI &lt;&gt; RBE + coût du risque "),"")&amp;IF(COUNT(H25,M25)=2,IF(ABS(M25)&gt;ABS(H25),"RN &gt; PNB ",""),""))=0,"OK",IF(COUNT(H25,I25,J25)=3,IF(ABS(H25+I25-J25)&lt;=MAX(1,0.02*ABS(J25)),"","RBE &lt;&gt; PNB + frais "),"")&amp;IF(COUNT(J25,K25,L25)=3,IF(ABS(J25+K25-L25)&lt;=MAX(1,0.03*ABS(L25)),"","RAI &lt;&gt; RBE + coût du risque "),"")&amp;IF(COUNT(H25,M25)=2,IF(ABS(M25)&gt;ABS(H25),"RN &gt; PNB ",""),"")))</f>
        <v/>
      </c>
      <c r="R25" s="16">
        <f>IF(OR($A25="",H25="",$C25=""),"",IF(COUNTIFS($A$5:$A$315,$A25,$C$5:$C$315,$C25-1,$D$5:$D$315,$D25,H$5:H$315,"&lt;&gt;")=0,"",IF(OR(SUMIFS(H$5:H$315,$A$5:$A$315,$A25,$C$5:$C$315,$C25-1,$D$5:$D$315,$D25)=0,H25*SUMIFS(H$5:H$315,$A$5:$A$315,$A25,$C$5:$C$315,$C25-1,$D$5:$D$315,$D25)&lt;0),"n.s.",ABS(H25)/ABS(SUMIFS(H$5:H$315,$A$5:$A$315,$A25,$C$5:$C$315,$C25-1,$D$5:$D$315,$D25))-1)))</f>
        <v/>
      </c>
      <c r="S25" s="16">
        <f>IF(OR($A25="",I25="",$C25=""),"",IF(COUNTIFS($A$5:$A$315,$A25,$C$5:$C$315,$C25-1,$D$5:$D$315,$D25,I$5:I$315,"&lt;&gt;")=0,"",IF(OR(SUMIFS(I$5:I$315,$A$5:$A$315,$A25,$C$5:$C$315,$C25-1,$D$5:$D$315,$D25)=0,I25*SUMIFS(I$5:I$315,$A$5:$A$315,$A25,$C$5:$C$315,$C25-1,$D$5:$D$315,$D25)&lt;0),"n.s.",ABS(I25)/ABS(SUMIFS(I$5:I$315,$A$5:$A$315,$A25,$C$5:$C$315,$C25-1,$D$5:$D$315,$D25))-1)))</f>
        <v/>
      </c>
      <c r="T25" s="16">
        <f>IF(OR($A25="",J25="",$C25=""),"",IF(COUNTIFS($A$5:$A$315,$A25,$C$5:$C$315,$C25-1,$D$5:$D$315,$D25,J$5:J$315,"&lt;&gt;")=0,"",IF(OR(SUMIFS(J$5:J$315,$A$5:$A$315,$A25,$C$5:$C$315,$C25-1,$D$5:$D$315,$D25)=0,J25*SUMIFS(J$5:J$315,$A$5:$A$315,$A25,$C$5:$C$315,$C25-1,$D$5:$D$315,$D25)&lt;0),"n.s.",ABS(J25)/ABS(SUMIFS(J$5:J$315,$A$5:$A$315,$A25,$C$5:$C$315,$C25-1,$D$5:$D$315,$D25))-1)))</f>
        <v/>
      </c>
      <c r="U25" s="16">
        <f>IF(OR($A25="",K25="",$C25=""),"",IF(COUNTIFS($A$5:$A$315,$A25,$C$5:$C$315,$C25-1,$D$5:$D$315,$D25,K$5:K$315,"&lt;&gt;")=0,"",IF(OR(SUMIFS(K$5:K$315,$A$5:$A$315,$A25,$C$5:$C$315,$C25-1,$D$5:$D$315,$D25)=0,K25*SUMIFS(K$5:K$315,$A$5:$A$315,$A25,$C$5:$C$315,$C25-1,$D$5:$D$315,$D25)&lt;0),"n.s.",ABS(K25)/ABS(SUMIFS(K$5:K$315,$A$5:$A$315,$A25,$C$5:$C$315,$C25-1,$D$5:$D$315,$D25))-1)))</f>
        <v/>
      </c>
      <c r="V25" s="16">
        <f>IF(OR($A25="",L25="",$C25=""),"",IF(COUNTIFS($A$5:$A$315,$A25,$C$5:$C$315,$C25-1,$D$5:$D$315,$D25,L$5:L$315,"&lt;&gt;")=0,"",IF(OR(SUMIFS(L$5:L$315,$A$5:$A$315,$A25,$C$5:$C$315,$C25-1,$D$5:$D$315,$D25)=0,L25*SUMIFS(L$5:L$315,$A$5:$A$315,$A25,$C$5:$C$315,$C25-1,$D$5:$D$315,$D25)&lt;0),"n.s.",ABS(L25)/ABS(SUMIFS(L$5:L$315,$A$5:$A$315,$A25,$C$5:$C$315,$C25-1,$D$5:$D$315,$D25))-1)))</f>
        <v/>
      </c>
      <c r="W25" s="16">
        <f>IF(OR($A25="",M25="",$C25=""),"",IF(COUNTIFS($A$5:$A$315,$A25,$C$5:$C$315,$C25-1,$D$5:$D$315,$D25,M$5:M$315,"&lt;&gt;")=0,"",IF(OR(SUMIFS(M$5:M$315,$A$5:$A$315,$A25,$C$5:$C$315,$C25-1,$D$5:$D$315,$D25)=0,M25*SUMIFS(M$5:M$315,$A$5:$A$315,$A25,$C$5:$C$315,$C25-1,$D$5:$D$315,$D25)&lt;0),"n.s.",ABS(M25)/ABS(SUMIFS(M$5:M$315,$A$5:$A$315,$A25,$C$5:$C$315,$C25-1,$D$5:$D$315,$D25))-1)))</f>
        <v/>
      </c>
      <c r="X25" s="16">
        <f>IF(OR($A25="",N25="",$C25=""),"",IF(COUNTIFS($A$5:$A$315,$A25,$C$5:$C$315,$C25-1,$D$5:$D$315,$D25,N$5:N$315,"&lt;&gt;")=0,"",IF(OR(SUMIFS(N$5:N$315,$A$5:$A$315,$A25,$C$5:$C$315,$C25-1,$D$5:$D$315,$D25)=0,N25*SUMIFS(N$5:N$315,$A$5:$A$315,$A25,$C$5:$C$315,$C25-1,$D$5:$D$315,$D25)&lt;0),"n.s.",ABS(N25)/ABS(SUMIFS(N$5:N$315,$A$5:$A$315,$A25,$C$5:$C$315,$C25-1,$D$5:$D$315,$D25))-1)))</f>
        <v/>
      </c>
      <c r="Y25" s="16">
        <f>IF(OR($A25="",O25="",$C25=""),"",IF(COUNTIFS($A$5:$A$315,$A25,$C$5:$C$315,$C25-1,$D$5:$D$315,$D25,O$5:O$315,"&lt;&gt;")=0,"",IF(OR(SUMIFS(O$5:O$315,$A$5:$A$315,$A25,$C$5:$C$315,$C25-1,$D$5:$D$315,$D25)=0,O25*SUMIFS(O$5:O$315,$A$5:$A$315,$A25,$C$5:$C$315,$C25-1,$D$5:$D$315,$D25)&lt;0),"n.s.",ABS(O25)/ABS(SUMIFS(O$5:O$315,$A$5:$A$315,$A25,$C$5:$C$315,$C25-1,$D$5:$D$315,$D25))-1)))</f>
        <v/>
      </c>
    </row>
    <row r="26">
      <c r="A26" s="9" t="inlineStr">
        <is>
          <t>BICB</t>
        </is>
      </c>
      <c r="B26" s="10">
        <f>IF(A26="","",IFERROR(VLOOKUP(A26,Titres!$A$2:$B$400,2,FALSE),"Ticker inconnu"))</f>
        <v/>
      </c>
      <c r="C26" s="11" t="n">
        <v>2022</v>
      </c>
      <c r="D26" s="11" t="inlineStr">
        <is>
          <t>T1</t>
        </is>
      </c>
      <c r="E26" s="9" t="n"/>
      <c r="F26" s="12" t="n"/>
      <c r="G26" s="9" t="n"/>
      <c r="H26" s="13" t="n"/>
      <c r="I26" s="13" t="n"/>
      <c r="J26" s="13" t="n"/>
      <c r="K26" s="13" t="n"/>
      <c r="L26" s="13" t="n"/>
      <c r="M26" s="13" t="n"/>
      <c r="N26" s="13" t="n"/>
      <c r="O26" s="13" t="n"/>
      <c r="P26" s="14">
        <f>IF(A26="","",COUNT(H26:O26)/8)</f>
        <v/>
      </c>
      <c r="Q26" s="15">
        <f>IF(COUNT(H26:O26)=0,"",IF(LEN(IF(COUNT(H26,I26,J26)=3,IF(ABS(H26+I26-J26)&lt;=MAX(1,0.02*ABS(J26)),"","RBE &lt;&gt; PNB + frais "),"")&amp;IF(COUNT(J26,K26,L26)=3,IF(ABS(J26+K26-L26)&lt;=MAX(1,0.03*ABS(L26)),"","RAI &lt;&gt; RBE + coût du risque "),"")&amp;IF(COUNT(H26,M26)=2,IF(ABS(M26)&gt;ABS(H26),"RN &gt; PNB ",""),""))=0,"OK",IF(COUNT(H26,I26,J26)=3,IF(ABS(H26+I26-J26)&lt;=MAX(1,0.02*ABS(J26)),"","RBE &lt;&gt; PNB + frais "),"")&amp;IF(COUNT(J26,K26,L26)=3,IF(ABS(J26+K26-L26)&lt;=MAX(1,0.03*ABS(L26)),"","RAI &lt;&gt; RBE + coût du risque "),"")&amp;IF(COUNT(H26,M26)=2,IF(ABS(M26)&gt;ABS(H26),"RN &gt; PNB ",""),"")))</f>
        <v/>
      </c>
      <c r="R26" s="16">
        <f>IF(OR($A26="",H26="",$C26=""),"",IF(COUNTIFS($A$5:$A$315,$A26,$C$5:$C$315,$C26-1,$D$5:$D$315,$D26,H$5:H$315,"&lt;&gt;")=0,"",IF(OR(SUMIFS(H$5:H$315,$A$5:$A$315,$A26,$C$5:$C$315,$C26-1,$D$5:$D$315,$D26)=0,H26*SUMIFS(H$5:H$315,$A$5:$A$315,$A26,$C$5:$C$315,$C26-1,$D$5:$D$315,$D26)&lt;0),"n.s.",ABS(H26)/ABS(SUMIFS(H$5:H$315,$A$5:$A$315,$A26,$C$5:$C$315,$C26-1,$D$5:$D$315,$D26))-1)))</f>
        <v/>
      </c>
      <c r="S26" s="16">
        <f>IF(OR($A26="",I26="",$C26=""),"",IF(COUNTIFS($A$5:$A$315,$A26,$C$5:$C$315,$C26-1,$D$5:$D$315,$D26,I$5:I$315,"&lt;&gt;")=0,"",IF(OR(SUMIFS(I$5:I$315,$A$5:$A$315,$A26,$C$5:$C$315,$C26-1,$D$5:$D$315,$D26)=0,I26*SUMIFS(I$5:I$315,$A$5:$A$315,$A26,$C$5:$C$315,$C26-1,$D$5:$D$315,$D26)&lt;0),"n.s.",ABS(I26)/ABS(SUMIFS(I$5:I$315,$A$5:$A$315,$A26,$C$5:$C$315,$C26-1,$D$5:$D$315,$D26))-1)))</f>
        <v/>
      </c>
      <c r="T26" s="16">
        <f>IF(OR($A26="",J26="",$C26=""),"",IF(COUNTIFS($A$5:$A$315,$A26,$C$5:$C$315,$C26-1,$D$5:$D$315,$D26,J$5:J$315,"&lt;&gt;")=0,"",IF(OR(SUMIFS(J$5:J$315,$A$5:$A$315,$A26,$C$5:$C$315,$C26-1,$D$5:$D$315,$D26)=0,J26*SUMIFS(J$5:J$315,$A$5:$A$315,$A26,$C$5:$C$315,$C26-1,$D$5:$D$315,$D26)&lt;0),"n.s.",ABS(J26)/ABS(SUMIFS(J$5:J$315,$A$5:$A$315,$A26,$C$5:$C$315,$C26-1,$D$5:$D$315,$D26))-1)))</f>
        <v/>
      </c>
      <c r="U26" s="16">
        <f>IF(OR($A26="",K26="",$C26=""),"",IF(COUNTIFS($A$5:$A$315,$A26,$C$5:$C$315,$C26-1,$D$5:$D$315,$D26,K$5:K$315,"&lt;&gt;")=0,"",IF(OR(SUMIFS(K$5:K$315,$A$5:$A$315,$A26,$C$5:$C$315,$C26-1,$D$5:$D$315,$D26)=0,K26*SUMIFS(K$5:K$315,$A$5:$A$315,$A26,$C$5:$C$315,$C26-1,$D$5:$D$315,$D26)&lt;0),"n.s.",ABS(K26)/ABS(SUMIFS(K$5:K$315,$A$5:$A$315,$A26,$C$5:$C$315,$C26-1,$D$5:$D$315,$D26))-1)))</f>
        <v/>
      </c>
      <c r="V26" s="16">
        <f>IF(OR($A26="",L26="",$C26=""),"",IF(COUNTIFS($A$5:$A$315,$A26,$C$5:$C$315,$C26-1,$D$5:$D$315,$D26,L$5:L$315,"&lt;&gt;")=0,"",IF(OR(SUMIFS(L$5:L$315,$A$5:$A$315,$A26,$C$5:$C$315,$C26-1,$D$5:$D$315,$D26)=0,L26*SUMIFS(L$5:L$315,$A$5:$A$315,$A26,$C$5:$C$315,$C26-1,$D$5:$D$315,$D26)&lt;0),"n.s.",ABS(L26)/ABS(SUMIFS(L$5:L$315,$A$5:$A$315,$A26,$C$5:$C$315,$C26-1,$D$5:$D$315,$D26))-1)))</f>
        <v/>
      </c>
      <c r="W26" s="16">
        <f>IF(OR($A26="",M26="",$C26=""),"",IF(COUNTIFS($A$5:$A$315,$A26,$C$5:$C$315,$C26-1,$D$5:$D$315,$D26,M$5:M$315,"&lt;&gt;")=0,"",IF(OR(SUMIFS(M$5:M$315,$A$5:$A$315,$A26,$C$5:$C$315,$C26-1,$D$5:$D$315,$D26)=0,M26*SUMIFS(M$5:M$315,$A$5:$A$315,$A26,$C$5:$C$315,$C26-1,$D$5:$D$315,$D26)&lt;0),"n.s.",ABS(M26)/ABS(SUMIFS(M$5:M$315,$A$5:$A$315,$A26,$C$5:$C$315,$C26-1,$D$5:$D$315,$D26))-1)))</f>
        <v/>
      </c>
      <c r="X26" s="16">
        <f>IF(OR($A26="",N26="",$C26=""),"",IF(COUNTIFS($A$5:$A$315,$A26,$C$5:$C$315,$C26-1,$D$5:$D$315,$D26,N$5:N$315,"&lt;&gt;")=0,"",IF(OR(SUMIFS(N$5:N$315,$A$5:$A$315,$A26,$C$5:$C$315,$C26-1,$D$5:$D$315,$D26)=0,N26*SUMIFS(N$5:N$315,$A$5:$A$315,$A26,$C$5:$C$315,$C26-1,$D$5:$D$315,$D26)&lt;0),"n.s.",ABS(N26)/ABS(SUMIFS(N$5:N$315,$A$5:$A$315,$A26,$C$5:$C$315,$C26-1,$D$5:$D$315,$D26))-1)))</f>
        <v/>
      </c>
      <c r="Y26" s="16">
        <f>IF(OR($A26="",O26="",$C26=""),"",IF(COUNTIFS($A$5:$A$315,$A26,$C$5:$C$315,$C26-1,$D$5:$D$315,$D26,O$5:O$315,"&lt;&gt;")=0,"",IF(OR(SUMIFS(O$5:O$315,$A$5:$A$315,$A26,$C$5:$C$315,$C26-1,$D$5:$D$315,$D26)=0,O26*SUMIFS(O$5:O$315,$A$5:$A$315,$A26,$C$5:$C$315,$C26-1,$D$5:$D$315,$D26)&lt;0),"n.s.",ABS(O26)/ABS(SUMIFS(O$5:O$315,$A$5:$A$315,$A26,$C$5:$C$315,$C26-1,$D$5:$D$315,$D26))-1)))</f>
        <v/>
      </c>
    </row>
    <row r="27">
      <c r="A27" s="9" t="inlineStr">
        <is>
          <t>BICB</t>
        </is>
      </c>
      <c r="B27" s="10">
        <f>IF(A27="","",IFERROR(VLOOKUP(A27,Titres!$A$2:$B$400,2,FALSE),"Ticker inconnu"))</f>
        <v/>
      </c>
      <c r="C27" s="11" t="n">
        <v>2022</v>
      </c>
      <c r="D27" s="11" t="inlineStr">
        <is>
          <t>S1</t>
        </is>
      </c>
      <c r="E27" s="9" t="n"/>
      <c r="F27" s="12" t="n"/>
      <c r="G27" s="9" t="n"/>
      <c r="H27" s="13" t="n"/>
      <c r="I27" s="13" t="n"/>
      <c r="J27" s="13" t="n"/>
      <c r="K27" s="13" t="n"/>
      <c r="L27" s="13" t="n"/>
      <c r="M27" s="13" t="n"/>
      <c r="N27" s="13" t="n"/>
      <c r="O27" s="13" t="n"/>
      <c r="P27" s="14">
        <f>IF(A27="","",COUNT(H27:O27)/8)</f>
        <v/>
      </c>
      <c r="Q27" s="15">
        <f>IF(COUNT(H27:O27)=0,"",IF(LEN(IF(COUNT(H27,I27,J27)=3,IF(ABS(H27+I27-J27)&lt;=MAX(1,0.02*ABS(J27)),"","RBE &lt;&gt; PNB + frais "),"")&amp;IF(COUNT(J27,K27,L27)=3,IF(ABS(J27+K27-L27)&lt;=MAX(1,0.03*ABS(L27)),"","RAI &lt;&gt; RBE + coût du risque "),"")&amp;IF(COUNT(H27,M27)=2,IF(ABS(M27)&gt;ABS(H27),"RN &gt; PNB ",""),""))=0,"OK",IF(COUNT(H27,I27,J27)=3,IF(ABS(H27+I27-J27)&lt;=MAX(1,0.02*ABS(J27)),"","RBE &lt;&gt; PNB + frais "),"")&amp;IF(COUNT(J27,K27,L27)=3,IF(ABS(J27+K27-L27)&lt;=MAX(1,0.03*ABS(L27)),"","RAI &lt;&gt; RBE + coût du risque "),"")&amp;IF(COUNT(H27,M27)=2,IF(ABS(M27)&gt;ABS(H27),"RN &gt; PNB ",""),"")))</f>
        <v/>
      </c>
      <c r="R27" s="16">
        <f>IF(OR($A27="",H27="",$C27=""),"",IF(COUNTIFS($A$5:$A$315,$A27,$C$5:$C$315,$C27-1,$D$5:$D$315,$D27,H$5:H$315,"&lt;&gt;")=0,"",IF(OR(SUMIFS(H$5:H$315,$A$5:$A$315,$A27,$C$5:$C$315,$C27-1,$D$5:$D$315,$D27)=0,H27*SUMIFS(H$5:H$315,$A$5:$A$315,$A27,$C$5:$C$315,$C27-1,$D$5:$D$315,$D27)&lt;0),"n.s.",ABS(H27)/ABS(SUMIFS(H$5:H$315,$A$5:$A$315,$A27,$C$5:$C$315,$C27-1,$D$5:$D$315,$D27))-1)))</f>
        <v/>
      </c>
      <c r="S27" s="16">
        <f>IF(OR($A27="",I27="",$C27=""),"",IF(COUNTIFS($A$5:$A$315,$A27,$C$5:$C$315,$C27-1,$D$5:$D$315,$D27,I$5:I$315,"&lt;&gt;")=0,"",IF(OR(SUMIFS(I$5:I$315,$A$5:$A$315,$A27,$C$5:$C$315,$C27-1,$D$5:$D$315,$D27)=0,I27*SUMIFS(I$5:I$315,$A$5:$A$315,$A27,$C$5:$C$315,$C27-1,$D$5:$D$315,$D27)&lt;0),"n.s.",ABS(I27)/ABS(SUMIFS(I$5:I$315,$A$5:$A$315,$A27,$C$5:$C$315,$C27-1,$D$5:$D$315,$D27))-1)))</f>
        <v/>
      </c>
      <c r="T27" s="16">
        <f>IF(OR($A27="",J27="",$C27=""),"",IF(COUNTIFS($A$5:$A$315,$A27,$C$5:$C$315,$C27-1,$D$5:$D$315,$D27,J$5:J$315,"&lt;&gt;")=0,"",IF(OR(SUMIFS(J$5:J$315,$A$5:$A$315,$A27,$C$5:$C$315,$C27-1,$D$5:$D$315,$D27)=0,J27*SUMIFS(J$5:J$315,$A$5:$A$315,$A27,$C$5:$C$315,$C27-1,$D$5:$D$315,$D27)&lt;0),"n.s.",ABS(J27)/ABS(SUMIFS(J$5:J$315,$A$5:$A$315,$A27,$C$5:$C$315,$C27-1,$D$5:$D$315,$D27))-1)))</f>
        <v/>
      </c>
      <c r="U27" s="16">
        <f>IF(OR($A27="",K27="",$C27=""),"",IF(COUNTIFS($A$5:$A$315,$A27,$C$5:$C$315,$C27-1,$D$5:$D$315,$D27,K$5:K$315,"&lt;&gt;")=0,"",IF(OR(SUMIFS(K$5:K$315,$A$5:$A$315,$A27,$C$5:$C$315,$C27-1,$D$5:$D$315,$D27)=0,K27*SUMIFS(K$5:K$315,$A$5:$A$315,$A27,$C$5:$C$315,$C27-1,$D$5:$D$315,$D27)&lt;0),"n.s.",ABS(K27)/ABS(SUMIFS(K$5:K$315,$A$5:$A$315,$A27,$C$5:$C$315,$C27-1,$D$5:$D$315,$D27))-1)))</f>
        <v/>
      </c>
      <c r="V27" s="16">
        <f>IF(OR($A27="",L27="",$C27=""),"",IF(COUNTIFS($A$5:$A$315,$A27,$C$5:$C$315,$C27-1,$D$5:$D$315,$D27,L$5:L$315,"&lt;&gt;")=0,"",IF(OR(SUMIFS(L$5:L$315,$A$5:$A$315,$A27,$C$5:$C$315,$C27-1,$D$5:$D$315,$D27)=0,L27*SUMIFS(L$5:L$315,$A$5:$A$315,$A27,$C$5:$C$315,$C27-1,$D$5:$D$315,$D27)&lt;0),"n.s.",ABS(L27)/ABS(SUMIFS(L$5:L$315,$A$5:$A$315,$A27,$C$5:$C$315,$C27-1,$D$5:$D$315,$D27))-1)))</f>
        <v/>
      </c>
      <c r="W27" s="16">
        <f>IF(OR($A27="",M27="",$C27=""),"",IF(COUNTIFS($A$5:$A$315,$A27,$C$5:$C$315,$C27-1,$D$5:$D$315,$D27,M$5:M$315,"&lt;&gt;")=0,"",IF(OR(SUMIFS(M$5:M$315,$A$5:$A$315,$A27,$C$5:$C$315,$C27-1,$D$5:$D$315,$D27)=0,M27*SUMIFS(M$5:M$315,$A$5:$A$315,$A27,$C$5:$C$315,$C27-1,$D$5:$D$315,$D27)&lt;0),"n.s.",ABS(M27)/ABS(SUMIFS(M$5:M$315,$A$5:$A$315,$A27,$C$5:$C$315,$C27-1,$D$5:$D$315,$D27))-1)))</f>
        <v/>
      </c>
      <c r="X27" s="16">
        <f>IF(OR($A27="",N27="",$C27=""),"",IF(COUNTIFS($A$5:$A$315,$A27,$C$5:$C$315,$C27-1,$D$5:$D$315,$D27,N$5:N$315,"&lt;&gt;")=0,"",IF(OR(SUMIFS(N$5:N$315,$A$5:$A$315,$A27,$C$5:$C$315,$C27-1,$D$5:$D$315,$D27)=0,N27*SUMIFS(N$5:N$315,$A$5:$A$315,$A27,$C$5:$C$315,$C27-1,$D$5:$D$315,$D27)&lt;0),"n.s.",ABS(N27)/ABS(SUMIFS(N$5:N$315,$A$5:$A$315,$A27,$C$5:$C$315,$C27-1,$D$5:$D$315,$D27))-1)))</f>
        <v/>
      </c>
      <c r="Y27" s="16">
        <f>IF(OR($A27="",O27="",$C27=""),"",IF(COUNTIFS($A$5:$A$315,$A27,$C$5:$C$315,$C27-1,$D$5:$D$315,$D27,O$5:O$315,"&lt;&gt;")=0,"",IF(OR(SUMIFS(O$5:O$315,$A$5:$A$315,$A27,$C$5:$C$315,$C27-1,$D$5:$D$315,$D27)=0,O27*SUMIFS(O$5:O$315,$A$5:$A$315,$A27,$C$5:$C$315,$C27-1,$D$5:$D$315,$D27)&lt;0),"n.s.",ABS(O27)/ABS(SUMIFS(O$5:O$315,$A$5:$A$315,$A27,$C$5:$C$315,$C27-1,$D$5:$D$315,$D27))-1)))</f>
        <v/>
      </c>
    </row>
    <row r="28">
      <c r="A28" s="9" t="inlineStr">
        <is>
          <t>BICB</t>
        </is>
      </c>
      <c r="B28" s="10">
        <f>IF(A28="","",IFERROR(VLOOKUP(A28,Titres!$A$2:$B$400,2,FALSE),"Ticker inconnu"))</f>
        <v/>
      </c>
      <c r="C28" s="11" t="n">
        <v>2022</v>
      </c>
      <c r="D28" s="11" t="inlineStr">
        <is>
          <t>T3</t>
        </is>
      </c>
      <c r="E28" s="9" t="n"/>
      <c r="F28" s="12" t="n"/>
      <c r="G28" s="9" t="n"/>
      <c r="H28" s="13" t="n"/>
      <c r="I28" s="13" t="n"/>
      <c r="J28" s="13" t="n"/>
      <c r="K28" s="13" t="n"/>
      <c r="L28" s="13" t="n"/>
      <c r="M28" s="13" t="n"/>
      <c r="N28" s="13" t="n"/>
      <c r="O28" s="13" t="n"/>
      <c r="P28" s="14">
        <f>IF(A28="","",COUNT(H28:O28)/8)</f>
        <v/>
      </c>
      <c r="Q28" s="15">
        <f>IF(COUNT(H28:O28)=0,"",IF(LEN(IF(COUNT(H28,I28,J28)=3,IF(ABS(H28+I28-J28)&lt;=MAX(1,0.02*ABS(J28)),"","RBE &lt;&gt; PNB + frais "),"")&amp;IF(COUNT(J28,K28,L28)=3,IF(ABS(J28+K28-L28)&lt;=MAX(1,0.03*ABS(L28)),"","RAI &lt;&gt; RBE + coût du risque "),"")&amp;IF(COUNT(H28,M28)=2,IF(ABS(M28)&gt;ABS(H28),"RN &gt; PNB ",""),""))=0,"OK",IF(COUNT(H28,I28,J28)=3,IF(ABS(H28+I28-J28)&lt;=MAX(1,0.02*ABS(J28)),"","RBE &lt;&gt; PNB + frais "),"")&amp;IF(COUNT(J28,K28,L28)=3,IF(ABS(J28+K28-L28)&lt;=MAX(1,0.03*ABS(L28)),"","RAI &lt;&gt; RBE + coût du risque "),"")&amp;IF(COUNT(H28,M28)=2,IF(ABS(M28)&gt;ABS(H28),"RN &gt; PNB ",""),"")))</f>
        <v/>
      </c>
      <c r="R28" s="16">
        <f>IF(OR($A28="",H28="",$C28=""),"",IF(COUNTIFS($A$5:$A$315,$A28,$C$5:$C$315,$C28-1,$D$5:$D$315,$D28,H$5:H$315,"&lt;&gt;")=0,"",IF(OR(SUMIFS(H$5:H$315,$A$5:$A$315,$A28,$C$5:$C$315,$C28-1,$D$5:$D$315,$D28)=0,H28*SUMIFS(H$5:H$315,$A$5:$A$315,$A28,$C$5:$C$315,$C28-1,$D$5:$D$315,$D28)&lt;0),"n.s.",ABS(H28)/ABS(SUMIFS(H$5:H$315,$A$5:$A$315,$A28,$C$5:$C$315,$C28-1,$D$5:$D$315,$D28))-1)))</f>
        <v/>
      </c>
      <c r="S28" s="16">
        <f>IF(OR($A28="",I28="",$C28=""),"",IF(COUNTIFS($A$5:$A$315,$A28,$C$5:$C$315,$C28-1,$D$5:$D$315,$D28,I$5:I$315,"&lt;&gt;")=0,"",IF(OR(SUMIFS(I$5:I$315,$A$5:$A$315,$A28,$C$5:$C$315,$C28-1,$D$5:$D$315,$D28)=0,I28*SUMIFS(I$5:I$315,$A$5:$A$315,$A28,$C$5:$C$315,$C28-1,$D$5:$D$315,$D28)&lt;0),"n.s.",ABS(I28)/ABS(SUMIFS(I$5:I$315,$A$5:$A$315,$A28,$C$5:$C$315,$C28-1,$D$5:$D$315,$D28))-1)))</f>
        <v/>
      </c>
      <c r="T28" s="16">
        <f>IF(OR($A28="",J28="",$C28=""),"",IF(COUNTIFS($A$5:$A$315,$A28,$C$5:$C$315,$C28-1,$D$5:$D$315,$D28,J$5:J$315,"&lt;&gt;")=0,"",IF(OR(SUMIFS(J$5:J$315,$A$5:$A$315,$A28,$C$5:$C$315,$C28-1,$D$5:$D$315,$D28)=0,J28*SUMIFS(J$5:J$315,$A$5:$A$315,$A28,$C$5:$C$315,$C28-1,$D$5:$D$315,$D28)&lt;0),"n.s.",ABS(J28)/ABS(SUMIFS(J$5:J$315,$A$5:$A$315,$A28,$C$5:$C$315,$C28-1,$D$5:$D$315,$D28))-1)))</f>
        <v/>
      </c>
      <c r="U28" s="16">
        <f>IF(OR($A28="",K28="",$C28=""),"",IF(COUNTIFS($A$5:$A$315,$A28,$C$5:$C$315,$C28-1,$D$5:$D$315,$D28,K$5:K$315,"&lt;&gt;")=0,"",IF(OR(SUMIFS(K$5:K$315,$A$5:$A$315,$A28,$C$5:$C$315,$C28-1,$D$5:$D$315,$D28)=0,K28*SUMIFS(K$5:K$315,$A$5:$A$315,$A28,$C$5:$C$315,$C28-1,$D$5:$D$315,$D28)&lt;0),"n.s.",ABS(K28)/ABS(SUMIFS(K$5:K$315,$A$5:$A$315,$A28,$C$5:$C$315,$C28-1,$D$5:$D$315,$D28))-1)))</f>
        <v/>
      </c>
      <c r="V28" s="16">
        <f>IF(OR($A28="",L28="",$C28=""),"",IF(COUNTIFS($A$5:$A$315,$A28,$C$5:$C$315,$C28-1,$D$5:$D$315,$D28,L$5:L$315,"&lt;&gt;")=0,"",IF(OR(SUMIFS(L$5:L$315,$A$5:$A$315,$A28,$C$5:$C$315,$C28-1,$D$5:$D$315,$D28)=0,L28*SUMIFS(L$5:L$315,$A$5:$A$315,$A28,$C$5:$C$315,$C28-1,$D$5:$D$315,$D28)&lt;0),"n.s.",ABS(L28)/ABS(SUMIFS(L$5:L$315,$A$5:$A$315,$A28,$C$5:$C$315,$C28-1,$D$5:$D$315,$D28))-1)))</f>
        <v/>
      </c>
      <c r="W28" s="16">
        <f>IF(OR($A28="",M28="",$C28=""),"",IF(COUNTIFS($A$5:$A$315,$A28,$C$5:$C$315,$C28-1,$D$5:$D$315,$D28,M$5:M$315,"&lt;&gt;")=0,"",IF(OR(SUMIFS(M$5:M$315,$A$5:$A$315,$A28,$C$5:$C$315,$C28-1,$D$5:$D$315,$D28)=0,M28*SUMIFS(M$5:M$315,$A$5:$A$315,$A28,$C$5:$C$315,$C28-1,$D$5:$D$315,$D28)&lt;0),"n.s.",ABS(M28)/ABS(SUMIFS(M$5:M$315,$A$5:$A$315,$A28,$C$5:$C$315,$C28-1,$D$5:$D$315,$D28))-1)))</f>
        <v/>
      </c>
      <c r="X28" s="16">
        <f>IF(OR($A28="",N28="",$C28=""),"",IF(COUNTIFS($A$5:$A$315,$A28,$C$5:$C$315,$C28-1,$D$5:$D$315,$D28,N$5:N$315,"&lt;&gt;")=0,"",IF(OR(SUMIFS(N$5:N$315,$A$5:$A$315,$A28,$C$5:$C$315,$C28-1,$D$5:$D$315,$D28)=0,N28*SUMIFS(N$5:N$315,$A$5:$A$315,$A28,$C$5:$C$315,$C28-1,$D$5:$D$315,$D28)&lt;0),"n.s.",ABS(N28)/ABS(SUMIFS(N$5:N$315,$A$5:$A$315,$A28,$C$5:$C$315,$C28-1,$D$5:$D$315,$D28))-1)))</f>
        <v/>
      </c>
      <c r="Y28" s="16">
        <f>IF(OR($A28="",O28="",$C28=""),"",IF(COUNTIFS($A$5:$A$315,$A28,$C$5:$C$315,$C28-1,$D$5:$D$315,$D28,O$5:O$315,"&lt;&gt;")=0,"",IF(OR(SUMIFS(O$5:O$315,$A$5:$A$315,$A28,$C$5:$C$315,$C28-1,$D$5:$D$315,$D28)=0,O28*SUMIFS(O$5:O$315,$A$5:$A$315,$A28,$C$5:$C$315,$C28-1,$D$5:$D$315,$D28)&lt;0),"n.s.",ABS(O28)/ABS(SUMIFS(O$5:O$315,$A$5:$A$315,$A28,$C$5:$C$315,$C28-1,$D$5:$D$315,$D28))-1)))</f>
        <v/>
      </c>
    </row>
    <row r="29">
      <c r="A29" s="9" t="inlineStr">
        <is>
          <t>BICB</t>
        </is>
      </c>
      <c r="B29" s="10">
        <f>IF(A29="","",IFERROR(VLOOKUP(A29,Titres!$A$2:$B$400,2,FALSE),"Ticker inconnu"))</f>
        <v/>
      </c>
      <c r="C29" s="11" t="n">
        <v>2023</v>
      </c>
      <c r="D29" s="11" t="inlineStr">
        <is>
          <t>T1</t>
        </is>
      </c>
      <c r="E29" s="9" t="n"/>
      <c r="F29" s="12" t="n"/>
      <c r="G29" s="9" t="n"/>
      <c r="H29" s="13" t="n"/>
      <c r="I29" s="13" t="n"/>
      <c r="J29" s="13" t="n"/>
      <c r="K29" s="13" t="n"/>
      <c r="L29" s="13" t="n"/>
      <c r="M29" s="13" t="n"/>
      <c r="N29" s="13" t="n"/>
      <c r="O29" s="13" t="n"/>
      <c r="P29" s="14">
        <f>IF(A29="","",COUNT(H29:O29)/8)</f>
        <v/>
      </c>
      <c r="Q29" s="15">
        <f>IF(COUNT(H29:O29)=0,"",IF(LEN(IF(COUNT(H29,I29,J29)=3,IF(ABS(H29+I29-J29)&lt;=MAX(1,0.02*ABS(J29)),"","RBE &lt;&gt; PNB + frais "),"")&amp;IF(COUNT(J29,K29,L29)=3,IF(ABS(J29+K29-L29)&lt;=MAX(1,0.03*ABS(L29)),"","RAI &lt;&gt; RBE + coût du risque "),"")&amp;IF(COUNT(H29,M29)=2,IF(ABS(M29)&gt;ABS(H29),"RN &gt; PNB ",""),""))=0,"OK",IF(COUNT(H29,I29,J29)=3,IF(ABS(H29+I29-J29)&lt;=MAX(1,0.02*ABS(J29)),"","RBE &lt;&gt; PNB + frais "),"")&amp;IF(COUNT(J29,K29,L29)=3,IF(ABS(J29+K29-L29)&lt;=MAX(1,0.03*ABS(L29)),"","RAI &lt;&gt; RBE + coût du risque "),"")&amp;IF(COUNT(H29,M29)=2,IF(ABS(M29)&gt;ABS(H29),"RN &gt; PNB ",""),"")))</f>
        <v/>
      </c>
      <c r="R29" s="16">
        <f>IF(OR($A29="",H29="",$C29=""),"",IF(COUNTIFS($A$5:$A$315,$A29,$C$5:$C$315,$C29-1,$D$5:$D$315,$D29,H$5:H$315,"&lt;&gt;")=0,"",IF(OR(SUMIFS(H$5:H$315,$A$5:$A$315,$A29,$C$5:$C$315,$C29-1,$D$5:$D$315,$D29)=0,H29*SUMIFS(H$5:H$315,$A$5:$A$315,$A29,$C$5:$C$315,$C29-1,$D$5:$D$315,$D29)&lt;0),"n.s.",ABS(H29)/ABS(SUMIFS(H$5:H$315,$A$5:$A$315,$A29,$C$5:$C$315,$C29-1,$D$5:$D$315,$D29))-1)))</f>
        <v/>
      </c>
      <c r="S29" s="16">
        <f>IF(OR($A29="",I29="",$C29=""),"",IF(COUNTIFS($A$5:$A$315,$A29,$C$5:$C$315,$C29-1,$D$5:$D$315,$D29,I$5:I$315,"&lt;&gt;")=0,"",IF(OR(SUMIFS(I$5:I$315,$A$5:$A$315,$A29,$C$5:$C$315,$C29-1,$D$5:$D$315,$D29)=0,I29*SUMIFS(I$5:I$315,$A$5:$A$315,$A29,$C$5:$C$315,$C29-1,$D$5:$D$315,$D29)&lt;0),"n.s.",ABS(I29)/ABS(SUMIFS(I$5:I$315,$A$5:$A$315,$A29,$C$5:$C$315,$C29-1,$D$5:$D$315,$D29))-1)))</f>
        <v/>
      </c>
      <c r="T29" s="16">
        <f>IF(OR($A29="",J29="",$C29=""),"",IF(COUNTIFS($A$5:$A$315,$A29,$C$5:$C$315,$C29-1,$D$5:$D$315,$D29,J$5:J$315,"&lt;&gt;")=0,"",IF(OR(SUMIFS(J$5:J$315,$A$5:$A$315,$A29,$C$5:$C$315,$C29-1,$D$5:$D$315,$D29)=0,J29*SUMIFS(J$5:J$315,$A$5:$A$315,$A29,$C$5:$C$315,$C29-1,$D$5:$D$315,$D29)&lt;0),"n.s.",ABS(J29)/ABS(SUMIFS(J$5:J$315,$A$5:$A$315,$A29,$C$5:$C$315,$C29-1,$D$5:$D$315,$D29))-1)))</f>
        <v/>
      </c>
      <c r="U29" s="16">
        <f>IF(OR($A29="",K29="",$C29=""),"",IF(COUNTIFS($A$5:$A$315,$A29,$C$5:$C$315,$C29-1,$D$5:$D$315,$D29,K$5:K$315,"&lt;&gt;")=0,"",IF(OR(SUMIFS(K$5:K$315,$A$5:$A$315,$A29,$C$5:$C$315,$C29-1,$D$5:$D$315,$D29)=0,K29*SUMIFS(K$5:K$315,$A$5:$A$315,$A29,$C$5:$C$315,$C29-1,$D$5:$D$315,$D29)&lt;0),"n.s.",ABS(K29)/ABS(SUMIFS(K$5:K$315,$A$5:$A$315,$A29,$C$5:$C$315,$C29-1,$D$5:$D$315,$D29))-1)))</f>
        <v/>
      </c>
      <c r="V29" s="16">
        <f>IF(OR($A29="",L29="",$C29=""),"",IF(COUNTIFS($A$5:$A$315,$A29,$C$5:$C$315,$C29-1,$D$5:$D$315,$D29,L$5:L$315,"&lt;&gt;")=0,"",IF(OR(SUMIFS(L$5:L$315,$A$5:$A$315,$A29,$C$5:$C$315,$C29-1,$D$5:$D$315,$D29)=0,L29*SUMIFS(L$5:L$315,$A$5:$A$315,$A29,$C$5:$C$315,$C29-1,$D$5:$D$315,$D29)&lt;0),"n.s.",ABS(L29)/ABS(SUMIFS(L$5:L$315,$A$5:$A$315,$A29,$C$5:$C$315,$C29-1,$D$5:$D$315,$D29))-1)))</f>
        <v/>
      </c>
      <c r="W29" s="16">
        <f>IF(OR($A29="",M29="",$C29=""),"",IF(COUNTIFS($A$5:$A$315,$A29,$C$5:$C$315,$C29-1,$D$5:$D$315,$D29,M$5:M$315,"&lt;&gt;")=0,"",IF(OR(SUMIFS(M$5:M$315,$A$5:$A$315,$A29,$C$5:$C$315,$C29-1,$D$5:$D$315,$D29)=0,M29*SUMIFS(M$5:M$315,$A$5:$A$315,$A29,$C$5:$C$315,$C29-1,$D$5:$D$315,$D29)&lt;0),"n.s.",ABS(M29)/ABS(SUMIFS(M$5:M$315,$A$5:$A$315,$A29,$C$5:$C$315,$C29-1,$D$5:$D$315,$D29))-1)))</f>
        <v/>
      </c>
      <c r="X29" s="16">
        <f>IF(OR($A29="",N29="",$C29=""),"",IF(COUNTIFS($A$5:$A$315,$A29,$C$5:$C$315,$C29-1,$D$5:$D$315,$D29,N$5:N$315,"&lt;&gt;")=0,"",IF(OR(SUMIFS(N$5:N$315,$A$5:$A$315,$A29,$C$5:$C$315,$C29-1,$D$5:$D$315,$D29)=0,N29*SUMIFS(N$5:N$315,$A$5:$A$315,$A29,$C$5:$C$315,$C29-1,$D$5:$D$315,$D29)&lt;0),"n.s.",ABS(N29)/ABS(SUMIFS(N$5:N$315,$A$5:$A$315,$A29,$C$5:$C$315,$C29-1,$D$5:$D$315,$D29))-1)))</f>
        <v/>
      </c>
      <c r="Y29" s="16">
        <f>IF(OR($A29="",O29="",$C29=""),"",IF(COUNTIFS($A$5:$A$315,$A29,$C$5:$C$315,$C29-1,$D$5:$D$315,$D29,O$5:O$315,"&lt;&gt;")=0,"",IF(OR(SUMIFS(O$5:O$315,$A$5:$A$315,$A29,$C$5:$C$315,$C29-1,$D$5:$D$315,$D29)=0,O29*SUMIFS(O$5:O$315,$A$5:$A$315,$A29,$C$5:$C$315,$C29-1,$D$5:$D$315,$D29)&lt;0),"n.s.",ABS(O29)/ABS(SUMIFS(O$5:O$315,$A$5:$A$315,$A29,$C$5:$C$315,$C29-1,$D$5:$D$315,$D29))-1)))</f>
        <v/>
      </c>
    </row>
    <row r="30">
      <c r="A30" s="9" t="inlineStr">
        <is>
          <t>BICB</t>
        </is>
      </c>
      <c r="B30" s="10">
        <f>IF(A30="","",IFERROR(VLOOKUP(A30,Titres!$A$2:$B$400,2,FALSE),"Ticker inconnu"))</f>
        <v/>
      </c>
      <c r="C30" s="11" t="n">
        <v>2023</v>
      </c>
      <c r="D30" s="11" t="inlineStr">
        <is>
          <t>S1</t>
        </is>
      </c>
      <c r="E30" s="9" t="n"/>
      <c r="F30" s="12" t="n"/>
      <c r="G30" s="9" t="n"/>
      <c r="H30" s="13" t="n"/>
      <c r="I30" s="13" t="n"/>
      <c r="J30" s="13" t="n"/>
      <c r="K30" s="13" t="n"/>
      <c r="L30" s="13" t="n"/>
      <c r="M30" s="13" t="n"/>
      <c r="N30" s="13" t="n"/>
      <c r="O30" s="13" t="n"/>
      <c r="P30" s="14">
        <f>IF(A30="","",COUNT(H30:O30)/8)</f>
        <v/>
      </c>
      <c r="Q30" s="15">
        <f>IF(COUNT(H30:O30)=0,"",IF(LEN(IF(COUNT(H30,I30,J30)=3,IF(ABS(H30+I30-J30)&lt;=MAX(1,0.02*ABS(J30)),"","RBE &lt;&gt; PNB + frais "),"")&amp;IF(COUNT(J30,K30,L30)=3,IF(ABS(J30+K30-L30)&lt;=MAX(1,0.03*ABS(L30)),"","RAI &lt;&gt; RBE + coût du risque "),"")&amp;IF(COUNT(H30,M30)=2,IF(ABS(M30)&gt;ABS(H30),"RN &gt; PNB ",""),""))=0,"OK",IF(COUNT(H30,I30,J30)=3,IF(ABS(H30+I30-J30)&lt;=MAX(1,0.02*ABS(J30)),"","RBE &lt;&gt; PNB + frais "),"")&amp;IF(COUNT(J30,K30,L30)=3,IF(ABS(J30+K30-L30)&lt;=MAX(1,0.03*ABS(L30)),"","RAI &lt;&gt; RBE + coût du risque "),"")&amp;IF(COUNT(H30,M30)=2,IF(ABS(M30)&gt;ABS(H30),"RN &gt; PNB ",""),"")))</f>
        <v/>
      </c>
      <c r="R30" s="16">
        <f>IF(OR($A30="",H30="",$C30=""),"",IF(COUNTIFS($A$5:$A$315,$A30,$C$5:$C$315,$C30-1,$D$5:$D$315,$D30,H$5:H$315,"&lt;&gt;")=0,"",IF(OR(SUMIFS(H$5:H$315,$A$5:$A$315,$A30,$C$5:$C$315,$C30-1,$D$5:$D$315,$D30)=0,H30*SUMIFS(H$5:H$315,$A$5:$A$315,$A30,$C$5:$C$315,$C30-1,$D$5:$D$315,$D30)&lt;0),"n.s.",ABS(H30)/ABS(SUMIFS(H$5:H$315,$A$5:$A$315,$A30,$C$5:$C$315,$C30-1,$D$5:$D$315,$D30))-1)))</f>
        <v/>
      </c>
      <c r="S30" s="16">
        <f>IF(OR($A30="",I30="",$C30=""),"",IF(COUNTIFS($A$5:$A$315,$A30,$C$5:$C$315,$C30-1,$D$5:$D$315,$D30,I$5:I$315,"&lt;&gt;")=0,"",IF(OR(SUMIFS(I$5:I$315,$A$5:$A$315,$A30,$C$5:$C$315,$C30-1,$D$5:$D$315,$D30)=0,I30*SUMIFS(I$5:I$315,$A$5:$A$315,$A30,$C$5:$C$315,$C30-1,$D$5:$D$315,$D30)&lt;0),"n.s.",ABS(I30)/ABS(SUMIFS(I$5:I$315,$A$5:$A$315,$A30,$C$5:$C$315,$C30-1,$D$5:$D$315,$D30))-1)))</f>
        <v/>
      </c>
      <c r="T30" s="16">
        <f>IF(OR($A30="",J30="",$C30=""),"",IF(COUNTIFS($A$5:$A$315,$A30,$C$5:$C$315,$C30-1,$D$5:$D$315,$D30,J$5:J$315,"&lt;&gt;")=0,"",IF(OR(SUMIFS(J$5:J$315,$A$5:$A$315,$A30,$C$5:$C$315,$C30-1,$D$5:$D$315,$D30)=0,J30*SUMIFS(J$5:J$315,$A$5:$A$315,$A30,$C$5:$C$315,$C30-1,$D$5:$D$315,$D30)&lt;0),"n.s.",ABS(J30)/ABS(SUMIFS(J$5:J$315,$A$5:$A$315,$A30,$C$5:$C$315,$C30-1,$D$5:$D$315,$D30))-1)))</f>
        <v/>
      </c>
      <c r="U30" s="16">
        <f>IF(OR($A30="",K30="",$C30=""),"",IF(COUNTIFS($A$5:$A$315,$A30,$C$5:$C$315,$C30-1,$D$5:$D$315,$D30,K$5:K$315,"&lt;&gt;")=0,"",IF(OR(SUMIFS(K$5:K$315,$A$5:$A$315,$A30,$C$5:$C$315,$C30-1,$D$5:$D$315,$D30)=0,K30*SUMIFS(K$5:K$315,$A$5:$A$315,$A30,$C$5:$C$315,$C30-1,$D$5:$D$315,$D30)&lt;0),"n.s.",ABS(K30)/ABS(SUMIFS(K$5:K$315,$A$5:$A$315,$A30,$C$5:$C$315,$C30-1,$D$5:$D$315,$D30))-1)))</f>
        <v/>
      </c>
      <c r="V30" s="16">
        <f>IF(OR($A30="",L30="",$C30=""),"",IF(COUNTIFS($A$5:$A$315,$A30,$C$5:$C$315,$C30-1,$D$5:$D$315,$D30,L$5:L$315,"&lt;&gt;")=0,"",IF(OR(SUMIFS(L$5:L$315,$A$5:$A$315,$A30,$C$5:$C$315,$C30-1,$D$5:$D$315,$D30)=0,L30*SUMIFS(L$5:L$315,$A$5:$A$315,$A30,$C$5:$C$315,$C30-1,$D$5:$D$315,$D30)&lt;0),"n.s.",ABS(L30)/ABS(SUMIFS(L$5:L$315,$A$5:$A$315,$A30,$C$5:$C$315,$C30-1,$D$5:$D$315,$D30))-1)))</f>
        <v/>
      </c>
      <c r="W30" s="16">
        <f>IF(OR($A30="",M30="",$C30=""),"",IF(COUNTIFS($A$5:$A$315,$A30,$C$5:$C$315,$C30-1,$D$5:$D$315,$D30,M$5:M$315,"&lt;&gt;")=0,"",IF(OR(SUMIFS(M$5:M$315,$A$5:$A$315,$A30,$C$5:$C$315,$C30-1,$D$5:$D$315,$D30)=0,M30*SUMIFS(M$5:M$315,$A$5:$A$315,$A30,$C$5:$C$315,$C30-1,$D$5:$D$315,$D30)&lt;0),"n.s.",ABS(M30)/ABS(SUMIFS(M$5:M$315,$A$5:$A$315,$A30,$C$5:$C$315,$C30-1,$D$5:$D$315,$D30))-1)))</f>
        <v/>
      </c>
      <c r="X30" s="16">
        <f>IF(OR($A30="",N30="",$C30=""),"",IF(COUNTIFS($A$5:$A$315,$A30,$C$5:$C$315,$C30-1,$D$5:$D$315,$D30,N$5:N$315,"&lt;&gt;")=0,"",IF(OR(SUMIFS(N$5:N$315,$A$5:$A$315,$A30,$C$5:$C$315,$C30-1,$D$5:$D$315,$D30)=0,N30*SUMIFS(N$5:N$315,$A$5:$A$315,$A30,$C$5:$C$315,$C30-1,$D$5:$D$315,$D30)&lt;0),"n.s.",ABS(N30)/ABS(SUMIFS(N$5:N$315,$A$5:$A$315,$A30,$C$5:$C$315,$C30-1,$D$5:$D$315,$D30))-1)))</f>
        <v/>
      </c>
      <c r="Y30" s="16">
        <f>IF(OR($A30="",O30="",$C30=""),"",IF(COUNTIFS($A$5:$A$315,$A30,$C$5:$C$315,$C30-1,$D$5:$D$315,$D30,O$5:O$315,"&lt;&gt;")=0,"",IF(OR(SUMIFS(O$5:O$315,$A$5:$A$315,$A30,$C$5:$C$315,$C30-1,$D$5:$D$315,$D30)=0,O30*SUMIFS(O$5:O$315,$A$5:$A$315,$A30,$C$5:$C$315,$C30-1,$D$5:$D$315,$D30)&lt;0),"n.s.",ABS(O30)/ABS(SUMIFS(O$5:O$315,$A$5:$A$315,$A30,$C$5:$C$315,$C30-1,$D$5:$D$315,$D30))-1)))</f>
        <v/>
      </c>
    </row>
    <row r="31">
      <c r="A31" s="9" t="inlineStr">
        <is>
          <t>BICB</t>
        </is>
      </c>
      <c r="B31" s="10">
        <f>IF(A31="","",IFERROR(VLOOKUP(A31,Titres!$A$2:$B$400,2,FALSE),"Ticker inconnu"))</f>
        <v/>
      </c>
      <c r="C31" s="11" t="n">
        <v>2023</v>
      </c>
      <c r="D31" s="11" t="inlineStr">
        <is>
          <t>T3</t>
        </is>
      </c>
      <c r="E31" s="9" t="n"/>
      <c r="F31" s="12" t="n"/>
      <c r="G31" s="9" t="n"/>
      <c r="H31" s="13" t="n"/>
      <c r="I31" s="13" t="n"/>
      <c r="J31" s="13" t="n"/>
      <c r="K31" s="13" t="n"/>
      <c r="L31" s="13" t="n"/>
      <c r="M31" s="13" t="n"/>
      <c r="N31" s="13" t="n"/>
      <c r="O31" s="13" t="n"/>
      <c r="P31" s="14">
        <f>IF(A31="","",COUNT(H31:O31)/8)</f>
        <v/>
      </c>
      <c r="Q31" s="15">
        <f>IF(COUNT(H31:O31)=0,"",IF(LEN(IF(COUNT(H31,I31,J31)=3,IF(ABS(H31+I31-J31)&lt;=MAX(1,0.02*ABS(J31)),"","RBE &lt;&gt; PNB + frais "),"")&amp;IF(COUNT(J31,K31,L31)=3,IF(ABS(J31+K31-L31)&lt;=MAX(1,0.03*ABS(L31)),"","RAI &lt;&gt; RBE + coût du risque "),"")&amp;IF(COUNT(H31,M31)=2,IF(ABS(M31)&gt;ABS(H31),"RN &gt; PNB ",""),""))=0,"OK",IF(COUNT(H31,I31,J31)=3,IF(ABS(H31+I31-J31)&lt;=MAX(1,0.02*ABS(J31)),"","RBE &lt;&gt; PNB + frais "),"")&amp;IF(COUNT(J31,K31,L31)=3,IF(ABS(J31+K31-L31)&lt;=MAX(1,0.03*ABS(L31)),"","RAI &lt;&gt; RBE + coût du risque "),"")&amp;IF(COUNT(H31,M31)=2,IF(ABS(M31)&gt;ABS(H31),"RN &gt; PNB ",""),"")))</f>
        <v/>
      </c>
      <c r="R31" s="16">
        <f>IF(OR($A31="",H31="",$C31=""),"",IF(COUNTIFS($A$5:$A$315,$A31,$C$5:$C$315,$C31-1,$D$5:$D$315,$D31,H$5:H$315,"&lt;&gt;")=0,"",IF(OR(SUMIFS(H$5:H$315,$A$5:$A$315,$A31,$C$5:$C$315,$C31-1,$D$5:$D$315,$D31)=0,H31*SUMIFS(H$5:H$315,$A$5:$A$315,$A31,$C$5:$C$315,$C31-1,$D$5:$D$315,$D31)&lt;0),"n.s.",ABS(H31)/ABS(SUMIFS(H$5:H$315,$A$5:$A$315,$A31,$C$5:$C$315,$C31-1,$D$5:$D$315,$D31))-1)))</f>
        <v/>
      </c>
      <c r="S31" s="16">
        <f>IF(OR($A31="",I31="",$C31=""),"",IF(COUNTIFS($A$5:$A$315,$A31,$C$5:$C$315,$C31-1,$D$5:$D$315,$D31,I$5:I$315,"&lt;&gt;")=0,"",IF(OR(SUMIFS(I$5:I$315,$A$5:$A$315,$A31,$C$5:$C$315,$C31-1,$D$5:$D$315,$D31)=0,I31*SUMIFS(I$5:I$315,$A$5:$A$315,$A31,$C$5:$C$315,$C31-1,$D$5:$D$315,$D31)&lt;0),"n.s.",ABS(I31)/ABS(SUMIFS(I$5:I$315,$A$5:$A$315,$A31,$C$5:$C$315,$C31-1,$D$5:$D$315,$D31))-1)))</f>
        <v/>
      </c>
      <c r="T31" s="16">
        <f>IF(OR($A31="",J31="",$C31=""),"",IF(COUNTIFS($A$5:$A$315,$A31,$C$5:$C$315,$C31-1,$D$5:$D$315,$D31,J$5:J$315,"&lt;&gt;")=0,"",IF(OR(SUMIFS(J$5:J$315,$A$5:$A$315,$A31,$C$5:$C$315,$C31-1,$D$5:$D$315,$D31)=0,J31*SUMIFS(J$5:J$315,$A$5:$A$315,$A31,$C$5:$C$315,$C31-1,$D$5:$D$315,$D31)&lt;0),"n.s.",ABS(J31)/ABS(SUMIFS(J$5:J$315,$A$5:$A$315,$A31,$C$5:$C$315,$C31-1,$D$5:$D$315,$D31))-1)))</f>
        <v/>
      </c>
      <c r="U31" s="16">
        <f>IF(OR($A31="",K31="",$C31=""),"",IF(COUNTIFS($A$5:$A$315,$A31,$C$5:$C$315,$C31-1,$D$5:$D$315,$D31,K$5:K$315,"&lt;&gt;")=0,"",IF(OR(SUMIFS(K$5:K$315,$A$5:$A$315,$A31,$C$5:$C$315,$C31-1,$D$5:$D$315,$D31)=0,K31*SUMIFS(K$5:K$315,$A$5:$A$315,$A31,$C$5:$C$315,$C31-1,$D$5:$D$315,$D31)&lt;0),"n.s.",ABS(K31)/ABS(SUMIFS(K$5:K$315,$A$5:$A$315,$A31,$C$5:$C$315,$C31-1,$D$5:$D$315,$D31))-1)))</f>
        <v/>
      </c>
      <c r="V31" s="16">
        <f>IF(OR($A31="",L31="",$C31=""),"",IF(COUNTIFS($A$5:$A$315,$A31,$C$5:$C$315,$C31-1,$D$5:$D$315,$D31,L$5:L$315,"&lt;&gt;")=0,"",IF(OR(SUMIFS(L$5:L$315,$A$5:$A$315,$A31,$C$5:$C$315,$C31-1,$D$5:$D$315,$D31)=0,L31*SUMIFS(L$5:L$315,$A$5:$A$315,$A31,$C$5:$C$315,$C31-1,$D$5:$D$315,$D31)&lt;0),"n.s.",ABS(L31)/ABS(SUMIFS(L$5:L$315,$A$5:$A$315,$A31,$C$5:$C$315,$C31-1,$D$5:$D$315,$D31))-1)))</f>
        <v/>
      </c>
      <c r="W31" s="16">
        <f>IF(OR($A31="",M31="",$C31=""),"",IF(COUNTIFS($A$5:$A$315,$A31,$C$5:$C$315,$C31-1,$D$5:$D$315,$D31,M$5:M$315,"&lt;&gt;")=0,"",IF(OR(SUMIFS(M$5:M$315,$A$5:$A$315,$A31,$C$5:$C$315,$C31-1,$D$5:$D$315,$D31)=0,M31*SUMIFS(M$5:M$315,$A$5:$A$315,$A31,$C$5:$C$315,$C31-1,$D$5:$D$315,$D31)&lt;0),"n.s.",ABS(M31)/ABS(SUMIFS(M$5:M$315,$A$5:$A$315,$A31,$C$5:$C$315,$C31-1,$D$5:$D$315,$D31))-1)))</f>
        <v/>
      </c>
      <c r="X31" s="16">
        <f>IF(OR($A31="",N31="",$C31=""),"",IF(COUNTIFS($A$5:$A$315,$A31,$C$5:$C$315,$C31-1,$D$5:$D$315,$D31,N$5:N$315,"&lt;&gt;")=0,"",IF(OR(SUMIFS(N$5:N$315,$A$5:$A$315,$A31,$C$5:$C$315,$C31-1,$D$5:$D$315,$D31)=0,N31*SUMIFS(N$5:N$315,$A$5:$A$315,$A31,$C$5:$C$315,$C31-1,$D$5:$D$315,$D31)&lt;0),"n.s.",ABS(N31)/ABS(SUMIFS(N$5:N$315,$A$5:$A$315,$A31,$C$5:$C$315,$C31-1,$D$5:$D$315,$D31))-1)))</f>
        <v/>
      </c>
      <c r="Y31" s="16">
        <f>IF(OR($A31="",O31="",$C31=""),"",IF(COUNTIFS($A$5:$A$315,$A31,$C$5:$C$315,$C31-1,$D$5:$D$315,$D31,O$5:O$315,"&lt;&gt;")=0,"",IF(OR(SUMIFS(O$5:O$315,$A$5:$A$315,$A31,$C$5:$C$315,$C31-1,$D$5:$D$315,$D31)=0,O31*SUMIFS(O$5:O$315,$A$5:$A$315,$A31,$C$5:$C$315,$C31-1,$D$5:$D$315,$D31)&lt;0),"n.s.",ABS(O31)/ABS(SUMIFS(O$5:O$315,$A$5:$A$315,$A31,$C$5:$C$315,$C31-1,$D$5:$D$315,$D31))-1)))</f>
        <v/>
      </c>
    </row>
    <row r="32">
      <c r="A32" s="9" t="inlineStr">
        <is>
          <t>BICB</t>
        </is>
      </c>
      <c r="B32" s="10">
        <f>IF(A32="","",IFERROR(VLOOKUP(A32,Titres!$A$2:$B$400,2,FALSE),"Ticker inconnu"))</f>
        <v/>
      </c>
      <c r="C32" s="11" t="n">
        <v>2024</v>
      </c>
      <c r="D32" s="11" t="inlineStr">
        <is>
          <t>T1</t>
        </is>
      </c>
      <c r="E32" s="9" t="n"/>
      <c r="F32" s="12" t="n"/>
      <c r="G32" s="9" t="n"/>
      <c r="H32" s="13" t="n"/>
      <c r="I32" s="13" t="n"/>
      <c r="J32" s="13" t="n"/>
      <c r="K32" s="13" t="n"/>
      <c r="L32" s="13" t="n"/>
      <c r="M32" s="13" t="n"/>
      <c r="N32" s="13" t="n"/>
      <c r="O32" s="13" t="n"/>
      <c r="P32" s="14">
        <f>IF(A32="","",COUNT(H32:O32)/8)</f>
        <v/>
      </c>
      <c r="Q32" s="15">
        <f>IF(COUNT(H32:O32)=0,"",IF(LEN(IF(COUNT(H32,I32,J32)=3,IF(ABS(H32+I32-J32)&lt;=MAX(1,0.02*ABS(J32)),"","RBE &lt;&gt; PNB + frais "),"")&amp;IF(COUNT(J32,K32,L32)=3,IF(ABS(J32+K32-L32)&lt;=MAX(1,0.03*ABS(L32)),"","RAI &lt;&gt; RBE + coût du risque "),"")&amp;IF(COUNT(H32,M32)=2,IF(ABS(M32)&gt;ABS(H32),"RN &gt; PNB ",""),""))=0,"OK",IF(COUNT(H32,I32,J32)=3,IF(ABS(H32+I32-J32)&lt;=MAX(1,0.02*ABS(J32)),"","RBE &lt;&gt; PNB + frais "),"")&amp;IF(COUNT(J32,K32,L32)=3,IF(ABS(J32+K32-L32)&lt;=MAX(1,0.03*ABS(L32)),"","RAI &lt;&gt; RBE + coût du risque "),"")&amp;IF(COUNT(H32,M32)=2,IF(ABS(M32)&gt;ABS(H32),"RN &gt; PNB ",""),"")))</f>
        <v/>
      </c>
      <c r="R32" s="16">
        <f>IF(OR($A32="",H32="",$C32=""),"",IF(COUNTIFS($A$5:$A$315,$A32,$C$5:$C$315,$C32-1,$D$5:$D$315,$D32,H$5:H$315,"&lt;&gt;")=0,"",IF(OR(SUMIFS(H$5:H$315,$A$5:$A$315,$A32,$C$5:$C$315,$C32-1,$D$5:$D$315,$D32)=0,H32*SUMIFS(H$5:H$315,$A$5:$A$315,$A32,$C$5:$C$315,$C32-1,$D$5:$D$315,$D32)&lt;0),"n.s.",ABS(H32)/ABS(SUMIFS(H$5:H$315,$A$5:$A$315,$A32,$C$5:$C$315,$C32-1,$D$5:$D$315,$D32))-1)))</f>
        <v/>
      </c>
      <c r="S32" s="16">
        <f>IF(OR($A32="",I32="",$C32=""),"",IF(COUNTIFS($A$5:$A$315,$A32,$C$5:$C$315,$C32-1,$D$5:$D$315,$D32,I$5:I$315,"&lt;&gt;")=0,"",IF(OR(SUMIFS(I$5:I$315,$A$5:$A$315,$A32,$C$5:$C$315,$C32-1,$D$5:$D$315,$D32)=0,I32*SUMIFS(I$5:I$315,$A$5:$A$315,$A32,$C$5:$C$315,$C32-1,$D$5:$D$315,$D32)&lt;0),"n.s.",ABS(I32)/ABS(SUMIFS(I$5:I$315,$A$5:$A$315,$A32,$C$5:$C$315,$C32-1,$D$5:$D$315,$D32))-1)))</f>
        <v/>
      </c>
      <c r="T32" s="16">
        <f>IF(OR($A32="",J32="",$C32=""),"",IF(COUNTIFS($A$5:$A$315,$A32,$C$5:$C$315,$C32-1,$D$5:$D$315,$D32,J$5:J$315,"&lt;&gt;")=0,"",IF(OR(SUMIFS(J$5:J$315,$A$5:$A$315,$A32,$C$5:$C$315,$C32-1,$D$5:$D$315,$D32)=0,J32*SUMIFS(J$5:J$315,$A$5:$A$315,$A32,$C$5:$C$315,$C32-1,$D$5:$D$315,$D32)&lt;0),"n.s.",ABS(J32)/ABS(SUMIFS(J$5:J$315,$A$5:$A$315,$A32,$C$5:$C$315,$C32-1,$D$5:$D$315,$D32))-1)))</f>
        <v/>
      </c>
      <c r="U32" s="16">
        <f>IF(OR($A32="",K32="",$C32=""),"",IF(COUNTIFS($A$5:$A$315,$A32,$C$5:$C$315,$C32-1,$D$5:$D$315,$D32,K$5:K$315,"&lt;&gt;")=0,"",IF(OR(SUMIFS(K$5:K$315,$A$5:$A$315,$A32,$C$5:$C$315,$C32-1,$D$5:$D$315,$D32)=0,K32*SUMIFS(K$5:K$315,$A$5:$A$315,$A32,$C$5:$C$315,$C32-1,$D$5:$D$315,$D32)&lt;0),"n.s.",ABS(K32)/ABS(SUMIFS(K$5:K$315,$A$5:$A$315,$A32,$C$5:$C$315,$C32-1,$D$5:$D$315,$D32))-1)))</f>
        <v/>
      </c>
      <c r="V32" s="16">
        <f>IF(OR($A32="",L32="",$C32=""),"",IF(COUNTIFS($A$5:$A$315,$A32,$C$5:$C$315,$C32-1,$D$5:$D$315,$D32,L$5:L$315,"&lt;&gt;")=0,"",IF(OR(SUMIFS(L$5:L$315,$A$5:$A$315,$A32,$C$5:$C$315,$C32-1,$D$5:$D$315,$D32)=0,L32*SUMIFS(L$5:L$315,$A$5:$A$315,$A32,$C$5:$C$315,$C32-1,$D$5:$D$315,$D32)&lt;0),"n.s.",ABS(L32)/ABS(SUMIFS(L$5:L$315,$A$5:$A$315,$A32,$C$5:$C$315,$C32-1,$D$5:$D$315,$D32))-1)))</f>
        <v/>
      </c>
      <c r="W32" s="16">
        <f>IF(OR($A32="",M32="",$C32=""),"",IF(COUNTIFS($A$5:$A$315,$A32,$C$5:$C$315,$C32-1,$D$5:$D$315,$D32,M$5:M$315,"&lt;&gt;")=0,"",IF(OR(SUMIFS(M$5:M$315,$A$5:$A$315,$A32,$C$5:$C$315,$C32-1,$D$5:$D$315,$D32)=0,M32*SUMIFS(M$5:M$315,$A$5:$A$315,$A32,$C$5:$C$315,$C32-1,$D$5:$D$315,$D32)&lt;0),"n.s.",ABS(M32)/ABS(SUMIFS(M$5:M$315,$A$5:$A$315,$A32,$C$5:$C$315,$C32-1,$D$5:$D$315,$D32))-1)))</f>
        <v/>
      </c>
      <c r="X32" s="16">
        <f>IF(OR($A32="",N32="",$C32=""),"",IF(COUNTIFS($A$5:$A$315,$A32,$C$5:$C$315,$C32-1,$D$5:$D$315,$D32,N$5:N$315,"&lt;&gt;")=0,"",IF(OR(SUMIFS(N$5:N$315,$A$5:$A$315,$A32,$C$5:$C$315,$C32-1,$D$5:$D$315,$D32)=0,N32*SUMIFS(N$5:N$315,$A$5:$A$315,$A32,$C$5:$C$315,$C32-1,$D$5:$D$315,$D32)&lt;0),"n.s.",ABS(N32)/ABS(SUMIFS(N$5:N$315,$A$5:$A$315,$A32,$C$5:$C$315,$C32-1,$D$5:$D$315,$D32))-1)))</f>
        <v/>
      </c>
      <c r="Y32" s="16">
        <f>IF(OR($A32="",O32="",$C32=""),"",IF(COUNTIFS($A$5:$A$315,$A32,$C$5:$C$315,$C32-1,$D$5:$D$315,$D32,O$5:O$315,"&lt;&gt;")=0,"",IF(OR(SUMIFS(O$5:O$315,$A$5:$A$315,$A32,$C$5:$C$315,$C32-1,$D$5:$D$315,$D32)=0,O32*SUMIFS(O$5:O$315,$A$5:$A$315,$A32,$C$5:$C$315,$C32-1,$D$5:$D$315,$D32)&lt;0),"n.s.",ABS(O32)/ABS(SUMIFS(O$5:O$315,$A$5:$A$315,$A32,$C$5:$C$315,$C32-1,$D$5:$D$315,$D32))-1)))</f>
        <v/>
      </c>
    </row>
    <row r="33">
      <c r="A33" s="9" t="inlineStr">
        <is>
          <t>BICB</t>
        </is>
      </c>
      <c r="B33" s="10">
        <f>IF(A33="","",IFERROR(VLOOKUP(A33,Titres!$A$2:$B$400,2,FALSE),"Ticker inconnu"))</f>
        <v/>
      </c>
      <c r="C33" s="11" t="n">
        <v>2024</v>
      </c>
      <c r="D33" s="11" t="inlineStr">
        <is>
          <t>S1</t>
        </is>
      </c>
      <c r="E33" s="9" t="n"/>
      <c r="F33" s="12" t="n"/>
      <c r="G33" s="9" t="n"/>
      <c r="H33" s="13" t="n"/>
      <c r="I33" s="13" t="n"/>
      <c r="J33" s="13" t="n"/>
      <c r="K33" s="13" t="n"/>
      <c r="L33" s="13" t="n"/>
      <c r="M33" s="13" t="n"/>
      <c r="N33" s="13" t="n"/>
      <c r="O33" s="13" t="n"/>
      <c r="P33" s="14">
        <f>IF(A33="","",COUNT(H33:O33)/8)</f>
        <v/>
      </c>
      <c r="Q33" s="15">
        <f>IF(COUNT(H33:O33)=0,"",IF(LEN(IF(COUNT(H33,I33,J33)=3,IF(ABS(H33+I33-J33)&lt;=MAX(1,0.02*ABS(J33)),"","RBE &lt;&gt; PNB + frais "),"")&amp;IF(COUNT(J33,K33,L33)=3,IF(ABS(J33+K33-L33)&lt;=MAX(1,0.03*ABS(L33)),"","RAI &lt;&gt; RBE + coût du risque "),"")&amp;IF(COUNT(H33,M33)=2,IF(ABS(M33)&gt;ABS(H33),"RN &gt; PNB ",""),""))=0,"OK",IF(COUNT(H33,I33,J33)=3,IF(ABS(H33+I33-J33)&lt;=MAX(1,0.02*ABS(J33)),"","RBE &lt;&gt; PNB + frais "),"")&amp;IF(COUNT(J33,K33,L33)=3,IF(ABS(J33+K33-L33)&lt;=MAX(1,0.03*ABS(L33)),"","RAI &lt;&gt; RBE + coût du risque "),"")&amp;IF(COUNT(H33,M33)=2,IF(ABS(M33)&gt;ABS(H33),"RN &gt; PNB ",""),"")))</f>
        <v/>
      </c>
      <c r="R33" s="16">
        <f>IF(OR($A33="",H33="",$C33=""),"",IF(COUNTIFS($A$5:$A$315,$A33,$C$5:$C$315,$C33-1,$D$5:$D$315,$D33,H$5:H$315,"&lt;&gt;")=0,"",IF(OR(SUMIFS(H$5:H$315,$A$5:$A$315,$A33,$C$5:$C$315,$C33-1,$D$5:$D$315,$D33)=0,H33*SUMIFS(H$5:H$315,$A$5:$A$315,$A33,$C$5:$C$315,$C33-1,$D$5:$D$315,$D33)&lt;0),"n.s.",ABS(H33)/ABS(SUMIFS(H$5:H$315,$A$5:$A$315,$A33,$C$5:$C$315,$C33-1,$D$5:$D$315,$D33))-1)))</f>
        <v/>
      </c>
      <c r="S33" s="16">
        <f>IF(OR($A33="",I33="",$C33=""),"",IF(COUNTIFS($A$5:$A$315,$A33,$C$5:$C$315,$C33-1,$D$5:$D$315,$D33,I$5:I$315,"&lt;&gt;")=0,"",IF(OR(SUMIFS(I$5:I$315,$A$5:$A$315,$A33,$C$5:$C$315,$C33-1,$D$5:$D$315,$D33)=0,I33*SUMIFS(I$5:I$315,$A$5:$A$315,$A33,$C$5:$C$315,$C33-1,$D$5:$D$315,$D33)&lt;0),"n.s.",ABS(I33)/ABS(SUMIFS(I$5:I$315,$A$5:$A$315,$A33,$C$5:$C$315,$C33-1,$D$5:$D$315,$D33))-1)))</f>
        <v/>
      </c>
      <c r="T33" s="16">
        <f>IF(OR($A33="",J33="",$C33=""),"",IF(COUNTIFS($A$5:$A$315,$A33,$C$5:$C$315,$C33-1,$D$5:$D$315,$D33,J$5:J$315,"&lt;&gt;")=0,"",IF(OR(SUMIFS(J$5:J$315,$A$5:$A$315,$A33,$C$5:$C$315,$C33-1,$D$5:$D$315,$D33)=0,J33*SUMIFS(J$5:J$315,$A$5:$A$315,$A33,$C$5:$C$315,$C33-1,$D$5:$D$315,$D33)&lt;0),"n.s.",ABS(J33)/ABS(SUMIFS(J$5:J$315,$A$5:$A$315,$A33,$C$5:$C$315,$C33-1,$D$5:$D$315,$D33))-1)))</f>
        <v/>
      </c>
      <c r="U33" s="16">
        <f>IF(OR($A33="",K33="",$C33=""),"",IF(COUNTIFS($A$5:$A$315,$A33,$C$5:$C$315,$C33-1,$D$5:$D$315,$D33,K$5:K$315,"&lt;&gt;")=0,"",IF(OR(SUMIFS(K$5:K$315,$A$5:$A$315,$A33,$C$5:$C$315,$C33-1,$D$5:$D$315,$D33)=0,K33*SUMIFS(K$5:K$315,$A$5:$A$315,$A33,$C$5:$C$315,$C33-1,$D$5:$D$315,$D33)&lt;0),"n.s.",ABS(K33)/ABS(SUMIFS(K$5:K$315,$A$5:$A$315,$A33,$C$5:$C$315,$C33-1,$D$5:$D$315,$D33))-1)))</f>
        <v/>
      </c>
      <c r="V33" s="16">
        <f>IF(OR($A33="",L33="",$C33=""),"",IF(COUNTIFS($A$5:$A$315,$A33,$C$5:$C$315,$C33-1,$D$5:$D$315,$D33,L$5:L$315,"&lt;&gt;")=0,"",IF(OR(SUMIFS(L$5:L$315,$A$5:$A$315,$A33,$C$5:$C$315,$C33-1,$D$5:$D$315,$D33)=0,L33*SUMIFS(L$5:L$315,$A$5:$A$315,$A33,$C$5:$C$315,$C33-1,$D$5:$D$315,$D33)&lt;0),"n.s.",ABS(L33)/ABS(SUMIFS(L$5:L$315,$A$5:$A$315,$A33,$C$5:$C$315,$C33-1,$D$5:$D$315,$D33))-1)))</f>
        <v/>
      </c>
      <c r="W33" s="16">
        <f>IF(OR($A33="",M33="",$C33=""),"",IF(COUNTIFS($A$5:$A$315,$A33,$C$5:$C$315,$C33-1,$D$5:$D$315,$D33,M$5:M$315,"&lt;&gt;")=0,"",IF(OR(SUMIFS(M$5:M$315,$A$5:$A$315,$A33,$C$5:$C$315,$C33-1,$D$5:$D$315,$D33)=0,M33*SUMIFS(M$5:M$315,$A$5:$A$315,$A33,$C$5:$C$315,$C33-1,$D$5:$D$315,$D33)&lt;0),"n.s.",ABS(M33)/ABS(SUMIFS(M$5:M$315,$A$5:$A$315,$A33,$C$5:$C$315,$C33-1,$D$5:$D$315,$D33))-1)))</f>
        <v/>
      </c>
      <c r="X33" s="16">
        <f>IF(OR($A33="",N33="",$C33=""),"",IF(COUNTIFS($A$5:$A$315,$A33,$C$5:$C$315,$C33-1,$D$5:$D$315,$D33,N$5:N$315,"&lt;&gt;")=0,"",IF(OR(SUMIFS(N$5:N$315,$A$5:$A$315,$A33,$C$5:$C$315,$C33-1,$D$5:$D$315,$D33)=0,N33*SUMIFS(N$5:N$315,$A$5:$A$315,$A33,$C$5:$C$315,$C33-1,$D$5:$D$315,$D33)&lt;0),"n.s.",ABS(N33)/ABS(SUMIFS(N$5:N$315,$A$5:$A$315,$A33,$C$5:$C$315,$C33-1,$D$5:$D$315,$D33))-1)))</f>
        <v/>
      </c>
      <c r="Y33" s="16">
        <f>IF(OR($A33="",O33="",$C33=""),"",IF(COUNTIFS($A$5:$A$315,$A33,$C$5:$C$315,$C33-1,$D$5:$D$315,$D33,O$5:O$315,"&lt;&gt;")=0,"",IF(OR(SUMIFS(O$5:O$315,$A$5:$A$315,$A33,$C$5:$C$315,$C33-1,$D$5:$D$315,$D33)=0,O33*SUMIFS(O$5:O$315,$A$5:$A$315,$A33,$C$5:$C$315,$C33-1,$D$5:$D$315,$D33)&lt;0),"n.s.",ABS(O33)/ABS(SUMIFS(O$5:O$315,$A$5:$A$315,$A33,$C$5:$C$315,$C33-1,$D$5:$D$315,$D33))-1)))</f>
        <v/>
      </c>
    </row>
    <row r="34">
      <c r="A34" s="9" t="inlineStr">
        <is>
          <t>BICB</t>
        </is>
      </c>
      <c r="B34" s="10">
        <f>IF(A34="","",IFERROR(VLOOKUP(A34,Titres!$A$2:$B$400,2,FALSE),"Ticker inconnu"))</f>
        <v/>
      </c>
      <c r="C34" s="11" t="n">
        <v>2024</v>
      </c>
      <c r="D34" s="11" t="inlineStr">
        <is>
          <t>T3</t>
        </is>
      </c>
      <c r="E34" s="9" t="n"/>
      <c r="F34" s="12" t="n"/>
      <c r="G34" s="9" t="n"/>
      <c r="H34" s="13" t="n"/>
      <c r="I34" s="13" t="n"/>
      <c r="J34" s="13" t="n"/>
      <c r="K34" s="13" t="n"/>
      <c r="L34" s="13" t="n"/>
      <c r="M34" s="13" t="n"/>
      <c r="N34" s="13" t="n"/>
      <c r="O34" s="13" t="n"/>
      <c r="P34" s="14">
        <f>IF(A34="","",COUNT(H34:O34)/8)</f>
        <v/>
      </c>
      <c r="Q34" s="15">
        <f>IF(COUNT(H34:O34)=0,"",IF(LEN(IF(COUNT(H34,I34,J34)=3,IF(ABS(H34+I34-J34)&lt;=MAX(1,0.02*ABS(J34)),"","RBE &lt;&gt; PNB + frais "),"")&amp;IF(COUNT(J34,K34,L34)=3,IF(ABS(J34+K34-L34)&lt;=MAX(1,0.03*ABS(L34)),"","RAI &lt;&gt; RBE + coût du risque "),"")&amp;IF(COUNT(H34,M34)=2,IF(ABS(M34)&gt;ABS(H34),"RN &gt; PNB ",""),""))=0,"OK",IF(COUNT(H34,I34,J34)=3,IF(ABS(H34+I34-J34)&lt;=MAX(1,0.02*ABS(J34)),"","RBE &lt;&gt; PNB + frais "),"")&amp;IF(COUNT(J34,K34,L34)=3,IF(ABS(J34+K34-L34)&lt;=MAX(1,0.03*ABS(L34)),"","RAI &lt;&gt; RBE + coût du risque "),"")&amp;IF(COUNT(H34,M34)=2,IF(ABS(M34)&gt;ABS(H34),"RN &gt; PNB ",""),"")))</f>
        <v/>
      </c>
      <c r="R34" s="16">
        <f>IF(OR($A34="",H34="",$C34=""),"",IF(COUNTIFS($A$5:$A$315,$A34,$C$5:$C$315,$C34-1,$D$5:$D$315,$D34,H$5:H$315,"&lt;&gt;")=0,"",IF(OR(SUMIFS(H$5:H$315,$A$5:$A$315,$A34,$C$5:$C$315,$C34-1,$D$5:$D$315,$D34)=0,H34*SUMIFS(H$5:H$315,$A$5:$A$315,$A34,$C$5:$C$315,$C34-1,$D$5:$D$315,$D34)&lt;0),"n.s.",ABS(H34)/ABS(SUMIFS(H$5:H$315,$A$5:$A$315,$A34,$C$5:$C$315,$C34-1,$D$5:$D$315,$D34))-1)))</f>
        <v/>
      </c>
      <c r="S34" s="16">
        <f>IF(OR($A34="",I34="",$C34=""),"",IF(COUNTIFS($A$5:$A$315,$A34,$C$5:$C$315,$C34-1,$D$5:$D$315,$D34,I$5:I$315,"&lt;&gt;")=0,"",IF(OR(SUMIFS(I$5:I$315,$A$5:$A$315,$A34,$C$5:$C$315,$C34-1,$D$5:$D$315,$D34)=0,I34*SUMIFS(I$5:I$315,$A$5:$A$315,$A34,$C$5:$C$315,$C34-1,$D$5:$D$315,$D34)&lt;0),"n.s.",ABS(I34)/ABS(SUMIFS(I$5:I$315,$A$5:$A$315,$A34,$C$5:$C$315,$C34-1,$D$5:$D$315,$D34))-1)))</f>
        <v/>
      </c>
      <c r="T34" s="16">
        <f>IF(OR($A34="",J34="",$C34=""),"",IF(COUNTIFS($A$5:$A$315,$A34,$C$5:$C$315,$C34-1,$D$5:$D$315,$D34,J$5:J$315,"&lt;&gt;")=0,"",IF(OR(SUMIFS(J$5:J$315,$A$5:$A$315,$A34,$C$5:$C$315,$C34-1,$D$5:$D$315,$D34)=0,J34*SUMIFS(J$5:J$315,$A$5:$A$315,$A34,$C$5:$C$315,$C34-1,$D$5:$D$315,$D34)&lt;0),"n.s.",ABS(J34)/ABS(SUMIFS(J$5:J$315,$A$5:$A$315,$A34,$C$5:$C$315,$C34-1,$D$5:$D$315,$D34))-1)))</f>
        <v/>
      </c>
      <c r="U34" s="16">
        <f>IF(OR($A34="",K34="",$C34=""),"",IF(COUNTIFS($A$5:$A$315,$A34,$C$5:$C$315,$C34-1,$D$5:$D$315,$D34,K$5:K$315,"&lt;&gt;")=0,"",IF(OR(SUMIFS(K$5:K$315,$A$5:$A$315,$A34,$C$5:$C$315,$C34-1,$D$5:$D$315,$D34)=0,K34*SUMIFS(K$5:K$315,$A$5:$A$315,$A34,$C$5:$C$315,$C34-1,$D$5:$D$315,$D34)&lt;0),"n.s.",ABS(K34)/ABS(SUMIFS(K$5:K$315,$A$5:$A$315,$A34,$C$5:$C$315,$C34-1,$D$5:$D$315,$D34))-1)))</f>
        <v/>
      </c>
      <c r="V34" s="16">
        <f>IF(OR($A34="",L34="",$C34=""),"",IF(COUNTIFS($A$5:$A$315,$A34,$C$5:$C$315,$C34-1,$D$5:$D$315,$D34,L$5:L$315,"&lt;&gt;")=0,"",IF(OR(SUMIFS(L$5:L$315,$A$5:$A$315,$A34,$C$5:$C$315,$C34-1,$D$5:$D$315,$D34)=0,L34*SUMIFS(L$5:L$315,$A$5:$A$315,$A34,$C$5:$C$315,$C34-1,$D$5:$D$315,$D34)&lt;0),"n.s.",ABS(L34)/ABS(SUMIFS(L$5:L$315,$A$5:$A$315,$A34,$C$5:$C$315,$C34-1,$D$5:$D$315,$D34))-1)))</f>
        <v/>
      </c>
      <c r="W34" s="16">
        <f>IF(OR($A34="",M34="",$C34=""),"",IF(COUNTIFS($A$5:$A$315,$A34,$C$5:$C$315,$C34-1,$D$5:$D$315,$D34,M$5:M$315,"&lt;&gt;")=0,"",IF(OR(SUMIFS(M$5:M$315,$A$5:$A$315,$A34,$C$5:$C$315,$C34-1,$D$5:$D$315,$D34)=0,M34*SUMIFS(M$5:M$315,$A$5:$A$315,$A34,$C$5:$C$315,$C34-1,$D$5:$D$315,$D34)&lt;0),"n.s.",ABS(M34)/ABS(SUMIFS(M$5:M$315,$A$5:$A$315,$A34,$C$5:$C$315,$C34-1,$D$5:$D$315,$D34))-1)))</f>
        <v/>
      </c>
      <c r="X34" s="16">
        <f>IF(OR($A34="",N34="",$C34=""),"",IF(COUNTIFS($A$5:$A$315,$A34,$C$5:$C$315,$C34-1,$D$5:$D$315,$D34,N$5:N$315,"&lt;&gt;")=0,"",IF(OR(SUMIFS(N$5:N$315,$A$5:$A$315,$A34,$C$5:$C$315,$C34-1,$D$5:$D$315,$D34)=0,N34*SUMIFS(N$5:N$315,$A$5:$A$315,$A34,$C$5:$C$315,$C34-1,$D$5:$D$315,$D34)&lt;0),"n.s.",ABS(N34)/ABS(SUMIFS(N$5:N$315,$A$5:$A$315,$A34,$C$5:$C$315,$C34-1,$D$5:$D$315,$D34))-1)))</f>
        <v/>
      </c>
      <c r="Y34" s="16">
        <f>IF(OR($A34="",O34="",$C34=""),"",IF(COUNTIFS($A$5:$A$315,$A34,$C$5:$C$315,$C34-1,$D$5:$D$315,$D34,O$5:O$315,"&lt;&gt;")=0,"",IF(OR(SUMIFS(O$5:O$315,$A$5:$A$315,$A34,$C$5:$C$315,$C34-1,$D$5:$D$315,$D34)=0,O34*SUMIFS(O$5:O$315,$A$5:$A$315,$A34,$C$5:$C$315,$C34-1,$D$5:$D$315,$D34)&lt;0),"n.s.",ABS(O34)/ABS(SUMIFS(O$5:O$315,$A$5:$A$315,$A34,$C$5:$C$315,$C34-1,$D$5:$D$315,$D34))-1)))</f>
        <v/>
      </c>
    </row>
    <row r="35">
      <c r="A35" s="9" t="inlineStr">
        <is>
          <t>BICB</t>
        </is>
      </c>
      <c r="B35" s="10">
        <f>IF(A35="","",IFERROR(VLOOKUP(A35,Titres!$A$2:$B$400,2,FALSE),"Ticker inconnu"))</f>
        <v/>
      </c>
      <c r="C35" s="11" t="n">
        <v>2025</v>
      </c>
      <c r="D35" s="11" t="inlineStr">
        <is>
          <t>T1</t>
        </is>
      </c>
      <c r="E35" s="9" t="n"/>
      <c r="F35" s="12" t="n"/>
      <c r="G35" s="9" t="n"/>
      <c r="H35" s="13" t="n"/>
      <c r="I35" s="13" t="n"/>
      <c r="J35" s="13" t="n"/>
      <c r="K35" s="13" t="n"/>
      <c r="L35" s="13" t="n"/>
      <c r="M35" s="13" t="n"/>
      <c r="N35" s="13" t="n"/>
      <c r="O35" s="13" t="n"/>
      <c r="P35" s="14">
        <f>IF(A35="","",COUNT(H35:O35)/8)</f>
        <v/>
      </c>
      <c r="Q35" s="15">
        <f>IF(COUNT(H35:O35)=0,"",IF(LEN(IF(COUNT(H35,I35,J35)=3,IF(ABS(H35+I35-J35)&lt;=MAX(1,0.02*ABS(J35)),"","RBE &lt;&gt; PNB + frais "),"")&amp;IF(COUNT(J35,K35,L35)=3,IF(ABS(J35+K35-L35)&lt;=MAX(1,0.03*ABS(L35)),"","RAI &lt;&gt; RBE + coût du risque "),"")&amp;IF(COUNT(H35,M35)=2,IF(ABS(M35)&gt;ABS(H35),"RN &gt; PNB ",""),""))=0,"OK",IF(COUNT(H35,I35,J35)=3,IF(ABS(H35+I35-J35)&lt;=MAX(1,0.02*ABS(J35)),"","RBE &lt;&gt; PNB + frais "),"")&amp;IF(COUNT(J35,K35,L35)=3,IF(ABS(J35+K35-L35)&lt;=MAX(1,0.03*ABS(L35)),"","RAI &lt;&gt; RBE + coût du risque "),"")&amp;IF(COUNT(H35,M35)=2,IF(ABS(M35)&gt;ABS(H35),"RN &gt; PNB ",""),"")))</f>
        <v/>
      </c>
      <c r="R35" s="16">
        <f>IF(OR($A35="",H35="",$C35=""),"",IF(COUNTIFS($A$5:$A$315,$A35,$C$5:$C$315,$C35-1,$D$5:$D$315,$D35,H$5:H$315,"&lt;&gt;")=0,"",IF(OR(SUMIFS(H$5:H$315,$A$5:$A$315,$A35,$C$5:$C$315,$C35-1,$D$5:$D$315,$D35)=0,H35*SUMIFS(H$5:H$315,$A$5:$A$315,$A35,$C$5:$C$315,$C35-1,$D$5:$D$315,$D35)&lt;0),"n.s.",ABS(H35)/ABS(SUMIFS(H$5:H$315,$A$5:$A$315,$A35,$C$5:$C$315,$C35-1,$D$5:$D$315,$D35))-1)))</f>
        <v/>
      </c>
      <c r="S35" s="16">
        <f>IF(OR($A35="",I35="",$C35=""),"",IF(COUNTIFS($A$5:$A$315,$A35,$C$5:$C$315,$C35-1,$D$5:$D$315,$D35,I$5:I$315,"&lt;&gt;")=0,"",IF(OR(SUMIFS(I$5:I$315,$A$5:$A$315,$A35,$C$5:$C$315,$C35-1,$D$5:$D$315,$D35)=0,I35*SUMIFS(I$5:I$315,$A$5:$A$315,$A35,$C$5:$C$315,$C35-1,$D$5:$D$315,$D35)&lt;0),"n.s.",ABS(I35)/ABS(SUMIFS(I$5:I$315,$A$5:$A$315,$A35,$C$5:$C$315,$C35-1,$D$5:$D$315,$D35))-1)))</f>
        <v/>
      </c>
      <c r="T35" s="16">
        <f>IF(OR($A35="",J35="",$C35=""),"",IF(COUNTIFS($A$5:$A$315,$A35,$C$5:$C$315,$C35-1,$D$5:$D$315,$D35,J$5:J$315,"&lt;&gt;")=0,"",IF(OR(SUMIFS(J$5:J$315,$A$5:$A$315,$A35,$C$5:$C$315,$C35-1,$D$5:$D$315,$D35)=0,J35*SUMIFS(J$5:J$315,$A$5:$A$315,$A35,$C$5:$C$315,$C35-1,$D$5:$D$315,$D35)&lt;0),"n.s.",ABS(J35)/ABS(SUMIFS(J$5:J$315,$A$5:$A$315,$A35,$C$5:$C$315,$C35-1,$D$5:$D$315,$D35))-1)))</f>
        <v/>
      </c>
      <c r="U35" s="16">
        <f>IF(OR($A35="",K35="",$C35=""),"",IF(COUNTIFS($A$5:$A$315,$A35,$C$5:$C$315,$C35-1,$D$5:$D$315,$D35,K$5:K$315,"&lt;&gt;")=0,"",IF(OR(SUMIFS(K$5:K$315,$A$5:$A$315,$A35,$C$5:$C$315,$C35-1,$D$5:$D$315,$D35)=0,K35*SUMIFS(K$5:K$315,$A$5:$A$315,$A35,$C$5:$C$315,$C35-1,$D$5:$D$315,$D35)&lt;0),"n.s.",ABS(K35)/ABS(SUMIFS(K$5:K$315,$A$5:$A$315,$A35,$C$5:$C$315,$C35-1,$D$5:$D$315,$D35))-1)))</f>
        <v/>
      </c>
      <c r="V35" s="16">
        <f>IF(OR($A35="",L35="",$C35=""),"",IF(COUNTIFS($A$5:$A$315,$A35,$C$5:$C$315,$C35-1,$D$5:$D$315,$D35,L$5:L$315,"&lt;&gt;")=0,"",IF(OR(SUMIFS(L$5:L$315,$A$5:$A$315,$A35,$C$5:$C$315,$C35-1,$D$5:$D$315,$D35)=0,L35*SUMIFS(L$5:L$315,$A$5:$A$315,$A35,$C$5:$C$315,$C35-1,$D$5:$D$315,$D35)&lt;0),"n.s.",ABS(L35)/ABS(SUMIFS(L$5:L$315,$A$5:$A$315,$A35,$C$5:$C$315,$C35-1,$D$5:$D$315,$D35))-1)))</f>
        <v/>
      </c>
      <c r="W35" s="16">
        <f>IF(OR($A35="",M35="",$C35=""),"",IF(COUNTIFS($A$5:$A$315,$A35,$C$5:$C$315,$C35-1,$D$5:$D$315,$D35,M$5:M$315,"&lt;&gt;")=0,"",IF(OR(SUMIFS(M$5:M$315,$A$5:$A$315,$A35,$C$5:$C$315,$C35-1,$D$5:$D$315,$D35)=0,M35*SUMIFS(M$5:M$315,$A$5:$A$315,$A35,$C$5:$C$315,$C35-1,$D$5:$D$315,$D35)&lt;0),"n.s.",ABS(M35)/ABS(SUMIFS(M$5:M$315,$A$5:$A$315,$A35,$C$5:$C$315,$C35-1,$D$5:$D$315,$D35))-1)))</f>
        <v/>
      </c>
      <c r="X35" s="16">
        <f>IF(OR($A35="",N35="",$C35=""),"",IF(COUNTIFS($A$5:$A$315,$A35,$C$5:$C$315,$C35-1,$D$5:$D$315,$D35,N$5:N$315,"&lt;&gt;")=0,"",IF(OR(SUMIFS(N$5:N$315,$A$5:$A$315,$A35,$C$5:$C$315,$C35-1,$D$5:$D$315,$D35)=0,N35*SUMIFS(N$5:N$315,$A$5:$A$315,$A35,$C$5:$C$315,$C35-1,$D$5:$D$315,$D35)&lt;0),"n.s.",ABS(N35)/ABS(SUMIFS(N$5:N$315,$A$5:$A$315,$A35,$C$5:$C$315,$C35-1,$D$5:$D$315,$D35))-1)))</f>
        <v/>
      </c>
      <c r="Y35" s="16">
        <f>IF(OR($A35="",O35="",$C35=""),"",IF(COUNTIFS($A$5:$A$315,$A35,$C$5:$C$315,$C35-1,$D$5:$D$315,$D35,O$5:O$315,"&lt;&gt;")=0,"",IF(OR(SUMIFS(O$5:O$315,$A$5:$A$315,$A35,$C$5:$C$315,$C35-1,$D$5:$D$315,$D35)=0,O35*SUMIFS(O$5:O$315,$A$5:$A$315,$A35,$C$5:$C$315,$C35-1,$D$5:$D$315,$D35)&lt;0),"n.s.",ABS(O35)/ABS(SUMIFS(O$5:O$315,$A$5:$A$315,$A35,$C$5:$C$315,$C35-1,$D$5:$D$315,$D35))-1)))</f>
        <v/>
      </c>
    </row>
    <row r="36">
      <c r="A36" s="9" t="inlineStr">
        <is>
          <t>BICB</t>
        </is>
      </c>
      <c r="B36" s="10">
        <f>IF(A36="","",IFERROR(VLOOKUP(A36,Titres!$A$2:$B$400,2,FALSE),"Ticker inconnu"))</f>
        <v/>
      </c>
      <c r="C36" s="11" t="n">
        <v>2025</v>
      </c>
      <c r="D36" s="11" t="inlineStr">
        <is>
          <t>S1</t>
        </is>
      </c>
      <c r="E36" s="9" t="n"/>
      <c r="F36" s="12" t="n"/>
      <c r="G36" s="9" t="n"/>
      <c r="H36" s="13" t="n"/>
      <c r="I36" s="13" t="n"/>
      <c r="J36" s="13" t="n"/>
      <c r="K36" s="13" t="n"/>
      <c r="L36" s="13" t="n"/>
      <c r="M36" s="13" t="n"/>
      <c r="N36" s="13" t="n"/>
      <c r="O36" s="13" t="n"/>
      <c r="P36" s="14">
        <f>IF(A36="","",COUNT(H36:O36)/8)</f>
        <v/>
      </c>
      <c r="Q36" s="15">
        <f>IF(COUNT(H36:O36)=0,"",IF(LEN(IF(COUNT(H36,I36,J36)=3,IF(ABS(H36+I36-J36)&lt;=MAX(1,0.02*ABS(J36)),"","RBE &lt;&gt; PNB + frais "),"")&amp;IF(COUNT(J36,K36,L36)=3,IF(ABS(J36+K36-L36)&lt;=MAX(1,0.03*ABS(L36)),"","RAI &lt;&gt; RBE + coût du risque "),"")&amp;IF(COUNT(H36,M36)=2,IF(ABS(M36)&gt;ABS(H36),"RN &gt; PNB ",""),""))=0,"OK",IF(COUNT(H36,I36,J36)=3,IF(ABS(H36+I36-J36)&lt;=MAX(1,0.02*ABS(J36)),"","RBE &lt;&gt; PNB + frais "),"")&amp;IF(COUNT(J36,K36,L36)=3,IF(ABS(J36+K36-L36)&lt;=MAX(1,0.03*ABS(L36)),"","RAI &lt;&gt; RBE + coût du risque "),"")&amp;IF(COUNT(H36,M36)=2,IF(ABS(M36)&gt;ABS(H36),"RN &gt; PNB ",""),"")))</f>
        <v/>
      </c>
      <c r="R36" s="16">
        <f>IF(OR($A36="",H36="",$C36=""),"",IF(COUNTIFS($A$5:$A$315,$A36,$C$5:$C$315,$C36-1,$D$5:$D$315,$D36,H$5:H$315,"&lt;&gt;")=0,"",IF(OR(SUMIFS(H$5:H$315,$A$5:$A$315,$A36,$C$5:$C$315,$C36-1,$D$5:$D$315,$D36)=0,H36*SUMIFS(H$5:H$315,$A$5:$A$315,$A36,$C$5:$C$315,$C36-1,$D$5:$D$315,$D36)&lt;0),"n.s.",ABS(H36)/ABS(SUMIFS(H$5:H$315,$A$5:$A$315,$A36,$C$5:$C$315,$C36-1,$D$5:$D$315,$D36))-1)))</f>
        <v/>
      </c>
      <c r="S36" s="16">
        <f>IF(OR($A36="",I36="",$C36=""),"",IF(COUNTIFS($A$5:$A$315,$A36,$C$5:$C$315,$C36-1,$D$5:$D$315,$D36,I$5:I$315,"&lt;&gt;")=0,"",IF(OR(SUMIFS(I$5:I$315,$A$5:$A$315,$A36,$C$5:$C$315,$C36-1,$D$5:$D$315,$D36)=0,I36*SUMIFS(I$5:I$315,$A$5:$A$315,$A36,$C$5:$C$315,$C36-1,$D$5:$D$315,$D36)&lt;0),"n.s.",ABS(I36)/ABS(SUMIFS(I$5:I$315,$A$5:$A$315,$A36,$C$5:$C$315,$C36-1,$D$5:$D$315,$D36))-1)))</f>
        <v/>
      </c>
      <c r="T36" s="16">
        <f>IF(OR($A36="",J36="",$C36=""),"",IF(COUNTIFS($A$5:$A$315,$A36,$C$5:$C$315,$C36-1,$D$5:$D$315,$D36,J$5:J$315,"&lt;&gt;")=0,"",IF(OR(SUMIFS(J$5:J$315,$A$5:$A$315,$A36,$C$5:$C$315,$C36-1,$D$5:$D$315,$D36)=0,J36*SUMIFS(J$5:J$315,$A$5:$A$315,$A36,$C$5:$C$315,$C36-1,$D$5:$D$315,$D36)&lt;0),"n.s.",ABS(J36)/ABS(SUMIFS(J$5:J$315,$A$5:$A$315,$A36,$C$5:$C$315,$C36-1,$D$5:$D$315,$D36))-1)))</f>
        <v/>
      </c>
      <c r="U36" s="16">
        <f>IF(OR($A36="",K36="",$C36=""),"",IF(COUNTIFS($A$5:$A$315,$A36,$C$5:$C$315,$C36-1,$D$5:$D$315,$D36,K$5:K$315,"&lt;&gt;")=0,"",IF(OR(SUMIFS(K$5:K$315,$A$5:$A$315,$A36,$C$5:$C$315,$C36-1,$D$5:$D$315,$D36)=0,K36*SUMIFS(K$5:K$315,$A$5:$A$315,$A36,$C$5:$C$315,$C36-1,$D$5:$D$315,$D36)&lt;0),"n.s.",ABS(K36)/ABS(SUMIFS(K$5:K$315,$A$5:$A$315,$A36,$C$5:$C$315,$C36-1,$D$5:$D$315,$D36))-1)))</f>
        <v/>
      </c>
      <c r="V36" s="16">
        <f>IF(OR($A36="",L36="",$C36=""),"",IF(COUNTIFS($A$5:$A$315,$A36,$C$5:$C$315,$C36-1,$D$5:$D$315,$D36,L$5:L$315,"&lt;&gt;")=0,"",IF(OR(SUMIFS(L$5:L$315,$A$5:$A$315,$A36,$C$5:$C$315,$C36-1,$D$5:$D$315,$D36)=0,L36*SUMIFS(L$5:L$315,$A$5:$A$315,$A36,$C$5:$C$315,$C36-1,$D$5:$D$315,$D36)&lt;0),"n.s.",ABS(L36)/ABS(SUMIFS(L$5:L$315,$A$5:$A$315,$A36,$C$5:$C$315,$C36-1,$D$5:$D$315,$D36))-1)))</f>
        <v/>
      </c>
      <c r="W36" s="16">
        <f>IF(OR($A36="",M36="",$C36=""),"",IF(COUNTIFS($A$5:$A$315,$A36,$C$5:$C$315,$C36-1,$D$5:$D$315,$D36,M$5:M$315,"&lt;&gt;")=0,"",IF(OR(SUMIFS(M$5:M$315,$A$5:$A$315,$A36,$C$5:$C$315,$C36-1,$D$5:$D$315,$D36)=0,M36*SUMIFS(M$5:M$315,$A$5:$A$315,$A36,$C$5:$C$315,$C36-1,$D$5:$D$315,$D36)&lt;0),"n.s.",ABS(M36)/ABS(SUMIFS(M$5:M$315,$A$5:$A$315,$A36,$C$5:$C$315,$C36-1,$D$5:$D$315,$D36))-1)))</f>
        <v/>
      </c>
      <c r="X36" s="16">
        <f>IF(OR($A36="",N36="",$C36=""),"",IF(COUNTIFS($A$5:$A$315,$A36,$C$5:$C$315,$C36-1,$D$5:$D$315,$D36,N$5:N$315,"&lt;&gt;")=0,"",IF(OR(SUMIFS(N$5:N$315,$A$5:$A$315,$A36,$C$5:$C$315,$C36-1,$D$5:$D$315,$D36)=0,N36*SUMIFS(N$5:N$315,$A$5:$A$315,$A36,$C$5:$C$315,$C36-1,$D$5:$D$315,$D36)&lt;0),"n.s.",ABS(N36)/ABS(SUMIFS(N$5:N$315,$A$5:$A$315,$A36,$C$5:$C$315,$C36-1,$D$5:$D$315,$D36))-1)))</f>
        <v/>
      </c>
      <c r="Y36" s="16">
        <f>IF(OR($A36="",O36="",$C36=""),"",IF(COUNTIFS($A$5:$A$315,$A36,$C$5:$C$315,$C36-1,$D$5:$D$315,$D36,O$5:O$315,"&lt;&gt;")=0,"",IF(OR(SUMIFS(O$5:O$315,$A$5:$A$315,$A36,$C$5:$C$315,$C36-1,$D$5:$D$315,$D36)=0,O36*SUMIFS(O$5:O$315,$A$5:$A$315,$A36,$C$5:$C$315,$C36-1,$D$5:$D$315,$D36)&lt;0),"n.s.",ABS(O36)/ABS(SUMIFS(O$5:O$315,$A$5:$A$315,$A36,$C$5:$C$315,$C36-1,$D$5:$D$315,$D36))-1)))</f>
        <v/>
      </c>
    </row>
    <row r="37">
      <c r="A37" s="9" t="inlineStr">
        <is>
          <t>BICB</t>
        </is>
      </c>
      <c r="B37" s="10">
        <f>IF(A37="","",IFERROR(VLOOKUP(A37,Titres!$A$2:$B$400,2,FALSE),"Ticker inconnu"))</f>
        <v/>
      </c>
      <c r="C37" s="11" t="n">
        <v>2025</v>
      </c>
      <c r="D37" s="11" t="inlineStr">
        <is>
          <t>T3</t>
        </is>
      </c>
      <c r="E37" s="9" t="n"/>
      <c r="F37" s="12" t="n"/>
      <c r="G37" s="9" t="n"/>
      <c r="H37" s="13" t="n"/>
      <c r="I37" s="13" t="n"/>
      <c r="J37" s="13" t="n"/>
      <c r="K37" s="13" t="n"/>
      <c r="L37" s="13" t="n"/>
      <c r="M37" s="13" t="n"/>
      <c r="N37" s="13" t="n"/>
      <c r="O37" s="13" t="n"/>
      <c r="P37" s="14">
        <f>IF(A37="","",COUNT(H37:O37)/8)</f>
        <v/>
      </c>
      <c r="Q37" s="15">
        <f>IF(COUNT(H37:O37)=0,"",IF(LEN(IF(COUNT(H37,I37,J37)=3,IF(ABS(H37+I37-J37)&lt;=MAX(1,0.02*ABS(J37)),"","RBE &lt;&gt; PNB + frais "),"")&amp;IF(COUNT(J37,K37,L37)=3,IF(ABS(J37+K37-L37)&lt;=MAX(1,0.03*ABS(L37)),"","RAI &lt;&gt; RBE + coût du risque "),"")&amp;IF(COUNT(H37,M37)=2,IF(ABS(M37)&gt;ABS(H37),"RN &gt; PNB ",""),""))=0,"OK",IF(COUNT(H37,I37,J37)=3,IF(ABS(H37+I37-J37)&lt;=MAX(1,0.02*ABS(J37)),"","RBE &lt;&gt; PNB + frais "),"")&amp;IF(COUNT(J37,K37,L37)=3,IF(ABS(J37+K37-L37)&lt;=MAX(1,0.03*ABS(L37)),"","RAI &lt;&gt; RBE + coût du risque "),"")&amp;IF(COUNT(H37,M37)=2,IF(ABS(M37)&gt;ABS(H37),"RN &gt; PNB ",""),"")))</f>
        <v/>
      </c>
      <c r="R37" s="16">
        <f>IF(OR($A37="",H37="",$C37=""),"",IF(COUNTIFS($A$5:$A$315,$A37,$C$5:$C$315,$C37-1,$D$5:$D$315,$D37,H$5:H$315,"&lt;&gt;")=0,"",IF(OR(SUMIFS(H$5:H$315,$A$5:$A$315,$A37,$C$5:$C$315,$C37-1,$D$5:$D$315,$D37)=0,H37*SUMIFS(H$5:H$315,$A$5:$A$315,$A37,$C$5:$C$315,$C37-1,$D$5:$D$315,$D37)&lt;0),"n.s.",ABS(H37)/ABS(SUMIFS(H$5:H$315,$A$5:$A$315,$A37,$C$5:$C$315,$C37-1,$D$5:$D$315,$D37))-1)))</f>
        <v/>
      </c>
      <c r="S37" s="16">
        <f>IF(OR($A37="",I37="",$C37=""),"",IF(COUNTIFS($A$5:$A$315,$A37,$C$5:$C$315,$C37-1,$D$5:$D$315,$D37,I$5:I$315,"&lt;&gt;")=0,"",IF(OR(SUMIFS(I$5:I$315,$A$5:$A$315,$A37,$C$5:$C$315,$C37-1,$D$5:$D$315,$D37)=0,I37*SUMIFS(I$5:I$315,$A$5:$A$315,$A37,$C$5:$C$315,$C37-1,$D$5:$D$315,$D37)&lt;0),"n.s.",ABS(I37)/ABS(SUMIFS(I$5:I$315,$A$5:$A$315,$A37,$C$5:$C$315,$C37-1,$D$5:$D$315,$D37))-1)))</f>
        <v/>
      </c>
      <c r="T37" s="16">
        <f>IF(OR($A37="",J37="",$C37=""),"",IF(COUNTIFS($A$5:$A$315,$A37,$C$5:$C$315,$C37-1,$D$5:$D$315,$D37,J$5:J$315,"&lt;&gt;")=0,"",IF(OR(SUMIFS(J$5:J$315,$A$5:$A$315,$A37,$C$5:$C$315,$C37-1,$D$5:$D$315,$D37)=0,J37*SUMIFS(J$5:J$315,$A$5:$A$315,$A37,$C$5:$C$315,$C37-1,$D$5:$D$315,$D37)&lt;0),"n.s.",ABS(J37)/ABS(SUMIFS(J$5:J$315,$A$5:$A$315,$A37,$C$5:$C$315,$C37-1,$D$5:$D$315,$D37))-1)))</f>
        <v/>
      </c>
      <c r="U37" s="16">
        <f>IF(OR($A37="",K37="",$C37=""),"",IF(COUNTIFS($A$5:$A$315,$A37,$C$5:$C$315,$C37-1,$D$5:$D$315,$D37,K$5:K$315,"&lt;&gt;")=0,"",IF(OR(SUMIFS(K$5:K$315,$A$5:$A$315,$A37,$C$5:$C$315,$C37-1,$D$5:$D$315,$D37)=0,K37*SUMIFS(K$5:K$315,$A$5:$A$315,$A37,$C$5:$C$315,$C37-1,$D$5:$D$315,$D37)&lt;0),"n.s.",ABS(K37)/ABS(SUMIFS(K$5:K$315,$A$5:$A$315,$A37,$C$5:$C$315,$C37-1,$D$5:$D$315,$D37))-1)))</f>
        <v/>
      </c>
      <c r="V37" s="16">
        <f>IF(OR($A37="",L37="",$C37=""),"",IF(COUNTIFS($A$5:$A$315,$A37,$C$5:$C$315,$C37-1,$D$5:$D$315,$D37,L$5:L$315,"&lt;&gt;")=0,"",IF(OR(SUMIFS(L$5:L$315,$A$5:$A$315,$A37,$C$5:$C$315,$C37-1,$D$5:$D$315,$D37)=0,L37*SUMIFS(L$5:L$315,$A$5:$A$315,$A37,$C$5:$C$315,$C37-1,$D$5:$D$315,$D37)&lt;0),"n.s.",ABS(L37)/ABS(SUMIFS(L$5:L$315,$A$5:$A$315,$A37,$C$5:$C$315,$C37-1,$D$5:$D$315,$D37))-1)))</f>
        <v/>
      </c>
      <c r="W37" s="16">
        <f>IF(OR($A37="",M37="",$C37=""),"",IF(COUNTIFS($A$5:$A$315,$A37,$C$5:$C$315,$C37-1,$D$5:$D$315,$D37,M$5:M$315,"&lt;&gt;")=0,"",IF(OR(SUMIFS(M$5:M$315,$A$5:$A$315,$A37,$C$5:$C$315,$C37-1,$D$5:$D$315,$D37)=0,M37*SUMIFS(M$5:M$315,$A$5:$A$315,$A37,$C$5:$C$315,$C37-1,$D$5:$D$315,$D37)&lt;0),"n.s.",ABS(M37)/ABS(SUMIFS(M$5:M$315,$A$5:$A$315,$A37,$C$5:$C$315,$C37-1,$D$5:$D$315,$D37))-1)))</f>
        <v/>
      </c>
      <c r="X37" s="16">
        <f>IF(OR($A37="",N37="",$C37=""),"",IF(COUNTIFS($A$5:$A$315,$A37,$C$5:$C$315,$C37-1,$D$5:$D$315,$D37,N$5:N$315,"&lt;&gt;")=0,"",IF(OR(SUMIFS(N$5:N$315,$A$5:$A$315,$A37,$C$5:$C$315,$C37-1,$D$5:$D$315,$D37)=0,N37*SUMIFS(N$5:N$315,$A$5:$A$315,$A37,$C$5:$C$315,$C37-1,$D$5:$D$315,$D37)&lt;0),"n.s.",ABS(N37)/ABS(SUMIFS(N$5:N$315,$A$5:$A$315,$A37,$C$5:$C$315,$C37-1,$D$5:$D$315,$D37))-1)))</f>
        <v/>
      </c>
      <c r="Y37" s="16">
        <f>IF(OR($A37="",O37="",$C37=""),"",IF(COUNTIFS($A$5:$A$315,$A37,$C$5:$C$315,$C37-1,$D$5:$D$315,$D37,O$5:O$315,"&lt;&gt;")=0,"",IF(OR(SUMIFS(O$5:O$315,$A$5:$A$315,$A37,$C$5:$C$315,$C37-1,$D$5:$D$315,$D37)=0,O37*SUMIFS(O$5:O$315,$A$5:$A$315,$A37,$C$5:$C$315,$C37-1,$D$5:$D$315,$D37)&lt;0),"n.s.",ABS(O37)/ABS(SUMIFS(O$5:O$315,$A$5:$A$315,$A37,$C$5:$C$315,$C37-1,$D$5:$D$315,$D37))-1)))</f>
        <v/>
      </c>
    </row>
    <row r="38">
      <c r="A38" s="9" t="inlineStr">
        <is>
          <t>BICB</t>
        </is>
      </c>
      <c r="B38" s="10">
        <f>IF(A38="","",IFERROR(VLOOKUP(A38,Titres!$A$2:$B$400,2,FALSE),"Ticker inconnu"))</f>
        <v/>
      </c>
      <c r="C38" s="11" t="n">
        <v>2026</v>
      </c>
      <c r="D38" s="11" t="inlineStr">
        <is>
          <t>T1</t>
        </is>
      </c>
      <c r="E38" s="9" t="n"/>
      <c r="F38" s="12" t="n"/>
      <c r="G38" s="9" t="n"/>
      <c r="H38" s="13" t="n"/>
      <c r="I38" s="13" t="n"/>
      <c r="J38" s="13" t="n"/>
      <c r="K38" s="13" t="n"/>
      <c r="L38" s="13" t="n"/>
      <c r="M38" s="13" t="n"/>
      <c r="N38" s="13" t="n"/>
      <c r="O38" s="13" t="n"/>
      <c r="P38" s="14">
        <f>IF(A38="","",COUNT(H38:O38)/8)</f>
        <v/>
      </c>
      <c r="Q38" s="15">
        <f>IF(COUNT(H38:O38)=0,"",IF(LEN(IF(COUNT(H38,I38,J38)=3,IF(ABS(H38+I38-J38)&lt;=MAX(1,0.02*ABS(J38)),"","RBE &lt;&gt; PNB + frais "),"")&amp;IF(COUNT(J38,K38,L38)=3,IF(ABS(J38+K38-L38)&lt;=MAX(1,0.03*ABS(L38)),"","RAI &lt;&gt; RBE + coût du risque "),"")&amp;IF(COUNT(H38,M38)=2,IF(ABS(M38)&gt;ABS(H38),"RN &gt; PNB ",""),""))=0,"OK",IF(COUNT(H38,I38,J38)=3,IF(ABS(H38+I38-J38)&lt;=MAX(1,0.02*ABS(J38)),"","RBE &lt;&gt; PNB + frais "),"")&amp;IF(COUNT(J38,K38,L38)=3,IF(ABS(J38+K38-L38)&lt;=MAX(1,0.03*ABS(L38)),"","RAI &lt;&gt; RBE + coût du risque "),"")&amp;IF(COUNT(H38,M38)=2,IF(ABS(M38)&gt;ABS(H38),"RN &gt; PNB ",""),"")))</f>
        <v/>
      </c>
      <c r="R38" s="16">
        <f>IF(OR($A38="",H38="",$C38=""),"",IF(COUNTIFS($A$5:$A$315,$A38,$C$5:$C$315,$C38-1,$D$5:$D$315,$D38,H$5:H$315,"&lt;&gt;")=0,"",IF(OR(SUMIFS(H$5:H$315,$A$5:$A$315,$A38,$C$5:$C$315,$C38-1,$D$5:$D$315,$D38)=0,H38*SUMIFS(H$5:H$315,$A$5:$A$315,$A38,$C$5:$C$315,$C38-1,$D$5:$D$315,$D38)&lt;0),"n.s.",ABS(H38)/ABS(SUMIFS(H$5:H$315,$A$5:$A$315,$A38,$C$5:$C$315,$C38-1,$D$5:$D$315,$D38))-1)))</f>
        <v/>
      </c>
      <c r="S38" s="16">
        <f>IF(OR($A38="",I38="",$C38=""),"",IF(COUNTIFS($A$5:$A$315,$A38,$C$5:$C$315,$C38-1,$D$5:$D$315,$D38,I$5:I$315,"&lt;&gt;")=0,"",IF(OR(SUMIFS(I$5:I$315,$A$5:$A$315,$A38,$C$5:$C$315,$C38-1,$D$5:$D$315,$D38)=0,I38*SUMIFS(I$5:I$315,$A$5:$A$315,$A38,$C$5:$C$315,$C38-1,$D$5:$D$315,$D38)&lt;0),"n.s.",ABS(I38)/ABS(SUMIFS(I$5:I$315,$A$5:$A$315,$A38,$C$5:$C$315,$C38-1,$D$5:$D$315,$D38))-1)))</f>
        <v/>
      </c>
      <c r="T38" s="16">
        <f>IF(OR($A38="",J38="",$C38=""),"",IF(COUNTIFS($A$5:$A$315,$A38,$C$5:$C$315,$C38-1,$D$5:$D$315,$D38,J$5:J$315,"&lt;&gt;")=0,"",IF(OR(SUMIFS(J$5:J$315,$A$5:$A$315,$A38,$C$5:$C$315,$C38-1,$D$5:$D$315,$D38)=0,J38*SUMIFS(J$5:J$315,$A$5:$A$315,$A38,$C$5:$C$315,$C38-1,$D$5:$D$315,$D38)&lt;0),"n.s.",ABS(J38)/ABS(SUMIFS(J$5:J$315,$A$5:$A$315,$A38,$C$5:$C$315,$C38-1,$D$5:$D$315,$D38))-1)))</f>
        <v/>
      </c>
      <c r="U38" s="16">
        <f>IF(OR($A38="",K38="",$C38=""),"",IF(COUNTIFS($A$5:$A$315,$A38,$C$5:$C$315,$C38-1,$D$5:$D$315,$D38,K$5:K$315,"&lt;&gt;")=0,"",IF(OR(SUMIFS(K$5:K$315,$A$5:$A$315,$A38,$C$5:$C$315,$C38-1,$D$5:$D$315,$D38)=0,K38*SUMIFS(K$5:K$315,$A$5:$A$315,$A38,$C$5:$C$315,$C38-1,$D$5:$D$315,$D38)&lt;0),"n.s.",ABS(K38)/ABS(SUMIFS(K$5:K$315,$A$5:$A$315,$A38,$C$5:$C$315,$C38-1,$D$5:$D$315,$D38))-1)))</f>
        <v/>
      </c>
      <c r="V38" s="16">
        <f>IF(OR($A38="",L38="",$C38=""),"",IF(COUNTIFS($A$5:$A$315,$A38,$C$5:$C$315,$C38-1,$D$5:$D$315,$D38,L$5:L$315,"&lt;&gt;")=0,"",IF(OR(SUMIFS(L$5:L$315,$A$5:$A$315,$A38,$C$5:$C$315,$C38-1,$D$5:$D$315,$D38)=0,L38*SUMIFS(L$5:L$315,$A$5:$A$315,$A38,$C$5:$C$315,$C38-1,$D$5:$D$315,$D38)&lt;0),"n.s.",ABS(L38)/ABS(SUMIFS(L$5:L$315,$A$5:$A$315,$A38,$C$5:$C$315,$C38-1,$D$5:$D$315,$D38))-1)))</f>
        <v/>
      </c>
      <c r="W38" s="16">
        <f>IF(OR($A38="",M38="",$C38=""),"",IF(COUNTIFS($A$5:$A$315,$A38,$C$5:$C$315,$C38-1,$D$5:$D$315,$D38,M$5:M$315,"&lt;&gt;")=0,"",IF(OR(SUMIFS(M$5:M$315,$A$5:$A$315,$A38,$C$5:$C$315,$C38-1,$D$5:$D$315,$D38)=0,M38*SUMIFS(M$5:M$315,$A$5:$A$315,$A38,$C$5:$C$315,$C38-1,$D$5:$D$315,$D38)&lt;0),"n.s.",ABS(M38)/ABS(SUMIFS(M$5:M$315,$A$5:$A$315,$A38,$C$5:$C$315,$C38-1,$D$5:$D$315,$D38))-1)))</f>
        <v/>
      </c>
      <c r="X38" s="16">
        <f>IF(OR($A38="",N38="",$C38=""),"",IF(COUNTIFS($A$5:$A$315,$A38,$C$5:$C$315,$C38-1,$D$5:$D$315,$D38,N$5:N$315,"&lt;&gt;")=0,"",IF(OR(SUMIFS(N$5:N$315,$A$5:$A$315,$A38,$C$5:$C$315,$C38-1,$D$5:$D$315,$D38)=0,N38*SUMIFS(N$5:N$315,$A$5:$A$315,$A38,$C$5:$C$315,$C38-1,$D$5:$D$315,$D38)&lt;0),"n.s.",ABS(N38)/ABS(SUMIFS(N$5:N$315,$A$5:$A$315,$A38,$C$5:$C$315,$C38-1,$D$5:$D$315,$D38))-1)))</f>
        <v/>
      </c>
      <c r="Y38" s="16">
        <f>IF(OR($A38="",O38="",$C38=""),"",IF(COUNTIFS($A$5:$A$315,$A38,$C$5:$C$315,$C38-1,$D$5:$D$315,$D38,O$5:O$315,"&lt;&gt;")=0,"",IF(OR(SUMIFS(O$5:O$315,$A$5:$A$315,$A38,$C$5:$C$315,$C38-1,$D$5:$D$315,$D38)=0,O38*SUMIFS(O$5:O$315,$A$5:$A$315,$A38,$C$5:$C$315,$C38-1,$D$5:$D$315,$D38)&lt;0),"n.s.",ABS(O38)/ABS(SUMIFS(O$5:O$315,$A$5:$A$315,$A38,$C$5:$C$315,$C38-1,$D$5:$D$315,$D38))-1)))</f>
        <v/>
      </c>
    </row>
    <row r="39">
      <c r="A39" s="9" t="inlineStr">
        <is>
          <t>BICB</t>
        </is>
      </c>
      <c r="B39" s="10">
        <f>IF(A39="","",IFERROR(VLOOKUP(A39,Titres!$A$2:$B$400,2,FALSE),"Ticker inconnu"))</f>
        <v/>
      </c>
      <c r="C39" s="11" t="n">
        <v>2026</v>
      </c>
      <c r="D39" s="11" t="inlineStr">
        <is>
          <t>S1</t>
        </is>
      </c>
      <c r="E39" s="9" t="n"/>
      <c r="F39" s="12" t="n"/>
      <c r="G39" s="9" t="n"/>
      <c r="H39" s="13" t="n"/>
      <c r="I39" s="13" t="n"/>
      <c r="J39" s="13" t="n"/>
      <c r="K39" s="13" t="n"/>
      <c r="L39" s="13" t="n"/>
      <c r="M39" s="13" t="n"/>
      <c r="N39" s="13" t="n"/>
      <c r="O39" s="13" t="n"/>
      <c r="P39" s="14">
        <f>IF(A39="","",COUNT(H39:O39)/8)</f>
        <v/>
      </c>
      <c r="Q39" s="15">
        <f>IF(COUNT(H39:O39)=0,"",IF(LEN(IF(COUNT(H39,I39,J39)=3,IF(ABS(H39+I39-J39)&lt;=MAX(1,0.02*ABS(J39)),"","RBE &lt;&gt; PNB + frais "),"")&amp;IF(COUNT(J39,K39,L39)=3,IF(ABS(J39+K39-L39)&lt;=MAX(1,0.03*ABS(L39)),"","RAI &lt;&gt; RBE + coût du risque "),"")&amp;IF(COUNT(H39,M39)=2,IF(ABS(M39)&gt;ABS(H39),"RN &gt; PNB ",""),""))=0,"OK",IF(COUNT(H39,I39,J39)=3,IF(ABS(H39+I39-J39)&lt;=MAX(1,0.02*ABS(J39)),"","RBE &lt;&gt; PNB + frais "),"")&amp;IF(COUNT(J39,K39,L39)=3,IF(ABS(J39+K39-L39)&lt;=MAX(1,0.03*ABS(L39)),"","RAI &lt;&gt; RBE + coût du risque "),"")&amp;IF(COUNT(H39,M39)=2,IF(ABS(M39)&gt;ABS(H39),"RN &gt; PNB ",""),"")))</f>
        <v/>
      </c>
      <c r="R39" s="16">
        <f>IF(OR($A39="",H39="",$C39=""),"",IF(COUNTIFS($A$5:$A$315,$A39,$C$5:$C$315,$C39-1,$D$5:$D$315,$D39,H$5:H$315,"&lt;&gt;")=0,"",IF(OR(SUMIFS(H$5:H$315,$A$5:$A$315,$A39,$C$5:$C$315,$C39-1,$D$5:$D$315,$D39)=0,H39*SUMIFS(H$5:H$315,$A$5:$A$315,$A39,$C$5:$C$315,$C39-1,$D$5:$D$315,$D39)&lt;0),"n.s.",ABS(H39)/ABS(SUMIFS(H$5:H$315,$A$5:$A$315,$A39,$C$5:$C$315,$C39-1,$D$5:$D$315,$D39))-1)))</f>
        <v/>
      </c>
      <c r="S39" s="16">
        <f>IF(OR($A39="",I39="",$C39=""),"",IF(COUNTIFS($A$5:$A$315,$A39,$C$5:$C$315,$C39-1,$D$5:$D$315,$D39,I$5:I$315,"&lt;&gt;")=0,"",IF(OR(SUMIFS(I$5:I$315,$A$5:$A$315,$A39,$C$5:$C$315,$C39-1,$D$5:$D$315,$D39)=0,I39*SUMIFS(I$5:I$315,$A$5:$A$315,$A39,$C$5:$C$315,$C39-1,$D$5:$D$315,$D39)&lt;0),"n.s.",ABS(I39)/ABS(SUMIFS(I$5:I$315,$A$5:$A$315,$A39,$C$5:$C$315,$C39-1,$D$5:$D$315,$D39))-1)))</f>
        <v/>
      </c>
      <c r="T39" s="16">
        <f>IF(OR($A39="",J39="",$C39=""),"",IF(COUNTIFS($A$5:$A$315,$A39,$C$5:$C$315,$C39-1,$D$5:$D$315,$D39,J$5:J$315,"&lt;&gt;")=0,"",IF(OR(SUMIFS(J$5:J$315,$A$5:$A$315,$A39,$C$5:$C$315,$C39-1,$D$5:$D$315,$D39)=0,J39*SUMIFS(J$5:J$315,$A$5:$A$315,$A39,$C$5:$C$315,$C39-1,$D$5:$D$315,$D39)&lt;0),"n.s.",ABS(J39)/ABS(SUMIFS(J$5:J$315,$A$5:$A$315,$A39,$C$5:$C$315,$C39-1,$D$5:$D$315,$D39))-1)))</f>
        <v/>
      </c>
      <c r="U39" s="16">
        <f>IF(OR($A39="",K39="",$C39=""),"",IF(COUNTIFS($A$5:$A$315,$A39,$C$5:$C$315,$C39-1,$D$5:$D$315,$D39,K$5:K$315,"&lt;&gt;")=0,"",IF(OR(SUMIFS(K$5:K$315,$A$5:$A$315,$A39,$C$5:$C$315,$C39-1,$D$5:$D$315,$D39)=0,K39*SUMIFS(K$5:K$315,$A$5:$A$315,$A39,$C$5:$C$315,$C39-1,$D$5:$D$315,$D39)&lt;0),"n.s.",ABS(K39)/ABS(SUMIFS(K$5:K$315,$A$5:$A$315,$A39,$C$5:$C$315,$C39-1,$D$5:$D$315,$D39))-1)))</f>
        <v/>
      </c>
      <c r="V39" s="16">
        <f>IF(OR($A39="",L39="",$C39=""),"",IF(COUNTIFS($A$5:$A$315,$A39,$C$5:$C$315,$C39-1,$D$5:$D$315,$D39,L$5:L$315,"&lt;&gt;")=0,"",IF(OR(SUMIFS(L$5:L$315,$A$5:$A$315,$A39,$C$5:$C$315,$C39-1,$D$5:$D$315,$D39)=0,L39*SUMIFS(L$5:L$315,$A$5:$A$315,$A39,$C$5:$C$315,$C39-1,$D$5:$D$315,$D39)&lt;0),"n.s.",ABS(L39)/ABS(SUMIFS(L$5:L$315,$A$5:$A$315,$A39,$C$5:$C$315,$C39-1,$D$5:$D$315,$D39))-1)))</f>
        <v/>
      </c>
      <c r="W39" s="16">
        <f>IF(OR($A39="",M39="",$C39=""),"",IF(COUNTIFS($A$5:$A$315,$A39,$C$5:$C$315,$C39-1,$D$5:$D$315,$D39,M$5:M$315,"&lt;&gt;")=0,"",IF(OR(SUMIFS(M$5:M$315,$A$5:$A$315,$A39,$C$5:$C$315,$C39-1,$D$5:$D$315,$D39)=0,M39*SUMIFS(M$5:M$315,$A$5:$A$315,$A39,$C$5:$C$315,$C39-1,$D$5:$D$315,$D39)&lt;0),"n.s.",ABS(M39)/ABS(SUMIFS(M$5:M$315,$A$5:$A$315,$A39,$C$5:$C$315,$C39-1,$D$5:$D$315,$D39))-1)))</f>
        <v/>
      </c>
      <c r="X39" s="16">
        <f>IF(OR($A39="",N39="",$C39=""),"",IF(COUNTIFS($A$5:$A$315,$A39,$C$5:$C$315,$C39-1,$D$5:$D$315,$D39,N$5:N$315,"&lt;&gt;")=0,"",IF(OR(SUMIFS(N$5:N$315,$A$5:$A$315,$A39,$C$5:$C$315,$C39-1,$D$5:$D$315,$D39)=0,N39*SUMIFS(N$5:N$315,$A$5:$A$315,$A39,$C$5:$C$315,$C39-1,$D$5:$D$315,$D39)&lt;0),"n.s.",ABS(N39)/ABS(SUMIFS(N$5:N$315,$A$5:$A$315,$A39,$C$5:$C$315,$C39-1,$D$5:$D$315,$D39))-1)))</f>
        <v/>
      </c>
      <c r="Y39" s="16">
        <f>IF(OR($A39="",O39="",$C39=""),"",IF(COUNTIFS($A$5:$A$315,$A39,$C$5:$C$315,$C39-1,$D$5:$D$315,$D39,O$5:O$315,"&lt;&gt;")=0,"",IF(OR(SUMIFS(O$5:O$315,$A$5:$A$315,$A39,$C$5:$C$315,$C39-1,$D$5:$D$315,$D39)=0,O39*SUMIFS(O$5:O$315,$A$5:$A$315,$A39,$C$5:$C$315,$C39-1,$D$5:$D$315,$D39)&lt;0),"n.s.",ABS(O39)/ABS(SUMIFS(O$5:O$315,$A$5:$A$315,$A39,$C$5:$C$315,$C39-1,$D$5:$D$315,$D39))-1)))</f>
        <v/>
      </c>
    </row>
    <row r="40">
      <c r="A40" s="9" t="inlineStr">
        <is>
          <t>BICB</t>
        </is>
      </c>
      <c r="B40" s="10">
        <f>IF(A40="","",IFERROR(VLOOKUP(A40,Titres!$A$2:$B$400,2,FALSE),"Ticker inconnu"))</f>
        <v/>
      </c>
      <c r="C40" s="11" t="n">
        <v>2026</v>
      </c>
      <c r="D40" s="11" t="inlineStr">
        <is>
          <t>T3</t>
        </is>
      </c>
      <c r="E40" s="9" t="n"/>
      <c r="F40" s="12" t="n"/>
      <c r="G40" s="9" t="n"/>
      <c r="H40" s="13" t="n"/>
      <c r="I40" s="13" t="n"/>
      <c r="J40" s="13" t="n"/>
      <c r="K40" s="13" t="n"/>
      <c r="L40" s="13" t="n"/>
      <c r="M40" s="13" t="n"/>
      <c r="N40" s="13" t="n"/>
      <c r="O40" s="13" t="n"/>
      <c r="P40" s="14">
        <f>IF(A40="","",COUNT(H40:O40)/8)</f>
        <v/>
      </c>
      <c r="Q40" s="15">
        <f>IF(COUNT(H40:O40)=0,"",IF(LEN(IF(COUNT(H40,I40,J40)=3,IF(ABS(H40+I40-J40)&lt;=MAX(1,0.02*ABS(J40)),"","RBE &lt;&gt; PNB + frais "),"")&amp;IF(COUNT(J40,K40,L40)=3,IF(ABS(J40+K40-L40)&lt;=MAX(1,0.03*ABS(L40)),"","RAI &lt;&gt; RBE + coût du risque "),"")&amp;IF(COUNT(H40,M40)=2,IF(ABS(M40)&gt;ABS(H40),"RN &gt; PNB ",""),""))=0,"OK",IF(COUNT(H40,I40,J40)=3,IF(ABS(H40+I40-J40)&lt;=MAX(1,0.02*ABS(J40)),"","RBE &lt;&gt; PNB + frais "),"")&amp;IF(COUNT(J40,K40,L40)=3,IF(ABS(J40+K40-L40)&lt;=MAX(1,0.03*ABS(L40)),"","RAI &lt;&gt; RBE + coût du risque "),"")&amp;IF(COUNT(H40,M40)=2,IF(ABS(M40)&gt;ABS(H40),"RN &gt; PNB ",""),"")))</f>
        <v/>
      </c>
      <c r="R40" s="16">
        <f>IF(OR($A40="",H40="",$C40=""),"",IF(COUNTIFS($A$5:$A$315,$A40,$C$5:$C$315,$C40-1,$D$5:$D$315,$D40,H$5:H$315,"&lt;&gt;")=0,"",IF(OR(SUMIFS(H$5:H$315,$A$5:$A$315,$A40,$C$5:$C$315,$C40-1,$D$5:$D$315,$D40)=0,H40*SUMIFS(H$5:H$315,$A$5:$A$315,$A40,$C$5:$C$315,$C40-1,$D$5:$D$315,$D40)&lt;0),"n.s.",ABS(H40)/ABS(SUMIFS(H$5:H$315,$A$5:$A$315,$A40,$C$5:$C$315,$C40-1,$D$5:$D$315,$D40))-1)))</f>
        <v/>
      </c>
      <c r="S40" s="16">
        <f>IF(OR($A40="",I40="",$C40=""),"",IF(COUNTIFS($A$5:$A$315,$A40,$C$5:$C$315,$C40-1,$D$5:$D$315,$D40,I$5:I$315,"&lt;&gt;")=0,"",IF(OR(SUMIFS(I$5:I$315,$A$5:$A$315,$A40,$C$5:$C$315,$C40-1,$D$5:$D$315,$D40)=0,I40*SUMIFS(I$5:I$315,$A$5:$A$315,$A40,$C$5:$C$315,$C40-1,$D$5:$D$315,$D40)&lt;0),"n.s.",ABS(I40)/ABS(SUMIFS(I$5:I$315,$A$5:$A$315,$A40,$C$5:$C$315,$C40-1,$D$5:$D$315,$D40))-1)))</f>
        <v/>
      </c>
      <c r="T40" s="16">
        <f>IF(OR($A40="",J40="",$C40=""),"",IF(COUNTIFS($A$5:$A$315,$A40,$C$5:$C$315,$C40-1,$D$5:$D$315,$D40,J$5:J$315,"&lt;&gt;")=0,"",IF(OR(SUMIFS(J$5:J$315,$A$5:$A$315,$A40,$C$5:$C$315,$C40-1,$D$5:$D$315,$D40)=0,J40*SUMIFS(J$5:J$315,$A$5:$A$315,$A40,$C$5:$C$315,$C40-1,$D$5:$D$315,$D40)&lt;0),"n.s.",ABS(J40)/ABS(SUMIFS(J$5:J$315,$A$5:$A$315,$A40,$C$5:$C$315,$C40-1,$D$5:$D$315,$D40))-1)))</f>
        <v/>
      </c>
      <c r="U40" s="16">
        <f>IF(OR($A40="",K40="",$C40=""),"",IF(COUNTIFS($A$5:$A$315,$A40,$C$5:$C$315,$C40-1,$D$5:$D$315,$D40,K$5:K$315,"&lt;&gt;")=0,"",IF(OR(SUMIFS(K$5:K$315,$A$5:$A$315,$A40,$C$5:$C$315,$C40-1,$D$5:$D$315,$D40)=0,K40*SUMIFS(K$5:K$315,$A$5:$A$315,$A40,$C$5:$C$315,$C40-1,$D$5:$D$315,$D40)&lt;0),"n.s.",ABS(K40)/ABS(SUMIFS(K$5:K$315,$A$5:$A$315,$A40,$C$5:$C$315,$C40-1,$D$5:$D$315,$D40))-1)))</f>
        <v/>
      </c>
      <c r="V40" s="16">
        <f>IF(OR($A40="",L40="",$C40=""),"",IF(COUNTIFS($A$5:$A$315,$A40,$C$5:$C$315,$C40-1,$D$5:$D$315,$D40,L$5:L$315,"&lt;&gt;")=0,"",IF(OR(SUMIFS(L$5:L$315,$A$5:$A$315,$A40,$C$5:$C$315,$C40-1,$D$5:$D$315,$D40)=0,L40*SUMIFS(L$5:L$315,$A$5:$A$315,$A40,$C$5:$C$315,$C40-1,$D$5:$D$315,$D40)&lt;0),"n.s.",ABS(L40)/ABS(SUMIFS(L$5:L$315,$A$5:$A$315,$A40,$C$5:$C$315,$C40-1,$D$5:$D$315,$D40))-1)))</f>
        <v/>
      </c>
      <c r="W40" s="16">
        <f>IF(OR($A40="",M40="",$C40=""),"",IF(COUNTIFS($A$5:$A$315,$A40,$C$5:$C$315,$C40-1,$D$5:$D$315,$D40,M$5:M$315,"&lt;&gt;")=0,"",IF(OR(SUMIFS(M$5:M$315,$A$5:$A$315,$A40,$C$5:$C$315,$C40-1,$D$5:$D$315,$D40)=0,M40*SUMIFS(M$5:M$315,$A$5:$A$315,$A40,$C$5:$C$315,$C40-1,$D$5:$D$315,$D40)&lt;0),"n.s.",ABS(M40)/ABS(SUMIFS(M$5:M$315,$A$5:$A$315,$A40,$C$5:$C$315,$C40-1,$D$5:$D$315,$D40))-1)))</f>
        <v/>
      </c>
      <c r="X40" s="16">
        <f>IF(OR($A40="",N40="",$C40=""),"",IF(COUNTIFS($A$5:$A$315,$A40,$C$5:$C$315,$C40-1,$D$5:$D$315,$D40,N$5:N$315,"&lt;&gt;")=0,"",IF(OR(SUMIFS(N$5:N$315,$A$5:$A$315,$A40,$C$5:$C$315,$C40-1,$D$5:$D$315,$D40)=0,N40*SUMIFS(N$5:N$315,$A$5:$A$315,$A40,$C$5:$C$315,$C40-1,$D$5:$D$315,$D40)&lt;0),"n.s.",ABS(N40)/ABS(SUMIFS(N$5:N$315,$A$5:$A$315,$A40,$C$5:$C$315,$C40-1,$D$5:$D$315,$D40))-1)))</f>
        <v/>
      </c>
      <c r="Y40" s="16">
        <f>IF(OR($A40="",O40="",$C40=""),"",IF(COUNTIFS($A$5:$A$315,$A40,$C$5:$C$315,$C40-1,$D$5:$D$315,$D40,O$5:O$315,"&lt;&gt;")=0,"",IF(OR(SUMIFS(O$5:O$315,$A$5:$A$315,$A40,$C$5:$C$315,$C40-1,$D$5:$D$315,$D40)=0,O40*SUMIFS(O$5:O$315,$A$5:$A$315,$A40,$C$5:$C$315,$C40-1,$D$5:$D$315,$D40)&lt;0),"n.s.",ABS(O40)/ABS(SUMIFS(O$5:O$315,$A$5:$A$315,$A40,$C$5:$C$315,$C40-1,$D$5:$D$315,$D40))-1)))</f>
        <v/>
      </c>
    </row>
    <row r="41">
      <c r="A41" s="9" t="inlineStr">
        <is>
          <t>BICC</t>
        </is>
      </c>
      <c r="B41" s="10">
        <f>IF(A41="","",IFERROR(VLOOKUP(A41,Titres!$A$2:$B$400,2,FALSE),"Ticker inconnu"))</f>
        <v/>
      </c>
      <c r="C41" s="11" t="n">
        <v>2021</v>
      </c>
      <c r="D41" s="11" t="inlineStr">
        <is>
          <t>T1</t>
        </is>
      </c>
      <c r="E41" s="9" t="n"/>
      <c r="F41" s="12" t="n"/>
      <c r="G41" s="9" t="n"/>
      <c r="H41" s="13" t="n"/>
      <c r="I41" s="13" t="n"/>
      <c r="J41" s="13" t="n"/>
      <c r="K41" s="13" t="n"/>
      <c r="L41" s="13" t="n"/>
      <c r="M41" s="13" t="n"/>
      <c r="N41" s="13" t="n"/>
      <c r="O41" s="13" t="n"/>
      <c r="P41" s="14">
        <f>IF(A41="","",COUNT(H41:O41)/8)</f>
        <v/>
      </c>
      <c r="Q41" s="15">
        <f>IF(COUNT(H41:O41)=0,"",IF(LEN(IF(COUNT(H41,I41,J41)=3,IF(ABS(H41+I41-J41)&lt;=MAX(1,0.02*ABS(J41)),"","RBE &lt;&gt; PNB + frais "),"")&amp;IF(COUNT(J41,K41,L41)=3,IF(ABS(J41+K41-L41)&lt;=MAX(1,0.03*ABS(L41)),"","RAI &lt;&gt; RBE + coût du risque "),"")&amp;IF(COUNT(H41,M41)=2,IF(ABS(M41)&gt;ABS(H41),"RN &gt; PNB ",""),""))=0,"OK",IF(COUNT(H41,I41,J41)=3,IF(ABS(H41+I41-J41)&lt;=MAX(1,0.02*ABS(J41)),"","RBE &lt;&gt; PNB + frais "),"")&amp;IF(COUNT(J41,K41,L41)=3,IF(ABS(J41+K41-L41)&lt;=MAX(1,0.03*ABS(L41)),"","RAI &lt;&gt; RBE + coût du risque "),"")&amp;IF(COUNT(H41,M41)=2,IF(ABS(M41)&gt;ABS(H41),"RN &gt; PNB ",""),"")))</f>
        <v/>
      </c>
      <c r="R41" s="16">
        <f>IF(OR($A41="",H41="",$C41=""),"",IF(COUNTIFS($A$5:$A$315,$A41,$C$5:$C$315,$C41-1,$D$5:$D$315,$D41,H$5:H$315,"&lt;&gt;")=0,"",IF(OR(SUMIFS(H$5:H$315,$A$5:$A$315,$A41,$C$5:$C$315,$C41-1,$D$5:$D$315,$D41)=0,H41*SUMIFS(H$5:H$315,$A$5:$A$315,$A41,$C$5:$C$315,$C41-1,$D$5:$D$315,$D41)&lt;0),"n.s.",ABS(H41)/ABS(SUMIFS(H$5:H$315,$A$5:$A$315,$A41,$C$5:$C$315,$C41-1,$D$5:$D$315,$D41))-1)))</f>
        <v/>
      </c>
      <c r="S41" s="16">
        <f>IF(OR($A41="",I41="",$C41=""),"",IF(COUNTIFS($A$5:$A$315,$A41,$C$5:$C$315,$C41-1,$D$5:$D$315,$D41,I$5:I$315,"&lt;&gt;")=0,"",IF(OR(SUMIFS(I$5:I$315,$A$5:$A$315,$A41,$C$5:$C$315,$C41-1,$D$5:$D$315,$D41)=0,I41*SUMIFS(I$5:I$315,$A$5:$A$315,$A41,$C$5:$C$315,$C41-1,$D$5:$D$315,$D41)&lt;0),"n.s.",ABS(I41)/ABS(SUMIFS(I$5:I$315,$A$5:$A$315,$A41,$C$5:$C$315,$C41-1,$D$5:$D$315,$D41))-1)))</f>
        <v/>
      </c>
      <c r="T41" s="16">
        <f>IF(OR($A41="",J41="",$C41=""),"",IF(COUNTIFS($A$5:$A$315,$A41,$C$5:$C$315,$C41-1,$D$5:$D$315,$D41,J$5:J$315,"&lt;&gt;")=0,"",IF(OR(SUMIFS(J$5:J$315,$A$5:$A$315,$A41,$C$5:$C$315,$C41-1,$D$5:$D$315,$D41)=0,J41*SUMIFS(J$5:J$315,$A$5:$A$315,$A41,$C$5:$C$315,$C41-1,$D$5:$D$315,$D41)&lt;0),"n.s.",ABS(J41)/ABS(SUMIFS(J$5:J$315,$A$5:$A$315,$A41,$C$5:$C$315,$C41-1,$D$5:$D$315,$D41))-1)))</f>
        <v/>
      </c>
      <c r="U41" s="16">
        <f>IF(OR($A41="",K41="",$C41=""),"",IF(COUNTIFS($A$5:$A$315,$A41,$C$5:$C$315,$C41-1,$D$5:$D$315,$D41,K$5:K$315,"&lt;&gt;")=0,"",IF(OR(SUMIFS(K$5:K$315,$A$5:$A$315,$A41,$C$5:$C$315,$C41-1,$D$5:$D$315,$D41)=0,K41*SUMIFS(K$5:K$315,$A$5:$A$315,$A41,$C$5:$C$315,$C41-1,$D$5:$D$315,$D41)&lt;0),"n.s.",ABS(K41)/ABS(SUMIFS(K$5:K$315,$A$5:$A$315,$A41,$C$5:$C$315,$C41-1,$D$5:$D$315,$D41))-1)))</f>
        <v/>
      </c>
      <c r="V41" s="16">
        <f>IF(OR($A41="",L41="",$C41=""),"",IF(COUNTIFS($A$5:$A$315,$A41,$C$5:$C$315,$C41-1,$D$5:$D$315,$D41,L$5:L$315,"&lt;&gt;")=0,"",IF(OR(SUMIFS(L$5:L$315,$A$5:$A$315,$A41,$C$5:$C$315,$C41-1,$D$5:$D$315,$D41)=0,L41*SUMIFS(L$5:L$315,$A$5:$A$315,$A41,$C$5:$C$315,$C41-1,$D$5:$D$315,$D41)&lt;0),"n.s.",ABS(L41)/ABS(SUMIFS(L$5:L$315,$A$5:$A$315,$A41,$C$5:$C$315,$C41-1,$D$5:$D$315,$D41))-1)))</f>
        <v/>
      </c>
      <c r="W41" s="16">
        <f>IF(OR($A41="",M41="",$C41=""),"",IF(COUNTIFS($A$5:$A$315,$A41,$C$5:$C$315,$C41-1,$D$5:$D$315,$D41,M$5:M$315,"&lt;&gt;")=0,"",IF(OR(SUMIFS(M$5:M$315,$A$5:$A$315,$A41,$C$5:$C$315,$C41-1,$D$5:$D$315,$D41)=0,M41*SUMIFS(M$5:M$315,$A$5:$A$315,$A41,$C$5:$C$315,$C41-1,$D$5:$D$315,$D41)&lt;0),"n.s.",ABS(M41)/ABS(SUMIFS(M$5:M$315,$A$5:$A$315,$A41,$C$5:$C$315,$C41-1,$D$5:$D$315,$D41))-1)))</f>
        <v/>
      </c>
      <c r="X41" s="16">
        <f>IF(OR($A41="",N41="",$C41=""),"",IF(COUNTIFS($A$5:$A$315,$A41,$C$5:$C$315,$C41-1,$D$5:$D$315,$D41,N$5:N$315,"&lt;&gt;")=0,"",IF(OR(SUMIFS(N$5:N$315,$A$5:$A$315,$A41,$C$5:$C$315,$C41-1,$D$5:$D$315,$D41)=0,N41*SUMIFS(N$5:N$315,$A$5:$A$315,$A41,$C$5:$C$315,$C41-1,$D$5:$D$315,$D41)&lt;0),"n.s.",ABS(N41)/ABS(SUMIFS(N$5:N$315,$A$5:$A$315,$A41,$C$5:$C$315,$C41-1,$D$5:$D$315,$D41))-1)))</f>
        <v/>
      </c>
      <c r="Y41" s="16">
        <f>IF(OR($A41="",O41="",$C41=""),"",IF(COUNTIFS($A$5:$A$315,$A41,$C$5:$C$315,$C41-1,$D$5:$D$315,$D41,O$5:O$315,"&lt;&gt;")=0,"",IF(OR(SUMIFS(O$5:O$315,$A$5:$A$315,$A41,$C$5:$C$315,$C41-1,$D$5:$D$315,$D41)=0,O41*SUMIFS(O$5:O$315,$A$5:$A$315,$A41,$C$5:$C$315,$C41-1,$D$5:$D$315,$D41)&lt;0),"n.s.",ABS(O41)/ABS(SUMIFS(O$5:O$315,$A$5:$A$315,$A41,$C$5:$C$315,$C41-1,$D$5:$D$315,$D41))-1)))</f>
        <v/>
      </c>
    </row>
    <row r="42">
      <c r="A42" s="9" t="inlineStr">
        <is>
          <t>BICC</t>
        </is>
      </c>
      <c r="B42" s="10">
        <f>IF(A42="","",IFERROR(VLOOKUP(A42,Titres!$A$2:$B$400,2,FALSE),"Ticker inconnu"))</f>
        <v/>
      </c>
      <c r="C42" s="11" t="n">
        <v>2021</v>
      </c>
      <c r="D42" s="11" t="inlineStr">
        <is>
          <t>S1</t>
        </is>
      </c>
      <c r="E42" s="9" t="n"/>
      <c r="F42" s="12" t="n"/>
      <c r="G42" s="9" t="n"/>
      <c r="H42" s="13" t="n"/>
      <c r="I42" s="13" t="n"/>
      <c r="J42" s="13" t="n"/>
      <c r="K42" s="13" t="n"/>
      <c r="L42" s="13" t="n"/>
      <c r="M42" s="13" t="n"/>
      <c r="N42" s="13" t="n"/>
      <c r="O42" s="13" t="n"/>
      <c r="P42" s="14">
        <f>IF(A42="","",COUNT(H42:O42)/8)</f>
        <v/>
      </c>
      <c r="Q42" s="15">
        <f>IF(COUNT(H42:O42)=0,"",IF(LEN(IF(COUNT(H42,I42,J42)=3,IF(ABS(H42+I42-J42)&lt;=MAX(1,0.02*ABS(J42)),"","RBE &lt;&gt; PNB + frais "),"")&amp;IF(COUNT(J42,K42,L42)=3,IF(ABS(J42+K42-L42)&lt;=MAX(1,0.03*ABS(L42)),"","RAI &lt;&gt; RBE + coût du risque "),"")&amp;IF(COUNT(H42,M42)=2,IF(ABS(M42)&gt;ABS(H42),"RN &gt; PNB ",""),""))=0,"OK",IF(COUNT(H42,I42,J42)=3,IF(ABS(H42+I42-J42)&lt;=MAX(1,0.02*ABS(J42)),"","RBE &lt;&gt; PNB + frais "),"")&amp;IF(COUNT(J42,K42,L42)=3,IF(ABS(J42+K42-L42)&lt;=MAX(1,0.03*ABS(L42)),"","RAI &lt;&gt; RBE + coût du risque "),"")&amp;IF(COUNT(H42,M42)=2,IF(ABS(M42)&gt;ABS(H42),"RN &gt; PNB ",""),"")))</f>
        <v/>
      </c>
      <c r="R42" s="16">
        <f>IF(OR($A42="",H42="",$C42=""),"",IF(COUNTIFS($A$5:$A$315,$A42,$C$5:$C$315,$C42-1,$D$5:$D$315,$D42,H$5:H$315,"&lt;&gt;")=0,"",IF(OR(SUMIFS(H$5:H$315,$A$5:$A$315,$A42,$C$5:$C$315,$C42-1,$D$5:$D$315,$D42)=0,H42*SUMIFS(H$5:H$315,$A$5:$A$315,$A42,$C$5:$C$315,$C42-1,$D$5:$D$315,$D42)&lt;0),"n.s.",ABS(H42)/ABS(SUMIFS(H$5:H$315,$A$5:$A$315,$A42,$C$5:$C$315,$C42-1,$D$5:$D$315,$D42))-1)))</f>
        <v/>
      </c>
      <c r="S42" s="16">
        <f>IF(OR($A42="",I42="",$C42=""),"",IF(COUNTIFS($A$5:$A$315,$A42,$C$5:$C$315,$C42-1,$D$5:$D$315,$D42,I$5:I$315,"&lt;&gt;")=0,"",IF(OR(SUMIFS(I$5:I$315,$A$5:$A$315,$A42,$C$5:$C$315,$C42-1,$D$5:$D$315,$D42)=0,I42*SUMIFS(I$5:I$315,$A$5:$A$315,$A42,$C$5:$C$315,$C42-1,$D$5:$D$315,$D42)&lt;0),"n.s.",ABS(I42)/ABS(SUMIFS(I$5:I$315,$A$5:$A$315,$A42,$C$5:$C$315,$C42-1,$D$5:$D$315,$D42))-1)))</f>
        <v/>
      </c>
      <c r="T42" s="16">
        <f>IF(OR($A42="",J42="",$C42=""),"",IF(COUNTIFS($A$5:$A$315,$A42,$C$5:$C$315,$C42-1,$D$5:$D$315,$D42,J$5:J$315,"&lt;&gt;")=0,"",IF(OR(SUMIFS(J$5:J$315,$A$5:$A$315,$A42,$C$5:$C$315,$C42-1,$D$5:$D$315,$D42)=0,J42*SUMIFS(J$5:J$315,$A$5:$A$315,$A42,$C$5:$C$315,$C42-1,$D$5:$D$315,$D42)&lt;0),"n.s.",ABS(J42)/ABS(SUMIFS(J$5:J$315,$A$5:$A$315,$A42,$C$5:$C$315,$C42-1,$D$5:$D$315,$D42))-1)))</f>
        <v/>
      </c>
      <c r="U42" s="16">
        <f>IF(OR($A42="",K42="",$C42=""),"",IF(COUNTIFS($A$5:$A$315,$A42,$C$5:$C$315,$C42-1,$D$5:$D$315,$D42,K$5:K$315,"&lt;&gt;")=0,"",IF(OR(SUMIFS(K$5:K$315,$A$5:$A$315,$A42,$C$5:$C$315,$C42-1,$D$5:$D$315,$D42)=0,K42*SUMIFS(K$5:K$315,$A$5:$A$315,$A42,$C$5:$C$315,$C42-1,$D$5:$D$315,$D42)&lt;0),"n.s.",ABS(K42)/ABS(SUMIFS(K$5:K$315,$A$5:$A$315,$A42,$C$5:$C$315,$C42-1,$D$5:$D$315,$D42))-1)))</f>
        <v/>
      </c>
      <c r="V42" s="16">
        <f>IF(OR($A42="",L42="",$C42=""),"",IF(COUNTIFS($A$5:$A$315,$A42,$C$5:$C$315,$C42-1,$D$5:$D$315,$D42,L$5:L$315,"&lt;&gt;")=0,"",IF(OR(SUMIFS(L$5:L$315,$A$5:$A$315,$A42,$C$5:$C$315,$C42-1,$D$5:$D$315,$D42)=0,L42*SUMIFS(L$5:L$315,$A$5:$A$315,$A42,$C$5:$C$315,$C42-1,$D$5:$D$315,$D42)&lt;0),"n.s.",ABS(L42)/ABS(SUMIFS(L$5:L$315,$A$5:$A$315,$A42,$C$5:$C$315,$C42-1,$D$5:$D$315,$D42))-1)))</f>
        <v/>
      </c>
      <c r="W42" s="16">
        <f>IF(OR($A42="",M42="",$C42=""),"",IF(COUNTIFS($A$5:$A$315,$A42,$C$5:$C$315,$C42-1,$D$5:$D$315,$D42,M$5:M$315,"&lt;&gt;")=0,"",IF(OR(SUMIFS(M$5:M$315,$A$5:$A$315,$A42,$C$5:$C$315,$C42-1,$D$5:$D$315,$D42)=0,M42*SUMIFS(M$5:M$315,$A$5:$A$315,$A42,$C$5:$C$315,$C42-1,$D$5:$D$315,$D42)&lt;0),"n.s.",ABS(M42)/ABS(SUMIFS(M$5:M$315,$A$5:$A$315,$A42,$C$5:$C$315,$C42-1,$D$5:$D$315,$D42))-1)))</f>
        <v/>
      </c>
      <c r="X42" s="16">
        <f>IF(OR($A42="",N42="",$C42=""),"",IF(COUNTIFS($A$5:$A$315,$A42,$C$5:$C$315,$C42-1,$D$5:$D$315,$D42,N$5:N$315,"&lt;&gt;")=0,"",IF(OR(SUMIFS(N$5:N$315,$A$5:$A$315,$A42,$C$5:$C$315,$C42-1,$D$5:$D$315,$D42)=0,N42*SUMIFS(N$5:N$315,$A$5:$A$315,$A42,$C$5:$C$315,$C42-1,$D$5:$D$315,$D42)&lt;0),"n.s.",ABS(N42)/ABS(SUMIFS(N$5:N$315,$A$5:$A$315,$A42,$C$5:$C$315,$C42-1,$D$5:$D$315,$D42))-1)))</f>
        <v/>
      </c>
      <c r="Y42" s="16">
        <f>IF(OR($A42="",O42="",$C42=""),"",IF(COUNTIFS($A$5:$A$315,$A42,$C$5:$C$315,$C42-1,$D$5:$D$315,$D42,O$5:O$315,"&lt;&gt;")=0,"",IF(OR(SUMIFS(O$5:O$315,$A$5:$A$315,$A42,$C$5:$C$315,$C42-1,$D$5:$D$315,$D42)=0,O42*SUMIFS(O$5:O$315,$A$5:$A$315,$A42,$C$5:$C$315,$C42-1,$D$5:$D$315,$D42)&lt;0),"n.s.",ABS(O42)/ABS(SUMIFS(O$5:O$315,$A$5:$A$315,$A42,$C$5:$C$315,$C42-1,$D$5:$D$315,$D42))-1)))</f>
        <v/>
      </c>
    </row>
    <row r="43">
      <c r="A43" s="9" t="inlineStr">
        <is>
          <t>BICC</t>
        </is>
      </c>
      <c r="B43" s="10">
        <f>IF(A43="","",IFERROR(VLOOKUP(A43,Titres!$A$2:$B$400,2,FALSE),"Ticker inconnu"))</f>
        <v/>
      </c>
      <c r="C43" s="11" t="n">
        <v>2021</v>
      </c>
      <c r="D43" s="11" t="inlineStr">
        <is>
          <t>T3</t>
        </is>
      </c>
      <c r="E43" s="9" t="n"/>
      <c r="F43" s="12" t="n"/>
      <c r="G43" s="9" t="n"/>
      <c r="H43" s="13" t="n"/>
      <c r="I43" s="13" t="n"/>
      <c r="J43" s="13" t="n"/>
      <c r="K43" s="13" t="n"/>
      <c r="L43" s="13" t="n"/>
      <c r="M43" s="13" t="n"/>
      <c r="N43" s="13" t="n"/>
      <c r="O43" s="13" t="n"/>
      <c r="P43" s="14">
        <f>IF(A43="","",COUNT(H43:O43)/8)</f>
        <v/>
      </c>
      <c r="Q43" s="15">
        <f>IF(COUNT(H43:O43)=0,"",IF(LEN(IF(COUNT(H43,I43,J43)=3,IF(ABS(H43+I43-J43)&lt;=MAX(1,0.02*ABS(J43)),"","RBE &lt;&gt; PNB + frais "),"")&amp;IF(COUNT(J43,K43,L43)=3,IF(ABS(J43+K43-L43)&lt;=MAX(1,0.03*ABS(L43)),"","RAI &lt;&gt; RBE + coût du risque "),"")&amp;IF(COUNT(H43,M43)=2,IF(ABS(M43)&gt;ABS(H43),"RN &gt; PNB ",""),""))=0,"OK",IF(COUNT(H43,I43,J43)=3,IF(ABS(H43+I43-J43)&lt;=MAX(1,0.02*ABS(J43)),"","RBE &lt;&gt; PNB + frais "),"")&amp;IF(COUNT(J43,K43,L43)=3,IF(ABS(J43+K43-L43)&lt;=MAX(1,0.03*ABS(L43)),"","RAI &lt;&gt; RBE + coût du risque "),"")&amp;IF(COUNT(H43,M43)=2,IF(ABS(M43)&gt;ABS(H43),"RN &gt; PNB ",""),"")))</f>
        <v/>
      </c>
      <c r="R43" s="16">
        <f>IF(OR($A43="",H43="",$C43=""),"",IF(COUNTIFS($A$5:$A$315,$A43,$C$5:$C$315,$C43-1,$D$5:$D$315,$D43,H$5:H$315,"&lt;&gt;")=0,"",IF(OR(SUMIFS(H$5:H$315,$A$5:$A$315,$A43,$C$5:$C$315,$C43-1,$D$5:$D$315,$D43)=0,H43*SUMIFS(H$5:H$315,$A$5:$A$315,$A43,$C$5:$C$315,$C43-1,$D$5:$D$315,$D43)&lt;0),"n.s.",ABS(H43)/ABS(SUMIFS(H$5:H$315,$A$5:$A$315,$A43,$C$5:$C$315,$C43-1,$D$5:$D$315,$D43))-1)))</f>
        <v/>
      </c>
      <c r="S43" s="16">
        <f>IF(OR($A43="",I43="",$C43=""),"",IF(COUNTIFS($A$5:$A$315,$A43,$C$5:$C$315,$C43-1,$D$5:$D$315,$D43,I$5:I$315,"&lt;&gt;")=0,"",IF(OR(SUMIFS(I$5:I$315,$A$5:$A$315,$A43,$C$5:$C$315,$C43-1,$D$5:$D$315,$D43)=0,I43*SUMIFS(I$5:I$315,$A$5:$A$315,$A43,$C$5:$C$315,$C43-1,$D$5:$D$315,$D43)&lt;0),"n.s.",ABS(I43)/ABS(SUMIFS(I$5:I$315,$A$5:$A$315,$A43,$C$5:$C$315,$C43-1,$D$5:$D$315,$D43))-1)))</f>
        <v/>
      </c>
      <c r="T43" s="16">
        <f>IF(OR($A43="",J43="",$C43=""),"",IF(COUNTIFS($A$5:$A$315,$A43,$C$5:$C$315,$C43-1,$D$5:$D$315,$D43,J$5:J$315,"&lt;&gt;")=0,"",IF(OR(SUMIFS(J$5:J$315,$A$5:$A$315,$A43,$C$5:$C$315,$C43-1,$D$5:$D$315,$D43)=0,J43*SUMIFS(J$5:J$315,$A$5:$A$315,$A43,$C$5:$C$315,$C43-1,$D$5:$D$315,$D43)&lt;0),"n.s.",ABS(J43)/ABS(SUMIFS(J$5:J$315,$A$5:$A$315,$A43,$C$5:$C$315,$C43-1,$D$5:$D$315,$D43))-1)))</f>
        <v/>
      </c>
      <c r="U43" s="16">
        <f>IF(OR($A43="",K43="",$C43=""),"",IF(COUNTIFS($A$5:$A$315,$A43,$C$5:$C$315,$C43-1,$D$5:$D$315,$D43,K$5:K$315,"&lt;&gt;")=0,"",IF(OR(SUMIFS(K$5:K$315,$A$5:$A$315,$A43,$C$5:$C$315,$C43-1,$D$5:$D$315,$D43)=0,K43*SUMIFS(K$5:K$315,$A$5:$A$315,$A43,$C$5:$C$315,$C43-1,$D$5:$D$315,$D43)&lt;0),"n.s.",ABS(K43)/ABS(SUMIFS(K$5:K$315,$A$5:$A$315,$A43,$C$5:$C$315,$C43-1,$D$5:$D$315,$D43))-1)))</f>
        <v/>
      </c>
      <c r="V43" s="16">
        <f>IF(OR($A43="",L43="",$C43=""),"",IF(COUNTIFS($A$5:$A$315,$A43,$C$5:$C$315,$C43-1,$D$5:$D$315,$D43,L$5:L$315,"&lt;&gt;")=0,"",IF(OR(SUMIFS(L$5:L$315,$A$5:$A$315,$A43,$C$5:$C$315,$C43-1,$D$5:$D$315,$D43)=0,L43*SUMIFS(L$5:L$315,$A$5:$A$315,$A43,$C$5:$C$315,$C43-1,$D$5:$D$315,$D43)&lt;0),"n.s.",ABS(L43)/ABS(SUMIFS(L$5:L$315,$A$5:$A$315,$A43,$C$5:$C$315,$C43-1,$D$5:$D$315,$D43))-1)))</f>
        <v/>
      </c>
      <c r="W43" s="16">
        <f>IF(OR($A43="",M43="",$C43=""),"",IF(COUNTIFS($A$5:$A$315,$A43,$C$5:$C$315,$C43-1,$D$5:$D$315,$D43,M$5:M$315,"&lt;&gt;")=0,"",IF(OR(SUMIFS(M$5:M$315,$A$5:$A$315,$A43,$C$5:$C$315,$C43-1,$D$5:$D$315,$D43)=0,M43*SUMIFS(M$5:M$315,$A$5:$A$315,$A43,$C$5:$C$315,$C43-1,$D$5:$D$315,$D43)&lt;0),"n.s.",ABS(M43)/ABS(SUMIFS(M$5:M$315,$A$5:$A$315,$A43,$C$5:$C$315,$C43-1,$D$5:$D$315,$D43))-1)))</f>
        <v/>
      </c>
      <c r="X43" s="16">
        <f>IF(OR($A43="",N43="",$C43=""),"",IF(COUNTIFS($A$5:$A$315,$A43,$C$5:$C$315,$C43-1,$D$5:$D$315,$D43,N$5:N$315,"&lt;&gt;")=0,"",IF(OR(SUMIFS(N$5:N$315,$A$5:$A$315,$A43,$C$5:$C$315,$C43-1,$D$5:$D$315,$D43)=0,N43*SUMIFS(N$5:N$315,$A$5:$A$315,$A43,$C$5:$C$315,$C43-1,$D$5:$D$315,$D43)&lt;0),"n.s.",ABS(N43)/ABS(SUMIFS(N$5:N$315,$A$5:$A$315,$A43,$C$5:$C$315,$C43-1,$D$5:$D$315,$D43))-1)))</f>
        <v/>
      </c>
      <c r="Y43" s="16">
        <f>IF(OR($A43="",O43="",$C43=""),"",IF(COUNTIFS($A$5:$A$315,$A43,$C$5:$C$315,$C43-1,$D$5:$D$315,$D43,O$5:O$315,"&lt;&gt;")=0,"",IF(OR(SUMIFS(O$5:O$315,$A$5:$A$315,$A43,$C$5:$C$315,$C43-1,$D$5:$D$315,$D43)=0,O43*SUMIFS(O$5:O$315,$A$5:$A$315,$A43,$C$5:$C$315,$C43-1,$D$5:$D$315,$D43)&lt;0),"n.s.",ABS(O43)/ABS(SUMIFS(O$5:O$315,$A$5:$A$315,$A43,$C$5:$C$315,$C43-1,$D$5:$D$315,$D43))-1)))</f>
        <v/>
      </c>
    </row>
    <row r="44">
      <c r="A44" s="9" t="inlineStr">
        <is>
          <t>BICC</t>
        </is>
      </c>
      <c r="B44" s="10">
        <f>IF(A44="","",IFERROR(VLOOKUP(A44,Titres!$A$2:$B$400,2,FALSE),"Ticker inconnu"))</f>
        <v/>
      </c>
      <c r="C44" s="11" t="n">
        <v>2022</v>
      </c>
      <c r="D44" s="11" t="inlineStr">
        <is>
          <t>T1</t>
        </is>
      </c>
      <c r="E44" s="9" t="n"/>
      <c r="F44" s="12" t="n"/>
      <c r="G44" s="9" t="n"/>
      <c r="H44" s="13" t="n"/>
      <c r="I44" s="13" t="n"/>
      <c r="J44" s="13" t="n"/>
      <c r="K44" s="13" t="n"/>
      <c r="L44" s="13" t="n"/>
      <c r="M44" s="13" t="n"/>
      <c r="N44" s="13" t="n"/>
      <c r="O44" s="13" t="n"/>
      <c r="P44" s="14">
        <f>IF(A44="","",COUNT(H44:O44)/8)</f>
        <v/>
      </c>
      <c r="Q44" s="15">
        <f>IF(COUNT(H44:O44)=0,"",IF(LEN(IF(COUNT(H44,I44,J44)=3,IF(ABS(H44+I44-J44)&lt;=MAX(1,0.02*ABS(J44)),"","RBE &lt;&gt; PNB + frais "),"")&amp;IF(COUNT(J44,K44,L44)=3,IF(ABS(J44+K44-L44)&lt;=MAX(1,0.03*ABS(L44)),"","RAI &lt;&gt; RBE + coût du risque "),"")&amp;IF(COUNT(H44,M44)=2,IF(ABS(M44)&gt;ABS(H44),"RN &gt; PNB ",""),""))=0,"OK",IF(COUNT(H44,I44,J44)=3,IF(ABS(H44+I44-J44)&lt;=MAX(1,0.02*ABS(J44)),"","RBE &lt;&gt; PNB + frais "),"")&amp;IF(COUNT(J44,K44,L44)=3,IF(ABS(J44+K44-L44)&lt;=MAX(1,0.03*ABS(L44)),"","RAI &lt;&gt; RBE + coût du risque "),"")&amp;IF(COUNT(H44,M44)=2,IF(ABS(M44)&gt;ABS(H44),"RN &gt; PNB ",""),"")))</f>
        <v/>
      </c>
      <c r="R44" s="16">
        <f>IF(OR($A44="",H44="",$C44=""),"",IF(COUNTIFS($A$5:$A$315,$A44,$C$5:$C$315,$C44-1,$D$5:$D$315,$D44,H$5:H$315,"&lt;&gt;")=0,"",IF(OR(SUMIFS(H$5:H$315,$A$5:$A$315,$A44,$C$5:$C$315,$C44-1,$D$5:$D$315,$D44)=0,H44*SUMIFS(H$5:H$315,$A$5:$A$315,$A44,$C$5:$C$315,$C44-1,$D$5:$D$315,$D44)&lt;0),"n.s.",ABS(H44)/ABS(SUMIFS(H$5:H$315,$A$5:$A$315,$A44,$C$5:$C$315,$C44-1,$D$5:$D$315,$D44))-1)))</f>
        <v/>
      </c>
      <c r="S44" s="16">
        <f>IF(OR($A44="",I44="",$C44=""),"",IF(COUNTIFS($A$5:$A$315,$A44,$C$5:$C$315,$C44-1,$D$5:$D$315,$D44,I$5:I$315,"&lt;&gt;")=0,"",IF(OR(SUMIFS(I$5:I$315,$A$5:$A$315,$A44,$C$5:$C$315,$C44-1,$D$5:$D$315,$D44)=0,I44*SUMIFS(I$5:I$315,$A$5:$A$315,$A44,$C$5:$C$315,$C44-1,$D$5:$D$315,$D44)&lt;0),"n.s.",ABS(I44)/ABS(SUMIFS(I$5:I$315,$A$5:$A$315,$A44,$C$5:$C$315,$C44-1,$D$5:$D$315,$D44))-1)))</f>
        <v/>
      </c>
      <c r="T44" s="16">
        <f>IF(OR($A44="",J44="",$C44=""),"",IF(COUNTIFS($A$5:$A$315,$A44,$C$5:$C$315,$C44-1,$D$5:$D$315,$D44,J$5:J$315,"&lt;&gt;")=0,"",IF(OR(SUMIFS(J$5:J$315,$A$5:$A$315,$A44,$C$5:$C$315,$C44-1,$D$5:$D$315,$D44)=0,J44*SUMIFS(J$5:J$315,$A$5:$A$315,$A44,$C$5:$C$315,$C44-1,$D$5:$D$315,$D44)&lt;0),"n.s.",ABS(J44)/ABS(SUMIFS(J$5:J$315,$A$5:$A$315,$A44,$C$5:$C$315,$C44-1,$D$5:$D$315,$D44))-1)))</f>
        <v/>
      </c>
      <c r="U44" s="16">
        <f>IF(OR($A44="",K44="",$C44=""),"",IF(COUNTIFS($A$5:$A$315,$A44,$C$5:$C$315,$C44-1,$D$5:$D$315,$D44,K$5:K$315,"&lt;&gt;")=0,"",IF(OR(SUMIFS(K$5:K$315,$A$5:$A$315,$A44,$C$5:$C$315,$C44-1,$D$5:$D$315,$D44)=0,K44*SUMIFS(K$5:K$315,$A$5:$A$315,$A44,$C$5:$C$315,$C44-1,$D$5:$D$315,$D44)&lt;0),"n.s.",ABS(K44)/ABS(SUMIFS(K$5:K$315,$A$5:$A$315,$A44,$C$5:$C$315,$C44-1,$D$5:$D$315,$D44))-1)))</f>
        <v/>
      </c>
      <c r="V44" s="16">
        <f>IF(OR($A44="",L44="",$C44=""),"",IF(COUNTIFS($A$5:$A$315,$A44,$C$5:$C$315,$C44-1,$D$5:$D$315,$D44,L$5:L$315,"&lt;&gt;")=0,"",IF(OR(SUMIFS(L$5:L$315,$A$5:$A$315,$A44,$C$5:$C$315,$C44-1,$D$5:$D$315,$D44)=0,L44*SUMIFS(L$5:L$315,$A$5:$A$315,$A44,$C$5:$C$315,$C44-1,$D$5:$D$315,$D44)&lt;0),"n.s.",ABS(L44)/ABS(SUMIFS(L$5:L$315,$A$5:$A$315,$A44,$C$5:$C$315,$C44-1,$D$5:$D$315,$D44))-1)))</f>
        <v/>
      </c>
      <c r="W44" s="16">
        <f>IF(OR($A44="",M44="",$C44=""),"",IF(COUNTIFS($A$5:$A$315,$A44,$C$5:$C$315,$C44-1,$D$5:$D$315,$D44,M$5:M$315,"&lt;&gt;")=0,"",IF(OR(SUMIFS(M$5:M$315,$A$5:$A$315,$A44,$C$5:$C$315,$C44-1,$D$5:$D$315,$D44)=0,M44*SUMIFS(M$5:M$315,$A$5:$A$315,$A44,$C$5:$C$315,$C44-1,$D$5:$D$315,$D44)&lt;0),"n.s.",ABS(M44)/ABS(SUMIFS(M$5:M$315,$A$5:$A$315,$A44,$C$5:$C$315,$C44-1,$D$5:$D$315,$D44))-1)))</f>
        <v/>
      </c>
      <c r="X44" s="16">
        <f>IF(OR($A44="",N44="",$C44=""),"",IF(COUNTIFS($A$5:$A$315,$A44,$C$5:$C$315,$C44-1,$D$5:$D$315,$D44,N$5:N$315,"&lt;&gt;")=0,"",IF(OR(SUMIFS(N$5:N$315,$A$5:$A$315,$A44,$C$5:$C$315,$C44-1,$D$5:$D$315,$D44)=0,N44*SUMIFS(N$5:N$315,$A$5:$A$315,$A44,$C$5:$C$315,$C44-1,$D$5:$D$315,$D44)&lt;0),"n.s.",ABS(N44)/ABS(SUMIFS(N$5:N$315,$A$5:$A$315,$A44,$C$5:$C$315,$C44-1,$D$5:$D$315,$D44))-1)))</f>
        <v/>
      </c>
      <c r="Y44" s="16">
        <f>IF(OR($A44="",O44="",$C44=""),"",IF(COUNTIFS($A$5:$A$315,$A44,$C$5:$C$315,$C44-1,$D$5:$D$315,$D44,O$5:O$315,"&lt;&gt;")=0,"",IF(OR(SUMIFS(O$5:O$315,$A$5:$A$315,$A44,$C$5:$C$315,$C44-1,$D$5:$D$315,$D44)=0,O44*SUMIFS(O$5:O$315,$A$5:$A$315,$A44,$C$5:$C$315,$C44-1,$D$5:$D$315,$D44)&lt;0),"n.s.",ABS(O44)/ABS(SUMIFS(O$5:O$315,$A$5:$A$315,$A44,$C$5:$C$315,$C44-1,$D$5:$D$315,$D44))-1)))</f>
        <v/>
      </c>
    </row>
    <row r="45">
      <c r="A45" s="9" t="inlineStr">
        <is>
          <t>BICC</t>
        </is>
      </c>
      <c r="B45" s="10">
        <f>IF(A45="","",IFERROR(VLOOKUP(A45,Titres!$A$2:$B$400,2,FALSE),"Ticker inconnu"))</f>
        <v/>
      </c>
      <c r="C45" s="11" t="n">
        <v>2022</v>
      </c>
      <c r="D45" s="11" t="inlineStr">
        <is>
          <t>S1</t>
        </is>
      </c>
      <c r="E45" s="9" t="n"/>
      <c r="F45" s="12" t="n"/>
      <c r="G45" s="9" t="n"/>
      <c r="H45" s="13" t="n"/>
      <c r="I45" s="13" t="n"/>
      <c r="J45" s="13" t="n"/>
      <c r="K45" s="13" t="n"/>
      <c r="L45" s="13" t="n"/>
      <c r="M45" s="13" t="n"/>
      <c r="N45" s="13" t="n"/>
      <c r="O45" s="13" t="n"/>
      <c r="P45" s="14">
        <f>IF(A45="","",COUNT(H45:O45)/8)</f>
        <v/>
      </c>
      <c r="Q45" s="15">
        <f>IF(COUNT(H45:O45)=0,"",IF(LEN(IF(COUNT(H45,I45,J45)=3,IF(ABS(H45+I45-J45)&lt;=MAX(1,0.02*ABS(J45)),"","RBE &lt;&gt; PNB + frais "),"")&amp;IF(COUNT(J45,K45,L45)=3,IF(ABS(J45+K45-L45)&lt;=MAX(1,0.03*ABS(L45)),"","RAI &lt;&gt; RBE + coût du risque "),"")&amp;IF(COUNT(H45,M45)=2,IF(ABS(M45)&gt;ABS(H45),"RN &gt; PNB ",""),""))=0,"OK",IF(COUNT(H45,I45,J45)=3,IF(ABS(H45+I45-J45)&lt;=MAX(1,0.02*ABS(J45)),"","RBE &lt;&gt; PNB + frais "),"")&amp;IF(COUNT(J45,K45,L45)=3,IF(ABS(J45+K45-L45)&lt;=MAX(1,0.03*ABS(L45)),"","RAI &lt;&gt; RBE + coût du risque "),"")&amp;IF(COUNT(H45,M45)=2,IF(ABS(M45)&gt;ABS(H45),"RN &gt; PNB ",""),"")))</f>
        <v/>
      </c>
      <c r="R45" s="16">
        <f>IF(OR($A45="",H45="",$C45=""),"",IF(COUNTIFS($A$5:$A$315,$A45,$C$5:$C$315,$C45-1,$D$5:$D$315,$D45,H$5:H$315,"&lt;&gt;")=0,"",IF(OR(SUMIFS(H$5:H$315,$A$5:$A$315,$A45,$C$5:$C$315,$C45-1,$D$5:$D$315,$D45)=0,H45*SUMIFS(H$5:H$315,$A$5:$A$315,$A45,$C$5:$C$315,$C45-1,$D$5:$D$315,$D45)&lt;0),"n.s.",ABS(H45)/ABS(SUMIFS(H$5:H$315,$A$5:$A$315,$A45,$C$5:$C$315,$C45-1,$D$5:$D$315,$D45))-1)))</f>
        <v/>
      </c>
      <c r="S45" s="16">
        <f>IF(OR($A45="",I45="",$C45=""),"",IF(COUNTIFS($A$5:$A$315,$A45,$C$5:$C$315,$C45-1,$D$5:$D$315,$D45,I$5:I$315,"&lt;&gt;")=0,"",IF(OR(SUMIFS(I$5:I$315,$A$5:$A$315,$A45,$C$5:$C$315,$C45-1,$D$5:$D$315,$D45)=0,I45*SUMIFS(I$5:I$315,$A$5:$A$315,$A45,$C$5:$C$315,$C45-1,$D$5:$D$315,$D45)&lt;0),"n.s.",ABS(I45)/ABS(SUMIFS(I$5:I$315,$A$5:$A$315,$A45,$C$5:$C$315,$C45-1,$D$5:$D$315,$D45))-1)))</f>
        <v/>
      </c>
      <c r="T45" s="16">
        <f>IF(OR($A45="",J45="",$C45=""),"",IF(COUNTIFS($A$5:$A$315,$A45,$C$5:$C$315,$C45-1,$D$5:$D$315,$D45,J$5:J$315,"&lt;&gt;")=0,"",IF(OR(SUMIFS(J$5:J$315,$A$5:$A$315,$A45,$C$5:$C$315,$C45-1,$D$5:$D$315,$D45)=0,J45*SUMIFS(J$5:J$315,$A$5:$A$315,$A45,$C$5:$C$315,$C45-1,$D$5:$D$315,$D45)&lt;0),"n.s.",ABS(J45)/ABS(SUMIFS(J$5:J$315,$A$5:$A$315,$A45,$C$5:$C$315,$C45-1,$D$5:$D$315,$D45))-1)))</f>
        <v/>
      </c>
      <c r="U45" s="16">
        <f>IF(OR($A45="",K45="",$C45=""),"",IF(COUNTIFS($A$5:$A$315,$A45,$C$5:$C$315,$C45-1,$D$5:$D$315,$D45,K$5:K$315,"&lt;&gt;")=0,"",IF(OR(SUMIFS(K$5:K$315,$A$5:$A$315,$A45,$C$5:$C$315,$C45-1,$D$5:$D$315,$D45)=0,K45*SUMIFS(K$5:K$315,$A$5:$A$315,$A45,$C$5:$C$315,$C45-1,$D$5:$D$315,$D45)&lt;0),"n.s.",ABS(K45)/ABS(SUMIFS(K$5:K$315,$A$5:$A$315,$A45,$C$5:$C$315,$C45-1,$D$5:$D$315,$D45))-1)))</f>
        <v/>
      </c>
      <c r="V45" s="16">
        <f>IF(OR($A45="",L45="",$C45=""),"",IF(COUNTIFS($A$5:$A$315,$A45,$C$5:$C$315,$C45-1,$D$5:$D$315,$D45,L$5:L$315,"&lt;&gt;")=0,"",IF(OR(SUMIFS(L$5:L$315,$A$5:$A$315,$A45,$C$5:$C$315,$C45-1,$D$5:$D$315,$D45)=0,L45*SUMIFS(L$5:L$315,$A$5:$A$315,$A45,$C$5:$C$315,$C45-1,$D$5:$D$315,$D45)&lt;0),"n.s.",ABS(L45)/ABS(SUMIFS(L$5:L$315,$A$5:$A$315,$A45,$C$5:$C$315,$C45-1,$D$5:$D$315,$D45))-1)))</f>
        <v/>
      </c>
      <c r="W45" s="16">
        <f>IF(OR($A45="",M45="",$C45=""),"",IF(COUNTIFS($A$5:$A$315,$A45,$C$5:$C$315,$C45-1,$D$5:$D$315,$D45,M$5:M$315,"&lt;&gt;")=0,"",IF(OR(SUMIFS(M$5:M$315,$A$5:$A$315,$A45,$C$5:$C$315,$C45-1,$D$5:$D$315,$D45)=0,M45*SUMIFS(M$5:M$315,$A$5:$A$315,$A45,$C$5:$C$315,$C45-1,$D$5:$D$315,$D45)&lt;0),"n.s.",ABS(M45)/ABS(SUMIFS(M$5:M$315,$A$5:$A$315,$A45,$C$5:$C$315,$C45-1,$D$5:$D$315,$D45))-1)))</f>
        <v/>
      </c>
      <c r="X45" s="16">
        <f>IF(OR($A45="",N45="",$C45=""),"",IF(COUNTIFS($A$5:$A$315,$A45,$C$5:$C$315,$C45-1,$D$5:$D$315,$D45,N$5:N$315,"&lt;&gt;")=0,"",IF(OR(SUMIFS(N$5:N$315,$A$5:$A$315,$A45,$C$5:$C$315,$C45-1,$D$5:$D$315,$D45)=0,N45*SUMIFS(N$5:N$315,$A$5:$A$315,$A45,$C$5:$C$315,$C45-1,$D$5:$D$315,$D45)&lt;0),"n.s.",ABS(N45)/ABS(SUMIFS(N$5:N$315,$A$5:$A$315,$A45,$C$5:$C$315,$C45-1,$D$5:$D$315,$D45))-1)))</f>
        <v/>
      </c>
      <c r="Y45" s="16">
        <f>IF(OR($A45="",O45="",$C45=""),"",IF(COUNTIFS($A$5:$A$315,$A45,$C$5:$C$315,$C45-1,$D$5:$D$315,$D45,O$5:O$315,"&lt;&gt;")=0,"",IF(OR(SUMIFS(O$5:O$315,$A$5:$A$315,$A45,$C$5:$C$315,$C45-1,$D$5:$D$315,$D45)=0,O45*SUMIFS(O$5:O$315,$A$5:$A$315,$A45,$C$5:$C$315,$C45-1,$D$5:$D$315,$D45)&lt;0),"n.s.",ABS(O45)/ABS(SUMIFS(O$5:O$315,$A$5:$A$315,$A45,$C$5:$C$315,$C45-1,$D$5:$D$315,$D45))-1)))</f>
        <v/>
      </c>
    </row>
    <row r="46">
      <c r="A46" s="9" t="inlineStr">
        <is>
          <t>BICC</t>
        </is>
      </c>
      <c r="B46" s="10">
        <f>IF(A46="","",IFERROR(VLOOKUP(A46,Titres!$A$2:$B$400,2,FALSE),"Ticker inconnu"))</f>
        <v/>
      </c>
      <c r="C46" s="11" t="n">
        <v>2022</v>
      </c>
      <c r="D46" s="11" t="inlineStr">
        <is>
          <t>T3</t>
        </is>
      </c>
      <c r="E46" s="9" t="n"/>
      <c r="F46" s="12" t="n"/>
      <c r="G46" s="9" t="n"/>
      <c r="H46" s="13" t="n"/>
      <c r="I46" s="13" t="n"/>
      <c r="J46" s="13" t="n"/>
      <c r="K46" s="13" t="n"/>
      <c r="L46" s="13" t="n"/>
      <c r="M46" s="13" t="n"/>
      <c r="N46" s="13" t="n"/>
      <c r="O46" s="13" t="n"/>
      <c r="P46" s="14">
        <f>IF(A46="","",COUNT(H46:O46)/8)</f>
        <v/>
      </c>
      <c r="Q46" s="15">
        <f>IF(COUNT(H46:O46)=0,"",IF(LEN(IF(COUNT(H46,I46,J46)=3,IF(ABS(H46+I46-J46)&lt;=MAX(1,0.02*ABS(J46)),"","RBE &lt;&gt; PNB + frais "),"")&amp;IF(COUNT(J46,K46,L46)=3,IF(ABS(J46+K46-L46)&lt;=MAX(1,0.03*ABS(L46)),"","RAI &lt;&gt; RBE + coût du risque "),"")&amp;IF(COUNT(H46,M46)=2,IF(ABS(M46)&gt;ABS(H46),"RN &gt; PNB ",""),""))=0,"OK",IF(COUNT(H46,I46,J46)=3,IF(ABS(H46+I46-J46)&lt;=MAX(1,0.02*ABS(J46)),"","RBE &lt;&gt; PNB + frais "),"")&amp;IF(COUNT(J46,K46,L46)=3,IF(ABS(J46+K46-L46)&lt;=MAX(1,0.03*ABS(L46)),"","RAI &lt;&gt; RBE + coût du risque "),"")&amp;IF(COUNT(H46,M46)=2,IF(ABS(M46)&gt;ABS(H46),"RN &gt; PNB ",""),"")))</f>
        <v/>
      </c>
      <c r="R46" s="16">
        <f>IF(OR($A46="",H46="",$C46=""),"",IF(COUNTIFS($A$5:$A$315,$A46,$C$5:$C$315,$C46-1,$D$5:$D$315,$D46,H$5:H$315,"&lt;&gt;")=0,"",IF(OR(SUMIFS(H$5:H$315,$A$5:$A$315,$A46,$C$5:$C$315,$C46-1,$D$5:$D$315,$D46)=0,H46*SUMIFS(H$5:H$315,$A$5:$A$315,$A46,$C$5:$C$315,$C46-1,$D$5:$D$315,$D46)&lt;0),"n.s.",ABS(H46)/ABS(SUMIFS(H$5:H$315,$A$5:$A$315,$A46,$C$5:$C$315,$C46-1,$D$5:$D$315,$D46))-1)))</f>
        <v/>
      </c>
      <c r="S46" s="16">
        <f>IF(OR($A46="",I46="",$C46=""),"",IF(COUNTIFS($A$5:$A$315,$A46,$C$5:$C$315,$C46-1,$D$5:$D$315,$D46,I$5:I$315,"&lt;&gt;")=0,"",IF(OR(SUMIFS(I$5:I$315,$A$5:$A$315,$A46,$C$5:$C$315,$C46-1,$D$5:$D$315,$D46)=0,I46*SUMIFS(I$5:I$315,$A$5:$A$315,$A46,$C$5:$C$315,$C46-1,$D$5:$D$315,$D46)&lt;0),"n.s.",ABS(I46)/ABS(SUMIFS(I$5:I$315,$A$5:$A$315,$A46,$C$5:$C$315,$C46-1,$D$5:$D$315,$D46))-1)))</f>
        <v/>
      </c>
      <c r="T46" s="16">
        <f>IF(OR($A46="",J46="",$C46=""),"",IF(COUNTIFS($A$5:$A$315,$A46,$C$5:$C$315,$C46-1,$D$5:$D$315,$D46,J$5:J$315,"&lt;&gt;")=0,"",IF(OR(SUMIFS(J$5:J$315,$A$5:$A$315,$A46,$C$5:$C$315,$C46-1,$D$5:$D$315,$D46)=0,J46*SUMIFS(J$5:J$315,$A$5:$A$315,$A46,$C$5:$C$315,$C46-1,$D$5:$D$315,$D46)&lt;0),"n.s.",ABS(J46)/ABS(SUMIFS(J$5:J$315,$A$5:$A$315,$A46,$C$5:$C$315,$C46-1,$D$5:$D$315,$D46))-1)))</f>
        <v/>
      </c>
      <c r="U46" s="16">
        <f>IF(OR($A46="",K46="",$C46=""),"",IF(COUNTIFS($A$5:$A$315,$A46,$C$5:$C$315,$C46-1,$D$5:$D$315,$D46,K$5:K$315,"&lt;&gt;")=0,"",IF(OR(SUMIFS(K$5:K$315,$A$5:$A$315,$A46,$C$5:$C$315,$C46-1,$D$5:$D$315,$D46)=0,K46*SUMIFS(K$5:K$315,$A$5:$A$315,$A46,$C$5:$C$315,$C46-1,$D$5:$D$315,$D46)&lt;0),"n.s.",ABS(K46)/ABS(SUMIFS(K$5:K$315,$A$5:$A$315,$A46,$C$5:$C$315,$C46-1,$D$5:$D$315,$D46))-1)))</f>
        <v/>
      </c>
      <c r="V46" s="16">
        <f>IF(OR($A46="",L46="",$C46=""),"",IF(COUNTIFS($A$5:$A$315,$A46,$C$5:$C$315,$C46-1,$D$5:$D$315,$D46,L$5:L$315,"&lt;&gt;")=0,"",IF(OR(SUMIFS(L$5:L$315,$A$5:$A$315,$A46,$C$5:$C$315,$C46-1,$D$5:$D$315,$D46)=0,L46*SUMIFS(L$5:L$315,$A$5:$A$315,$A46,$C$5:$C$315,$C46-1,$D$5:$D$315,$D46)&lt;0),"n.s.",ABS(L46)/ABS(SUMIFS(L$5:L$315,$A$5:$A$315,$A46,$C$5:$C$315,$C46-1,$D$5:$D$315,$D46))-1)))</f>
        <v/>
      </c>
      <c r="W46" s="16">
        <f>IF(OR($A46="",M46="",$C46=""),"",IF(COUNTIFS($A$5:$A$315,$A46,$C$5:$C$315,$C46-1,$D$5:$D$315,$D46,M$5:M$315,"&lt;&gt;")=0,"",IF(OR(SUMIFS(M$5:M$315,$A$5:$A$315,$A46,$C$5:$C$315,$C46-1,$D$5:$D$315,$D46)=0,M46*SUMIFS(M$5:M$315,$A$5:$A$315,$A46,$C$5:$C$315,$C46-1,$D$5:$D$315,$D46)&lt;0),"n.s.",ABS(M46)/ABS(SUMIFS(M$5:M$315,$A$5:$A$315,$A46,$C$5:$C$315,$C46-1,$D$5:$D$315,$D46))-1)))</f>
        <v/>
      </c>
      <c r="X46" s="16">
        <f>IF(OR($A46="",N46="",$C46=""),"",IF(COUNTIFS($A$5:$A$315,$A46,$C$5:$C$315,$C46-1,$D$5:$D$315,$D46,N$5:N$315,"&lt;&gt;")=0,"",IF(OR(SUMIFS(N$5:N$315,$A$5:$A$315,$A46,$C$5:$C$315,$C46-1,$D$5:$D$315,$D46)=0,N46*SUMIFS(N$5:N$315,$A$5:$A$315,$A46,$C$5:$C$315,$C46-1,$D$5:$D$315,$D46)&lt;0),"n.s.",ABS(N46)/ABS(SUMIFS(N$5:N$315,$A$5:$A$315,$A46,$C$5:$C$315,$C46-1,$D$5:$D$315,$D46))-1)))</f>
        <v/>
      </c>
      <c r="Y46" s="16">
        <f>IF(OR($A46="",O46="",$C46=""),"",IF(COUNTIFS($A$5:$A$315,$A46,$C$5:$C$315,$C46-1,$D$5:$D$315,$D46,O$5:O$315,"&lt;&gt;")=0,"",IF(OR(SUMIFS(O$5:O$315,$A$5:$A$315,$A46,$C$5:$C$315,$C46-1,$D$5:$D$315,$D46)=0,O46*SUMIFS(O$5:O$315,$A$5:$A$315,$A46,$C$5:$C$315,$C46-1,$D$5:$D$315,$D46)&lt;0),"n.s.",ABS(O46)/ABS(SUMIFS(O$5:O$315,$A$5:$A$315,$A46,$C$5:$C$315,$C46-1,$D$5:$D$315,$D46))-1)))</f>
        <v/>
      </c>
    </row>
    <row r="47">
      <c r="A47" s="9" t="inlineStr">
        <is>
          <t>BICC</t>
        </is>
      </c>
      <c r="B47" s="10">
        <f>IF(A47="","",IFERROR(VLOOKUP(A47,Titres!$A$2:$B$400,2,FALSE),"Ticker inconnu"))</f>
        <v/>
      </c>
      <c r="C47" s="11" t="n">
        <v>2023</v>
      </c>
      <c r="D47" s="11" t="inlineStr">
        <is>
          <t>T1</t>
        </is>
      </c>
      <c r="E47" s="9" t="n"/>
      <c r="F47" s="12" t="n"/>
      <c r="G47" s="9" t="n"/>
      <c r="H47" s="13" t="n"/>
      <c r="I47" s="13" t="n"/>
      <c r="J47" s="13" t="n"/>
      <c r="K47" s="13" t="n"/>
      <c r="L47" s="13" t="n"/>
      <c r="M47" s="13" t="n"/>
      <c r="N47" s="13" t="n"/>
      <c r="O47" s="13" t="n"/>
      <c r="P47" s="14">
        <f>IF(A47="","",COUNT(H47:O47)/8)</f>
        <v/>
      </c>
      <c r="Q47" s="15">
        <f>IF(COUNT(H47:O47)=0,"",IF(LEN(IF(COUNT(H47,I47,J47)=3,IF(ABS(H47+I47-J47)&lt;=MAX(1,0.02*ABS(J47)),"","RBE &lt;&gt; PNB + frais "),"")&amp;IF(COUNT(J47,K47,L47)=3,IF(ABS(J47+K47-L47)&lt;=MAX(1,0.03*ABS(L47)),"","RAI &lt;&gt; RBE + coût du risque "),"")&amp;IF(COUNT(H47,M47)=2,IF(ABS(M47)&gt;ABS(H47),"RN &gt; PNB ",""),""))=0,"OK",IF(COUNT(H47,I47,J47)=3,IF(ABS(H47+I47-J47)&lt;=MAX(1,0.02*ABS(J47)),"","RBE &lt;&gt; PNB + frais "),"")&amp;IF(COUNT(J47,K47,L47)=3,IF(ABS(J47+K47-L47)&lt;=MAX(1,0.03*ABS(L47)),"","RAI &lt;&gt; RBE + coût du risque "),"")&amp;IF(COUNT(H47,M47)=2,IF(ABS(M47)&gt;ABS(H47),"RN &gt; PNB ",""),"")))</f>
        <v/>
      </c>
      <c r="R47" s="16">
        <f>IF(OR($A47="",H47="",$C47=""),"",IF(COUNTIFS($A$5:$A$315,$A47,$C$5:$C$315,$C47-1,$D$5:$D$315,$D47,H$5:H$315,"&lt;&gt;")=0,"",IF(OR(SUMIFS(H$5:H$315,$A$5:$A$315,$A47,$C$5:$C$315,$C47-1,$D$5:$D$315,$D47)=0,H47*SUMIFS(H$5:H$315,$A$5:$A$315,$A47,$C$5:$C$315,$C47-1,$D$5:$D$315,$D47)&lt;0),"n.s.",ABS(H47)/ABS(SUMIFS(H$5:H$315,$A$5:$A$315,$A47,$C$5:$C$315,$C47-1,$D$5:$D$315,$D47))-1)))</f>
        <v/>
      </c>
      <c r="S47" s="16">
        <f>IF(OR($A47="",I47="",$C47=""),"",IF(COUNTIFS($A$5:$A$315,$A47,$C$5:$C$315,$C47-1,$D$5:$D$315,$D47,I$5:I$315,"&lt;&gt;")=0,"",IF(OR(SUMIFS(I$5:I$315,$A$5:$A$315,$A47,$C$5:$C$315,$C47-1,$D$5:$D$315,$D47)=0,I47*SUMIFS(I$5:I$315,$A$5:$A$315,$A47,$C$5:$C$315,$C47-1,$D$5:$D$315,$D47)&lt;0),"n.s.",ABS(I47)/ABS(SUMIFS(I$5:I$315,$A$5:$A$315,$A47,$C$5:$C$315,$C47-1,$D$5:$D$315,$D47))-1)))</f>
        <v/>
      </c>
      <c r="T47" s="16">
        <f>IF(OR($A47="",J47="",$C47=""),"",IF(COUNTIFS($A$5:$A$315,$A47,$C$5:$C$315,$C47-1,$D$5:$D$315,$D47,J$5:J$315,"&lt;&gt;")=0,"",IF(OR(SUMIFS(J$5:J$315,$A$5:$A$315,$A47,$C$5:$C$315,$C47-1,$D$5:$D$315,$D47)=0,J47*SUMIFS(J$5:J$315,$A$5:$A$315,$A47,$C$5:$C$315,$C47-1,$D$5:$D$315,$D47)&lt;0),"n.s.",ABS(J47)/ABS(SUMIFS(J$5:J$315,$A$5:$A$315,$A47,$C$5:$C$315,$C47-1,$D$5:$D$315,$D47))-1)))</f>
        <v/>
      </c>
      <c r="U47" s="16">
        <f>IF(OR($A47="",K47="",$C47=""),"",IF(COUNTIFS($A$5:$A$315,$A47,$C$5:$C$315,$C47-1,$D$5:$D$315,$D47,K$5:K$315,"&lt;&gt;")=0,"",IF(OR(SUMIFS(K$5:K$315,$A$5:$A$315,$A47,$C$5:$C$315,$C47-1,$D$5:$D$315,$D47)=0,K47*SUMIFS(K$5:K$315,$A$5:$A$315,$A47,$C$5:$C$315,$C47-1,$D$5:$D$315,$D47)&lt;0),"n.s.",ABS(K47)/ABS(SUMIFS(K$5:K$315,$A$5:$A$315,$A47,$C$5:$C$315,$C47-1,$D$5:$D$315,$D47))-1)))</f>
        <v/>
      </c>
      <c r="V47" s="16">
        <f>IF(OR($A47="",L47="",$C47=""),"",IF(COUNTIFS($A$5:$A$315,$A47,$C$5:$C$315,$C47-1,$D$5:$D$315,$D47,L$5:L$315,"&lt;&gt;")=0,"",IF(OR(SUMIFS(L$5:L$315,$A$5:$A$315,$A47,$C$5:$C$315,$C47-1,$D$5:$D$315,$D47)=0,L47*SUMIFS(L$5:L$315,$A$5:$A$315,$A47,$C$5:$C$315,$C47-1,$D$5:$D$315,$D47)&lt;0),"n.s.",ABS(L47)/ABS(SUMIFS(L$5:L$315,$A$5:$A$315,$A47,$C$5:$C$315,$C47-1,$D$5:$D$315,$D47))-1)))</f>
        <v/>
      </c>
      <c r="W47" s="16">
        <f>IF(OR($A47="",M47="",$C47=""),"",IF(COUNTIFS($A$5:$A$315,$A47,$C$5:$C$315,$C47-1,$D$5:$D$315,$D47,M$5:M$315,"&lt;&gt;")=0,"",IF(OR(SUMIFS(M$5:M$315,$A$5:$A$315,$A47,$C$5:$C$315,$C47-1,$D$5:$D$315,$D47)=0,M47*SUMIFS(M$5:M$315,$A$5:$A$315,$A47,$C$5:$C$315,$C47-1,$D$5:$D$315,$D47)&lt;0),"n.s.",ABS(M47)/ABS(SUMIFS(M$5:M$315,$A$5:$A$315,$A47,$C$5:$C$315,$C47-1,$D$5:$D$315,$D47))-1)))</f>
        <v/>
      </c>
      <c r="X47" s="16">
        <f>IF(OR($A47="",N47="",$C47=""),"",IF(COUNTIFS($A$5:$A$315,$A47,$C$5:$C$315,$C47-1,$D$5:$D$315,$D47,N$5:N$315,"&lt;&gt;")=0,"",IF(OR(SUMIFS(N$5:N$315,$A$5:$A$315,$A47,$C$5:$C$315,$C47-1,$D$5:$D$315,$D47)=0,N47*SUMIFS(N$5:N$315,$A$5:$A$315,$A47,$C$5:$C$315,$C47-1,$D$5:$D$315,$D47)&lt;0),"n.s.",ABS(N47)/ABS(SUMIFS(N$5:N$315,$A$5:$A$315,$A47,$C$5:$C$315,$C47-1,$D$5:$D$315,$D47))-1)))</f>
        <v/>
      </c>
      <c r="Y47" s="16">
        <f>IF(OR($A47="",O47="",$C47=""),"",IF(COUNTIFS($A$5:$A$315,$A47,$C$5:$C$315,$C47-1,$D$5:$D$315,$D47,O$5:O$315,"&lt;&gt;")=0,"",IF(OR(SUMIFS(O$5:O$315,$A$5:$A$315,$A47,$C$5:$C$315,$C47-1,$D$5:$D$315,$D47)=0,O47*SUMIFS(O$5:O$315,$A$5:$A$315,$A47,$C$5:$C$315,$C47-1,$D$5:$D$315,$D47)&lt;0),"n.s.",ABS(O47)/ABS(SUMIFS(O$5:O$315,$A$5:$A$315,$A47,$C$5:$C$315,$C47-1,$D$5:$D$315,$D47))-1)))</f>
        <v/>
      </c>
    </row>
    <row r="48">
      <c r="A48" s="9" t="inlineStr">
        <is>
          <t>BICC</t>
        </is>
      </c>
      <c r="B48" s="10">
        <f>IF(A48="","",IFERROR(VLOOKUP(A48,Titres!$A$2:$B$400,2,FALSE),"Ticker inconnu"))</f>
        <v/>
      </c>
      <c r="C48" s="11" t="n">
        <v>2023</v>
      </c>
      <c r="D48" s="11" t="inlineStr">
        <is>
          <t>S1</t>
        </is>
      </c>
      <c r="E48" s="9" t="n"/>
      <c r="F48" s="12" t="n"/>
      <c r="G48" s="9" t="n"/>
      <c r="H48" s="13" t="n"/>
      <c r="I48" s="13" t="n"/>
      <c r="J48" s="13" t="n"/>
      <c r="K48" s="13" t="n"/>
      <c r="L48" s="13" t="n"/>
      <c r="M48" s="13" t="n"/>
      <c r="N48" s="13" t="n"/>
      <c r="O48" s="13" t="n"/>
      <c r="P48" s="14">
        <f>IF(A48="","",COUNT(H48:O48)/8)</f>
        <v/>
      </c>
      <c r="Q48" s="15">
        <f>IF(COUNT(H48:O48)=0,"",IF(LEN(IF(COUNT(H48,I48,J48)=3,IF(ABS(H48+I48-J48)&lt;=MAX(1,0.02*ABS(J48)),"","RBE &lt;&gt; PNB + frais "),"")&amp;IF(COUNT(J48,K48,L48)=3,IF(ABS(J48+K48-L48)&lt;=MAX(1,0.03*ABS(L48)),"","RAI &lt;&gt; RBE + coût du risque "),"")&amp;IF(COUNT(H48,M48)=2,IF(ABS(M48)&gt;ABS(H48),"RN &gt; PNB ",""),""))=0,"OK",IF(COUNT(H48,I48,J48)=3,IF(ABS(H48+I48-J48)&lt;=MAX(1,0.02*ABS(J48)),"","RBE &lt;&gt; PNB + frais "),"")&amp;IF(COUNT(J48,K48,L48)=3,IF(ABS(J48+K48-L48)&lt;=MAX(1,0.03*ABS(L48)),"","RAI &lt;&gt; RBE + coût du risque "),"")&amp;IF(COUNT(H48,M48)=2,IF(ABS(M48)&gt;ABS(H48),"RN &gt; PNB ",""),"")))</f>
        <v/>
      </c>
      <c r="R48" s="16">
        <f>IF(OR($A48="",H48="",$C48=""),"",IF(COUNTIFS($A$5:$A$315,$A48,$C$5:$C$315,$C48-1,$D$5:$D$315,$D48,H$5:H$315,"&lt;&gt;")=0,"",IF(OR(SUMIFS(H$5:H$315,$A$5:$A$315,$A48,$C$5:$C$315,$C48-1,$D$5:$D$315,$D48)=0,H48*SUMIFS(H$5:H$315,$A$5:$A$315,$A48,$C$5:$C$315,$C48-1,$D$5:$D$315,$D48)&lt;0),"n.s.",ABS(H48)/ABS(SUMIFS(H$5:H$315,$A$5:$A$315,$A48,$C$5:$C$315,$C48-1,$D$5:$D$315,$D48))-1)))</f>
        <v/>
      </c>
      <c r="S48" s="16">
        <f>IF(OR($A48="",I48="",$C48=""),"",IF(COUNTIFS($A$5:$A$315,$A48,$C$5:$C$315,$C48-1,$D$5:$D$315,$D48,I$5:I$315,"&lt;&gt;")=0,"",IF(OR(SUMIFS(I$5:I$315,$A$5:$A$315,$A48,$C$5:$C$315,$C48-1,$D$5:$D$315,$D48)=0,I48*SUMIFS(I$5:I$315,$A$5:$A$315,$A48,$C$5:$C$315,$C48-1,$D$5:$D$315,$D48)&lt;0),"n.s.",ABS(I48)/ABS(SUMIFS(I$5:I$315,$A$5:$A$315,$A48,$C$5:$C$315,$C48-1,$D$5:$D$315,$D48))-1)))</f>
        <v/>
      </c>
      <c r="T48" s="16">
        <f>IF(OR($A48="",J48="",$C48=""),"",IF(COUNTIFS($A$5:$A$315,$A48,$C$5:$C$315,$C48-1,$D$5:$D$315,$D48,J$5:J$315,"&lt;&gt;")=0,"",IF(OR(SUMIFS(J$5:J$315,$A$5:$A$315,$A48,$C$5:$C$315,$C48-1,$D$5:$D$315,$D48)=0,J48*SUMIFS(J$5:J$315,$A$5:$A$315,$A48,$C$5:$C$315,$C48-1,$D$5:$D$315,$D48)&lt;0),"n.s.",ABS(J48)/ABS(SUMIFS(J$5:J$315,$A$5:$A$315,$A48,$C$5:$C$315,$C48-1,$D$5:$D$315,$D48))-1)))</f>
        <v/>
      </c>
      <c r="U48" s="16">
        <f>IF(OR($A48="",K48="",$C48=""),"",IF(COUNTIFS($A$5:$A$315,$A48,$C$5:$C$315,$C48-1,$D$5:$D$315,$D48,K$5:K$315,"&lt;&gt;")=0,"",IF(OR(SUMIFS(K$5:K$315,$A$5:$A$315,$A48,$C$5:$C$315,$C48-1,$D$5:$D$315,$D48)=0,K48*SUMIFS(K$5:K$315,$A$5:$A$315,$A48,$C$5:$C$315,$C48-1,$D$5:$D$315,$D48)&lt;0),"n.s.",ABS(K48)/ABS(SUMIFS(K$5:K$315,$A$5:$A$315,$A48,$C$5:$C$315,$C48-1,$D$5:$D$315,$D48))-1)))</f>
        <v/>
      </c>
      <c r="V48" s="16">
        <f>IF(OR($A48="",L48="",$C48=""),"",IF(COUNTIFS($A$5:$A$315,$A48,$C$5:$C$315,$C48-1,$D$5:$D$315,$D48,L$5:L$315,"&lt;&gt;")=0,"",IF(OR(SUMIFS(L$5:L$315,$A$5:$A$315,$A48,$C$5:$C$315,$C48-1,$D$5:$D$315,$D48)=0,L48*SUMIFS(L$5:L$315,$A$5:$A$315,$A48,$C$5:$C$315,$C48-1,$D$5:$D$315,$D48)&lt;0),"n.s.",ABS(L48)/ABS(SUMIFS(L$5:L$315,$A$5:$A$315,$A48,$C$5:$C$315,$C48-1,$D$5:$D$315,$D48))-1)))</f>
        <v/>
      </c>
      <c r="W48" s="16">
        <f>IF(OR($A48="",M48="",$C48=""),"",IF(COUNTIFS($A$5:$A$315,$A48,$C$5:$C$315,$C48-1,$D$5:$D$315,$D48,M$5:M$315,"&lt;&gt;")=0,"",IF(OR(SUMIFS(M$5:M$315,$A$5:$A$315,$A48,$C$5:$C$315,$C48-1,$D$5:$D$315,$D48)=0,M48*SUMIFS(M$5:M$315,$A$5:$A$315,$A48,$C$5:$C$315,$C48-1,$D$5:$D$315,$D48)&lt;0),"n.s.",ABS(M48)/ABS(SUMIFS(M$5:M$315,$A$5:$A$315,$A48,$C$5:$C$315,$C48-1,$D$5:$D$315,$D48))-1)))</f>
        <v/>
      </c>
      <c r="X48" s="16">
        <f>IF(OR($A48="",N48="",$C48=""),"",IF(COUNTIFS($A$5:$A$315,$A48,$C$5:$C$315,$C48-1,$D$5:$D$315,$D48,N$5:N$315,"&lt;&gt;")=0,"",IF(OR(SUMIFS(N$5:N$315,$A$5:$A$315,$A48,$C$5:$C$315,$C48-1,$D$5:$D$315,$D48)=0,N48*SUMIFS(N$5:N$315,$A$5:$A$315,$A48,$C$5:$C$315,$C48-1,$D$5:$D$315,$D48)&lt;0),"n.s.",ABS(N48)/ABS(SUMIFS(N$5:N$315,$A$5:$A$315,$A48,$C$5:$C$315,$C48-1,$D$5:$D$315,$D48))-1)))</f>
        <v/>
      </c>
      <c r="Y48" s="16">
        <f>IF(OR($A48="",O48="",$C48=""),"",IF(COUNTIFS($A$5:$A$315,$A48,$C$5:$C$315,$C48-1,$D$5:$D$315,$D48,O$5:O$315,"&lt;&gt;")=0,"",IF(OR(SUMIFS(O$5:O$315,$A$5:$A$315,$A48,$C$5:$C$315,$C48-1,$D$5:$D$315,$D48)=0,O48*SUMIFS(O$5:O$315,$A$5:$A$315,$A48,$C$5:$C$315,$C48-1,$D$5:$D$315,$D48)&lt;0),"n.s.",ABS(O48)/ABS(SUMIFS(O$5:O$315,$A$5:$A$315,$A48,$C$5:$C$315,$C48-1,$D$5:$D$315,$D48))-1)))</f>
        <v/>
      </c>
    </row>
    <row r="49">
      <c r="A49" s="9" t="inlineStr">
        <is>
          <t>BICC</t>
        </is>
      </c>
      <c r="B49" s="10">
        <f>IF(A49="","",IFERROR(VLOOKUP(A49,Titres!$A$2:$B$400,2,FALSE),"Ticker inconnu"))</f>
        <v/>
      </c>
      <c r="C49" s="11" t="n">
        <v>2023</v>
      </c>
      <c r="D49" s="11" t="inlineStr">
        <is>
          <t>T3</t>
        </is>
      </c>
      <c r="E49" s="9" t="n"/>
      <c r="F49" s="12" t="n"/>
      <c r="G49" s="9" t="n"/>
      <c r="H49" s="13" t="n"/>
      <c r="I49" s="13" t="n"/>
      <c r="J49" s="13" t="n"/>
      <c r="K49" s="13" t="n"/>
      <c r="L49" s="13" t="n"/>
      <c r="M49" s="13" t="n"/>
      <c r="N49" s="13" t="n"/>
      <c r="O49" s="13" t="n"/>
      <c r="P49" s="14">
        <f>IF(A49="","",COUNT(H49:O49)/8)</f>
        <v/>
      </c>
      <c r="Q49" s="15">
        <f>IF(COUNT(H49:O49)=0,"",IF(LEN(IF(COUNT(H49,I49,J49)=3,IF(ABS(H49+I49-J49)&lt;=MAX(1,0.02*ABS(J49)),"","RBE &lt;&gt; PNB + frais "),"")&amp;IF(COUNT(J49,K49,L49)=3,IF(ABS(J49+K49-L49)&lt;=MAX(1,0.03*ABS(L49)),"","RAI &lt;&gt; RBE + coût du risque "),"")&amp;IF(COUNT(H49,M49)=2,IF(ABS(M49)&gt;ABS(H49),"RN &gt; PNB ",""),""))=0,"OK",IF(COUNT(H49,I49,J49)=3,IF(ABS(H49+I49-J49)&lt;=MAX(1,0.02*ABS(J49)),"","RBE &lt;&gt; PNB + frais "),"")&amp;IF(COUNT(J49,K49,L49)=3,IF(ABS(J49+K49-L49)&lt;=MAX(1,0.03*ABS(L49)),"","RAI &lt;&gt; RBE + coût du risque "),"")&amp;IF(COUNT(H49,M49)=2,IF(ABS(M49)&gt;ABS(H49),"RN &gt; PNB ",""),"")))</f>
        <v/>
      </c>
      <c r="R49" s="16">
        <f>IF(OR($A49="",H49="",$C49=""),"",IF(COUNTIFS($A$5:$A$315,$A49,$C$5:$C$315,$C49-1,$D$5:$D$315,$D49,H$5:H$315,"&lt;&gt;")=0,"",IF(OR(SUMIFS(H$5:H$315,$A$5:$A$315,$A49,$C$5:$C$315,$C49-1,$D$5:$D$315,$D49)=0,H49*SUMIFS(H$5:H$315,$A$5:$A$315,$A49,$C$5:$C$315,$C49-1,$D$5:$D$315,$D49)&lt;0),"n.s.",ABS(H49)/ABS(SUMIFS(H$5:H$315,$A$5:$A$315,$A49,$C$5:$C$315,$C49-1,$D$5:$D$315,$D49))-1)))</f>
        <v/>
      </c>
      <c r="S49" s="16">
        <f>IF(OR($A49="",I49="",$C49=""),"",IF(COUNTIFS($A$5:$A$315,$A49,$C$5:$C$315,$C49-1,$D$5:$D$315,$D49,I$5:I$315,"&lt;&gt;")=0,"",IF(OR(SUMIFS(I$5:I$315,$A$5:$A$315,$A49,$C$5:$C$315,$C49-1,$D$5:$D$315,$D49)=0,I49*SUMIFS(I$5:I$315,$A$5:$A$315,$A49,$C$5:$C$315,$C49-1,$D$5:$D$315,$D49)&lt;0),"n.s.",ABS(I49)/ABS(SUMIFS(I$5:I$315,$A$5:$A$315,$A49,$C$5:$C$315,$C49-1,$D$5:$D$315,$D49))-1)))</f>
        <v/>
      </c>
      <c r="T49" s="16">
        <f>IF(OR($A49="",J49="",$C49=""),"",IF(COUNTIFS($A$5:$A$315,$A49,$C$5:$C$315,$C49-1,$D$5:$D$315,$D49,J$5:J$315,"&lt;&gt;")=0,"",IF(OR(SUMIFS(J$5:J$315,$A$5:$A$315,$A49,$C$5:$C$315,$C49-1,$D$5:$D$315,$D49)=0,J49*SUMIFS(J$5:J$315,$A$5:$A$315,$A49,$C$5:$C$315,$C49-1,$D$5:$D$315,$D49)&lt;0),"n.s.",ABS(J49)/ABS(SUMIFS(J$5:J$315,$A$5:$A$315,$A49,$C$5:$C$315,$C49-1,$D$5:$D$315,$D49))-1)))</f>
        <v/>
      </c>
      <c r="U49" s="16">
        <f>IF(OR($A49="",K49="",$C49=""),"",IF(COUNTIFS($A$5:$A$315,$A49,$C$5:$C$315,$C49-1,$D$5:$D$315,$D49,K$5:K$315,"&lt;&gt;")=0,"",IF(OR(SUMIFS(K$5:K$315,$A$5:$A$315,$A49,$C$5:$C$315,$C49-1,$D$5:$D$315,$D49)=0,K49*SUMIFS(K$5:K$315,$A$5:$A$315,$A49,$C$5:$C$315,$C49-1,$D$5:$D$315,$D49)&lt;0),"n.s.",ABS(K49)/ABS(SUMIFS(K$5:K$315,$A$5:$A$315,$A49,$C$5:$C$315,$C49-1,$D$5:$D$315,$D49))-1)))</f>
        <v/>
      </c>
      <c r="V49" s="16">
        <f>IF(OR($A49="",L49="",$C49=""),"",IF(COUNTIFS($A$5:$A$315,$A49,$C$5:$C$315,$C49-1,$D$5:$D$315,$D49,L$5:L$315,"&lt;&gt;")=0,"",IF(OR(SUMIFS(L$5:L$315,$A$5:$A$315,$A49,$C$5:$C$315,$C49-1,$D$5:$D$315,$D49)=0,L49*SUMIFS(L$5:L$315,$A$5:$A$315,$A49,$C$5:$C$315,$C49-1,$D$5:$D$315,$D49)&lt;0),"n.s.",ABS(L49)/ABS(SUMIFS(L$5:L$315,$A$5:$A$315,$A49,$C$5:$C$315,$C49-1,$D$5:$D$315,$D49))-1)))</f>
        <v/>
      </c>
      <c r="W49" s="16">
        <f>IF(OR($A49="",M49="",$C49=""),"",IF(COUNTIFS($A$5:$A$315,$A49,$C$5:$C$315,$C49-1,$D$5:$D$315,$D49,M$5:M$315,"&lt;&gt;")=0,"",IF(OR(SUMIFS(M$5:M$315,$A$5:$A$315,$A49,$C$5:$C$315,$C49-1,$D$5:$D$315,$D49)=0,M49*SUMIFS(M$5:M$315,$A$5:$A$315,$A49,$C$5:$C$315,$C49-1,$D$5:$D$315,$D49)&lt;0),"n.s.",ABS(M49)/ABS(SUMIFS(M$5:M$315,$A$5:$A$315,$A49,$C$5:$C$315,$C49-1,$D$5:$D$315,$D49))-1)))</f>
        <v/>
      </c>
      <c r="X49" s="16">
        <f>IF(OR($A49="",N49="",$C49=""),"",IF(COUNTIFS($A$5:$A$315,$A49,$C$5:$C$315,$C49-1,$D$5:$D$315,$D49,N$5:N$315,"&lt;&gt;")=0,"",IF(OR(SUMIFS(N$5:N$315,$A$5:$A$315,$A49,$C$5:$C$315,$C49-1,$D$5:$D$315,$D49)=0,N49*SUMIFS(N$5:N$315,$A$5:$A$315,$A49,$C$5:$C$315,$C49-1,$D$5:$D$315,$D49)&lt;0),"n.s.",ABS(N49)/ABS(SUMIFS(N$5:N$315,$A$5:$A$315,$A49,$C$5:$C$315,$C49-1,$D$5:$D$315,$D49))-1)))</f>
        <v/>
      </c>
      <c r="Y49" s="16">
        <f>IF(OR($A49="",O49="",$C49=""),"",IF(COUNTIFS($A$5:$A$315,$A49,$C$5:$C$315,$C49-1,$D$5:$D$315,$D49,O$5:O$315,"&lt;&gt;")=0,"",IF(OR(SUMIFS(O$5:O$315,$A$5:$A$315,$A49,$C$5:$C$315,$C49-1,$D$5:$D$315,$D49)=0,O49*SUMIFS(O$5:O$315,$A$5:$A$315,$A49,$C$5:$C$315,$C49-1,$D$5:$D$315,$D49)&lt;0),"n.s.",ABS(O49)/ABS(SUMIFS(O$5:O$315,$A$5:$A$315,$A49,$C$5:$C$315,$C49-1,$D$5:$D$315,$D49))-1)))</f>
        <v/>
      </c>
    </row>
    <row r="50">
      <c r="A50" s="9" t="inlineStr">
        <is>
          <t>BICC</t>
        </is>
      </c>
      <c r="B50" s="10">
        <f>IF(A50="","",IFERROR(VLOOKUP(A50,Titres!$A$2:$B$400,2,FALSE),"Ticker inconnu"))</f>
        <v/>
      </c>
      <c r="C50" s="11" t="n">
        <v>2024</v>
      </c>
      <c r="D50" s="11" t="inlineStr">
        <is>
          <t>T1</t>
        </is>
      </c>
      <c r="E50" s="9" t="n"/>
      <c r="F50" s="12" t="n"/>
      <c r="G50" s="9" t="n"/>
      <c r="H50" s="13" t="n"/>
      <c r="I50" s="13" t="n"/>
      <c r="J50" s="13" t="n"/>
      <c r="K50" s="13" t="n"/>
      <c r="L50" s="13" t="n"/>
      <c r="M50" s="13" t="n"/>
      <c r="N50" s="13" t="n"/>
      <c r="O50" s="13" t="n"/>
      <c r="P50" s="14">
        <f>IF(A50="","",COUNT(H50:O50)/8)</f>
        <v/>
      </c>
      <c r="Q50" s="15">
        <f>IF(COUNT(H50:O50)=0,"",IF(LEN(IF(COUNT(H50,I50,J50)=3,IF(ABS(H50+I50-J50)&lt;=MAX(1,0.02*ABS(J50)),"","RBE &lt;&gt; PNB + frais "),"")&amp;IF(COUNT(J50,K50,L50)=3,IF(ABS(J50+K50-L50)&lt;=MAX(1,0.03*ABS(L50)),"","RAI &lt;&gt; RBE + coût du risque "),"")&amp;IF(COUNT(H50,M50)=2,IF(ABS(M50)&gt;ABS(H50),"RN &gt; PNB ",""),""))=0,"OK",IF(COUNT(H50,I50,J50)=3,IF(ABS(H50+I50-J50)&lt;=MAX(1,0.02*ABS(J50)),"","RBE &lt;&gt; PNB + frais "),"")&amp;IF(COUNT(J50,K50,L50)=3,IF(ABS(J50+K50-L50)&lt;=MAX(1,0.03*ABS(L50)),"","RAI &lt;&gt; RBE + coût du risque "),"")&amp;IF(COUNT(H50,M50)=2,IF(ABS(M50)&gt;ABS(H50),"RN &gt; PNB ",""),"")))</f>
        <v/>
      </c>
      <c r="R50" s="16">
        <f>IF(OR($A50="",H50="",$C50=""),"",IF(COUNTIFS($A$5:$A$315,$A50,$C$5:$C$315,$C50-1,$D$5:$D$315,$D50,H$5:H$315,"&lt;&gt;")=0,"",IF(OR(SUMIFS(H$5:H$315,$A$5:$A$315,$A50,$C$5:$C$315,$C50-1,$D$5:$D$315,$D50)=0,H50*SUMIFS(H$5:H$315,$A$5:$A$315,$A50,$C$5:$C$315,$C50-1,$D$5:$D$315,$D50)&lt;0),"n.s.",ABS(H50)/ABS(SUMIFS(H$5:H$315,$A$5:$A$315,$A50,$C$5:$C$315,$C50-1,$D$5:$D$315,$D50))-1)))</f>
        <v/>
      </c>
      <c r="S50" s="16">
        <f>IF(OR($A50="",I50="",$C50=""),"",IF(COUNTIFS($A$5:$A$315,$A50,$C$5:$C$315,$C50-1,$D$5:$D$315,$D50,I$5:I$315,"&lt;&gt;")=0,"",IF(OR(SUMIFS(I$5:I$315,$A$5:$A$315,$A50,$C$5:$C$315,$C50-1,$D$5:$D$315,$D50)=0,I50*SUMIFS(I$5:I$315,$A$5:$A$315,$A50,$C$5:$C$315,$C50-1,$D$5:$D$315,$D50)&lt;0),"n.s.",ABS(I50)/ABS(SUMIFS(I$5:I$315,$A$5:$A$315,$A50,$C$5:$C$315,$C50-1,$D$5:$D$315,$D50))-1)))</f>
        <v/>
      </c>
      <c r="T50" s="16">
        <f>IF(OR($A50="",J50="",$C50=""),"",IF(COUNTIFS($A$5:$A$315,$A50,$C$5:$C$315,$C50-1,$D$5:$D$315,$D50,J$5:J$315,"&lt;&gt;")=0,"",IF(OR(SUMIFS(J$5:J$315,$A$5:$A$315,$A50,$C$5:$C$315,$C50-1,$D$5:$D$315,$D50)=0,J50*SUMIFS(J$5:J$315,$A$5:$A$315,$A50,$C$5:$C$315,$C50-1,$D$5:$D$315,$D50)&lt;0),"n.s.",ABS(J50)/ABS(SUMIFS(J$5:J$315,$A$5:$A$315,$A50,$C$5:$C$315,$C50-1,$D$5:$D$315,$D50))-1)))</f>
        <v/>
      </c>
      <c r="U50" s="16">
        <f>IF(OR($A50="",K50="",$C50=""),"",IF(COUNTIFS($A$5:$A$315,$A50,$C$5:$C$315,$C50-1,$D$5:$D$315,$D50,K$5:K$315,"&lt;&gt;")=0,"",IF(OR(SUMIFS(K$5:K$315,$A$5:$A$315,$A50,$C$5:$C$315,$C50-1,$D$5:$D$315,$D50)=0,K50*SUMIFS(K$5:K$315,$A$5:$A$315,$A50,$C$5:$C$315,$C50-1,$D$5:$D$315,$D50)&lt;0),"n.s.",ABS(K50)/ABS(SUMIFS(K$5:K$315,$A$5:$A$315,$A50,$C$5:$C$315,$C50-1,$D$5:$D$315,$D50))-1)))</f>
        <v/>
      </c>
      <c r="V50" s="16">
        <f>IF(OR($A50="",L50="",$C50=""),"",IF(COUNTIFS($A$5:$A$315,$A50,$C$5:$C$315,$C50-1,$D$5:$D$315,$D50,L$5:L$315,"&lt;&gt;")=0,"",IF(OR(SUMIFS(L$5:L$315,$A$5:$A$315,$A50,$C$5:$C$315,$C50-1,$D$5:$D$315,$D50)=0,L50*SUMIFS(L$5:L$315,$A$5:$A$315,$A50,$C$5:$C$315,$C50-1,$D$5:$D$315,$D50)&lt;0),"n.s.",ABS(L50)/ABS(SUMIFS(L$5:L$315,$A$5:$A$315,$A50,$C$5:$C$315,$C50-1,$D$5:$D$315,$D50))-1)))</f>
        <v/>
      </c>
      <c r="W50" s="16">
        <f>IF(OR($A50="",M50="",$C50=""),"",IF(COUNTIFS($A$5:$A$315,$A50,$C$5:$C$315,$C50-1,$D$5:$D$315,$D50,M$5:M$315,"&lt;&gt;")=0,"",IF(OR(SUMIFS(M$5:M$315,$A$5:$A$315,$A50,$C$5:$C$315,$C50-1,$D$5:$D$315,$D50)=0,M50*SUMIFS(M$5:M$315,$A$5:$A$315,$A50,$C$5:$C$315,$C50-1,$D$5:$D$315,$D50)&lt;0),"n.s.",ABS(M50)/ABS(SUMIFS(M$5:M$315,$A$5:$A$315,$A50,$C$5:$C$315,$C50-1,$D$5:$D$315,$D50))-1)))</f>
        <v/>
      </c>
      <c r="X50" s="16">
        <f>IF(OR($A50="",N50="",$C50=""),"",IF(COUNTIFS($A$5:$A$315,$A50,$C$5:$C$315,$C50-1,$D$5:$D$315,$D50,N$5:N$315,"&lt;&gt;")=0,"",IF(OR(SUMIFS(N$5:N$315,$A$5:$A$315,$A50,$C$5:$C$315,$C50-1,$D$5:$D$315,$D50)=0,N50*SUMIFS(N$5:N$315,$A$5:$A$315,$A50,$C$5:$C$315,$C50-1,$D$5:$D$315,$D50)&lt;0),"n.s.",ABS(N50)/ABS(SUMIFS(N$5:N$315,$A$5:$A$315,$A50,$C$5:$C$315,$C50-1,$D$5:$D$315,$D50))-1)))</f>
        <v/>
      </c>
      <c r="Y50" s="16">
        <f>IF(OR($A50="",O50="",$C50=""),"",IF(COUNTIFS($A$5:$A$315,$A50,$C$5:$C$315,$C50-1,$D$5:$D$315,$D50,O$5:O$315,"&lt;&gt;")=0,"",IF(OR(SUMIFS(O$5:O$315,$A$5:$A$315,$A50,$C$5:$C$315,$C50-1,$D$5:$D$315,$D50)=0,O50*SUMIFS(O$5:O$315,$A$5:$A$315,$A50,$C$5:$C$315,$C50-1,$D$5:$D$315,$D50)&lt;0),"n.s.",ABS(O50)/ABS(SUMIFS(O$5:O$315,$A$5:$A$315,$A50,$C$5:$C$315,$C50-1,$D$5:$D$315,$D50))-1)))</f>
        <v/>
      </c>
    </row>
    <row r="51">
      <c r="A51" s="9" t="inlineStr">
        <is>
          <t>BICC</t>
        </is>
      </c>
      <c r="B51" s="10">
        <f>IF(A51="","",IFERROR(VLOOKUP(A51,Titres!$A$2:$B$400,2,FALSE),"Ticker inconnu"))</f>
        <v/>
      </c>
      <c r="C51" s="11" t="n">
        <v>2024</v>
      </c>
      <c r="D51" s="11" t="inlineStr">
        <is>
          <t>S1</t>
        </is>
      </c>
      <c r="E51" s="9" t="n"/>
      <c r="F51" s="12" t="n"/>
      <c r="G51" s="9" t="n"/>
      <c r="H51" s="13" t="n"/>
      <c r="I51" s="13" t="n"/>
      <c r="J51" s="13" t="n"/>
      <c r="K51" s="13" t="n"/>
      <c r="L51" s="13" t="n"/>
      <c r="M51" s="13" t="n"/>
      <c r="N51" s="13" t="n"/>
      <c r="O51" s="13" t="n"/>
      <c r="P51" s="14">
        <f>IF(A51="","",COUNT(H51:O51)/8)</f>
        <v/>
      </c>
      <c r="Q51" s="15">
        <f>IF(COUNT(H51:O51)=0,"",IF(LEN(IF(COUNT(H51,I51,J51)=3,IF(ABS(H51+I51-J51)&lt;=MAX(1,0.02*ABS(J51)),"","RBE &lt;&gt; PNB + frais "),"")&amp;IF(COUNT(J51,K51,L51)=3,IF(ABS(J51+K51-L51)&lt;=MAX(1,0.03*ABS(L51)),"","RAI &lt;&gt; RBE + coût du risque "),"")&amp;IF(COUNT(H51,M51)=2,IF(ABS(M51)&gt;ABS(H51),"RN &gt; PNB ",""),""))=0,"OK",IF(COUNT(H51,I51,J51)=3,IF(ABS(H51+I51-J51)&lt;=MAX(1,0.02*ABS(J51)),"","RBE &lt;&gt; PNB + frais "),"")&amp;IF(COUNT(J51,K51,L51)=3,IF(ABS(J51+K51-L51)&lt;=MAX(1,0.03*ABS(L51)),"","RAI &lt;&gt; RBE + coût du risque "),"")&amp;IF(COUNT(H51,M51)=2,IF(ABS(M51)&gt;ABS(H51),"RN &gt; PNB ",""),"")))</f>
        <v/>
      </c>
      <c r="R51" s="16">
        <f>IF(OR($A51="",H51="",$C51=""),"",IF(COUNTIFS($A$5:$A$315,$A51,$C$5:$C$315,$C51-1,$D$5:$D$315,$D51,H$5:H$315,"&lt;&gt;")=0,"",IF(OR(SUMIFS(H$5:H$315,$A$5:$A$315,$A51,$C$5:$C$315,$C51-1,$D$5:$D$315,$D51)=0,H51*SUMIFS(H$5:H$315,$A$5:$A$315,$A51,$C$5:$C$315,$C51-1,$D$5:$D$315,$D51)&lt;0),"n.s.",ABS(H51)/ABS(SUMIFS(H$5:H$315,$A$5:$A$315,$A51,$C$5:$C$315,$C51-1,$D$5:$D$315,$D51))-1)))</f>
        <v/>
      </c>
      <c r="S51" s="16">
        <f>IF(OR($A51="",I51="",$C51=""),"",IF(COUNTIFS($A$5:$A$315,$A51,$C$5:$C$315,$C51-1,$D$5:$D$315,$D51,I$5:I$315,"&lt;&gt;")=0,"",IF(OR(SUMIFS(I$5:I$315,$A$5:$A$315,$A51,$C$5:$C$315,$C51-1,$D$5:$D$315,$D51)=0,I51*SUMIFS(I$5:I$315,$A$5:$A$315,$A51,$C$5:$C$315,$C51-1,$D$5:$D$315,$D51)&lt;0),"n.s.",ABS(I51)/ABS(SUMIFS(I$5:I$315,$A$5:$A$315,$A51,$C$5:$C$315,$C51-1,$D$5:$D$315,$D51))-1)))</f>
        <v/>
      </c>
      <c r="T51" s="16">
        <f>IF(OR($A51="",J51="",$C51=""),"",IF(COUNTIFS($A$5:$A$315,$A51,$C$5:$C$315,$C51-1,$D$5:$D$315,$D51,J$5:J$315,"&lt;&gt;")=0,"",IF(OR(SUMIFS(J$5:J$315,$A$5:$A$315,$A51,$C$5:$C$315,$C51-1,$D$5:$D$315,$D51)=0,J51*SUMIFS(J$5:J$315,$A$5:$A$315,$A51,$C$5:$C$315,$C51-1,$D$5:$D$315,$D51)&lt;0),"n.s.",ABS(J51)/ABS(SUMIFS(J$5:J$315,$A$5:$A$315,$A51,$C$5:$C$315,$C51-1,$D$5:$D$315,$D51))-1)))</f>
        <v/>
      </c>
      <c r="U51" s="16">
        <f>IF(OR($A51="",K51="",$C51=""),"",IF(COUNTIFS($A$5:$A$315,$A51,$C$5:$C$315,$C51-1,$D$5:$D$315,$D51,K$5:K$315,"&lt;&gt;")=0,"",IF(OR(SUMIFS(K$5:K$315,$A$5:$A$315,$A51,$C$5:$C$315,$C51-1,$D$5:$D$315,$D51)=0,K51*SUMIFS(K$5:K$315,$A$5:$A$315,$A51,$C$5:$C$315,$C51-1,$D$5:$D$315,$D51)&lt;0),"n.s.",ABS(K51)/ABS(SUMIFS(K$5:K$315,$A$5:$A$315,$A51,$C$5:$C$315,$C51-1,$D$5:$D$315,$D51))-1)))</f>
        <v/>
      </c>
      <c r="V51" s="16">
        <f>IF(OR($A51="",L51="",$C51=""),"",IF(COUNTIFS($A$5:$A$315,$A51,$C$5:$C$315,$C51-1,$D$5:$D$315,$D51,L$5:L$315,"&lt;&gt;")=0,"",IF(OR(SUMIFS(L$5:L$315,$A$5:$A$315,$A51,$C$5:$C$315,$C51-1,$D$5:$D$315,$D51)=0,L51*SUMIFS(L$5:L$315,$A$5:$A$315,$A51,$C$5:$C$315,$C51-1,$D$5:$D$315,$D51)&lt;0),"n.s.",ABS(L51)/ABS(SUMIFS(L$5:L$315,$A$5:$A$315,$A51,$C$5:$C$315,$C51-1,$D$5:$D$315,$D51))-1)))</f>
        <v/>
      </c>
      <c r="W51" s="16">
        <f>IF(OR($A51="",M51="",$C51=""),"",IF(COUNTIFS($A$5:$A$315,$A51,$C$5:$C$315,$C51-1,$D$5:$D$315,$D51,M$5:M$315,"&lt;&gt;")=0,"",IF(OR(SUMIFS(M$5:M$315,$A$5:$A$315,$A51,$C$5:$C$315,$C51-1,$D$5:$D$315,$D51)=0,M51*SUMIFS(M$5:M$315,$A$5:$A$315,$A51,$C$5:$C$315,$C51-1,$D$5:$D$315,$D51)&lt;0),"n.s.",ABS(M51)/ABS(SUMIFS(M$5:M$315,$A$5:$A$315,$A51,$C$5:$C$315,$C51-1,$D$5:$D$315,$D51))-1)))</f>
        <v/>
      </c>
      <c r="X51" s="16">
        <f>IF(OR($A51="",N51="",$C51=""),"",IF(COUNTIFS($A$5:$A$315,$A51,$C$5:$C$315,$C51-1,$D$5:$D$315,$D51,N$5:N$315,"&lt;&gt;")=0,"",IF(OR(SUMIFS(N$5:N$315,$A$5:$A$315,$A51,$C$5:$C$315,$C51-1,$D$5:$D$315,$D51)=0,N51*SUMIFS(N$5:N$315,$A$5:$A$315,$A51,$C$5:$C$315,$C51-1,$D$5:$D$315,$D51)&lt;0),"n.s.",ABS(N51)/ABS(SUMIFS(N$5:N$315,$A$5:$A$315,$A51,$C$5:$C$315,$C51-1,$D$5:$D$315,$D51))-1)))</f>
        <v/>
      </c>
      <c r="Y51" s="16">
        <f>IF(OR($A51="",O51="",$C51=""),"",IF(COUNTIFS($A$5:$A$315,$A51,$C$5:$C$315,$C51-1,$D$5:$D$315,$D51,O$5:O$315,"&lt;&gt;")=0,"",IF(OR(SUMIFS(O$5:O$315,$A$5:$A$315,$A51,$C$5:$C$315,$C51-1,$D$5:$D$315,$D51)=0,O51*SUMIFS(O$5:O$315,$A$5:$A$315,$A51,$C$5:$C$315,$C51-1,$D$5:$D$315,$D51)&lt;0),"n.s.",ABS(O51)/ABS(SUMIFS(O$5:O$315,$A$5:$A$315,$A51,$C$5:$C$315,$C51-1,$D$5:$D$315,$D51))-1)))</f>
        <v/>
      </c>
    </row>
    <row r="52">
      <c r="A52" s="9" t="inlineStr">
        <is>
          <t>BICC</t>
        </is>
      </c>
      <c r="B52" s="10">
        <f>IF(A52="","",IFERROR(VLOOKUP(A52,Titres!$A$2:$B$400,2,FALSE),"Ticker inconnu"))</f>
        <v/>
      </c>
      <c r="C52" s="11" t="n">
        <v>2024</v>
      </c>
      <c r="D52" s="11" t="inlineStr">
        <is>
          <t>T3</t>
        </is>
      </c>
      <c r="E52" s="9" t="n"/>
      <c r="F52" s="12" t="n"/>
      <c r="G52" s="9" t="n"/>
      <c r="H52" s="13" t="n"/>
      <c r="I52" s="13" t="n"/>
      <c r="J52" s="13" t="n"/>
      <c r="K52" s="13" t="n"/>
      <c r="L52" s="13" t="n"/>
      <c r="M52" s="13" t="n"/>
      <c r="N52" s="13" t="n"/>
      <c r="O52" s="13" t="n"/>
      <c r="P52" s="14">
        <f>IF(A52="","",COUNT(H52:O52)/8)</f>
        <v/>
      </c>
      <c r="Q52" s="15">
        <f>IF(COUNT(H52:O52)=0,"",IF(LEN(IF(COUNT(H52,I52,J52)=3,IF(ABS(H52+I52-J52)&lt;=MAX(1,0.02*ABS(J52)),"","RBE &lt;&gt; PNB + frais "),"")&amp;IF(COUNT(J52,K52,L52)=3,IF(ABS(J52+K52-L52)&lt;=MAX(1,0.03*ABS(L52)),"","RAI &lt;&gt; RBE + coût du risque "),"")&amp;IF(COUNT(H52,M52)=2,IF(ABS(M52)&gt;ABS(H52),"RN &gt; PNB ",""),""))=0,"OK",IF(COUNT(H52,I52,J52)=3,IF(ABS(H52+I52-J52)&lt;=MAX(1,0.02*ABS(J52)),"","RBE &lt;&gt; PNB + frais "),"")&amp;IF(COUNT(J52,K52,L52)=3,IF(ABS(J52+K52-L52)&lt;=MAX(1,0.03*ABS(L52)),"","RAI &lt;&gt; RBE + coût du risque "),"")&amp;IF(COUNT(H52,M52)=2,IF(ABS(M52)&gt;ABS(H52),"RN &gt; PNB ",""),"")))</f>
        <v/>
      </c>
      <c r="R52" s="16">
        <f>IF(OR($A52="",H52="",$C52=""),"",IF(COUNTIFS($A$5:$A$315,$A52,$C$5:$C$315,$C52-1,$D$5:$D$315,$D52,H$5:H$315,"&lt;&gt;")=0,"",IF(OR(SUMIFS(H$5:H$315,$A$5:$A$315,$A52,$C$5:$C$315,$C52-1,$D$5:$D$315,$D52)=0,H52*SUMIFS(H$5:H$315,$A$5:$A$315,$A52,$C$5:$C$315,$C52-1,$D$5:$D$315,$D52)&lt;0),"n.s.",ABS(H52)/ABS(SUMIFS(H$5:H$315,$A$5:$A$315,$A52,$C$5:$C$315,$C52-1,$D$5:$D$315,$D52))-1)))</f>
        <v/>
      </c>
      <c r="S52" s="16">
        <f>IF(OR($A52="",I52="",$C52=""),"",IF(COUNTIFS($A$5:$A$315,$A52,$C$5:$C$315,$C52-1,$D$5:$D$315,$D52,I$5:I$315,"&lt;&gt;")=0,"",IF(OR(SUMIFS(I$5:I$315,$A$5:$A$315,$A52,$C$5:$C$315,$C52-1,$D$5:$D$315,$D52)=0,I52*SUMIFS(I$5:I$315,$A$5:$A$315,$A52,$C$5:$C$315,$C52-1,$D$5:$D$315,$D52)&lt;0),"n.s.",ABS(I52)/ABS(SUMIFS(I$5:I$315,$A$5:$A$315,$A52,$C$5:$C$315,$C52-1,$D$5:$D$315,$D52))-1)))</f>
        <v/>
      </c>
      <c r="T52" s="16">
        <f>IF(OR($A52="",J52="",$C52=""),"",IF(COUNTIFS($A$5:$A$315,$A52,$C$5:$C$315,$C52-1,$D$5:$D$315,$D52,J$5:J$315,"&lt;&gt;")=0,"",IF(OR(SUMIFS(J$5:J$315,$A$5:$A$315,$A52,$C$5:$C$315,$C52-1,$D$5:$D$315,$D52)=0,J52*SUMIFS(J$5:J$315,$A$5:$A$315,$A52,$C$5:$C$315,$C52-1,$D$5:$D$315,$D52)&lt;0),"n.s.",ABS(J52)/ABS(SUMIFS(J$5:J$315,$A$5:$A$315,$A52,$C$5:$C$315,$C52-1,$D$5:$D$315,$D52))-1)))</f>
        <v/>
      </c>
      <c r="U52" s="16">
        <f>IF(OR($A52="",K52="",$C52=""),"",IF(COUNTIFS($A$5:$A$315,$A52,$C$5:$C$315,$C52-1,$D$5:$D$315,$D52,K$5:K$315,"&lt;&gt;")=0,"",IF(OR(SUMIFS(K$5:K$315,$A$5:$A$315,$A52,$C$5:$C$315,$C52-1,$D$5:$D$315,$D52)=0,K52*SUMIFS(K$5:K$315,$A$5:$A$315,$A52,$C$5:$C$315,$C52-1,$D$5:$D$315,$D52)&lt;0),"n.s.",ABS(K52)/ABS(SUMIFS(K$5:K$315,$A$5:$A$315,$A52,$C$5:$C$315,$C52-1,$D$5:$D$315,$D52))-1)))</f>
        <v/>
      </c>
      <c r="V52" s="16">
        <f>IF(OR($A52="",L52="",$C52=""),"",IF(COUNTIFS($A$5:$A$315,$A52,$C$5:$C$315,$C52-1,$D$5:$D$315,$D52,L$5:L$315,"&lt;&gt;")=0,"",IF(OR(SUMIFS(L$5:L$315,$A$5:$A$315,$A52,$C$5:$C$315,$C52-1,$D$5:$D$315,$D52)=0,L52*SUMIFS(L$5:L$315,$A$5:$A$315,$A52,$C$5:$C$315,$C52-1,$D$5:$D$315,$D52)&lt;0),"n.s.",ABS(L52)/ABS(SUMIFS(L$5:L$315,$A$5:$A$315,$A52,$C$5:$C$315,$C52-1,$D$5:$D$315,$D52))-1)))</f>
        <v/>
      </c>
      <c r="W52" s="16">
        <f>IF(OR($A52="",M52="",$C52=""),"",IF(COUNTIFS($A$5:$A$315,$A52,$C$5:$C$315,$C52-1,$D$5:$D$315,$D52,M$5:M$315,"&lt;&gt;")=0,"",IF(OR(SUMIFS(M$5:M$315,$A$5:$A$315,$A52,$C$5:$C$315,$C52-1,$D$5:$D$315,$D52)=0,M52*SUMIFS(M$5:M$315,$A$5:$A$315,$A52,$C$5:$C$315,$C52-1,$D$5:$D$315,$D52)&lt;0),"n.s.",ABS(M52)/ABS(SUMIFS(M$5:M$315,$A$5:$A$315,$A52,$C$5:$C$315,$C52-1,$D$5:$D$315,$D52))-1)))</f>
        <v/>
      </c>
      <c r="X52" s="16">
        <f>IF(OR($A52="",N52="",$C52=""),"",IF(COUNTIFS($A$5:$A$315,$A52,$C$5:$C$315,$C52-1,$D$5:$D$315,$D52,N$5:N$315,"&lt;&gt;")=0,"",IF(OR(SUMIFS(N$5:N$315,$A$5:$A$315,$A52,$C$5:$C$315,$C52-1,$D$5:$D$315,$D52)=0,N52*SUMIFS(N$5:N$315,$A$5:$A$315,$A52,$C$5:$C$315,$C52-1,$D$5:$D$315,$D52)&lt;0),"n.s.",ABS(N52)/ABS(SUMIFS(N$5:N$315,$A$5:$A$315,$A52,$C$5:$C$315,$C52-1,$D$5:$D$315,$D52))-1)))</f>
        <v/>
      </c>
      <c r="Y52" s="16">
        <f>IF(OR($A52="",O52="",$C52=""),"",IF(COUNTIFS($A$5:$A$315,$A52,$C$5:$C$315,$C52-1,$D$5:$D$315,$D52,O$5:O$315,"&lt;&gt;")=0,"",IF(OR(SUMIFS(O$5:O$315,$A$5:$A$315,$A52,$C$5:$C$315,$C52-1,$D$5:$D$315,$D52)=0,O52*SUMIFS(O$5:O$315,$A$5:$A$315,$A52,$C$5:$C$315,$C52-1,$D$5:$D$315,$D52)&lt;0),"n.s.",ABS(O52)/ABS(SUMIFS(O$5:O$315,$A$5:$A$315,$A52,$C$5:$C$315,$C52-1,$D$5:$D$315,$D52))-1)))</f>
        <v/>
      </c>
    </row>
    <row r="53">
      <c r="A53" s="9" t="inlineStr">
        <is>
          <t>BICC</t>
        </is>
      </c>
      <c r="B53" s="10">
        <f>IF(A53="","",IFERROR(VLOOKUP(A53,Titres!$A$2:$B$400,2,FALSE),"Ticker inconnu"))</f>
        <v/>
      </c>
      <c r="C53" s="11" t="n">
        <v>2025</v>
      </c>
      <c r="D53" s="11" t="inlineStr">
        <is>
          <t>T1</t>
        </is>
      </c>
      <c r="E53" s="9" t="inlineStr">
        <is>
          <t>Publié</t>
        </is>
      </c>
      <c r="F53" s="12" t="n">
        <v>46142</v>
      </c>
      <c r="G53" s="9" t="inlineStr">
        <is>
          <t>https://www.richbourse.com/common/actualite/afficher-fichier/30-04-2026-bici-ci-rapport-dactivites-1er-trimestre-2026 (comparatif N-1)</t>
        </is>
      </c>
      <c r="H53" s="13" t="n">
        <v>18130</v>
      </c>
      <c r="I53" s="13" t="n"/>
      <c r="J53" s="13" t="n"/>
      <c r="K53" s="13" t="n"/>
      <c r="L53" s="13" t="n">
        <v>9266</v>
      </c>
      <c r="M53" s="13" t="n">
        <v>8011</v>
      </c>
      <c r="N53" s="13" t="n">
        <v>547784</v>
      </c>
      <c r="O53" s="13" t="n">
        <v>870535</v>
      </c>
      <c r="P53" s="14">
        <f>IF(A53="","",COUNT(H53:O53)/8)</f>
        <v/>
      </c>
      <c r="Q53" s="15">
        <f>IF(COUNT(H53:O53)=0,"",IF(LEN(IF(COUNT(H53,I53,J53)=3,IF(ABS(H53+I53-J53)&lt;=MAX(1,0.02*ABS(J53)),"","RBE &lt;&gt; PNB + frais "),"")&amp;IF(COUNT(J53,K53,L53)=3,IF(ABS(J53+K53-L53)&lt;=MAX(1,0.03*ABS(L53)),"","RAI &lt;&gt; RBE + coût du risque "),"")&amp;IF(COUNT(H53,M53)=2,IF(ABS(M53)&gt;ABS(H53),"RN &gt; PNB ",""),""))=0,"OK",IF(COUNT(H53,I53,J53)=3,IF(ABS(H53+I53-J53)&lt;=MAX(1,0.02*ABS(J53)),"","RBE &lt;&gt; PNB + frais "),"")&amp;IF(COUNT(J53,K53,L53)=3,IF(ABS(J53+K53-L53)&lt;=MAX(1,0.03*ABS(L53)),"","RAI &lt;&gt; RBE + coût du risque "),"")&amp;IF(COUNT(H53,M53)=2,IF(ABS(M53)&gt;ABS(H53),"RN &gt; PNB ",""),"")))</f>
        <v/>
      </c>
      <c r="R53" s="16">
        <f>IF(OR($A53="",H53="",$C53=""),"",IF(COUNTIFS($A$5:$A$315,$A53,$C$5:$C$315,$C53-1,$D$5:$D$315,$D53,H$5:H$315,"&lt;&gt;")=0,"",IF(OR(SUMIFS(H$5:H$315,$A$5:$A$315,$A53,$C$5:$C$315,$C53-1,$D$5:$D$315,$D53)=0,H53*SUMIFS(H$5:H$315,$A$5:$A$315,$A53,$C$5:$C$315,$C53-1,$D$5:$D$315,$D53)&lt;0),"n.s.",ABS(H53)/ABS(SUMIFS(H$5:H$315,$A$5:$A$315,$A53,$C$5:$C$315,$C53-1,$D$5:$D$315,$D53))-1)))</f>
        <v/>
      </c>
      <c r="S53" s="16">
        <f>IF(OR($A53="",I53="",$C53=""),"",IF(COUNTIFS($A$5:$A$315,$A53,$C$5:$C$315,$C53-1,$D$5:$D$315,$D53,I$5:I$315,"&lt;&gt;")=0,"",IF(OR(SUMIFS(I$5:I$315,$A$5:$A$315,$A53,$C$5:$C$315,$C53-1,$D$5:$D$315,$D53)=0,I53*SUMIFS(I$5:I$315,$A$5:$A$315,$A53,$C$5:$C$315,$C53-1,$D$5:$D$315,$D53)&lt;0),"n.s.",ABS(I53)/ABS(SUMIFS(I$5:I$315,$A$5:$A$315,$A53,$C$5:$C$315,$C53-1,$D$5:$D$315,$D53))-1)))</f>
        <v/>
      </c>
      <c r="T53" s="16">
        <f>IF(OR($A53="",J53="",$C53=""),"",IF(COUNTIFS($A$5:$A$315,$A53,$C$5:$C$315,$C53-1,$D$5:$D$315,$D53,J$5:J$315,"&lt;&gt;")=0,"",IF(OR(SUMIFS(J$5:J$315,$A$5:$A$315,$A53,$C$5:$C$315,$C53-1,$D$5:$D$315,$D53)=0,J53*SUMIFS(J$5:J$315,$A$5:$A$315,$A53,$C$5:$C$315,$C53-1,$D$5:$D$315,$D53)&lt;0),"n.s.",ABS(J53)/ABS(SUMIFS(J$5:J$315,$A$5:$A$315,$A53,$C$5:$C$315,$C53-1,$D$5:$D$315,$D53))-1)))</f>
        <v/>
      </c>
      <c r="U53" s="16">
        <f>IF(OR($A53="",K53="",$C53=""),"",IF(COUNTIFS($A$5:$A$315,$A53,$C$5:$C$315,$C53-1,$D$5:$D$315,$D53,K$5:K$315,"&lt;&gt;")=0,"",IF(OR(SUMIFS(K$5:K$315,$A$5:$A$315,$A53,$C$5:$C$315,$C53-1,$D$5:$D$315,$D53)=0,K53*SUMIFS(K$5:K$315,$A$5:$A$315,$A53,$C$5:$C$315,$C53-1,$D$5:$D$315,$D53)&lt;0),"n.s.",ABS(K53)/ABS(SUMIFS(K$5:K$315,$A$5:$A$315,$A53,$C$5:$C$315,$C53-1,$D$5:$D$315,$D53))-1)))</f>
        <v/>
      </c>
      <c r="V53" s="16">
        <f>IF(OR($A53="",L53="",$C53=""),"",IF(COUNTIFS($A$5:$A$315,$A53,$C$5:$C$315,$C53-1,$D$5:$D$315,$D53,L$5:L$315,"&lt;&gt;")=0,"",IF(OR(SUMIFS(L$5:L$315,$A$5:$A$315,$A53,$C$5:$C$315,$C53-1,$D$5:$D$315,$D53)=0,L53*SUMIFS(L$5:L$315,$A$5:$A$315,$A53,$C$5:$C$315,$C53-1,$D$5:$D$315,$D53)&lt;0),"n.s.",ABS(L53)/ABS(SUMIFS(L$5:L$315,$A$5:$A$315,$A53,$C$5:$C$315,$C53-1,$D$5:$D$315,$D53))-1)))</f>
        <v/>
      </c>
      <c r="W53" s="16">
        <f>IF(OR($A53="",M53="",$C53=""),"",IF(COUNTIFS($A$5:$A$315,$A53,$C$5:$C$315,$C53-1,$D$5:$D$315,$D53,M$5:M$315,"&lt;&gt;")=0,"",IF(OR(SUMIFS(M$5:M$315,$A$5:$A$315,$A53,$C$5:$C$315,$C53-1,$D$5:$D$315,$D53)=0,M53*SUMIFS(M$5:M$315,$A$5:$A$315,$A53,$C$5:$C$315,$C53-1,$D$5:$D$315,$D53)&lt;0),"n.s.",ABS(M53)/ABS(SUMIFS(M$5:M$315,$A$5:$A$315,$A53,$C$5:$C$315,$C53-1,$D$5:$D$315,$D53))-1)))</f>
        <v/>
      </c>
      <c r="X53" s="16">
        <f>IF(OR($A53="",N53="",$C53=""),"",IF(COUNTIFS($A$5:$A$315,$A53,$C$5:$C$315,$C53-1,$D$5:$D$315,$D53,N$5:N$315,"&lt;&gt;")=0,"",IF(OR(SUMIFS(N$5:N$315,$A$5:$A$315,$A53,$C$5:$C$315,$C53-1,$D$5:$D$315,$D53)=0,N53*SUMIFS(N$5:N$315,$A$5:$A$315,$A53,$C$5:$C$315,$C53-1,$D$5:$D$315,$D53)&lt;0),"n.s.",ABS(N53)/ABS(SUMIFS(N$5:N$315,$A$5:$A$315,$A53,$C$5:$C$315,$C53-1,$D$5:$D$315,$D53))-1)))</f>
        <v/>
      </c>
      <c r="Y53" s="16">
        <f>IF(OR($A53="",O53="",$C53=""),"",IF(COUNTIFS($A$5:$A$315,$A53,$C$5:$C$315,$C53-1,$D$5:$D$315,$D53,O$5:O$315,"&lt;&gt;")=0,"",IF(OR(SUMIFS(O$5:O$315,$A$5:$A$315,$A53,$C$5:$C$315,$C53-1,$D$5:$D$315,$D53)=0,O53*SUMIFS(O$5:O$315,$A$5:$A$315,$A53,$C$5:$C$315,$C53-1,$D$5:$D$315,$D53)&lt;0),"n.s.",ABS(O53)/ABS(SUMIFS(O$5:O$315,$A$5:$A$315,$A53,$C$5:$C$315,$C53-1,$D$5:$D$315,$D53))-1)))</f>
        <v/>
      </c>
    </row>
    <row r="54">
      <c r="A54" s="9" t="inlineStr">
        <is>
          <t>BICC</t>
        </is>
      </c>
      <c r="B54" s="10">
        <f>IF(A54="","",IFERROR(VLOOKUP(A54,Titres!$A$2:$B$400,2,FALSE),"Ticker inconnu"))</f>
        <v/>
      </c>
      <c r="C54" s="11" t="n">
        <v>2025</v>
      </c>
      <c r="D54" s="11" t="inlineStr">
        <is>
          <t>S1</t>
        </is>
      </c>
      <c r="E54" s="9" t="inlineStr">
        <is>
          <t>Publié</t>
        </is>
      </c>
      <c r="F54" s="12" t="n">
        <v>46308</v>
      </c>
      <c r="G54" s="9" t="inlineStr">
        <is>
          <t>https://www.richbourse.com/common/actualite/afficher-fichier/13-10-2026-bici-ci-rapport-d-activites-1er-semestre-2026 (comparatif N-1)</t>
        </is>
      </c>
      <c r="H54" s="13" t="n">
        <v>37146</v>
      </c>
      <c r="I54" s="13" t="n">
        <v>-19355</v>
      </c>
      <c r="J54" s="13" t="n">
        <v>17791</v>
      </c>
      <c r="K54" s="13" t="n">
        <v>-123</v>
      </c>
      <c r="L54" s="13" t="n">
        <v>17673</v>
      </c>
      <c r="M54" s="13" t="n">
        <v>16253</v>
      </c>
      <c r="N54" s="13" t="n">
        <v>512559</v>
      </c>
      <c r="O54" s="13" t="n">
        <v>947270</v>
      </c>
      <c r="P54" s="14">
        <f>IF(A54="","",COUNT(H54:O54)/8)</f>
        <v/>
      </c>
      <c r="Q54" s="15">
        <f>IF(COUNT(H54:O54)=0,"",IF(LEN(IF(COUNT(H54,I54,J54)=3,IF(ABS(H54+I54-J54)&lt;=MAX(1,0.02*ABS(J54)),"","RBE &lt;&gt; PNB + frais "),"")&amp;IF(COUNT(J54,K54,L54)=3,IF(ABS(J54+K54-L54)&lt;=MAX(1,0.03*ABS(L54)),"","RAI &lt;&gt; RBE + coût du risque "),"")&amp;IF(COUNT(H54,M54)=2,IF(ABS(M54)&gt;ABS(H54),"RN &gt; PNB ",""),""))=0,"OK",IF(COUNT(H54,I54,J54)=3,IF(ABS(H54+I54-J54)&lt;=MAX(1,0.02*ABS(J54)),"","RBE &lt;&gt; PNB + frais "),"")&amp;IF(COUNT(J54,K54,L54)=3,IF(ABS(J54+K54-L54)&lt;=MAX(1,0.03*ABS(L54)),"","RAI &lt;&gt; RBE + coût du risque "),"")&amp;IF(COUNT(H54,M54)=2,IF(ABS(M54)&gt;ABS(H54),"RN &gt; PNB ",""),"")))</f>
        <v/>
      </c>
      <c r="R54" s="16">
        <f>IF(OR($A54="",H54="",$C54=""),"",IF(COUNTIFS($A$5:$A$315,$A54,$C$5:$C$315,$C54-1,$D$5:$D$315,$D54,H$5:H$315,"&lt;&gt;")=0,"",IF(OR(SUMIFS(H$5:H$315,$A$5:$A$315,$A54,$C$5:$C$315,$C54-1,$D$5:$D$315,$D54)=0,H54*SUMIFS(H$5:H$315,$A$5:$A$315,$A54,$C$5:$C$315,$C54-1,$D$5:$D$315,$D54)&lt;0),"n.s.",ABS(H54)/ABS(SUMIFS(H$5:H$315,$A$5:$A$315,$A54,$C$5:$C$315,$C54-1,$D$5:$D$315,$D54))-1)))</f>
        <v/>
      </c>
      <c r="S54" s="16">
        <f>IF(OR($A54="",I54="",$C54=""),"",IF(COUNTIFS($A$5:$A$315,$A54,$C$5:$C$315,$C54-1,$D$5:$D$315,$D54,I$5:I$315,"&lt;&gt;")=0,"",IF(OR(SUMIFS(I$5:I$315,$A$5:$A$315,$A54,$C$5:$C$315,$C54-1,$D$5:$D$315,$D54)=0,I54*SUMIFS(I$5:I$315,$A$5:$A$315,$A54,$C$5:$C$315,$C54-1,$D$5:$D$315,$D54)&lt;0),"n.s.",ABS(I54)/ABS(SUMIFS(I$5:I$315,$A$5:$A$315,$A54,$C$5:$C$315,$C54-1,$D$5:$D$315,$D54))-1)))</f>
        <v/>
      </c>
      <c r="T54" s="16">
        <f>IF(OR($A54="",J54="",$C54=""),"",IF(COUNTIFS($A$5:$A$315,$A54,$C$5:$C$315,$C54-1,$D$5:$D$315,$D54,J$5:J$315,"&lt;&gt;")=0,"",IF(OR(SUMIFS(J$5:J$315,$A$5:$A$315,$A54,$C$5:$C$315,$C54-1,$D$5:$D$315,$D54)=0,J54*SUMIFS(J$5:J$315,$A$5:$A$315,$A54,$C$5:$C$315,$C54-1,$D$5:$D$315,$D54)&lt;0),"n.s.",ABS(J54)/ABS(SUMIFS(J$5:J$315,$A$5:$A$315,$A54,$C$5:$C$315,$C54-1,$D$5:$D$315,$D54))-1)))</f>
        <v/>
      </c>
      <c r="U54" s="16">
        <f>IF(OR($A54="",K54="",$C54=""),"",IF(COUNTIFS($A$5:$A$315,$A54,$C$5:$C$315,$C54-1,$D$5:$D$315,$D54,K$5:K$315,"&lt;&gt;")=0,"",IF(OR(SUMIFS(K$5:K$315,$A$5:$A$315,$A54,$C$5:$C$315,$C54-1,$D$5:$D$315,$D54)=0,K54*SUMIFS(K$5:K$315,$A$5:$A$315,$A54,$C$5:$C$315,$C54-1,$D$5:$D$315,$D54)&lt;0),"n.s.",ABS(K54)/ABS(SUMIFS(K$5:K$315,$A$5:$A$315,$A54,$C$5:$C$315,$C54-1,$D$5:$D$315,$D54))-1)))</f>
        <v/>
      </c>
      <c r="V54" s="16">
        <f>IF(OR($A54="",L54="",$C54=""),"",IF(COUNTIFS($A$5:$A$315,$A54,$C$5:$C$315,$C54-1,$D$5:$D$315,$D54,L$5:L$315,"&lt;&gt;")=0,"",IF(OR(SUMIFS(L$5:L$315,$A$5:$A$315,$A54,$C$5:$C$315,$C54-1,$D$5:$D$315,$D54)=0,L54*SUMIFS(L$5:L$315,$A$5:$A$315,$A54,$C$5:$C$315,$C54-1,$D$5:$D$315,$D54)&lt;0),"n.s.",ABS(L54)/ABS(SUMIFS(L$5:L$315,$A$5:$A$315,$A54,$C$5:$C$315,$C54-1,$D$5:$D$315,$D54))-1)))</f>
        <v/>
      </c>
      <c r="W54" s="16">
        <f>IF(OR($A54="",M54="",$C54=""),"",IF(COUNTIFS($A$5:$A$315,$A54,$C$5:$C$315,$C54-1,$D$5:$D$315,$D54,M$5:M$315,"&lt;&gt;")=0,"",IF(OR(SUMIFS(M$5:M$315,$A$5:$A$315,$A54,$C$5:$C$315,$C54-1,$D$5:$D$315,$D54)=0,M54*SUMIFS(M$5:M$315,$A$5:$A$315,$A54,$C$5:$C$315,$C54-1,$D$5:$D$315,$D54)&lt;0),"n.s.",ABS(M54)/ABS(SUMIFS(M$5:M$315,$A$5:$A$315,$A54,$C$5:$C$315,$C54-1,$D$5:$D$315,$D54))-1)))</f>
        <v/>
      </c>
      <c r="X54" s="16">
        <f>IF(OR($A54="",N54="",$C54=""),"",IF(COUNTIFS($A$5:$A$315,$A54,$C$5:$C$315,$C54-1,$D$5:$D$315,$D54,N$5:N$315,"&lt;&gt;")=0,"",IF(OR(SUMIFS(N$5:N$315,$A$5:$A$315,$A54,$C$5:$C$315,$C54-1,$D$5:$D$315,$D54)=0,N54*SUMIFS(N$5:N$315,$A$5:$A$315,$A54,$C$5:$C$315,$C54-1,$D$5:$D$315,$D54)&lt;0),"n.s.",ABS(N54)/ABS(SUMIFS(N$5:N$315,$A$5:$A$315,$A54,$C$5:$C$315,$C54-1,$D$5:$D$315,$D54))-1)))</f>
        <v/>
      </c>
      <c r="Y54" s="16">
        <f>IF(OR($A54="",O54="",$C54=""),"",IF(COUNTIFS($A$5:$A$315,$A54,$C$5:$C$315,$C54-1,$D$5:$D$315,$D54,O$5:O$315,"&lt;&gt;")=0,"",IF(OR(SUMIFS(O$5:O$315,$A$5:$A$315,$A54,$C$5:$C$315,$C54-1,$D$5:$D$315,$D54)=0,O54*SUMIFS(O$5:O$315,$A$5:$A$315,$A54,$C$5:$C$315,$C54-1,$D$5:$D$315,$D54)&lt;0),"n.s.",ABS(O54)/ABS(SUMIFS(O$5:O$315,$A$5:$A$315,$A54,$C$5:$C$315,$C54-1,$D$5:$D$315,$D54))-1)))</f>
        <v/>
      </c>
    </row>
    <row r="55">
      <c r="A55" s="9" t="inlineStr">
        <is>
          <t>BICC</t>
        </is>
      </c>
      <c r="B55" s="10">
        <f>IF(A55="","",IFERROR(VLOOKUP(A55,Titres!$A$2:$B$400,2,FALSE),"Ticker inconnu"))</f>
        <v/>
      </c>
      <c r="C55" s="11" t="n">
        <v>2025</v>
      </c>
      <c r="D55" s="11" t="inlineStr">
        <is>
          <t>T3</t>
        </is>
      </c>
      <c r="E55" s="9" t="n"/>
      <c r="F55" s="12" t="n"/>
      <c r="G55" s="9" t="n"/>
      <c r="H55" s="13" t="n"/>
      <c r="I55" s="13" t="n"/>
      <c r="J55" s="13" t="n"/>
      <c r="K55" s="13" t="n"/>
      <c r="L55" s="13" t="n"/>
      <c r="M55" s="13" t="n"/>
      <c r="N55" s="13" t="n"/>
      <c r="O55" s="13" t="n"/>
      <c r="P55" s="14">
        <f>IF(A55="","",COUNT(H55:O55)/8)</f>
        <v/>
      </c>
      <c r="Q55" s="15">
        <f>IF(COUNT(H55:O55)=0,"",IF(LEN(IF(COUNT(H55,I55,J55)=3,IF(ABS(H55+I55-J55)&lt;=MAX(1,0.02*ABS(J55)),"","RBE &lt;&gt; PNB + frais "),"")&amp;IF(COUNT(J55,K55,L55)=3,IF(ABS(J55+K55-L55)&lt;=MAX(1,0.03*ABS(L55)),"","RAI &lt;&gt; RBE + coût du risque "),"")&amp;IF(COUNT(H55,M55)=2,IF(ABS(M55)&gt;ABS(H55),"RN &gt; PNB ",""),""))=0,"OK",IF(COUNT(H55,I55,J55)=3,IF(ABS(H55+I55-J55)&lt;=MAX(1,0.02*ABS(J55)),"","RBE &lt;&gt; PNB + frais "),"")&amp;IF(COUNT(J55,K55,L55)=3,IF(ABS(J55+K55-L55)&lt;=MAX(1,0.03*ABS(L55)),"","RAI &lt;&gt; RBE + coût du risque "),"")&amp;IF(COUNT(H55,M55)=2,IF(ABS(M55)&gt;ABS(H55),"RN &gt; PNB ",""),"")))</f>
        <v/>
      </c>
      <c r="R55" s="16">
        <f>IF(OR($A55="",H55="",$C55=""),"",IF(COUNTIFS($A$5:$A$315,$A55,$C$5:$C$315,$C55-1,$D$5:$D$315,$D55,H$5:H$315,"&lt;&gt;")=0,"",IF(OR(SUMIFS(H$5:H$315,$A$5:$A$315,$A55,$C$5:$C$315,$C55-1,$D$5:$D$315,$D55)=0,H55*SUMIFS(H$5:H$315,$A$5:$A$315,$A55,$C$5:$C$315,$C55-1,$D$5:$D$315,$D55)&lt;0),"n.s.",ABS(H55)/ABS(SUMIFS(H$5:H$315,$A$5:$A$315,$A55,$C$5:$C$315,$C55-1,$D$5:$D$315,$D55))-1)))</f>
        <v/>
      </c>
      <c r="S55" s="16">
        <f>IF(OR($A55="",I55="",$C55=""),"",IF(COUNTIFS($A$5:$A$315,$A55,$C$5:$C$315,$C55-1,$D$5:$D$315,$D55,I$5:I$315,"&lt;&gt;")=0,"",IF(OR(SUMIFS(I$5:I$315,$A$5:$A$315,$A55,$C$5:$C$315,$C55-1,$D$5:$D$315,$D55)=0,I55*SUMIFS(I$5:I$315,$A$5:$A$315,$A55,$C$5:$C$315,$C55-1,$D$5:$D$315,$D55)&lt;0),"n.s.",ABS(I55)/ABS(SUMIFS(I$5:I$315,$A$5:$A$315,$A55,$C$5:$C$315,$C55-1,$D$5:$D$315,$D55))-1)))</f>
        <v/>
      </c>
      <c r="T55" s="16">
        <f>IF(OR($A55="",J55="",$C55=""),"",IF(COUNTIFS($A$5:$A$315,$A55,$C$5:$C$315,$C55-1,$D$5:$D$315,$D55,J$5:J$315,"&lt;&gt;")=0,"",IF(OR(SUMIFS(J$5:J$315,$A$5:$A$315,$A55,$C$5:$C$315,$C55-1,$D$5:$D$315,$D55)=0,J55*SUMIFS(J$5:J$315,$A$5:$A$315,$A55,$C$5:$C$315,$C55-1,$D$5:$D$315,$D55)&lt;0),"n.s.",ABS(J55)/ABS(SUMIFS(J$5:J$315,$A$5:$A$315,$A55,$C$5:$C$315,$C55-1,$D$5:$D$315,$D55))-1)))</f>
        <v/>
      </c>
      <c r="U55" s="16">
        <f>IF(OR($A55="",K55="",$C55=""),"",IF(COUNTIFS($A$5:$A$315,$A55,$C$5:$C$315,$C55-1,$D$5:$D$315,$D55,K$5:K$315,"&lt;&gt;")=0,"",IF(OR(SUMIFS(K$5:K$315,$A$5:$A$315,$A55,$C$5:$C$315,$C55-1,$D$5:$D$315,$D55)=0,K55*SUMIFS(K$5:K$315,$A$5:$A$315,$A55,$C$5:$C$315,$C55-1,$D$5:$D$315,$D55)&lt;0),"n.s.",ABS(K55)/ABS(SUMIFS(K$5:K$315,$A$5:$A$315,$A55,$C$5:$C$315,$C55-1,$D$5:$D$315,$D55))-1)))</f>
        <v/>
      </c>
      <c r="V55" s="16">
        <f>IF(OR($A55="",L55="",$C55=""),"",IF(COUNTIFS($A$5:$A$315,$A55,$C$5:$C$315,$C55-1,$D$5:$D$315,$D55,L$5:L$315,"&lt;&gt;")=0,"",IF(OR(SUMIFS(L$5:L$315,$A$5:$A$315,$A55,$C$5:$C$315,$C55-1,$D$5:$D$315,$D55)=0,L55*SUMIFS(L$5:L$315,$A$5:$A$315,$A55,$C$5:$C$315,$C55-1,$D$5:$D$315,$D55)&lt;0),"n.s.",ABS(L55)/ABS(SUMIFS(L$5:L$315,$A$5:$A$315,$A55,$C$5:$C$315,$C55-1,$D$5:$D$315,$D55))-1)))</f>
        <v/>
      </c>
      <c r="W55" s="16">
        <f>IF(OR($A55="",M55="",$C55=""),"",IF(COUNTIFS($A$5:$A$315,$A55,$C$5:$C$315,$C55-1,$D$5:$D$315,$D55,M$5:M$315,"&lt;&gt;")=0,"",IF(OR(SUMIFS(M$5:M$315,$A$5:$A$315,$A55,$C$5:$C$315,$C55-1,$D$5:$D$315,$D55)=0,M55*SUMIFS(M$5:M$315,$A$5:$A$315,$A55,$C$5:$C$315,$C55-1,$D$5:$D$315,$D55)&lt;0),"n.s.",ABS(M55)/ABS(SUMIFS(M$5:M$315,$A$5:$A$315,$A55,$C$5:$C$315,$C55-1,$D$5:$D$315,$D55))-1)))</f>
        <v/>
      </c>
      <c r="X55" s="16">
        <f>IF(OR($A55="",N55="",$C55=""),"",IF(COUNTIFS($A$5:$A$315,$A55,$C$5:$C$315,$C55-1,$D$5:$D$315,$D55,N$5:N$315,"&lt;&gt;")=0,"",IF(OR(SUMIFS(N$5:N$315,$A$5:$A$315,$A55,$C$5:$C$315,$C55-1,$D$5:$D$315,$D55)=0,N55*SUMIFS(N$5:N$315,$A$5:$A$315,$A55,$C$5:$C$315,$C55-1,$D$5:$D$315,$D55)&lt;0),"n.s.",ABS(N55)/ABS(SUMIFS(N$5:N$315,$A$5:$A$315,$A55,$C$5:$C$315,$C55-1,$D$5:$D$315,$D55))-1)))</f>
        <v/>
      </c>
      <c r="Y55" s="16">
        <f>IF(OR($A55="",O55="",$C55=""),"",IF(COUNTIFS($A$5:$A$315,$A55,$C$5:$C$315,$C55-1,$D$5:$D$315,$D55,O$5:O$315,"&lt;&gt;")=0,"",IF(OR(SUMIFS(O$5:O$315,$A$5:$A$315,$A55,$C$5:$C$315,$C55-1,$D$5:$D$315,$D55)=0,O55*SUMIFS(O$5:O$315,$A$5:$A$315,$A55,$C$5:$C$315,$C55-1,$D$5:$D$315,$D55)&lt;0),"n.s.",ABS(O55)/ABS(SUMIFS(O$5:O$315,$A$5:$A$315,$A55,$C$5:$C$315,$C55-1,$D$5:$D$315,$D55))-1)))</f>
        <v/>
      </c>
    </row>
    <row r="56">
      <c r="A56" s="9" t="inlineStr">
        <is>
          <t>BICC</t>
        </is>
      </c>
      <c r="B56" s="10">
        <f>IF(A56="","",IFERROR(VLOOKUP(A56,Titres!$A$2:$B$400,2,FALSE),"Ticker inconnu"))</f>
        <v/>
      </c>
      <c r="C56" s="11" t="n">
        <v>2026</v>
      </c>
      <c r="D56" s="11" t="inlineStr">
        <is>
          <t>T1</t>
        </is>
      </c>
      <c r="E56" s="9" t="inlineStr">
        <is>
          <t>Publié</t>
        </is>
      </c>
      <c r="F56" s="12" t="n">
        <v>46142</v>
      </c>
      <c r="G56" s="9" t="inlineStr">
        <is>
          <t>https://www.richbourse.com/common/actualite/afficher-fichier/30-04-2026-bici-ci-rapport-dactivites-1er-trimestre-2026</t>
        </is>
      </c>
      <c r="H56" s="13" t="n">
        <v>21214</v>
      </c>
      <c r="I56" s="13" t="n"/>
      <c r="J56" s="13" t="n"/>
      <c r="K56" s="13" t="n"/>
      <c r="L56" s="13" t="n">
        <v>11223</v>
      </c>
      <c r="M56" s="13" t="n">
        <v>10387</v>
      </c>
      <c r="N56" s="13" t="n">
        <v>523300</v>
      </c>
      <c r="O56" s="13" t="n">
        <v>996392</v>
      </c>
      <c r="P56" s="14">
        <f>IF(A56="","",COUNT(H56:O56)/8)</f>
        <v/>
      </c>
      <c r="Q56" s="15">
        <f>IF(COUNT(H56:O56)=0,"",IF(LEN(IF(COUNT(H56,I56,J56)=3,IF(ABS(H56+I56-J56)&lt;=MAX(1,0.02*ABS(J56)),"","RBE &lt;&gt; PNB + frais "),"")&amp;IF(COUNT(J56,K56,L56)=3,IF(ABS(J56+K56-L56)&lt;=MAX(1,0.03*ABS(L56)),"","RAI &lt;&gt; RBE + coût du risque "),"")&amp;IF(COUNT(H56,M56)=2,IF(ABS(M56)&gt;ABS(H56),"RN &gt; PNB ",""),""))=0,"OK",IF(COUNT(H56,I56,J56)=3,IF(ABS(H56+I56-J56)&lt;=MAX(1,0.02*ABS(J56)),"","RBE &lt;&gt; PNB + frais "),"")&amp;IF(COUNT(J56,K56,L56)=3,IF(ABS(J56+K56-L56)&lt;=MAX(1,0.03*ABS(L56)),"","RAI &lt;&gt; RBE + coût du risque "),"")&amp;IF(COUNT(H56,M56)=2,IF(ABS(M56)&gt;ABS(H56),"RN &gt; PNB ",""),"")))</f>
        <v/>
      </c>
      <c r="R56" s="16">
        <f>IF(OR($A56="",H56="",$C56=""),"",IF(COUNTIFS($A$5:$A$315,$A56,$C$5:$C$315,$C56-1,$D$5:$D$315,$D56,H$5:H$315,"&lt;&gt;")=0,"",IF(OR(SUMIFS(H$5:H$315,$A$5:$A$315,$A56,$C$5:$C$315,$C56-1,$D$5:$D$315,$D56)=0,H56*SUMIFS(H$5:H$315,$A$5:$A$315,$A56,$C$5:$C$315,$C56-1,$D$5:$D$315,$D56)&lt;0),"n.s.",ABS(H56)/ABS(SUMIFS(H$5:H$315,$A$5:$A$315,$A56,$C$5:$C$315,$C56-1,$D$5:$D$315,$D56))-1)))</f>
        <v/>
      </c>
      <c r="S56" s="16">
        <f>IF(OR($A56="",I56="",$C56=""),"",IF(COUNTIFS($A$5:$A$315,$A56,$C$5:$C$315,$C56-1,$D$5:$D$315,$D56,I$5:I$315,"&lt;&gt;")=0,"",IF(OR(SUMIFS(I$5:I$315,$A$5:$A$315,$A56,$C$5:$C$315,$C56-1,$D$5:$D$315,$D56)=0,I56*SUMIFS(I$5:I$315,$A$5:$A$315,$A56,$C$5:$C$315,$C56-1,$D$5:$D$315,$D56)&lt;0),"n.s.",ABS(I56)/ABS(SUMIFS(I$5:I$315,$A$5:$A$315,$A56,$C$5:$C$315,$C56-1,$D$5:$D$315,$D56))-1)))</f>
        <v/>
      </c>
      <c r="T56" s="16">
        <f>IF(OR($A56="",J56="",$C56=""),"",IF(COUNTIFS($A$5:$A$315,$A56,$C$5:$C$315,$C56-1,$D$5:$D$315,$D56,J$5:J$315,"&lt;&gt;")=0,"",IF(OR(SUMIFS(J$5:J$315,$A$5:$A$315,$A56,$C$5:$C$315,$C56-1,$D$5:$D$315,$D56)=0,J56*SUMIFS(J$5:J$315,$A$5:$A$315,$A56,$C$5:$C$315,$C56-1,$D$5:$D$315,$D56)&lt;0),"n.s.",ABS(J56)/ABS(SUMIFS(J$5:J$315,$A$5:$A$315,$A56,$C$5:$C$315,$C56-1,$D$5:$D$315,$D56))-1)))</f>
        <v/>
      </c>
      <c r="U56" s="16">
        <f>IF(OR($A56="",K56="",$C56=""),"",IF(COUNTIFS($A$5:$A$315,$A56,$C$5:$C$315,$C56-1,$D$5:$D$315,$D56,K$5:K$315,"&lt;&gt;")=0,"",IF(OR(SUMIFS(K$5:K$315,$A$5:$A$315,$A56,$C$5:$C$315,$C56-1,$D$5:$D$315,$D56)=0,K56*SUMIFS(K$5:K$315,$A$5:$A$315,$A56,$C$5:$C$315,$C56-1,$D$5:$D$315,$D56)&lt;0),"n.s.",ABS(K56)/ABS(SUMIFS(K$5:K$315,$A$5:$A$315,$A56,$C$5:$C$315,$C56-1,$D$5:$D$315,$D56))-1)))</f>
        <v/>
      </c>
      <c r="V56" s="16">
        <f>IF(OR($A56="",L56="",$C56=""),"",IF(COUNTIFS($A$5:$A$315,$A56,$C$5:$C$315,$C56-1,$D$5:$D$315,$D56,L$5:L$315,"&lt;&gt;")=0,"",IF(OR(SUMIFS(L$5:L$315,$A$5:$A$315,$A56,$C$5:$C$315,$C56-1,$D$5:$D$315,$D56)=0,L56*SUMIFS(L$5:L$315,$A$5:$A$315,$A56,$C$5:$C$315,$C56-1,$D$5:$D$315,$D56)&lt;0),"n.s.",ABS(L56)/ABS(SUMIFS(L$5:L$315,$A$5:$A$315,$A56,$C$5:$C$315,$C56-1,$D$5:$D$315,$D56))-1)))</f>
        <v/>
      </c>
      <c r="W56" s="16">
        <f>IF(OR($A56="",M56="",$C56=""),"",IF(COUNTIFS($A$5:$A$315,$A56,$C$5:$C$315,$C56-1,$D$5:$D$315,$D56,M$5:M$315,"&lt;&gt;")=0,"",IF(OR(SUMIFS(M$5:M$315,$A$5:$A$315,$A56,$C$5:$C$315,$C56-1,$D$5:$D$315,$D56)=0,M56*SUMIFS(M$5:M$315,$A$5:$A$315,$A56,$C$5:$C$315,$C56-1,$D$5:$D$315,$D56)&lt;0),"n.s.",ABS(M56)/ABS(SUMIFS(M$5:M$315,$A$5:$A$315,$A56,$C$5:$C$315,$C56-1,$D$5:$D$315,$D56))-1)))</f>
        <v/>
      </c>
      <c r="X56" s="16">
        <f>IF(OR($A56="",N56="",$C56=""),"",IF(COUNTIFS($A$5:$A$315,$A56,$C$5:$C$315,$C56-1,$D$5:$D$315,$D56,N$5:N$315,"&lt;&gt;")=0,"",IF(OR(SUMIFS(N$5:N$315,$A$5:$A$315,$A56,$C$5:$C$315,$C56-1,$D$5:$D$315,$D56)=0,N56*SUMIFS(N$5:N$315,$A$5:$A$315,$A56,$C$5:$C$315,$C56-1,$D$5:$D$315,$D56)&lt;0),"n.s.",ABS(N56)/ABS(SUMIFS(N$5:N$315,$A$5:$A$315,$A56,$C$5:$C$315,$C56-1,$D$5:$D$315,$D56))-1)))</f>
        <v/>
      </c>
      <c r="Y56" s="16">
        <f>IF(OR($A56="",O56="",$C56=""),"",IF(COUNTIFS($A$5:$A$315,$A56,$C$5:$C$315,$C56-1,$D$5:$D$315,$D56,O$5:O$315,"&lt;&gt;")=0,"",IF(OR(SUMIFS(O$5:O$315,$A$5:$A$315,$A56,$C$5:$C$315,$C56-1,$D$5:$D$315,$D56)=0,O56*SUMIFS(O$5:O$315,$A$5:$A$315,$A56,$C$5:$C$315,$C56-1,$D$5:$D$315,$D56)&lt;0),"n.s.",ABS(O56)/ABS(SUMIFS(O$5:O$315,$A$5:$A$315,$A56,$C$5:$C$315,$C56-1,$D$5:$D$315,$D56))-1)))</f>
        <v/>
      </c>
    </row>
    <row r="57">
      <c r="A57" s="9" t="inlineStr">
        <is>
          <t>BICC</t>
        </is>
      </c>
      <c r="B57" s="10">
        <f>IF(A57="","",IFERROR(VLOOKUP(A57,Titres!$A$2:$B$400,2,FALSE),"Ticker inconnu"))</f>
        <v/>
      </c>
      <c r="C57" s="11" t="n">
        <v>2026</v>
      </c>
      <c r="D57" s="11" t="inlineStr">
        <is>
          <t>S1</t>
        </is>
      </c>
      <c r="E57" s="9" t="inlineStr">
        <is>
          <t>Publié</t>
        </is>
      </c>
      <c r="F57" s="12" t="n">
        <v>46308</v>
      </c>
      <c r="G57" s="9" t="inlineStr">
        <is>
          <t>https://www.richbourse.com/common/actualite/afficher-fichier/13-10-2026-bici-ci-rapport-d-activites-1er-semestre-2026</t>
        </is>
      </c>
      <c r="H57" s="13" t="n">
        <v>42637</v>
      </c>
      <c r="I57" s="13" t="n">
        <v>-18932</v>
      </c>
      <c r="J57" s="13" t="n">
        <v>23705</v>
      </c>
      <c r="K57" s="13" t="n">
        <v>-1778</v>
      </c>
      <c r="L57" s="13" t="n">
        <v>21810</v>
      </c>
      <c r="M57" s="13" t="n">
        <v>19948</v>
      </c>
      <c r="N57" s="13" t="n">
        <v>533422</v>
      </c>
      <c r="O57" s="13" t="n">
        <v>1007993</v>
      </c>
      <c r="P57" s="14">
        <f>IF(A57="","",COUNT(H57:O57)/8)</f>
        <v/>
      </c>
      <c r="Q57" s="15">
        <f>IF(COUNT(H57:O57)=0,"",IF(LEN(IF(COUNT(H57,I57,J57)=3,IF(ABS(H57+I57-J57)&lt;=MAX(1,0.02*ABS(J57)),"","RBE &lt;&gt; PNB + frais "),"")&amp;IF(COUNT(J57,K57,L57)=3,IF(ABS(J57+K57-L57)&lt;=MAX(1,0.03*ABS(L57)),"","RAI &lt;&gt; RBE + coût du risque "),"")&amp;IF(COUNT(H57,M57)=2,IF(ABS(M57)&gt;ABS(H57),"RN &gt; PNB ",""),""))=0,"OK",IF(COUNT(H57,I57,J57)=3,IF(ABS(H57+I57-J57)&lt;=MAX(1,0.02*ABS(J57)),"","RBE &lt;&gt; PNB + frais "),"")&amp;IF(COUNT(J57,K57,L57)=3,IF(ABS(J57+K57-L57)&lt;=MAX(1,0.03*ABS(L57)),"","RAI &lt;&gt; RBE + coût du risque "),"")&amp;IF(COUNT(H57,M57)=2,IF(ABS(M57)&gt;ABS(H57),"RN &gt; PNB ",""),"")))</f>
        <v/>
      </c>
      <c r="R57" s="16">
        <f>IF(OR($A57="",H57="",$C57=""),"",IF(COUNTIFS($A$5:$A$315,$A57,$C$5:$C$315,$C57-1,$D$5:$D$315,$D57,H$5:H$315,"&lt;&gt;")=0,"",IF(OR(SUMIFS(H$5:H$315,$A$5:$A$315,$A57,$C$5:$C$315,$C57-1,$D$5:$D$315,$D57)=0,H57*SUMIFS(H$5:H$315,$A$5:$A$315,$A57,$C$5:$C$315,$C57-1,$D$5:$D$315,$D57)&lt;0),"n.s.",ABS(H57)/ABS(SUMIFS(H$5:H$315,$A$5:$A$315,$A57,$C$5:$C$315,$C57-1,$D$5:$D$315,$D57))-1)))</f>
        <v/>
      </c>
      <c r="S57" s="16">
        <f>IF(OR($A57="",I57="",$C57=""),"",IF(COUNTIFS($A$5:$A$315,$A57,$C$5:$C$315,$C57-1,$D$5:$D$315,$D57,I$5:I$315,"&lt;&gt;")=0,"",IF(OR(SUMIFS(I$5:I$315,$A$5:$A$315,$A57,$C$5:$C$315,$C57-1,$D$5:$D$315,$D57)=0,I57*SUMIFS(I$5:I$315,$A$5:$A$315,$A57,$C$5:$C$315,$C57-1,$D$5:$D$315,$D57)&lt;0),"n.s.",ABS(I57)/ABS(SUMIFS(I$5:I$315,$A$5:$A$315,$A57,$C$5:$C$315,$C57-1,$D$5:$D$315,$D57))-1)))</f>
        <v/>
      </c>
      <c r="T57" s="16">
        <f>IF(OR($A57="",J57="",$C57=""),"",IF(COUNTIFS($A$5:$A$315,$A57,$C$5:$C$315,$C57-1,$D$5:$D$315,$D57,J$5:J$315,"&lt;&gt;")=0,"",IF(OR(SUMIFS(J$5:J$315,$A$5:$A$315,$A57,$C$5:$C$315,$C57-1,$D$5:$D$315,$D57)=0,J57*SUMIFS(J$5:J$315,$A$5:$A$315,$A57,$C$5:$C$315,$C57-1,$D$5:$D$315,$D57)&lt;0),"n.s.",ABS(J57)/ABS(SUMIFS(J$5:J$315,$A$5:$A$315,$A57,$C$5:$C$315,$C57-1,$D$5:$D$315,$D57))-1)))</f>
        <v/>
      </c>
      <c r="U57" s="16">
        <f>IF(OR($A57="",K57="",$C57=""),"",IF(COUNTIFS($A$5:$A$315,$A57,$C$5:$C$315,$C57-1,$D$5:$D$315,$D57,K$5:K$315,"&lt;&gt;")=0,"",IF(OR(SUMIFS(K$5:K$315,$A$5:$A$315,$A57,$C$5:$C$315,$C57-1,$D$5:$D$315,$D57)=0,K57*SUMIFS(K$5:K$315,$A$5:$A$315,$A57,$C$5:$C$315,$C57-1,$D$5:$D$315,$D57)&lt;0),"n.s.",ABS(K57)/ABS(SUMIFS(K$5:K$315,$A$5:$A$315,$A57,$C$5:$C$315,$C57-1,$D$5:$D$315,$D57))-1)))</f>
        <v/>
      </c>
      <c r="V57" s="16">
        <f>IF(OR($A57="",L57="",$C57=""),"",IF(COUNTIFS($A$5:$A$315,$A57,$C$5:$C$315,$C57-1,$D$5:$D$315,$D57,L$5:L$315,"&lt;&gt;")=0,"",IF(OR(SUMIFS(L$5:L$315,$A$5:$A$315,$A57,$C$5:$C$315,$C57-1,$D$5:$D$315,$D57)=0,L57*SUMIFS(L$5:L$315,$A$5:$A$315,$A57,$C$5:$C$315,$C57-1,$D$5:$D$315,$D57)&lt;0),"n.s.",ABS(L57)/ABS(SUMIFS(L$5:L$315,$A$5:$A$315,$A57,$C$5:$C$315,$C57-1,$D$5:$D$315,$D57))-1)))</f>
        <v/>
      </c>
      <c r="W57" s="16">
        <f>IF(OR($A57="",M57="",$C57=""),"",IF(COUNTIFS($A$5:$A$315,$A57,$C$5:$C$315,$C57-1,$D$5:$D$315,$D57,M$5:M$315,"&lt;&gt;")=0,"",IF(OR(SUMIFS(M$5:M$315,$A$5:$A$315,$A57,$C$5:$C$315,$C57-1,$D$5:$D$315,$D57)=0,M57*SUMIFS(M$5:M$315,$A$5:$A$315,$A57,$C$5:$C$315,$C57-1,$D$5:$D$315,$D57)&lt;0),"n.s.",ABS(M57)/ABS(SUMIFS(M$5:M$315,$A$5:$A$315,$A57,$C$5:$C$315,$C57-1,$D$5:$D$315,$D57))-1)))</f>
        <v/>
      </c>
      <c r="X57" s="16">
        <f>IF(OR($A57="",N57="",$C57=""),"",IF(COUNTIFS($A$5:$A$315,$A57,$C$5:$C$315,$C57-1,$D$5:$D$315,$D57,N$5:N$315,"&lt;&gt;")=0,"",IF(OR(SUMIFS(N$5:N$315,$A$5:$A$315,$A57,$C$5:$C$315,$C57-1,$D$5:$D$315,$D57)=0,N57*SUMIFS(N$5:N$315,$A$5:$A$315,$A57,$C$5:$C$315,$C57-1,$D$5:$D$315,$D57)&lt;0),"n.s.",ABS(N57)/ABS(SUMIFS(N$5:N$315,$A$5:$A$315,$A57,$C$5:$C$315,$C57-1,$D$5:$D$315,$D57))-1)))</f>
        <v/>
      </c>
      <c r="Y57" s="16">
        <f>IF(OR($A57="",O57="",$C57=""),"",IF(COUNTIFS($A$5:$A$315,$A57,$C$5:$C$315,$C57-1,$D$5:$D$315,$D57,O$5:O$315,"&lt;&gt;")=0,"",IF(OR(SUMIFS(O$5:O$315,$A$5:$A$315,$A57,$C$5:$C$315,$C57-1,$D$5:$D$315,$D57)=0,O57*SUMIFS(O$5:O$315,$A$5:$A$315,$A57,$C$5:$C$315,$C57-1,$D$5:$D$315,$D57)&lt;0),"n.s.",ABS(O57)/ABS(SUMIFS(O$5:O$315,$A$5:$A$315,$A57,$C$5:$C$315,$C57-1,$D$5:$D$315,$D57))-1)))</f>
        <v/>
      </c>
    </row>
    <row r="58">
      <c r="A58" s="9" t="inlineStr">
        <is>
          <t>BICC</t>
        </is>
      </c>
      <c r="B58" s="10">
        <f>IF(A58="","",IFERROR(VLOOKUP(A58,Titres!$A$2:$B$400,2,FALSE),"Ticker inconnu"))</f>
        <v/>
      </c>
      <c r="C58" s="11" t="n">
        <v>2026</v>
      </c>
      <c r="D58" s="11" t="inlineStr">
        <is>
          <t>T3</t>
        </is>
      </c>
      <c r="E58" s="9" t="n"/>
      <c r="F58" s="12" t="n"/>
      <c r="G58" s="9" t="n"/>
      <c r="H58" s="13" t="n"/>
      <c r="I58" s="13" t="n"/>
      <c r="J58" s="13" t="n"/>
      <c r="K58" s="13" t="n"/>
      <c r="L58" s="13" t="n"/>
      <c r="M58" s="13" t="n"/>
      <c r="N58" s="13" t="n"/>
      <c r="O58" s="13" t="n"/>
      <c r="P58" s="14">
        <f>IF(A58="","",COUNT(H58:O58)/8)</f>
        <v/>
      </c>
      <c r="Q58" s="15">
        <f>IF(COUNT(H58:O58)=0,"",IF(LEN(IF(COUNT(H58,I58,J58)=3,IF(ABS(H58+I58-J58)&lt;=MAX(1,0.02*ABS(J58)),"","RBE &lt;&gt; PNB + frais "),"")&amp;IF(COUNT(J58,K58,L58)=3,IF(ABS(J58+K58-L58)&lt;=MAX(1,0.03*ABS(L58)),"","RAI &lt;&gt; RBE + coût du risque "),"")&amp;IF(COUNT(H58,M58)=2,IF(ABS(M58)&gt;ABS(H58),"RN &gt; PNB ",""),""))=0,"OK",IF(COUNT(H58,I58,J58)=3,IF(ABS(H58+I58-J58)&lt;=MAX(1,0.02*ABS(J58)),"","RBE &lt;&gt; PNB + frais "),"")&amp;IF(COUNT(J58,K58,L58)=3,IF(ABS(J58+K58-L58)&lt;=MAX(1,0.03*ABS(L58)),"","RAI &lt;&gt; RBE + coût du risque "),"")&amp;IF(COUNT(H58,M58)=2,IF(ABS(M58)&gt;ABS(H58),"RN &gt; PNB ",""),"")))</f>
        <v/>
      </c>
      <c r="R58" s="16">
        <f>IF(OR($A58="",H58="",$C58=""),"",IF(COUNTIFS($A$5:$A$315,$A58,$C$5:$C$315,$C58-1,$D$5:$D$315,$D58,H$5:H$315,"&lt;&gt;")=0,"",IF(OR(SUMIFS(H$5:H$315,$A$5:$A$315,$A58,$C$5:$C$315,$C58-1,$D$5:$D$315,$D58)=0,H58*SUMIFS(H$5:H$315,$A$5:$A$315,$A58,$C$5:$C$315,$C58-1,$D$5:$D$315,$D58)&lt;0),"n.s.",ABS(H58)/ABS(SUMIFS(H$5:H$315,$A$5:$A$315,$A58,$C$5:$C$315,$C58-1,$D$5:$D$315,$D58))-1)))</f>
        <v/>
      </c>
      <c r="S58" s="16">
        <f>IF(OR($A58="",I58="",$C58=""),"",IF(COUNTIFS($A$5:$A$315,$A58,$C$5:$C$315,$C58-1,$D$5:$D$315,$D58,I$5:I$315,"&lt;&gt;")=0,"",IF(OR(SUMIFS(I$5:I$315,$A$5:$A$315,$A58,$C$5:$C$315,$C58-1,$D$5:$D$315,$D58)=0,I58*SUMIFS(I$5:I$315,$A$5:$A$315,$A58,$C$5:$C$315,$C58-1,$D$5:$D$315,$D58)&lt;0),"n.s.",ABS(I58)/ABS(SUMIFS(I$5:I$315,$A$5:$A$315,$A58,$C$5:$C$315,$C58-1,$D$5:$D$315,$D58))-1)))</f>
        <v/>
      </c>
      <c r="T58" s="16">
        <f>IF(OR($A58="",J58="",$C58=""),"",IF(COUNTIFS($A$5:$A$315,$A58,$C$5:$C$315,$C58-1,$D$5:$D$315,$D58,J$5:J$315,"&lt;&gt;")=0,"",IF(OR(SUMIFS(J$5:J$315,$A$5:$A$315,$A58,$C$5:$C$315,$C58-1,$D$5:$D$315,$D58)=0,J58*SUMIFS(J$5:J$315,$A$5:$A$315,$A58,$C$5:$C$315,$C58-1,$D$5:$D$315,$D58)&lt;0),"n.s.",ABS(J58)/ABS(SUMIFS(J$5:J$315,$A$5:$A$315,$A58,$C$5:$C$315,$C58-1,$D$5:$D$315,$D58))-1)))</f>
        <v/>
      </c>
      <c r="U58" s="16">
        <f>IF(OR($A58="",K58="",$C58=""),"",IF(COUNTIFS($A$5:$A$315,$A58,$C$5:$C$315,$C58-1,$D$5:$D$315,$D58,K$5:K$315,"&lt;&gt;")=0,"",IF(OR(SUMIFS(K$5:K$315,$A$5:$A$315,$A58,$C$5:$C$315,$C58-1,$D$5:$D$315,$D58)=0,K58*SUMIFS(K$5:K$315,$A$5:$A$315,$A58,$C$5:$C$315,$C58-1,$D$5:$D$315,$D58)&lt;0),"n.s.",ABS(K58)/ABS(SUMIFS(K$5:K$315,$A$5:$A$315,$A58,$C$5:$C$315,$C58-1,$D$5:$D$315,$D58))-1)))</f>
        <v/>
      </c>
      <c r="V58" s="16">
        <f>IF(OR($A58="",L58="",$C58=""),"",IF(COUNTIFS($A$5:$A$315,$A58,$C$5:$C$315,$C58-1,$D$5:$D$315,$D58,L$5:L$315,"&lt;&gt;")=0,"",IF(OR(SUMIFS(L$5:L$315,$A$5:$A$315,$A58,$C$5:$C$315,$C58-1,$D$5:$D$315,$D58)=0,L58*SUMIFS(L$5:L$315,$A$5:$A$315,$A58,$C$5:$C$315,$C58-1,$D$5:$D$315,$D58)&lt;0),"n.s.",ABS(L58)/ABS(SUMIFS(L$5:L$315,$A$5:$A$315,$A58,$C$5:$C$315,$C58-1,$D$5:$D$315,$D58))-1)))</f>
        <v/>
      </c>
      <c r="W58" s="16">
        <f>IF(OR($A58="",M58="",$C58=""),"",IF(COUNTIFS($A$5:$A$315,$A58,$C$5:$C$315,$C58-1,$D$5:$D$315,$D58,M$5:M$315,"&lt;&gt;")=0,"",IF(OR(SUMIFS(M$5:M$315,$A$5:$A$315,$A58,$C$5:$C$315,$C58-1,$D$5:$D$315,$D58)=0,M58*SUMIFS(M$5:M$315,$A$5:$A$315,$A58,$C$5:$C$315,$C58-1,$D$5:$D$315,$D58)&lt;0),"n.s.",ABS(M58)/ABS(SUMIFS(M$5:M$315,$A$5:$A$315,$A58,$C$5:$C$315,$C58-1,$D$5:$D$315,$D58))-1)))</f>
        <v/>
      </c>
      <c r="X58" s="16">
        <f>IF(OR($A58="",N58="",$C58=""),"",IF(COUNTIFS($A$5:$A$315,$A58,$C$5:$C$315,$C58-1,$D$5:$D$315,$D58,N$5:N$315,"&lt;&gt;")=0,"",IF(OR(SUMIFS(N$5:N$315,$A$5:$A$315,$A58,$C$5:$C$315,$C58-1,$D$5:$D$315,$D58)=0,N58*SUMIFS(N$5:N$315,$A$5:$A$315,$A58,$C$5:$C$315,$C58-1,$D$5:$D$315,$D58)&lt;0),"n.s.",ABS(N58)/ABS(SUMIFS(N$5:N$315,$A$5:$A$315,$A58,$C$5:$C$315,$C58-1,$D$5:$D$315,$D58))-1)))</f>
        <v/>
      </c>
      <c r="Y58" s="16">
        <f>IF(OR($A58="",O58="",$C58=""),"",IF(COUNTIFS($A$5:$A$315,$A58,$C$5:$C$315,$C58-1,$D$5:$D$315,$D58,O$5:O$315,"&lt;&gt;")=0,"",IF(OR(SUMIFS(O$5:O$315,$A$5:$A$315,$A58,$C$5:$C$315,$C58-1,$D$5:$D$315,$D58)=0,O58*SUMIFS(O$5:O$315,$A$5:$A$315,$A58,$C$5:$C$315,$C58-1,$D$5:$D$315,$D58)&lt;0),"n.s.",ABS(O58)/ABS(SUMIFS(O$5:O$315,$A$5:$A$315,$A58,$C$5:$C$315,$C58-1,$D$5:$D$315,$D58))-1)))</f>
        <v/>
      </c>
    </row>
    <row r="59">
      <c r="A59" s="9" t="inlineStr">
        <is>
          <t>BOAB</t>
        </is>
      </c>
      <c r="B59" s="10">
        <f>IF(A59="","",IFERROR(VLOOKUP(A59,Titres!$A$2:$B$400,2,FALSE),"Ticker inconnu"))</f>
        <v/>
      </c>
      <c r="C59" s="11" t="n">
        <v>2021</v>
      </c>
      <c r="D59" s="11" t="inlineStr">
        <is>
          <t>T1</t>
        </is>
      </c>
      <c r="E59" s="9" t="n"/>
      <c r="F59" s="12" t="n"/>
      <c r="G59" s="9" t="n"/>
      <c r="H59" s="13" t="n"/>
      <c r="I59" s="13" t="n"/>
      <c r="J59" s="13" t="n"/>
      <c r="K59" s="13" t="n"/>
      <c r="L59" s="13" t="n"/>
      <c r="M59" s="13" t="n"/>
      <c r="N59" s="13" t="n"/>
      <c r="O59" s="13" t="n"/>
      <c r="P59" s="14">
        <f>IF(A59="","",COUNT(H59:O59)/8)</f>
        <v/>
      </c>
      <c r="Q59" s="15">
        <f>IF(COUNT(H59:O59)=0,"",IF(LEN(IF(COUNT(H59,I59,J59)=3,IF(ABS(H59+I59-J59)&lt;=MAX(1,0.02*ABS(J59)),"","RBE &lt;&gt; PNB + frais "),"")&amp;IF(COUNT(J59,K59,L59)=3,IF(ABS(J59+K59-L59)&lt;=MAX(1,0.03*ABS(L59)),"","RAI &lt;&gt; RBE + coût du risque "),"")&amp;IF(COUNT(H59,M59)=2,IF(ABS(M59)&gt;ABS(H59),"RN &gt; PNB ",""),""))=0,"OK",IF(COUNT(H59,I59,J59)=3,IF(ABS(H59+I59-J59)&lt;=MAX(1,0.02*ABS(J59)),"","RBE &lt;&gt; PNB + frais "),"")&amp;IF(COUNT(J59,K59,L59)=3,IF(ABS(J59+K59-L59)&lt;=MAX(1,0.03*ABS(L59)),"","RAI &lt;&gt; RBE + coût du risque "),"")&amp;IF(COUNT(H59,M59)=2,IF(ABS(M59)&gt;ABS(H59),"RN &gt; PNB ",""),"")))</f>
        <v/>
      </c>
      <c r="R59" s="16">
        <f>IF(OR($A59="",H59="",$C59=""),"",IF(COUNTIFS($A$5:$A$315,$A59,$C$5:$C$315,$C59-1,$D$5:$D$315,$D59,H$5:H$315,"&lt;&gt;")=0,"",IF(OR(SUMIFS(H$5:H$315,$A$5:$A$315,$A59,$C$5:$C$315,$C59-1,$D$5:$D$315,$D59)=0,H59*SUMIFS(H$5:H$315,$A$5:$A$315,$A59,$C$5:$C$315,$C59-1,$D$5:$D$315,$D59)&lt;0),"n.s.",ABS(H59)/ABS(SUMIFS(H$5:H$315,$A$5:$A$315,$A59,$C$5:$C$315,$C59-1,$D$5:$D$315,$D59))-1)))</f>
        <v/>
      </c>
      <c r="S59" s="16">
        <f>IF(OR($A59="",I59="",$C59=""),"",IF(COUNTIFS($A$5:$A$315,$A59,$C$5:$C$315,$C59-1,$D$5:$D$315,$D59,I$5:I$315,"&lt;&gt;")=0,"",IF(OR(SUMIFS(I$5:I$315,$A$5:$A$315,$A59,$C$5:$C$315,$C59-1,$D$5:$D$315,$D59)=0,I59*SUMIFS(I$5:I$315,$A$5:$A$315,$A59,$C$5:$C$315,$C59-1,$D$5:$D$315,$D59)&lt;0),"n.s.",ABS(I59)/ABS(SUMIFS(I$5:I$315,$A$5:$A$315,$A59,$C$5:$C$315,$C59-1,$D$5:$D$315,$D59))-1)))</f>
        <v/>
      </c>
      <c r="T59" s="16">
        <f>IF(OR($A59="",J59="",$C59=""),"",IF(COUNTIFS($A$5:$A$315,$A59,$C$5:$C$315,$C59-1,$D$5:$D$315,$D59,J$5:J$315,"&lt;&gt;")=0,"",IF(OR(SUMIFS(J$5:J$315,$A$5:$A$315,$A59,$C$5:$C$315,$C59-1,$D$5:$D$315,$D59)=0,J59*SUMIFS(J$5:J$315,$A$5:$A$315,$A59,$C$5:$C$315,$C59-1,$D$5:$D$315,$D59)&lt;0),"n.s.",ABS(J59)/ABS(SUMIFS(J$5:J$315,$A$5:$A$315,$A59,$C$5:$C$315,$C59-1,$D$5:$D$315,$D59))-1)))</f>
        <v/>
      </c>
      <c r="U59" s="16">
        <f>IF(OR($A59="",K59="",$C59=""),"",IF(COUNTIFS($A$5:$A$315,$A59,$C$5:$C$315,$C59-1,$D$5:$D$315,$D59,K$5:K$315,"&lt;&gt;")=0,"",IF(OR(SUMIFS(K$5:K$315,$A$5:$A$315,$A59,$C$5:$C$315,$C59-1,$D$5:$D$315,$D59)=0,K59*SUMIFS(K$5:K$315,$A$5:$A$315,$A59,$C$5:$C$315,$C59-1,$D$5:$D$315,$D59)&lt;0),"n.s.",ABS(K59)/ABS(SUMIFS(K$5:K$315,$A$5:$A$315,$A59,$C$5:$C$315,$C59-1,$D$5:$D$315,$D59))-1)))</f>
        <v/>
      </c>
      <c r="V59" s="16">
        <f>IF(OR($A59="",L59="",$C59=""),"",IF(COUNTIFS($A$5:$A$315,$A59,$C$5:$C$315,$C59-1,$D$5:$D$315,$D59,L$5:L$315,"&lt;&gt;")=0,"",IF(OR(SUMIFS(L$5:L$315,$A$5:$A$315,$A59,$C$5:$C$315,$C59-1,$D$5:$D$315,$D59)=0,L59*SUMIFS(L$5:L$315,$A$5:$A$315,$A59,$C$5:$C$315,$C59-1,$D$5:$D$315,$D59)&lt;0),"n.s.",ABS(L59)/ABS(SUMIFS(L$5:L$315,$A$5:$A$315,$A59,$C$5:$C$315,$C59-1,$D$5:$D$315,$D59))-1)))</f>
        <v/>
      </c>
      <c r="W59" s="16">
        <f>IF(OR($A59="",M59="",$C59=""),"",IF(COUNTIFS($A$5:$A$315,$A59,$C$5:$C$315,$C59-1,$D$5:$D$315,$D59,M$5:M$315,"&lt;&gt;")=0,"",IF(OR(SUMIFS(M$5:M$315,$A$5:$A$315,$A59,$C$5:$C$315,$C59-1,$D$5:$D$315,$D59)=0,M59*SUMIFS(M$5:M$315,$A$5:$A$315,$A59,$C$5:$C$315,$C59-1,$D$5:$D$315,$D59)&lt;0),"n.s.",ABS(M59)/ABS(SUMIFS(M$5:M$315,$A$5:$A$315,$A59,$C$5:$C$315,$C59-1,$D$5:$D$315,$D59))-1)))</f>
        <v/>
      </c>
      <c r="X59" s="16">
        <f>IF(OR($A59="",N59="",$C59=""),"",IF(COUNTIFS($A$5:$A$315,$A59,$C$5:$C$315,$C59-1,$D$5:$D$315,$D59,N$5:N$315,"&lt;&gt;")=0,"",IF(OR(SUMIFS(N$5:N$315,$A$5:$A$315,$A59,$C$5:$C$315,$C59-1,$D$5:$D$315,$D59)=0,N59*SUMIFS(N$5:N$315,$A$5:$A$315,$A59,$C$5:$C$315,$C59-1,$D$5:$D$315,$D59)&lt;0),"n.s.",ABS(N59)/ABS(SUMIFS(N$5:N$315,$A$5:$A$315,$A59,$C$5:$C$315,$C59-1,$D$5:$D$315,$D59))-1)))</f>
        <v/>
      </c>
      <c r="Y59" s="16">
        <f>IF(OR($A59="",O59="",$C59=""),"",IF(COUNTIFS($A$5:$A$315,$A59,$C$5:$C$315,$C59-1,$D$5:$D$315,$D59,O$5:O$315,"&lt;&gt;")=0,"",IF(OR(SUMIFS(O$5:O$315,$A$5:$A$315,$A59,$C$5:$C$315,$C59-1,$D$5:$D$315,$D59)=0,O59*SUMIFS(O$5:O$315,$A$5:$A$315,$A59,$C$5:$C$315,$C59-1,$D$5:$D$315,$D59)&lt;0),"n.s.",ABS(O59)/ABS(SUMIFS(O$5:O$315,$A$5:$A$315,$A59,$C$5:$C$315,$C59-1,$D$5:$D$315,$D59))-1)))</f>
        <v/>
      </c>
    </row>
    <row r="60">
      <c r="A60" s="9" t="inlineStr">
        <is>
          <t>BOAB</t>
        </is>
      </c>
      <c r="B60" s="10">
        <f>IF(A60="","",IFERROR(VLOOKUP(A60,Titres!$A$2:$B$400,2,FALSE),"Ticker inconnu"))</f>
        <v/>
      </c>
      <c r="C60" s="11" t="n">
        <v>2021</v>
      </c>
      <c r="D60" s="11" t="inlineStr">
        <is>
          <t>S1</t>
        </is>
      </c>
      <c r="E60" s="9" t="n"/>
      <c r="F60" s="12" t="n"/>
      <c r="G60" s="9" t="n"/>
      <c r="H60" s="13" t="n"/>
      <c r="I60" s="13" t="n"/>
      <c r="J60" s="13" t="n"/>
      <c r="K60" s="13" t="n"/>
      <c r="L60" s="13" t="n"/>
      <c r="M60" s="13" t="n"/>
      <c r="N60" s="13" t="n"/>
      <c r="O60" s="13" t="n"/>
      <c r="P60" s="14">
        <f>IF(A60="","",COUNT(H60:O60)/8)</f>
        <v/>
      </c>
      <c r="Q60" s="15">
        <f>IF(COUNT(H60:O60)=0,"",IF(LEN(IF(COUNT(H60,I60,J60)=3,IF(ABS(H60+I60-J60)&lt;=MAX(1,0.02*ABS(J60)),"","RBE &lt;&gt; PNB + frais "),"")&amp;IF(COUNT(J60,K60,L60)=3,IF(ABS(J60+K60-L60)&lt;=MAX(1,0.03*ABS(L60)),"","RAI &lt;&gt; RBE + coût du risque "),"")&amp;IF(COUNT(H60,M60)=2,IF(ABS(M60)&gt;ABS(H60),"RN &gt; PNB ",""),""))=0,"OK",IF(COUNT(H60,I60,J60)=3,IF(ABS(H60+I60-J60)&lt;=MAX(1,0.02*ABS(J60)),"","RBE &lt;&gt; PNB + frais "),"")&amp;IF(COUNT(J60,K60,L60)=3,IF(ABS(J60+K60-L60)&lt;=MAX(1,0.03*ABS(L60)),"","RAI &lt;&gt; RBE + coût du risque "),"")&amp;IF(COUNT(H60,M60)=2,IF(ABS(M60)&gt;ABS(H60),"RN &gt; PNB ",""),"")))</f>
        <v/>
      </c>
      <c r="R60" s="16">
        <f>IF(OR($A60="",H60="",$C60=""),"",IF(COUNTIFS($A$5:$A$315,$A60,$C$5:$C$315,$C60-1,$D$5:$D$315,$D60,H$5:H$315,"&lt;&gt;")=0,"",IF(OR(SUMIFS(H$5:H$315,$A$5:$A$315,$A60,$C$5:$C$315,$C60-1,$D$5:$D$315,$D60)=0,H60*SUMIFS(H$5:H$315,$A$5:$A$315,$A60,$C$5:$C$315,$C60-1,$D$5:$D$315,$D60)&lt;0),"n.s.",ABS(H60)/ABS(SUMIFS(H$5:H$315,$A$5:$A$315,$A60,$C$5:$C$315,$C60-1,$D$5:$D$315,$D60))-1)))</f>
        <v/>
      </c>
      <c r="S60" s="16">
        <f>IF(OR($A60="",I60="",$C60=""),"",IF(COUNTIFS($A$5:$A$315,$A60,$C$5:$C$315,$C60-1,$D$5:$D$315,$D60,I$5:I$315,"&lt;&gt;")=0,"",IF(OR(SUMIFS(I$5:I$315,$A$5:$A$315,$A60,$C$5:$C$315,$C60-1,$D$5:$D$315,$D60)=0,I60*SUMIFS(I$5:I$315,$A$5:$A$315,$A60,$C$5:$C$315,$C60-1,$D$5:$D$315,$D60)&lt;0),"n.s.",ABS(I60)/ABS(SUMIFS(I$5:I$315,$A$5:$A$315,$A60,$C$5:$C$315,$C60-1,$D$5:$D$315,$D60))-1)))</f>
        <v/>
      </c>
      <c r="T60" s="16">
        <f>IF(OR($A60="",J60="",$C60=""),"",IF(COUNTIFS($A$5:$A$315,$A60,$C$5:$C$315,$C60-1,$D$5:$D$315,$D60,J$5:J$315,"&lt;&gt;")=0,"",IF(OR(SUMIFS(J$5:J$315,$A$5:$A$315,$A60,$C$5:$C$315,$C60-1,$D$5:$D$315,$D60)=0,J60*SUMIFS(J$5:J$315,$A$5:$A$315,$A60,$C$5:$C$315,$C60-1,$D$5:$D$315,$D60)&lt;0),"n.s.",ABS(J60)/ABS(SUMIFS(J$5:J$315,$A$5:$A$315,$A60,$C$5:$C$315,$C60-1,$D$5:$D$315,$D60))-1)))</f>
        <v/>
      </c>
      <c r="U60" s="16">
        <f>IF(OR($A60="",K60="",$C60=""),"",IF(COUNTIFS($A$5:$A$315,$A60,$C$5:$C$315,$C60-1,$D$5:$D$315,$D60,K$5:K$315,"&lt;&gt;")=0,"",IF(OR(SUMIFS(K$5:K$315,$A$5:$A$315,$A60,$C$5:$C$315,$C60-1,$D$5:$D$315,$D60)=0,K60*SUMIFS(K$5:K$315,$A$5:$A$315,$A60,$C$5:$C$315,$C60-1,$D$5:$D$315,$D60)&lt;0),"n.s.",ABS(K60)/ABS(SUMIFS(K$5:K$315,$A$5:$A$315,$A60,$C$5:$C$315,$C60-1,$D$5:$D$315,$D60))-1)))</f>
        <v/>
      </c>
      <c r="V60" s="16">
        <f>IF(OR($A60="",L60="",$C60=""),"",IF(COUNTIFS($A$5:$A$315,$A60,$C$5:$C$315,$C60-1,$D$5:$D$315,$D60,L$5:L$315,"&lt;&gt;")=0,"",IF(OR(SUMIFS(L$5:L$315,$A$5:$A$315,$A60,$C$5:$C$315,$C60-1,$D$5:$D$315,$D60)=0,L60*SUMIFS(L$5:L$315,$A$5:$A$315,$A60,$C$5:$C$315,$C60-1,$D$5:$D$315,$D60)&lt;0),"n.s.",ABS(L60)/ABS(SUMIFS(L$5:L$315,$A$5:$A$315,$A60,$C$5:$C$315,$C60-1,$D$5:$D$315,$D60))-1)))</f>
        <v/>
      </c>
      <c r="W60" s="16">
        <f>IF(OR($A60="",M60="",$C60=""),"",IF(COUNTIFS($A$5:$A$315,$A60,$C$5:$C$315,$C60-1,$D$5:$D$315,$D60,M$5:M$315,"&lt;&gt;")=0,"",IF(OR(SUMIFS(M$5:M$315,$A$5:$A$315,$A60,$C$5:$C$315,$C60-1,$D$5:$D$315,$D60)=0,M60*SUMIFS(M$5:M$315,$A$5:$A$315,$A60,$C$5:$C$315,$C60-1,$D$5:$D$315,$D60)&lt;0),"n.s.",ABS(M60)/ABS(SUMIFS(M$5:M$315,$A$5:$A$315,$A60,$C$5:$C$315,$C60-1,$D$5:$D$315,$D60))-1)))</f>
        <v/>
      </c>
      <c r="X60" s="16">
        <f>IF(OR($A60="",N60="",$C60=""),"",IF(COUNTIFS($A$5:$A$315,$A60,$C$5:$C$315,$C60-1,$D$5:$D$315,$D60,N$5:N$315,"&lt;&gt;")=0,"",IF(OR(SUMIFS(N$5:N$315,$A$5:$A$315,$A60,$C$5:$C$315,$C60-1,$D$5:$D$315,$D60)=0,N60*SUMIFS(N$5:N$315,$A$5:$A$315,$A60,$C$5:$C$315,$C60-1,$D$5:$D$315,$D60)&lt;0),"n.s.",ABS(N60)/ABS(SUMIFS(N$5:N$315,$A$5:$A$315,$A60,$C$5:$C$315,$C60-1,$D$5:$D$315,$D60))-1)))</f>
        <v/>
      </c>
      <c r="Y60" s="16">
        <f>IF(OR($A60="",O60="",$C60=""),"",IF(COUNTIFS($A$5:$A$315,$A60,$C$5:$C$315,$C60-1,$D$5:$D$315,$D60,O$5:O$315,"&lt;&gt;")=0,"",IF(OR(SUMIFS(O$5:O$315,$A$5:$A$315,$A60,$C$5:$C$315,$C60-1,$D$5:$D$315,$D60)=0,O60*SUMIFS(O$5:O$315,$A$5:$A$315,$A60,$C$5:$C$315,$C60-1,$D$5:$D$315,$D60)&lt;0),"n.s.",ABS(O60)/ABS(SUMIFS(O$5:O$315,$A$5:$A$315,$A60,$C$5:$C$315,$C60-1,$D$5:$D$315,$D60))-1)))</f>
        <v/>
      </c>
    </row>
    <row r="61">
      <c r="A61" s="9" t="inlineStr">
        <is>
          <t>BOAB</t>
        </is>
      </c>
      <c r="B61" s="10">
        <f>IF(A61="","",IFERROR(VLOOKUP(A61,Titres!$A$2:$B$400,2,FALSE),"Ticker inconnu"))</f>
        <v/>
      </c>
      <c r="C61" s="11" t="n">
        <v>2021</v>
      </c>
      <c r="D61" s="11" t="inlineStr">
        <is>
          <t>T3</t>
        </is>
      </c>
      <c r="E61" s="9" t="n"/>
      <c r="F61" s="12" t="n"/>
      <c r="G61" s="9" t="n"/>
      <c r="H61" s="13" t="n"/>
      <c r="I61" s="13" t="n"/>
      <c r="J61" s="13" t="n"/>
      <c r="K61" s="13" t="n"/>
      <c r="L61" s="13" t="n"/>
      <c r="M61" s="13" t="n"/>
      <c r="N61" s="13" t="n"/>
      <c r="O61" s="13" t="n"/>
      <c r="P61" s="14">
        <f>IF(A61="","",COUNT(H61:O61)/8)</f>
        <v/>
      </c>
      <c r="Q61" s="15">
        <f>IF(COUNT(H61:O61)=0,"",IF(LEN(IF(COUNT(H61,I61,J61)=3,IF(ABS(H61+I61-J61)&lt;=MAX(1,0.02*ABS(J61)),"","RBE &lt;&gt; PNB + frais "),"")&amp;IF(COUNT(J61,K61,L61)=3,IF(ABS(J61+K61-L61)&lt;=MAX(1,0.03*ABS(L61)),"","RAI &lt;&gt; RBE + coût du risque "),"")&amp;IF(COUNT(H61,M61)=2,IF(ABS(M61)&gt;ABS(H61),"RN &gt; PNB ",""),""))=0,"OK",IF(COUNT(H61,I61,J61)=3,IF(ABS(H61+I61-J61)&lt;=MAX(1,0.02*ABS(J61)),"","RBE &lt;&gt; PNB + frais "),"")&amp;IF(COUNT(J61,K61,L61)=3,IF(ABS(J61+K61-L61)&lt;=MAX(1,0.03*ABS(L61)),"","RAI &lt;&gt; RBE + coût du risque "),"")&amp;IF(COUNT(H61,M61)=2,IF(ABS(M61)&gt;ABS(H61),"RN &gt; PNB ",""),"")))</f>
        <v/>
      </c>
      <c r="R61" s="16">
        <f>IF(OR($A61="",H61="",$C61=""),"",IF(COUNTIFS($A$5:$A$315,$A61,$C$5:$C$315,$C61-1,$D$5:$D$315,$D61,H$5:H$315,"&lt;&gt;")=0,"",IF(OR(SUMIFS(H$5:H$315,$A$5:$A$315,$A61,$C$5:$C$315,$C61-1,$D$5:$D$315,$D61)=0,H61*SUMIFS(H$5:H$315,$A$5:$A$315,$A61,$C$5:$C$315,$C61-1,$D$5:$D$315,$D61)&lt;0),"n.s.",ABS(H61)/ABS(SUMIFS(H$5:H$315,$A$5:$A$315,$A61,$C$5:$C$315,$C61-1,$D$5:$D$315,$D61))-1)))</f>
        <v/>
      </c>
      <c r="S61" s="16">
        <f>IF(OR($A61="",I61="",$C61=""),"",IF(COUNTIFS($A$5:$A$315,$A61,$C$5:$C$315,$C61-1,$D$5:$D$315,$D61,I$5:I$315,"&lt;&gt;")=0,"",IF(OR(SUMIFS(I$5:I$315,$A$5:$A$315,$A61,$C$5:$C$315,$C61-1,$D$5:$D$315,$D61)=0,I61*SUMIFS(I$5:I$315,$A$5:$A$315,$A61,$C$5:$C$315,$C61-1,$D$5:$D$315,$D61)&lt;0),"n.s.",ABS(I61)/ABS(SUMIFS(I$5:I$315,$A$5:$A$315,$A61,$C$5:$C$315,$C61-1,$D$5:$D$315,$D61))-1)))</f>
        <v/>
      </c>
      <c r="T61" s="16">
        <f>IF(OR($A61="",J61="",$C61=""),"",IF(COUNTIFS($A$5:$A$315,$A61,$C$5:$C$315,$C61-1,$D$5:$D$315,$D61,J$5:J$315,"&lt;&gt;")=0,"",IF(OR(SUMIFS(J$5:J$315,$A$5:$A$315,$A61,$C$5:$C$315,$C61-1,$D$5:$D$315,$D61)=0,J61*SUMIFS(J$5:J$315,$A$5:$A$315,$A61,$C$5:$C$315,$C61-1,$D$5:$D$315,$D61)&lt;0),"n.s.",ABS(J61)/ABS(SUMIFS(J$5:J$315,$A$5:$A$315,$A61,$C$5:$C$315,$C61-1,$D$5:$D$315,$D61))-1)))</f>
        <v/>
      </c>
      <c r="U61" s="16">
        <f>IF(OR($A61="",K61="",$C61=""),"",IF(COUNTIFS($A$5:$A$315,$A61,$C$5:$C$315,$C61-1,$D$5:$D$315,$D61,K$5:K$315,"&lt;&gt;")=0,"",IF(OR(SUMIFS(K$5:K$315,$A$5:$A$315,$A61,$C$5:$C$315,$C61-1,$D$5:$D$315,$D61)=0,K61*SUMIFS(K$5:K$315,$A$5:$A$315,$A61,$C$5:$C$315,$C61-1,$D$5:$D$315,$D61)&lt;0),"n.s.",ABS(K61)/ABS(SUMIFS(K$5:K$315,$A$5:$A$315,$A61,$C$5:$C$315,$C61-1,$D$5:$D$315,$D61))-1)))</f>
        <v/>
      </c>
      <c r="V61" s="16">
        <f>IF(OR($A61="",L61="",$C61=""),"",IF(COUNTIFS($A$5:$A$315,$A61,$C$5:$C$315,$C61-1,$D$5:$D$315,$D61,L$5:L$315,"&lt;&gt;")=0,"",IF(OR(SUMIFS(L$5:L$315,$A$5:$A$315,$A61,$C$5:$C$315,$C61-1,$D$5:$D$315,$D61)=0,L61*SUMIFS(L$5:L$315,$A$5:$A$315,$A61,$C$5:$C$315,$C61-1,$D$5:$D$315,$D61)&lt;0),"n.s.",ABS(L61)/ABS(SUMIFS(L$5:L$315,$A$5:$A$315,$A61,$C$5:$C$315,$C61-1,$D$5:$D$315,$D61))-1)))</f>
        <v/>
      </c>
      <c r="W61" s="16">
        <f>IF(OR($A61="",M61="",$C61=""),"",IF(COUNTIFS($A$5:$A$315,$A61,$C$5:$C$315,$C61-1,$D$5:$D$315,$D61,M$5:M$315,"&lt;&gt;")=0,"",IF(OR(SUMIFS(M$5:M$315,$A$5:$A$315,$A61,$C$5:$C$315,$C61-1,$D$5:$D$315,$D61)=0,M61*SUMIFS(M$5:M$315,$A$5:$A$315,$A61,$C$5:$C$315,$C61-1,$D$5:$D$315,$D61)&lt;0),"n.s.",ABS(M61)/ABS(SUMIFS(M$5:M$315,$A$5:$A$315,$A61,$C$5:$C$315,$C61-1,$D$5:$D$315,$D61))-1)))</f>
        <v/>
      </c>
      <c r="X61" s="16">
        <f>IF(OR($A61="",N61="",$C61=""),"",IF(COUNTIFS($A$5:$A$315,$A61,$C$5:$C$315,$C61-1,$D$5:$D$315,$D61,N$5:N$315,"&lt;&gt;")=0,"",IF(OR(SUMIFS(N$5:N$315,$A$5:$A$315,$A61,$C$5:$C$315,$C61-1,$D$5:$D$315,$D61)=0,N61*SUMIFS(N$5:N$315,$A$5:$A$315,$A61,$C$5:$C$315,$C61-1,$D$5:$D$315,$D61)&lt;0),"n.s.",ABS(N61)/ABS(SUMIFS(N$5:N$315,$A$5:$A$315,$A61,$C$5:$C$315,$C61-1,$D$5:$D$315,$D61))-1)))</f>
        <v/>
      </c>
      <c r="Y61" s="16">
        <f>IF(OR($A61="",O61="",$C61=""),"",IF(COUNTIFS($A$5:$A$315,$A61,$C$5:$C$315,$C61-1,$D$5:$D$315,$D61,O$5:O$315,"&lt;&gt;")=0,"",IF(OR(SUMIFS(O$5:O$315,$A$5:$A$315,$A61,$C$5:$C$315,$C61-1,$D$5:$D$315,$D61)=0,O61*SUMIFS(O$5:O$315,$A$5:$A$315,$A61,$C$5:$C$315,$C61-1,$D$5:$D$315,$D61)&lt;0),"n.s.",ABS(O61)/ABS(SUMIFS(O$5:O$315,$A$5:$A$315,$A61,$C$5:$C$315,$C61-1,$D$5:$D$315,$D61))-1)))</f>
        <v/>
      </c>
    </row>
    <row r="62">
      <c r="A62" s="9" t="inlineStr">
        <is>
          <t>BOAB</t>
        </is>
      </c>
      <c r="B62" s="10">
        <f>IF(A62="","",IFERROR(VLOOKUP(A62,Titres!$A$2:$B$400,2,FALSE),"Ticker inconnu"))</f>
        <v/>
      </c>
      <c r="C62" s="11" t="n">
        <v>2022</v>
      </c>
      <c r="D62" s="11" t="inlineStr">
        <is>
          <t>T1</t>
        </is>
      </c>
      <c r="E62" s="9" t="n"/>
      <c r="F62" s="12" t="n"/>
      <c r="G62" s="9" t="n"/>
      <c r="H62" s="13" t="n"/>
      <c r="I62" s="13" t="n"/>
      <c r="J62" s="13" t="n"/>
      <c r="K62" s="13" t="n"/>
      <c r="L62" s="13" t="n"/>
      <c r="M62" s="13" t="n"/>
      <c r="N62" s="13" t="n"/>
      <c r="O62" s="13" t="n"/>
      <c r="P62" s="14">
        <f>IF(A62="","",COUNT(H62:O62)/8)</f>
        <v/>
      </c>
      <c r="Q62" s="15">
        <f>IF(COUNT(H62:O62)=0,"",IF(LEN(IF(COUNT(H62,I62,J62)=3,IF(ABS(H62+I62-J62)&lt;=MAX(1,0.02*ABS(J62)),"","RBE &lt;&gt; PNB + frais "),"")&amp;IF(COUNT(J62,K62,L62)=3,IF(ABS(J62+K62-L62)&lt;=MAX(1,0.03*ABS(L62)),"","RAI &lt;&gt; RBE + coût du risque "),"")&amp;IF(COUNT(H62,M62)=2,IF(ABS(M62)&gt;ABS(H62),"RN &gt; PNB ",""),""))=0,"OK",IF(COUNT(H62,I62,J62)=3,IF(ABS(H62+I62-J62)&lt;=MAX(1,0.02*ABS(J62)),"","RBE &lt;&gt; PNB + frais "),"")&amp;IF(COUNT(J62,K62,L62)=3,IF(ABS(J62+K62-L62)&lt;=MAX(1,0.03*ABS(L62)),"","RAI &lt;&gt; RBE + coût du risque "),"")&amp;IF(COUNT(H62,M62)=2,IF(ABS(M62)&gt;ABS(H62),"RN &gt; PNB ",""),"")))</f>
        <v/>
      </c>
      <c r="R62" s="16">
        <f>IF(OR($A62="",H62="",$C62=""),"",IF(COUNTIFS($A$5:$A$315,$A62,$C$5:$C$315,$C62-1,$D$5:$D$315,$D62,H$5:H$315,"&lt;&gt;")=0,"",IF(OR(SUMIFS(H$5:H$315,$A$5:$A$315,$A62,$C$5:$C$315,$C62-1,$D$5:$D$315,$D62)=0,H62*SUMIFS(H$5:H$315,$A$5:$A$315,$A62,$C$5:$C$315,$C62-1,$D$5:$D$315,$D62)&lt;0),"n.s.",ABS(H62)/ABS(SUMIFS(H$5:H$315,$A$5:$A$315,$A62,$C$5:$C$315,$C62-1,$D$5:$D$315,$D62))-1)))</f>
        <v/>
      </c>
      <c r="S62" s="16">
        <f>IF(OR($A62="",I62="",$C62=""),"",IF(COUNTIFS($A$5:$A$315,$A62,$C$5:$C$315,$C62-1,$D$5:$D$315,$D62,I$5:I$315,"&lt;&gt;")=0,"",IF(OR(SUMIFS(I$5:I$315,$A$5:$A$315,$A62,$C$5:$C$315,$C62-1,$D$5:$D$315,$D62)=0,I62*SUMIFS(I$5:I$315,$A$5:$A$315,$A62,$C$5:$C$315,$C62-1,$D$5:$D$315,$D62)&lt;0),"n.s.",ABS(I62)/ABS(SUMIFS(I$5:I$315,$A$5:$A$315,$A62,$C$5:$C$315,$C62-1,$D$5:$D$315,$D62))-1)))</f>
        <v/>
      </c>
      <c r="T62" s="16">
        <f>IF(OR($A62="",J62="",$C62=""),"",IF(COUNTIFS($A$5:$A$315,$A62,$C$5:$C$315,$C62-1,$D$5:$D$315,$D62,J$5:J$315,"&lt;&gt;")=0,"",IF(OR(SUMIFS(J$5:J$315,$A$5:$A$315,$A62,$C$5:$C$315,$C62-1,$D$5:$D$315,$D62)=0,J62*SUMIFS(J$5:J$315,$A$5:$A$315,$A62,$C$5:$C$315,$C62-1,$D$5:$D$315,$D62)&lt;0),"n.s.",ABS(J62)/ABS(SUMIFS(J$5:J$315,$A$5:$A$315,$A62,$C$5:$C$315,$C62-1,$D$5:$D$315,$D62))-1)))</f>
        <v/>
      </c>
      <c r="U62" s="16">
        <f>IF(OR($A62="",K62="",$C62=""),"",IF(COUNTIFS($A$5:$A$315,$A62,$C$5:$C$315,$C62-1,$D$5:$D$315,$D62,K$5:K$315,"&lt;&gt;")=0,"",IF(OR(SUMIFS(K$5:K$315,$A$5:$A$315,$A62,$C$5:$C$315,$C62-1,$D$5:$D$315,$D62)=0,K62*SUMIFS(K$5:K$315,$A$5:$A$315,$A62,$C$5:$C$315,$C62-1,$D$5:$D$315,$D62)&lt;0),"n.s.",ABS(K62)/ABS(SUMIFS(K$5:K$315,$A$5:$A$315,$A62,$C$5:$C$315,$C62-1,$D$5:$D$315,$D62))-1)))</f>
        <v/>
      </c>
      <c r="V62" s="16">
        <f>IF(OR($A62="",L62="",$C62=""),"",IF(COUNTIFS($A$5:$A$315,$A62,$C$5:$C$315,$C62-1,$D$5:$D$315,$D62,L$5:L$315,"&lt;&gt;")=0,"",IF(OR(SUMIFS(L$5:L$315,$A$5:$A$315,$A62,$C$5:$C$315,$C62-1,$D$5:$D$315,$D62)=0,L62*SUMIFS(L$5:L$315,$A$5:$A$315,$A62,$C$5:$C$315,$C62-1,$D$5:$D$315,$D62)&lt;0),"n.s.",ABS(L62)/ABS(SUMIFS(L$5:L$315,$A$5:$A$315,$A62,$C$5:$C$315,$C62-1,$D$5:$D$315,$D62))-1)))</f>
        <v/>
      </c>
      <c r="W62" s="16">
        <f>IF(OR($A62="",M62="",$C62=""),"",IF(COUNTIFS($A$5:$A$315,$A62,$C$5:$C$315,$C62-1,$D$5:$D$315,$D62,M$5:M$315,"&lt;&gt;")=0,"",IF(OR(SUMIFS(M$5:M$315,$A$5:$A$315,$A62,$C$5:$C$315,$C62-1,$D$5:$D$315,$D62)=0,M62*SUMIFS(M$5:M$315,$A$5:$A$315,$A62,$C$5:$C$315,$C62-1,$D$5:$D$315,$D62)&lt;0),"n.s.",ABS(M62)/ABS(SUMIFS(M$5:M$315,$A$5:$A$315,$A62,$C$5:$C$315,$C62-1,$D$5:$D$315,$D62))-1)))</f>
        <v/>
      </c>
      <c r="X62" s="16">
        <f>IF(OR($A62="",N62="",$C62=""),"",IF(COUNTIFS($A$5:$A$315,$A62,$C$5:$C$315,$C62-1,$D$5:$D$315,$D62,N$5:N$315,"&lt;&gt;")=0,"",IF(OR(SUMIFS(N$5:N$315,$A$5:$A$315,$A62,$C$5:$C$315,$C62-1,$D$5:$D$315,$D62)=0,N62*SUMIFS(N$5:N$315,$A$5:$A$315,$A62,$C$5:$C$315,$C62-1,$D$5:$D$315,$D62)&lt;0),"n.s.",ABS(N62)/ABS(SUMIFS(N$5:N$315,$A$5:$A$315,$A62,$C$5:$C$315,$C62-1,$D$5:$D$315,$D62))-1)))</f>
        <v/>
      </c>
      <c r="Y62" s="16">
        <f>IF(OR($A62="",O62="",$C62=""),"",IF(COUNTIFS($A$5:$A$315,$A62,$C$5:$C$315,$C62-1,$D$5:$D$315,$D62,O$5:O$315,"&lt;&gt;")=0,"",IF(OR(SUMIFS(O$5:O$315,$A$5:$A$315,$A62,$C$5:$C$315,$C62-1,$D$5:$D$315,$D62)=0,O62*SUMIFS(O$5:O$315,$A$5:$A$315,$A62,$C$5:$C$315,$C62-1,$D$5:$D$315,$D62)&lt;0),"n.s.",ABS(O62)/ABS(SUMIFS(O$5:O$315,$A$5:$A$315,$A62,$C$5:$C$315,$C62-1,$D$5:$D$315,$D62))-1)))</f>
        <v/>
      </c>
    </row>
    <row r="63">
      <c r="A63" s="9" t="inlineStr">
        <is>
          <t>BOAB</t>
        </is>
      </c>
      <c r="B63" s="10">
        <f>IF(A63="","",IFERROR(VLOOKUP(A63,Titres!$A$2:$B$400,2,FALSE),"Ticker inconnu"))</f>
        <v/>
      </c>
      <c r="C63" s="11" t="n">
        <v>2022</v>
      </c>
      <c r="D63" s="11" t="inlineStr">
        <is>
          <t>S1</t>
        </is>
      </c>
      <c r="E63" s="9" t="n"/>
      <c r="F63" s="12" t="n"/>
      <c r="G63" s="9" t="n"/>
      <c r="H63" s="13" t="n"/>
      <c r="I63" s="13" t="n"/>
      <c r="J63" s="13" t="n"/>
      <c r="K63" s="13" t="n"/>
      <c r="L63" s="13" t="n"/>
      <c r="M63" s="13" t="n"/>
      <c r="N63" s="13" t="n"/>
      <c r="O63" s="13" t="n"/>
      <c r="P63" s="14">
        <f>IF(A63="","",COUNT(H63:O63)/8)</f>
        <v/>
      </c>
      <c r="Q63" s="15">
        <f>IF(COUNT(H63:O63)=0,"",IF(LEN(IF(COUNT(H63,I63,J63)=3,IF(ABS(H63+I63-J63)&lt;=MAX(1,0.02*ABS(J63)),"","RBE &lt;&gt; PNB + frais "),"")&amp;IF(COUNT(J63,K63,L63)=3,IF(ABS(J63+K63-L63)&lt;=MAX(1,0.03*ABS(L63)),"","RAI &lt;&gt; RBE + coût du risque "),"")&amp;IF(COUNT(H63,M63)=2,IF(ABS(M63)&gt;ABS(H63),"RN &gt; PNB ",""),""))=0,"OK",IF(COUNT(H63,I63,J63)=3,IF(ABS(H63+I63-J63)&lt;=MAX(1,0.02*ABS(J63)),"","RBE &lt;&gt; PNB + frais "),"")&amp;IF(COUNT(J63,K63,L63)=3,IF(ABS(J63+K63-L63)&lt;=MAX(1,0.03*ABS(L63)),"","RAI &lt;&gt; RBE + coût du risque "),"")&amp;IF(COUNT(H63,M63)=2,IF(ABS(M63)&gt;ABS(H63),"RN &gt; PNB ",""),"")))</f>
        <v/>
      </c>
      <c r="R63" s="16">
        <f>IF(OR($A63="",H63="",$C63=""),"",IF(COUNTIFS($A$5:$A$315,$A63,$C$5:$C$315,$C63-1,$D$5:$D$315,$D63,H$5:H$315,"&lt;&gt;")=0,"",IF(OR(SUMIFS(H$5:H$315,$A$5:$A$315,$A63,$C$5:$C$315,$C63-1,$D$5:$D$315,$D63)=0,H63*SUMIFS(H$5:H$315,$A$5:$A$315,$A63,$C$5:$C$315,$C63-1,$D$5:$D$315,$D63)&lt;0),"n.s.",ABS(H63)/ABS(SUMIFS(H$5:H$315,$A$5:$A$315,$A63,$C$5:$C$315,$C63-1,$D$5:$D$315,$D63))-1)))</f>
        <v/>
      </c>
      <c r="S63" s="16">
        <f>IF(OR($A63="",I63="",$C63=""),"",IF(COUNTIFS($A$5:$A$315,$A63,$C$5:$C$315,$C63-1,$D$5:$D$315,$D63,I$5:I$315,"&lt;&gt;")=0,"",IF(OR(SUMIFS(I$5:I$315,$A$5:$A$315,$A63,$C$5:$C$315,$C63-1,$D$5:$D$315,$D63)=0,I63*SUMIFS(I$5:I$315,$A$5:$A$315,$A63,$C$5:$C$315,$C63-1,$D$5:$D$315,$D63)&lt;0),"n.s.",ABS(I63)/ABS(SUMIFS(I$5:I$315,$A$5:$A$315,$A63,$C$5:$C$315,$C63-1,$D$5:$D$315,$D63))-1)))</f>
        <v/>
      </c>
      <c r="T63" s="16">
        <f>IF(OR($A63="",J63="",$C63=""),"",IF(COUNTIFS($A$5:$A$315,$A63,$C$5:$C$315,$C63-1,$D$5:$D$315,$D63,J$5:J$315,"&lt;&gt;")=0,"",IF(OR(SUMIFS(J$5:J$315,$A$5:$A$315,$A63,$C$5:$C$315,$C63-1,$D$5:$D$315,$D63)=0,J63*SUMIFS(J$5:J$315,$A$5:$A$315,$A63,$C$5:$C$315,$C63-1,$D$5:$D$315,$D63)&lt;0),"n.s.",ABS(J63)/ABS(SUMIFS(J$5:J$315,$A$5:$A$315,$A63,$C$5:$C$315,$C63-1,$D$5:$D$315,$D63))-1)))</f>
        <v/>
      </c>
      <c r="U63" s="16">
        <f>IF(OR($A63="",K63="",$C63=""),"",IF(COUNTIFS($A$5:$A$315,$A63,$C$5:$C$315,$C63-1,$D$5:$D$315,$D63,K$5:K$315,"&lt;&gt;")=0,"",IF(OR(SUMIFS(K$5:K$315,$A$5:$A$315,$A63,$C$5:$C$315,$C63-1,$D$5:$D$315,$D63)=0,K63*SUMIFS(K$5:K$315,$A$5:$A$315,$A63,$C$5:$C$315,$C63-1,$D$5:$D$315,$D63)&lt;0),"n.s.",ABS(K63)/ABS(SUMIFS(K$5:K$315,$A$5:$A$315,$A63,$C$5:$C$315,$C63-1,$D$5:$D$315,$D63))-1)))</f>
        <v/>
      </c>
      <c r="V63" s="16">
        <f>IF(OR($A63="",L63="",$C63=""),"",IF(COUNTIFS($A$5:$A$315,$A63,$C$5:$C$315,$C63-1,$D$5:$D$315,$D63,L$5:L$315,"&lt;&gt;")=0,"",IF(OR(SUMIFS(L$5:L$315,$A$5:$A$315,$A63,$C$5:$C$315,$C63-1,$D$5:$D$315,$D63)=0,L63*SUMIFS(L$5:L$315,$A$5:$A$315,$A63,$C$5:$C$315,$C63-1,$D$5:$D$315,$D63)&lt;0),"n.s.",ABS(L63)/ABS(SUMIFS(L$5:L$315,$A$5:$A$315,$A63,$C$5:$C$315,$C63-1,$D$5:$D$315,$D63))-1)))</f>
        <v/>
      </c>
      <c r="W63" s="16">
        <f>IF(OR($A63="",M63="",$C63=""),"",IF(COUNTIFS($A$5:$A$315,$A63,$C$5:$C$315,$C63-1,$D$5:$D$315,$D63,M$5:M$315,"&lt;&gt;")=0,"",IF(OR(SUMIFS(M$5:M$315,$A$5:$A$315,$A63,$C$5:$C$315,$C63-1,$D$5:$D$315,$D63)=0,M63*SUMIFS(M$5:M$315,$A$5:$A$315,$A63,$C$5:$C$315,$C63-1,$D$5:$D$315,$D63)&lt;0),"n.s.",ABS(M63)/ABS(SUMIFS(M$5:M$315,$A$5:$A$315,$A63,$C$5:$C$315,$C63-1,$D$5:$D$315,$D63))-1)))</f>
        <v/>
      </c>
      <c r="X63" s="16">
        <f>IF(OR($A63="",N63="",$C63=""),"",IF(COUNTIFS($A$5:$A$315,$A63,$C$5:$C$315,$C63-1,$D$5:$D$315,$D63,N$5:N$315,"&lt;&gt;")=0,"",IF(OR(SUMIFS(N$5:N$315,$A$5:$A$315,$A63,$C$5:$C$315,$C63-1,$D$5:$D$315,$D63)=0,N63*SUMIFS(N$5:N$315,$A$5:$A$315,$A63,$C$5:$C$315,$C63-1,$D$5:$D$315,$D63)&lt;0),"n.s.",ABS(N63)/ABS(SUMIFS(N$5:N$315,$A$5:$A$315,$A63,$C$5:$C$315,$C63-1,$D$5:$D$315,$D63))-1)))</f>
        <v/>
      </c>
      <c r="Y63" s="16">
        <f>IF(OR($A63="",O63="",$C63=""),"",IF(COUNTIFS($A$5:$A$315,$A63,$C$5:$C$315,$C63-1,$D$5:$D$315,$D63,O$5:O$315,"&lt;&gt;")=0,"",IF(OR(SUMIFS(O$5:O$315,$A$5:$A$315,$A63,$C$5:$C$315,$C63-1,$D$5:$D$315,$D63)=0,O63*SUMIFS(O$5:O$315,$A$5:$A$315,$A63,$C$5:$C$315,$C63-1,$D$5:$D$315,$D63)&lt;0),"n.s.",ABS(O63)/ABS(SUMIFS(O$5:O$315,$A$5:$A$315,$A63,$C$5:$C$315,$C63-1,$D$5:$D$315,$D63))-1)))</f>
        <v/>
      </c>
    </row>
    <row r="64">
      <c r="A64" s="9" t="inlineStr">
        <is>
          <t>BOAB</t>
        </is>
      </c>
      <c r="B64" s="10">
        <f>IF(A64="","",IFERROR(VLOOKUP(A64,Titres!$A$2:$B$400,2,FALSE),"Ticker inconnu"))</f>
        <v/>
      </c>
      <c r="C64" s="11" t="n">
        <v>2022</v>
      </c>
      <c r="D64" s="11" t="inlineStr">
        <is>
          <t>T3</t>
        </is>
      </c>
      <c r="E64" s="9" t="n"/>
      <c r="F64" s="12" t="n"/>
      <c r="G64" s="9" t="n"/>
      <c r="H64" s="13" t="n"/>
      <c r="I64" s="13" t="n"/>
      <c r="J64" s="13" t="n"/>
      <c r="K64" s="13" t="n"/>
      <c r="L64" s="13" t="n"/>
      <c r="M64" s="13" t="n"/>
      <c r="N64" s="13" t="n"/>
      <c r="O64" s="13" t="n"/>
      <c r="P64" s="14">
        <f>IF(A64="","",COUNT(H64:O64)/8)</f>
        <v/>
      </c>
      <c r="Q64" s="15">
        <f>IF(COUNT(H64:O64)=0,"",IF(LEN(IF(COUNT(H64,I64,J64)=3,IF(ABS(H64+I64-J64)&lt;=MAX(1,0.02*ABS(J64)),"","RBE &lt;&gt; PNB + frais "),"")&amp;IF(COUNT(J64,K64,L64)=3,IF(ABS(J64+K64-L64)&lt;=MAX(1,0.03*ABS(L64)),"","RAI &lt;&gt; RBE + coût du risque "),"")&amp;IF(COUNT(H64,M64)=2,IF(ABS(M64)&gt;ABS(H64),"RN &gt; PNB ",""),""))=0,"OK",IF(COUNT(H64,I64,J64)=3,IF(ABS(H64+I64-J64)&lt;=MAX(1,0.02*ABS(J64)),"","RBE &lt;&gt; PNB + frais "),"")&amp;IF(COUNT(J64,K64,L64)=3,IF(ABS(J64+K64-L64)&lt;=MAX(1,0.03*ABS(L64)),"","RAI &lt;&gt; RBE + coût du risque "),"")&amp;IF(COUNT(H64,M64)=2,IF(ABS(M64)&gt;ABS(H64),"RN &gt; PNB ",""),"")))</f>
        <v/>
      </c>
      <c r="R64" s="16">
        <f>IF(OR($A64="",H64="",$C64=""),"",IF(COUNTIFS($A$5:$A$315,$A64,$C$5:$C$315,$C64-1,$D$5:$D$315,$D64,H$5:H$315,"&lt;&gt;")=0,"",IF(OR(SUMIFS(H$5:H$315,$A$5:$A$315,$A64,$C$5:$C$315,$C64-1,$D$5:$D$315,$D64)=0,H64*SUMIFS(H$5:H$315,$A$5:$A$315,$A64,$C$5:$C$315,$C64-1,$D$5:$D$315,$D64)&lt;0),"n.s.",ABS(H64)/ABS(SUMIFS(H$5:H$315,$A$5:$A$315,$A64,$C$5:$C$315,$C64-1,$D$5:$D$315,$D64))-1)))</f>
        <v/>
      </c>
      <c r="S64" s="16">
        <f>IF(OR($A64="",I64="",$C64=""),"",IF(COUNTIFS($A$5:$A$315,$A64,$C$5:$C$315,$C64-1,$D$5:$D$315,$D64,I$5:I$315,"&lt;&gt;")=0,"",IF(OR(SUMIFS(I$5:I$315,$A$5:$A$315,$A64,$C$5:$C$315,$C64-1,$D$5:$D$315,$D64)=0,I64*SUMIFS(I$5:I$315,$A$5:$A$315,$A64,$C$5:$C$315,$C64-1,$D$5:$D$315,$D64)&lt;0),"n.s.",ABS(I64)/ABS(SUMIFS(I$5:I$315,$A$5:$A$315,$A64,$C$5:$C$315,$C64-1,$D$5:$D$315,$D64))-1)))</f>
        <v/>
      </c>
      <c r="T64" s="16">
        <f>IF(OR($A64="",J64="",$C64=""),"",IF(COUNTIFS($A$5:$A$315,$A64,$C$5:$C$315,$C64-1,$D$5:$D$315,$D64,J$5:J$315,"&lt;&gt;")=0,"",IF(OR(SUMIFS(J$5:J$315,$A$5:$A$315,$A64,$C$5:$C$315,$C64-1,$D$5:$D$315,$D64)=0,J64*SUMIFS(J$5:J$315,$A$5:$A$315,$A64,$C$5:$C$315,$C64-1,$D$5:$D$315,$D64)&lt;0),"n.s.",ABS(J64)/ABS(SUMIFS(J$5:J$315,$A$5:$A$315,$A64,$C$5:$C$315,$C64-1,$D$5:$D$315,$D64))-1)))</f>
        <v/>
      </c>
      <c r="U64" s="16">
        <f>IF(OR($A64="",K64="",$C64=""),"",IF(COUNTIFS($A$5:$A$315,$A64,$C$5:$C$315,$C64-1,$D$5:$D$315,$D64,K$5:K$315,"&lt;&gt;")=0,"",IF(OR(SUMIFS(K$5:K$315,$A$5:$A$315,$A64,$C$5:$C$315,$C64-1,$D$5:$D$315,$D64)=0,K64*SUMIFS(K$5:K$315,$A$5:$A$315,$A64,$C$5:$C$315,$C64-1,$D$5:$D$315,$D64)&lt;0),"n.s.",ABS(K64)/ABS(SUMIFS(K$5:K$315,$A$5:$A$315,$A64,$C$5:$C$315,$C64-1,$D$5:$D$315,$D64))-1)))</f>
        <v/>
      </c>
      <c r="V64" s="16">
        <f>IF(OR($A64="",L64="",$C64=""),"",IF(COUNTIFS($A$5:$A$315,$A64,$C$5:$C$315,$C64-1,$D$5:$D$315,$D64,L$5:L$315,"&lt;&gt;")=0,"",IF(OR(SUMIFS(L$5:L$315,$A$5:$A$315,$A64,$C$5:$C$315,$C64-1,$D$5:$D$315,$D64)=0,L64*SUMIFS(L$5:L$315,$A$5:$A$315,$A64,$C$5:$C$315,$C64-1,$D$5:$D$315,$D64)&lt;0),"n.s.",ABS(L64)/ABS(SUMIFS(L$5:L$315,$A$5:$A$315,$A64,$C$5:$C$315,$C64-1,$D$5:$D$315,$D64))-1)))</f>
        <v/>
      </c>
      <c r="W64" s="16">
        <f>IF(OR($A64="",M64="",$C64=""),"",IF(COUNTIFS($A$5:$A$315,$A64,$C$5:$C$315,$C64-1,$D$5:$D$315,$D64,M$5:M$315,"&lt;&gt;")=0,"",IF(OR(SUMIFS(M$5:M$315,$A$5:$A$315,$A64,$C$5:$C$315,$C64-1,$D$5:$D$315,$D64)=0,M64*SUMIFS(M$5:M$315,$A$5:$A$315,$A64,$C$5:$C$315,$C64-1,$D$5:$D$315,$D64)&lt;0),"n.s.",ABS(M64)/ABS(SUMIFS(M$5:M$315,$A$5:$A$315,$A64,$C$5:$C$315,$C64-1,$D$5:$D$315,$D64))-1)))</f>
        <v/>
      </c>
      <c r="X64" s="16">
        <f>IF(OR($A64="",N64="",$C64=""),"",IF(COUNTIFS($A$5:$A$315,$A64,$C$5:$C$315,$C64-1,$D$5:$D$315,$D64,N$5:N$315,"&lt;&gt;")=0,"",IF(OR(SUMIFS(N$5:N$315,$A$5:$A$315,$A64,$C$5:$C$315,$C64-1,$D$5:$D$315,$D64)=0,N64*SUMIFS(N$5:N$315,$A$5:$A$315,$A64,$C$5:$C$315,$C64-1,$D$5:$D$315,$D64)&lt;0),"n.s.",ABS(N64)/ABS(SUMIFS(N$5:N$315,$A$5:$A$315,$A64,$C$5:$C$315,$C64-1,$D$5:$D$315,$D64))-1)))</f>
        <v/>
      </c>
      <c r="Y64" s="16">
        <f>IF(OR($A64="",O64="",$C64=""),"",IF(COUNTIFS($A$5:$A$315,$A64,$C$5:$C$315,$C64-1,$D$5:$D$315,$D64,O$5:O$315,"&lt;&gt;")=0,"",IF(OR(SUMIFS(O$5:O$315,$A$5:$A$315,$A64,$C$5:$C$315,$C64-1,$D$5:$D$315,$D64)=0,O64*SUMIFS(O$5:O$315,$A$5:$A$315,$A64,$C$5:$C$315,$C64-1,$D$5:$D$315,$D64)&lt;0),"n.s.",ABS(O64)/ABS(SUMIFS(O$5:O$315,$A$5:$A$315,$A64,$C$5:$C$315,$C64-1,$D$5:$D$315,$D64))-1)))</f>
        <v/>
      </c>
    </row>
    <row r="65">
      <c r="A65" s="9" t="inlineStr">
        <is>
          <t>BOAB</t>
        </is>
      </c>
      <c r="B65" s="10">
        <f>IF(A65="","",IFERROR(VLOOKUP(A65,Titres!$A$2:$B$400,2,FALSE),"Ticker inconnu"))</f>
        <v/>
      </c>
      <c r="C65" s="11" t="n">
        <v>2023</v>
      </c>
      <c r="D65" s="11" t="inlineStr">
        <is>
          <t>T1</t>
        </is>
      </c>
      <c r="E65" s="9" t="n"/>
      <c r="F65" s="12" t="n"/>
      <c r="G65" s="9" t="n"/>
      <c r="H65" s="13" t="n"/>
      <c r="I65" s="13" t="n"/>
      <c r="J65" s="13" t="n"/>
      <c r="K65" s="13" t="n"/>
      <c r="L65" s="13" t="n"/>
      <c r="M65" s="13" t="n"/>
      <c r="N65" s="13" t="n"/>
      <c r="O65" s="13" t="n"/>
      <c r="P65" s="14">
        <f>IF(A65="","",COUNT(H65:O65)/8)</f>
        <v/>
      </c>
      <c r="Q65" s="15">
        <f>IF(COUNT(H65:O65)=0,"",IF(LEN(IF(COUNT(H65,I65,J65)=3,IF(ABS(H65+I65-J65)&lt;=MAX(1,0.02*ABS(J65)),"","RBE &lt;&gt; PNB + frais "),"")&amp;IF(COUNT(J65,K65,L65)=3,IF(ABS(J65+K65-L65)&lt;=MAX(1,0.03*ABS(L65)),"","RAI &lt;&gt; RBE + coût du risque "),"")&amp;IF(COUNT(H65,M65)=2,IF(ABS(M65)&gt;ABS(H65),"RN &gt; PNB ",""),""))=0,"OK",IF(COUNT(H65,I65,J65)=3,IF(ABS(H65+I65-J65)&lt;=MAX(1,0.02*ABS(J65)),"","RBE &lt;&gt; PNB + frais "),"")&amp;IF(COUNT(J65,K65,L65)=3,IF(ABS(J65+K65-L65)&lt;=MAX(1,0.03*ABS(L65)),"","RAI &lt;&gt; RBE + coût du risque "),"")&amp;IF(COUNT(H65,M65)=2,IF(ABS(M65)&gt;ABS(H65),"RN &gt; PNB ",""),"")))</f>
        <v/>
      </c>
      <c r="R65" s="16">
        <f>IF(OR($A65="",H65="",$C65=""),"",IF(COUNTIFS($A$5:$A$315,$A65,$C$5:$C$315,$C65-1,$D$5:$D$315,$D65,H$5:H$315,"&lt;&gt;")=0,"",IF(OR(SUMIFS(H$5:H$315,$A$5:$A$315,$A65,$C$5:$C$315,$C65-1,$D$5:$D$315,$D65)=0,H65*SUMIFS(H$5:H$315,$A$5:$A$315,$A65,$C$5:$C$315,$C65-1,$D$5:$D$315,$D65)&lt;0),"n.s.",ABS(H65)/ABS(SUMIFS(H$5:H$315,$A$5:$A$315,$A65,$C$5:$C$315,$C65-1,$D$5:$D$315,$D65))-1)))</f>
        <v/>
      </c>
      <c r="S65" s="16">
        <f>IF(OR($A65="",I65="",$C65=""),"",IF(COUNTIFS($A$5:$A$315,$A65,$C$5:$C$315,$C65-1,$D$5:$D$315,$D65,I$5:I$315,"&lt;&gt;")=0,"",IF(OR(SUMIFS(I$5:I$315,$A$5:$A$315,$A65,$C$5:$C$315,$C65-1,$D$5:$D$315,$D65)=0,I65*SUMIFS(I$5:I$315,$A$5:$A$315,$A65,$C$5:$C$315,$C65-1,$D$5:$D$315,$D65)&lt;0),"n.s.",ABS(I65)/ABS(SUMIFS(I$5:I$315,$A$5:$A$315,$A65,$C$5:$C$315,$C65-1,$D$5:$D$315,$D65))-1)))</f>
        <v/>
      </c>
      <c r="T65" s="16">
        <f>IF(OR($A65="",J65="",$C65=""),"",IF(COUNTIFS($A$5:$A$315,$A65,$C$5:$C$315,$C65-1,$D$5:$D$315,$D65,J$5:J$315,"&lt;&gt;")=0,"",IF(OR(SUMIFS(J$5:J$315,$A$5:$A$315,$A65,$C$5:$C$315,$C65-1,$D$5:$D$315,$D65)=0,J65*SUMIFS(J$5:J$315,$A$5:$A$315,$A65,$C$5:$C$315,$C65-1,$D$5:$D$315,$D65)&lt;0),"n.s.",ABS(J65)/ABS(SUMIFS(J$5:J$315,$A$5:$A$315,$A65,$C$5:$C$315,$C65-1,$D$5:$D$315,$D65))-1)))</f>
        <v/>
      </c>
      <c r="U65" s="16">
        <f>IF(OR($A65="",K65="",$C65=""),"",IF(COUNTIFS($A$5:$A$315,$A65,$C$5:$C$315,$C65-1,$D$5:$D$315,$D65,K$5:K$315,"&lt;&gt;")=0,"",IF(OR(SUMIFS(K$5:K$315,$A$5:$A$315,$A65,$C$5:$C$315,$C65-1,$D$5:$D$315,$D65)=0,K65*SUMIFS(K$5:K$315,$A$5:$A$315,$A65,$C$5:$C$315,$C65-1,$D$5:$D$315,$D65)&lt;0),"n.s.",ABS(K65)/ABS(SUMIFS(K$5:K$315,$A$5:$A$315,$A65,$C$5:$C$315,$C65-1,$D$5:$D$315,$D65))-1)))</f>
        <v/>
      </c>
      <c r="V65" s="16">
        <f>IF(OR($A65="",L65="",$C65=""),"",IF(COUNTIFS($A$5:$A$315,$A65,$C$5:$C$315,$C65-1,$D$5:$D$315,$D65,L$5:L$315,"&lt;&gt;")=0,"",IF(OR(SUMIFS(L$5:L$315,$A$5:$A$315,$A65,$C$5:$C$315,$C65-1,$D$5:$D$315,$D65)=0,L65*SUMIFS(L$5:L$315,$A$5:$A$315,$A65,$C$5:$C$315,$C65-1,$D$5:$D$315,$D65)&lt;0),"n.s.",ABS(L65)/ABS(SUMIFS(L$5:L$315,$A$5:$A$315,$A65,$C$5:$C$315,$C65-1,$D$5:$D$315,$D65))-1)))</f>
        <v/>
      </c>
      <c r="W65" s="16">
        <f>IF(OR($A65="",M65="",$C65=""),"",IF(COUNTIFS($A$5:$A$315,$A65,$C$5:$C$315,$C65-1,$D$5:$D$315,$D65,M$5:M$315,"&lt;&gt;")=0,"",IF(OR(SUMIFS(M$5:M$315,$A$5:$A$315,$A65,$C$5:$C$315,$C65-1,$D$5:$D$315,$D65)=0,M65*SUMIFS(M$5:M$315,$A$5:$A$315,$A65,$C$5:$C$315,$C65-1,$D$5:$D$315,$D65)&lt;0),"n.s.",ABS(M65)/ABS(SUMIFS(M$5:M$315,$A$5:$A$315,$A65,$C$5:$C$315,$C65-1,$D$5:$D$315,$D65))-1)))</f>
        <v/>
      </c>
      <c r="X65" s="16">
        <f>IF(OR($A65="",N65="",$C65=""),"",IF(COUNTIFS($A$5:$A$315,$A65,$C$5:$C$315,$C65-1,$D$5:$D$315,$D65,N$5:N$315,"&lt;&gt;")=0,"",IF(OR(SUMIFS(N$5:N$315,$A$5:$A$315,$A65,$C$5:$C$315,$C65-1,$D$5:$D$315,$D65)=0,N65*SUMIFS(N$5:N$315,$A$5:$A$315,$A65,$C$5:$C$315,$C65-1,$D$5:$D$315,$D65)&lt;0),"n.s.",ABS(N65)/ABS(SUMIFS(N$5:N$315,$A$5:$A$315,$A65,$C$5:$C$315,$C65-1,$D$5:$D$315,$D65))-1)))</f>
        <v/>
      </c>
      <c r="Y65" s="16">
        <f>IF(OR($A65="",O65="",$C65=""),"",IF(COUNTIFS($A$5:$A$315,$A65,$C$5:$C$315,$C65-1,$D$5:$D$315,$D65,O$5:O$315,"&lt;&gt;")=0,"",IF(OR(SUMIFS(O$5:O$315,$A$5:$A$315,$A65,$C$5:$C$315,$C65-1,$D$5:$D$315,$D65)=0,O65*SUMIFS(O$5:O$315,$A$5:$A$315,$A65,$C$5:$C$315,$C65-1,$D$5:$D$315,$D65)&lt;0),"n.s.",ABS(O65)/ABS(SUMIFS(O$5:O$315,$A$5:$A$315,$A65,$C$5:$C$315,$C65-1,$D$5:$D$315,$D65))-1)))</f>
        <v/>
      </c>
    </row>
    <row r="66">
      <c r="A66" s="9" t="inlineStr">
        <is>
          <t>BOAB</t>
        </is>
      </c>
      <c r="B66" s="10">
        <f>IF(A66="","",IFERROR(VLOOKUP(A66,Titres!$A$2:$B$400,2,FALSE),"Ticker inconnu"))</f>
        <v/>
      </c>
      <c r="C66" s="11" t="n">
        <v>2023</v>
      </c>
      <c r="D66" s="11" t="inlineStr">
        <is>
          <t>S1</t>
        </is>
      </c>
      <c r="E66" s="9" t="n"/>
      <c r="F66" s="12" t="n"/>
      <c r="G66" s="9" t="n"/>
      <c r="H66" s="13" t="n"/>
      <c r="I66" s="13" t="n"/>
      <c r="J66" s="13" t="n"/>
      <c r="K66" s="13" t="n"/>
      <c r="L66" s="13" t="n"/>
      <c r="M66" s="13" t="n"/>
      <c r="N66" s="13" t="n"/>
      <c r="O66" s="13" t="n"/>
      <c r="P66" s="14">
        <f>IF(A66="","",COUNT(H66:O66)/8)</f>
        <v/>
      </c>
      <c r="Q66" s="15">
        <f>IF(COUNT(H66:O66)=0,"",IF(LEN(IF(COUNT(H66,I66,J66)=3,IF(ABS(H66+I66-J66)&lt;=MAX(1,0.02*ABS(J66)),"","RBE &lt;&gt; PNB + frais "),"")&amp;IF(COUNT(J66,K66,L66)=3,IF(ABS(J66+K66-L66)&lt;=MAX(1,0.03*ABS(L66)),"","RAI &lt;&gt; RBE + coût du risque "),"")&amp;IF(COUNT(H66,M66)=2,IF(ABS(M66)&gt;ABS(H66),"RN &gt; PNB ",""),""))=0,"OK",IF(COUNT(H66,I66,J66)=3,IF(ABS(H66+I66-J66)&lt;=MAX(1,0.02*ABS(J66)),"","RBE &lt;&gt; PNB + frais "),"")&amp;IF(COUNT(J66,K66,L66)=3,IF(ABS(J66+K66-L66)&lt;=MAX(1,0.03*ABS(L66)),"","RAI &lt;&gt; RBE + coût du risque "),"")&amp;IF(COUNT(H66,M66)=2,IF(ABS(M66)&gt;ABS(H66),"RN &gt; PNB ",""),"")))</f>
        <v/>
      </c>
      <c r="R66" s="16">
        <f>IF(OR($A66="",H66="",$C66=""),"",IF(COUNTIFS($A$5:$A$315,$A66,$C$5:$C$315,$C66-1,$D$5:$D$315,$D66,H$5:H$315,"&lt;&gt;")=0,"",IF(OR(SUMIFS(H$5:H$315,$A$5:$A$315,$A66,$C$5:$C$315,$C66-1,$D$5:$D$315,$D66)=0,H66*SUMIFS(H$5:H$315,$A$5:$A$315,$A66,$C$5:$C$315,$C66-1,$D$5:$D$315,$D66)&lt;0),"n.s.",ABS(H66)/ABS(SUMIFS(H$5:H$315,$A$5:$A$315,$A66,$C$5:$C$315,$C66-1,$D$5:$D$315,$D66))-1)))</f>
        <v/>
      </c>
      <c r="S66" s="16">
        <f>IF(OR($A66="",I66="",$C66=""),"",IF(COUNTIFS($A$5:$A$315,$A66,$C$5:$C$315,$C66-1,$D$5:$D$315,$D66,I$5:I$315,"&lt;&gt;")=0,"",IF(OR(SUMIFS(I$5:I$315,$A$5:$A$315,$A66,$C$5:$C$315,$C66-1,$D$5:$D$315,$D66)=0,I66*SUMIFS(I$5:I$315,$A$5:$A$315,$A66,$C$5:$C$315,$C66-1,$D$5:$D$315,$D66)&lt;0),"n.s.",ABS(I66)/ABS(SUMIFS(I$5:I$315,$A$5:$A$315,$A66,$C$5:$C$315,$C66-1,$D$5:$D$315,$D66))-1)))</f>
        <v/>
      </c>
      <c r="T66" s="16">
        <f>IF(OR($A66="",J66="",$C66=""),"",IF(COUNTIFS($A$5:$A$315,$A66,$C$5:$C$315,$C66-1,$D$5:$D$315,$D66,J$5:J$315,"&lt;&gt;")=0,"",IF(OR(SUMIFS(J$5:J$315,$A$5:$A$315,$A66,$C$5:$C$315,$C66-1,$D$5:$D$315,$D66)=0,J66*SUMIFS(J$5:J$315,$A$5:$A$315,$A66,$C$5:$C$315,$C66-1,$D$5:$D$315,$D66)&lt;0),"n.s.",ABS(J66)/ABS(SUMIFS(J$5:J$315,$A$5:$A$315,$A66,$C$5:$C$315,$C66-1,$D$5:$D$315,$D66))-1)))</f>
        <v/>
      </c>
      <c r="U66" s="16">
        <f>IF(OR($A66="",K66="",$C66=""),"",IF(COUNTIFS($A$5:$A$315,$A66,$C$5:$C$315,$C66-1,$D$5:$D$315,$D66,K$5:K$315,"&lt;&gt;")=0,"",IF(OR(SUMIFS(K$5:K$315,$A$5:$A$315,$A66,$C$5:$C$315,$C66-1,$D$5:$D$315,$D66)=0,K66*SUMIFS(K$5:K$315,$A$5:$A$315,$A66,$C$5:$C$315,$C66-1,$D$5:$D$315,$D66)&lt;0),"n.s.",ABS(K66)/ABS(SUMIFS(K$5:K$315,$A$5:$A$315,$A66,$C$5:$C$315,$C66-1,$D$5:$D$315,$D66))-1)))</f>
        <v/>
      </c>
      <c r="V66" s="16">
        <f>IF(OR($A66="",L66="",$C66=""),"",IF(COUNTIFS($A$5:$A$315,$A66,$C$5:$C$315,$C66-1,$D$5:$D$315,$D66,L$5:L$315,"&lt;&gt;")=0,"",IF(OR(SUMIFS(L$5:L$315,$A$5:$A$315,$A66,$C$5:$C$315,$C66-1,$D$5:$D$315,$D66)=0,L66*SUMIFS(L$5:L$315,$A$5:$A$315,$A66,$C$5:$C$315,$C66-1,$D$5:$D$315,$D66)&lt;0),"n.s.",ABS(L66)/ABS(SUMIFS(L$5:L$315,$A$5:$A$315,$A66,$C$5:$C$315,$C66-1,$D$5:$D$315,$D66))-1)))</f>
        <v/>
      </c>
      <c r="W66" s="16">
        <f>IF(OR($A66="",M66="",$C66=""),"",IF(COUNTIFS($A$5:$A$315,$A66,$C$5:$C$315,$C66-1,$D$5:$D$315,$D66,M$5:M$315,"&lt;&gt;")=0,"",IF(OR(SUMIFS(M$5:M$315,$A$5:$A$315,$A66,$C$5:$C$315,$C66-1,$D$5:$D$315,$D66)=0,M66*SUMIFS(M$5:M$315,$A$5:$A$315,$A66,$C$5:$C$315,$C66-1,$D$5:$D$315,$D66)&lt;0),"n.s.",ABS(M66)/ABS(SUMIFS(M$5:M$315,$A$5:$A$315,$A66,$C$5:$C$315,$C66-1,$D$5:$D$315,$D66))-1)))</f>
        <v/>
      </c>
      <c r="X66" s="16">
        <f>IF(OR($A66="",N66="",$C66=""),"",IF(COUNTIFS($A$5:$A$315,$A66,$C$5:$C$315,$C66-1,$D$5:$D$315,$D66,N$5:N$315,"&lt;&gt;")=0,"",IF(OR(SUMIFS(N$5:N$315,$A$5:$A$315,$A66,$C$5:$C$315,$C66-1,$D$5:$D$315,$D66)=0,N66*SUMIFS(N$5:N$315,$A$5:$A$315,$A66,$C$5:$C$315,$C66-1,$D$5:$D$315,$D66)&lt;0),"n.s.",ABS(N66)/ABS(SUMIFS(N$5:N$315,$A$5:$A$315,$A66,$C$5:$C$315,$C66-1,$D$5:$D$315,$D66))-1)))</f>
        <v/>
      </c>
      <c r="Y66" s="16">
        <f>IF(OR($A66="",O66="",$C66=""),"",IF(COUNTIFS($A$5:$A$315,$A66,$C$5:$C$315,$C66-1,$D$5:$D$315,$D66,O$5:O$315,"&lt;&gt;")=0,"",IF(OR(SUMIFS(O$5:O$315,$A$5:$A$315,$A66,$C$5:$C$315,$C66-1,$D$5:$D$315,$D66)=0,O66*SUMIFS(O$5:O$315,$A$5:$A$315,$A66,$C$5:$C$315,$C66-1,$D$5:$D$315,$D66)&lt;0),"n.s.",ABS(O66)/ABS(SUMIFS(O$5:O$315,$A$5:$A$315,$A66,$C$5:$C$315,$C66-1,$D$5:$D$315,$D66))-1)))</f>
        <v/>
      </c>
    </row>
    <row r="67">
      <c r="A67" s="9" t="inlineStr">
        <is>
          <t>BOAB</t>
        </is>
      </c>
      <c r="B67" s="10">
        <f>IF(A67="","",IFERROR(VLOOKUP(A67,Titres!$A$2:$B$400,2,FALSE),"Ticker inconnu"))</f>
        <v/>
      </c>
      <c r="C67" s="11" t="n">
        <v>2023</v>
      </c>
      <c r="D67" s="11" t="inlineStr">
        <is>
          <t>T3</t>
        </is>
      </c>
      <c r="E67" s="9" t="n"/>
      <c r="F67" s="12" t="n"/>
      <c r="G67" s="9" t="n"/>
      <c r="H67" s="13" t="n"/>
      <c r="I67" s="13" t="n"/>
      <c r="J67" s="13" t="n"/>
      <c r="K67" s="13" t="n"/>
      <c r="L67" s="13" t="n"/>
      <c r="M67" s="13" t="n"/>
      <c r="N67" s="13" t="n"/>
      <c r="O67" s="13" t="n"/>
      <c r="P67" s="14">
        <f>IF(A67="","",COUNT(H67:O67)/8)</f>
        <v/>
      </c>
      <c r="Q67" s="15">
        <f>IF(COUNT(H67:O67)=0,"",IF(LEN(IF(COUNT(H67,I67,J67)=3,IF(ABS(H67+I67-J67)&lt;=MAX(1,0.02*ABS(J67)),"","RBE &lt;&gt; PNB + frais "),"")&amp;IF(COUNT(J67,K67,L67)=3,IF(ABS(J67+K67-L67)&lt;=MAX(1,0.03*ABS(L67)),"","RAI &lt;&gt; RBE + coût du risque "),"")&amp;IF(COUNT(H67,M67)=2,IF(ABS(M67)&gt;ABS(H67),"RN &gt; PNB ",""),""))=0,"OK",IF(COUNT(H67,I67,J67)=3,IF(ABS(H67+I67-J67)&lt;=MAX(1,0.02*ABS(J67)),"","RBE &lt;&gt; PNB + frais "),"")&amp;IF(COUNT(J67,K67,L67)=3,IF(ABS(J67+K67-L67)&lt;=MAX(1,0.03*ABS(L67)),"","RAI &lt;&gt; RBE + coût du risque "),"")&amp;IF(COUNT(H67,M67)=2,IF(ABS(M67)&gt;ABS(H67),"RN &gt; PNB ",""),"")))</f>
        <v/>
      </c>
      <c r="R67" s="16">
        <f>IF(OR($A67="",H67="",$C67=""),"",IF(COUNTIFS($A$5:$A$315,$A67,$C$5:$C$315,$C67-1,$D$5:$D$315,$D67,H$5:H$315,"&lt;&gt;")=0,"",IF(OR(SUMIFS(H$5:H$315,$A$5:$A$315,$A67,$C$5:$C$315,$C67-1,$D$5:$D$315,$D67)=0,H67*SUMIFS(H$5:H$315,$A$5:$A$315,$A67,$C$5:$C$315,$C67-1,$D$5:$D$315,$D67)&lt;0),"n.s.",ABS(H67)/ABS(SUMIFS(H$5:H$315,$A$5:$A$315,$A67,$C$5:$C$315,$C67-1,$D$5:$D$315,$D67))-1)))</f>
        <v/>
      </c>
      <c r="S67" s="16">
        <f>IF(OR($A67="",I67="",$C67=""),"",IF(COUNTIFS($A$5:$A$315,$A67,$C$5:$C$315,$C67-1,$D$5:$D$315,$D67,I$5:I$315,"&lt;&gt;")=0,"",IF(OR(SUMIFS(I$5:I$315,$A$5:$A$315,$A67,$C$5:$C$315,$C67-1,$D$5:$D$315,$D67)=0,I67*SUMIFS(I$5:I$315,$A$5:$A$315,$A67,$C$5:$C$315,$C67-1,$D$5:$D$315,$D67)&lt;0),"n.s.",ABS(I67)/ABS(SUMIFS(I$5:I$315,$A$5:$A$315,$A67,$C$5:$C$315,$C67-1,$D$5:$D$315,$D67))-1)))</f>
        <v/>
      </c>
      <c r="T67" s="16">
        <f>IF(OR($A67="",J67="",$C67=""),"",IF(COUNTIFS($A$5:$A$315,$A67,$C$5:$C$315,$C67-1,$D$5:$D$315,$D67,J$5:J$315,"&lt;&gt;")=0,"",IF(OR(SUMIFS(J$5:J$315,$A$5:$A$315,$A67,$C$5:$C$315,$C67-1,$D$5:$D$315,$D67)=0,J67*SUMIFS(J$5:J$315,$A$5:$A$315,$A67,$C$5:$C$315,$C67-1,$D$5:$D$315,$D67)&lt;0),"n.s.",ABS(J67)/ABS(SUMIFS(J$5:J$315,$A$5:$A$315,$A67,$C$5:$C$315,$C67-1,$D$5:$D$315,$D67))-1)))</f>
        <v/>
      </c>
      <c r="U67" s="16">
        <f>IF(OR($A67="",K67="",$C67=""),"",IF(COUNTIFS($A$5:$A$315,$A67,$C$5:$C$315,$C67-1,$D$5:$D$315,$D67,K$5:K$315,"&lt;&gt;")=0,"",IF(OR(SUMIFS(K$5:K$315,$A$5:$A$315,$A67,$C$5:$C$315,$C67-1,$D$5:$D$315,$D67)=0,K67*SUMIFS(K$5:K$315,$A$5:$A$315,$A67,$C$5:$C$315,$C67-1,$D$5:$D$315,$D67)&lt;0),"n.s.",ABS(K67)/ABS(SUMIFS(K$5:K$315,$A$5:$A$315,$A67,$C$5:$C$315,$C67-1,$D$5:$D$315,$D67))-1)))</f>
        <v/>
      </c>
      <c r="V67" s="16">
        <f>IF(OR($A67="",L67="",$C67=""),"",IF(COUNTIFS($A$5:$A$315,$A67,$C$5:$C$315,$C67-1,$D$5:$D$315,$D67,L$5:L$315,"&lt;&gt;")=0,"",IF(OR(SUMIFS(L$5:L$315,$A$5:$A$315,$A67,$C$5:$C$315,$C67-1,$D$5:$D$315,$D67)=0,L67*SUMIFS(L$5:L$315,$A$5:$A$315,$A67,$C$5:$C$315,$C67-1,$D$5:$D$315,$D67)&lt;0),"n.s.",ABS(L67)/ABS(SUMIFS(L$5:L$315,$A$5:$A$315,$A67,$C$5:$C$315,$C67-1,$D$5:$D$315,$D67))-1)))</f>
        <v/>
      </c>
      <c r="W67" s="16">
        <f>IF(OR($A67="",M67="",$C67=""),"",IF(COUNTIFS($A$5:$A$315,$A67,$C$5:$C$315,$C67-1,$D$5:$D$315,$D67,M$5:M$315,"&lt;&gt;")=0,"",IF(OR(SUMIFS(M$5:M$315,$A$5:$A$315,$A67,$C$5:$C$315,$C67-1,$D$5:$D$315,$D67)=0,M67*SUMIFS(M$5:M$315,$A$5:$A$315,$A67,$C$5:$C$315,$C67-1,$D$5:$D$315,$D67)&lt;0),"n.s.",ABS(M67)/ABS(SUMIFS(M$5:M$315,$A$5:$A$315,$A67,$C$5:$C$315,$C67-1,$D$5:$D$315,$D67))-1)))</f>
        <v/>
      </c>
      <c r="X67" s="16">
        <f>IF(OR($A67="",N67="",$C67=""),"",IF(COUNTIFS($A$5:$A$315,$A67,$C$5:$C$315,$C67-1,$D$5:$D$315,$D67,N$5:N$315,"&lt;&gt;")=0,"",IF(OR(SUMIFS(N$5:N$315,$A$5:$A$315,$A67,$C$5:$C$315,$C67-1,$D$5:$D$315,$D67)=0,N67*SUMIFS(N$5:N$315,$A$5:$A$315,$A67,$C$5:$C$315,$C67-1,$D$5:$D$315,$D67)&lt;0),"n.s.",ABS(N67)/ABS(SUMIFS(N$5:N$315,$A$5:$A$315,$A67,$C$5:$C$315,$C67-1,$D$5:$D$315,$D67))-1)))</f>
        <v/>
      </c>
      <c r="Y67" s="16">
        <f>IF(OR($A67="",O67="",$C67=""),"",IF(COUNTIFS($A$5:$A$315,$A67,$C$5:$C$315,$C67-1,$D$5:$D$315,$D67,O$5:O$315,"&lt;&gt;")=0,"",IF(OR(SUMIFS(O$5:O$315,$A$5:$A$315,$A67,$C$5:$C$315,$C67-1,$D$5:$D$315,$D67)=0,O67*SUMIFS(O$5:O$315,$A$5:$A$315,$A67,$C$5:$C$315,$C67-1,$D$5:$D$315,$D67)&lt;0),"n.s.",ABS(O67)/ABS(SUMIFS(O$5:O$315,$A$5:$A$315,$A67,$C$5:$C$315,$C67-1,$D$5:$D$315,$D67))-1)))</f>
        <v/>
      </c>
    </row>
    <row r="68">
      <c r="A68" s="9" t="inlineStr">
        <is>
          <t>BOAB</t>
        </is>
      </c>
      <c r="B68" s="10">
        <f>IF(A68="","",IFERROR(VLOOKUP(A68,Titres!$A$2:$B$400,2,FALSE),"Ticker inconnu"))</f>
        <v/>
      </c>
      <c r="C68" s="11" t="n">
        <v>2024</v>
      </c>
      <c r="D68" s="11" t="inlineStr">
        <is>
          <t>T1</t>
        </is>
      </c>
      <c r="E68" s="9" t="n"/>
      <c r="F68" s="12" t="n"/>
      <c r="G68" s="9" t="n"/>
      <c r="H68" s="13" t="n"/>
      <c r="I68" s="13" t="n"/>
      <c r="J68" s="13" t="n"/>
      <c r="K68" s="13" t="n"/>
      <c r="L68" s="13" t="n"/>
      <c r="M68" s="13" t="n"/>
      <c r="N68" s="13" t="n"/>
      <c r="O68" s="13" t="n"/>
      <c r="P68" s="14">
        <f>IF(A68="","",COUNT(H68:O68)/8)</f>
        <v/>
      </c>
      <c r="Q68" s="15">
        <f>IF(COUNT(H68:O68)=0,"",IF(LEN(IF(COUNT(H68,I68,J68)=3,IF(ABS(H68+I68-J68)&lt;=MAX(1,0.02*ABS(J68)),"","RBE &lt;&gt; PNB + frais "),"")&amp;IF(COUNT(J68,K68,L68)=3,IF(ABS(J68+K68-L68)&lt;=MAX(1,0.03*ABS(L68)),"","RAI &lt;&gt; RBE + coût du risque "),"")&amp;IF(COUNT(H68,M68)=2,IF(ABS(M68)&gt;ABS(H68),"RN &gt; PNB ",""),""))=0,"OK",IF(COUNT(H68,I68,J68)=3,IF(ABS(H68+I68-J68)&lt;=MAX(1,0.02*ABS(J68)),"","RBE &lt;&gt; PNB + frais "),"")&amp;IF(COUNT(J68,K68,L68)=3,IF(ABS(J68+K68-L68)&lt;=MAX(1,0.03*ABS(L68)),"","RAI &lt;&gt; RBE + coût du risque "),"")&amp;IF(COUNT(H68,M68)=2,IF(ABS(M68)&gt;ABS(H68),"RN &gt; PNB ",""),"")))</f>
        <v/>
      </c>
      <c r="R68" s="16">
        <f>IF(OR($A68="",H68="",$C68=""),"",IF(COUNTIFS($A$5:$A$315,$A68,$C$5:$C$315,$C68-1,$D$5:$D$315,$D68,H$5:H$315,"&lt;&gt;")=0,"",IF(OR(SUMIFS(H$5:H$315,$A$5:$A$315,$A68,$C$5:$C$315,$C68-1,$D$5:$D$315,$D68)=0,H68*SUMIFS(H$5:H$315,$A$5:$A$315,$A68,$C$5:$C$315,$C68-1,$D$5:$D$315,$D68)&lt;0),"n.s.",ABS(H68)/ABS(SUMIFS(H$5:H$315,$A$5:$A$315,$A68,$C$5:$C$315,$C68-1,$D$5:$D$315,$D68))-1)))</f>
        <v/>
      </c>
      <c r="S68" s="16">
        <f>IF(OR($A68="",I68="",$C68=""),"",IF(COUNTIFS($A$5:$A$315,$A68,$C$5:$C$315,$C68-1,$D$5:$D$315,$D68,I$5:I$315,"&lt;&gt;")=0,"",IF(OR(SUMIFS(I$5:I$315,$A$5:$A$315,$A68,$C$5:$C$315,$C68-1,$D$5:$D$315,$D68)=0,I68*SUMIFS(I$5:I$315,$A$5:$A$315,$A68,$C$5:$C$315,$C68-1,$D$5:$D$315,$D68)&lt;0),"n.s.",ABS(I68)/ABS(SUMIFS(I$5:I$315,$A$5:$A$315,$A68,$C$5:$C$315,$C68-1,$D$5:$D$315,$D68))-1)))</f>
        <v/>
      </c>
      <c r="T68" s="16">
        <f>IF(OR($A68="",J68="",$C68=""),"",IF(COUNTIFS($A$5:$A$315,$A68,$C$5:$C$315,$C68-1,$D$5:$D$315,$D68,J$5:J$315,"&lt;&gt;")=0,"",IF(OR(SUMIFS(J$5:J$315,$A$5:$A$315,$A68,$C$5:$C$315,$C68-1,$D$5:$D$315,$D68)=0,J68*SUMIFS(J$5:J$315,$A$5:$A$315,$A68,$C$5:$C$315,$C68-1,$D$5:$D$315,$D68)&lt;0),"n.s.",ABS(J68)/ABS(SUMIFS(J$5:J$315,$A$5:$A$315,$A68,$C$5:$C$315,$C68-1,$D$5:$D$315,$D68))-1)))</f>
        <v/>
      </c>
      <c r="U68" s="16">
        <f>IF(OR($A68="",K68="",$C68=""),"",IF(COUNTIFS($A$5:$A$315,$A68,$C$5:$C$315,$C68-1,$D$5:$D$315,$D68,K$5:K$315,"&lt;&gt;")=0,"",IF(OR(SUMIFS(K$5:K$315,$A$5:$A$315,$A68,$C$5:$C$315,$C68-1,$D$5:$D$315,$D68)=0,K68*SUMIFS(K$5:K$315,$A$5:$A$315,$A68,$C$5:$C$315,$C68-1,$D$5:$D$315,$D68)&lt;0),"n.s.",ABS(K68)/ABS(SUMIFS(K$5:K$315,$A$5:$A$315,$A68,$C$5:$C$315,$C68-1,$D$5:$D$315,$D68))-1)))</f>
        <v/>
      </c>
      <c r="V68" s="16">
        <f>IF(OR($A68="",L68="",$C68=""),"",IF(COUNTIFS($A$5:$A$315,$A68,$C$5:$C$315,$C68-1,$D$5:$D$315,$D68,L$5:L$315,"&lt;&gt;")=0,"",IF(OR(SUMIFS(L$5:L$315,$A$5:$A$315,$A68,$C$5:$C$315,$C68-1,$D$5:$D$315,$D68)=0,L68*SUMIFS(L$5:L$315,$A$5:$A$315,$A68,$C$5:$C$315,$C68-1,$D$5:$D$315,$D68)&lt;0),"n.s.",ABS(L68)/ABS(SUMIFS(L$5:L$315,$A$5:$A$315,$A68,$C$5:$C$315,$C68-1,$D$5:$D$315,$D68))-1)))</f>
        <v/>
      </c>
      <c r="W68" s="16">
        <f>IF(OR($A68="",M68="",$C68=""),"",IF(COUNTIFS($A$5:$A$315,$A68,$C$5:$C$315,$C68-1,$D$5:$D$315,$D68,M$5:M$315,"&lt;&gt;")=0,"",IF(OR(SUMIFS(M$5:M$315,$A$5:$A$315,$A68,$C$5:$C$315,$C68-1,$D$5:$D$315,$D68)=0,M68*SUMIFS(M$5:M$315,$A$5:$A$315,$A68,$C$5:$C$315,$C68-1,$D$5:$D$315,$D68)&lt;0),"n.s.",ABS(M68)/ABS(SUMIFS(M$5:M$315,$A$5:$A$315,$A68,$C$5:$C$315,$C68-1,$D$5:$D$315,$D68))-1)))</f>
        <v/>
      </c>
      <c r="X68" s="16">
        <f>IF(OR($A68="",N68="",$C68=""),"",IF(COUNTIFS($A$5:$A$315,$A68,$C$5:$C$315,$C68-1,$D$5:$D$315,$D68,N$5:N$315,"&lt;&gt;")=0,"",IF(OR(SUMIFS(N$5:N$315,$A$5:$A$315,$A68,$C$5:$C$315,$C68-1,$D$5:$D$315,$D68)=0,N68*SUMIFS(N$5:N$315,$A$5:$A$315,$A68,$C$5:$C$315,$C68-1,$D$5:$D$315,$D68)&lt;0),"n.s.",ABS(N68)/ABS(SUMIFS(N$5:N$315,$A$5:$A$315,$A68,$C$5:$C$315,$C68-1,$D$5:$D$315,$D68))-1)))</f>
        <v/>
      </c>
      <c r="Y68" s="16">
        <f>IF(OR($A68="",O68="",$C68=""),"",IF(COUNTIFS($A$5:$A$315,$A68,$C$5:$C$315,$C68-1,$D$5:$D$315,$D68,O$5:O$315,"&lt;&gt;")=0,"",IF(OR(SUMIFS(O$5:O$315,$A$5:$A$315,$A68,$C$5:$C$315,$C68-1,$D$5:$D$315,$D68)=0,O68*SUMIFS(O$5:O$315,$A$5:$A$315,$A68,$C$5:$C$315,$C68-1,$D$5:$D$315,$D68)&lt;0),"n.s.",ABS(O68)/ABS(SUMIFS(O$5:O$315,$A$5:$A$315,$A68,$C$5:$C$315,$C68-1,$D$5:$D$315,$D68))-1)))</f>
        <v/>
      </c>
    </row>
    <row r="69">
      <c r="A69" s="9" t="inlineStr">
        <is>
          <t>BOAB</t>
        </is>
      </c>
      <c r="B69" s="10">
        <f>IF(A69="","",IFERROR(VLOOKUP(A69,Titres!$A$2:$B$400,2,FALSE),"Ticker inconnu"))</f>
        <v/>
      </c>
      <c r="C69" s="11" t="n">
        <v>2024</v>
      </c>
      <c r="D69" s="11" t="inlineStr">
        <is>
          <t>S1</t>
        </is>
      </c>
      <c r="E69" s="9" t="n"/>
      <c r="F69" s="12" t="n"/>
      <c r="G69" s="9" t="n"/>
      <c r="H69" s="13" t="n"/>
      <c r="I69" s="13" t="n"/>
      <c r="J69" s="13" t="n"/>
      <c r="K69" s="13" t="n"/>
      <c r="L69" s="13" t="n"/>
      <c r="M69" s="13" t="n"/>
      <c r="N69" s="13" t="n"/>
      <c r="O69" s="13" t="n"/>
      <c r="P69" s="14">
        <f>IF(A69="","",COUNT(H69:O69)/8)</f>
        <v/>
      </c>
      <c r="Q69" s="15">
        <f>IF(COUNT(H69:O69)=0,"",IF(LEN(IF(COUNT(H69,I69,J69)=3,IF(ABS(H69+I69-J69)&lt;=MAX(1,0.02*ABS(J69)),"","RBE &lt;&gt; PNB + frais "),"")&amp;IF(COUNT(J69,K69,L69)=3,IF(ABS(J69+K69-L69)&lt;=MAX(1,0.03*ABS(L69)),"","RAI &lt;&gt; RBE + coût du risque "),"")&amp;IF(COUNT(H69,M69)=2,IF(ABS(M69)&gt;ABS(H69),"RN &gt; PNB ",""),""))=0,"OK",IF(COUNT(H69,I69,J69)=3,IF(ABS(H69+I69-J69)&lt;=MAX(1,0.02*ABS(J69)),"","RBE &lt;&gt; PNB + frais "),"")&amp;IF(COUNT(J69,K69,L69)=3,IF(ABS(J69+K69-L69)&lt;=MAX(1,0.03*ABS(L69)),"","RAI &lt;&gt; RBE + coût du risque "),"")&amp;IF(COUNT(H69,M69)=2,IF(ABS(M69)&gt;ABS(H69),"RN &gt; PNB ",""),"")))</f>
        <v/>
      </c>
      <c r="R69" s="16">
        <f>IF(OR($A69="",H69="",$C69=""),"",IF(COUNTIFS($A$5:$A$315,$A69,$C$5:$C$315,$C69-1,$D$5:$D$315,$D69,H$5:H$315,"&lt;&gt;")=0,"",IF(OR(SUMIFS(H$5:H$315,$A$5:$A$315,$A69,$C$5:$C$315,$C69-1,$D$5:$D$315,$D69)=0,H69*SUMIFS(H$5:H$315,$A$5:$A$315,$A69,$C$5:$C$315,$C69-1,$D$5:$D$315,$D69)&lt;0),"n.s.",ABS(H69)/ABS(SUMIFS(H$5:H$315,$A$5:$A$315,$A69,$C$5:$C$315,$C69-1,$D$5:$D$315,$D69))-1)))</f>
        <v/>
      </c>
      <c r="S69" s="16">
        <f>IF(OR($A69="",I69="",$C69=""),"",IF(COUNTIFS($A$5:$A$315,$A69,$C$5:$C$315,$C69-1,$D$5:$D$315,$D69,I$5:I$315,"&lt;&gt;")=0,"",IF(OR(SUMIFS(I$5:I$315,$A$5:$A$315,$A69,$C$5:$C$315,$C69-1,$D$5:$D$315,$D69)=0,I69*SUMIFS(I$5:I$315,$A$5:$A$315,$A69,$C$5:$C$315,$C69-1,$D$5:$D$315,$D69)&lt;0),"n.s.",ABS(I69)/ABS(SUMIFS(I$5:I$315,$A$5:$A$315,$A69,$C$5:$C$315,$C69-1,$D$5:$D$315,$D69))-1)))</f>
        <v/>
      </c>
      <c r="T69" s="16">
        <f>IF(OR($A69="",J69="",$C69=""),"",IF(COUNTIFS($A$5:$A$315,$A69,$C$5:$C$315,$C69-1,$D$5:$D$315,$D69,J$5:J$315,"&lt;&gt;")=0,"",IF(OR(SUMIFS(J$5:J$315,$A$5:$A$315,$A69,$C$5:$C$315,$C69-1,$D$5:$D$315,$D69)=0,J69*SUMIFS(J$5:J$315,$A$5:$A$315,$A69,$C$5:$C$315,$C69-1,$D$5:$D$315,$D69)&lt;0),"n.s.",ABS(J69)/ABS(SUMIFS(J$5:J$315,$A$5:$A$315,$A69,$C$5:$C$315,$C69-1,$D$5:$D$315,$D69))-1)))</f>
        <v/>
      </c>
      <c r="U69" s="16">
        <f>IF(OR($A69="",K69="",$C69=""),"",IF(COUNTIFS($A$5:$A$315,$A69,$C$5:$C$315,$C69-1,$D$5:$D$315,$D69,K$5:K$315,"&lt;&gt;")=0,"",IF(OR(SUMIFS(K$5:K$315,$A$5:$A$315,$A69,$C$5:$C$315,$C69-1,$D$5:$D$315,$D69)=0,K69*SUMIFS(K$5:K$315,$A$5:$A$315,$A69,$C$5:$C$315,$C69-1,$D$5:$D$315,$D69)&lt;0),"n.s.",ABS(K69)/ABS(SUMIFS(K$5:K$315,$A$5:$A$315,$A69,$C$5:$C$315,$C69-1,$D$5:$D$315,$D69))-1)))</f>
        <v/>
      </c>
      <c r="V69" s="16">
        <f>IF(OR($A69="",L69="",$C69=""),"",IF(COUNTIFS($A$5:$A$315,$A69,$C$5:$C$315,$C69-1,$D$5:$D$315,$D69,L$5:L$315,"&lt;&gt;")=0,"",IF(OR(SUMIFS(L$5:L$315,$A$5:$A$315,$A69,$C$5:$C$315,$C69-1,$D$5:$D$315,$D69)=0,L69*SUMIFS(L$5:L$315,$A$5:$A$315,$A69,$C$5:$C$315,$C69-1,$D$5:$D$315,$D69)&lt;0),"n.s.",ABS(L69)/ABS(SUMIFS(L$5:L$315,$A$5:$A$315,$A69,$C$5:$C$315,$C69-1,$D$5:$D$315,$D69))-1)))</f>
        <v/>
      </c>
      <c r="W69" s="16">
        <f>IF(OR($A69="",M69="",$C69=""),"",IF(COUNTIFS($A$5:$A$315,$A69,$C$5:$C$315,$C69-1,$D$5:$D$315,$D69,M$5:M$315,"&lt;&gt;")=0,"",IF(OR(SUMIFS(M$5:M$315,$A$5:$A$315,$A69,$C$5:$C$315,$C69-1,$D$5:$D$315,$D69)=0,M69*SUMIFS(M$5:M$315,$A$5:$A$315,$A69,$C$5:$C$315,$C69-1,$D$5:$D$315,$D69)&lt;0),"n.s.",ABS(M69)/ABS(SUMIFS(M$5:M$315,$A$5:$A$315,$A69,$C$5:$C$315,$C69-1,$D$5:$D$315,$D69))-1)))</f>
        <v/>
      </c>
      <c r="X69" s="16">
        <f>IF(OR($A69="",N69="",$C69=""),"",IF(COUNTIFS($A$5:$A$315,$A69,$C$5:$C$315,$C69-1,$D$5:$D$315,$D69,N$5:N$315,"&lt;&gt;")=0,"",IF(OR(SUMIFS(N$5:N$315,$A$5:$A$315,$A69,$C$5:$C$315,$C69-1,$D$5:$D$315,$D69)=0,N69*SUMIFS(N$5:N$315,$A$5:$A$315,$A69,$C$5:$C$315,$C69-1,$D$5:$D$315,$D69)&lt;0),"n.s.",ABS(N69)/ABS(SUMIFS(N$5:N$315,$A$5:$A$315,$A69,$C$5:$C$315,$C69-1,$D$5:$D$315,$D69))-1)))</f>
        <v/>
      </c>
      <c r="Y69" s="16">
        <f>IF(OR($A69="",O69="",$C69=""),"",IF(COUNTIFS($A$5:$A$315,$A69,$C$5:$C$315,$C69-1,$D$5:$D$315,$D69,O$5:O$315,"&lt;&gt;")=0,"",IF(OR(SUMIFS(O$5:O$315,$A$5:$A$315,$A69,$C$5:$C$315,$C69-1,$D$5:$D$315,$D69)=0,O69*SUMIFS(O$5:O$315,$A$5:$A$315,$A69,$C$5:$C$315,$C69-1,$D$5:$D$315,$D69)&lt;0),"n.s.",ABS(O69)/ABS(SUMIFS(O$5:O$315,$A$5:$A$315,$A69,$C$5:$C$315,$C69-1,$D$5:$D$315,$D69))-1)))</f>
        <v/>
      </c>
    </row>
    <row r="70">
      <c r="A70" s="9" t="inlineStr">
        <is>
          <t>BOAB</t>
        </is>
      </c>
      <c r="B70" s="10">
        <f>IF(A70="","",IFERROR(VLOOKUP(A70,Titres!$A$2:$B$400,2,FALSE),"Ticker inconnu"))</f>
        <v/>
      </c>
      <c r="C70" s="11" t="n">
        <v>2024</v>
      </c>
      <c r="D70" s="11" t="inlineStr">
        <is>
          <t>T3</t>
        </is>
      </c>
      <c r="E70" s="9" t="n"/>
      <c r="F70" s="12" t="n"/>
      <c r="G70" s="9" t="n"/>
      <c r="H70" s="13" t="n"/>
      <c r="I70" s="13" t="n"/>
      <c r="J70" s="13" t="n"/>
      <c r="K70" s="13" t="n"/>
      <c r="L70" s="13" t="n"/>
      <c r="M70" s="13" t="n"/>
      <c r="N70" s="13" t="n"/>
      <c r="O70" s="13" t="n"/>
      <c r="P70" s="14">
        <f>IF(A70="","",COUNT(H70:O70)/8)</f>
        <v/>
      </c>
      <c r="Q70" s="15">
        <f>IF(COUNT(H70:O70)=0,"",IF(LEN(IF(COUNT(H70,I70,J70)=3,IF(ABS(H70+I70-J70)&lt;=MAX(1,0.02*ABS(J70)),"","RBE &lt;&gt; PNB + frais "),"")&amp;IF(COUNT(J70,K70,L70)=3,IF(ABS(J70+K70-L70)&lt;=MAX(1,0.03*ABS(L70)),"","RAI &lt;&gt; RBE + coût du risque "),"")&amp;IF(COUNT(H70,M70)=2,IF(ABS(M70)&gt;ABS(H70),"RN &gt; PNB ",""),""))=0,"OK",IF(COUNT(H70,I70,J70)=3,IF(ABS(H70+I70-J70)&lt;=MAX(1,0.02*ABS(J70)),"","RBE &lt;&gt; PNB + frais "),"")&amp;IF(COUNT(J70,K70,L70)=3,IF(ABS(J70+K70-L70)&lt;=MAX(1,0.03*ABS(L70)),"","RAI &lt;&gt; RBE + coût du risque "),"")&amp;IF(COUNT(H70,M70)=2,IF(ABS(M70)&gt;ABS(H70),"RN &gt; PNB ",""),"")))</f>
        <v/>
      </c>
      <c r="R70" s="16">
        <f>IF(OR($A70="",H70="",$C70=""),"",IF(COUNTIFS($A$5:$A$315,$A70,$C$5:$C$315,$C70-1,$D$5:$D$315,$D70,H$5:H$315,"&lt;&gt;")=0,"",IF(OR(SUMIFS(H$5:H$315,$A$5:$A$315,$A70,$C$5:$C$315,$C70-1,$D$5:$D$315,$D70)=0,H70*SUMIFS(H$5:H$315,$A$5:$A$315,$A70,$C$5:$C$315,$C70-1,$D$5:$D$315,$D70)&lt;0),"n.s.",ABS(H70)/ABS(SUMIFS(H$5:H$315,$A$5:$A$315,$A70,$C$5:$C$315,$C70-1,$D$5:$D$315,$D70))-1)))</f>
        <v/>
      </c>
      <c r="S70" s="16">
        <f>IF(OR($A70="",I70="",$C70=""),"",IF(COUNTIFS($A$5:$A$315,$A70,$C$5:$C$315,$C70-1,$D$5:$D$315,$D70,I$5:I$315,"&lt;&gt;")=0,"",IF(OR(SUMIFS(I$5:I$315,$A$5:$A$315,$A70,$C$5:$C$315,$C70-1,$D$5:$D$315,$D70)=0,I70*SUMIFS(I$5:I$315,$A$5:$A$315,$A70,$C$5:$C$315,$C70-1,$D$5:$D$315,$D70)&lt;0),"n.s.",ABS(I70)/ABS(SUMIFS(I$5:I$315,$A$5:$A$315,$A70,$C$5:$C$315,$C70-1,$D$5:$D$315,$D70))-1)))</f>
        <v/>
      </c>
      <c r="T70" s="16">
        <f>IF(OR($A70="",J70="",$C70=""),"",IF(COUNTIFS($A$5:$A$315,$A70,$C$5:$C$315,$C70-1,$D$5:$D$315,$D70,J$5:J$315,"&lt;&gt;")=0,"",IF(OR(SUMIFS(J$5:J$315,$A$5:$A$315,$A70,$C$5:$C$315,$C70-1,$D$5:$D$315,$D70)=0,J70*SUMIFS(J$5:J$315,$A$5:$A$315,$A70,$C$5:$C$315,$C70-1,$D$5:$D$315,$D70)&lt;0),"n.s.",ABS(J70)/ABS(SUMIFS(J$5:J$315,$A$5:$A$315,$A70,$C$5:$C$315,$C70-1,$D$5:$D$315,$D70))-1)))</f>
        <v/>
      </c>
      <c r="U70" s="16">
        <f>IF(OR($A70="",K70="",$C70=""),"",IF(COUNTIFS($A$5:$A$315,$A70,$C$5:$C$315,$C70-1,$D$5:$D$315,$D70,K$5:K$315,"&lt;&gt;")=0,"",IF(OR(SUMIFS(K$5:K$315,$A$5:$A$315,$A70,$C$5:$C$315,$C70-1,$D$5:$D$315,$D70)=0,K70*SUMIFS(K$5:K$315,$A$5:$A$315,$A70,$C$5:$C$315,$C70-1,$D$5:$D$315,$D70)&lt;0),"n.s.",ABS(K70)/ABS(SUMIFS(K$5:K$315,$A$5:$A$315,$A70,$C$5:$C$315,$C70-1,$D$5:$D$315,$D70))-1)))</f>
        <v/>
      </c>
      <c r="V70" s="16">
        <f>IF(OR($A70="",L70="",$C70=""),"",IF(COUNTIFS($A$5:$A$315,$A70,$C$5:$C$315,$C70-1,$D$5:$D$315,$D70,L$5:L$315,"&lt;&gt;")=0,"",IF(OR(SUMIFS(L$5:L$315,$A$5:$A$315,$A70,$C$5:$C$315,$C70-1,$D$5:$D$315,$D70)=0,L70*SUMIFS(L$5:L$315,$A$5:$A$315,$A70,$C$5:$C$315,$C70-1,$D$5:$D$315,$D70)&lt;0),"n.s.",ABS(L70)/ABS(SUMIFS(L$5:L$315,$A$5:$A$315,$A70,$C$5:$C$315,$C70-1,$D$5:$D$315,$D70))-1)))</f>
        <v/>
      </c>
      <c r="W70" s="16">
        <f>IF(OR($A70="",M70="",$C70=""),"",IF(COUNTIFS($A$5:$A$315,$A70,$C$5:$C$315,$C70-1,$D$5:$D$315,$D70,M$5:M$315,"&lt;&gt;")=0,"",IF(OR(SUMIFS(M$5:M$315,$A$5:$A$315,$A70,$C$5:$C$315,$C70-1,$D$5:$D$315,$D70)=0,M70*SUMIFS(M$5:M$315,$A$5:$A$315,$A70,$C$5:$C$315,$C70-1,$D$5:$D$315,$D70)&lt;0),"n.s.",ABS(M70)/ABS(SUMIFS(M$5:M$315,$A$5:$A$315,$A70,$C$5:$C$315,$C70-1,$D$5:$D$315,$D70))-1)))</f>
        <v/>
      </c>
      <c r="X70" s="16">
        <f>IF(OR($A70="",N70="",$C70=""),"",IF(COUNTIFS($A$5:$A$315,$A70,$C$5:$C$315,$C70-1,$D$5:$D$315,$D70,N$5:N$315,"&lt;&gt;")=0,"",IF(OR(SUMIFS(N$5:N$315,$A$5:$A$315,$A70,$C$5:$C$315,$C70-1,$D$5:$D$315,$D70)=0,N70*SUMIFS(N$5:N$315,$A$5:$A$315,$A70,$C$5:$C$315,$C70-1,$D$5:$D$315,$D70)&lt;0),"n.s.",ABS(N70)/ABS(SUMIFS(N$5:N$315,$A$5:$A$315,$A70,$C$5:$C$315,$C70-1,$D$5:$D$315,$D70))-1)))</f>
        <v/>
      </c>
      <c r="Y70" s="16">
        <f>IF(OR($A70="",O70="",$C70=""),"",IF(COUNTIFS($A$5:$A$315,$A70,$C$5:$C$315,$C70-1,$D$5:$D$315,$D70,O$5:O$315,"&lt;&gt;")=0,"",IF(OR(SUMIFS(O$5:O$315,$A$5:$A$315,$A70,$C$5:$C$315,$C70-1,$D$5:$D$315,$D70)=0,O70*SUMIFS(O$5:O$315,$A$5:$A$315,$A70,$C$5:$C$315,$C70-1,$D$5:$D$315,$D70)&lt;0),"n.s.",ABS(O70)/ABS(SUMIFS(O$5:O$315,$A$5:$A$315,$A70,$C$5:$C$315,$C70-1,$D$5:$D$315,$D70))-1)))</f>
        <v/>
      </c>
    </row>
    <row r="71">
      <c r="A71" s="9" t="inlineStr">
        <is>
          <t>BOAB</t>
        </is>
      </c>
      <c r="B71" s="10">
        <f>IF(A71="","",IFERROR(VLOOKUP(A71,Titres!$A$2:$B$400,2,FALSE),"Ticker inconnu"))</f>
        <v/>
      </c>
      <c r="C71" s="11" t="n">
        <v>2025</v>
      </c>
      <c r="D71" s="11" t="inlineStr">
        <is>
          <t>T1</t>
        </is>
      </c>
      <c r="E71" s="9" t="n"/>
      <c r="F71" s="12" t="n"/>
      <c r="G71" s="9" t="n"/>
      <c r="H71" s="13" t="n"/>
      <c r="I71" s="13" t="n"/>
      <c r="J71" s="13" t="n"/>
      <c r="K71" s="13" t="n"/>
      <c r="L71" s="13" t="n"/>
      <c r="M71" s="13" t="n"/>
      <c r="N71" s="13" t="n"/>
      <c r="O71" s="13" t="n"/>
      <c r="P71" s="14">
        <f>IF(A71="","",COUNT(H71:O71)/8)</f>
        <v/>
      </c>
      <c r="Q71" s="15">
        <f>IF(COUNT(H71:O71)=0,"",IF(LEN(IF(COUNT(H71,I71,J71)=3,IF(ABS(H71+I71-J71)&lt;=MAX(1,0.02*ABS(J71)),"","RBE &lt;&gt; PNB + frais "),"")&amp;IF(COUNT(J71,K71,L71)=3,IF(ABS(J71+K71-L71)&lt;=MAX(1,0.03*ABS(L71)),"","RAI &lt;&gt; RBE + coût du risque "),"")&amp;IF(COUNT(H71,M71)=2,IF(ABS(M71)&gt;ABS(H71),"RN &gt; PNB ",""),""))=0,"OK",IF(COUNT(H71,I71,J71)=3,IF(ABS(H71+I71-J71)&lt;=MAX(1,0.02*ABS(J71)),"","RBE &lt;&gt; PNB + frais "),"")&amp;IF(COUNT(J71,K71,L71)=3,IF(ABS(J71+K71-L71)&lt;=MAX(1,0.03*ABS(L71)),"","RAI &lt;&gt; RBE + coût du risque "),"")&amp;IF(COUNT(H71,M71)=2,IF(ABS(M71)&gt;ABS(H71),"RN &gt; PNB ",""),"")))</f>
        <v/>
      </c>
      <c r="R71" s="16">
        <f>IF(OR($A71="",H71="",$C71=""),"",IF(COUNTIFS($A$5:$A$315,$A71,$C$5:$C$315,$C71-1,$D$5:$D$315,$D71,H$5:H$315,"&lt;&gt;")=0,"",IF(OR(SUMIFS(H$5:H$315,$A$5:$A$315,$A71,$C$5:$C$315,$C71-1,$D$5:$D$315,$D71)=0,H71*SUMIFS(H$5:H$315,$A$5:$A$315,$A71,$C$5:$C$315,$C71-1,$D$5:$D$315,$D71)&lt;0),"n.s.",ABS(H71)/ABS(SUMIFS(H$5:H$315,$A$5:$A$315,$A71,$C$5:$C$315,$C71-1,$D$5:$D$315,$D71))-1)))</f>
        <v/>
      </c>
      <c r="S71" s="16">
        <f>IF(OR($A71="",I71="",$C71=""),"",IF(COUNTIFS($A$5:$A$315,$A71,$C$5:$C$315,$C71-1,$D$5:$D$315,$D71,I$5:I$315,"&lt;&gt;")=0,"",IF(OR(SUMIFS(I$5:I$315,$A$5:$A$315,$A71,$C$5:$C$315,$C71-1,$D$5:$D$315,$D71)=0,I71*SUMIFS(I$5:I$315,$A$5:$A$315,$A71,$C$5:$C$315,$C71-1,$D$5:$D$315,$D71)&lt;0),"n.s.",ABS(I71)/ABS(SUMIFS(I$5:I$315,$A$5:$A$315,$A71,$C$5:$C$315,$C71-1,$D$5:$D$315,$D71))-1)))</f>
        <v/>
      </c>
      <c r="T71" s="16">
        <f>IF(OR($A71="",J71="",$C71=""),"",IF(COUNTIFS($A$5:$A$315,$A71,$C$5:$C$315,$C71-1,$D$5:$D$315,$D71,J$5:J$315,"&lt;&gt;")=0,"",IF(OR(SUMIFS(J$5:J$315,$A$5:$A$315,$A71,$C$5:$C$315,$C71-1,$D$5:$D$315,$D71)=0,J71*SUMIFS(J$5:J$315,$A$5:$A$315,$A71,$C$5:$C$315,$C71-1,$D$5:$D$315,$D71)&lt;0),"n.s.",ABS(J71)/ABS(SUMIFS(J$5:J$315,$A$5:$A$315,$A71,$C$5:$C$315,$C71-1,$D$5:$D$315,$D71))-1)))</f>
        <v/>
      </c>
      <c r="U71" s="16">
        <f>IF(OR($A71="",K71="",$C71=""),"",IF(COUNTIFS($A$5:$A$315,$A71,$C$5:$C$315,$C71-1,$D$5:$D$315,$D71,K$5:K$315,"&lt;&gt;")=0,"",IF(OR(SUMIFS(K$5:K$315,$A$5:$A$315,$A71,$C$5:$C$315,$C71-1,$D$5:$D$315,$D71)=0,K71*SUMIFS(K$5:K$315,$A$5:$A$315,$A71,$C$5:$C$315,$C71-1,$D$5:$D$315,$D71)&lt;0),"n.s.",ABS(K71)/ABS(SUMIFS(K$5:K$315,$A$5:$A$315,$A71,$C$5:$C$315,$C71-1,$D$5:$D$315,$D71))-1)))</f>
        <v/>
      </c>
      <c r="V71" s="16">
        <f>IF(OR($A71="",L71="",$C71=""),"",IF(COUNTIFS($A$5:$A$315,$A71,$C$5:$C$315,$C71-1,$D$5:$D$315,$D71,L$5:L$315,"&lt;&gt;")=0,"",IF(OR(SUMIFS(L$5:L$315,$A$5:$A$315,$A71,$C$5:$C$315,$C71-1,$D$5:$D$315,$D71)=0,L71*SUMIFS(L$5:L$315,$A$5:$A$315,$A71,$C$5:$C$315,$C71-1,$D$5:$D$315,$D71)&lt;0),"n.s.",ABS(L71)/ABS(SUMIFS(L$5:L$315,$A$5:$A$315,$A71,$C$5:$C$315,$C71-1,$D$5:$D$315,$D71))-1)))</f>
        <v/>
      </c>
      <c r="W71" s="16">
        <f>IF(OR($A71="",M71="",$C71=""),"",IF(COUNTIFS($A$5:$A$315,$A71,$C$5:$C$315,$C71-1,$D$5:$D$315,$D71,M$5:M$315,"&lt;&gt;")=0,"",IF(OR(SUMIFS(M$5:M$315,$A$5:$A$315,$A71,$C$5:$C$315,$C71-1,$D$5:$D$315,$D71)=0,M71*SUMIFS(M$5:M$315,$A$5:$A$315,$A71,$C$5:$C$315,$C71-1,$D$5:$D$315,$D71)&lt;0),"n.s.",ABS(M71)/ABS(SUMIFS(M$5:M$315,$A$5:$A$315,$A71,$C$5:$C$315,$C71-1,$D$5:$D$315,$D71))-1)))</f>
        <v/>
      </c>
      <c r="X71" s="16">
        <f>IF(OR($A71="",N71="",$C71=""),"",IF(COUNTIFS($A$5:$A$315,$A71,$C$5:$C$315,$C71-1,$D$5:$D$315,$D71,N$5:N$315,"&lt;&gt;")=0,"",IF(OR(SUMIFS(N$5:N$315,$A$5:$A$315,$A71,$C$5:$C$315,$C71-1,$D$5:$D$315,$D71)=0,N71*SUMIFS(N$5:N$315,$A$5:$A$315,$A71,$C$5:$C$315,$C71-1,$D$5:$D$315,$D71)&lt;0),"n.s.",ABS(N71)/ABS(SUMIFS(N$5:N$315,$A$5:$A$315,$A71,$C$5:$C$315,$C71-1,$D$5:$D$315,$D71))-1)))</f>
        <v/>
      </c>
      <c r="Y71" s="16">
        <f>IF(OR($A71="",O71="",$C71=""),"",IF(COUNTIFS($A$5:$A$315,$A71,$C$5:$C$315,$C71-1,$D$5:$D$315,$D71,O$5:O$315,"&lt;&gt;")=0,"",IF(OR(SUMIFS(O$5:O$315,$A$5:$A$315,$A71,$C$5:$C$315,$C71-1,$D$5:$D$315,$D71)=0,O71*SUMIFS(O$5:O$315,$A$5:$A$315,$A71,$C$5:$C$315,$C71-1,$D$5:$D$315,$D71)&lt;0),"n.s.",ABS(O71)/ABS(SUMIFS(O$5:O$315,$A$5:$A$315,$A71,$C$5:$C$315,$C71-1,$D$5:$D$315,$D71))-1)))</f>
        <v/>
      </c>
    </row>
    <row r="72">
      <c r="A72" s="9" t="inlineStr">
        <is>
          <t>BOAB</t>
        </is>
      </c>
      <c r="B72" s="10">
        <f>IF(A72="","",IFERROR(VLOOKUP(A72,Titres!$A$2:$B$400,2,FALSE),"Ticker inconnu"))</f>
        <v/>
      </c>
      <c r="C72" s="11" t="n">
        <v>2025</v>
      </c>
      <c r="D72" s="11" t="inlineStr">
        <is>
          <t>S1</t>
        </is>
      </c>
      <c r="E72" s="9" t="n"/>
      <c r="F72" s="12" t="n"/>
      <c r="G72" s="9" t="n"/>
      <c r="H72" s="13" t="n"/>
      <c r="I72" s="13" t="n"/>
      <c r="J72" s="13" t="n"/>
      <c r="K72" s="13" t="n"/>
      <c r="L72" s="13" t="n"/>
      <c r="M72" s="13" t="n"/>
      <c r="N72" s="13" t="n"/>
      <c r="O72" s="13" t="n"/>
      <c r="P72" s="14">
        <f>IF(A72="","",COUNT(H72:O72)/8)</f>
        <v/>
      </c>
      <c r="Q72" s="15">
        <f>IF(COUNT(H72:O72)=0,"",IF(LEN(IF(COUNT(H72,I72,J72)=3,IF(ABS(H72+I72-J72)&lt;=MAX(1,0.02*ABS(J72)),"","RBE &lt;&gt; PNB + frais "),"")&amp;IF(COUNT(J72,K72,L72)=3,IF(ABS(J72+K72-L72)&lt;=MAX(1,0.03*ABS(L72)),"","RAI &lt;&gt; RBE + coût du risque "),"")&amp;IF(COUNT(H72,M72)=2,IF(ABS(M72)&gt;ABS(H72),"RN &gt; PNB ",""),""))=0,"OK",IF(COUNT(H72,I72,J72)=3,IF(ABS(H72+I72-J72)&lt;=MAX(1,0.02*ABS(J72)),"","RBE &lt;&gt; PNB + frais "),"")&amp;IF(COUNT(J72,K72,L72)=3,IF(ABS(J72+K72-L72)&lt;=MAX(1,0.03*ABS(L72)),"","RAI &lt;&gt; RBE + coût du risque "),"")&amp;IF(COUNT(H72,M72)=2,IF(ABS(M72)&gt;ABS(H72),"RN &gt; PNB ",""),"")))</f>
        <v/>
      </c>
      <c r="R72" s="16">
        <f>IF(OR($A72="",H72="",$C72=""),"",IF(COUNTIFS($A$5:$A$315,$A72,$C$5:$C$315,$C72-1,$D$5:$D$315,$D72,H$5:H$315,"&lt;&gt;")=0,"",IF(OR(SUMIFS(H$5:H$315,$A$5:$A$315,$A72,$C$5:$C$315,$C72-1,$D$5:$D$315,$D72)=0,H72*SUMIFS(H$5:H$315,$A$5:$A$315,$A72,$C$5:$C$315,$C72-1,$D$5:$D$315,$D72)&lt;0),"n.s.",ABS(H72)/ABS(SUMIFS(H$5:H$315,$A$5:$A$315,$A72,$C$5:$C$315,$C72-1,$D$5:$D$315,$D72))-1)))</f>
        <v/>
      </c>
      <c r="S72" s="16">
        <f>IF(OR($A72="",I72="",$C72=""),"",IF(COUNTIFS($A$5:$A$315,$A72,$C$5:$C$315,$C72-1,$D$5:$D$315,$D72,I$5:I$315,"&lt;&gt;")=0,"",IF(OR(SUMIFS(I$5:I$315,$A$5:$A$315,$A72,$C$5:$C$315,$C72-1,$D$5:$D$315,$D72)=0,I72*SUMIFS(I$5:I$315,$A$5:$A$315,$A72,$C$5:$C$315,$C72-1,$D$5:$D$315,$D72)&lt;0),"n.s.",ABS(I72)/ABS(SUMIFS(I$5:I$315,$A$5:$A$315,$A72,$C$5:$C$315,$C72-1,$D$5:$D$315,$D72))-1)))</f>
        <v/>
      </c>
      <c r="T72" s="16">
        <f>IF(OR($A72="",J72="",$C72=""),"",IF(COUNTIFS($A$5:$A$315,$A72,$C$5:$C$315,$C72-1,$D$5:$D$315,$D72,J$5:J$315,"&lt;&gt;")=0,"",IF(OR(SUMIFS(J$5:J$315,$A$5:$A$315,$A72,$C$5:$C$315,$C72-1,$D$5:$D$315,$D72)=0,J72*SUMIFS(J$5:J$315,$A$5:$A$315,$A72,$C$5:$C$315,$C72-1,$D$5:$D$315,$D72)&lt;0),"n.s.",ABS(J72)/ABS(SUMIFS(J$5:J$315,$A$5:$A$315,$A72,$C$5:$C$315,$C72-1,$D$5:$D$315,$D72))-1)))</f>
        <v/>
      </c>
      <c r="U72" s="16">
        <f>IF(OR($A72="",K72="",$C72=""),"",IF(COUNTIFS($A$5:$A$315,$A72,$C$5:$C$315,$C72-1,$D$5:$D$315,$D72,K$5:K$315,"&lt;&gt;")=0,"",IF(OR(SUMIFS(K$5:K$315,$A$5:$A$315,$A72,$C$5:$C$315,$C72-1,$D$5:$D$315,$D72)=0,K72*SUMIFS(K$5:K$315,$A$5:$A$315,$A72,$C$5:$C$315,$C72-1,$D$5:$D$315,$D72)&lt;0),"n.s.",ABS(K72)/ABS(SUMIFS(K$5:K$315,$A$5:$A$315,$A72,$C$5:$C$315,$C72-1,$D$5:$D$315,$D72))-1)))</f>
        <v/>
      </c>
      <c r="V72" s="16">
        <f>IF(OR($A72="",L72="",$C72=""),"",IF(COUNTIFS($A$5:$A$315,$A72,$C$5:$C$315,$C72-1,$D$5:$D$315,$D72,L$5:L$315,"&lt;&gt;")=0,"",IF(OR(SUMIFS(L$5:L$315,$A$5:$A$315,$A72,$C$5:$C$315,$C72-1,$D$5:$D$315,$D72)=0,L72*SUMIFS(L$5:L$315,$A$5:$A$315,$A72,$C$5:$C$315,$C72-1,$D$5:$D$315,$D72)&lt;0),"n.s.",ABS(L72)/ABS(SUMIFS(L$5:L$315,$A$5:$A$315,$A72,$C$5:$C$315,$C72-1,$D$5:$D$315,$D72))-1)))</f>
        <v/>
      </c>
      <c r="W72" s="16">
        <f>IF(OR($A72="",M72="",$C72=""),"",IF(COUNTIFS($A$5:$A$315,$A72,$C$5:$C$315,$C72-1,$D$5:$D$315,$D72,M$5:M$315,"&lt;&gt;")=0,"",IF(OR(SUMIFS(M$5:M$315,$A$5:$A$315,$A72,$C$5:$C$315,$C72-1,$D$5:$D$315,$D72)=0,M72*SUMIFS(M$5:M$315,$A$5:$A$315,$A72,$C$5:$C$315,$C72-1,$D$5:$D$315,$D72)&lt;0),"n.s.",ABS(M72)/ABS(SUMIFS(M$5:M$315,$A$5:$A$315,$A72,$C$5:$C$315,$C72-1,$D$5:$D$315,$D72))-1)))</f>
        <v/>
      </c>
      <c r="X72" s="16">
        <f>IF(OR($A72="",N72="",$C72=""),"",IF(COUNTIFS($A$5:$A$315,$A72,$C$5:$C$315,$C72-1,$D$5:$D$315,$D72,N$5:N$315,"&lt;&gt;")=0,"",IF(OR(SUMIFS(N$5:N$315,$A$5:$A$315,$A72,$C$5:$C$315,$C72-1,$D$5:$D$315,$D72)=0,N72*SUMIFS(N$5:N$315,$A$5:$A$315,$A72,$C$5:$C$315,$C72-1,$D$5:$D$315,$D72)&lt;0),"n.s.",ABS(N72)/ABS(SUMIFS(N$5:N$315,$A$5:$A$315,$A72,$C$5:$C$315,$C72-1,$D$5:$D$315,$D72))-1)))</f>
        <v/>
      </c>
      <c r="Y72" s="16">
        <f>IF(OR($A72="",O72="",$C72=""),"",IF(COUNTIFS($A$5:$A$315,$A72,$C$5:$C$315,$C72-1,$D$5:$D$315,$D72,O$5:O$315,"&lt;&gt;")=0,"",IF(OR(SUMIFS(O$5:O$315,$A$5:$A$315,$A72,$C$5:$C$315,$C72-1,$D$5:$D$315,$D72)=0,O72*SUMIFS(O$5:O$315,$A$5:$A$315,$A72,$C$5:$C$315,$C72-1,$D$5:$D$315,$D72)&lt;0),"n.s.",ABS(O72)/ABS(SUMIFS(O$5:O$315,$A$5:$A$315,$A72,$C$5:$C$315,$C72-1,$D$5:$D$315,$D72))-1)))</f>
        <v/>
      </c>
    </row>
    <row r="73">
      <c r="A73" s="9" t="inlineStr">
        <is>
          <t>BOAB</t>
        </is>
      </c>
      <c r="B73" s="10">
        <f>IF(A73="","",IFERROR(VLOOKUP(A73,Titres!$A$2:$B$400,2,FALSE),"Ticker inconnu"))</f>
        <v/>
      </c>
      <c r="C73" s="11" t="n">
        <v>2025</v>
      </c>
      <c r="D73" s="11" t="inlineStr">
        <is>
          <t>T3</t>
        </is>
      </c>
      <c r="E73" s="9" t="n"/>
      <c r="F73" s="12" t="n"/>
      <c r="G73" s="9" t="n"/>
      <c r="H73" s="13" t="n"/>
      <c r="I73" s="13" t="n"/>
      <c r="J73" s="13" t="n"/>
      <c r="K73" s="13" t="n"/>
      <c r="L73" s="13" t="n"/>
      <c r="M73" s="13" t="n"/>
      <c r="N73" s="13" t="n"/>
      <c r="O73" s="13" t="n"/>
      <c r="P73" s="14">
        <f>IF(A73="","",COUNT(H73:O73)/8)</f>
        <v/>
      </c>
      <c r="Q73" s="15">
        <f>IF(COUNT(H73:O73)=0,"",IF(LEN(IF(COUNT(H73,I73,J73)=3,IF(ABS(H73+I73-J73)&lt;=MAX(1,0.02*ABS(J73)),"","RBE &lt;&gt; PNB + frais "),"")&amp;IF(COUNT(J73,K73,L73)=3,IF(ABS(J73+K73-L73)&lt;=MAX(1,0.03*ABS(L73)),"","RAI &lt;&gt; RBE + coût du risque "),"")&amp;IF(COUNT(H73,M73)=2,IF(ABS(M73)&gt;ABS(H73),"RN &gt; PNB ",""),""))=0,"OK",IF(COUNT(H73,I73,J73)=3,IF(ABS(H73+I73-J73)&lt;=MAX(1,0.02*ABS(J73)),"","RBE &lt;&gt; PNB + frais "),"")&amp;IF(COUNT(J73,K73,L73)=3,IF(ABS(J73+K73-L73)&lt;=MAX(1,0.03*ABS(L73)),"","RAI &lt;&gt; RBE + coût du risque "),"")&amp;IF(COUNT(H73,M73)=2,IF(ABS(M73)&gt;ABS(H73),"RN &gt; PNB ",""),"")))</f>
        <v/>
      </c>
      <c r="R73" s="16">
        <f>IF(OR($A73="",H73="",$C73=""),"",IF(COUNTIFS($A$5:$A$315,$A73,$C$5:$C$315,$C73-1,$D$5:$D$315,$D73,H$5:H$315,"&lt;&gt;")=0,"",IF(OR(SUMIFS(H$5:H$315,$A$5:$A$315,$A73,$C$5:$C$315,$C73-1,$D$5:$D$315,$D73)=0,H73*SUMIFS(H$5:H$315,$A$5:$A$315,$A73,$C$5:$C$315,$C73-1,$D$5:$D$315,$D73)&lt;0),"n.s.",ABS(H73)/ABS(SUMIFS(H$5:H$315,$A$5:$A$315,$A73,$C$5:$C$315,$C73-1,$D$5:$D$315,$D73))-1)))</f>
        <v/>
      </c>
      <c r="S73" s="16">
        <f>IF(OR($A73="",I73="",$C73=""),"",IF(COUNTIFS($A$5:$A$315,$A73,$C$5:$C$315,$C73-1,$D$5:$D$315,$D73,I$5:I$315,"&lt;&gt;")=0,"",IF(OR(SUMIFS(I$5:I$315,$A$5:$A$315,$A73,$C$5:$C$315,$C73-1,$D$5:$D$315,$D73)=0,I73*SUMIFS(I$5:I$315,$A$5:$A$315,$A73,$C$5:$C$315,$C73-1,$D$5:$D$315,$D73)&lt;0),"n.s.",ABS(I73)/ABS(SUMIFS(I$5:I$315,$A$5:$A$315,$A73,$C$5:$C$315,$C73-1,$D$5:$D$315,$D73))-1)))</f>
        <v/>
      </c>
      <c r="T73" s="16">
        <f>IF(OR($A73="",J73="",$C73=""),"",IF(COUNTIFS($A$5:$A$315,$A73,$C$5:$C$315,$C73-1,$D$5:$D$315,$D73,J$5:J$315,"&lt;&gt;")=0,"",IF(OR(SUMIFS(J$5:J$315,$A$5:$A$315,$A73,$C$5:$C$315,$C73-1,$D$5:$D$315,$D73)=0,J73*SUMIFS(J$5:J$315,$A$5:$A$315,$A73,$C$5:$C$315,$C73-1,$D$5:$D$315,$D73)&lt;0),"n.s.",ABS(J73)/ABS(SUMIFS(J$5:J$315,$A$5:$A$315,$A73,$C$5:$C$315,$C73-1,$D$5:$D$315,$D73))-1)))</f>
        <v/>
      </c>
      <c r="U73" s="16">
        <f>IF(OR($A73="",K73="",$C73=""),"",IF(COUNTIFS($A$5:$A$315,$A73,$C$5:$C$315,$C73-1,$D$5:$D$315,$D73,K$5:K$315,"&lt;&gt;")=0,"",IF(OR(SUMIFS(K$5:K$315,$A$5:$A$315,$A73,$C$5:$C$315,$C73-1,$D$5:$D$315,$D73)=0,K73*SUMIFS(K$5:K$315,$A$5:$A$315,$A73,$C$5:$C$315,$C73-1,$D$5:$D$315,$D73)&lt;0),"n.s.",ABS(K73)/ABS(SUMIFS(K$5:K$315,$A$5:$A$315,$A73,$C$5:$C$315,$C73-1,$D$5:$D$315,$D73))-1)))</f>
        <v/>
      </c>
      <c r="V73" s="16">
        <f>IF(OR($A73="",L73="",$C73=""),"",IF(COUNTIFS($A$5:$A$315,$A73,$C$5:$C$315,$C73-1,$D$5:$D$315,$D73,L$5:L$315,"&lt;&gt;")=0,"",IF(OR(SUMIFS(L$5:L$315,$A$5:$A$315,$A73,$C$5:$C$315,$C73-1,$D$5:$D$315,$D73)=0,L73*SUMIFS(L$5:L$315,$A$5:$A$315,$A73,$C$5:$C$315,$C73-1,$D$5:$D$315,$D73)&lt;0),"n.s.",ABS(L73)/ABS(SUMIFS(L$5:L$315,$A$5:$A$315,$A73,$C$5:$C$315,$C73-1,$D$5:$D$315,$D73))-1)))</f>
        <v/>
      </c>
      <c r="W73" s="16">
        <f>IF(OR($A73="",M73="",$C73=""),"",IF(COUNTIFS($A$5:$A$315,$A73,$C$5:$C$315,$C73-1,$D$5:$D$315,$D73,M$5:M$315,"&lt;&gt;")=0,"",IF(OR(SUMIFS(M$5:M$315,$A$5:$A$315,$A73,$C$5:$C$315,$C73-1,$D$5:$D$315,$D73)=0,M73*SUMIFS(M$5:M$315,$A$5:$A$315,$A73,$C$5:$C$315,$C73-1,$D$5:$D$315,$D73)&lt;0),"n.s.",ABS(M73)/ABS(SUMIFS(M$5:M$315,$A$5:$A$315,$A73,$C$5:$C$315,$C73-1,$D$5:$D$315,$D73))-1)))</f>
        <v/>
      </c>
      <c r="X73" s="16">
        <f>IF(OR($A73="",N73="",$C73=""),"",IF(COUNTIFS($A$5:$A$315,$A73,$C$5:$C$315,$C73-1,$D$5:$D$315,$D73,N$5:N$315,"&lt;&gt;")=0,"",IF(OR(SUMIFS(N$5:N$315,$A$5:$A$315,$A73,$C$5:$C$315,$C73-1,$D$5:$D$315,$D73)=0,N73*SUMIFS(N$5:N$315,$A$5:$A$315,$A73,$C$5:$C$315,$C73-1,$D$5:$D$315,$D73)&lt;0),"n.s.",ABS(N73)/ABS(SUMIFS(N$5:N$315,$A$5:$A$315,$A73,$C$5:$C$315,$C73-1,$D$5:$D$315,$D73))-1)))</f>
        <v/>
      </c>
      <c r="Y73" s="16">
        <f>IF(OR($A73="",O73="",$C73=""),"",IF(COUNTIFS($A$5:$A$315,$A73,$C$5:$C$315,$C73-1,$D$5:$D$315,$D73,O$5:O$315,"&lt;&gt;")=0,"",IF(OR(SUMIFS(O$5:O$315,$A$5:$A$315,$A73,$C$5:$C$315,$C73-1,$D$5:$D$315,$D73)=0,O73*SUMIFS(O$5:O$315,$A$5:$A$315,$A73,$C$5:$C$315,$C73-1,$D$5:$D$315,$D73)&lt;0),"n.s.",ABS(O73)/ABS(SUMIFS(O$5:O$315,$A$5:$A$315,$A73,$C$5:$C$315,$C73-1,$D$5:$D$315,$D73))-1)))</f>
        <v/>
      </c>
    </row>
    <row r="74">
      <c r="A74" s="9" t="inlineStr">
        <is>
          <t>BOAB</t>
        </is>
      </c>
      <c r="B74" s="10">
        <f>IF(A74="","",IFERROR(VLOOKUP(A74,Titres!$A$2:$B$400,2,FALSE),"Ticker inconnu"))</f>
        <v/>
      </c>
      <c r="C74" s="11" t="n">
        <v>2026</v>
      </c>
      <c r="D74" s="11" t="inlineStr">
        <is>
          <t>T1</t>
        </is>
      </c>
      <c r="E74" s="9" t="n"/>
      <c r="F74" s="12" t="n"/>
      <c r="G74" s="9" t="n"/>
      <c r="H74" s="13" t="n"/>
      <c r="I74" s="13" t="n"/>
      <c r="J74" s="13" t="n"/>
      <c r="K74" s="13" t="n"/>
      <c r="L74" s="13" t="n"/>
      <c r="M74" s="13" t="n"/>
      <c r="N74" s="13" t="n"/>
      <c r="O74" s="13" t="n"/>
      <c r="P74" s="14">
        <f>IF(A74="","",COUNT(H74:O74)/8)</f>
        <v/>
      </c>
      <c r="Q74" s="15">
        <f>IF(COUNT(H74:O74)=0,"",IF(LEN(IF(COUNT(H74,I74,J74)=3,IF(ABS(H74+I74-J74)&lt;=MAX(1,0.02*ABS(J74)),"","RBE &lt;&gt; PNB + frais "),"")&amp;IF(COUNT(J74,K74,L74)=3,IF(ABS(J74+K74-L74)&lt;=MAX(1,0.03*ABS(L74)),"","RAI &lt;&gt; RBE + coût du risque "),"")&amp;IF(COUNT(H74,M74)=2,IF(ABS(M74)&gt;ABS(H74),"RN &gt; PNB ",""),""))=0,"OK",IF(COUNT(H74,I74,J74)=3,IF(ABS(H74+I74-J74)&lt;=MAX(1,0.02*ABS(J74)),"","RBE &lt;&gt; PNB + frais "),"")&amp;IF(COUNT(J74,K74,L74)=3,IF(ABS(J74+K74-L74)&lt;=MAX(1,0.03*ABS(L74)),"","RAI &lt;&gt; RBE + coût du risque "),"")&amp;IF(COUNT(H74,M74)=2,IF(ABS(M74)&gt;ABS(H74),"RN &gt; PNB ",""),"")))</f>
        <v/>
      </c>
      <c r="R74" s="16">
        <f>IF(OR($A74="",H74="",$C74=""),"",IF(COUNTIFS($A$5:$A$315,$A74,$C$5:$C$315,$C74-1,$D$5:$D$315,$D74,H$5:H$315,"&lt;&gt;")=0,"",IF(OR(SUMIFS(H$5:H$315,$A$5:$A$315,$A74,$C$5:$C$315,$C74-1,$D$5:$D$315,$D74)=0,H74*SUMIFS(H$5:H$315,$A$5:$A$315,$A74,$C$5:$C$315,$C74-1,$D$5:$D$315,$D74)&lt;0),"n.s.",ABS(H74)/ABS(SUMIFS(H$5:H$315,$A$5:$A$315,$A74,$C$5:$C$315,$C74-1,$D$5:$D$315,$D74))-1)))</f>
        <v/>
      </c>
      <c r="S74" s="16">
        <f>IF(OR($A74="",I74="",$C74=""),"",IF(COUNTIFS($A$5:$A$315,$A74,$C$5:$C$315,$C74-1,$D$5:$D$315,$D74,I$5:I$315,"&lt;&gt;")=0,"",IF(OR(SUMIFS(I$5:I$315,$A$5:$A$315,$A74,$C$5:$C$315,$C74-1,$D$5:$D$315,$D74)=0,I74*SUMIFS(I$5:I$315,$A$5:$A$315,$A74,$C$5:$C$315,$C74-1,$D$5:$D$315,$D74)&lt;0),"n.s.",ABS(I74)/ABS(SUMIFS(I$5:I$315,$A$5:$A$315,$A74,$C$5:$C$315,$C74-1,$D$5:$D$315,$D74))-1)))</f>
        <v/>
      </c>
      <c r="T74" s="16">
        <f>IF(OR($A74="",J74="",$C74=""),"",IF(COUNTIFS($A$5:$A$315,$A74,$C$5:$C$315,$C74-1,$D$5:$D$315,$D74,J$5:J$315,"&lt;&gt;")=0,"",IF(OR(SUMIFS(J$5:J$315,$A$5:$A$315,$A74,$C$5:$C$315,$C74-1,$D$5:$D$315,$D74)=0,J74*SUMIFS(J$5:J$315,$A$5:$A$315,$A74,$C$5:$C$315,$C74-1,$D$5:$D$315,$D74)&lt;0),"n.s.",ABS(J74)/ABS(SUMIFS(J$5:J$315,$A$5:$A$315,$A74,$C$5:$C$315,$C74-1,$D$5:$D$315,$D74))-1)))</f>
        <v/>
      </c>
      <c r="U74" s="16">
        <f>IF(OR($A74="",K74="",$C74=""),"",IF(COUNTIFS($A$5:$A$315,$A74,$C$5:$C$315,$C74-1,$D$5:$D$315,$D74,K$5:K$315,"&lt;&gt;")=0,"",IF(OR(SUMIFS(K$5:K$315,$A$5:$A$315,$A74,$C$5:$C$315,$C74-1,$D$5:$D$315,$D74)=0,K74*SUMIFS(K$5:K$315,$A$5:$A$315,$A74,$C$5:$C$315,$C74-1,$D$5:$D$315,$D74)&lt;0),"n.s.",ABS(K74)/ABS(SUMIFS(K$5:K$315,$A$5:$A$315,$A74,$C$5:$C$315,$C74-1,$D$5:$D$315,$D74))-1)))</f>
        <v/>
      </c>
      <c r="V74" s="16">
        <f>IF(OR($A74="",L74="",$C74=""),"",IF(COUNTIFS($A$5:$A$315,$A74,$C$5:$C$315,$C74-1,$D$5:$D$315,$D74,L$5:L$315,"&lt;&gt;")=0,"",IF(OR(SUMIFS(L$5:L$315,$A$5:$A$315,$A74,$C$5:$C$315,$C74-1,$D$5:$D$315,$D74)=0,L74*SUMIFS(L$5:L$315,$A$5:$A$315,$A74,$C$5:$C$315,$C74-1,$D$5:$D$315,$D74)&lt;0),"n.s.",ABS(L74)/ABS(SUMIFS(L$5:L$315,$A$5:$A$315,$A74,$C$5:$C$315,$C74-1,$D$5:$D$315,$D74))-1)))</f>
        <v/>
      </c>
      <c r="W74" s="16">
        <f>IF(OR($A74="",M74="",$C74=""),"",IF(COUNTIFS($A$5:$A$315,$A74,$C$5:$C$315,$C74-1,$D$5:$D$315,$D74,M$5:M$315,"&lt;&gt;")=0,"",IF(OR(SUMIFS(M$5:M$315,$A$5:$A$315,$A74,$C$5:$C$315,$C74-1,$D$5:$D$315,$D74)=0,M74*SUMIFS(M$5:M$315,$A$5:$A$315,$A74,$C$5:$C$315,$C74-1,$D$5:$D$315,$D74)&lt;0),"n.s.",ABS(M74)/ABS(SUMIFS(M$5:M$315,$A$5:$A$315,$A74,$C$5:$C$315,$C74-1,$D$5:$D$315,$D74))-1)))</f>
        <v/>
      </c>
      <c r="X74" s="16">
        <f>IF(OR($A74="",N74="",$C74=""),"",IF(COUNTIFS($A$5:$A$315,$A74,$C$5:$C$315,$C74-1,$D$5:$D$315,$D74,N$5:N$315,"&lt;&gt;")=0,"",IF(OR(SUMIFS(N$5:N$315,$A$5:$A$315,$A74,$C$5:$C$315,$C74-1,$D$5:$D$315,$D74)=0,N74*SUMIFS(N$5:N$315,$A$5:$A$315,$A74,$C$5:$C$315,$C74-1,$D$5:$D$315,$D74)&lt;0),"n.s.",ABS(N74)/ABS(SUMIFS(N$5:N$315,$A$5:$A$315,$A74,$C$5:$C$315,$C74-1,$D$5:$D$315,$D74))-1)))</f>
        <v/>
      </c>
      <c r="Y74" s="16">
        <f>IF(OR($A74="",O74="",$C74=""),"",IF(COUNTIFS($A$5:$A$315,$A74,$C$5:$C$315,$C74-1,$D$5:$D$315,$D74,O$5:O$315,"&lt;&gt;")=0,"",IF(OR(SUMIFS(O$5:O$315,$A$5:$A$315,$A74,$C$5:$C$315,$C74-1,$D$5:$D$315,$D74)=0,O74*SUMIFS(O$5:O$315,$A$5:$A$315,$A74,$C$5:$C$315,$C74-1,$D$5:$D$315,$D74)&lt;0),"n.s.",ABS(O74)/ABS(SUMIFS(O$5:O$315,$A$5:$A$315,$A74,$C$5:$C$315,$C74-1,$D$5:$D$315,$D74))-1)))</f>
        <v/>
      </c>
    </row>
    <row r="75">
      <c r="A75" s="9" t="inlineStr">
        <is>
          <t>BOAB</t>
        </is>
      </c>
      <c r="B75" s="10">
        <f>IF(A75="","",IFERROR(VLOOKUP(A75,Titres!$A$2:$B$400,2,FALSE),"Ticker inconnu"))</f>
        <v/>
      </c>
      <c r="C75" s="11" t="n">
        <v>2026</v>
      </c>
      <c r="D75" s="11" t="inlineStr">
        <is>
          <t>S1</t>
        </is>
      </c>
      <c r="E75" s="9" t="n"/>
      <c r="F75" s="12" t="n"/>
      <c r="G75" s="9" t="n"/>
      <c r="H75" s="13" t="n"/>
      <c r="I75" s="13" t="n"/>
      <c r="J75" s="13" t="n"/>
      <c r="K75" s="13" t="n"/>
      <c r="L75" s="13" t="n"/>
      <c r="M75" s="13" t="n"/>
      <c r="N75" s="13" t="n"/>
      <c r="O75" s="13" t="n"/>
      <c r="P75" s="14">
        <f>IF(A75="","",COUNT(H75:O75)/8)</f>
        <v/>
      </c>
      <c r="Q75" s="15">
        <f>IF(COUNT(H75:O75)=0,"",IF(LEN(IF(COUNT(H75,I75,J75)=3,IF(ABS(H75+I75-J75)&lt;=MAX(1,0.02*ABS(J75)),"","RBE &lt;&gt; PNB + frais "),"")&amp;IF(COUNT(J75,K75,L75)=3,IF(ABS(J75+K75-L75)&lt;=MAX(1,0.03*ABS(L75)),"","RAI &lt;&gt; RBE + coût du risque "),"")&amp;IF(COUNT(H75,M75)=2,IF(ABS(M75)&gt;ABS(H75),"RN &gt; PNB ",""),""))=0,"OK",IF(COUNT(H75,I75,J75)=3,IF(ABS(H75+I75-J75)&lt;=MAX(1,0.02*ABS(J75)),"","RBE &lt;&gt; PNB + frais "),"")&amp;IF(COUNT(J75,K75,L75)=3,IF(ABS(J75+K75-L75)&lt;=MAX(1,0.03*ABS(L75)),"","RAI &lt;&gt; RBE + coût du risque "),"")&amp;IF(COUNT(H75,M75)=2,IF(ABS(M75)&gt;ABS(H75),"RN &gt; PNB ",""),"")))</f>
        <v/>
      </c>
      <c r="R75" s="16">
        <f>IF(OR($A75="",H75="",$C75=""),"",IF(COUNTIFS($A$5:$A$315,$A75,$C$5:$C$315,$C75-1,$D$5:$D$315,$D75,H$5:H$315,"&lt;&gt;")=0,"",IF(OR(SUMIFS(H$5:H$315,$A$5:$A$315,$A75,$C$5:$C$315,$C75-1,$D$5:$D$315,$D75)=0,H75*SUMIFS(H$5:H$315,$A$5:$A$315,$A75,$C$5:$C$315,$C75-1,$D$5:$D$315,$D75)&lt;0),"n.s.",ABS(H75)/ABS(SUMIFS(H$5:H$315,$A$5:$A$315,$A75,$C$5:$C$315,$C75-1,$D$5:$D$315,$D75))-1)))</f>
        <v/>
      </c>
      <c r="S75" s="16">
        <f>IF(OR($A75="",I75="",$C75=""),"",IF(COUNTIFS($A$5:$A$315,$A75,$C$5:$C$315,$C75-1,$D$5:$D$315,$D75,I$5:I$315,"&lt;&gt;")=0,"",IF(OR(SUMIFS(I$5:I$315,$A$5:$A$315,$A75,$C$5:$C$315,$C75-1,$D$5:$D$315,$D75)=0,I75*SUMIFS(I$5:I$315,$A$5:$A$315,$A75,$C$5:$C$315,$C75-1,$D$5:$D$315,$D75)&lt;0),"n.s.",ABS(I75)/ABS(SUMIFS(I$5:I$315,$A$5:$A$315,$A75,$C$5:$C$315,$C75-1,$D$5:$D$315,$D75))-1)))</f>
        <v/>
      </c>
      <c r="T75" s="16">
        <f>IF(OR($A75="",J75="",$C75=""),"",IF(COUNTIFS($A$5:$A$315,$A75,$C$5:$C$315,$C75-1,$D$5:$D$315,$D75,J$5:J$315,"&lt;&gt;")=0,"",IF(OR(SUMIFS(J$5:J$315,$A$5:$A$315,$A75,$C$5:$C$315,$C75-1,$D$5:$D$315,$D75)=0,J75*SUMIFS(J$5:J$315,$A$5:$A$315,$A75,$C$5:$C$315,$C75-1,$D$5:$D$315,$D75)&lt;0),"n.s.",ABS(J75)/ABS(SUMIFS(J$5:J$315,$A$5:$A$315,$A75,$C$5:$C$315,$C75-1,$D$5:$D$315,$D75))-1)))</f>
        <v/>
      </c>
      <c r="U75" s="16">
        <f>IF(OR($A75="",K75="",$C75=""),"",IF(COUNTIFS($A$5:$A$315,$A75,$C$5:$C$315,$C75-1,$D$5:$D$315,$D75,K$5:K$315,"&lt;&gt;")=0,"",IF(OR(SUMIFS(K$5:K$315,$A$5:$A$315,$A75,$C$5:$C$315,$C75-1,$D$5:$D$315,$D75)=0,K75*SUMIFS(K$5:K$315,$A$5:$A$315,$A75,$C$5:$C$315,$C75-1,$D$5:$D$315,$D75)&lt;0),"n.s.",ABS(K75)/ABS(SUMIFS(K$5:K$315,$A$5:$A$315,$A75,$C$5:$C$315,$C75-1,$D$5:$D$315,$D75))-1)))</f>
        <v/>
      </c>
      <c r="V75" s="16">
        <f>IF(OR($A75="",L75="",$C75=""),"",IF(COUNTIFS($A$5:$A$315,$A75,$C$5:$C$315,$C75-1,$D$5:$D$315,$D75,L$5:L$315,"&lt;&gt;")=0,"",IF(OR(SUMIFS(L$5:L$315,$A$5:$A$315,$A75,$C$5:$C$315,$C75-1,$D$5:$D$315,$D75)=0,L75*SUMIFS(L$5:L$315,$A$5:$A$315,$A75,$C$5:$C$315,$C75-1,$D$5:$D$315,$D75)&lt;0),"n.s.",ABS(L75)/ABS(SUMIFS(L$5:L$315,$A$5:$A$315,$A75,$C$5:$C$315,$C75-1,$D$5:$D$315,$D75))-1)))</f>
        <v/>
      </c>
      <c r="W75" s="16">
        <f>IF(OR($A75="",M75="",$C75=""),"",IF(COUNTIFS($A$5:$A$315,$A75,$C$5:$C$315,$C75-1,$D$5:$D$315,$D75,M$5:M$315,"&lt;&gt;")=0,"",IF(OR(SUMIFS(M$5:M$315,$A$5:$A$315,$A75,$C$5:$C$315,$C75-1,$D$5:$D$315,$D75)=0,M75*SUMIFS(M$5:M$315,$A$5:$A$315,$A75,$C$5:$C$315,$C75-1,$D$5:$D$315,$D75)&lt;0),"n.s.",ABS(M75)/ABS(SUMIFS(M$5:M$315,$A$5:$A$315,$A75,$C$5:$C$315,$C75-1,$D$5:$D$315,$D75))-1)))</f>
        <v/>
      </c>
      <c r="X75" s="16">
        <f>IF(OR($A75="",N75="",$C75=""),"",IF(COUNTIFS($A$5:$A$315,$A75,$C$5:$C$315,$C75-1,$D$5:$D$315,$D75,N$5:N$315,"&lt;&gt;")=0,"",IF(OR(SUMIFS(N$5:N$315,$A$5:$A$315,$A75,$C$5:$C$315,$C75-1,$D$5:$D$315,$D75)=0,N75*SUMIFS(N$5:N$315,$A$5:$A$315,$A75,$C$5:$C$315,$C75-1,$D$5:$D$315,$D75)&lt;0),"n.s.",ABS(N75)/ABS(SUMIFS(N$5:N$315,$A$5:$A$315,$A75,$C$5:$C$315,$C75-1,$D$5:$D$315,$D75))-1)))</f>
        <v/>
      </c>
      <c r="Y75" s="16">
        <f>IF(OR($A75="",O75="",$C75=""),"",IF(COUNTIFS($A$5:$A$315,$A75,$C$5:$C$315,$C75-1,$D$5:$D$315,$D75,O$5:O$315,"&lt;&gt;")=0,"",IF(OR(SUMIFS(O$5:O$315,$A$5:$A$315,$A75,$C$5:$C$315,$C75-1,$D$5:$D$315,$D75)=0,O75*SUMIFS(O$5:O$315,$A$5:$A$315,$A75,$C$5:$C$315,$C75-1,$D$5:$D$315,$D75)&lt;0),"n.s.",ABS(O75)/ABS(SUMIFS(O$5:O$315,$A$5:$A$315,$A75,$C$5:$C$315,$C75-1,$D$5:$D$315,$D75))-1)))</f>
        <v/>
      </c>
    </row>
    <row r="76">
      <c r="A76" s="9" t="inlineStr">
        <is>
          <t>BOAB</t>
        </is>
      </c>
      <c r="B76" s="10">
        <f>IF(A76="","",IFERROR(VLOOKUP(A76,Titres!$A$2:$B$400,2,FALSE),"Ticker inconnu"))</f>
        <v/>
      </c>
      <c r="C76" s="11" t="n">
        <v>2026</v>
      </c>
      <c r="D76" s="11" t="inlineStr">
        <is>
          <t>T3</t>
        </is>
      </c>
      <c r="E76" s="9" t="n"/>
      <c r="F76" s="12" t="n"/>
      <c r="G76" s="9" t="n"/>
      <c r="H76" s="13" t="n"/>
      <c r="I76" s="13" t="n"/>
      <c r="J76" s="13" t="n"/>
      <c r="K76" s="13" t="n"/>
      <c r="L76" s="13" t="n"/>
      <c r="M76" s="13" t="n"/>
      <c r="N76" s="13" t="n"/>
      <c r="O76" s="13" t="n"/>
      <c r="P76" s="14">
        <f>IF(A76="","",COUNT(H76:O76)/8)</f>
        <v/>
      </c>
      <c r="Q76" s="15">
        <f>IF(COUNT(H76:O76)=0,"",IF(LEN(IF(COUNT(H76,I76,J76)=3,IF(ABS(H76+I76-J76)&lt;=MAX(1,0.02*ABS(J76)),"","RBE &lt;&gt; PNB + frais "),"")&amp;IF(COUNT(J76,K76,L76)=3,IF(ABS(J76+K76-L76)&lt;=MAX(1,0.03*ABS(L76)),"","RAI &lt;&gt; RBE + coût du risque "),"")&amp;IF(COUNT(H76,M76)=2,IF(ABS(M76)&gt;ABS(H76),"RN &gt; PNB ",""),""))=0,"OK",IF(COUNT(H76,I76,J76)=3,IF(ABS(H76+I76-J76)&lt;=MAX(1,0.02*ABS(J76)),"","RBE &lt;&gt; PNB + frais "),"")&amp;IF(COUNT(J76,K76,L76)=3,IF(ABS(J76+K76-L76)&lt;=MAX(1,0.03*ABS(L76)),"","RAI &lt;&gt; RBE + coût du risque "),"")&amp;IF(COUNT(H76,M76)=2,IF(ABS(M76)&gt;ABS(H76),"RN &gt; PNB ",""),"")))</f>
        <v/>
      </c>
      <c r="R76" s="16">
        <f>IF(OR($A76="",H76="",$C76=""),"",IF(COUNTIFS($A$5:$A$315,$A76,$C$5:$C$315,$C76-1,$D$5:$D$315,$D76,H$5:H$315,"&lt;&gt;")=0,"",IF(OR(SUMIFS(H$5:H$315,$A$5:$A$315,$A76,$C$5:$C$315,$C76-1,$D$5:$D$315,$D76)=0,H76*SUMIFS(H$5:H$315,$A$5:$A$315,$A76,$C$5:$C$315,$C76-1,$D$5:$D$315,$D76)&lt;0),"n.s.",ABS(H76)/ABS(SUMIFS(H$5:H$315,$A$5:$A$315,$A76,$C$5:$C$315,$C76-1,$D$5:$D$315,$D76))-1)))</f>
        <v/>
      </c>
      <c r="S76" s="16">
        <f>IF(OR($A76="",I76="",$C76=""),"",IF(COUNTIFS($A$5:$A$315,$A76,$C$5:$C$315,$C76-1,$D$5:$D$315,$D76,I$5:I$315,"&lt;&gt;")=0,"",IF(OR(SUMIFS(I$5:I$315,$A$5:$A$315,$A76,$C$5:$C$315,$C76-1,$D$5:$D$315,$D76)=0,I76*SUMIFS(I$5:I$315,$A$5:$A$315,$A76,$C$5:$C$315,$C76-1,$D$5:$D$315,$D76)&lt;0),"n.s.",ABS(I76)/ABS(SUMIFS(I$5:I$315,$A$5:$A$315,$A76,$C$5:$C$315,$C76-1,$D$5:$D$315,$D76))-1)))</f>
        <v/>
      </c>
      <c r="T76" s="16">
        <f>IF(OR($A76="",J76="",$C76=""),"",IF(COUNTIFS($A$5:$A$315,$A76,$C$5:$C$315,$C76-1,$D$5:$D$315,$D76,J$5:J$315,"&lt;&gt;")=0,"",IF(OR(SUMIFS(J$5:J$315,$A$5:$A$315,$A76,$C$5:$C$315,$C76-1,$D$5:$D$315,$D76)=0,J76*SUMIFS(J$5:J$315,$A$5:$A$315,$A76,$C$5:$C$315,$C76-1,$D$5:$D$315,$D76)&lt;0),"n.s.",ABS(J76)/ABS(SUMIFS(J$5:J$315,$A$5:$A$315,$A76,$C$5:$C$315,$C76-1,$D$5:$D$315,$D76))-1)))</f>
        <v/>
      </c>
      <c r="U76" s="16">
        <f>IF(OR($A76="",K76="",$C76=""),"",IF(COUNTIFS($A$5:$A$315,$A76,$C$5:$C$315,$C76-1,$D$5:$D$315,$D76,K$5:K$315,"&lt;&gt;")=0,"",IF(OR(SUMIFS(K$5:K$315,$A$5:$A$315,$A76,$C$5:$C$315,$C76-1,$D$5:$D$315,$D76)=0,K76*SUMIFS(K$5:K$315,$A$5:$A$315,$A76,$C$5:$C$315,$C76-1,$D$5:$D$315,$D76)&lt;0),"n.s.",ABS(K76)/ABS(SUMIFS(K$5:K$315,$A$5:$A$315,$A76,$C$5:$C$315,$C76-1,$D$5:$D$315,$D76))-1)))</f>
        <v/>
      </c>
      <c r="V76" s="16">
        <f>IF(OR($A76="",L76="",$C76=""),"",IF(COUNTIFS($A$5:$A$315,$A76,$C$5:$C$315,$C76-1,$D$5:$D$315,$D76,L$5:L$315,"&lt;&gt;")=0,"",IF(OR(SUMIFS(L$5:L$315,$A$5:$A$315,$A76,$C$5:$C$315,$C76-1,$D$5:$D$315,$D76)=0,L76*SUMIFS(L$5:L$315,$A$5:$A$315,$A76,$C$5:$C$315,$C76-1,$D$5:$D$315,$D76)&lt;0),"n.s.",ABS(L76)/ABS(SUMIFS(L$5:L$315,$A$5:$A$315,$A76,$C$5:$C$315,$C76-1,$D$5:$D$315,$D76))-1)))</f>
        <v/>
      </c>
      <c r="W76" s="16">
        <f>IF(OR($A76="",M76="",$C76=""),"",IF(COUNTIFS($A$5:$A$315,$A76,$C$5:$C$315,$C76-1,$D$5:$D$315,$D76,M$5:M$315,"&lt;&gt;")=0,"",IF(OR(SUMIFS(M$5:M$315,$A$5:$A$315,$A76,$C$5:$C$315,$C76-1,$D$5:$D$315,$D76)=0,M76*SUMIFS(M$5:M$315,$A$5:$A$315,$A76,$C$5:$C$315,$C76-1,$D$5:$D$315,$D76)&lt;0),"n.s.",ABS(M76)/ABS(SUMIFS(M$5:M$315,$A$5:$A$315,$A76,$C$5:$C$315,$C76-1,$D$5:$D$315,$D76))-1)))</f>
        <v/>
      </c>
      <c r="X76" s="16">
        <f>IF(OR($A76="",N76="",$C76=""),"",IF(COUNTIFS($A$5:$A$315,$A76,$C$5:$C$315,$C76-1,$D$5:$D$315,$D76,N$5:N$315,"&lt;&gt;")=0,"",IF(OR(SUMIFS(N$5:N$315,$A$5:$A$315,$A76,$C$5:$C$315,$C76-1,$D$5:$D$315,$D76)=0,N76*SUMIFS(N$5:N$315,$A$5:$A$315,$A76,$C$5:$C$315,$C76-1,$D$5:$D$315,$D76)&lt;0),"n.s.",ABS(N76)/ABS(SUMIFS(N$5:N$315,$A$5:$A$315,$A76,$C$5:$C$315,$C76-1,$D$5:$D$315,$D76))-1)))</f>
        <v/>
      </c>
      <c r="Y76" s="16">
        <f>IF(OR($A76="",O76="",$C76=""),"",IF(COUNTIFS($A$5:$A$315,$A76,$C$5:$C$315,$C76-1,$D$5:$D$315,$D76,O$5:O$315,"&lt;&gt;")=0,"",IF(OR(SUMIFS(O$5:O$315,$A$5:$A$315,$A76,$C$5:$C$315,$C76-1,$D$5:$D$315,$D76)=0,O76*SUMIFS(O$5:O$315,$A$5:$A$315,$A76,$C$5:$C$315,$C76-1,$D$5:$D$315,$D76)&lt;0),"n.s.",ABS(O76)/ABS(SUMIFS(O$5:O$315,$A$5:$A$315,$A76,$C$5:$C$315,$C76-1,$D$5:$D$315,$D76))-1)))</f>
        <v/>
      </c>
    </row>
    <row r="77">
      <c r="A77" s="9" t="inlineStr">
        <is>
          <t>BOABF</t>
        </is>
      </c>
      <c r="B77" s="10">
        <f>IF(A77="","",IFERROR(VLOOKUP(A77,Titres!$A$2:$B$400,2,FALSE),"Ticker inconnu"))</f>
        <v/>
      </c>
      <c r="C77" s="11" t="n">
        <v>2021</v>
      </c>
      <c r="D77" s="11" t="inlineStr">
        <is>
          <t>T1</t>
        </is>
      </c>
      <c r="E77" s="9" t="n"/>
      <c r="F77" s="12" t="n"/>
      <c r="G77" s="9" t="n"/>
      <c r="H77" s="13" t="n"/>
      <c r="I77" s="13" t="n"/>
      <c r="J77" s="13" t="n"/>
      <c r="K77" s="13" t="n"/>
      <c r="L77" s="13" t="n"/>
      <c r="M77" s="13" t="n"/>
      <c r="N77" s="13" t="n"/>
      <c r="O77" s="13" t="n"/>
      <c r="P77" s="14">
        <f>IF(A77="","",COUNT(H77:O77)/8)</f>
        <v/>
      </c>
      <c r="Q77" s="15">
        <f>IF(COUNT(H77:O77)=0,"",IF(LEN(IF(COUNT(H77,I77,J77)=3,IF(ABS(H77+I77-J77)&lt;=MAX(1,0.02*ABS(J77)),"","RBE &lt;&gt; PNB + frais "),"")&amp;IF(COUNT(J77,K77,L77)=3,IF(ABS(J77+K77-L77)&lt;=MAX(1,0.03*ABS(L77)),"","RAI &lt;&gt; RBE + coût du risque "),"")&amp;IF(COUNT(H77,M77)=2,IF(ABS(M77)&gt;ABS(H77),"RN &gt; PNB ",""),""))=0,"OK",IF(COUNT(H77,I77,J77)=3,IF(ABS(H77+I77-J77)&lt;=MAX(1,0.02*ABS(J77)),"","RBE &lt;&gt; PNB + frais "),"")&amp;IF(COUNT(J77,K77,L77)=3,IF(ABS(J77+K77-L77)&lt;=MAX(1,0.03*ABS(L77)),"","RAI &lt;&gt; RBE + coût du risque "),"")&amp;IF(COUNT(H77,M77)=2,IF(ABS(M77)&gt;ABS(H77),"RN &gt; PNB ",""),"")))</f>
        <v/>
      </c>
      <c r="R77" s="16">
        <f>IF(OR($A77="",H77="",$C77=""),"",IF(COUNTIFS($A$5:$A$315,$A77,$C$5:$C$315,$C77-1,$D$5:$D$315,$D77,H$5:H$315,"&lt;&gt;")=0,"",IF(OR(SUMIFS(H$5:H$315,$A$5:$A$315,$A77,$C$5:$C$315,$C77-1,$D$5:$D$315,$D77)=0,H77*SUMIFS(H$5:H$315,$A$5:$A$315,$A77,$C$5:$C$315,$C77-1,$D$5:$D$315,$D77)&lt;0),"n.s.",ABS(H77)/ABS(SUMIFS(H$5:H$315,$A$5:$A$315,$A77,$C$5:$C$315,$C77-1,$D$5:$D$315,$D77))-1)))</f>
        <v/>
      </c>
      <c r="S77" s="16">
        <f>IF(OR($A77="",I77="",$C77=""),"",IF(COUNTIFS($A$5:$A$315,$A77,$C$5:$C$315,$C77-1,$D$5:$D$315,$D77,I$5:I$315,"&lt;&gt;")=0,"",IF(OR(SUMIFS(I$5:I$315,$A$5:$A$315,$A77,$C$5:$C$315,$C77-1,$D$5:$D$315,$D77)=0,I77*SUMIFS(I$5:I$315,$A$5:$A$315,$A77,$C$5:$C$315,$C77-1,$D$5:$D$315,$D77)&lt;0),"n.s.",ABS(I77)/ABS(SUMIFS(I$5:I$315,$A$5:$A$315,$A77,$C$5:$C$315,$C77-1,$D$5:$D$315,$D77))-1)))</f>
        <v/>
      </c>
      <c r="T77" s="16">
        <f>IF(OR($A77="",J77="",$C77=""),"",IF(COUNTIFS($A$5:$A$315,$A77,$C$5:$C$315,$C77-1,$D$5:$D$315,$D77,J$5:J$315,"&lt;&gt;")=0,"",IF(OR(SUMIFS(J$5:J$315,$A$5:$A$315,$A77,$C$5:$C$315,$C77-1,$D$5:$D$315,$D77)=0,J77*SUMIFS(J$5:J$315,$A$5:$A$315,$A77,$C$5:$C$315,$C77-1,$D$5:$D$315,$D77)&lt;0),"n.s.",ABS(J77)/ABS(SUMIFS(J$5:J$315,$A$5:$A$315,$A77,$C$5:$C$315,$C77-1,$D$5:$D$315,$D77))-1)))</f>
        <v/>
      </c>
      <c r="U77" s="16">
        <f>IF(OR($A77="",K77="",$C77=""),"",IF(COUNTIFS($A$5:$A$315,$A77,$C$5:$C$315,$C77-1,$D$5:$D$315,$D77,K$5:K$315,"&lt;&gt;")=0,"",IF(OR(SUMIFS(K$5:K$315,$A$5:$A$315,$A77,$C$5:$C$315,$C77-1,$D$5:$D$315,$D77)=0,K77*SUMIFS(K$5:K$315,$A$5:$A$315,$A77,$C$5:$C$315,$C77-1,$D$5:$D$315,$D77)&lt;0),"n.s.",ABS(K77)/ABS(SUMIFS(K$5:K$315,$A$5:$A$315,$A77,$C$5:$C$315,$C77-1,$D$5:$D$315,$D77))-1)))</f>
        <v/>
      </c>
      <c r="V77" s="16">
        <f>IF(OR($A77="",L77="",$C77=""),"",IF(COUNTIFS($A$5:$A$315,$A77,$C$5:$C$315,$C77-1,$D$5:$D$315,$D77,L$5:L$315,"&lt;&gt;")=0,"",IF(OR(SUMIFS(L$5:L$315,$A$5:$A$315,$A77,$C$5:$C$315,$C77-1,$D$5:$D$315,$D77)=0,L77*SUMIFS(L$5:L$315,$A$5:$A$315,$A77,$C$5:$C$315,$C77-1,$D$5:$D$315,$D77)&lt;0),"n.s.",ABS(L77)/ABS(SUMIFS(L$5:L$315,$A$5:$A$315,$A77,$C$5:$C$315,$C77-1,$D$5:$D$315,$D77))-1)))</f>
        <v/>
      </c>
      <c r="W77" s="16">
        <f>IF(OR($A77="",M77="",$C77=""),"",IF(COUNTIFS($A$5:$A$315,$A77,$C$5:$C$315,$C77-1,$D$5:$D$315,$D77,M$5:M$315,"&lt;&gt;")=0,"",IF(OR(SUMIFS(M$5:M$315,$A$5:$A$315,$A77,$C$5:$C$315,$C77-1,$D$5:$D$315,$D77)=0,M77*SUMIFS(M$5:M$315,$A$5:$A$315,$A77,$C$5:$C$315,$C77-1,$D$5:$D$315,$D77)&lt;0),"n.s.",ABS(M77)/ABS(SUMIFS(M$5:M$315,$A$5:$A$315,$A77,$C$5:$C$315,$C77-1,$D$5:$D$315,$D77))-1)))</f>
        <v/>
      </c>
      <c r="X77" s="16">
        <f>IF(OR($A77="",N77="",$C77=""),"",IF(COUNTIFS($A$5:$A$315,$A77,$C$5:$C$315,$C77-1,$D$5:$D$315,$D77,N$5:N$315,"&lt;&gt;")=0,"",IF(OR(SUMIFS(N$5:N$315,$A$5:$A$315,$A77,$C$5:$C$315,$C77-1,$D$5:$D$315,$D77)=0,N77*SUMIFS(N$5:N$315,$A$5:$A$315,$A77,$C$5:$C$315,$C77-1,$D$5:$D$315,$D77)&lt;0),"n.s.",ABS(N77)/ABS(SUMIFS(N$5:N$315,$A$5:$A$315,$A77,$C$5:$C$315,$C77-1,$D$5:$D$315,$D77))-1)))</f>
        <v/>
      </c>
      <c r="Y77" s="16">
        <f>IF(OR($A77="",O77="",$C77=""),"",IF(COUNTIFS($A$5:$A$315,$A77,$C$5:$C$315,$C77-1,$D$5:$D$315,$D77,O$5:O$315,"&lt;&gt;")=0,"",IF(OR(SUMIFS(O$5:O$315,$A$5:$A$315,$A77,$C$5:$C$315,$C77-1,$D$5:$D$315,$D77)=0,O77*SUMIFS(O$5:O$315,$A$5:$A$315,$A77,$C$5:$C$315,$C77-1,$D$5:$D$315,$D77)&lt;0),"n.s.",ABS(O77)/ABS(SUMIFS(O$5:O$315,$A$5:$A$315,$A77,$C$5:$C$315,$C77-1,$D$5:$D$315,$D77))-1)))</f>
        <v/>
      </c>
    </row>
    <row r="78">
      <c r="A78" s="9" t="inlineStr">
        <is>
          <t>BOABF</t>
        </is>
      </c>
      <c r="B78" s="10">
        <f>IF(A78="","",IFERROR(VLOOKUP(A78,Titres!$A$2:$B$400,2,FALSE),"Ticker inconnu"))</f>
        <v/>
      </c>
      <c r="C78" s="11" t="n">
        <v>2021</v>
      </c>
      <c r="D78" s="11" t="inlineStr">
        <is>
          <t>S1</t>
        </is>
      </c>
      <c r="E78" s="9" t="n"/>
      <c r="F78" s="12" t="n"/>
      <c r="G78" s="9" t="n"/>
      <c r="H78" s="13" t="n"/>
      <c r="I78" s="13" t="n"/>
      <c r="J78" s="13" t="n"/>
      <c r="K78" s="13" t="n"/>
      <c r="L78" s="13" t="n"/>
      <c r="M78" s="13" t="n"/>
      <c r="N78" s="13" t="n"/>
      <c r="O78" s="13" t="n"/>
      <c r="P78" s="14">
        <f>IF(A78="","",COUNT(H78:O78)/8)</f>
        <v/>
      </c>
      <c r="Q78" s="15">
        <f>IF(COUNT(H78:O78)=0,"",IF(LEN(IF(COUNT(H78,I78,J78)=3,IF(ABS(H78+I78-J78)&lt;=MAX(1,0.02*ABS(J78)),"","RBE &lt;&gt; PNB + frais "),"")&amp;IF(COUNT(J78,K78,L78)=3,IF(ABS(J78+K78-L78)&lt;=MAX(1,0.03*ABS(L78)),"","RAI &lt;&gt; RBE + coût du risque "),"")&amp;IF(COUNT(H78,M78)=2,IF(ABS(M78)&gt;ABS(H78),"RN &gt; PNB ",""),""))=0,"OK",IF(COUNT(H78,I78,J78)=3,IF(ABS(H78+I78-J78)&lt;=MAX(1,0.02*ABS(J78)),"","RBE &lt;&gt; PNB + frais "),"")&amp;IF(COUNT(J78,K78,L78)=3,IF(ABS(J78+K78-L78)&lt;=MAX(1,0.03*ABS(L78)),"","RAI &lt;&gt; RBE + coût du risque "),"")&amp;IF(COUNT(H78,M78)=2,IF(ABS(M78)&gt;ABS(H78),"RN &gt; PNB ",""),"")))</f>
        <v/>
      </c>
      <c r="R78" s="16">
        <f>IF(OR($A78="",H78="",$C78=""),"",IF(COUNTIFS($A$5:$A$315,$A78,$C$5:$C$315,$C78-1,$D$5:$D$315,$D78,H$5:H$315,"&lt;&gt;")=0,"",IF(OR(SUMIFS(H$5:H$315,$A$5:$A$315,$A78,$C$5:$C$315,$C78-1,$D$5:$D$315,$D78)=0,H78*SUMIFS(H$5:H$315,$A$5:$A$315,$A78,$C$5:$C$315,$C78-1,$D$5:$D$315,$D78)&lt;0),"n.s.",ABS(H78)/ABS(SUMIFS(H$5:H$315,$A$5:$A$315,$A78,$C$5:$C$315,$C78-1,$D$5:$D$315,$D78))-1)))</f>
        <v/>
      </c>
      <c r="S78" s="16">
        <f>IF(OR($A78="",I78="",$C78=""),"",IF(COUNTIFS($A$5:$A$315,$A78,$C$5:$C$315,$C78-1,$D$5:$D$315,$D78,I$5:I$315,"&lt;&gt;")=0,"",IF(OR(SUMIFS(I$5:I$315,$A$5:$A$315,$A78,$C$5:$C$315,$C78-1,$D$5:$D$315,$D78)=0,I78*SUMIFS(I$5:I$315,$A$5:$A$315,$A78,$C$5:$C$315,$C78-1,$D$5:$D$315,$D78)&lt;0),"n.s.",ABS(I78)/ABS(SUMIFS(I$5:I$315,$A$5:$A$315,$A78,$C$5:$C$315,$C78-1,$D$5:$D$315,$D78))-1)))</f>
        <v/>
      </c>
      <c r="T78" s="16">
        <f>IF(OR($A78="",J78="",$C78=""),"",IF(COUNTIFS($A$5:$A$315,$A78,$C$5:$C$315,$C78-1,$D$5:$D$315,$D78,J$5:J$315,"&lt;&gt;")=0,"",IF(OR(SUMIFS(J$5:J$315,$A$5:$A$315,$A78,$C$5:$C$315,$C78-1,$D$5:$D$315,$D78)=0,J78*SUMIFS(J$5:J$315,$A$5:$A$315,$A78,$C$5:$C$315,$C78-1,$D$5:$D$315,$D78)&lt;0),"n.s.",ABS(J78)/ABS(SUMIFS(J$5:J$315,$A$5:$A$315,$A78,$C$5:$C$315,$C78-1,$D$5:$D$315,$D78))-1)))</f>
        <v/>
      </c>
      <c r="U78" s="16">
        <f>IF(OR($A78="",K78="",$C78=""),"",IF(COUNTIFS($A$5:$A$315,$A78,$C$5:$C$315,$C78-1,$D$5:$D$315,$D78,K$5:K$315,"&lt;&gt;")=0,"",IF(OR(SUMIFS(K$5:K$315,$A$5:$A$315,$A78,$C$5:$C$315,$C78-1,$D$5:$D$315,$D78)=0,K78*SUMIFS(K$5:K$315,$A$5:$A$315,$A78,$C$5:$C$315,$C78-1,$D$5:$D$315,$D78)&lt;0),"n.s.",ABS(K78)/ABS(SUMIFS(K$5:K$315,$A$5:$A$315,$A78,$C$5:$C$315,$C78-1,$D$5:$D$315,$D78))-1)))</f>
        <v/>
      </c>
      <c r="V78" s="16">
        <f>IF(OR($A78="",L78="",$C78=""),"",IF(COUNTIFS($A$5:$A$315,$A78,$C$5:$C$315,$C78-1,$D$5:$D$315,$D78,L$5:L$315,"&lt;&gt;")=0,"",IF(OR(SUMIFS(L$5:L$315,$A$5:$A$315,$A78,$C$5:$C$315,$C78-1,$D$5:$D$315,$D78)=0,L78*SUMIFS(L$5:L$315,$A$5:$A$315,$A78,$C$5:$C$315,$C78-1,$D$5:$D$315,$D78)&lt;0),"n.s.",ABS(L78)/ABS(SUMIFS(L$5:L$315,$A$5:$A$315,$A78,$C$5:$C$315,$C78-1,$D$5:$D$315,$D78))-1)))</f>
        <v/>
      </c>
      <c r="W78" s="16">
        <f>IF(OR($A78="",M78="",$C78=""),"",IF(COUNTIFS($A$5:$A$315,$A78,$C$5:$C$315,$C78-1,$D$5:$D$315,$D78,M$5:M$315,"&lt;&gt;")=0,"",IF(OR(SUMIFS(M$5:M$315,$A$5:$A$315,$A78,$C$5:$C$315,$C78-1,$D$5:$D$315,$D78)=0,M78*SUMIFS(M$5:M$315,$A$5:$A$315,$A78,$C$5:$C$315,$C78-1,$D$5:$D$315,$D78)&lt;0),"n.s.",ABS(M78)/ABS(SUMIFS(M$5:M$315,$A$5:$A$315,$A78,$C$5:$C$315,$C78-1,$D$5:$D$315,$D78))-1)))</f>
        <v/>
      </c>
      <c r="X78" s="16">
        <f>IF(OR($A78="",N78="",$C78=""),"",IF(COUNTIFS($A$5:$A$315,$A78,$C$5:$C$315,$C78-1,$D$5:$D$315,$D78,N$5:N$315,"&lt;&gt;")=0,"",IF(OR(SUMIFS(N$5:N$315,$A$5:$A$315,$A78,$C$5:$C$315,$C78-1,$D$5:$D$315,$D78)=0,N78*SUMIFS(N$5:N$315,$A$5:$A$315,$A78,$C$5:$C$315,$C78-1,$D$5:$D$315,$D78)&lt;0),"n.s.",ABS(N78)/ABS(SUMIFS(N$5:N$315,$A$5:$A$315,$A78,$C$5:$C$315,$C78-1,$D$5:$D$315,$D78))-1)))</f>
        <v/>
      </c>
      <c r="Y78" s="16">
        <f>IF(OR($A78="",O78="",$C78=""),"",IF(COUNTIFS($A$5:$A$315,$A78,$C$5:$C$315,$C78-1,$D$5:$D$315,$D78,O$5:O$315,"&lt;&gt;")=0,"",IF(OR(SUMIFS(O$5:O$315,$A$5:$A$315,$A78,$C$5:$C$315,$C78-1,$D$5:$D$315,$D78)=0,O78*SUMIFS(O$5:O$315,$A$5:$A$315,$A78,$C$5:$C$315,$C78-1,$D$5:$D$315,$D78)&lt;0),"n.s.",ABS(O78)/ABS(SUMIFS(O$5:O$315,$A$5:$A$315,$A78,$C$5:$C$315,$C78-1,$D$5:$D$315,$D78))-1)))</f>
        <v/>
      </c>
    </row>
    <row r="79">
      <c r="A79" s="9" t="inlineStr">
        <is>
          <t>BOABF</t>
        </is>
      </c>
      <c r="B79" s="10">
        <f>IF(A79="","",IFERROR(VLOOKUP(A79,Titres!$A$2:$B$400,2,FALSE),"Ticker inconnu"))</f>
        <v/>
      </c>
      <c r="C79" s="11" t="n">
        <v>2021</v>
      </c>
      <c r="D79" s="11" t="inlineStr">
        <is>
          <t>T3</t>
        </is>
      </c>
      <c r="E79" s="9" t="n"/>
      <c r="F79" s="12" t="n"/>
      <c r="G79" s="9" t="n"/>
      <c r="H79" s="13" t="n"/>
      <c r="I79" s="13" t="n"/>
      <c r="J79" s="13" t="n"/>
      <c r="K79" s="13" t="n"/>
      <c r="L79" s="13" t="n"/>
      <c r="M79" s="13" t="n"/>
      <c r="N79" s="13" t="n"/>
      <c r="O79" s="13" t="n"/>
      <c r="P79" s="14">
        <f>IF(A79="","",COUNT(H79:O79)/8)</f>
        <v/>
      </c>
      <c r="Q79" s="15">
        <f>IF(COUNT(H79:O79)=0,"",IF(LEN(IF(COUNT(H79,I79,J79)=3,IF(ABS(H79+I79-J79)&lt;=MAX(1,0.02*ABS(J79)),"","RBE &lt;&gt; PNB + frais "),"")&amp;IF(COUNT(J79,K79,L79)=3,IF(ABS(J79+K79-L79)&lt;=MAX(1,0.03*ABS(L79)),"","RAI &lt;&gt; RBE + coût du risque "),"")&amp;IF(COUNT(H79,M79)=2,IF(ABS(M79)&gt;ABS(H79),"RN &gt; PNB ",""),""))=0,"OK",IF(COUNT(H79,I79,J79)=3,IF(ABS(H79+I79-J79)&lt;=MAX(1,0.02*ABS(J79)),"","RBE &lt;&gt; PNB + frais "),"")&amp;IF(COUNT(J79,K79,L79)=3,IF(ABS(J79+K79-L79)&lt;=MAX(1,0.03*ABS(L79)),"","RAI &lt;&gt; RBE + coût du risque "),"")&amp;IF(COUNT(H79,M79)=2,IF(ABS(M79)&gt;ABS(H79),"RN &gt; PNB ",""),"")))</f>
        <v/>
      </c>
      <c r="R79" s="16">
        <f>IF(OR($A79="",H79="",$C79=""),"",IF(COUNTIFS($A$5:$A$315,$A79,$C$5:$C$315,$C79-1,$D$5:$D$315,$D79,H$5:H$315,"&lt;&gt;")=0,"",IF(OR(SUMIFS(H$5:H$315,$A$5:$A$315,$A79,$C$5:$C$315,$C79-1,$D$5:$D$315,$D79)=0,H79*SUMIFS(H$5:H$315,$A$5:$A$315,$A79,$C$5:$C$315,$C79-1,$D$5:$D$315,$D79)&lt;0),"n.s.",ABS(H79)/ABS(SUMIFS(H$5:H$315,$A$5:$A$315,$A79,$C$5:$C$315,$C79-1,$D$5:$D$315,$D79))-1)))</f>
        <v/>
      </c>
      <c r="S79" s="16">
        <f>IF(OR($A79="",I79="",$C79=""),"",IF(COUNTIFS($A$5:$A$315,$A79,$C$5:$C$315,$C79-1,$D$5:$D$315,$D79,I$5:I$315,"&lt;&gt;")=0,"",IF(OR(SUMIFS(I$5:I$315,$A$5:$A$315,$A79,$C$5:$C$315,$C79-1,$D$5:$D$315,$D79)=0,I79*SUMIFS(I$5:I$315,$A$5:$A$315,$A79,$C$5:$C$315,$C79-1,$D$5:$D$315,$D79)&lt;0),"n.s.",ABS(I79)/ABS(SUMIFS(I$5:I$315,$A$5:$A$315,$A79,$C$5:$C$315,$C79-1,$D$5:$D$315,$D79))-1)))</f>
        <v/>
      </c>
      <c r="T79" s="16">
        <f>IF(OR($A79="",J79="",$C79=""),"",IF(COUNTIFS($A$5:$A$315,$A79,$C$5:$C$315,$C79-1,$D$5:$D$315,$D79,J$5:J$315,"&lt;&gt;")=0,"",IF(OR(SUMIFS(J$5:J$315,$A$5:$A$315,$A79,$C$5:$C$315,$C79-1,$D$5:$D$315,$D79)=0,J79*SUMIFS(J$5:J$315,$A$5:$A$315,$A79,$C$5:$C$315,$C79-1,$D$5:$D$315,$D79)&lt;0),"n.s.",ABS(J79)/ABS(SUMIFS(J$5:J$315,$A$5:$A$315,$A79,$C$5:$C$315,$C79-1,$D$5:$D$315,$D79))-1)))</f>
        <v/>
      </c>
      <c r="U79" s="16">
        <f>IF(OR($A79="",K79="",$C79=""),"",IF(COUNTIFS($A$5:$A$315,$A79,$C$5:$C$315,$C79-1,$D$5:$D$315,$D79,K$5:K$315,"&lt;&gt;")=0,"",IF(OR(SUMIFS(K$5:K$315,$A$5:$A$315,$A79,$C$5:$C$315,$C79-1,$D$5:$D$315,$D79)=0,K79*SUMIFS(K$5:K$315,$A$5:$A$315,$A79,$C$5:$C$315,$C79-1,$D$5:$D$315,$D79)&lt;0),"n.s.",ABS(K79)/ABS(SUMIFS(K$5:K$315,$A$5:$A$315,$A79,$C$5:$C$315,$C79-1,$D$5:$D$315,$D79))-1)))</f>
        <v/>
      </c>
      <c r="V79" s="16">
        <f>IF(OR($A79="",L79="",$C79=""),"",IF(COUNTIFS($A$5:$A$315,$A79,$C$5:$C$315,$C79-1,$D$5:$D$315,$D79,L$5:L$315,"&lt;&gt;")=0,"",IF(OR(SUMIFS(L$5:L$315,$A$5:$A$315,$A79,$C$5:$C$315,$C79-1,$D$5:$D$315,$D79)=0,L79*SUMIFS(L$5:L$315,$A$5:$A$315,$A79,$C$5:$C$315,$C79-1,$D$5:$D$315,$D79)&lt;0),"n.s.",ABS(L79)/ABS(SUMIFS(L$5:L$315,$A$5:$A$315,$A79,$C$5:$C$315,$C79-1,$D$5:$D$315,$D79))-1)))</f>
        <v/>
      </c>
      <c r="W79" s="16">
        <f>IF(OR($A79="",M79="",$C79=""),"",IF(COUNTIFS($A$5:$A$315,$A79,$C$5:$C$315,$C79-1,$D$5:$D$315,$D79,M$5:M$315,"&lt;&gt;")=0,"",IF(OR(SUMIFS(M$5:M$315,$A$5:$A$315,$A79,$C$5:$C$315,$C79-1,$D$5:$D$315,$D79)=0,M79*SUMIFS(M$5:M$315,$A$5:$A$315,$A79,$C$5:$C$315,$C79-1,$D$5:$D$315,$D79)&lt;0),"n.s.",ABS(M79)/ABS(SUMIFS(M$5:M$315,$A$5:$A$315,$A79,$C$5:$C$315,$C79-1,$D$5:$D$315,$D79))-1)))</f>
        <v/>
      </c>
      <c r="X79" s="16">
        <f>IF(OR($A79="",N79="",$C79=""),"",IF(COUNTIFS($A$5:$A$315,$A79,$C$5:$C$315,$C79-1,$D$5:$D$315,$D79,N$5:N$315,"&lt;&gt;")=0,"",IF(OR(SUMIFS(N$5:N$315,$A$5:$A$315,$A79,$C$5:$C$315,$C79-1,$D$5:$D$315,$D79)=0,N79*SUMIFS(N$5:N$315,$A$5:$A$315,$A79,$C$5:$C$315,$C79-1,$D$5:$D$315,$D79)&lt;0),"n.s.",ABS(N79)/ABS(SUMIFS(N$5:N$315,$A$5:$A$315,$A79,$C$5:$C$315,$C79-1,$D$5:$D$315,$D79))-1)))</f>
        <v/>
      </c>
      <c r="Y79" s="16">
        <f>IF(OR($A79="",O79="",$C79=""),"",IF(COUNTIFS($A$5:$A$315,$A79,$C$5:$C$315,$C79-1,$D$5:$D$315,$D79,O$5:O$315,"&lt;&gt;")=0,"",IF(OR(SUMIFS(O$5:O$315,$A$5:$A$315,$A79,$C$5:$C$315,$C79-1,$D$5:$D$315,$D79)=0,O79*SUMIFS(O$5:O$315,$A$5:$A$315,$A79,$C$5:$C$315,$C79-1,$D$5:$D$315,$D79)&lt;0),"n.s.",ABS(O79)/ABS(SUMIFS(O$5:O$315,$A$5:$A$315,$A79,$C$5:$C$315,$C79-1,$D$5:$D$315,$D79))-1)))</f>
        <v/>
      </c>
    </row>
    <row r="80">
      <c r="A80" s="9" t="inlineStr">
        <is>
          <t>BOABF</t>
        </is>
      </c>
      <c r="B80" s="10">
        <f>IF(A80="","",IFERROR(VLOOKUP(A80,Titres!$A$2:$B$400,2,FALSE),"Ticker inconnu"))</f>
        <v/>
      </c>
      <c r="C80" s="11" t="n">
        <v>2022</v>
      </c>
      <c r="D80" s="11" t="inlineStr">
        <is>
          <t>T1</t>
        </is>
      </c>
      <c r="E80" s="9" t="n"/>
      <c r="F80" s="12" t="n"/>
      <c r="G80" s="9" t="n"/>
      <c r="H80" s="13" t="n"/>
      <c r="I80" s="13" t="n"/>
      <c r="J80" s="13" t="n"/>
      <c r="K80" s="13" t="n"/>
      <c r="L80" s="13" t="n"/>
      <c r="M80" s="13" t="n"/>
      <c r="N80" s="13" t="n"/>
      <c r="O80" s="13" t="n"/>
      <c r="P80" s="14">
        <f>IF(A80="","",COUNT(H80:O80)/8)</f>
        <v/>
      </c>
      <c r="Q80" s="15">
        <f>IF(COUNT(H80:O80)=0,"",IF(LEN(IF(COUNT(H80,I80,J80)=3,IF(ABS(H80+I80-J80)&lt;=MAX(1,0.02*ABS(J80)),"","RBE &lt;&gt; PNB + frais "),"")&amp;IF(COUNT(J80,K80,L80)=3,IF(ABS(J80+K80-L80)&lt;=MAX(1,0.03*ABS(L80)),"","RAI &lt;&gt; RBE + coût du risque "),"")&amp;IF(COUNT(H80,M80)=2,IF(ABS(M80)&gt;ABS(H80),"RN &gt; PNB ",""),""))=0,"OK",IF(COUNT(H80,I80,J80)=3,IF(ABS(H80+I80-J80)&lt;=MAX(1,0.02*ABS(J80)),"","RBE &lt;&gt; PNB + frais "),"")&amp;IF(COUNT(J80,K80,L80)=3,IF(ABS(J80+K80-L80)&lt;=MAX(1,0.03*ABS(L80)),"","RAI &lt;&gt; RBE + coût du risque "),"")&amp;IF(COUNT(H80,M80)=2,IF(ABS(M80)&gt;ABS(H80),"RN &gt; PNB ",""),"")))</f>
        <v/>
      </c>
      <c r="R80" s="16">
        <f>IF(OR($A80="",H80="",$C80=""),"",IF(COUNTIFS($A$5:$A$315,$A80,$C$5:$C$315,$C80-1,$D$5:$D$315,$D80,H$5:H$315,"&lt;&gt;")=0,"",IF(OR(SUMIFS(H$5:H$315,$A$5:$A$315,$A80,$C$5:$C$315,$C80-1,$D$5:$D$315,$D80)=0,H80*SUMIFS(H$5:H$315,$A$5:$A$315,$A80,$C$5:$C$315,$C80-1,$D$5:$D$315,$D80)&lt;0),"n.s.",ABS(H80)/ABS(SUMIFS(H$5:H$315,$A$5:$A$315,$A80,$C$5:$C$315,$C80-1,$D$5:$D$315,$D80))-1)))</f>
        <v/>
      </c>
      <c r="S80" s="16">
        <f>IF(OR($A80="",I80="",$C80=""),"",IF(COUNTIFS($A$5:$A$315,$A80,$C$5:$C$315,$C80-1,$D$5:$D$315,$D80,I$5:I$315,"&lt;&gt;")=0,"",IF(OR(SUMIFS(I$5:I$315,$A$5:$A$315,$A80,$C$5:$C$315,$C80-1,$D$5:$D$315,$D80)=0,I80*SUMIFS(I$5:I$315,$A$5:$A$315,$A80,$C$5:$C$315,$C80-1,$D$5:$D$315,$D80)&lt;0),"n.s.",ABS(I80)/ABS(SUMIFS(I$5:I$315,$A$5:$A$315,$A80,$C$5:$C$315,$C80-1,$D$5:$D$315,$D80))-1)))</f>
        <v/>
      </c>
      <c r="T80" s="16">
        <f>IF(OR($A80="",J80="",$C80=""),"",IF(COUNTIFS($A$5:$A$315,$A80,$C$5:$C$315,$C80-1,$D$5:$D$315,$D80,J$5:J$315,"&lt;&gt;")=0,"",IF(OR(SUMIFS(J$5:J$315,$A$5:$A$315,$A80,$C$5:$C$315,$C80-1,$D$5:$D$315,$D80)=0,J80*SUMIFS(J$5:J$315,$A$5:$A$315,$A80,$C$5:$C$315,$C80-1,$D$5:$D$315,$D80)&lt;0),"n.s.",ABS(J80)/ABS(SUMIFS(J$5:J$315,$A$5:$A$315,$A80,$C$5:$C$315,$C80-1,$D$5:$D$315,$D80))-1)))</f>
        <v/>
      </c>
      <c r="U80" s="16">
        <f>IF(OR($A80="",K80="",$C80=""),"",IF(COUNTIFS($A$5:$A$315,$A80,$C$5:$C$315,$C80-1,$D$5:$D$315,$D80,K$5:K$315,"&lt;&gt;")=0,"",IF(OR(SUMIFS(K$5:K$315,$A$5:$A$315,$A80,$C$5:$C$315,$C80-1,$D$5:$D$315,$D80)=0,K80*SUMIFS(K$5:K$315,$A$5:$A$315,$A80,$C$5:$C$315,$C80-1,$D$5:$D$315,$D80)&lt;0),"n.s.",ABS(K80)/ABS(SUMIFS(K$5:K$315,$A$5:$A$315,$A80,$C$5:$C$315,$C80-1,$D$5:$D$315,$D80))-1)))</f>
        <v/>
      </c>
      <c r="V80" s="16">
        <f>IF(OR($A80="",L80="",$C80=""),"",IF(COUNTIFS($A$5:$A$315,$A80,$C$5:$C$315,$C80-1,$D$5:$D$315,$D80,L$5:L$315,"&lt;&gt;")=0,"",IF(OR(SUMIFS(L$5:L$315,$A$5:$A$315,$A80,$C$5:$C$315,$C80-1,$D$5:$D$315,$D80)=0,L80*SUMIFS(L$5:L$315,$A$5:$A$315,$A80,$C$5:$C$315,$C80-1,$D$5:$D$315,$D80)&lt;0),"n.s.",ABS(L80)/ABS(SUMIFS(L$5:L$315,$A$5:$A$315,$A80,$C$5:$C$315,$C80-1,$D$5:$D$315,$D80))-1)))</f>
        <v/>
      </c>
      <c r="W80" s="16">
        <f>IF(OR($A80="",M80="",$C80=""),"",IF(COUNTIFS($A$5:$A$315,$A80,$C$5:$C$315,$C80-1,$D$5:$D$315,$D80,M$5:M$315,"&lt;&gt;")=0,"",IF(OR(SUMIFS(M$5:M$315,$A$5:$A$315,$A80,$C$5:$C$315,$C80-1,$D$5:$D$315,$D80)=0,M80*SUMIFS(M$5:M$315,$A$5:$A$315,$A80,$C$5:$C$315,$C80-1,$D$5:$D$315,$D80)&lt;0),"n.s.",ABS(M80)/ABS(SUMIFS(M$5:M$315,$A$5:$A$315,$A80,$C$5:$C$315,$C80-1,$D$5:$D$315,$D80))-1)))</f>
        <v/>
      </c>
      <c r="X80" s="16">
        <f>IF(OR($A80="",N80="",$C80=""),"",IF(COUNTIFS($A$5:$A$315,$A80,$C$5:$C$315,$C80-1,$D$5:$D$315,$D80,N$5:N$315,"&lt;&gt;")=0,"",IF(OR(SUMIFS(N$5:N$315,$A$5:$A$315,$A80,$C$5:$C$315,$C80-1,$D$5:$D$315,$D80)=0,N80*SUMIFS(N$5:N$315,$A$5:$A$315,$A80,$C$5:$C$315,$C80-1,$D$5:$D$315,$D80)&lt;0),"n.s.",ABS(N80)/ABS(SUMIFS(N$5:N$315,$A$5:$A$315,$A80,$C$5:$C$315,$C80-1,$D$5:$D$315,$D80))-1)))</f>
        <v/>
      </c>
      <c r="Y80" s="16">
        <f>IF(OR($A80="",O80="",$C80=""),"",IF(COUNTIFS($A$5:$A$315,$A80,$C$5:$C$315,$C80-1,$D$5:$D$315,$D80,O$5:O$315,"&lt;&gt;")=0,"",IF(OR(SUMIFS(O$5:O$315,$A$5:$A$315,$A80,$C$5:$C$315,$C80-1,$D$5:$D$315,$D80)=0,O80*SUMIFS(O$5:O$315,$A$5:$A$315,$A80,$C$5:$C$315,$C80-1,$D$5:$D$315,$D80)&lt;0),"n.s.",ABS(O80)/ABS(SUMIFS(O$5:O$315,$A$5:$A$315,$A80,$C$5:$C$315,$C80-1,$D$5:$D$315,$D80))-1)))</f>
        <v/>
      </c>
    </row>
    <row r="81">
      <c r="A81" s="9" t="inlineStr">
        <is>
          <t>BOABF</t>
        </is>
      </c>
      <c r="B81" s="10">
        <f>IF(A81="","",IFERROR(VLOOKUP(A81,Titres!$A$2:$B$400,2,FALSE),"Ticker inconnu"))</f>
        <v/>
      </c>
      <c r="C81" s="11" t="n">
        <v>2022</v>
      </c>
      <c r="D81" s="11" t="inlineStr">
        <is>
          <t>S1</t>
        </is>
      </c>
      <c r="E81" s="9" t="n"/>
      <c r="F81" s="12" t="n"/>
      <c r="G81" s="9" t="n"/>
      <c r="H81" s="13" t="n"/>
      <c r="I81" s="13" t="n"/>
      <c r="J81" s="13" t="n"/>
      <c r="K81" s="13" t="n"/>
      <c r="L81" s="13" t="n"/>
      <c r="M81" s="13" t="n"/>
      <c r="N81" s="13" t="n"/>
      <c r="O81" s="13" t="n"/>
      <c r="P81" s="14">
        <f>IF(A81="","",COUNT(H81:O81)/8)</f>
        <v/>
      </c>
      <c r="Q81" s="15">
        <f>IF(COUNT(H81:O81)=0,"",IF(LEN(IF(COUNT(H81,I81,J81)=3,IF(ABS(H81+I81-J81)&lt;=MAX(1,0.02*ABS(J81)),"","RBE &lt;&gt; PNB + frais "),"")&amp;IF(COUNT(J81,K81,L81)=3,IF(ABS(J81+K81-L81)&lt;=MAX(1,0.03*ABS(L81)),"","RAI &lt;&gt; RBE + coût du risque "),"")&amp;IF(COUNT(H81,M81)=2,IF(ABS(M81)&gt;ABS(H81),"RN &gt; PNB ",""),""))=0,"OK",IF(COUNT(H81,I81,J81)=3,IF(ABS(H81+I81-J81)&lt;=MAX(1,0.02*ABS(J81)),"","RBE &lt;&gt; PNB + frais "),"")&amp;IF(COUNT(J81,K81,L81)=3,IF(ABS(J81+K81-L81)&lt;=MAX(1,0.03*ABS(L81)),"","RAI &lt;&gt; RBE + coût du risque "),"")&amp;IF(COUNT(H81,M81)=2,IF(ABS(M81)&gt;ABS(H81),"RN &gt; PNB ",""),"")))</f>
        <v/>
      </c>
      <c r="R81" s="16">
        <f>IF(OR($A81="",H81="",$C81=""),"",IF(COUNTIFS($A$5:$A$315,$A81,$C$5:$C$315,$C81-1,$D$5:$D$315,$D81,H$5:H$315,"&lt;&gt;")=0,"",IF(OR(SUMIFS(H$5:H$315,$A$5:$A$315,$A81,$C$5:$C$315,$C81-1,$D$5:$D$315,$D81)=0,H81*SUMIFS(H$5:H$315,$A$5:$A$315,$A81,$C$5:$C$315,$C81-1,$D$5:$D$315,$D81)&lt;0),"n.s.",ABS(H81)/ABS(SUMIFS(H$5:H$315,$A$5:$A$315,$A81,$C$5:$C$315,$C81-1,$D$5:$D$315,$D81))-1)))</f>
        <v/>
      </c>
      <c r="S81" s="16">
        <f>IF(OR($A81="",I81="",$C81=""),"",IF(COUNTIFS($A$5:$A$315,$A81,$C$5:$C$315,$C81-1,$D$5:$D$315,$D81,I$5:I$315,"&lt;&gt;")=0,"",IF(OR(SUMIFS(I$5:I$315,$A$5:$A$315,$A81,$C$5:$C$315,$C81-1,$D$5:$D$315,$D81)=0,I81*SUMIFS(I$5:I$315,$A$5:$A$315,$A81,$C$5:$C$315,$C81-1,$D$5:$D$315,$D81)&lt;0),"n.s.",ABS(I81)/ABS(SUMIFS(I$5:I$315,$A$5:$A$315,$A81,$C$5:$C$315,$C81-1,$D$5:$D$315,$D81))-1)))</f>
        <v/>
      </c>
      <c r="T81" s="16">
        <f>IF(OR($A81="",J81="",$C81=""),"",IF(COUNTIFS($A$5:$A$315,$A81,$C$5:$C$315,$C81-1,$D$5:$D$315,$D81,J$5:J$315,"&lt;&gt;")=0,"",IF(OR(SUMIFS(J$5:J$315,$A$5:$A$315,$A81,$C$5:$C$315,$C81-1,$D$5:$D$315,$D81)=0,J81*SUMIFS(J$5:J$315,$A$5:$A$315,$A81,$C$5:$C$315,$C81-1,$D$5:$D$315,$D81)&lt;0),"n.s.",ABS(J81)/ABS(SUMIFS(J$5:J$315,$A$5:$A$315,$A81,$C$5:$C$315,$C81-1,$D$5:$D$315,$D81))-1)))</f>
        <v/>
      </c>
      <c r="U81" s="16">
        <f>IF(OR($A81="",K81="",$C81=""),"",IF(COUNTIFS($A$5:$A$315,$A81,$C$5:$C$315,$C81-1,$D$5:$D$315,$D81,K$5:K$315,"&lt;&gt;")=0,"",IF(OR(SUMIFS(K$5:K$315,$A$5:$A$315,$A81,$C$5:$C$315,$C81-1,$D$5:$D$315,$D81)=0,K81*SUMIFS(K$5:K$315,$A$5:$A$315,$A81,$C$5:$C$315,$C81-1,$D$5:$D$315,$D81)&lt;0),"n.s.",ABS(K81)/ABS(SUMIFS(K$5:K$315,$A$5:$A$315,$A81,$C$5:$C$315,$C81-1,$D$5:$D$315,$D81))-1)))</f>
        <v/>
      </c>
      <c r="V81" s="16">
        <f>IF(OR($A81="",L81="",$C81=""),"",IF(COUNTIFS($A$5:$A$315,$A81,$C$5:$C$315,$C81-1,$D$5:$D$315,$D81,L$5:L$315,"&lt;&gt;")=0,"",IF(OR(SUMIFS(L$5:L$315,$A$5:$A$315,$A81,$C$5:$C$315,$C81-1,$D$5:$D$315,$D81)=0,L81*SUMIFS(L$5:L$315,$A$5:$A$315,$A81,$C$5:$C$315,$C81-1,$D$5:$D$315,$D81)&lt;0),"n.s.",ABS(L81)/ABS(SUMIFS(L$5:L$315,$A$5:$A$315,$A81,$C$5:$C$315,$C81-1,$D$5:$D$315,$D81))-1)))</f>
        <v/>
      </c>
      <c r="W81" s="16">
        <f>IF(OR($A81="",M81="",$C81=""),"",IF(COUNTIFS($A$5:$A$315,$A81,$C$5:$C$315,$C81-1,$D$5:$D$315,$D81,M$5:M$315,"&lt;&gt;")=0,"",IF(OR(SUMIFS(M$5:M$315,$A$5:$A$315,$A81,$C$5:$C$315,$C81-1,$D$5:$D$315,$D81)=0,M81*SUMIFS(M$5:M$315,$A$5:$A$315,$A81,$C$5:$C$315,$C81-1,$D$5:$D$315,$D81)&lt;0),"n.s.",ABS(M81)/ABS(SUMIFS(M$5:M$315,$A$5:$A$315,$A81,$C$5:$C$315,$C81-1,$D$5:$D$315,$D81))-1)))</f>
        <v/>
      </c>
      <c r="X81" s="16">
        <f>IF(OR($A81="",N81="",$C81=""),"",IF(COUNTIFS($A$5:$A$315,$A81,$C$5:$C$315,$C81-1,$D$5:$D$315,$D81,N$5:N$315,"&lt;&gt;")=0,"",IF(OR(SUMIFS(N$5:N$315,$A$5:$A$315,$A81,$C$5:$C$315,$C81-1,$D$5:$D$315,$D81)=0,N81*SUMIFS(N$5:N$315,$A$5:$A$315,$A81,$C$5:$C$315,$C81-1,$D$5:$D$315,$D81)&lt;0),"n.s.",ABS(N81)/ABS(SUMIFS(N$5:N$315,$A$5:$A$315,$A81,$C$5:$C$315,$C81-1,$D$5:$D$315,$D81))-1)))</f>
        <v/>
      </c>
      <c r="Y81" s="16">
        <f>IF(OR($A81="",O81="",$C81=""),"",IF(COUNTIFS($A$5:$A$315,$A81,$C$5:$C$315,$C81-1,$D$5:$D$315,$D81,O$5:O$315,"&lt;&gt;")=0,"",IF(OR(SUMIFS(O$5:O$315,$A$5:$A$315,$A81,$C$5:$C$315,$C81-1,$D$5:$D$315,$D81)=0,O81*SUMIFS(O$5:O$315,$A$5:$A$315,$A81,$C$5:$C$315,$C81-1,$D$5:$D$315,$D81)&lt;0),"n.s.",ABS(O81)/ABS(SUMIFS(O$5:O$315,$A$5:$A$315,$A81,$C$5:$C$315,$C81-1,$D$5:$D$315,$D81))-1)))</f>
        <v/>
      </c>
    </row>
    <row r="82">
      <c r="A82" s="9" t="inlineStr">
        <is>
          <t>BOABF</t>
        </is>
      </c>
      <c r="B82" s="10">
        <f>IF(A82="","",IFERROR(VLOOKUP(A82,Titres!$A$2:$B$400,2,FALSE),"Ticker inconnu"))</f>
        <v/>
      </c>
      <c r="C82" s="11" t="n">
        <v>2022</v>
      </c>
      <c r="D82" s="11" t="inlineStr">
        <is>
          <t>T3</t>
        </is>
      </c>
      <c r="E82" s="9" t="n"/>
      <c r="F82" s="12" t="n"/>
      <c r="G82" s="9" t="n"/>
      <c r="H82" s="13" t="n"/>
      <c r="I82" s="13" t="n"/>
      <c r="J82" s="13" t="n"/>
      <c r="K82" s="13" t="n"/>
      <c r="L82" s="13" t="n"/>
      <c r="M82" s="13" t="n"/>
      <c r="N82" s="13" t="n"/>
      <c r="O82" s="13" t="n"/>
      <c r="P82" s="14">
        <f>IF(A82="","",COUNT(H82:O82)/8)</f>
        <v/>
      </c>
      <c r="Q82" s="15">
        <f>IF(COUNT(H82:O82)=0,"",IF(LEN(IF(COUNT(H82,I82,J82)=3,IF(ABS(H82+I82-J82)&lt;=MAX(1,0.02*ABS(J82)),"","RBE &lt;&gt; PNB + frais "),"")&amp;IF(COUNT(J82,K82,L82)=3,IF(ABS(J82+K82-L82)&lt;=MAX(1,0.03*ABS(L82)),"","RAI &lt;&gt; RBE + coût du risque "),"")&amp;IF(COUNT(H82,M82)=2,IF(ABS(M82)&gt;ABS(H82),"RN &gt; PNB ",""),""))=0,"OK",IF(COUNT(H82,I82,J82)=3,IF(ABS(H82+I82-J82)&lt;=MAX(1,0.02*ABS(J82)),"","RBE &lt;&gt; PNB + frais "),"")&amp;IF(COUNT(J82,K82,L82)=3,IF(ABS(J82+K82-L82)&lt;=MAX(1,0.03*ABS(L82)),"","RAI &lt;&gt; RBE + coût du risque "),"")&amp;IF(COUNT(H82,M82)=2,IF(ABS(M82)&gt;ABS(H82),"RN &gt; PNB ",""),"")))</f>
        <v/>
      </c>
      <c r="R82" s="16">
        <f>IF(OR($A82="",H82="",$C82=""),"",IF(COUNTIFS($A$5:$A$315,$A82,$C$5:$C$315,$C82-1,$D$5:$D$315,$D82,H$5:H$315,"&lt;&gt;")=0,"",IF(OR(SUMIFS(H$5:H$315,$A$5:$A$315,$A82,$C$5:$C$315,$C82-1,$D$5:$D$315,$D82)=0,H82*SUMIFS(H$5:H$315,$A$5:$A$315,$A82,$C$5:$C$315,$C82-1,$D$5:$D$315,$D82)&lt;0),"n.s.",ABS(H82)/ABS(SUMIFS(H$5:H$315,$A$5:$A$315,$A82,$C$5:$C$315,$C82-1,$D$5:$D$315,$D82))-1)))</f>
        <v/>
      </c>
      <c r="S82" s="16">
        <f>IF(OR($A82="",I82="",$C82=""),"",IF(COUNTIFS($A$5:$A$315,$A82,$C$5:$C$315,$C82-1,$D$5:$D$315,$D82,I$5:I$315,"&lt;&gt;")=0,"",IF(OR(SUMIFS(I$5:I$315,$A$5:$A$315,$A82,$C$5:$C$315,$C82-1,$D$5:$D$315,$D82)=0,I82*SUMIFS(I$5:I$315,$A$5:$A$315,$A82,$C$5:$C$315,$C82-1,$D$5:$D$315,$D82)&lt;0),"n.s.",ABS(I82)/ABS(SUMIFS(I$5:I$315,$A$5:$A$315,$A82,$C$5:$C$315,$C82-1,$D$5:$D$315,$D82))-1)))</f>
        <v/>
      </c>
      <c r="T82" s="16">
        <f>IF(OR($A82="",J82="",$C82=""),"",IF(COUNTIFS($A$5:$A$315,$A82,$C$5:$C$315,$C82-1,$D$5:$D$315,$D82,J$5:J$315,"&lt;&gt;")=0,"",IF(OR(SUMIFS(J$5:J$315,$A$5:$A$315,$A82,$C$5:$C$315,$C82-1,$D$5:$D$315,$D82)=0,J82*SUMIFS(J$5:J$315,$A$5:$A$315,$A82,$C$5:$C$315,$C82-1,$D$5:$D$315,$D82)&lt;0),"n.s.",ABS(J82)/ABS(SUMIFS(J$5:J$315,$A$5:$A$315,$A82,$C$5:$C$315,$C82-1,$D$5:$D$315,$D82))-1)))</f>
        <v/>
      </c>
      <c r="U82" s="16">
        <f>IF(OR($A82="",K82="",$C82=""),"",IF(COUNTIFS($A$5:$A$315,$A82,$C$5:$C$315,$C82-1,$D$5:$D$315,$D82,K$5:K$315,"&lt;&gt;")=0,"",IF(OR(SUMIFS(K$5:K$315,$A$5:$A$315,$A82,$C$5:$C$315,$C82-1,$D$5:$D$315,$D82)=0,K82*SUMIFS(K$5:K$315,$A$5:$A$315,$A82,$C$5:$C$315,$C82-1,$D$5:$D$315,$D82)&lt;0),"n.s.",ABS(K82)/ABS(SUMIFS(K$5:K$315,$A$5:$A$315,$A82,$C$5:$C$315,$C82-1,$D$5:$D$315,$D82))-1)))</f>
        <v/>
      </c>
      <c r="V82" s="16">
        <f>IF(OR($A82="",L82="",$C82=""),"",IF(COUNTIFS($A$5:$A$315,$A82,$C$5:$C$315,$C82-1,$D$5:$D$315,$D82,L$5:L$315,"&lt;&gt;")=0,"",IF(OR(SUMIFS(L$5:L$315,$A$5:$A$315,$A82,$C$5:$C$315,$C82-1,$D$5:$D$315,$D82)=0,L82*SUMIFS(L$5:L$315,$A$5:$A$315,$A82,$C$5:$C$315,$C82-1,$D$5:$D$315,$D82)&lt;0),"n.s.",ABS(L82)/ABS(SUMIFS(L$5:L$315,$A$5:$A$315,$A82,$C$5:$C$315,$C82-1,$D$5:$D$315,$D82))-1)))</f>
        <v/>
      </c>
      <c r="W82" s="16">
        <f>IF(OR($A82="",M82="",$C82=""),"",IF(COUNTIFS($A$5:$A$315,$A82,$C$5:$C$315,$C82-1,$D$5:$D$315,$D82,M$5:M$315,"&lt;&gt;")=0,"",IF(OR(SUMIFS(M$5:M$315,$A$5:$A$315,$A82,$C$5:$C$315,$C82-1,$D$5:$D$315,$D82)=0,M82*SUMIFS(M$5:M$315,$A$5:$A$315,$A82,$C$5:$C$315,$C82-1,$D$5:$D$315,$D82)&lt;0),"n.s.",ABS(M82)/ABS(SUMIFS(M$5:M$315,$A$5:$A$315,$A82,$C$5:$C$315,$C82-1,$D$5:$D$315,$D82))-1)))</f>
        <v/>
      </c>
      <c r="X82" s="16">
        <f>IF(OR($A82="",N82="",$C82=""),"",IF(COUNTIFS($A$5:$A$315,$A82,$C$5:$C$315,$C82-1,$D$5:$D$315,$D82,N$5:N$315,"&lt;&gt;")=0,"",IF(OR(SUMIFS(N$5:N$315,$A$5:$A$315,$A82,$C$5:$C$315,$C82-1,$D$5:$D$315,$D82)=0,N82*SUMIFS(N$5:N$315,$A$5:$A$315,$A82,$C$5:$C$315,$C82-1,$D$5:$D$315,$D82)&lt;0),"n.s.",ABS(N82)/ABS(SUMIFS(N$5:N$315,$A$5:$A$315,$A82,$C$5:$C$315,$C82-1,$D$5:$D$315,$D82))-1)))</f>
        <v/>
      </c>
      <c r="Y82" s="16">
        <f>IF(OR($A82="",O82="",$C82=""),"",IF(COUNTIFS($A$5:$A$315,$A82,$C$5:$C$315,$C82-1,$D$5:$D$315,$D82,O$5:O$315,"&lt;&gt;")=0,"",IF(OR(SUMIFS(O$5:O$315,$A$5:$A$315,$A82,$C$5:$C$315,$C82-1,$D$5:$D$315,$D82)=0,O82*SUMIFS(O$5:O$315,$A$5:$A$315,$A82,$C$5:$C$315,$C82-1,$D$5:$D$315,$D82)&lt;0),"n.s.",ABS(O82)/ABS(SUMIFS(O$5:O$315,$A$5:$A$315,$A82,$C$5:$C$315,$C82-1,$D$5:$D$315,$D82))-1)))</f>
        <v/>
      </c>
    </row>
    <row r="83">
      <c r="A83" s="9" t="inlineStr">
        <is>
          <t>BOABF</t>
        </is>
      </c>
      <c r="B83" s="10">
        <f>IF(A83="","",IFERROR(VLOOKUP(A83,Titres!$A$2:$B$400,2,FALSE),"Ticker inconnu"))</f>
        <v/>
      </c>
      <c r="C83" s="11" t="n">
        <v>2023</v>
      </c>
      <c r="D83" s="11" t="inlineStr">
        <is>
          <t>T1</t>
        </is>
      </c>
      <c r="E83" s="9" t="n"/>
      <c r="F83" s="12" t="n"/>
      <c r="G83" s="9" t="n"/>
      <c r="H83" s="13" t="n"/>
      <c r="I83" s="13" t="n"/>
      <c r="J83" s="13" t="n"/>
      <c r="K83" s="13" t="n"/>
      <c r="L83" s="13" t="n"/>
      <c r="M83" s="13" t="n"/>
      <c r="N83" s="13" t="n"/>
      <c r="O83" s="13" t="n"/>
      <c r="P83" s="14">
        <f>IF(A83="","",COUNT(H83:O83)/8)</f>
        <v/>
      </c>
      <c r="Q83" s="15">
        <f>IF(COUNT(H83:O83)=0,"",IF(LEN(IF(COUNT(H83,I83,J83)=3,IF(ABS(H83+I83-J83)&lt;=MAX(1,0.02*ABS(J83)),"","RBE &lt;&gt; PNB + frais "),"")&amp;IF(COUNT(J83,K83,L83)=3,IF(ABS(J83+K83-L83)&lt;=MAX(1,0.03*ABS(L83)),"","RAI &lt;&gt; RBE + coût du risque "),"")&amp;IF(COUNT(H83,M83)=2,IF(ABS(M83)&gt;ABS(H83),"RN &gt; PNB ",""),""))=0,"OK",IF(COUNT(H83,I83,J83)=3,IF(ABS(H83+I83-J83)&lt;=MAX(1,0.02*ABS(J83)),"","RBE &lt;&gt; PNB + frais "),"")&amp;IF(COUNT(J83,K83,L83)=3,IF(ABS(J83+K83-L83)&lt;=MAX(1,0.03*ABS(L83)),"","RAI &lt;&gt; RBE + coût du risque "),"")&amp;IF(COUNT(H83,M83)=2,IF(ABS(M83)&gt;ABS(H83),"RN &gt; PNB ",""),"")))</f>
        <v/>
      </c>
      <c r="R83" s="16">
        <f>IF(OR($A83="",H83="",$C83=""),"",IF(COUNTIFS($A$5:$A$315,$A83,$C$5:$C$315,$C83-1,$D$5:$D$315,$D83,H$5:H$315,"&lt;&gt;")=0,"",IF(OR(SUMIFS(H$5:H$315,$A$5:$A$315,$A83,$C$5:$C$315,$C83-1,$D$5:$D$315,$D83)=0,H83*SUMIFS(H$5:H$315,$A$5:$A$315,$A83,$C$5:$C$315,$C83-1,$D$5:$D$315,$D83)&lt;0),"n.s.",ABS(H83)/ABS(SUMIFS(H$5:H$315,$A$5:$A$315,$A83,$C$5:$C$315,$C83-1,$D$5:$D$315,$D83))-1)))</f>
        <v/>
      </c>
      <c r="S83" s="16">
        <f>IF(OR($A83="",I83="",$C83=""),"",IF(COUNTIFS($A$5:$A$315,$A83,$C$5:$C$315,$C83-1,$D$5:$D$315,$D83,I$5:I$315,"&lt;&gt;")=0,"",IF(OR(SUMIFS(I$5:I$315,$A$5:$A$315,$A83,$C$5:$C$315,$C83-1,$D$5:$D$315,$D83)=0,I83*SUMIFS(I$5:I$315,$A$5:$A$315,$A83,$C$5:$C$315,$C83-1,$D$5:$D$315,$D83)&lt;0),"n.s.",ABS(I83)/ABS(SUMIFS(I$5:I$315,$A$5:$A$315,$A83,$C$5:$C$315,$C83-1,$D$5:$D$315,$D83))-1)))</f>
        <v/>
      </c>
      <c r="T83" s="16">
        <f>IF(OR($A83="",J83="",$C83=""),"",IF(COUNTIFS($A$5:$A$315,$A83,$C$5:$C$315,$C83-1,$D$5:$D$315,$D83,J$5:J$315,"&lt;&gt;")=0,"",IF(OR(SUMIFS(J$5:J$315,$A$5:$A$315,$A83,$C$5:$C$315,$C83-1,$D$5:$D$315,$D83)=0,J83*SUMIFS(J$5:J$315,$A$5:$A$315,$A83,$C$5:$C$315,$C83-1,$D$5:$D$315,$D83)&lt;0),"n.s.",ABS(J83)/ABS(SUMIFS(J$5:J$315,$A$5:$A$315,$A83,$C$5:$C$315,$C83-1,$D$5:$D$315,$D83))-1)))</f>
        <v/>
      </c>
      <c r="U83" s="16">
        <f>IF(OR($A83="",K83="",$C83=""),"",IF(COUNTIFS($A$5:$A$315,$A83,$C$5:$C$315,$C83-1,$D$5:$D$315,$D83,K$5:K$315,"&lt;&gt;")=0,"",IF(OR(SUMIFS(K$5:K$315,$A$5:$A$315,$A83,$C$5:$C$315,$C83-1,$D$5:$D$315,$D83)=0,K83*SUMIFS(K$5:K$315,$A$5:$A$315,$A83,$C$5:$C$315,$C83-1,$D$5:$D$315,$D83)&lt;0),"n.s.",ABS(K83)/ABS(SUMIFS(K$5:K$315,$A$5:$A$315,$A83,$C$5:$C$315,$C83-1,$D$5:$D$315,$D83))-1)))</f>
        <v/>
      </c>
      <c r="V83" s="16">
        <f>IF(OR($A83="",L83="",$C83=""),"",IF(COUNTIFS($A$5:$A$315,$A83,$C$5:$C$315,$C83-1,$D$5:$D$315,$D83,L$5:L$315,"&lt;&gt;")=0,"",IF(OR(SUMIFS(L$5:L$315,$A$5:$A$315,$A83,$C$5:$C$315,$C83-1,$D$5:$D$315,$D83)=0,L83*SUMIFS(L$5:L$315,$A$5:$A$315,$A83,$C$5:$C$315,$C83-1,$D$5:$D$315,$D83)&lt;0),"n.s.",ABS(L83)/ABS(SUMIFS(L$5:L$315,$A$5:$A$315,$A83,$C$5:$C$315,$C83-1,$D$5:$D$315,$D83))-1)))</f>
        <v/>
      </c>
      <c r="W83" s="16">
        <f>IF(OR($A83="",M83="",$C83=""),"",IF(COUNTIFS($A$5:$A$315,$A83,$C$5:$C$315,$C83-1,$D$5:$D$315,$D83,M$5:M$315,"&lt;&gt;")=0,"",IF(OR(SUMIFS(M$5:M$315,$A$5:$A$315,$A83,$C$5:$C$315,$C83-1,$D$5:$D$315,$D83)=0,M83*SUMIFS(M$5:M$315,$A$5:$A$315,$A83,$C$5:$C$315,$C83-1,$D$5:$D$315,$D83)&lt;0),"n.s.",ABS(M83)/ABS(SUMIFS(M$5:M$315,$A$5:$A$315,$A83,$C$5:$C$315,$C83-1,$D$5:$D$315,$D83))-1)))</f>
        <v/>
      </c>
      <c r="X83" s="16">
        <f>IF(OR($A83="",N83="",$C83=""),"",IF(COUNTIFS($A$5:$A$315,$A83,$C$5:$C$315,$C83-1,$D$5:$D$315,$D83,N$5:N$315,"&lt;&gt;")=0,"",IF(OR(SUMIFS(N$5:N$315,$A$5:$A$315,$A83,$C$5:$C$315,$C83-1,$D$5:$D$315,$D83)=0,N83*SUMIFS(N$5:N$315,$A$5:$A$315,$A83,$C$5:$C$315,$C83-1,$D$5:$D$315,$D83)&lt;0),"n.s.",ABS(N83)/ABS(SUMIFS(N$5:N$315,$A$5:$A$315,$A83,$C$5:$C$315,$C83-1,$D$5:$D$315,$D83))-1)))</f>
        <v/>
      </c>
      <c r="Y83" s="16">
        <f>IF(OR($A83="",O83="",$C83=""),"",IF(COUNTIFS($A$5:$A$315,$A83,$C$5:$C$315,$C83-1,$D$5:$D$315,$D83,O$5:O$315,"&lt;&gt;")=0,"",IF(OR(SUMIFS(O$5:O$315,$A$5:$A$315,$A83,$C$5:$C$315,$C83-1,$D$5:$D$315,$D83)=0,O83*SUMIFS(O$5:O$315,$A$5:$A$315,$A83,$C$5:$C$315,$C83-1,$D$5:$D$315,$D83)&lt;0),"n.s.",ABS(O83)/ABS(SUMIFS(O$5:O$315,$A$5:$A$315,$A83,$C$5:$C$315,$C83-1,$D$5:$D$315,$D83))-1)))</f>
        <v/>
      </c>
    </row>
    <row r="84">
      <c r="A84" s="9" t="inlineStr">
        <is>
          <t>BOABF</t>
        </is>
      </c>
      <c r="B84" s="10">
        <f>IF(A84="","",IFERROR(VLOOKUP(A84,Titres!$A$2:$B$400,2,FALSE),"Ticker inconnu"))</f>
        <v/>
      </c>
      <c r="C84" s="11" t="n">
        <v>2023</v>
      </c>
      <c r="D84" s="11" t="inlineStr">
        <is>
          <t>S1</t>
        </is>
      </c>
      <c r="E84" s="9" t="n"/>
      <c r="F84" s="12" t="n"/>
      <c r="G84" s="9" t="n"/>
      <c r="H84" s="13" t="n"/>
      <c r="I84" s="13" t="n"/>
      <c r="J84" s="13" t="n"/>
      <c r="K84" s="13" t="n"/>
      <c r="L84" s="13" t="n"/>
      <c r="M84" s="13" t="n"/>
      <c r="N84" s="13" t="n"/>
      <c r="O84" s="13" t="n"/>
      <c r="P84" s="14">
        <f>IF(A84="","",COUNT(H84:O84)/8)</f>
        <v/>
      </c>
      <c r="Q84" s="15">
        <f>IF(COUNT(H84:O84)=0,"",IF(LEN(IF(COUNT(H84,I84,J84)=3,IF(ABS(H84+I84-J84)&lt;=MAX(1,0.02*ABS(J84)),"","RBE &lt;&gt; PNB + frais "),"")&amp;IF(COUNT(J84,K84,L84)=3,IF(ABS(J84+K84-L84)&lt;=MAX(1,0.03*ABS(L84)),"","RAI &lt;&gt; RBE + coût du risque "),"")&amp;IF(COUNT(H84,M84)=2,IF(ABS(M84)&gt;ABS(H84),"RN &gt; PNB ",""),""))=0,"OK",IF(COUNT(H84,I84,J84)=3,IF(ABS(H84+I84-J84)&lt;=MAX(1,0.02*ABS(J84)),"","RBE &lt;&gt; PNB + frais "),"")&amp;IF(COUNT(J84,K84,L84)=3,IF(ABS(J84+K84-L84)&lt;=MAX(1,0.03*ABS(L84)),"","RAI &lt;&gt; RBE + coût du risque "),"")&amp;IF(COUNT(H84,M84)=2,IF(ABS(M84)&gt;ABS(H84),"RN &gt; PNB ",""),"")))</f>
        <v/>
      </c>
      <c r="R84" s="16">
        <f>IF(OR($A84="",H84="",$C84=""),"",IF(COUNTIFS($A$5:$A$315,$A84,$C$5:$C$315,$C84-1,$D$5:$D$315,$D84,H$5:H$315,"&lt;&gt;")=0,"",IF(OR(SUMIFS(H$5:H$315,$A$5:$A$315,$A84,$C$5:$C$315,$C84-1,$D$5:$D$315,$D84)=0,H84*SUMIFS(H$5:H$315,$A$5:$A$315,$A84,$C$5:$C$315,$C84-1,$D$5:$D$315,$D84)&lt;0),"n.s.",ABS(H84)/ABS(SUMIFS(H$5:H$315,$A$5:$A$315,$A84,$C$5:$C$315,$C84-1,$D$5:$D$315,$D84))-1)))</f>
        <v/>
      </c>
      <c r="S84" s="16">
        <f>IF(OR($A84="",I84="",$C84=""),"",IF(COUNTIFS($A$5:$A$315,$A84,$C$5:$C$315,$C84-1,$D$5:$D$315,$D84,I$5:I$315,"&lt;&gt;")=0,"",IF(OR(SUMIFS(I$5:I$315,$A$5:$A$315,$A84,$C$5:$C$315,$C84-1,$D$5:$D$315,$D84)=0,I84*SUMIFS(I$5:I$315,$A$5:$A$315,$A84,$C$5:$C$315,$C84-1,$D$5:$D$315,$D84)&lt;0),"n.s.",ABS(I84)/ABS(SUMIFS(I$5:I$315,$A$5:$A$315,$A84,$C$5:$C$315,$C84-1,$D$5:$D$315,$D84))-1)))</f>
        <v/>
      </c>
      <c r="T84" s="16">
        <f>IF(OR($A84="",J84="",$C84=""),"",IF(COUNTIFS($A$5:$A$315,$A84,$C$5:$C$315,$C84-1,$D$5:$D$315,$D84,J$5:J$315,"&lt;&gt;")=0,"",IF(OR(SUMIFS(J$5:J$315,$A$5:$A$315,$A84,$C$5:$C$315,$C84-1,$D$5:$D$315,$D84)=0,J84*SUMIFS(J$5:J$315,$A$5:$A$315,$A84,$C$5:$C$315,$C84-1,$D$5:$D$315,$D84)&lt;0),"n.s.",ABS(J84)/ABS(SUMIFS(J$5:J$315,$A$5:$A$315,$A84,$C$5:$C$315,$C84-1,$D$5:$D$315,$D84))-1)))</f>
        <v/>
      </c>
      <c r="U84" s="16">
        <f>IF(OR($A84="",K84="",$C84=""),"",IF(COUNTIFS($A$5:$A$315,$A84,$C$5:$C$315,$C84-1,$D$5:$D$315,$D84,K$5:K$315,"&lt;&gt;")=0,"",IF(OR(SUMIFS(K$5:K$315,$A$5:$A$315,$A84,$C$5:$C$315,$C84-1,$D$5:$D$315,$D84)=0,K84*SUMIFS(K$5:K$315,$A$5:$A$315,$A84,$C$5:$C$315,$C84-1,$D$5:$D$315,$D84)&lt;0),"n.s.",ABS(K84)/ABS(SUMIFS(K$5:K$315,$A$5:$A$315,$A84,$C$5:$C$315,$C84-1,$D$5:$D$315,$D84))-1)))</f>
        <v/>
      </c>
      <c r="V84" s="16">
        <f>IF(OR($A84="",L84="",$C84=""),"",IF(COUNTIFS($A$5:$A$315,$A84,$C$5:$C$315,$C84-1,$D$5:$D$315,$D84,L$5:L$315,"&lt;&gt;")=0,"",IF(OR(SUMIFS(L$5:L$315,$A$5:$A$315,$A84,$C$5:$C$315,$C84-1,$D$5:$D$315,$D84)=0,L84*SUMIFS(L$5:L$315,$A$5:$A$315,$A84,$C$5:$C$315,$C84-1,$D$5:$D$315,$D84)&lt;0),"n.s.",ABS(L84)/ABS(SUMIFS(L$5:L$315,$A$5:$A$315,$A84,$C$5:$C$315,$C84-1,$D$5:$D$315,$D84))-1)))</f>
        <v/>
      </c>
      <c r="W84" s="16">
        <f>IF(OR($A84="",M84="",$C84=""),"",IF(COUNTIFS($A$5:$A$315,$A84,$C$5:$C$315,$C84-1,$D$5:$D$315,$D84,M$5:M$315,"&lt;&gt;")=0,"",IF(OR(SUMIFS(M$5:M$315,$A$5:$A$315,$A84,$C$5:$C$315,$C84-1,$D$5:$D$315,$D84)=0,M84*SUMIFS(M$5:M$315,$A$5:$A$315,$A84,$C$5:$C$315,$C84-1,$D$5:$D$315,$D84)&lt;0),"n.s.",ABS(M84)/ABS(SUMIFS(M$5:M$315,$A$5:$A$315,$A84,$C$5:$C$315,$C84-1,$D$5:$D$315,$D84))-1)))</f>
        <v/>
      </c>
      <c r="X84" s="16">
        <f>IF(OR($A84="",N84="",$C84=""),"",IF(COUNTIFS($A$5:$A$315,$A84,$C$5:$C$315,$C84-1,$D$5:$D$315,$D84,N$5:N$315,"&lt;&gt;")=0,"",IF(OR(SUMIFS(N$5:N$315,$A$5:$A$315,$A84,$C$5:$C$315,$C84-1,$D$5:$D$315,$D84)=0,N84*SUMIFS(N$5:N$315,$A$5:$A$315,$A84,$C$5:$C$315,$C84-1,$D$5:$D$315,$D84)&lt;0),"n.s.",ABS(N84)/ABS(SUMIFS(N$5:N$315,$A$5:$A$315,$A84,$C$5:$C$315,$C84-1,$D$5:$D$315,$D84))-1)))</f>
        <v/>
      </c>
      <c r="Y84" s="16">
        <f>IF(OR($A84="",O84="",$C84=""),"",IF(COUNTIFS($A$5:$A$315,$A84,$C$5:$C$315,$C84-1,$D$5:$D$315,$D84,O$5:O$315,"&lt;&gt;")=0,"",IF(OR(SUMIFS(O$5:O$315,$A$5:$A$315,$A84,$C$5:$C$315,$C84-1,$D$5:$D$315,$D84)=0,O84*SUMIFS(O$5:O$315,$A$5:$A$315,$A84,$C$5:$C$315,$C84-1,$D$5:$D$315,$D84)&lt;0),"n.s.",ABS(O84)/ABS(SUMIFS(O$5:O$315,$A$5:$A$315,$A84,$C$5:$C$315,$C84-1,$D$5:$D$315,$D84))-1)))</f>
        <v/>
      </c>
    </row>
    <row r="85">
      <c r="A85" s="9" t="inlineStr">
        <is>
          <t>BOABF</t>
        </is>
      </c>
      <c r="B85" s="10">
        <f>IF(A85="","",IFERROR(VLOOKUP(A85,Titres!$A$2:$B$400,2,FALSE),"Ticker inconnu"))</f>
        <v/>
      </c>
      <c r="C85" s="11" t="n">
        <v>2023</v>
      </c>
      <c r="D85" s="11" t="inlineStr">
        <is>
          <t>T3</t>
        </is>
      </c>
      <c r="E85" s="9" t="n"/>
      <c r="F85" s="12" t="n"/>
      <c r="G85" s="9" t="n"/>
      <c r="H85" s="13" t="n"/>
      <c r="I85" s="13" t="n"/>
      <c r="J85" s="13" t="n"/>
      <c r="K85" s="13" t="n"/>
      <c r="L85" s="13" t="n"/>
      <c r="M85" s="13" t="n"/>
      <c r="N85" s="13" t="n"/>
      <c r="O85" s="13" t="n"/>
      <c r="P85" s="14">
        <f>IF(A85="","",COUNT(H85:O85)/8)</f>
        <v/>
      </c>
      <c r="Q85" s="15">
        <f>IF(COUNT(H85:O85)=0,"",IF(LEN(IF(COUNT(H85,I85,J85)=3,IF(ABS(H85+I85-J85)&lt;=MAX(1,0.02*ABS(J85)),"","RBE &lt;&gt; PNB + frais "),"")&amp;IF(COUNT(J85,K85,L85)=3,IF(ABS(J85+K85-L85)&lt;=MAX(1,0.03*ABS(L85)),"","RAI &lt;&gt; RBE + coût du risque "),"")&amp;IF(COUNT(H85,M85)=2,IF(ABS(M85)&gt;ABS(H85),"RN &gt; PNB ",""),""))=0,"OK",IF(COUNT(H85,I85,J85)=3,IF(ABS(H85+I85-J85)&lt;=MAX(1,0.02*ABS(J85)),"","RBE &lt;&gt; PNB + frais "),"")&amp;IF(COUNT(J85,K85,L85)=3,IF(ABS(J85+K85-L85)&lt;=MAX(1,0.03*ABS(L85)),"","RAI &lt;&gt; RBE + coût du risque "),"")&amp;IF(COUNT(H85,M85)=2,IF(ABS(M85)&gt;ABS(H85),"RN &gt; PNB ",""),"")))</f>
        <v/>
      </c>
      <c r="R85" s="16">
        <f>IF(OR($A85="",H85="",$C85=""),"",IF(COUNTIFS($A$5:$A$315,$A85,$C$5:$C$315,$C85-1,$D$5:$D$315,$D85,H$5:H$315,"&lt;&gt;")=0,"",IF(OR(SUMIFS(H$5:H$315,$A$5:$A$315,$A85,$C$5:$C$315,$C85-1,$D$5:$D$315,$D85)=0,H85*SUMIFS(H$5:H$315,$A$5:$A$315,$A85,$C$5:$C$315,$C85-1,$D$5:$D$315,$D85)&lt;0),"n.s.",ABS(H85)/ABS(SUMIFS(H$5:H$315,$A$5:$A$315,$A85,$C$5:$C$315,$C85-1,$D$5:$D$315,$D85))-1)))</f>
        <v/>
      </c>
      <c r="S85" s="16">
        <f>IF(OR($A85="",I85="",$C85=""),"",IF(COUNTIFS($A$5:$A$315,$A85,$C$5:$C$315,$C85-1,$D$5:$D$315,$D85,I$5:I$315,"&lt;&gt;")=0,"",IF(OR(SUMIFS(I$5:I$315,$A$5:$A$315,$A85,$C$5:$C$315,$C85-1,$D$5:$D$315,$D85)=0,I85*SUMIFS(I$5:I$315,$A$5:$A$315,$A85,$C$5:$C$315,$C85-1,$D$5:$D$315,$D85)&lt;0),"n.s.",ABS(I85)/ABS(SUMIFS(I$5:I$315,$A$5:$A$315,$A85,$C$5:$C$315,$C85-1,$D$5:$D$315,$D85))-1)))</f>
        <v/>
      </c>
      <c r="T85" s="16">
        <f>IF(OR($A85="",J85="",$C85=""),"",IF(COUNTIFS($A$5:$A$315,$A85,$C$5:$C$315,$C85-1,$D$5:$D$315,$D85,J$5:J$315,"&lt;&gt;")=0,"",IF(OR(SUMIFS(J$5:J$315,$A$5:$A$315,$A85,$C$5:$C$315,$C85-1,$D$5:$D$315,$D85)=0,J85*SUMIFS(J$5:J$315,$A$5:$A$315,$A85,$C$5:$C$315,$C85-1,$D$5:$D$315,$D85)&lt;0),"n.s.",ABS(J85)/ABS(SUMIFS(J$5:J$315,$A$5:$A$315,$A85,$C$5:$C$315,$C85-1,$D$5:$D$315,$D85))-1)))</f>
        <v/>
      </c>
      <c r="U85" s="16">
        <f>IF(OR($A85="",K85="",$C85=""),"",IF(COUNTIFS($A$5:$A$315,$A85,$C$5:$C$315,$C85-1,$D$5:$D$315,$D85,K$5:K$315,"&lt;&gt;")=0,"",IF(OR(SUMIFS(K$5:K$315,$A$5:$A$315,$A85,$C$5:$C$315,$C85-1,$D$5:$D$315,$D85)=0,K85*SUMIFS(K$5:K$315,$A$5:$A$315,$A85,$C$5:$C$315,$C85-1,$D$5:$D$315,$D85)&lt;0),"n.s.",ABS(K85)/ABS(SUMIFS(K$5:K$315,$A$5:$A$315,$A85,$C$5:$C$315,$C85-1,$D$5:$D$315,$D85))-1)))</f>
        <v/>
      </c>
      <c r="V85" s="16">
        <f>IF(OR($A85="",L85="",$C85=""),"",IF(COUNTIFS($A$5:$A$315,$A85,$C$5:$C$315,$C85-1,$D$5:$D$315,$D85,L$5:L$315,"&lt;&gt;")=0,"",IF(OR(SUMIFS(L$5:L$315,$A$5:$A$315,$A85,$C$5:$C$315,$C85-1,$D$5:$D$315,$D85)=0,L85*SUMIFS(L$5:L$315,$A$5:$A$315,$A85,$C$5:$C$315,$C85-1,$D$5:$D$315,$D85)&lt;0),"n.s.",ABS(L85)/ABS(SUMIFS(L$5:L$315,$A$5:$A$315,$A85,$C$5:$C$315,$C85-1,$D$5:$D$315,$D85))-1)))</f>
        <v/>
      </c>
      <c r="W85" s="16">
        <f>IF(OR($A85="",M85="",$C85=""),"",IF(COUNTIFS($A$5:$A$315,$A85,$C$5:$C$315,$C85-1,$D$5:$D$315,$D85,M$5:M$315,"&lt;&gt;")=0,"",IF(OR(SUMIFS(M$5:M$315,$A$5:$A$315,$A85,$C$5:$C$315,$C85-1,$D$5:$D$315,$D85)=0,M85*SUMIFS(M$5:M$315,$A$5:$A$315,$A85,$C$5:$C$315,$C85-1,$D$5:$D$315,$D85)&lt;0),"n.s.",ABS(M85)/ABS(SUMIFS(M$5:M$315,$A$5:$A$315,$A85,$C$5:$C$315,$C85-1,$D$5:$D$315,$D85))-1)))</f>
        <v/>
      </c>
      <c r="X85" s="16">
        <f>IF(OR($A85="",N85="",$C85=""),"",IF(COUNTIFS($A$5:$A$315,$A85,$C$5:$C$315,$C85-1,$D$5:$D$315,$D85,N$5:N$315,"&lt;&gt;")=0,"",IF(OR(SUMIFS(N$5:N$315,$A$5:$A$315,$A85,$C$5:$C$315,$C85-1,$D$5:$D$315,$D85)=0,N85*SUMIFS(N$5:N$315,$A$5:$A$315,$A85,$C$5:$C$315,$C85-1,$D$5:$D$315,$D85)&lt;0),"n.s.",ABS(N85)/ABS(SUMIFS(N$5:N$315,$A$5:$A$315,$A85,$C$5:$C$315,$C85-1,$D$5:$D$315,$D85))-1)))</f>
        <v/>
      </c>
      <c r="Y85" s="16">
        <f>IF(OR($A85="",O85="",$C85=""),"",IF(COUNTIFS($A$5:$A$315,$A85,$C$5:$C$315,$C85-1,$D$5:$D$315,$D85,O$5:O$315,"&lt;&gt;")=0,"",IF(OR(SUMIFS(O$5:O$315,$A$5:$A$315,$A85,$C$5:$C$315,$C85-1,$D$5:$D$315,$D85)=0,O85*SUMIFS(O$5:O$315,$A$5:$A$315,$A85,$C$5:$C$315,$C85-1,$D$5:$D$315,$D85)&lt;0),"n.s.",ABS(O85)/ABS(SUMIFS(O$5:O$315,$A$5:$A$315,$A85,$C$5:$C$315,$C85-1,$D$5:$D$315,$D85))-1)))</f>
        <v/>
      </c>
    </row>
    <row r="86">
      <c r="A86" s="9" t="inlineStr">
        <is>
          <t>BOABF</t>
        </is>
      </c>
      <c r="B86" s="10">
        <f>IF(A86="","",IFERROR(VLOOKUP(A86,Titres!$A$2:$B$400,2,FALSE),"Ticker inconnu"))</f>
        <v/>
      </c>
      <c r="C86" s="11" t="n">
        <v>2024</v>
      </c>
      <c r="D86" s="11" t="inlineStr">
        <is>
          <t>T1</t>
        </is>
      </c>
      <c r="E86" s="9" t="n"/>
      <c r="F86" s="12" t="n"/>
      <c r="G86" s="9" t="n"/>
      <c r="H86" s="13" t="n"/>
      <c r="I86" s="13" t="n"/>
      <c r="J86" s="13" t="n"/>
      <c r="K86" s="13" t="n"/>
      <c r="L86" s="13" t="n"/>
      <c r="M86" s="13" t="n"/>
      <c r="N86" s="13" t="n"/>
      <c r="O86" s="13" t="n"/>
      <c r="P86" s="14">
        <f>IF(A86="","",COUNT(H86:O86)/8)</f>
        <v/>
      </c>
      <c r="Q86" s="15">
        <f>IF(COUNT(H86:O86)=0,"",IF(LEN(IF(COUNT(H86,I86,J86)=3,IF(ABS(H86+I86-J86)&lt;=MAX(1,0.02*ABS(J86)),"","RBE &lt;&gt; PNB + frais "),"")&amp;IF(COUNT(J86,K86,L86)=3,IF(ABS(J86+K86-L86)&lt;=MAX(1,0.03*ABS(L86)),"","RAI &lt;&gt; RBE + coût du risque "),"")&amp;IF(COUNT(H86,M86)=2,IF(ABS(M86)&gt;ABS(H86),"RN &gt; PNB ",""),""))=0,"OK",IF(COUNT(H86,I86,J86)=3,IF(ABS(H86+I86-J86)&lt;=MAX(1,0.02*ABS(J86)),"","RBE &lt;&gt; PNB + frais "),"")&amp;IF(COUNT(J86,K86,L86)=3,IF(ABS(J86+K86-L86)&lt;=MAX(1,0.03*ABS(L86)),"","RAI &lt;&gt; RBE + coût du risque "),"")&amp;IF(COUNT(H86,M86)=2,IF(ABS(M86)&gt;ABS(H86),"RN &gt; PNB ",""),"")))</f>
        <v/>
      </c>
      <c r="R86" s="16">
        <f>IF(OR($A86="",H86="",$C86=""),"",IF(COUNTIFS($A$5:$A$315,$A86,$C$5:$C$315,$C86-1,$D$5:$D$315,$D86,H$5:H$315,"&lt;&gt;")=0,"",IF(OR(SUMIFS(H$5:H$315,$A$5:$A$315,$A86,$C$5:$C$315,$C86-1,$D$5:$D$315,$D86)=0,H86*SUMIFS(H$5:H$315,$A$5:$A$315,$A86,$C$5:$C$315,$C86-1,$D$5:$D$315,$D86)&lt;0),"n.s.",ABS(H86)/ABS(SUMIFS(H$5:H$315,$A$5:$A$315,$A86,$C$5:$C$315,$C86-1,$D$5:$D$315,$D86))-1)))</f>
        <v/>
      </c>
      <c r="S86" s="16">
        <f>IF(OR($A86="",I86="",$C86=""),"",IF(COUNTIFS($A$5:$A$315,$A86,$C$5:$C$315,$C86-1,$D$5:$D$315,$D86,I$5:I$315,"&lt;&gt;")=0,"",IF(OR(SUMIFS(I$5:I$315,$A$5:$A$315,$A86,$C$5:$C$315,$C86-1,$D$5:$D$315,$D86)=0,I86*SUMIFS(I$5:I$315,$A$5:$A$315,$A86,$C$5:$C$315,$C86-1,$D$5:$D$315,$D86)&lt;0),"n.s.",ABS(I86)/ABS(SUMIFS(I$5:I$315,$A$5:$A$315,$A86,$C$5:$C$315,$C86-1,$D$5:$D$315,$D86))-1)))</f>
        <v/>
      </c>
      <c r="T86" s="16">
        <f>IF(OR($A86="",J86="",$C86=""),"",IF(COUNTIFS($A$5:$A$315,$A86,$C$5:$C$315,$C86-1,$D$5:$D$315,$D86,J$5:J$315,"&lt;&gt;")=0,"",IF(OR(SUMIFS(J$5:J$315,$A$5:$A$315,$A86,$C$5:$C$315,$C86-1,$D$5:$D$315,$D86)=0,J86*SUMIFS(J$5:J$315,$A$5:$A$315,$A86,$C$5:$C$315,$C86-1,$D$5:$D$315,$D86)&lt;0),"n.s.",ABS(J86)/ABS(SUMIFS(J$5:J$315,$A$5:$A$315,$A86,$C$5:$C$315,$C86-1,$D$5:$D$315,$D86))-1)))</f>
        <v/>
      </c>
      <c r="U86" s="16">
        <f>IF(OR($A86="",K86="",$C86=""),"",IF(COUNTIFS($A$5:$A$315,$A86,$C$5:$C$315,$C86-1,$D$5:$D$315,$D86,K$5:K$315,"&lt;&gt;")=0,"",IF(OR(SUMIFS(K$5:K$315,$A$5:$A$315,$A86,$C$5:$C$315,$C86-1,$D$5:$D$315,$D86)=0,K86*SUMIFS(K$5:K$315,$A$5:$A$315,$A86,$C$5:$C$315,$C86-1,$D$5:$D$315,$D86)&lt;0),"n.s.",ABS(K86)/ABS(SUMIFS(K$5:K$315,$A$5:$A$315,$A86,$C$5:$C$315,$C86-1,$D$5:$D$315,$D86))-1)))</f>
        <v/>
      </c>
      <c r="V86" s="16">
        <f>IF(OR($A86="",L86="",$C86=""),"",IF(COUNTIFS($A$5:$A$315,$A86,$C$5:$C$315,$C86-1,$D$5:$D$315,$D86,L$5:L$315,"&lt;&gt;")=0,"",IF(OR(SUMIFS(L$5:L$315,$A$5:$A$315,$A86,$C$5:$C$315,$C86-1,$D$5:$D$315,$D86)=0,L86*SUMIFS(L$5:L$315,$A$5:$A$315,$A86,$C$5:$C$315,$C86-1,$D$5:$D$315,$D86)&lt;0),"n.s.",ABS(L86)/ABS(SUMIFS(L$5:L$315,$A$5:$A$315,$A86,$C$5:$C$315,$C86-1,$D$5:$D$315,$D86))-1)))</f>
        <v/>
      </c>
      <c r="W86" s="16">
        <f>IF(OR($A86="",M86="",$C86=""),"",IF(COUNTIFS($A$5:$A$315,$A86,$C$5:$C$315,$C86-1,$D$5:$D$315,$D86,M$5:M$315,"&lt;&gt;")=0,"",IF(OR(SUMIFS(M$5:M$315,$A$5:$A$315,$A86,$C$5:$C$315,$C86-1,$D$5:$D$315,$D86)=0,M86*SUMIFS(M$5:M$315,$A$5:$A$315,$A86,$C$5:$C$315,$C86-1,$D$5:$D$315,$D86)&lt;0),"n.s.",ABS(M86)/ABS(SUMIFS(M$5:M$315,$A$5:$A$315,$A86,$C$5:$C$315,$C86-1,$D$5:$D$315,$D86))-1)))</f>
        <v/>
      </c>
      <c r="X86" s="16">
        <f>IF(OR($A86="",N86="",$C86=""),"",IF(COUNTIFS($A$5:$A$315,$A86,$C$5:$C$315,$C86-1,$D$5:$D$315,$D86,N$5:N$315,"&lt;&gt;")=0,"",IF(OR(SUMIFS(N$5:N$315,$A$5:$A$315,$A86,$C$5:$C$315,$C86-1,$D$5:$D$315,$D86)=0,N86*SUMIFS(N$5:N$315,$A$5:$A$315,$A86,$C$5:$C$315,$C86-1,$D$5:$D$315,$D86)&lt;0),"n.s.",ABS(N86)/ABS(SUMIFS(N$5:N$315,$A$5:$A$315,$A86,$C$5:$C$315,$C86-1,$D$5:$D$315,$D86))-1)))</f>
        <v/>
      </c>
      <c r="Y86" s="16">
        <f>IF(OR($A86="",O86="",$C86=""),"",IF(COUNTIFS($A$5:$A$315,$A86,$C$5:$C$315,$C86-1,$D$5:$D$315,$D86,O$5:O$315,"&lt;&gt;")=0,"",IF(OR(SUMIFS(O$5:O$315,$A$5:$A$315,$A86,$C$5:$C$315,$C86-1,$D$5:$D$315,$D86)=0,O86*SUMIFS(O$5:O$315,$A$5:$A$315,$A86,$C$5:$C$315,$C86-1,$D$5:$D$315,$D86)&lt;0),"n.s.",ABS(O86)/ABS(SUMIFS(O$5:O$315,$A$5:$A$315,$A86,$C$5:$C$315,$C86-1,$D$5:$D$315,$D86))-1)))</f>
        <v/>
      </c>
    </row>
    <row r="87">
      <c r="A87" s="9" t="inlineStr">
        <is>
          <t>BOABF</t>
        </is>
      </c>
      <c r="B87" s="10">
        <f>IF(A87="","",IFERROR(VLOOKUP(A87,Titres!$A$2:$B$400,2,FALSE),"Ticker inconnu"))</f>
        <v/>
      </c>
      <c r="C87" s="11" t="n">
        <v>2024</v>
      </c>
      <c r="D87" s="11" t="inlineStr">
        <is>
          <t>S1</t>
        </is>
      </c>
      <c r="E87" s="9" t="n"/>
      <c r="F87" s="12" t="n"/>
      <c r="G87" s="9" t="n"/>
      <c r="H87" s="13" t="n"/>
      <c r="I87" s="13" t="n"/>
      <c r="J87" s="13" t="n"/>
      <c r="K87" s="13" t="n"/>
      <c r="L87" s="13" t="n"/>
      <c r="M87" s="13" t="n"/>
      <c r="N87" s="13" t="n"/>
      <c r="O87" s="13" t="n"/>
      <c r="P87" s="14">
        <f>IF(A87="","",COUNT(H87:O87)/8)</f>
        <v/>
      </c>
      <c r="Q87" s="15">
        <f>IF(COUNT(H87:O87)=0,"",IF(LEN(IF(COUNT(H87,I87,J87)=3,IF(ABS(H87+I87-J87)&lt;=MAX(1,0.02*ABS(J87)),"","RBE &lt;&gt; PNB + frais "),"")&amp;IF(COUNT(J87,K87,L87)=3,IF(ABS(J87+K87-L87)&lt;=MAX(1,0.03*ABS(L87)),"","RAI &lt;&gt; RBE + coût du risque "),"")&amp;IF(COUNT(H87,M87)=2,IF(ABS(M87)&gt;ABS(H87),"RN &gt; PNB ",""),""))=0,"OK",IF(COUNT(H87,I87,J87)=3,IF(ABS(H87+I87-J87)&lt;=MAX(1,0.02*ABS(J87)),"","RBE &lt;&gt; PNB + frais "),"")&amp;IF(COUNT(J87,K87,L87)=3,IF(ABS(J87+K87-L87)&lt;=MAX(1,0.03*ABS(L87)),"","RAI &lt;&gt; RBE + coût du risque "),"")&amp;IF(COUNT(H87,M87)=2,IF(ABS(M87)&gt;ABS(H87),"RN &gt; PNB ",""),"")))</f>
        <v/>
      </c>
      <c r="R87" s="16">
        <f>IF(OR($A87="",H87="",$C87=""),"",IF(COUNTIFS($A$5:$A$315,$A87,$C$5:$C$315,$C87-1,$D$5:$D$315,$D87,H$5:H$315,"&lt;&gt;")=0,"",IF(OR(SUMIFS(H$5:H$315,$A$5:$A$315,$A87,$C$5:$C$315,$C87-1,$D$5:$D$315,$D87)=0,H87*SUMIFS(H$5:H$315,$A$5:$A$315,$A87,$C$5:$C$315,$C87-1,$D$5:$D$315,$D87)&lt;0),"n.s.",ABS(H87)/ABS(SUMIFS(H$5:H$315,$A$5:$A$315,$A87,$C$5:$C$315,$C87-1,$D$5:$D$315,$D87))-1)))</f>
        <v/>
      </c>
      <c r="S87" s="16">
        <f>IF(OR($A87="",I87="",$C87=""),"",IF(COUNTIFS($A$5:$A$315,$A87,$C$5:$C$315,$C87-1,$D$5:$D$315,$D87,I$5:I$315,"&lt;&gt;")=0,"",IF(OR(SUMIFS(I$5:I$315,$A$5:$A$315,$A87,$C$5:$C$315,$C87-1,$D$5:$D$315,$D87)=0,I87*SUMIFS(I$5:I$315,$A$5:$A$315,$A87,$C$5:$C$315,$C87-1,$D$5:$D$315,$D87)&lt;0),"n.s.",ABS(I87)/ABS(SUMIFS(I$5:I$315,$A$5:$A$315,$A87,$C$5:$C$315,$C87-1,$D$5:$D$315,$D87))-1)))</f>
        <v/>
      </c>
      <c r="T87" s="16">
        <f>IF(OR($A87="",J87="",$C87=""),"",IF(COUNTIFS($A$5:$A$315,$A87,$C$5:$C$315,$C87-1,$D$5:$D$315,$D87,J$5:J$315,"&lt;&gt;")=0,"",IF(OR(SUMIFS(J$5:J$315,$A$5:$A$315,$A87,$C$5:$C$315,$C87-1,$D$5:$D$315,$D87)=0,J87*SUMIFS(J$5:J$315,$A$5:$A$315,$A87,$C$5:$C$315,$C87-1,$D$5:$D$315,$D87)&lt;0),"n.s.",ABS(J87)/ABS(SUMIFS(J$5:J$315,$A$5:$A$315,$A87,$C$5:$C$315,$C87-1,$D$5:$D$315,$D87))-1)))</f>
        <v/>
      </c>
      <c r="U87" s="16">
        <f>IF(OR($A87="",K87="",$C87=""),"",IF(COUNTIFS($A$5:$A$315,$A87,$C$5:$C$315,$C87-1,$D$5:$D$315,$D87,K$5:K$315,"&lt;&gt;")=0,"",IF(OR(SUMIFS(K$5:K$315,$A$5:$A$315,$A87,$C$5:$C$315,$C87-1,$D$5:$D$315,$D87)=0,K87*SUMIFS(K$5:K$315,$A$5:$A$315,$A87,$C$5:$C$315,$C87-1,$D$5:$D$315,$D87)&lt;0),"n.s.",ABS(K87)/ABS(SUMIFS(K$5:K$315,$A$5:$A$315,$A87,$C$5:$C$315,$C87-1,$D$5:$D$315,$D87))-1)))</f>
        <v/>
      </c>
      <c r="V87" s="16">
        <f>IF(OR($A87="",L87="",$C87=""),"",IF(COUNTIFS($A$5:$A$315,$A87,$C$5:$C$315,$C87-1,$D$5:$D$315,$D87,L$5:L$315,"&lt;&gt;")=0,"",IF(OR(SUMIFS(L$5:L$315,$A$5:$A$315,$A87,$C$5:$C$315,$C87-1,$D$5:$D$315,$D87)=0,L87*SUMIFS(L$5:L$315,$A$5:$A$315,$A87,$C$5:$C$315,$C87-1,$D$5:$D$315,$D87)&lt;0),"n.s.",ABS(L87)/ABS(SUMIFS(L$5:L$315,$A$5:$A$315,$A87,$C$5:$C$315,$C87-1,$D$5:$D$315,$D87))-1)))</f>
        <v/>
      </c>
      <c r="W87" s="16">
        <f>IF(OR($A87="",M87="",$C87=""),"",IF(COUNTIFS($A$5:$A$315,$A87,$C$5:$C$315,$C87-1,$D$5:$D$315,$D87,M$5:M$315,"&lt;&gt;")=0,"",IF(OR(SUMIFS(M$5:M$315,$A$5:$A$315,$A87,$C$5:$C$315,$C87-1,$D$5:$D$315,$D87)=0,M87*SUMIFS(M$5:M$315,$A$5:$A$315,$A87,$C$5:$C$315,$C87-1,$D$5:$D$315,$D87)&lt;0),"n.s.",ABS(M87)/ABS(SUMIFS(M$5:M$315,$A$5:$A$315,$A87,$C$5:$C$315,$C87-1,$D$5:$D$315,$D87))-1)))</f>
        <v/>
      </c>
      <c r="X87" s="16">
        <f>IF(OR($A87="",N87="",$C87=""),"",IF(COUNTIFS($A$5:$A$315,$A87,$C$5:$C$315,$C87-1,$D$5:$D$315,$D87,N$5:N$315,"&lt;&gt;")=0,"",IF(OR(SUMIFS(N$5:N$315,$A$5:$A$315,$A87,$C$5:$C$315,$C87-1,$D$5:$D$315,$D87)=0,N87*SUMIFS(N$5:N$315,$A$5:$A$315,$A87,$C$5:$C$315,$C87-1,$D$5:$D$315,$D87)&lt;0),"n.s.",ABS(N87)/ABS(SUMIFS(N$5:N$315,$A$5:$A$315,$A87,$C$5:$C$315,$C87-1,$D$5:$D$315,$D87))-1)))</f>
        <v/>
      </c>
      <c r="Y87" s="16">
        <f>IF(OR($A87="",O87="",$C87=""),"",IF(COUNTIFS($A$5:$A$315,$A87,$C$5:$C$315,$C87-1,$D$5:$D$315,$D87,O$5:O$315,"&lt;&gt;")=0,"",IF(OR(SUMIFS(O$5:O$315,$A$5:$A$315,$A87,$C$5:$C$315,$C87-1,$D$5:$D$315,$D87)=0,O87*SUMIFS(O$5:O$315,$A$5:$A$315,$A87,$C$5:$C$315,$C87-1,$D$5:$D$315,$D87)&lt;0),"n.s.",ABS(O87)/ABS(SUMIFS(O$5:O$315,$A$5:$A$315,$A87,$C$5:$C$315,$C87-1,$D$5:$D$315,$D87))-1)))</f>
        <v/>
      </c>
    </row>
    <row r="88">
      <c r="A88" s="9" t="inlineStr">
        <is>
          <t>BOABF</t>
        </is>
      </c>
      <c r="B88" s="10">
        <f>IF(A88="","",IFERROR(VLOOKUP(A88,Titres!$A$2:$B$400,2,FALSE),"Ticker inconnu"))</f>
        <v/>
      </c>
      <c r="C88" s="11" t="n">
        <v>2024</v>
      </c>
      <c r="D88" s="11" t="inlineStr">
        <is>
          <t>T3</t>
        </is>
      </c>
      <c r="E88" s="9" t="n"/>
      <c r="F88" s="12" t="n"/>
      <c r="G88" s="9" t="n"/>
      <c r="H88" s="13" t="n"/>
      <c r="I88" s="13" t="n"/>
      <c r="J88" s="13" t="n"/>
      <c r="K88" s="13" t="n"/>
      <c r="L88" s="13" t="n"/>
      <c r="M88" s="13" t="n"/>
      <c r="N88" s="13" t="n"/>
      <c r="O88" s="13" t="n"/>
      <c r="P88" s="14">
        <f>IF(A88="","",COUNT(H88:O88)/8)</f>
        <v/>
      </c>
      <c r="Q88" s="15">
        <f>IF(COUNT(H88:O88)=0,"",IF(LEN(IF(COUNT(H88,I88,J88)=3,IF(ABS(H88+I88-J88)&lt;=MAX(1,0.02*ABS(J88)),"","RBE &lt;&gt; PNB + frais "),"")&amp;IF(COUNT(J88,K88,L88)=3,IF(ABS(J88+K88-L88)&lt;=MAX(1,0.03*ABS(L88)),"","RAI &lt;&gt; RBE + coût du risque "),"")&amp;IF(COUNT(H88,M88)=2,IF(ABS(M88)&gt;ABS(H88),"RN &gt; PNB ",""),""))=0,"OK",IF(COUNT(H88,I88,J88)=3,IF(ABS(H88+I88-J88)&lt;=MAX(1,0.02*ABS(J88)),"","RBE &lt;&gt; PNB + frais "),"")&amp;IF(COUNT(J88,K88,L88)=3,IF(ABS(J88+K88-L88)&lt;=MAX(1,0.03*ABS(L88)),"","RAI &lt;&gt; RBE + coût du risque "),"")&amp;IF(COUNT(H88,M88)=2,IF(ABS(M88)&gt;ABS(H88),"RN &gt; PNB ",""),"")))</f>
        <v/>
      </c>
      <c r="R88" s="16">
        <f>IF(OR($A88="",H88="",$C88=""),"",IF(COUNTIFS($A$5:$A$315,$A88,$C$5:$C$315,$C88-1,$D$5:$D$315,$D88,H$5:H$315,"&lt;&gt;")=0,"",IF(OR(SUMIFS(H$5:H$315,$A$5:$A$315,$A88,$C$5:$C$315,$C88-1,$D$5:$D$315,$D88)=0,H88*SUMIFS(H$5:H$315,$A$5:$A$315,$A88,$C$5:$C$315,$C88-1,$D$5:$D$315,$D88)&lt;0),"n.s.",ABS(H88)/ABS(SUMIFS(H$5:H$315,$A$5:$A$315,$A88,$C$5:$C$315,$C88-1,$D$5:$D$315,$D88))-1)))</f>
        <v/>
      </c>
      <c r="S88" s="16">
        <f>IF(OR($A88="",I88="",$C88=""),"",IF(COUNTIFS($A$5:$A$315,$A88,$C$5:$C$315,$C88-1,$D$5:$D$315,$D88,I$5:I$315,"&lt;&gt;")=0,"",IF(OR(SUMIFS(I$5:I$315,$A$5:$A$315,$A88,$C$5:$C$315,$C88-1,$D$5:$D$315,$D88)=0,I88*SUMIFS(I$5:I$315,$A$5:$A$315,$A88,$C$5:$C$315,$C88-1,$D$5:$D$315,$D88)&lt;0),"n.s.",ABS(I88)/ABS(SUMIFS(I$5:I$315,$A$5:$A$315,$A88,$C$5:$C$315,$C88-1,$D$5:$D$315,$D88))-1)))</f>
        <v/>
      </c>
      <c r="T88" s="16">
        <f>IF(OR($A88="",J88="",$C88=""),"",IF(COUNTIFS($A$5:$A$315,$A88,$C$5:$C$315,$C88-1,$D$5:$D$315,$D88,J$5:J$315,"&lt;&gt;")=0,"",IF(OR(SUMIFS(J$5:J$315,$A$5:$A$315,$A88,$C$5:$C$315,$C88-1,$D$5:$D$315,$D88)=0,J88*SUMIFS(J$5:J$315,$A$5:$A$315,$A88,$C$5:$C$315,$C88-1,$D$5:$D$315,$D88)&lt;0),"n.s.",ABS(J88)/ABS(SUMIFS(J$5:J$315,$A$5:$A$315,$A88,$C$5:$C$315,$C88-1,$D$5:$D$315,$D88))-1)))</f>
        <v/>
      </c>
      <c r="U88" s="16">
        <f>IF(OR($A88="",K88="",$C88=""),"",IF(COUNTIFS($A$5:$A$315,$A88,$C$5:$C$315,$C88-1,$D$5:$D$315,$D88,K$5:K$315,"&lt;&gt;")=0,"",IF(OR(SUMIFS(K$5:K$315,$A$5:$A$315,$A88,$C$5:$C$315,$C88-1,$D$5:$D$315,$D88)=0,K88*SUMIFS(K$5:K$315,$A$5:$A$315,$A88,$C$5:$C$315,$C88-1,$D$5:$D$315,$D88)&lt;0),"n.s.",ABS(K88)/ABS(SUMIFS(K$5:K$315,$A$5:$A$315,$A88,$C$5:$C$315,$C88-1,$D$5:$D$315,$D88))-1)))</f>
        <v/>
      </c>
      <c r="V88" s="16">
        <f>IF(OR($A88="",L88="",$C88=""),"",IF(COUNTIFS($A$5:$A$315,$A88,$C$5:$C$315,$C88-1,$D$5:$D$315,$D88,L$5:L$315,"&lt;&gt;")=0,"",IF(OR(SUMIFS(L$5:L$315,$A$5:$A$315,$A88,$C$5:$C$315,$C88-1,$D$5:$D$315,$D88)=0,L88*SUMIFS(L$5:L$315,$A$5:$A$315,$A88,$C$5:$C$315,$C88-1,$D$5:$D$315,$D88)&lt;0),"n.s.",ABS(L88)/ABS(SUMIFS(L$5:L$315,$A$5:$A$315,$A88,$C$5:$C$315,$C88-1,$D$5:$D$315,$D88))-1)))</f>
        <v/>
      </c>
      <c r="W88" s="16">
        <f>IF(OR($A88="",M88="",$C88=""),"",IF(COUNTIFS($A$5:$A$315,$A88,$C$5:$C$315,$C88-1,$D$5:$D$315,$D88,M$5:M$315,"&lt;&gt;")=0,"",IF(OR(SUMIFS(M$5:M$315,$A$5:$A$315,$A88,$C$5:$C$315,$C88-1,$D$5:$D$315,$D88)=0,M88*SUMIFS(M$5:M$315,$A$5:$A$315,$A88,$C$5:$C$315,$C88-1,$D$5:$D$315,$D88)&lt;0),"n.s.",ABS(M88)/ABS(SUMIFS(M$5:M$315,$A$5:$A$315,$A88,$C$5:$C$315,$C88-1,$D$5:$D$315,$D88))-1)))</f>
        <v/>
      </c>
      <c r="X88" s="16">
        <f>IF(OR($A88="",N88="",$C88=""),"",IF(COUNTIFS($A$5:$A$315,$A88,$C$5:$C$315,$C88-1,$D$5:$D$315,$D88,N$5:N$315,"&lt;&gt;")=0,"",IF(OR(SUMIFS(N$5:N$315,$A$5:$A$315,$A88,$C$5:$C$315,$C88-1,$D$5:$D$315,$D88)=0,N88*SUMIFS(N$5:N$315,$A$5:$A$315,$A88,$C$5:$C$315,$C88-1,$D$5:$D$315,$D88)&lt;0),"n.s.",ABS(N88)/ABS(SUMIFS(N$5:N$315,$A$5:$A$315,$A88,$C$5:$C$315,$C88-1,$D$5:$D$315,$D88))-1)))</f>
        <v/>
      </c>
      <c r="Y88" s="16">
        <f>IF(OR($A88="",O88="",$C88=""),"",IF(COUNTIFS($A$5:$A$315,$A88,$C$5:$C$315,$C88-1,$D$5:$D$315,$D88,O$5:O$315,"&lt;&gt;")=0,"",IF(OR(SUMIFS(O$5:O$315,$A$5:$A$315,$A88,$C$5:$C$315,$C88-1,$D$5:$D$315,$D88)=0,O88*SUMIFS(O$5:O$315,$A$5:$A$315,$A88,$C$5:$C$315,$C88-1,$D$5:$D$315,$D88)&lt;0),"n.s.",ABS(O88)/ABS(SUMIFS(O$5:O$315,$A$5:$A$315,$A88,$C$5:$C$315,$C88-1,$D$5:$D$315,$D88))-1)))</f>
        <v/>
      </c>
    </row>
    <row r="89">
      <c r="A89" s="9" t="inlineStr">
        <is>
          <t>BOABF</t>
        </is>
      </c>
      <c r="B89" s="10">
        <f>IF(A89="","",IFERROR(VLOOKUP(A89,Titres!$A$2:$B$400,2,FALSE),"Ticker inconnu"))</f>
        <v/>
      </c>
      <c r="C89" s="11" t="n">
        <v>2025</v>
      </c>
      <c r="D89" s="11" t="inlineStr">
        <is>
          <t>T1</t>
        </is>
      </c>
      <c r="E89" s="9" t="n"/>
      <c r="F89" s="12" t="n"/>
      <c r="G89" s="9" t="n"/>
      <c r="H89" s="13" t="n"/>
      <c r="I89" s="13" t="n"/>
      <c r="J89" s="13" t="n"/>
      <c r="K89" s="13" t="n"/>
      <c r="L89" s="13" t="n"/>
      <c r="M89" s="13" t="n"/>
      <c r="N89" s="13" t="n"/>
      <c r="O89" s="13" t="n"/>
      <c r="P89" s="14">
        <f>IF(A89="","",COUNT(H89:O89)/8)</f>
        <v/>
      </c>
      <c r="Q89" s="15">
        <f>IF(COUNT(H89:O89)=0,"",IF(LEN(IF(COUNT(H89,I89,J89)=3,IF(ABS(H89+I89-J89)&lt;=MAX(1,0.02*ABS(J89)),"","RBE &lt;&gt; PNB + frais "),"")&amp;IF(COUNT(J89,K89,L89)=3,IF(ABS(J89+K89-L89)&lt;=MAX(1,0.03*ABS(L89)),"","RAI &lt;&gt; RBE + coût du risque "),"")&amp;IF(COUNT(H89,M89)=2,IF(ABS(M89)&gt;ABS(H89),"RN &gt; PNB ",""),""))=0,"OK",IF(COUNT(H89,I89,J89)=3,IF(ABS(H89+I89-J89)&lt;=MAX(1,0.02*ABS(J89)),"","RBE &lt;&gt; PNB + frais "),"")&amp;IF(COUNT(J89,K89,L89)=3,IF(ABS(J89+K89-L89)&lt;=MAX(1,0.03*ABS(L89)),"","RAI &lt;&gt; RBE + coût du risque "),"")&amp;IF(COUNT(H89,M89)=2,IF(ABS(M89)&gt;ABS(H89),"RN &gt; PNB ",""),"")))</f>
        <v/>
      </c>
      <c r="R89" s="16">
        <f>IF(OR($A89="",H89="",$C89=""),"",IF(COUNTIFS($A$5:$A$315,$A89,$C$5:$C$315,$C89-1,$D$5:$D$315,$D89,H$5:H$315,"&lt;&gt;")=0,"",IF(OR(SUMIFS(H$5:H$315,$A$5:$A$315,$A89,$C$5:$C$315,$C89-1,$D$5:$D$315,$D89)=0,H89*SUMIFS(H$5:H$315,$A$5:$A$315,$A89,$C$5:$C$315,$C89-1,$D$5:$D$315,$D89)&lt;0),"n.s.",ABS(H89)/ABS(SUMIFS(H$5:H$315,$A$5:$A$315,$A89,$C$5:$C$315,$C89-1,$D$5:$D$315,$D89))-1)))</f>
        <v/>
      </c>
      <c r="S89" s="16">
        <f>IF(OR($A89="",I89="",$C89=""),"",IF(COUNTIFS($A$5:$A$315,$A89,$C$5:$C$315,$C89-1,$D$5:$D$315,$D89,I$5:I$315,"&lt;&gt;")=0,"",IF(OR(SUMIFS(I$5:I$315,$A$5:$A$315,$A89,$C$5:$C$315,$C89-1,$D$5:$D$315,$D89)=0,I89*SUMIFS(I$5:I$315,$A$5:$A$315,$A89,$C$5:$C$315,$C89-1,$D$5:$D$315,$D89)&lt;0),"n.s.",ABS(I89)/ABS(SUMIFS(I$5:I$315,$A$5:$A$315,$A89,$C$5:$C$315,$C89-1,$D$5:$D$315,$D89))-1)))</f>
        <v/>
      </c>
      <c r="T89" s="16">
        <f>IF(OR($A89="",J89="",$C89=""),"",IF(COUNTIFS($A$5:$A$315,$A89,$C$5:$C$315,$C89-1,$D$5:$D$315,$D89,J$5:J$315,"&lt;&gt;")=0,"",IF(OR(SUMIFS(J$5:J$315,$A$5:$A$315,$A89,$C$5:$C$315,$C89-1,$D$5:$D$315,$D89)=0,J89*SUMIFS(J$5:J$315,$A$5:$A$315,$A89,$C$5:$C$315,$C89-1,$D$5:$D$315,$D89)&lt;0),"n.s.",ABS(J89)/ABS(SUMIFS(J$5:J$315,$A$5:$A$315,$A89,$C$5:$C$315,$C89-1,$D$5:$D$315,$D89))-1)))</f>
        <v/>
      </c>
      <c r="U89" s="16">
        <f>IF(OR($A89="",K89="",$C89=""),"",IF(COUNTIFS($A$5:$A$315,$A89,$C$5:$C$315,$C89-1,$D$5:$D$315,$D89,K$5:K$315,"&lt;&gt;")=0,"",IF(OR(SUMIFS(K$5:K$315,$A$5:$A$315,$A89,$C$5:$C$315,$C89-1,$D$5:$D$315,$D89)=0,K89*SUMIFS(K$5:K$315,$A$5:$A$315,$A89,$C$5:$C$315,$C89-1,$D$5:$D$315,$D89)&lt;0),"n.s.",ABS(K89)/ABS(SUMIFS(K$5:K$315,$A$5:$A$315,$A89,$C$5:$C$315,$C89-1,$D$5:$D$315,$D89))-1)))</f>
        <v/>
      </c>
      <c r="V89" s="16">
        <f>IF(OR($A89="",L89="",$C89=""),"",IF(COUNTIFS($A$5:$A$315,$A89,$C$5:$C$315,$C89-1,$D$5:$D$315,$D89,L$5:L$315,"&lt;&gt;")=0,"",IF(OR(SUMIFS(L$5:L$315,$A$5:$A$315,$A89,$C$5:$C$315,$C89-1,$D$5:$D$315,$D89)=0,L89*SUMIFS(L$5:L$315,$A$5:$A$315,$A89,$C$5:$C$315,$C89-1,$D$5:$D$315,$D89)&lt;0),"n.s.",ABS(L89)/ABS(SUMIFS(L$5:L$315,$A$5:$A$315,$A89,$C$5:$C$315,$C89-1,$D$5:$D$315,$D89))-1)))</f>
        <v/>
      </c>
      <c r="W89" s="16">
        <f>IF(OR($A89="",M89="",$C89=""),"",IF(COUNTIFS($A$5:$A$315,$A89,$C$5:$C$315,$C89-1,$D$5:$D$315,$D89,M$5:M$315,"&lt;&gt;")=0,"",IF(OR(SUMIFS(M$5:M$315,$A$5:$A$315,$A89,$C$5:$C$315,$C89-1,$D$5:$D$315,$D89)=0,M89*SUMIFS(M$5:M$315,$A$5:$A$315,$A89,$C$5:$C$315,$C89-1,$D$5:$D$315,$D89)&lt;0),"n.s.",ABS(M89)/ABS(SUMIFS(M$5:M$315,$A$5:$A$315,$A89,$C$5:$C$315,$C89-1,$D$5:$D$315,$D89))-1)))</f>
        <v/>
      </c>
      <c r="X89" s="16">
        <f>IF(OR($A89="",N89="",$C89=""),"",IF(COUNTIFS($A$5:$A$315,$A89,$C$5:$C$315,$C89-1,$D$5:$D$315,$D89,N$5:N$315,"&lt;&gt;")=0,"",IF(OR(SUMIFS(N$5:N$315,$A$5:$A$315,$A89,$C$5:$C$315,$C89-1,$D$5:$D$315,$D89)=0,N89*SUMIFS(N$5:N$315,$A$5:$A$315,$A89,$C$5:$C$315,$C89-1,$D$5:$D$315,$D89)&lt;0),"n.s.",ABS(N89)/ABS(SUMIFS(N$5:N$315,$A$5:$A$315,$A89,$C$5:$C$315,$C89-1,$D$5:$D$315,$D89))-1)))</f>
        <v/>
      </c>
      <c r="Y89" s="16">
        <f>IF(OR($A89="",O89="",$C89=""),"",IF(COUNTIFS($A$5:$A$315,$A89,$C$5:$C$315,$C89-1,$D$5:$D$315,$D89,O$5:O$315,"&lt;&gt;")=0,"",IF(OR(SUMIFS(O$5:O$315,$A$5:$A$315,$A89,$C$5:$C$315,$C89-1,$D$5:$D$315,$D89)=0,O89*SUMIFS(O$5:O$315,$A$5:$A$315,$A89,$C$5:$C$315,$C89-1,$D$5:$D$315,$D89)&lt;0),"n.s.",ABS(O89)/ABS(SUMIFS(O$5:O$315,$A$5:$A$315,$A89,$C$5:$C$315,$C89-1,$D$5:$D$315,$D89))-1)))</f>
        <v/>
      </c>
    </row>
    <row r="90">
      <c r="A90" s="9" t="inlineStr">
        <is>
          <t>BOABF</t>
        </is>
      </c>
      <c r="B90" s="10">
        <f>IF(A90="","",IFERROR(VLOOKUP(A90,Titres!$A$2:$B$400,2,FALSE),"Ticker inconnu"))</f>
        <v/>
      </c>
      <c r="C90" s="11" t="n">
        <v>2025</v>
      </c>
      <c r="D90" s="11" t="inlineStr">
        <is>
          <t>S1</t>
        </is>
      </c>
      <c r="E90" s="9" t="n"/>
      <c r="F90" s="12" t="n"/>
      <c r="G90" s="9" t="n"/>
      <c r="H90" s="13" t="n"/>
      <c r="I90" s="13" t="n"/>
      <c r="J90" s="13" t="n"/>
      <c r="K90" s="13" t="n"/>
      <c r="L90" s="13" t="n"/>
      <c r="M90" s="13" t="n"/>
      <c r="N90" s="13" t="n"/>
      <c r="O90" s="13" t="n"/>
      <c r="P90" s="14">
        <f>IF(A90="","",COUNT(H90:O90)/8)</f>
        <v/>
      </c>
      <c r="Q90" s="15">
        <f>IF(COUNT(H90:O90)=0,"",IF(LEN(IF(COUNT(H90,I90,J90)=3,IF(ABS(H90+I90-J90)&lt;=MAX(1,0.02*ABS(J90)),"","RBE &lt;&gt; PNB + frais "),"")&amp;IF(COUNT(J90,K90,L90)=3,IF(ABS(J90+K90-L90)&lt;=MAX(1,0.03*ABS(L90)),"","RAI &lt;&gt; RBE + coût du risque "),"")&amp;IF(COUNT(H90,M90)=2,IF(ABS(M90)&gt;ABS(H90),"RN &gt; PNB ",""),""))=0,"OK",IF(COUNT(H90,I90,J90)=3,IF(ABS(H90+I90-J90)&lt;=MAX(1,0.02*ABS(J90)),"","RBE &lt;&gt; PNB + frais "),"")&amp;IF(COUNT(J90,K90,L90)=3,IF(ABS(J90+K90-L90)&lt;=MAX(1,0.03*ABS(L90)),"","RAI &lt;&gt; RBE + coût du risque "),"")&amp;IF(COUNT(H90,M90)=2,IF(ABS(M90)&gt;ABS(H90),"RN &gt; PNB ",""),"")))</f>
        <v/>
      </c>
      <c r="R90" s="16">
        <f>IF(OR($A90="",H90="",$C90=""),"",IF(COUNTIFS($A$5:$A$315,$A90,$C$5:$C$315,$C90-1,$D$5:$D$315,$D90,H$5:H$315,"&lt;&gt;")=0,"",IF(OR(SUMIFS(H$5:H$315,$A$5:$A$315,$A90,$C$5:$C$315,$C90-1,$D$5:$D$315,$D90)=0,H90*SUMIFS(H$5:H$315,$A$5:$A$315,$A90,$C$5:$C$315,$C90-1,$D$5:$D$315,$D90)&lt;0),"n.s.",ABS(H90)/ABS(SUMIFS(H$5:H$315,$A$5:$A$315,$A90,$C$5:$C$315,$C90-1,$D$5:$D$315,$D90))-1)))</f>
        <v/>
      </c>
      <c r="S90" s="16">
        <f>IF(OR($A90="",I90="",$C90=""),"",IF(COUNTIFS($A$5:$A$315,$A90,$C$5:$C$315,$C90-1,$D$5:$D$315,$D90,I$5:I$315,"&lt;&gt;")=0,"",IF(OR(SUMIFS(I$5:I$315,$A$5:$A$315,$A90,$C$5:$C$315,$C90-1,$D$5:$D$315,$D90)=0,I90*SUMIFS(I$5:I$315,$A$5:$A$315,$A90,$C$5:$C$315,$C90-1,$D$5:$D$315,$D90)&lt;0),"n.s.",ABS(I90)/ABS(SUMIFS(I$5:I$315,$A$5:$A$315,$A90,$C$5:$C$315,$C90-1,$D$5:$D$315,$D90))-1)))</f>
        <v/>
      </c>
      <c r="T90" s="16">
        <f>IF(OR($A90="",J90="",$C90=""),"",IF(COUNTIFS($A$5:$A$315,$A90,$C$5:$C$315,$C90-1,$D$5:$D$315,$D90,J$5:J$315,"&lt;&gt;")=0,"",IF(OR(SUMIFS(J$5:J$315,$A$5:$A$315,$A90,$C$5:$C$315,$C90-1,$D$5:$D$315,$D90)=0,J90*SUMIFS(J$5:J$315,$A$5:$A$315,$A90,$C$5:$C$315,$C90-1,$D$5:$D$315,$D90)&lt;0),"n.s.",ABS(J90)/ABS(SUMIFS(J$5:J$315,$A$5:$A$315,$A90,$C$5:$C$315,$C90-1,$D$5:$D$315,$D90))-1)))</f>
        <v/>
      </c>
      <c r="U90" s="16">
        <f>IF(OR($A90="",K90="",$C90=""),"",IF(COUNTIFS($A$5:$A$315,$A90,$C$5:$C$315,$C90-1,$D$5:$D$315,$D90,K$5:K$315,"&lt;&gt;")=0,"",IF(OR(SUMIFS(K$5:K$315,$A$5:$A$315,$A90,$C$5:$C$315,$C90-1,$D$5:$D$315,$D90)=0,K90*SUMIFS(K$5:K$315,$A$5:$A$315,$A90,$C$5:$C$315,$C90-1,$D$5:$D$315,$D90)&lt;0),"n.s.",ABS(K90)/ABS(SUMIFS(K$5:K$315,$A$5:$A$315,$A90,$C$5:$C$315,$C90-1,$D$5:$D$315,$D90))-1)))</f>
        <v/>
      </c>
      <c r="V90" s="16">
        <f>IF(OR($A90="",L90="",$C90=""),"",IF(COUNTIFS($A$5:$A$315,$A90,$C$5:$C$315,$C90-1,$D$5:$D$315,$D90,L$5:L$315,"&lt;&gt;")=0,"",IF(OR(SUMIFS(L$5:L$315,$A$5:$A$315,$A90,$C$5:$C$315,$C90-1,$D$5:$D$315,$D90)=0,L90*SUMIFS(L$5:L$315,$A$5:$A$315,$A90,$C$5:$C$315,$C90-1,$D$5:$D$315,$D90)&lt;0),"n.s.",ABS(L90)/ABS(SUMIFS(L$5:L$315,$A$5:$A$315,$A90,$C$5:$C$315,$C90-1,$D$5:$D$315,$D90))-1)))</f>
        <v/>
      </c>
      <c r="W90" s="16">
        <f>IF(OR($A90="",M90="",$C90=""),"",IF(COUNTIFS($A$5:$A$315,$A90,$C$5:$C$315,$C90-1,$D$5:$D$315,$D90,M$5:M$315,"&lt;&gt;")=0,"",IF(OR(SUMIFS(M$5:M$315,$A$5:$A$315,$A90,$C$5:$C$315,$C90-1,$D$5:$D$315,$D90)=0,M90*SUMIFS(M$5:M$315,$A$5:$A$315,$A90,$C$5:$C$315,$C90-1,$D$5:$D$315,$D90)&lt;0),"n.s.",ABS(M90)/ABS(SUMIFS(M$5:M$315,$A$5:$A$315,$A90,$C$5:$C$315,$C90-1,$D$5:$D$315,$D90))-1)))</f>
        <v/>
      </c>
      <c r="X90" s="16">
        <f>IF(OR($A90="",N90="",$C90=""),"",IF(COUNTIFS($A$5:$A$315,$A90,$C$5:$C$315,$C90-1,$D$5:$D$315,$D90,N$5:N$315,"&lt;&gt;")=0,"",IF(OR(SUMIFS(N$5:N$315,$A$5:$A$315,$A90,$C$5:$C$315,$C90-1,$D$5:$D$315,$D90)=0,N90*SUMIFS(N$5:N$315,$A$5:$A$315,$A90,$C$5:$C$315,$C90-1,$D$5:$D$315,$D90)&lt;0),"n.s.",ABS(N90)/ABS(SUMIFS(N$5:N$315,$A$5:$A$315,$A90,$C$5:$C$315,$C90-1,$D$5:$D$315,$D90))-1)))</f>
        <v/>
      </c>
      <c r="Y90" s="16">
        <f>IF(OR($A90="",O90="",$C90=""),"",IF(COUNTIFS($A$5:$A$315,$A90,$C$5:$C$315,$C90-1,$D$5:$D$315,$D90,O$5:O$315,"&lt;&gt;")=0,"",IF(OR(SUMIFS(O$5:O$315,$A$5:$A$315,$A90,$C$5:$C$315,$C90-1,$D$5:$D$315,$D90)=0,O90*SUMIFS(O$5:O$315,$A$5:$A$315,$A90,$C$5:$C$315,$C90-1,$D$5:$D$315,$D90)&lt;0),"n.s.",ABS(O90)/ABS(SUMIFS(O$5:O$315,$A$5:$A$315,$A90,$C$5:$C$315,$C90-1,$D$5:$D$315,$D90))-1)))</f>
        <v/>
      </c>
    </row>
    <row r="91">
      <c r="A91" s="9" t="inlineStr">
        <is>
          <t>BOABF</t>
        </is>
      </c>
      <c r="B91" s="10">
        <f>IF(A91="","",IFERROR(VLOOKUP(A91,Titres!$A$2:$B$400,2,FALSE),"Ticker inconnu"))</f>
        <v/>
      </c>
      <c r="C91" s="11" t="n">
        <v>2025</v>
      </c>
      <c r="D91" s="11" t="inlineStr">
        <is>
          <t>T3</t>
        </is>
      </c>
      <c r="E91" s="9" t="n"/>
      <c r="F91" s="12" t="n"/>
      <c r="G91" s="9" t="n"/>
      <c r="H91" s="13" t="n"/>
      <c r="I91" s="13" t="n"/>
      <c r="J91" s="13" t="n"/>
      <c r="K91" s="13" t="n"/>
      <c r="L91" s="13" t="n"/>
      <c r="M91" s="13" t="n"/>
      <c r="N91" s="13" t="n"/>
      <c r="O91" s="13" t="n"/>
      <c r="P91" s="14">
        <f>IF(A91="","",COUNT(H91:O91)/8)</f>
        <v/>
      </c>
      <c r="Q91" s="15">
        <f>IF(COUNT(H91:O91)=0,"",IF(LEN(IF(COUNT(H91,I91,J91)=3,IF(ABS(H91+I91-J91)&lt;=MAX(1,0.02*ABS(J91)),"","RBE &lt;&gt; PNB + frais "),"")&amp;IF(COUNT(J91,K91,L91)=3,IF(ABS(J91+K91-L91)&lt;=MAX(1,0.03*ABS(L91)),"","RAI &lt;&gt; RBE + coût du risque "),"")&amp;IF(COUNT(H91,M91)=2,IF(ABS(M91)&gt;ABS(H91),"RN &gt; PNB ",""),""))=0,"OK",IF(COUNT(H91,I91,J91)=3,IF(ABS(H91+I91-J91)&lt;=MAX(1,0.02*ABS(J91)),"","RBE &lt;&gt; PNB + frais "),"")&amp;IF(COUNT(J91,K91,L91)=3,IF(ABS(J91+K91-L91)&lt;=MAX(1,0.03*ABS(L91)),"","RAI &lt;&gt; RBE + coût du risque "),"")&amp;IF(COUNT(H91,M91)=2,IF(ABS(M91)&gt;ABS(H91),"RN &gt; PNB ",""),"")))</f>
        <v/>
      </c>
      <c r="R91" s="16">
        <f>IF(OR($A91="",H91="",$C91=""),"",IF(COUNTIFS($A$5:$A$315,$A91,$C$5:$C$315,$C91-1,$D$5:$D$315,$D91,H$5:H$315,"&lt;&gt;")=0,"",IF(OR(SUMIFS(H$5:H$315,$A$5:$A$315,$A91,$C$5:$C$315,$C91-1,$D$5:$D$315,$D91)=0,H91*SUMIFS(H$5:H$315,$A$5:$A$315,$A91,$C$5:$C$315,$C91-1,$D$5:$D$315,$D91)&lt;0),"n.s.",ABS(H91)/ABS(SUMIFS(H$5:H$315,$A$5:$A$315,$A91,$C$5:$C$315,$C91-1,$D$5:$D$315,$D91))-1)))</f>
        <v/>
      </c>
      <c r="S91" s="16">
        <f>IF(OR($A91="",I91="",$C91=""),"",IF(COUNTIFS($A$5:$A$315,$A91,$C$5:$C$315,$C91-1,$D$5:$D$315,$D91,I$5:I$315,"&lt;&gt;")=0,"",IF(OR(SUMIFS(I$5:I$315,$A$5:$A$315,$A91,$C$5:$C$315,$C91-1,$D$5:$D$315,$D91)=0,I91*SUMIFS(I$5:I$315,$A$5:$A$315,$A91,$C$5:$C$315,$C91-1,$D$5:$D$315,$D91)&lt;0),"n.s.",ABS(I91)/ABS(SUMIFS(I$5:I$315,$A$5:$A$315,$A91,$C$5:$C$315,$C91-1,$D$5:$D$315,$D91))-1)))</f>
        <v/>
      </c>
      <c r="T91" s="16">
        <f>IF(OR($A91="",J91="",$C91=""),"",IF(COUNTIFS($A$5:$A$315,$A91,$C$5:$C$315,$C91-1,$D$5:$D$315,$D91,J$5:J$315,"&lt;&gt;")=0,"",IF(OR(SUMIFS(J$5:J$315,$A$5:$A$315,$A91,$C$5:$C$315,$C91-1,$D$5:$D$315,$D91)=0,J91*SUMIFS(J$5:J$315,$A$5:$A$315,$A91,$C$5:$C$315,$C91-1,$D$5:$D$315,$D91)&lt;0),"n.s.",ABS(J91)/ABS(SUMIFS(J$5:J$315,$A$5:$A$315,$A91,$C$5:$C$315,$C91-1,$D$5:$D$315,$D91))-1)))</f>
        <v/>
      </c>
      <c r="U91" s="16">
        <f>IF(OR($A91="",K91="",$C91=""),"",IF(COUNTIFS($A$5:$A$315,$A91,$C$5:$C$315,$C91-1,$D$5:$D$315,$D91,K$5:K$315,"&lt;&gt;")=0,"",IF(OR(SUMIFS(K$5:K$315,$A$5:$A$315,$A91,$C$5:$C$315,$C91-1,$D$5:$D$315,$D91)=0,K91*SUMIFS(K$5:K$315,$A$5:$A$315,$A91,$C$5:$C$315,$C91-1,$D$5:$D$315,$D91)&lt;0),"n.s.",ABS(K91)/ABS(SUMIFS(K$5:K$315,$A$5:$A$315,$A91,$C$5:$C$315,$C91-1,$D$5:$D$315,$D91))-1)))</f>
        <v/>
      </c>
      <c r="V91" s="16">
        <f>IF(OR($A91="",L91="",$C91=""),"",IF(COUNTIFS($A$5:$A$315,$A91,$C$5:$C$315,$C91-1,$D$5:$D$315,$D91,L$5:L$315,"&lt;&gt;")=0,"",IF(OR(SUMIFS(L$5:L$315,$A$5:$A$315,$A91,$C$5:$C$315,$C91-1,$D$5:$D$315,$D91)=0,L91*SUMIFS(L$5:L$315,$A$5:$A$315,$A91,$C$5:$C$315,$C91-1,$D$5:$D$315,$D91)&lt;0),"n.s.",ABS(L91)/ABS(SUMIFS(L$5:L$315,$A$5:$A$315,$A91,$C$5:$C$315,$C91-1,$D$5:$D$315,$D91))-1)))</f>
        <v/>
      </c>
      <c r="W91" s="16">
        <f>IF(OR($A91="",M91="",$C91=""),"",IF(COUNTIFS($A$5:$A$315,$A91,$C$5:$C$315,$C91-1,$D$5:$D$315,$D91,M$5:M$315,"&lt;&gt;")=0,"",IF(OR(SUMIFS(M$5:M$315,$A$5:$A$315,$A91,$C$5:$C$315,$C91-1,$D$5:$D$315,$D91)=0,M91*SUMIFS(M$5:M$315,$A$5:$A$315,$A91,$C$5:$C$315,$C91-1,$D$5:$D$315,$D91)&lt;0),"n.s.",ABS(M91)/ABS(SUMIFS(M$5:M$315,$A$5:$A$315,$A91,$C$5:$C$315,$C91-1,$D$5:$D$315,$D91))-1)))</f>
        <v/>
      </c>
      <c r="X91" s="16">
        <f>IF(OR($A91="",N91="",$C91=""),"",IF(COUNTIFS($A$5:$A$315,$A91,$C$5:$C$315,$C91-1,$D$5:$D$315,$D91,N$5:N$315,"&lt;&gt;")=0,"",IF(OR(SUMIFS(N$5:N$315,$A$5:$A$315,$A91,$C$5:$C$315,$C91-1,$D$5:$D$315,$D91)=0,N91*SUMIFS(N$5:N$315,$A$5:$A$315,$A91,$C$5:$C$315,$C91-1,$D$5:$D$315,$D91)&lt;0),"n.s.",ABS(N91)/ABS(SUMIFS(N$5:N$315,$A$5:$A$315,$A91,$C$5:$C$315,$C91-1,$D$5:$D$315,$D91))-1)))</f>
        <v/>
      </c>
      <c r="Y91" s="16">
        <f>IF(OR($A91="",O91="",$C91=""),"",IF(COUNTIFS($A$5:$A$315,$A91,$C$5:$C$315,$C91-1,$D$5:$D$315,$D91,O$5:O$315,"&lt;&gt;")=0,"",IF(OR(SUMIFS(O$5:O$315,$A$5:$A$315,$A91,$C$5:$C$315,$C91-1,$D$5:$D$315,$D91)=0,O91*SUMIFS(O$5:O$315,$A$5:$A$315,$A91,$C$5:$C$315,$C91-1,$D$5:$D$315,$D91)&lt;0),"n.s.",ABS(O91)/ABS(SUMIFS(O$5:O$315,$A$5:$A$315,$A91,$C$5:$C$315,$C91-1,$D$5:$D$315,$D91))-1)))</f>
        <v/>
      </c>
    </row>
    <row r="92">
      <c r="A92" s="9" t="inlineStr">
        <is>
          <t>BOABF</t>
        </is>
      </c>
      <c r="B92" s="10">
        <f>IF(A92="","",IFERROR(VLOOKUP(A92,Titres!$A$2:$B$400,2,FALSE),"Ticker inconnu"))</f>
        <v/>
      </c>
      <c r="C92" s="11" t="n">
        <v>2026</v>
      </c>
      <c r="D92" s="11" t="inlineStr">
        <is>
          <t>T1</t>
        </is>
      </c>
      <c r="E92" s="9" t="n"/>
      <c r="F92" s="12" t="n"/>
      <c r="G92" s="9" t="n"/>
      <c r="H92" s="13" t="n"/>
      <c r="I92" s="13" t="n"/>
      <c r="J92" s="13" t="n"/>
      <c r="K92" s="13" t="n"/>
      <c r="L92" s="13" t="n"/>
      <c r="M92" s="13" t="n"/>
      <c r="N92" s="13" t="n"/>
      <c r="O92" s="13" t="n"/>
      <c r="P92" s="14">
        <f>IF(A92="","",COUNT(H92:O92)/8)</f>
        <v/>
      </c>
      <c r="Q92" s="15">
        <f>IF(COUNT(H92:O92)=0,"",IF(LEN(IF(COUNT(H92,I92,J92)=3,IF(ABS(H92+I92-J92)&lt;=MAX(1,0.02*ABS(J92)),"","RBE &lt;&gt; PNB + frais "),"")&amp;IF(COUNT(J92,K92,L92)=3,IF(ABS(J92+K92-L92)&lt;=MAX(1,0.03*ABS(L92)),"","RAI &lt;&gt; RBE + coût du risque "),"")&amp;IF(COUNT(H92,M92)=2,IF(ABS(M92)&gt;ABS(H92),"RN &gt; PNB ",""),""))=0,"OK",IF(COUNT(H92,I92,J92)=3,IF(ABS(H92+I92-J92)&lt;=MAX(1,0.02*ABS(J92)),"","RBE &lt;&gt; PNB + frais "),"")&amp;IF(COUNT(J92,K92,L92)=3,IF(ABS(J92+K92-L92)&lt;=MAX(1,0.03*ABS(L92)),"","RAI &lt;&gt; RBE + coût du risque "),"")&amp;IF(COUNT(H92,M92)=2,IF(ABS(M92)&gt;ABS(H92),"RN &gt; PNB ",""),"")))</f>
        <v/>
      </c>
      <c r="R92" s="16">
        <f>IF(OR($A92="",H92="",$C92=""),"",IF(COUNTIFS($A$5:$A$315,$A92,$C$5:$C$315,$C92-1,$D$5:$D$315,$D92,H$5:H$315,"&lt;&gt;")=0,"",IF(OR(SUMIFS(H$5:H$315,$A$5:$A$315,$A92,$C$5:$C$315,$C92-1,$D$5:$D$315,$D92)=0,H92*SUMIFS(H$5:H$315,$A$5:$A$315,$A92,$C$5:$C$315,$C92-1,$D$5:$D$315,$D92)&lt;0),"n.s.",ABS(H92)/ABS(SUMIFS(H$5:H$315,$A$5:$A$315,$A92,$C$5:$C$315,$C92-1,$D$5:$D$315,$D92))-1)))</f>
        <v/>
      </c>
      <c r="S92" s="16">
        <f>IF(OR($A92="",I92="",$C92=""),"",IF(COUNTIFS($A$5:$A$315,$A92,$C$5:$C$315,$C92-1,$D$5:$D$315,$D92,I$5:I$315,"&lt;&gt;")=0,"",IF(OR(SUMIFS(I$5:I$315,$A$5:$A$315,$A92,$C$5:$C$315,$C92-1,$D$5:$D$315,$D92)=0,I92*SUMIFS(I$5:I$315,$A$5:$A$315,$A92,$C$5:$C$315,$C92-1,$D$5:$D$315,$D92)&lt;0),"n.s.",ABS(I92)/ABS(SUMIFS(I$5:I$315,$A$5:$A$315,$A92,$C$5:$C$315,$C92-1,$D$5:$D$315,$D92))-1)))</f>
        <v/>
      </c>
      <c r="T92" s="16">
        <f>IF(OR($A92="",J92="",$C92=""),"",IF(COUNTIFS($A$5:$A$315,$A92,$C$5:$C$315,$C92-1,$D$5:$D$315,$D92,J$5:J$315,"&lt;&gt;")=0,"",IF(OR(SUMIFS(J$5:J$315,$A$5:$A$315,$A92,$C$5:$C$315,$C92-1,$D$5:$D$315,$D92)=0,J92*SUMIFS(J$5:J$315,$A$5:$A$315,$A92,$C$5:$C$315,$C92-1,$D$5:$D$315,$D92)&lt;0),"n.s.",ABS(J92)/ABS(SUMIFS(J$5:J$315,$A$5:$A$315,$A92,$C$5:$C$315,$C92-1,$D$5:$D$315,$D92))-1)))</f>
        <v/>
      </c>
      <c r="U92" s="16">
        <f>IF(OR($A92="",K92="",$C92=""),"",IF(COUNTIFS($A$5:$A$315,$A92,$C$5:$C$315,$C92-1,$D$5:$D$315,$D92,K$5:K$315,"&lt;&gt;")=0,"",IF(OR(SUMIFS(K$5:K$315,$A$5:$A$315,$A92,$C$5:$C$315,$C92-1,$D$5:$D$315,$D92)=0,K92*SUMIFS(K$5:K$315,$A$5:$A$315,$A92,$C$5:$C$315,$C92-1,$D$5:$D$315,$D92)&lt;0),"n.s.",ABS(K92)/ABS(SUMIFS(K$5:K$315,$A$5:$A$315,$A92,$C$5:$C$315,$C92-1,$D$5:$D$315,$D92))-1)))</f>
        <v/>
      </c>
      <c r="V92" s="16">
        <f>IF(OR($A92="",L92="",$C92=""),"",IF(COUNTIFS($A$5:$A$315,$A92,$C$5:$C$315,$C92-1,$D$5:$D$315,$D92,L$5:L$315,"&lt;&gt;")=0,"",IF(OR(SUMIFS(L$5:L$315,$A$5:$A$315,$A92,$C$5:$C$315,$C92-1,$D$5:$D$315,$D92)=0,L92*SUMIFS(L$5:L$315,$A$5:$A$315,$A92,$C$5:$C$315,$C92-1,$D$5:$D$315,$D92)&lt;0),"n.s.",ABS(L92)/ABS(SUMIFS(L$5:L$315,$A$5:$A$315,$A92,$C$5:$C$315,$C92-1,$D$5:$D$315,$D92))-1)))</f>
        <v/>
      </c>
      <c r="W92" s="16">
        <f>IF(OR($A92="",M92="",$C92=""),"",IF(COUNTIFS($A$5:$A$315,$A92,$C$5:$C$315,$C92-1,$D$5:$D$315,$D92,M$5:M$315,"&lt;&gt;")=0,"",IF(OR(SUMIFS(M$5:M$315,$A$5:$A$315,$A92,$C$5:$C$315,$C92-1,$D$5:$D$315,$D92)=0,M92*SUMIFS(M$5:M$315,$A$5:$A$315,$A92,$C$5:$C$315,$C92-1,$D$5:$D$315,$D92)&lt;0),"n.s.",ABS(M92)/ABS(SUMIFS(M$5:M$315,$A$5:$A$315,$A92,$C$5:$C$315,$C92-1,$D$5:$D$315,$D92))-1)))</f>
        <v/>
      </c>
      <c r="X92" s="16">
        <f>IF(OR($A92="",N92="",$C92=""),"",IF(COUNTIFS($A$5:$A$315,$A92,$C$5:$C$315,$C92-1,$D$5:$D$315,$D92,N$5:N$315,"&lt;&gt;")=0,"",IF(OR(SUMIFS(N$5:N$315,$A$5:$A$315,$A92,$C$5:$C$315,$C92-1,$D$5:$D$315,$D92)=0,N92*SUMIFS(N$5:N$315,$A$5:$A$315,$A92,$C$5:$C$315,$C92-1,$D$5:$D$315,$D92)&lt;0),"n.s.",ABS(N92)/ABS(SUMIFS(N$5:N$315,$A$5:$A$315,$A92,$C$5:$C$315,$C92-1,$D$5:$D$315,$D92))-1)))</f>
        <v/>
      </c>
      <c r="Y92" s="16">
        <f>IF(OR($A92="",O92="",$C92=""),"",IF(COUNTIFS($A$5:$A$315,$A92,$C$5:$C$315,$C92-1,$D$5:$D$315,$D92,O$5:O$315,"&lt;&gt;")=0,"",IF(OR(SUMIFS(O$5:O$315,$A$5:$A$315,$A92,$C$5:$C$315,$C92-1,$D$5:$D$315,$D92)=0,O92*SUMIFS(O$5:O$315,$A$5:$A$315,$A92,$C$5:$C$315,$C92-1,$D$5:$D$315,$D92)&lt;0),"n.s.",ABS(O92)/ABS(SUMIFS(O$5:O$315,$A$5:$A$315,$A92,$C$5:$C$315,$C92-1,$D$5:$D$315,$D92))-1)))</f>
        <v/>
      </c>
    </row>
    <row r="93">
      <c r="A93" s="9" t="inlineStr">
        <is>
          <t>BOABF</t>
        </is>
      </c>
      <c r="B93" s="10">
        <f>IF(A93="","",IFERROR(VLOOKUP(A93,Titres!$A$2:$B$400,2,FALSE),"Ticker inconnu"))</f>
        <v/>
      </c>
      <c r="C93" s="11" t="n">
        <v>2026</v>
      </c>
      <c r="D93" s="11" t="inlineStr">
        <is>
          <t>S1</t>
        </is>
      </c>
      <c r="E93" s="9" t="n"/>
      <c r="F93" s="12" t="n"/>
      <c r="G93" s="9" t="n"/>
      <c r="H93" s="13" t="n"/>
      <c r="I93" s="13" t="n"/>
      <c r="J93" s="13" t="n"/>
      <c r="K93" s="13" t="n"/>
      <c r="L93" s="13" t="n"/>
      <c r="M93" s="13" t="n"/>
      <c r="N93" s="13" t="n"/>
      <c r="O93" s="13" t="n"/>
      <c r="P93" s="14">
        <f>IF(A93="","",COUNT(H93:O93)/8)</f>
        <v/>
      </c>
      <c r="Q93" s="15">
        <f>IF(COUNT(H93:O93)=0,"",IF(LEN(IF(COUNT(H93,I93,J93)=3,IF(ABS(H93+I93-J93)&lt;=MAX(1,0.02*ABS(J93)),"","RBE &lt;&gt; PNB + frais "),"")&amp;IF(COUNT(J93,K93,L93)=3,IF(ABS(J93+K93-L93)&lt;=MAX(1,0.03*ABS(L93)),"","RAI &lt;&gt; RBE + coût du risque "),"")&amp;IF(COUNT(H93,M93)=2,IF(ABS(M93)&gt;ABS(H93),"RN &gt; PNB ",""),""))=0,"OK",IF(COUNT(H93,I93,J93)=3,IF(ABS(H93+I93-J93)&lt;=MAX(1,0.02*ABS(J93)),"","RBE &lt;&gt; PNB + frais "),"")&amp;IF(COUNT(J93,K93,L93)=3,IF(ABS(J93+K93-L93)&lt;=MAX(1,0.03*ABS(L93)),"","RAI &lt;&gt; RBE + coût du risque "),"")&amp;IF(COUNT(H93,M93)=2,IF(ABS(M93)&gt;ABS(H93),"RN &gt; PNB ",""),"")))</f>
        <v/>
      </c>
      <c r="R93" s="16">
        <f>IF(OR($A93="",H93="",$C93=""),"",IF(COUNTIFS($A$5:$A$315,$A93,$C$5:$C$315,$C93-1,$D$5:$D$315,$D93,H$5:H$315,"&lt;&gt;")=0,"",IF(OR(SUMIFS(H$5:H$315,$A$5:$A$315,$A93,$C$5:$C$315,$C93-1,$D$5:$D$315,$D93)=0,H93*SUMIFS(H$5:H$315,$A$5:$A$315,$A93,$C$5:$C$315,$C93-1,$D$5:$D$315,$D93)&lt;0),"n.s.",ABS(H93)/ABS(SUMIFS(H$5:H$315,$A$5:$A$315,$A93,$C$5:$C$315,$C93-1,$D$5:$D$315,$D93))-1)))</f>
        <v/>
      </c>
      <c r="S93" s="16">
        <f>IF(OR($A93="",I93="",$C93=""),"",IF(COUNTIFS($A$5:$A$315,$A93,$C$5:$C$315,$C93-1,$D$5:$D$315,$D93,I$5:I$315,"&lt;&gt;")=0,"",IF(OR(SUMIFS(I$5:I$315,$A$5:$A$315,$A93,$C$5:$C$315,$C93-1,$D$5:$D$315,$D93)=0,I93*SUMIFS(I$5:I$315,$A$5:$A$315,$A93,$C$5:$C$315,$C93-1,$D$5:$D$315,$D93)&lt;0),"n.s.",ABS(I93)/ABS(SUMIFS(I$5:I$315,$A$5:$A$315,$A93,$C$5:$C$315,$C93-1,$D$5:$D$315,$D93))-1)))</f>
        <v/>
      </c>
      <c r="T93" s="16">
        <f>IF(OR($A93="",J93="",$C93=""),"",IF(COUNTIFS($A$5:$A$315,$A93,$C$5:$C$315,$C93-1,$D$5:$D$315,$D93,J$5:J$315,"&lt;&gt;")=0,"",IF(OR(SUMIFS(J$5:J$315,$A$5:$A$315,$A93,$C$5:$C$315,$C93-1,$D$5:$D$315,$D93)=0,J93*SUMIFS(J$5:J$315,$A$5:$A$315,$A93,$C$5:$C$315,$C93-1,$D$5:$D$315,$D93)&lt;0),"n.s.",ABS(J93)/ABS(SUMIFS(J$5:J$315,$A$5:$A$315,$A93,$C$5:$C$315,$C93-1,$D$5:$D$315,$D93))-1)))</f>
        <v/>
      </c>
      <c r="U93" s="16">
        <f>IF(OR($A93="",K93="",$C93=""),"",IF(COUNTIFS($A$5:$A$315,$A93,$C$5:$C$315,$C93-1,$D$5:$D$315,$D93,K$5:K$315,"&lt;&gt;")=0,"",IF(OR(SUMIFS(K$5:K$315,$A$5:$A$315,$A93,$C$5:$C$315,$C93-1,$D$5:$D$315,$D93)=0,K93*SUMIFS(K$5:K$315,$A$5:$A$315,$A93,$C$5:$C$315,$C93-1,$D$5:$D$315,$D93)&lt;0),"n.s.",ABS(K93)/ABS(SUMIFS(K$5:K$315,$A$5:$A$315,$A93,$C$5:$C$315,$C93-1,$D$5:$D$315,$D93))-1)))</f>
        <v/>
      </c>
      <c r="V93" s="16">
        <f>IF(OR($A93="",L93="",$C93=""),"",IF(COUNTIFS($A$5:$A$315,$A93,$C$5:$C$315,$C93-1,$D$5:$D$315,$D93,L$5:L$315,"&lt;&gt;")=0,"",IF(OR(SUMIFS(L$5:L$315,$A$5:$A$315,$A93,$C$5:$C$315,$C93-1,$D$5:$D$315,$D93)=0,L93*SUMIFS(L$5:L$315,$A$5:$A$315,$A93,$C$5:$C$315,$C93-1,$D$5:$D$315,$D93)&lt;0),"n.s.",ABS(L93)/ABS(SUMIFS(L$5:L$315,$A$5:$A$315,$A93,$C$5:$C$315,$C93-1,$D$5:$D$315,$D93))-1)))</f>
        <v/>
      </c>
      <c r="W93" s="16">
        <f>IF(OR($A93="",M93="",$C93=""),"",IF(COUNTIFS($A$5:$A$315,$A93,$C$5:$C$315,$C93-1,$D$5:$D$315,$D93,M$5:M$315,"&lt;&gt;")=0,"",IF(OR(SUMIFS(M$5:M$315,$A$5:$A$315,$A93,$C$5:$C$315,$C93-1,$D$5:$D$315,$D93)=0,M93*SUMIFS(M$5:M$315,$A$5:$A$315,$A93,$C$5:$C$315,$C93-1,$D$5:$D$315,$D93)&lt;0),"n.s.",ABS(M93)/ABS(SUMIFS(M$5:M$315,$A$5:$A$315,$A93,$C$5:$C$315,$C93-1,$D$5:$D$315,$D93))-1)))</f>
        <v/>
      </c>
      <c r="X93" s="16">
        <f>IF(OR($A93="",N93="",$C93=""),"",IF(COUNTIFS($A$5:$A$315,$A93,$C$5:$C$315,$C93-1,$D$5:$D$315,$D93,N$5:N$315,"&lt;&gt;")=0,"",IF(OR(SUMIFS(N$5:N$315,$A$5:$A$315,$A93,$C$5:$C$315,$C93-1,$D$5:$D$315,$D93)=0,N93*SUMIFS(N$5:N$315,$A$5:$A$315,$A93,$C$5:$C$315,$C93-1,$D$5:$D$315,$D93)&lt;0),"n.s.",ABS(N93)/ABS(SUMIFS(N$5:N$315,$A$5:$A$315,$A93,$C$5:$C$315,$C93-1,$D$5:$D$315,$D93))-1)))</f>
        <v/>
      </c>
      <c r="Y93" s="16">
        <f>IF(OR($A93="",O93="",$C93=""),"",IF(COUNTIFS($A$5:$A$315,$A93,$C$5:$C$315,$C93-1,$D$5:$D$315,$D93,O$5:O$315,"&lt;&gt;")=0,"",IF(OR(SUMIFS(O$5:O$315,$A$5:$A$315,$A93,$C$5:$C$315,$C93-1,$D$5:$D$315,$D93)=0,O93*SUMIFS(O$5:O$315,$A$5:$A$315,$A93,$C$5:$C$315,$C93-1,$D$5:$D$315,$D93)&lt;0),"n.s.",ABS(O93)/ABS(SUMIFS(O$5:O$315,$A$5:$A$315,$A93,$C$5:$C$315,$C93-1,$D$5:$D$315,$D93))-1)))</f>
        <v/>
      </c>
    </row>
    <row r="94">
      <c r="A94" s="9" t="inlineStr">
        <is>
          <t>BOABF</t>
        </is>
      </c>
      <c r="B94" s="10">
        <f>IF(A94="","",IFERROR(VLOOKUP(A94,Titres!$A$2:$B$400,2,FALSE),"Ticker inconnu"))</f>
        <v/>
      </c>
      <c r="C94" s="11" t="n">
        <v>2026</v>
      </c>
      <c r="D94" s="11" t="inlineStr">
        <is>
          <t>T3</t>
        </is>
      </c>
      <c r="E94" s="9" t="n"/>
      <c r="F94" s="12" t="n"/>
      <c r="G94" s="9" t="n"/>
      <c r="H94" s="13" t="n"/>
      <c r="I94" s="13" t="n"/>
      <c r="J94" s="13" t="n"/>
      <c r="K94" s="13" t="n"/>
      <c r="L94" s="13" t="n"/>
      <c r="M94" s="13" t="n"/>
      <c r="N94" s="13" t="n"/>
      <c r="O94" s="13" t="n"/>
      <c r="P94" s="14">
        <f>IF(A94="","",COUNT(H94:O94)/8)</f>
        <v/>
      </c>
      <c r="Q94" s="15">
        <f>IF(COUNT(H94:O94)=0,"",IF(LEN(IF(COUNT(H94,I94,J94)=3,IF(ABS(H94+I94-J94)&lt;=MAX(1,0.02*ABS(J94)),"","RBE &lt;&gt; PNB + frais "),"")&amp;IF(COUNT(J94,K94,L94)=3,IF(ABS(J94+K94-L94)&lt;=MAX(1,0.03*ABS(L94)),"","RAI &lt;&gt; RBE + coût du risque "),"")&amp;IF(COUNT(H94,M94)=2,IF(ABS(M94)&gt;ABS(H94),"RN &gt; PNB ",""),""))=0,"OK",IF(COUNT(H94,I94,J94)=3,IF(ABS(H94+I94-J94)&lt;=MAX(1,0.02*ABS(J94)),"","RBE &lt;&gt; PNB + frais "),"")&amp;IF(COUNT(J94,K94,L94)=3,IF(ABS(J94+K94-L94)&lt;=MAX(1,0.03*ABS(L94)),"","RAI &lt;&gt; RBE + coût du risque "),"")&amp;IF(COUNT(H94,M94)=2,IF(ABS(M94)&gt;ABS(H94),"RN &gt; PNB ",""),"")))</f>
        <v/>
      </c>
      <c r="R94" s="16">
        <f>IF(OR($A94="",H94="",$C94=""),"",IF(COUNTIFS($A$5:$A$315,$A94,$C$5:$C$315,$C94-1,$D$5:$D$315,$D94,H$5:H$315,"&lt;&gt;")=0,"",IF(OR(SUMIFS(H$5:H$315,$A$5:$A$315,$A94,$C$5:$C$315,$C94-1,$D$5:$D$315,$D94)=0,H94*SUMIFS(H$5:H$315,$A$5:$A$315,$A94,$C$5:$C$315,$C94-1,$D$5:$D$315,$D94)&lt;0),"n.s.",ABS(H94)/ABS(SUMIFS(H$5:H$315,$A$5:$A$315,$A94,$C$5:$C$315,$C94-1,$D$5:$D$315,$D94))-1)))</f>
        <v/>
      </c>
      <c r="S94" s="16">
        <f>IF(OR($A94="",I94="",$C94=""),"",IF(COUNTIFS($A$5:$A$315,$A94,$C$5:$C$315,$C94-1,$D$5:$D$315,$D94,I$5:I$315,"&lt;&gt;")=0,"",IF(OR(SUMIFS(I$5:I$315,$A$5:$A$315,$A94,$C$5:$C$315,$C94-1,$D$5:$D$315,$D94)=0,I94*SUMIFS(I$5:I$315,$A$5:$A$315,$A94,$C$5:$C$315,$C94-1,$D$5:$D$315,$D94)&lt;0),"n.s.",ABS(I94)/ABS(SUMIFS(I$5:I$315,$A$5:$A$315,$A94,$C$5:$C$315,$C94-1,$D$5:$D$315,$D94))-1)))</f>
        <v/>
      </c>
      <c r="T94" s="16">
        <f>IF(OR($A94="",J94="",$C94=""),"",IF(COUNTIFS($A$5:$A$315,$A94,$C$5:$C$315,$C94-1,$D$5:$D$315,$D94,J$5:J$315,"&lt;&gt;")=0,"",IF(OR(SUMIFS(J$5:J$315,$A$5:$A$315,$A94,$C$5:$C$315,$C94-1,$D$5:$D$315,$D94)=0,J94*SUMIFS(J$5:J$315,$A$5:$A$315,$A94,$C$5:$C$315,$C94-1,$D$5:$D$315,$D94)&lt;0),"n.s.",ABS(J94)/ABS(SUMIFS(J$5:J$315,$A$5:$A$315,$A94,$C$5:$C$315,$C94-1,$D$5:$D$315,$D94))-1)))</f>
        <v/>
      </c>
      <c r="U94" s="16">
        <f>IF(OR($A94="",K94="",$C94=""),"",IF(COUNTIFS($A$5:$A$315,$A94,$C$5:$C$315,$C94-1,$D$5:$D$315,$D94,K$5:K$315,"&lt;&gt;")=0,"",IF(OR(SUMIFS(K$5:K$315,$A$5:$A$315,$A94,$C$5:$C$315,$C94-1,$D$5:$D$315,$D94)=0,K94*SUMIFS(K$5:K$315,$A$5:$A$315,$A94,$C$5:$C$315,$C94-1,$D$5:$D$315,$D94)&lt;0),"n.s.",ABS(K94)/ABS(SUMIFS(K$5:K$315,$A$5:$A$315,$A94,$C$5:$C$315,$C94-1,$D$5:$D$315,$D94))-1)))</f>
        <v/>
      </c>
      <c r="V94" s="16">
        <f>IF(OR($A94="",L94="",$C94=""),"",IF(COUNTIFS($A$5:$A$315,$A94,$C$5:$C$315,$C94-1,$D$5:$D$315,$D94,L$5:L$315,"&lt;&gt;")=0,"",IF(OR(SUMIFS(L$5:L$315,$A$5:$A$315,$A94,$C$5:$C$315,$C94-1,$D$5:$D$315,$D94)=0,L94*SUMIFS(L$5:L$315,$A$5:$A$315,$A94,$C$5:$C$315,$C94-1,$D$5:$D$315,$D94)&lt;0),"n.s.",ABS(L94)/ABS(SUMIFS(L$5:L$315,$A$5:$A$315,$A94,$C$5:$C$315,$C94-1,$D$5:$D$315,$D94))-1)))</f>
        <v/>
      </c>
      <c r="W94" s="16">
        <f>IF(OR($A94="",M94="",$C94=""),"",IF(COUNTIFS($A$5:$A$315,$A94,$C$5:$C$315,$C94-1,$D$5:$D$315,$D94,M$5:M$315,"&lt;&gt;")=0,"",IF(OR(SUMIFS(M$5:M$315,$A$5:$A$315,$A94,$C$5:$C$315,$C94-1,$D$5:$D$315,$D94)=0,M94*SUMIFS(M$5:M$315,$A$5:$A$315,$A94,$C$5:$C$315,$C94-1,$D$5:$D$315,$D94)&lt;0),"n.s.",ABS(M94)/ABS(SUMIFS(M$5:M$315,$A$5:$A$315,$A94,$C$5:$C$315,$C94-1,$D$5:$D$315,$D94))-1)))</f>
        <v/>
      </c>
      <c r="X94" s="16">
        <f>IF(OR($A94="",N94="",$C94=""),"",IF(COUNTIFS($A$5:$A$315,$A94,$C$5:$C$315,$C94-1,$D$5:$D$315,$D94,N$5:N$315,"&lt;&gt;")=0,"",IF(OR(SUMIFS(N$5:N$315,$A$5:$A$315,$A94,$C$5:$C$315,$C94-1,$D$5:$D$315,$D94)=0,N94*SUMIFS(N$5:N$315,$A$5:$A$315,$A94,$C$5:$C$315,$C94-1,$D$5:$D$315,$D94)&lt;0),"n.s.",ABS(N94)/ABS(SUMIFS(N$5:N$315,$A$5:$A$315,$A94,$C$5:$C$315,$C94-1,$D$5:$D$315,$D94))-1)))</f>
        <v/>
      </c>
      <c r="Y94" s="16">
        <f>IF(OR($A94="",O94="",$C94=""),"",IF(COUNTIFS($A$5:$A$315,$A94,$C$5:$C$315,$C94-1,$D$5:$D$315,$D94,O$5:O$315,"&lt;&gt;")=0,"",IF(OR(SUMIFS(O$5:O$315,$A$5:$A$315,$A94,$C$5:$C$315,$C94-1,$D$5:$D$315,$D94)=0,O94*SUMIFS(O$5:O$315,$A$5:$A$315,$A94,$C$5:$C$315,$C94-1,$D$5:$D$315,$D94)&lt;0),"n.s.",ABS(O94)/ABS(SUMIFS(O$5:O$315,$A$5:$A$315,$A94,$C$5:$C$315,$C94-1,$D$5:$D$315,$D94))-1)))</f>
        <v/>
      </c>
    </row>
    <row r="95">
      <c r="A95" s="9" t="inlineStr">
        <is>
          <t>BOAC</t>
        </is>
      </c>
      <c r="B95" s="10">
        <f>IF(A95="","",IFERROR(VLOOKUP(A95,Titres!$A$2:$B$400,2,FALSE),"Ticker inconnu"))</f>
        <v/>
      </c>
      <c r="C95" s="11" t="n">
        <v>2021</v>
      </c>
      <c r="D95" s="11" t="inlineStr">
        <is>
          <t>T1</t>
        </is>
      </c>
      <c r="E95" s="9" t="n"/>
      <c r="F95" s="12" t="n"/>
      <c r="G95" s="9" t="n"/>
      <c r="H95" s="13" t="n"/>
      <c r="I95" s="13" t="n"/>
      <c r="J95" s="13" t="n"/>
      <c r="K95" s="13" t="n"/>
      <c r="L95" s="13" t="n"/>
      <c r="M95" s="13" t="n"/>
      <c r="N95" s="13" t="n"/>
      <c r="O95" s="13" t="n"/>
      <c r="P95" s="14">
        <f>IF(A95="","",COUNT(H95:O95)/8)</f>
        <v/>
      </c>
      <c r="Q95" s="15">
        <f>IF(COUNT(H95:O95)=0,"",IF(LEN(IF(COUNT(H95,I95,J95)=3,IF(ABS(H95+I95-J95)&lt;=MAX(1,0.02*ABS(J95)),"","RBE &lt;&gt; PNB + frais "),"")&amp;IF(COUNT(J95,K95,L95)=3,IF(ABS(J95+K95-L95)&lt;=MAX(1,0.03*ABS(L95)),"","RAI &lt;&gt; RBE + coût du risque "),"")&amp;IF(COUNT(H95,M95)=2,IF(ABS(M95)&gt;ABS(H95),"RN &gt; PNB ",""),""))=0,"OK",IF(COUNT(H95,I95,J95)=3,IF(ABS(H95+I95-J95)&lt;=MAX(1,0.02*ABS(J95)),"","RBE &lt;&gt; PNB + frais "),"")&amp;IF(COUNT(J95,K95,L95)=3,IF(ABS(J95+K95-L95)&lt;=MAX(1,0.03*ABS(L95)),"","RAI &lt;&gt; RBE + coût du risque "),"")&amp;IF(COUNT(H95,M95)=2,IF(ABS(M95)&gt;ABS(H95),"RN &gt; PNB ",""),"")))</f>
        <v/>
      </c>
      <c r="R95" s="16">
        <f>IF(OR($A95="",H95="",$C95=""),"",IF(COUNTIFS($A$5:$A$315,$A95,$C$5:$C$315,$C95-1,$D$5:$D$315,$D95,H$5:H$315,"&lt;&gt;")=0,"",IF(OR(SUMIFS(H$5:H$315,$A$5:$A$315,$A95,$C$5:$C$315,$C95-1,$D$5:$D$315,$D95)=0,H95*SUMIFS(H$5:H$315,$A$5:$A$315,$A95,$C$5:$C$315,$C95-1,$D$5:$D$315,$D95)&lt;0),"n.s.",ABS(H95)/ABS(SUMIFS(H$5:H$315,$A$5:$A$315,$A95,$C$5:$C$315,$C95-1,$D$5:$D$315,$D95))-1)))</f>
        <v/>
      </c>
      <c r="S95" s="16">
        <f>IF(OR($A95="",I95="",$C95=""),"",IF(COUNTIFS($A$5:$A$315,$A95,$C$5:$C$315,$C95-1,$D$5:$D$315,$D95,I$5:I$315,"&lt;&gt;")=0,"",IF(OR(SUMIFS(I$5:I$315,$A$5:$A$315,$A95,$C$5:$C$315,$C95-1,$D$5:$D$315,$D95)=0,I95*SUMIFS(I$5:I$315,$A$5:$A$315,$A95,$C$5:$C$315,$C95-1,$D$5:$D$315,$D95)&lt;0),"n.s.",ABS(I95)/ABS(SUMIFS(I$5:I$315,$A$5:$A$315,$A95,$C$5:$C$315,$C95-1,$D$5:$D$315,$D95))-1)))</f>
        <v/>
      </c>
      <c r="T95" s="16">
        <f>IF(OR($A95="",J95="",$C95=""),"",IF(COUNTIFS($A$5:$A$315,$A95,$C$5:$C$315,$C95-1,$D$5:$D$315,$D95,J$5:J$315,"&lt;&gt;")=0,"",IF(OR(SUMIFS(J$5:J$315,$A$5:$A$315,$A95,$C$5:$C$315,$C95-1,$D$5:$D$315,$D95)=0,J95*SUMIFS(J$5:J$315,$A$5:$A$315,$A95,$C$5:$C$315,$C95-1,$D$5:$D$315,$D95)&lt;0),"n.s.",ABS(J95)/ABS(SUMIFS(J$5:J$315,$A$5:$A$315,$A95,$C$5:$C$315,$C95-1,$D$5:$D$315,$D95))-1)))</f>
        <v/>
      </c>
      <c r="U95" s="16">
        <f>IF(OR($A95="",K95="",$C95=""),"",IF(COUNTIFS($A$5:$A$315,$A95,$C$5:$C$315,$C95-1,$D$5:$D$315,$D95,K$5:K$315,"&lt;&gt;")=0,"",IF(OR(SUMIFS(K$5:K$315,$A$5:$A$315,$A95,$C$5:$C$315,$C95-1,$D$5:$D$315,$D95)=0,K95*SUMIFS(K$5:K$315,$A$5:$A$315,$A95,$C$5:$C$315,$C95-1,$D$5:$D$315,$D95)&lt;0),"n.s.",ABS(K95)/ABS(SUMIFS(K$5:K$315,$A$5:$A$315,$A95,$C$5:$C$315,$C95-1,$D$5:$D$315,$D95))-1)))</f>
        <v/>
      </c>
      <c r="V95" s="16">
        <f>IF(OR($A95="",L95="",$C95=""),"",IF(COUNTIFS($A$5:$A$315,$A95,$C$5:$C$315,$C95-1,$D$5:$D$315,$D95,L$5:L$315,"&lt;&gt;")=0,"",IF(OR(SUMIFS(L$5:L$315,$A$5:$A$315,$A95,$C$5:$C$315,$C95-1,$D$5:$D$315,$D95)=0,L95*SUMIFS(L$5:L$315,$A$5:$A$315,$A95,$C$5:$C$315,$C95-1,$D$5:$D$315,$D95)&lt;0),"n.s.",ABS(L95)/ABS(SUMIFS(L$5:L$315,$A$5:$A$315,$A95,$C$5:$C$315,$C95-1,$D$5:$D$315,$D95))-1)))</f>
        <v/>
      </c>
      <c r="W95" s="16">
        <f>IF(OR($A95="",M95="",$C95=""),"",IF(COUNTIFS($A$5:$A$315,$A95,$C$5:$C$315,$C95-1,$D$5:$D$315,$D95,M$5:M$315,"&lt;&gt;")=0,"",IF(OR(SUMIFS(M$5:M$315,$A$5:$A$315,$A95,$C$5:$C$315,$C95-1,$D$5:$D$315,$D95)=0,M95*SUMIFS(M$5:M$315,$A$5:$A$315,$A95,$C$5:$C$315,$C95-1,$D$5:$D$315,$D95)&lt;0),"n.s.",ABS(M95)/ABS(SUMIFS(M$5:M$315,$A$5:$A$315,$A95,$C$5:$C$315,$C95-1,$D$5:$D$315,$D95))-1)))</f>
        <v/>
      </c>
      <c r="X95" s="16">
        <f>IF(OR($A95="",N95="",$C95=""),"",IF(COUNTIFS($A$5:$A$315,$A95,$C$5:$C$315,$C95-1,$D$5:$D$315,$D95,N$5:N$315,"&lt;&gt;")=0,"",IF(OR(SUMIFS(N$5:N$315,$A$5:$A$315,$A95,$C$5:$C$315,$C95-1,$D$5:$D$315,$D95)=0,N95*SUMIFS(N$5:N$315,$A$5:$A$315,$A95,$C$5:$C$315,$C95-1,$D$5:$D$315,$D95)&lt;0),"n.s.",ABS(N95)/ABS(SUMIFS(N$5:N$315,$A$5:$A$315,$A95,$C$5:$C$315,$C95-1,$D$5:$D$315,$D95))-1)))</f>
        <v/>
      </c>
      <c r="Y95" s="16">
        <f>IF(OR($A95="",O95="",$C95=""),"",IF(COUNTIFS($A$5:$A$315,$A95,$C$5:$C$315,$C95-1,$D$5:$D$315,$D95,O$5:O$315,"&lt;&gt;")=0,"",IF(OR(SUMIFS(O$5:O$315,$A$5:$A$315,$A95,$C$5:$C$315,$C95-1,$D$5:$D$315,$D95)=0,O95*SUMIFS(O$5:O$315,$A$5:$A$315,$A95,$C$5:$C$315,$C95-1,$D$5:$D$315,$D95)&lt;0),"n.s.",ABS(O95)/ABS(SUMIFS(O$5:O$315,$A$5:$A$315,$A95,$C$5:$C$315,$C95-1,$D$5:$D$315,$D95))-1)))</f>
        <v/>
      </c>
    </row>
    <row r="96">
      <c r="A96" s="9" t="inlineStr">
        <is>
          <t>BOAC</t>
        </is>
      </c>
      <c r="B96" s="10">
        <f>IF(A96="","",IFERROR(VLOOKUP(A96,Titres!$A$2:$B$400,2,FALSE),"Ticker inconnu"))</f>
        <v/>
      </c>
      <c r="C96" s="11" t="n">
        <v>2021</v>
      </c>
      <c r="D96" s="11" t="inlineStr">
        <is>
          <t>S1</t>
        </is>
      </c>
      <c r="E96" s="9" t="n"/>
      <c r="F96" s="12" t="n"/>
      <c r="G96" s="9" t="n"/>
      <c r="H96" s="13" t="n"/>
      <c r="I96" s="13" t="n"/>
      <c r="J96" s="13" t="n"/>
      <c r="K96" s="13" t="n"/>
      <c r="L96" s="13" t="n"/>
      <c r="M96" s="13" t="n"/>
      <c r="N96" s="13" t="n"/>
      <c r="O96" s="13" t="n"/>
      <c r="P96" s="14">
        <f>IF(A96="","",COUNT(H96:O96)/8)</f>
        <v/>
      </c>
      <c r="Q96" s="15">
        <f>IF(COUNT(H96:O96)=0,"",IF(LEN(IF(COUNT(H96,I96,J96)=3,IF(ABS(H96+I96-J96)&lt;=MAX(1,0.02*ABS(J96)),"","RBE &lt;&gt; PNB + frais "),"")&amp;IF(COUNT(J96,K96,L96)=3,IF(ABS(J96+K96-L96)&lt;=MAX(1,0.03*ABS(L96)),"","RAI &lt;&gt; RBE + coût du risque "),"")&amp;IF(COUNT(H96,M96)=2,IF(ABS(M96)&gt;ABS(H96),"RN &gt; PNB ",""),""))=0,"OK",IF(COUNT(H96,I96,J96)=3,IF(ABS(H96+I96-J96)&lt;=MAX(1,0.02*ABS(J96)),"","RBE &lt;&gt; PNB + frais "),"")&amp;IF(COUNT(J96,K96,L96)=3,IF(ABS(J96+K96-L96)&lt;=MAX(1,0.03*ABS(L96)),"","RAI &lt;&gt; RBE + coût du risque "),"")&amp;IF(COUNT(H96,M96)=2,IF(ABS(M96)&gt;ABS(H96),"RN &gt; PNB ",""),"")))</f>
        <v/>
      </c>
      <c r="R96" s="16">
        <f>IF(OR($A96="",H96="",$C96=""),"",IF(COUNTIFS($A$5:$A$315,$A96,$C$5:$C$315,$C96-1,$D$5:$D$315,$D96,H$5:H$315,"&lt;&gt;")=0,"",IF(OR(SUMIFS(H$5:H$315,$A$5:$A$315,$A96,$C$5:$C$315,$C96-1,$D$5:$D$315,$D96)=0,H96*SUMIFS(H$5:H$315,$A$5:$A$315,$A96,$C$5:$C$315,$C96-1,$D$5:$D$315,$D96)&lt;0),"n.s.",ABS(H96)/ABS(SUMIFS(H$5:H$315,$A$5:$A$315,$A96,$C$5:$C$315,$C96-1,$D$5:$D$315,$D96))-1)))</f>
        <v/>
      </c>
      <c r="S96" s="16">
        <f>IF(OR($A96="",I96="",$C96=""),"",IF(COUNTIFS($A$5:$A$315,$A96,$C$5:$C$315,$C96-1,$D$5:$D$315,$D96,I$5:I$315,"&lt;&gt;")=0,"",IF(OR(SUMIFS(I$5:I$315,$A$5:$A$315,$A96,$C$5:$C$315,$C96-1,$D$5:$D$315,$D96)=0,I96*SUMIFS(I$5:I$315,$A$5:$A$315,$A96,$C$5:$C$315,$C96-1,$D$5:$D$315,$D96)&lt;0),"n.s.",ABS(I96)/ABS(SUMIFS(I$5:I$315,$A$5:$A$315,$A96,$C$5:$C$315,$C96-1,$D$5:$D$315,$D96))-1)))</f>
        <v/>
      </c>
      <c r="T96" s="16">
        <f>IF(OR($A96="",J96="",$C96=""),"",IF(COUNTIFS($A$5:$A$315,$A96,$C$5:$C$315,$C96-1,$D$5:$D$315,$D96,J$5:J$315,"&lt;&gt;")=0,"",IF(OR(SUMIFS(J$5:J$315,$A$5:$A$315,$A96,$C$5:$C$315,$C96-1,$D$5:$D$315,$D96)=0,J96*SUMIFS(J$5:J$315,$A$5:$A$315,$A96,$C$5:$C$315,$C96-1,$D$5:$D$315,$D96)&lt;0),"n.s.",ABS(J96)/ABS(SUMIFS(J$5:J$315,$A$5:$A$315,$A96,$C$5:$C$315,$C96-1,$D$5:$D$315,$D96))-1)))</f>
        <v/>
      </c>
      <c r="U96" s="16">
        <f>IF(OR($A96="",K96="",$C96=""),"",IF(COUNTIFS($A$5:$A$315,$A96,$C$5:$C$315,$C96-1,$D$5:$D$315,$D96,K$5:K$315,"&lt;&gt;")=0,"",IF(OR(SUMIFS(K$5:K$315,$A$5:$A$315,$A96,$C$5:$C$315,$C96-1,$D$5:$D$315,$D96)=0,K96*SUMIFS(K$5:K$315,$A$5:$A$315,$A96,$C$5:$C$315,$C96-1,$D$5:$D$315,$D96)&lt;0),"n.s.",ABS(K96)/ABS(SUMIFS(K$5:K$315,$A$5:$A$315,$A96,$C$5:$C$315,$C96-1,$D$5:$D$315,$D96))-1)))</f>
        <v/>
      </c>
      <c r="V96" s="16">
        <f>IF(OR($A96="",L96="",$C96=""),"",IF(COUNTIFS($A$5:$A$315,$A96,$C$5:$C$315,$C96-1,$D$5:$D$315,$D96,L$5:L$315,"&lt;&gt;")=0,"",IF(OR(SUMIFS(L$5:L$315,$A$5:$A$315,$A96,$C$5:$C$315,$C96-1,$D$5:$D$315,$D96)=0,L96*SUMIFS(L$5:L$315,$A$5:$A$315,$A96,$C$5:$C$315,$C96-1,$D$5:$D$315,$D96)&lt;0),"n.s.",ABS(L96)/ABS(SUMIFS(L$5:L$315,$A$5:$A$315,$A96,$C$5:$C$315,$C96-1,$D$5:$D$315,$D96))-1)))</f>
        <v/>
      </c>
      <c r="W96" s="16">
        <f>IF(OR($A96="",M96="",$C96=""),"",IF(COUNTIFS($A$5:$A$315,$A96,$C$5:$C$315,$C96-1,$D$5:$D$315,$D96,M$5:M$315,"&lt;&gt;")=0,"",IF(OR(SUMIFS(M$5:M$315,$A$5:$A$315,$A96,$C$5:$C$315,$C96-1,$D$5:$D$315,$D96)=0,M96*SUMIFS(M$5:M$315,$A$5:$A$315,$A96,$C$5:$C$315,$C96-1,$D$5:$D$315,$D96)&lt;0),"n.s.",ABS(M96)/ABS(SUMIFS(M$5:M$315,$A$5:$A$315,$A96,$C$5:$C$315,$C96-1,$D$5:$D$315,$D96))-1)))</f>
        <v/>
      </c>
      <c r="X96" s="16">
        <f>IF(OR($A96="",N96="",$C96=""),"",IF(COUNTIFS($A$5:$A$315,$A96,$C$5:$C$315,$C96-1,$D$5:$D$315,$D96,N$5:N$315,"&lt;&gt;")=0,"",IF(OR(SUMIFS(N$5:N$315,$A$5:$A$315,$A96,$C$5:$C$315,$C96-1,$D$5:$D$315,$D96)=0,N96*SUMIFS(N$5:N$315,$A$5:$A$315,$A96,$C$5:$C$315,$C96-1,$D$5:$D$315,$D96)&lt;0),"n.s.",ABS(N96)/ABS(SUMIFS(N$5:N$315,$A$5:$A$315,$A96,$C$5:$C$315,$C96-1,$D$5:$D$315,$D96))-1)))</f>
        <v/>
      </c>
      <c r="Y96" s="16">
        <f>IF(OR($A96="",O96="",$C96=""),"",IF(COUNTIFS($A$5:$A$315,$A96,$C$5:$C$315,$C96-1,$D$5:$D$315,$D96,O$5:O$315,"&lt;&gt;")=0,"",IF(OR(SUMIFS(O$5:O$315,$A$5:$A$315,$A96,$C$5:$C$315,$C96-1,$D$5:$D$315,$D96)=0,O96*SUMIFS(O$5:O$315,$A$5:$A$315,$A96,$C$5:$C$315,$C96-1,$D$5:$D$315,$D96)&lt;0),"n.s.",ABS(O96)/ABS(SUMIFS(O$5:O$315,$A$5:$A$315,$A96,$C$5:$C$315,$C96-1,$D$5:$D$315,$D96))-1)))</f>
        <v/>
      </c>
    </row>
    <row r="97">
      <c r="A97" s="9" t="inlineStr">
        <is>
          <t>BOAC</t>
        </is>
      </c>
      <c r="B97" s="10">
        <f>IF(A97="","",IFERROR(VLOOKUP(A97,Titres!$A$2:$B$400,2,FALSE),"Ticker inconnu"))</f>
        <v/>
      </c>
      <c r="C97" s="11" t="n">
        <v>2021</v>
      </c>
      <c r="D97" s="11" t="inlineStr">
        <is>
          <t>T3</t>
        </is>
      </c>
      <c r="E97" s="9" t="n"/>
      <c r="F97" s="12" t="n"/>
      <c r="G97" s="9" t="n"/>
      <c r="H97" s="13" t="n"/>
      <c r="I97" s="13" t="n"/>
      <c r="J97" s="13" t="n"/>
      <c r="K97" s="13" t="n"/>
      <c r="L97" s="13" t="n"/>
      <c r="M97" s="13" t="n"/>
      <c r="N97" s="13" t="n"/>
      <c r="O97" s="13" t="n"/>
      <c r="P97" s="14">
        <f>IF(A97="","",COUNT(H97:O97)/8)</f>
        <v/>
      </c>
      <c r="Q97" s="15">
        <f>IF(COUNT(H97:O97)=0,"",IF(LEN(IF(COUNT(H97,I97,J97)=3,IF(ABS(H97+I97-J97)&lt;=MAX(1,0.02*ABS(J97)),"","RBE &lt;&gt; PNB + frais "),"")&amp;IF(COUNT(J97,K97,L97)=3,IF(ABS(J97+K97-L97)&lt;=MAX(1,0.03*ABS(L97)),"","RAI &lt;&gt; RBE + coût du risque "),"")&amp;IF(COUNT(H97,M97)=2,IF(ABS(M97)&gt;ABS(H97),"RN &gt; PNB ",""),""))=0,"OK",IF(COUNT(H97,I97,J97)=3,IF(ABS(H97+I97-J97)&lt;=MAX(1,0.02*ABS(J97)),"","RBE &lt;&gt; PNB + frais "),"")&amp;IF(COUNT(J97,K97,L97)=3,IF(ABS(J97+K97-L97)&lt;=MAX(1,0.03*ABS(L97)),"","RAI &lt;&gt; RBE + coût du risque "),"")&amp;IF(COUNT(H97,M97)=2,IF(ABS(M97)&gt;ABS(H97),"RN &gt; PNB ",""),"")))</f>
        <v/>
      </c>
      <c r="R97" s="16">
        <f>IF(OR($A97="",H97="",$C97=""),"",IF(COUNTIFS($A$5:$A$315,$A97,$C$5:$C$315,$C97-1,$D$5:$D$315,$D97,H$5:H$315,"&lt;&gt;")=0,"",IF(OR(SUMIFS(H$5:H$315,$A$5:$A$315,$A97,$C$5:$C$315,$C97-1,$D$5:$D$315,$D97)=0,H97*SUMIFS(H$5:H$315,$A$5:$A$315,$A97,$C$5:$C$315,$C97-1,$D$5:$D$315,$D97)&lt;0),"n.s.",ABS(H97)/ABS(SUMIFS(H$5:H$315,$A$5:$A$315,$A97,$C$5:$C$315,$C97-1,$D$5:$D$315,$D97))-1)))</f>
        <v/>
      </c>
      <c r="S97" s="16">
        <f>IF(OR($A97="",I97="",$C97=""),"",IF(COUNTIFS($A$5:$A$315,$A97,$C$5:$C$315,$C97-1,$D$5:$D$315,$D97,I$5:I$315,"&lt;&gt;")=0,"",IF(OR(SUMIFS(I$5:I$315,$A$5:$A$315,$A97,$C$5:$C$315,$C97-1,$D$5:$D$315,$D97)=0,I97*SUMIFS(I$5:I$315,$A$5:$A$315,$A97,$C$5:$C$315,$C97-1,$D$5:$D$315,$D97)&lt;0),"n.s.",ABS(I97)/ABS(SUMIFS(I$5:I$315,$A$5:$A$315,$A97,$C$5:$C$315,$C97-1,$D$5:$D$315,$D97))-1)))</f>
        <v/>
      </c>
      <c r="T97" s="16">
        <f>IF(OR($A97="",J97="",$C97=""),"",IF(COUNTIFS($A$5:$A$315,$A97,$C$5:$C$315,$C97-1,$D$5:$D$315,$D97,J$5:J$315,"&lt;&gt;")=0,"",IF(OR(SUMIFS(J$5:J$315,$A$5:$A$315,$A97,$C$5:$C$315,$C97-1,$D$5:$D$315,$D97)=0,J97*SUMIFS(J$5:J$315,$A$5:$A$315,$A97,$C$5:$C$315,$C97-1,$D$5:$D$315,$D97)&lt;0),"n.s.",ABS(J97)/ABS(SUMIFS(J$5:J$315,$A$5:$A$315,$A97,$C$5:$C$315,$C97-1,$D$5:$D$315,$D97))-1)))</f>
        <v/>
      </c>
      <c r="U97" s="16">
        <f>IF(OR($A97="",K97="",$C97=""),"",IF(COUNTIFS($A$5:$A$315,$A97,$C$5:$C$315,$C97-1,$D$5:$D$315,$D97,K$5:K$315,"&lt;&gt;")=0,"",IF(OR(SUMIFS(K$5:K$315,$A$5:$A$315,$A97,$C$5:$C$315,$C97-1,$D$5:$D$315,$D97)=0,K97*SUMIFS(K$5:K$315,$A$5:$A$315,$A97,$C$5:$C$315,$C97-1,$D$5:$D$315,$D97)&lt;0),"n.s.",ABS(K97)/ABS(SUMIFS(K$5:K$315,$A$5:$A$315,$A97,$C$5:$C$315,$C97-1,$D$5:$D$315,$D97))-1)))</f>
        <v/>
      </c>
      <c r="V97" s="16">
        <f>IF(OR($A97="",L97="",$C97=""),"",IF(COUNTIFS($A$5:$A$315,$A97,$C$5:$C$315,$C97-1,$D$5:$D$315,$D97,L$5:L$315,"&lt;&gt;")=0,"",IF(OR(SUMIFS(L$5:L$315,$A$5:$A$315,$A97,$C$5:$C$315,$C97-1,$D$5:$D$315,$D97)=0,L97*SUMIFS(L$5:L$315,$A$5:$A$315,$A97,$C$5:$C$315,$C97-1,$D$5:$D$315,$D97)&lt;0),"n.s.",ABS(L97)/ABS(SUMIFS(L$5:L$315,$A$5:$A$315,$A97,$C$5:$C$315,$C97-1,$D$5:$D$315,$D97))-1)))</f>
        <v/>
      </c>
      <c r="W97" s="16">
        <f>IF(OR($A97="",M97="",$C97=""),"",IF(COUNTIFS($A$5:$A$315,$A97,$C$5:$C$315,$C97-1,$D$5:$D$315,$D97,M$5:M$315,"&lt;&gt;")=0,"",IF(OR(SUMIFS(M$5:M$315,$A$5:$A$315,$A97,$C$5:$C$315,$C97-1,$D$5:$D$315,$D97)=0,M97*SUMIFS(M$5:M$315,$A$5:$A$315,$A97,$C$5:$C$315,$C97-1,$D$5:$D$315,$D97)&lt;0),"n.s.",ABS(M97)/ABS(SUMIFS(M$5:M$315,$A$5:$A$315,$A97,$C$5:$C$315,$C97-1,$D$5:$D$315,$D97))-1)))</f>
        <v/>
      </c>
      <c r="X97" s="16">
        <f>IF(OR($A97="",N97="",$C97=""),"",IF(COUNTIFS($A$5:$A$315,$A97,$C$5:$C$315,$C97-1,$D$5:$D$315,$D97,N$5:N$315,"&lt;&gt;")=0,"",IF(OR(SUMIFS(N$5:N$315,$A$5:$A$315,$A97,$C$5:$C$315,$C97-1,$D$5:$D$315,$D97)=0,N97*SUMIFS(N$5:N$315,$A$5:$A$315,$A97,$C$5:$C$315,$C97-1,$D$5:$D$315,$D97)&lt;0),"n.s.",ABS(N97)/ABS(SUMIFS(N$5:N$315,$A$5:$A$315,$A97,$C$5:$C$315,$C97-1,$D$5:$D$315,$D97))-1)))</f>
        <v/>
      </c>
      <c r="Y97" s="16">
        <f>IF(OR($A97="",O97="",$C97=""),"",IF(COUNTIFS($A$5:$A$315,$A97,$C$5:$C$315,$C97-1,$D$5:$D$315,$D97,O$5:O$315,"&lt;&gt;")=0,"",IF(OR(SUMIFS(O$5:O$315,$A$5:$A$315,$A97,$C$5:$C$315,$C97-1,$D$5:$D$315,$D97)=0,O97*SUMIFS(O$5:O$315,$A$5:$A$315,$A97,$C$5:$C$315,$C97-1,$D$5:$D$315,$D97)&lt;0),"n.s.",ABS(O97)/ABS(SUMIFS(O$5:O$315,$A$5:$A$315,$A97,$C$5:$C$315,$C97-1,$D$5:$D$315,$D97))-1)))</f>
        <v/>
      </c>
    </row>
    <row r="98">
      <c r="A98" s="9" t="inlineStr">
        <is>
          <t>BOAC</t>
        </is>
      </c>
      <c r="B98" s="10">
        <f>IF(A98="","",IFERROR(VLOOKUP(A98,Titres!$A$2:$B$400,2,FALSE),"Ticker inconnu"))</f>
        <v/>
      </c>
      <c r="C98" s="11" t="n">
        <v>2022</v>
      </c>
      <c r="D98" s="11" t="inlineStr">
        <is>
          <t>T1</t>
        </is>
      </c>
      <c r="E98" s="9" t="n"/>
      <c r="F98" s="12" t="n"/>
      <c r="G98" s="9" t="n"/>
      <c r="H98" s="13" t="n"/>
      <c r="I98" s="13" t="n"/>
      <c r="J98" s="13" t="n"/>
      <c r="K98" s="13" t="n"/>
      <c r="L98" s="13" t="n"/>
      <c r="M98" s="13" t="n"/>
      <c r="N98" s="13" t="n"/>
      <c r="O98" s="13" t="n"/>
      <c r="P98" s="14">
        <f>IF(A98="","",COUNT(H98:O98)/8)</f>
        <v/>
      </c>
      <c r="Q98" s="15">
        <f>IF(COUNT(H98:O98)=0,"",IF(LEN(IF(COUNT(H98,I98,J98)=3,IF(ABS(H98+I98-J98)&lt;=MAX(1,0.02*ABS(J98)),"","RBE &lt;&gt; PNB + frais "),"")&amp;IF(COUNT(J98,K98,L98)=3,IF(ABS(J98+K98-L98)&lt;=MAX(1,0.03*ABS(L98)),"","RAI &lt;&gt; RBE + coût du risque "),"")&amp;IF(COUNT(H98,M98)=2,IF(ABS(M98)&gt;ABS(H98),"RN &gt; PNB ",""),""))=0,"OK",IF(COUNT(H98,I98,J98)=3,IF(ABS(H98+I98-J98)&lt;=MAX(1,0.02*ABS(J98)),"","RBE &lt;&gt; PNB + frais "),"")&amp;IF(COUNT(J98,K98,L98)=3,IF(ABS(J98+K98-L98)&lt;=MAX(1,0.03*ABS(L98)),"","RAI &lt;&gt; RBE + coût du risque "),"")&amp;IF(COUNT(H98,M98)=2,IF(ABS(M98)&gt;ABS(H98),"RN &gt; PNB ",""),"")))</f>
        <v/>
      </c>
      <c r="R98" s="16">
        <f>IF(OR($A98="",H98="",$C98=""),"",IF(COUNTIFS($A$5:$A$315,$A98,$C$5:$C$315,$C98-1,$D$5:$D$315,$D98,H$5:H$315,"&lt;&gt;")=0,"",IF(OR(SUMIFS(H$5:H$315,$A$5:$A$315,$A98,$C$5:$C$315,$C98-1,$D$5:$D$315,$D98)=0,H98*SUMIFS(H$5:H$315,$A$5:$A$315,$A98,$C$5:$C$315,$C98-1,$D$5:$D$315,$D98)&lt;0),"n.s.",ABS(H98)/ABS(SUMIFS(H$5:H$315,$A$5:$A$315,$A98,$C$5:$C$315,$C98-1,$D$5:$D$315,$D98))-1)))</f>
        <v/>
      </c>
      <c r="S98" s="16">
        <f>IF(OR($A98="",I98="",$C98=""),"",IF(COUNTIFS($A$5:$A$315,$A98,$C$5:$C$315,$C98-1,$D$5:$D$315,$D98,I$5:I$315,"&lt;&gt;")=0,"",IF(OR(SUMIFS(I$5:I$315,$A$5:$A$315,$A98,$C$5:$C$315,$C98-1,$D$5:$D$315,$D98)=0,I98*SUMIFS(I$5:I$315,$A$5:$A$315,$A98,$C$5:$C$315,$C98-1,$D$5:$D$315,$D98)&lt;0),"n.s.",ABS(I98)/ABS(SUMIFS(I$5:I$315,$A$5:$A$315,$A98,$C$5:$C$315,$C98-1,$D$5:$D$315,$D98))-1)))</f>
        <v/>
      </c>
      <c r="T98" s="16">
        <f>IF(OR($A98="",J98="",$C98=""),"",IF(COUNTIFS($A$5:$A$315,$A98,$C$5:$C$315,$C98-1,$D$5:$D$315,$D98,J$5:J$315,"&lt;&gt;")=0,"",IF(OR(SUMIFS(J$5:J$315,$A$5:$A$315,$A98,$C$5:$C$315,$C98-1,$D$5:$D$315,$D98)=0,J98*SUMIFS(J$5:J$315,$A$5:$A$315,$A98,$C$5:$C$315,$C98-1,$D$5:$D$315,$D98)&lt;0),"n.s.",ABS(J98)/ABS(SUMIFS(J$5:J$315,$A$5:$A$315,$A98,$C$5:$C$315,$C98-1,$D$5:$D$315,$D98))-1)))</f>
        <v/>
      </c>
      <c r="U98" s="16">
        <f>IF(OR($A98="",K98="",$C98=""),"",IF(COUNTIFS($A$5:$A$315,$A98,$C$5:$C$315,$C98-1,$D$5:$D$315,$D98,K$5:K$315,"&lt;&gt;")=0,"",IF(OR(SUMIFS(K$5:K$315,$A$5:$A$315,$A98,$C$5:$C$315,$C98-1,$D$5:$D$315,$D98)=0,K98*SUMIFS(K$5:K$315,$A$5:$A$315,$A98,$C$5:$C$315,$C98-1,$D$5:$D$315,$D98)&lt;0),"n.s.",ABS(K98)/ABS(SUMIFS(K$5:K$315,$A$5:$A$315,$A98,$C$5:$C$315,$C98-1,$D$5:$D$315,$D98))-1)))</f>
        <v/>
      </c>
      <c r="V98" s="16">
        <f>IF(OR($A98="",L98="",$C98=""),"",IF(COUNTIFS($A$5:$A$315,$A98,$C$5:$C$315,$C98-1,$D$5:$D$315,$D98,L$5:L$315,"&lt;&gt;")=0,"",IF(OR(SUMIFS(L$5:L$315,$A$5:$A$315,$A98,$C$5:$C$315,$C98-1,$D$5:$D$315,$D98)=0,L98*SUMIFS(L$5:L$315,$A$5:$A$315,$A98,$C$5:$C$315,$C98-1,$D$5:$D$315,$D98)&lt;0),"n.s.",ABS(L98)/ABS(SUMIFS(L$5:L$315,$A$5:$A$315,$A98,$C$5:$C$315,$C98-1,$D$5:$D$315,$D98))-1)))</f>
        <v/>
      </c>
      <c r="W98" s="16">
        <f>IF(OR($A98="",M98="",$C98=""),"",IF(COUNTIFS($A$5:$A$315,$A98,$C$5:$C$315,$C98-1,$D$5:$D$315,$D98,M$5:M$315,"&lt;&gt;")=0,"",IF(OR(SUMIFS(M$5:M$315,$A$5:$A$315,$A98,$C$5:$C$315,$C98-1,$D$5:$D$315,$D98)=0,M98*SUMIFS(M$5:M$315,$A$5:$A$315,$A98,$C$5:$C$315,$C98-1,$D$5:$D$315,$D98)&lt;0),"n.s.",ABS(M98)/ABS(SUMIFS(M$5:M$315,$A$5:$A$315,$A98,$C$5:$C$315,$C98-1,$D$5:$D$315,$D98))-1)))</f>
        <v/>
      </c>
      <c r="X98" s="16">
        <f>IF(OR($A98="",N98="",$C98=""),"",IF(COUNTIFS($A$5:$A$315,$A98,$C$5:$C$315,$C98-1,$D$5:$D$315,$D98,N$5:N$315,"&lt;&gt;")=0,"",IF(OR(SUMIFS(N$5:N$315,$A$5:$A$315,$A98,$C$5:$C$315,$C98-1,$D$5:$D$315,$D98)=0,N98*SUMIFS(N$5:N$315,$A$5:$A$315,$A98,$C$5:$C$315,$C98-1,$D$5:$D$315,$D98)&lt;0),"n.s.",ABS(N98)/ABS(SUMIFS(N$5:N$315,$A$5:$A$315,$A98,$C$5:$C$315,$C98-1,$D$5:$D$315,$D98))-1)))</f>
        <v/>
      </c>
      <c r="Y98" s="16">
        <f>IF(OR($A98="",O98="",$C98=""),"",IF(COUNTIFS($A$5:$A$315,$A98,$C$5:$C$315,$C98-1,$D$5:$D$315,$D98,O$5:O$315,"&lt;&gt;")=0,"",IF(OR(SUMIFS(O$5:O$315,$A$5:$A$315,$A98,$C$5:$C$315,$C98-1,$D$5:$D$315,$D98)=0,O98*SUMIFS(O$5:O$315,$A$5:$A$315,$A98,$C$5:$C$315,$C98-1,$D$5:$D$315,$D98)&lt;0),"n.s.",ABS(O98)/ABS(SUMIFS(O$5:O$315,$A$5:$A$315,$A98,$C$5:$C$315,$C98-1,$D$5:$D$315,$D98))-1)))</f>
        <v/>
      </c>
    </row>
    <row r="99">
      <c r="A99" s="9" t="inlineStr">
        <is>
          <t>BOAC</t>
        </is>
      </c>
      <c r="B99" s="10">
        <f>IF(A99="","",IFERROR(VLOOKUP(A99,Titres!$A$2:$B$400,2,FALSE),"Ticker inconnu"))</f>
        <v/>
      </c>
      <c r="C99" s="11" t="n">
        <v>2022</v>
      </c>
      <c r="D99" s="11" t="inlineStr">
        <is>
          <t>S1</t>
        </is>
      </c>
      <c r="E99" s="9" t="n"/>
      <c r="F99" s="12" t="n"/>
      <c r="G99" s="9" t="n"/>
      <c r="H99" s="13" t="n"/>
      <c r="I99" s="13" t="n"/>
      <c r="J99" s="13" t="n"/>
      <c r="K99" s="13" t="n"/>
      <c r="L99" s="13" t="n"/>
      <c r="M99" s="13" t="n"/>
      <c r="N99" s="13" t="n"/>
      <c r="O99" s="13" t="n"/>
      <c r="P99" s="14">
        <f>IF(A99="","",COUNT(H99:O99)/8)</f>
        <v/>
      </c>
      <c r="Q99" s="15">
        <f>IF(COUNT(H99:O99)=0,"",IF(LEN(IF(COUNT(H99,I99,J99)=3,IF(ABS(H99+I99-J99)&lt;=MAX(1,0.02*ABS(J99)),"","RBE &lt;&gt; PNB + frais "),"")&amp;IF(COUNT(J99,K99,L99)=3,IF(ABS(J99+K99-L99)&lt;=MAX(1,0.03*ABS(L99)),"","RAI &lt;&gt; RBE + coût du risque "),"")&amp;IF(COUNT(H99,M99)=2,IF(ABS(M99)&gt;ABS(H99),"RN &gt; PNB ",""),""))=0,"OK",IF(COUNT(H99,I99,J99)=3,IF(ABS(H99+I99-J99)&lt;=MAX(1,0.02*ABS(J99)),"","RBE &lt;&gt; PNB + frais "),"")&amp;IF(COUNT(J99,K99,L99)=3,IF(ABS(J99+K99-L99)&lt;=MAX(1,0.03*ABS(L99)),"","RAI &lt;&gt; RBE + coût du risque "),"")&amp;IF(COUNT(H99,M99)=2,IF(ABS(M99)&gt;ABS(H99),"RN &gt; PNB ",""),"")))</f>
        <v/>
      </c>
      <c r="R99" s="16">
        <f>IF(OR($A99="",H99="",$C99=""),"",IF(COUNTIFS($A$5:$A$315,$A99,$C$5:$C$315,$C99-1,$D$5:$D$315,$D99,H$5:H$315,"&lt;&gt;")=0,"",IF(OR(SUMIFS(H$5:H$315,$A$5:$A$315,$A99,$C$5:$C$315,$C99-1,$D$5:$D$315,$D99)=0,H99*SUMIFS(H$5:H$315,$A$5:$A$315,$A99,$C$5:$C$315,$C99-1,$D$5:$D$315,$D99)&lt;0),"n.s.",ABS(H99)/ABS(SUMIFS(H$5:H$315,$A$5:$A$315,$A99,$C$5:$C$315,$C99-1,$D$5:$D$315,$D99))-1)))</f>
        <v/>
      </c>
      <c r="S99" s="16">
        <f>IF(OR($A99="",I99="",$C99=""),"",IF(COUNTIFS($A$5:$A$315,$A99,$C$5:$C$315,$C99-1,$D$5:$D$315,$D99,I$5:I$315,"&lt;&gt;")=0,"",IF(OR(SUMIFS(I$5:I$315,$A$5:$A$315,$A99,$C$5:$C$315,$C99-1,$D$5:$D$315,$D99)=0,I99*SUMIFS(I$5:I$315,$A$5:$A$315,$A99,$C$5:$C$315,$C99-1,$D$5:$D$315,$D99)&lt;0),"n.s.",ABS(I99)/ABS(SUMIFS(I$5:I$315,$A$5:$A$315,$A99,$C$5:$C$315,$C99-1,$D$5:$D$315,$D99))-1)))</f>
        <v/>
      </c>
      <c r="T99" s="16">
        <f>IF(OR($A99="",J99="",$C99=""),"",IF(COUNTIFS($A$5:$A$315,$A99,$C$5:$C$315,$C99-1,$D$5:$D$315,$D99,J$5:J$315,"&lt;&gt;")=0,"",IF(OR(SUMIFS(J$5:J$315,$A$5:$A$315,$A99,$C$5:$C$315,$C99-1,$D$5:$D$315,$D99)=0,J99*SUMIFS(J$5:J$315,$A$5:$A$315,$A99,$C$5:$C$315,$C99-1,$D$5:$D$315,$D99)&lt;0),"n.s.",ABS(J99)/ABS(SUMIFS(J$5:J$315,$A$5:$A$315,$A99,$C$5:$C$315,$C99-1,$D$5:$D$315,$D99))-1)))</f>
        <v/>
      </c>
      <c r="U99" s="16">
        <f>IF(OR($A99="",K99="",$C99=""),"",IF(COUNTIFS($A$5:$A$315,$A99,$C$5:$C$315,$C99-1,$D$5:$D$315,$D99,K$5:K$315,"&lt;&gt;")=0,"",IF(OR(SUMIFS(K$5:K$315,$A$5:$A$315,$A99,$C$5:$C$315,$C99-1,$D$5:$D$315,$D99)=0,K99*SUMIFS(K$5:K$315,$A$5:$A$315,$A99,$C$5:$C$315,$C99-1,$D$5:$D$315,$D99)&lt;0),"n.s.",ABS(K99)/ABS(SUMIFS(K$5:K$315,$A$5:$A$315,$A99,$C$5:$C$315,$C99-1,$D$5:$D$315,$D99))-1)))</f>
        <v/>
      </c>
      <c r="V99" s="16">
        <f>IF(OR($A99="",L99="",$C99=""),"",IF(COUNTIFS($A$5:$A$315,$A99,$C$5:$C$315,$C99-1,$D$5:$D$315,$D99,L$5:L$315,"&lt;&gt;")=0,"",IF(OR(SUMIFS(L$5:L$315,$A$5:$A$315,$A99,$C$5:$C$315,$C99-1,$D$5:$D$315,$D99)=0,L99*SUMIFS(L$5:L$315,$A$5:$A$315,$A99,$C$5:$C$315,$C99-1,$D$5:$D$315,$D99)&lt;0),"n.s.",ABS(L99)/ABS(SUMIFS(L$5:L$315,$A$5:$A$315,$A99,$C$5:$C$315,$C99-1,$D$5:$D$315,$D99))-1)))</f>
        <v/>
      </c>
      <c r="W99" s="16">
        <f>IF(OR($A99="",M99="",$C99=""),"",IF(COUNTIFS($A$5:$A$315,$A99,$C$5:$C$315,$C99-1,$D$5:$D$315,$D99,M$5:M$315,"&lt;&gt;")=0,"",IF(OR(SUMIFS(M$5:M$315,$A$5:$A$315,$A99,$C$5:$C$315,$C99-1,$D$5:$D$315,$D99)=0,M99*SUMIFS(M$5:M$315,$A$5:$A$315,$A99,$C$5:$C$315,$C99-1,$D$5:$D$315,$D99)&lt;0),"n.s.",ABS(M99)/ABS(SUMIFS(M$5:M$315,$A$5:$A$315,$A99,$C$5:$C$315,$C99-1,$D$5:$D$315,$D99))-1)))</f>
        <v/>
      </c>
      <c r="X99" s="16">
        <f>IF(OR($A99="",N99="",$C99=""),"",IF(COUNTIFS($A$5:$A$315,$A99,$C$5:$C$315,$C99-1,$D$5:$D$315,$D99,N$5:N$315,"&lt;&gt;")=0,"",IF(OR(SUMIFS(N$5:N$315,$A$5:$A$315,$A99,$C$5:$C$315,$C99-1,$D$5:$D$315,$D99)=0,N99*SUMIFS(N$5:N$315,$A$5:$A$315,$A99,$C$5:$C$315,$C99-1,$D$5:$D$315,$D99)&lt;0),"n.s.",ABS(N99)/ABS(SUMIFS(N$5:N$315,$A$5:$A$315,$A99,$C$5:$C$315,$C99-1,$D$5:$D$315,$D99))-1)))</f>
        <v/>
      </c>
      <c r="Y99" s="16">
        <f>IF(OR($A99="",O99="",$C99=""),"",IF(COUNTIFS($A$5:$A$315,$A99,$C$5:$C$315,$C99-1,$D$5:$D$315,$D99,O$5:O$315,"&lt;&gt;")=0,"",IF(OR(SUMIFS(O$5:O$315,$A$5:$A$315,$A99,$C$5:$C$315,$C99-1,$D$5:$D$315,$D99)=0,O99*SUMIFS(O$5:O$315,$A$5:$A$315,$A99,$C$5:$C$315,$C99-1,$D$5:$D$315,$D99)&lt;0),"n.s.",ABS(O99)/ABS(SUMIFS(O$5:O$315,$A$5:$A$315,$A99,$C$5:$C$315,$C99-1,$D$5:$D$315,$D99))-1)))</f>
        <v/>
      </c>
    </row>
    <row r="100">
      <c r="A100" s="9" t="inlineStr">
        <is>
          <t>BOAC</t>
        </is>
      </c>
      <c r="B100" s="10">
        <f>IF(A100="","",IFERROR(VLOOKUP(A100,Titres!$A$2:$B$400,2,FALSE),"Ticker inconnu"))</f>
        <v/>
      </c>
      <c r="C100" s="11" t="n">
        <v>2022</v>
      </c>
      <c r="D100" s="11" t="inlineStr">
        <is>
          <t>T3</t>
        </is>
      </c>
      <c r="E100" s="9" t="n"/>
      <c r="F100" s="12" t="n"/>
      <c r="G100" s="9" t="n"/>
      <c r="H100" s="13" t="n"/>
      <c r="I100" s="13" t="n"/>
      <c r="J100" s="13" t="n"/>
      <c r="K100" s="13" t="n"/>
      <c r="L100" s="13" t="n"/>
      <c r="M100" s="13" t="n"/>
      <c r="N100" s="13" t="n"/>
      <c r="O100" s="13" t="n"/>
      <c r="P100" s="14">
        <f>IF(A100="","",COUNT(H100:O100)/8)</f>
        <v/>
      </c>
      <c r="Q100" s="15">
        <f>IF(COUNT(H100:O100)=0,"",IF(LEN(IF(COUNT(H100,I100,J100)=3,IF(ABS(H100+I100-J100)&lt;=MAX(1,0.02*ABS(J100)),"","RBE &lt;&gt; PNB + frais "),"")&amp;IF(COUNT(J100,K100,L100)=3,IF(ABS(J100+K100-L100)&lt;=MAX(1,0.03*ABS(L100)),"","RAI &lt;&gt; RBE + coût du risque "),"")&amp;IF(COUNT(H100,M100)=2,IF(ABS(M100)&gt;ABS(H100),"RN &gt; PNB ",""),""))=0,"OK",IF(COUNT(H100,I100,J100)=3,IF(ABS(H100+I100-J100)&lt;=MAX(1,0.02*ABS(J100)),"","RBE &lt;&gt; PNB + frais "),"")&amp;IF(COUNT(J100,K100,L100)=3,IF(ABS(J100+K100-L100)&lt;=MAX(1,0.03*ABS(L100)),"","RAI &lt;&gt; RBE + coût du risque "),"")&amp;IF(COUNT(H100,M100)=2,IF(ABS(M100)&gt;ABS(H100),"RN &gt; PNB ",""),"")))</f>
        <v/>
      </c>
      <c r="R100" s="16">
        <f>IF(OR($A100="",H100="",$C100=""),"",IF(COUNTIFS($A$5:$A$315,$A100,$C$5:$C$315,$C100-1,$D$5:$D$315,$D100,H$5:H$315,"&lt;&gt;")=0,"",IF(OR(SUMIFS(H$5:H$315,$A$5:$A$315,$A100,$C$5:$C$315,$C100-1,$D$5:$D$315,$D100)=0,H100*SUMIFS(H$5:H$315,$A$5:$A$315,$A100,$C$5:$C$315,$C100-1,$D$5:$D$315,$D100)&lt;0),"n.s.",ABS(H100)/ABS(SUMIFS(H$5:H$315,$A$5:$A$315,$A100,$C$5:$C$315,$C100-1,$D$5:$D$315,$D100))-1)))</f>
        <v/>
      </c>
      <c r="S100" s="16">
        <f>IF(OR($A100="",I100="",$C100=""),"",IF(COUNTIFS($A$5:$A$315,$A100,$C$5:$C$315,$C100-1,$D$5:$D$315,$D100,I$5:I$315,"&lt;&gt;")=0,"",IF(OR(SUMIFS(I$5:I$315,$A$5:$A$315,$A100,$C$5:$C$315,$C100-1,$D$5:$D$315,$D100)=0,I100*SUMIFS(I$5:I$315,$A$5:$A$315,$A100,$C$5:$C$315,$C100-1,$D$5:$D$315,$D100)&lt;0),"n.s.",ABS(I100)/ABS(SUMIFS(I$5:I$315,$A$5:$A$315,$A100,$C$5:$C$315,$C100-1,$D$5:$D$315,$D100))-1)))</f>
        <v/>
      </c>
      <c r="T100" s="16">
        <f>IF(OR($A100="",J100="",$C100=""),"",IF(COUNTIFS($A$5:$A$315,$A100,$C$5:$C$315,$C100-1,$D$5:$D$315,$D100,J$5:J$315,"&lt;&gt;")=0,"",IF(OR(SUMIFS(J$5:J$315,$A$5:$A$315,$A100,$C$5:$C$315,$C100-1,$D$5:$D$315,$D100)=0,J100*SUMIFS(J$5:J$315,$A$5:$A$315,$A100,$C$5:$C$315,$C100-1,$D$5:$D$315,$D100)&lt;0),"n.s.",ABS(J100)/ABS(SUMIFS(J$5:J$315,$A$5:$A$315,$A100,$C$5:$C$315,$C100-1,$D$5:$D$315,$D100))-1)))</f>
        <v/>
      </c>
      <c r="U100" s="16">
        <f>IF(OR($A100="",K100="",$C100=""),"",IF(COUNTIFS($A$5:$A$315,$A100,$C$5:$C$315,$C100-1,$D$5:$D$315,$D100,K$5:K$315,"&lt;&gt;")=0,"",IF(OR(SUMIFS(K$5:K$315,$A$5:$A$315,$A100,$C$5:$C$315,$C100-1,$D$5:$D$315,$D100)=0,K100*SUMIFS(K$5:K$315,$A$5:$A$315,$A100,$C$5:$C$315,$C100-1,$D$5:$D$315,$D100)&lt;0),"n.s.",ABS(K100)/ABS(SUMIFS(K$5:K$315,$A$5:$A$315,$A100,$C$5:$C$315,$C100-1,$D$5:$D$315,$D100))-1)))</f>
        <v/>
      </c>
      <c r="V100" s="16">
        <f>IF(OR($A100="",L100="",$C100=""),"",IF(COUNTIFS($A$5:$A$315,$A100,$C$5:$C$315,$C100-1,$D$5:$D$315,$D100,L$5:L$315,"&lt;&gt;")=0,"",IF(OR(SUMIFS(L$5:L$315,$A$5:$A$315,$A100,$C$5:$C$315,$C100-1,$D$5:$D$315,$D100)=0,L100*SUMIFS(L$5:L$315,$A$5:$A$315,$A100,$C$5:$C$315,$C100-1,$D$5:$D$315,$D100)&lt;0),"n.s.",ABS(L100)/ABS(SUMIFS(L$5:L$315,$A$5:$A$315,$A100,$C$5:$C$315,$C100-1,$D$5:$D$315,$D100))-1)))</f>
        <v/>
      </c>
      <c r="W100" s="16">
        <f>IF(OR($A100="",M100="",$C100=""),"",IF(COUNTIFS($A$5:$A$315,$A100,$C$5:$C$315,$C100-1,$D$5:$D$315,$D100,M$5:M$315,"&lt;&gt;")=0,"",IF(OR(SUMIFS(M$5:M$315,$A$5:$A$315,$A100,$C$5:$C$315,$C100-1,$D$5:$D$315,$D100)=0,M100*SUMIFS(M$5:M$315,$A$5:$A$315,$A100,$C$5:$C$315,$C100-1,$D$5:$D$315,$D100)&lt;0),"n.s.",ABS(M100)/ABS(SUMIFS(M$5:M$315,$A$5:$A$315,$A100,$C$5:$C$315,$C100-1,$D$5:$D$315,$D100))-1)))</f>
        <v/>
      </c>
      <c r="X100" s="16">
        <f>IF(OR($A100="",N100="",$C100=""),"",IF(COUNTIFS($A$5:$A$315,$A100,$C$5:$C$315,$C100-1,$D$5:$D$315,$D100,N$5:N$315,"&lt;&gt;")=0,"",IF(OR(SUMIFS(N$5:N$315,$A$5:$A$315,$A100,$C$5:$C$315,$C100-1,$D$5:$D$315,$D100)=0,N100*SUMIFS(N$5:N$315,$A$5:$A$315,$A100,$C$5:$C$315,$C100-1,$D$5:$D$315,$D100)&lt;0),"n.s.",ABS(N100)/ABS(SUMIFS(N$5:N$315,$A$5:$A$315,$A100,$C$5:$C$315,$C100-1,$D$5:$D$315,$D100))-1)))</f>
        <v/>
      </c>
      <c r="Y100" s="16">
        <f>IF(OR($A100="",O100="",$C100=""),"",IF(COUNTIFS($A$5:$A$315,$A100,$C$5:$C$315,$C100-1,$D$5:$D$315,$D100,O$5:O$315,"&lt;&gt;")=0,"",IF(OR(SUMIFS(O$5:O$315,$A$5:$A$315,$A100,$C$5:$C$315,$C100-1,$D$5:$D$315,$D100)=0,O100*SUMIFS(O$5:O$315,$A$5:$A$315,$A100,$C$5:$C$315,$C100-1,$D$5:$D$315,$D100)&lt;0),"n.s.",ABS(O100)/ABS(SUMIFS(O$5:O$315,$A$5:$A$315,$A100,$C$5:$C$315,$C100-1,$D$5:$D$315,$D100))-1)))</f>
        <v/>
      </c>
    </row>
    <row r="101">
      <c r="A101" s="9" t="inlineStr">
        <is>
          <t>BOAC</t>
        </is>
      </c>
      <c r="B101" s="10">
        <f>IF(A101="","",IFERROR(VLOOKUP(A101,Titres!$A$2:$B$400,2,FALSE),"Ticker inconnu"))</f>
        <v/>
      </c>
      <c r="C101" s="11" t="n">
        <v>2023</v>
      </c>
      <c r="D101" s="11" t="inlineStr">
        <is>
          <t>T1</t>
        </is>
      </c>
      <c r="E101" s="9" t="n"/>
      <c r="F101" s="12" t="n"/>
      <c r="G101" s="9" t="n"/>
      <c r="H101" s="13" t="n"/>
      <c r="I101" s="13" t="n"/>
      <c r="J101" s="13" t="n"/>
      <c r="K101" s="13" t="n"/>
      <c r="L101" s="13" t="n"/>
      <c r="M101" s="13" t="n"/>
      <c r="N101" s="13" t="n"/>
      <c r="O101" s="13" t="n"/>
      <c r="P101" s="14">
        <f>IF(A101="","",COUNT(H101:O101)/8)</f>
        <v/>
      </c>
      <c r="Q101" s="15">
        <f>IF(COUNT(H101:O101)=0,"",IF(LEN(IF(COUNT(H101,I101,J101)=3,IF(ABS(H101+I101-J101)&lt;=MAX(1,0.02*ABS(J101)),"","RBE &lt;&gt; PNB + frais "),"")&amp;IF(COUNT(J101,K101,L101)=3,IF(ABS(J101+K101-L101)&lt;=MAX(1,0.03*ABS(L101)),"","RAI &lt;&gt; RBE + coût du risque "),"")&amp;IF(COUNT(H101,M101)=2,IF(ABS(M101)&gt;ABS(H101),"RN &gt; PNB ",""),""))=0,"OK",IF(COUNT(H101,I101,J101)=3,IF(ABS(H101+I101-J101)&lt;=MAX(1,0.02*ABS(J101)),"","RBE &lt;&gt; PNB + frais "),"")&amp;IF(COUNT(J101,K101,L101)=3,IF(ABS(J101+K101-L101)&lt;=MAX(1,0.03*ABS(L101)),"","RAI &lt;&gt; RBE + coût du risque "),"")&amp;IF(COUNT(H101,M101)=2,IF(ABS(M101)&gt;ABS(H101),"RN &gt; PNB ",""),"")))</f>
        <v/>
      </c>
      <c r="R101" s="16">
        <f>IF(OR($A101="",H101="",$C101=""),"",IF(COUNTIFS($A$5:$A$315,$A101,$C$5:$C$315,$C101-1,$D$5:$D$315,$D101,H$5:H$315,"&lt;&gt;")=0,"",IF(OR(SUMIFS(H$5:H$315,$A$5:$A$315,$A101,$C$5:$C$315,$C101-1,$D$5:$D$315,$D101)=0,H101*SUMIFS(H$5:H$315,$A$5:$A$315,$A101,$C$5:$C$315,$C101-1,$D$5:$D$315,$D101)&lt;0),"n.s.",ABS(H101)/ABS(SUMIFS(H$5:H$315,$A$5:$A$315,$A101,$C$5:$C$315,$C101-1,$D$5:$D$315,$D101))-1)))</f>
        <v/>
      </c>
      <c r="S101" s="16">
        <f>IF(OR($A101="",I101="",$C101=""),"",IF(COUNTIFS($A$5:$A$315,$A101,$C$5:$C$315,$C101-1,$D$5:$D$315,$D101,I$5:I$315,"&lt;&gt;")=0,"",IF(OR(SUMIFS(I$5:I$315,$A$5:$A$315,$A101,$C$5:$C$315,$C101-1,$D$5:$D$315,$D101)=0,I101*SUMIFS(I$5:I$315,$A$5:$A$315,$A101,$C$5:$C$315,$C101-1,$D$5:$D$315,$D101)&lt;0),"n.s.",ABS(I101)/ABS(SUMIFS(I$5:I$315,$A$5:$A$315,$A101,$C$5:$C$315,$C101-1,$D$5:$D$315,$D101))-1)))</f>
        <v/>
      </c>
      <c r="T101" s="16">
        <f>IF(OR($A101="",J101="",$C101=""),"",IF(COUNTIFS($A$5:$A$315,$A101,$C$5:$C$315,$C101-1,$D$5:$D$315,$D101,J$5:J$315,"&lt;&gt;")=0,"",IF(OR(SUMIFS(J$5:J$315,$A$5:$A$315,$A101,$C$5:$C$315,$C101-1,$D$5:$D$315,$D101)=0,J101*SUMIFS(J$5:J$315,$A$5:$A$315,$A101,$C$5:$C$315,$C101-1,$D$5:$D$315,$D101)&lt;0),"n.s.",ABS(J101)/ABS(SUMIFS(J$5:J$315,$A$5:$A$315,$A101,$C$5:$C$315,$C101-1,$D$5:$D$315,$D101))-1)))</f>
        <v/>
      </c>
      <c r="U101" s="16">
        <f>IF(OR($A101="",K101="",$C101=""),"",IF(COUNTIFS($A$5:$A$315,$A101,$C$5:$C$315,$C101-1,$D$5:$D$315,$D101,K$5:K$315,"&lt;&gt;")=0,"",IF(OR(SUMIFS(K$5:K$315,$A$5:$A$315,$A101,$C$5:$C$315,$C101-1,$D$5:$D$315,$D101)=0,K101*SUMIFS(K$5:K$315,$A$5:$A$315,$A101,$C$5:$C$315,$C101-1,$D$5:$D$315,$D101)&lt;0),"n.s.",ABS(K101)/ABS(SUMIFS(K$5:K$315,$A$5:$A$315,$A101,$C$5:$C$315,$C101-1,$D$5:$D$315,$D101))-1)))</f>
        <v/>
      </c>
      <c r="V101" s="16">
        <f>IF(OR($A101="",L101="",$C101=""),"",IF(COUNTIFS($A$5:$A$315,$A101,$C$5:$C$315,$C101-1,$D$5:$D$315,$D101,L$5:L$315,"&lt;&gt;")=0,"",IF(OR(SUMIFS(L$5:L$315,$A$5:$A$315,$A101,$C$5:$C$315,$C101-1,$D$5:$D$315,$D101)=0,L101*SUMIFS(L$5:L$315,$A$5:$A$315,$A101,$C$5:$C$315,$C101-1,$D$5:$D$315,$D101)&lt;0),"n.s.",ABS(L101)/ABS(SUMIFS(L$5:L$315,$A$5:$A$315,$A101,$C$5:$C$315,$C101-1,$D$5:$D$315,$D101))-1)))</f>
        <v/>
      </c>
      <c r="W101" s="16">
        <f>IF(OR($A101="",M101="",$C101=""),"",IF(COUNTIFS($A$5:$A$315,$A101,$C$5:$C$315,$C101-1,$D$5:$D$315,$D101,M$5:M$315,"&lt;&gt;")=0,"",IF(OR(SUMIFS(M$5:M$315,$A$5:$A$315,$A101,$C$5:$C$315,$C101-1,$D$5:$D$315,$D101)=0,M101*SUMIFS(M$5:M$315,$A$5:$A$315,$A101,$C$5:$C$315,$C101-1,$D$5:$D$315,$D101)&lt;0),"n.s.",ABS(M101)/ABS(SUMIFS(M$5:M$315,$A$5:$A$315,$A101,$C$5:$C$315,$C101-1,$D$5:$D$315,$D101))-1)))</f>
        <v/>
      </c>
      <c r="X101" s="16">
        <f>IF(OR($A101="",N101="",$C101=""),"",IF(COUNTIFS($A$5:$A$315,$A101,$C$5:$C$315,$C101-1,$D$5:$D$315,$D101,N$5:N$315,"&lt;&gt;")=0,"",IF(OR(SUMIFS(N$5:N$315,$A$5:$A$315,$A101,$C$5:$C$315,$C101-1,$D$5:$D$315,$D101)=0,N101*SUMIFS(N$5:N$315,$A$5:$A$315,$A101,$C$5:$C$315,$C101-1,$D$5:$D$315,$D101)&lt;0),"n.s.",ABS(N101)/ABS(SUMIFS(N$5:N$315,$A$5:$A$315,$A101,$C$5:$C$315,$C101-1,$D$5:$D$315,$D101))-1)))</f>
        <v/>
      </c>
      <c r="Y101" s="16">
        <f>IF(OR($A101="",O101="",$C101=""),"",IF(COUNTIFS($A$5:$A$315,$A101,$C$5:$C$315,$C101-1,$D$5:$D$315,$D101,O$5:O$315,"&lt;&gt;")=0,"",IF(OR(SUMIFS(O$5:O$315,$A$5:$A$315,$A101,$C$5:$C$315,$C101-1,$D$5:$D$315,$D101)=0,O101*SUMIFS(O$5:O$315,$A$5:$A$315,$A101,$C$5:$C$315,$C101-1,$D$5:$D$315,$D101)&lt;0),"n.s.",ABS(O101)/ABS(SUMIFS(O$5:O$315,$A$5:$A$315,$A101,$C$5:$C$315,$C101-1,$D$5:$D$315,$D101))-1)))</f>
        <v/>
      </c>
    </row>
    <row r="102">
      <c r="A102" s="9" t="inlineStr">
        <is>
          <t>BOAC</t>
        </is>
      </c>
      <c r="B102" s="10">
        <f>IF(A102="","",IFERROR(VLOOKUP(A102,Titres!$A$2:$B$400,2,FALSE),"Ticker inconnu"))</f>
        <v/>
      </c>
      <c r="C102" s="11" t="n">
        <v>2023</v>
      </c>
      <c r="D102" s="11" t="inlineStr">
        <is>
          <t>S1</t>
        </is>
      </c>
      <c r="E102" s="9" t="n"/>
      <c r="F102" s="12" t="n"/>
      <c r="G102" s="9" t="n"/>
      <c r="H102" s="13" t="n"/>
      <c r="I102" s="13" t="n"/>
      <c r="J102" s="13" t="n"/>
      <c r="K102" s="13" t="n"/>
      <c r="L102" s="13" t="n"/>
      <c r="M102" s="13" t="n"/>
      <c r="N102" s="13" t="n"/>
      <c r="O102" s="13" t="n"/>
      <c r="P102" s="14">
        <f>IF(A102="","",COUNT(H102:O102)/8)</f>
        <v/>
      </c>
      <c r="Q102" s="15">
        <f>IF(COUNT(H102:O102)=0,"",IF(LEN(IF(COUNT(H102,I102,J102)=3,IF(ABS(H102+I102-J102)&lt;=MAX(1,0.02*ABS(J102)),"","RBE &lt;&gt; PNB + frais "),"")&amp;IF(COUNT(J102,K102,L102)=3,IF(ABS(J102+K102-L102)&lt;=MAX(1,0.03*ABS(L102)),"","RAI &lt;&gt; RBE + coût du risque "),"")&amp;IF(COUNT(H102,M102)=2,IF(ABS(M102)&gt;ABS(H102),"RN &gt; PNB ",""),""))=0,"OK",IF(COUNT(H102,I102,J102)=3,IF(ABS(H102+I102-J102)&lt;=MAX(1,0.02*ABS(J102)),"","RBE &lt;&gt; PNB + frais "),"")&amp;IF(COUNT(J102,K102,L102)=3,IF(ABS(J102+K102-L102)&lt;=MAX(1,0.03*ABS(L102)),"","RAI &lt;&gt; RBE + coût du risque "),"")&amp;IF(COUNT(H102,M102)=2,IF(ABS(M102)&gt;ABS(H102),"RN &gt; PNB ",""),"")))</f>
        <v/>
      </c>
      <c r="R102" s="16">
        <f>IF(OR($A102="",H102="",$C102=""),"",IF(COUNTIFS($A$5:$A$315,$A102,$C$5:$C$315,$C102-1,$D$5:$D$315,$D102,H$5:H$315,"&lt;&gt;")=0,"",IF(OR(SUMIFS(H$5:H$315,$A$5:$A$315,$A102,$C$5:$C$315,$C102-1,$D$5:$D$315,$D102)=0,H102*SUMIFS(H$5:H$315,$A$5:$A$315,$A102,$C$5:$C$315,$C102-1,$D$5:$D$315,$D102)&lt;0),"n.s.",ABS(H102)/ABS(SUMIFS(H$5:H$315,$A$5:$A$315,$A102,$C$5:$C$315,$C102-1,$D$5:$D$315,$D102))-1)))</f>
        <v/>
      </c>
      <c r="S102" s="16">
        <f>IF(OR($A102="",I102="",$C102=""),"",IF(COUNTIFS($A$5:$A$315,$A102,$C$5:$C$315,$C102-1,$D$5:$D$315,$D102,I$5:I$315,"&lt;&gt;")=0,"",IF(OR(SUMIFS(I$5:I$315,$A$5:$A$315,$A102,$C$5:$C$315,$C102-1,$D$5:$D$315,$D102)=0,I102*SUMIFS(I$5:I$315,$A$5:$A$315,$A102,$C$5:$C$315,$C102-1,$D$5:$D$315,$D102)&lt;0),"n.s.",ABS(I102)/ABS(SUMIFS(I$5:I$315,$A$5:$A$315,$A102,$C$5:$C$315,$C102-1,$D$5:$D$315,$D102))-1)))</f>
        <v/>
      </c>
      <c r="T102" s="16">
        <f>IF(OR($A102="",J102="",$C102=""),"",IF(COUNTIFS($A$5:$A$315,$A102,$C$5:$C$315,$C102-1,$D$5:$D$315,$D102,J$5:J$315,"&lt;&gt;")=0,"",IF(OR(SUMIFS(J$5:J$315,$A$5:$A$315,$A102,$C$5:$C$315,$C102-1,$D$5:$D$315,$D102)=0,J102*SUMIFS(J$5:J$315,$A$5:$A$315,$A102,$C$5:$C$315,$C102-1,$D$5:$D$315,$D102)&lt;0),"n.s.",ABS(J102)/ABS(SUMIFS(J$5:J$315,$A$5:$A$315,$A102,$C$5:$C$315,$C102-1,$D$5:$D$315,$D102))-1)))</f>
        <v/>
      </c>
      <c r="U102" s="16">
        <f>IF(OR($A102="",K102="",$C102=""),"",IF(COUNTIFS($A$5:$A$315,$A102,$C$5:$C$315,$C102-1,$D$5:$D$315,$D102,K$5:K$315,"&lt;&gt;")=0,"",IF(OR(SUMIFS(K$5:K$315,$A$5:$A$315,$A102,$C$5:$C$315,$C102-1,$D$5:$D$315,$D102)=0,K102*SUMIFS(K$5:K$315,$A$5:$A$315,$A102,$C$5:$C$315,$C102-1,$D$5:$D$315,$D102)&lt;0),"n.s.",ABS(K102)/ABS(SUMIFS(K$5:K$315,$A$5:$A$315,$A102,$C$5:$C$315,$C102-1,$D$5:$D$315,$D102))-1)))</f>
        <v/>
      </c>
      <c r="V102" s="16">
        <f>IF(OR($A102="",L102="",$C102=""),"",IF(COUNTIFS($A$5:$A$315,$A102,$C$5:$C$315,$C102-1,$D$5:$D$315,$D102,L$5:L$315,"&lt;&gt;")=0,"",IF(OR(SUMIFS(L$5:L$315,$A$5:$A$315,$A102,$C$5:$C$315,$C102-1,$D$5:$D$315,$D102)=0,L102*SUMIFS(L$5:L$315,$A$5:$A$315,$A102,$C$5:$C$315,$C102-1,$D$5:$D$315,$D102)&lt;0),"n.s.",ABS(L102)/ABS(SUMIFS(L$5:L$315,$A$5:$A$315,$A102,$C$5:$C$315,$C102-1,$D$5:$D$315,$D102))-1)))</f>
        <v/>
      </c>
      <c r="W102" s="16">
        <f>IF(OR($A102="",M102="",$C102=""),"",IF(COUNTIFS($A$5:$A$315,$A102,$C$5:$C$315,$C102-1,$D$5:$D$315,$D102,M$5:M$315,"&lt;&gt;")=0,"",IF(OR(SUMIFS(M$5:M$315,$A$5:$A$315,$A102,$C$5:$C$315,$C102-1,$D$5:$D$315,$D102)=0,M102*SUMIFS(M$5:M$315,$A$5:$A$315,$A102,$C$5:$C$315,$C102-1,$D$5:$D$315,$D102)&lt;0),"n.s.",ABS(M102)/ABS(SUMIFS(M$5:M$315,$A$5:$A$315,$A102,$C$5:$C$315,$C102-1,$D$5:$D$315,$D102))-1)))</f>
        <v/>
      </c>
      <c r="X102" s="16">
        <f>IF(OR($A102="",N102="",$C102=""),"",IF(COUNTIFS($A$5:$A$315,$A102,$C$5:$C$315,$C102-1,$D$5:$D$315,$D102,N$5:N$315,"&lt;&gt;")=0,"",IF(OR(SUMIFS(N$5:N$315,$A$5:$A$315,$A102,$C$5:$C$315,$C102-1,$D$5:$D$315,$D102)=0,N102*SUMIFS(N$5:N$315,$A$5:$A$315,$A102,$C$5:$C$315,$C102-1,$D$5:$D$315,$D102)&lt;0),"n.s.",ABS(N102)/ABS(SUMIFS(N$5:N$315,$A$5:$A$315,$A102,$C$5:$C$315,$C102-1,$D$5:$D$315,$D102))-1)))</f>
        <v/>
      </c>
      <c r="Y102" s="16">
        <f>IF(OR($A102="",O102="",$C102=""),"",IF(COUNTIFS($A$5:$A$315,$A102,$C$5:$C$315,$C102-1,$D$5:$D$315,$D102,O$5:O$315,"&lt;&gt;")=0,"",IF(OR(SUMIFS(O$5:O$315,$A$5:$A$315,$A102,$C$5:$C$315,$C102-1,$D$5:$D$315,$D102)=0,O102*SUMIFS(O$5:O$315,$A$5:$A$315,$A102,$C$5:$C$315,$C102-1,$D$5:$D$315,$D102)&lt;0),"n.s.",ABS(O102)/ABS(SUMIFS(O$5:O$315,$A$5:$A$315,$A102,$C$5:$C$315,$C102-1,$D$5:$D$315,$D102))-1)))</f>
        <v/>
      </c>
    </row>
    <row r="103">
      <c r="A103" s="9" t="inlineStr">
        <is>
          <t>BOAC</t>
        </is>
      </c>
      <c r="B103" s="10">
        <f>IF(A103="","",IFERROR(VLOOKUP(A103,Titres!$A$2:$B$400,2,FALSE),"Ticker inconnu"))</f>
        <v/>
      </c>
      <c r="C103" s="11" t="n">
        <v>2023</v>
      </c>
      <c r="D103" s="11" t="inlineStr">
        <is>
          <t>T3</t>
        </is>
      </c>
      <c r="E103" s="9" t="n"/>
      <c r="F103" s="12" t="n"/>
      <c r="G103" s="9" t="n"/>
      <c r="H103" s="13" t="n"/>
      <c r="I103" s="13" t="n"/>
      <c r="J103" s="13" t="n"/>
      <c r="K103" s="13" t="n"/>
      <c r="L103" s="13" t="n"/>
      <c r="M103" s="13" t="n"/>
      <c r="N103" s="13" t="n"/>
      <c r="O103" s="13" t="n"/>
      <c r="P103" s="14">
        <f>IF(A103="","",COUNT(H103:O103)/8)</f>
        <v/>
      </c>
      <c r="Q103" s="15">
        <f>IF(COUNT(H103:O103)=0,"",IF(LEN(IF(COUNT(H103,I103,J103)=3,IF(ABS(H103+I103-J103)&lt;=MAX(1,0.02*ABS(J103)),"","RBE &lt;&gt; PNB + frais "),"")&amp;IF(COUNT(J103,K103,L103)=3,IF(ABS(J103+K103-L103)&lt;=MAX(1,0.03*ABS(L103)),"","RAI &lt;&gt; RBE + coût du risque "),"")&amp;IF(COUNT(H103,M103)=2,IF(ABS(M103)&gt;ABS(H103),"RN &gt; PNB ",""),""))=0,"OK",IF(COUNT(H103,I103,J103)=3,IF(ABS(H103+I103-J103)&lt;=MAX(1,0.02*ABS(J103)),"","RBE &lt;&gt; PNB + frais "),"")&amp;IF(COUNT(J103,K103,L103)=3,IF(ABS(J103+K103-L103)&lt;=MAX(1,0.03*ABS(L103)),"","RAI &lt;&gt; RBE + coût du risque "),"")&amp;IF(COUNT(H103,M103)=2,IF(ABS(M103)&gt;ABS(H103),"RN &gt; PNB ",""),"")))</f>
        <v/>
      </c>
      <c r="R103" s="16">
        <f>IF(OR($A103="",H103="",$C103=""),"",IF(COUNTIFS($A$5:$A$315,$A103,$C$5:$C$315,$C103-1,$D$5:$D$315,$D103,H$5:H$315,"&lt;&gt;")=0,"",IF(OR(SUMIFS(H$5:H$315,$A$5:$A$315,$A103,$C$5:$C$315,$C103-1,$D$5:$D$315,$D103)=0,H103*SUMIFS(H$5:H$315,$A$5:$A$315,$A103,$C$5:$C$315,$C103-1,$D$5:$D$315,$D103)&lt;0),"n.s.",ABS(H103)/ABS(SUMIFS(H$5:H$315,$A$5:$A$315,$A103,$C$5:$C$315,$C103-1,$D$5:$D$315,$D103))-1)))</f>
        <v/>
      </c>
      <c r="S103" s="16">
        <f>IF(OR($A103="",I103="",$C103=""),"",IF(COUNTIFS($A$5:$A$315,$A103,$C$5:$C$315,$C103-1,$D$5:$D$315,$D103,I$5:I$315,"&lt;&gt;")=0,"",IF(OR(SUMIFS(I$5:I$315,$A$5:$A$315,$A103,$C$5:$C$315,$C103-1,$D$5:$D$315,$D103)=0,I103*SUMIFS(I$5:I$315,$A$5:$A$315,$A103,$C$5:$C$315,$C103-1,$D$5:$D$315,$D103)&lt;0),"n.s.",ABS(I103)/ABS(SUMIFS(I$5:I$315,$A$5:$A$315,$A103,$C$5:$C$315,$C103-1,$D$5:$D$315,$D103))-1)))</f>
        <v/>
      </c>
      <c r="T103" s="16">
        <f>IF(OR($A103="",J103="",$C103=""),"",IF(COUNTIFS($A$5:$A$315,$A103,$C$5:$C$315,$C103-1,$D$5:$D$315,$D103,J$5:J$315,"&lt;&gt;")=0,"",IF(OR(SUMIFS(J$5:J$315,$A$5:$A$315,$A103,$C$5:$C$315,$C103-1,$D$5:$D$315,$D103)=0,J103*SUMIFS(J$5:J$315,$A$5:$A$315,$A103,$C$5:$C$315,$C103-1,$D$5:$D$315,$D103)&lt;0),"n.s.",ABS(J103)/ABS(SUMIFS(J$5:J$315,$A$5:$A$315,$A103,$C$5:$C$315,$C103-1,$D$5:$D$315,$D103))-1)))</f>
        <v/>
      </c>
      <c r="U103" s="16">
        <f>IF(OR($A103="",K103="",$C103=""),"",IF(COUNTIFS($A$5:$A$315,$A103,$C$5:$C$315,$C103-1,$D$5:$D$315,$D103,K$5:K$315,"&lt;&gt;")=0,"",IF(OR(SUMIFS(K$5:K$315,$A$5:$A$315,$A103,$C$5:$C$315,$C103-1,$D$5:$D$315,$D103)=0,K103*SUMIFS(K$5:K$315,$A$5:$A$315,$A103,$C$5:$C$315,$C103-1,$D$5:$D$315,$D103)&lt;0),"n.s.",ABS(K103)/ABS(SUMIFS(K$5:K$315,$A$5:$A$315,$A103,$C$5:$C$315,$C103-1,$D$5:$D$315,$D103))-1)))</f>
        <v/>
      </c>
      <c r="V103" s="16">
        <f>IF(OR($A103="",L103="",$C103=""),"",IF(COUNTIFS($A$5:$A$315,$A103,$C$5:$C$315,$C103-1,$D$5:$D$315,$D103,L$5:L$315,"&lt;&gt;")=0,"",IF(OR(SUMIFS(L$5:L$315,$A$5:$A$315,$A103,$C$5:$C$315,$C103-1,$D$5:$D$315,$D103)=0,L103*SUMIFS(L$5:L$315,$A$5:$A$315,$A103,$C$5:$C$315,$C103-1,$D$5:$D$315,$D103)&lt;0),"n.s.",ABS(L103)/ABS(SUMIFS(L$5:L$315,$A$5:$A$315,$A103,$C$5:$C$315,$C103-1,$D$5:$D$315,$D103))-1)))</f>
        <v/>
      </c>
      <c r="W103" s="16">
        <f>IF(OR($A103="",M103="",$C103=""),"",IF(COUNTIFS($A$5:$A$315,$A103,$C$5:$C$315,$C103-1,$D$5:$D$315,$D103,M$5:M$315,"&lt;&gt;")=0,"",IF(OR(SUMIFS(M$5:M$315,$A$5:$A$315,$A103,$C$5:$C$315,$C103-1,$D$5:$D$315,$D103)=0,M103*SUMIFS(M$5:M$315,$A$5:$A$315,$A103,$C$5:$C$315,$C103-1,$D$5:$D$315,$D103)&lt;0),"n.s.",ABS(M103)/ABS(SUMIFS(M$5:M$315,$A$5:$A$315,$A103,$C$5:$C$315,$C103-1,$D$5:$D$315,$D103))-1)))</f>
        <v/>
      </c>
      <c r="X103" s="16">
        <f>IF(OR($A103="",N103="",$C103=""),"",IF(COUNTIFS($A$5:$A$315,$A103,$C$5:$C$315,$C103-1,$D$5:$D$315,$D103,N$5:N$315,"&lt;&gt;")=0,"",IF(OR(SUMIFS(N$5:N$315,$A$5:$A$315,$A103,$C$5:$C$315,$C103-1,$D$5:$D$315,$D103)=0,N103*SUMIFS(N$5:N$315,$A$5:$A$315,$A103,$C$5:$C$315,$C103-1,$D$5:$D$315,$D103)&lt;0),"n.s.",ABS(N103)/ABS(SUMIFS(N$5:N$315,$A$5:$A$315,$A103,$C$5:$C$315,$C103-1,$D$5:$D$315,$D103))-1)))</f>
        <v/>
      </c>
      <c r="Y103" s="16">
        <f>IF(OR($A103="",O103="",$C103=""),"",IF(COUNTIFS($A$5:$A$315,$A103,$C$5:$C$315,$C103-1,$D$5:$D$315,$D103,O$5:O$315,"&lt;&gt;")=0,"",IF(OR(SUMIFS(O$5:O$315,$A$5:$A$315,$A103,$C$5:$C$315,$C103-1,$D$5:$D$315,$D103)=0,O103*SUMIFS(O$5:O$315,$A$5:$A$315,$A103,$C$5:$C$315,$C103-1,$D$5:$D$315,$D103)&lt;0),"n.s.",ABS(O103)/ABS(SUMIFS(O$5:O$315,$A$5:$A$315,$A103,$C$5:$C$315,$C103-1,$D$5:$D$315,$D103))-1)))</f>
        <v/>
      </c>
    </row>
    <row r="104">
      <c r="A104" s="9" t="inlineStr">
        <is>
          <t>BOAC</t>
        </is>
      </c>
      <c r="B104" s="10">
        <f>IF(A104="","",IFERROR(VLOOKUP(A104,Titres!$A$2:$B$400,2,FALSE),"Ticker inconnu"))</f>
        <v/>
      </c>
      <c r="C104" s="11" t="n">
        <v>2024</v>
      </c>
      <c r="D104" s="11" t="inlineStr">
        <is>
          <t>T1</t>
        </is>
      </c>
      <c r="E104" s="9" t="n"/>
      <c r="F104" s="12" t="n"/>
      <c r="G104" s="9" t="n"/>
      <c r="H104" s="13" t="n"/>
      <c r="I104" s="13" t="n"/>
      <c r="J104" s="13" t="n"/>
      <c r="K104" s="13" t="n"/>
      <c r="L104" s="13" t="n"/>
      <c r="M104" s="13" t="n"/>
      <c r="N104" s="13" t="n"/>
      <c r="O104" s="13" t="n"/>
      <c r="P104" s="14">
        <f>IF(A104="","",COUNT(H104:O104)/8)</f>
        <v/>
      </c>
      <c r="Q104" s="15">
        <f>IF(COUNT(H104:O104)=0,"",IF(LEN(IF(COUNT(H104,I104,J104)=3,IF(ABS(H104+I104-J104)&lt;=MAX(1,0.02*ABS(J104)),"","RBE &lt;&gt; PNB + frais "),"")&amp;IF(COUNT(J104,K104,L104)=3,IF(ABS(J104+K104-L104)&lt;=MAX(1,0.03*ABS(L104)),"","RAI &lt;&gt; RBE + coût du risque "),"")&amp;IF(COUNT(H104,M104)=2,IF(ABS(M104)&gt;ABS(H104),"RN &gt; PNB ",""),""))=0,"OK",IF(COUNT(H104,I104,J104)=3,IF(ABS(H104+I104-J104)&lt;=MAX(1,0.02*ABS(J104)),"","RBE &lt;&gt; PNB + frais "),"")&amp;IF(COUNT(J104,K104,L104)=3,IF(ABS(J104+K104-L104)&lt;=MAX(1,0.03*ABS(L104)),"","RAI &lt;&gt; RBE + coût du risque "),"")&amp;IF(COUNT(H104,M104)=2,IF(ABS(M104)&gt;ABS(H104),"RN &gt; PNB ",""),"")))</f>
        <v/>
      </c>
      <c r="R104" s="16">
        <f>IF(OR($A104="",H104="",$C104=""),"",IF(COUNTIFS($A$5:$A$315,$A104,$C$5:$C$315,$C104-1,$D$5:$D$315,$D104,H$5:H$315,"&lt;&gt;")=0,"",IF(OR(SUMIFS(H$5:H$315,$A$5:$A$315,$A104,$C$5:$C$315,$C104-1,$D$5:$D$315,$D104)=0,H104*SUMIFS(H$5:H$315,$A$5:$A$315,$A104,$C$5:$C$315,$C104-1,$D$5:$D$315,$D104)&lt;0),"n.s.",ABS(H104)/ABS(SUMIFS(H$5:H$315,$A$5:$A$315,$A104,$C$5:$C$315,$C104-1,$D$5:$D$315,$D104))-1)))</f>
        <v/>
      </c>
      <c r="S104" s="16">
        <f>IF(OR($A104="",I104="",$C104=""),"",IF(COUNTIFS($A$5:$A$315,$A104,$C$5:$C$315,$C104-1,$D$5:$D$315,$D104,I$5:I$315,"&lt;&gt;")=0,"",IF(OR(SUMIFS(I$5:I$315,$A$5:$A$315,$A104,$C$5:$C$315,$C104-1,$D$5:$D$315,$D104)=0,I104*SUMIFS(I$5:I$315,$A$5:$A$315,$A104,$C$5:$C$315,$C104-1,$D$5:$D$315,$D104)&lt;0),"n.s.",ABS(I104)/ABS(SUMIFS(I$5:I$315,$A$5:$A$315,$A104,$C$5:$C$315,$C104-1,$D$5:$D$315,$D104))-1)))</f>
        <v/>
      </c>
      <c r="T104" s="16">
        <f>IF(OR($A104="",J104="",$C104=""),"",IF(COUNTIFS($A$5:$A$315,$A104,$C$5:$C$315,$C104-1,$D$5:$D$315,$D104,J$5:J$315,"&lt;&gt;")=0,"",IF(OR(SUMIFS(J$5:J$315,$A$5:$A$315,$A104,$C$5:$C$315,$C104-1,$D$5:$D$315,$D104)=0,J104*SUMIFS(J$5:J$315,$A$5:$A$315,$A104,$C$5:$C$315,$C104-1,$D$5:$D$315,$D104)&lt;0),"n.s.",ABS(J104)/ABS(SUMIFS(J$5:J$315,$A$5:$A$315,$A104,$C$5:$C$315,$C104-1,$D$5:$D$315,$D104))-1)))</f>
        <v/>
      </c>
      <c r="U104" s="16">
        <f>IF(OR($A104="",K104="",$C104=""),"",IF(COUNTIFS($A$5:$A$315,$A104,$C$5:$C$315,$C104-1,$D$5:$D$315,$D104,K$5:K$315,"&lt;&gt;")=0,"",IF(OR(SUMIFS(K$5:K$315,$A$5:$A$315,$A104,$C$5:$C$315,$C104-1,$D$5:$D$315,$D104)=0,K104*SUMIFS(K$5:K$315,$A$5:$A$315,$A104,$C$5:$C$315,$C104-1,$D$5:$D$315,$D104)&lt;0),"n.s.",ABS(K104)/ABS(SUMIFS(K$5:K$315,$A$5:$A$315,$A104,$C$5:$C$315,$C104-1,$D$5:$D$315,$D104))-1)))</f>
        <v/>
      </c>
      <c r="V104" s="16">
        <f>IF(OR($A104="",L104="",$C104=""),"",IF(COUNTIFS($A$5:$A$315,$A104,$C$5:$C$315,$C104-1,$D$5:$D$315,$D104,L$5:L$315,"&lt;&gt;")=0,"",IF(OR(SUMIFS(L$5:L$315,$A$5:$A$315,$A104,$C$5:$C$315,$C104-1,$D$5:$D$315,$D104)=0,L104*SUMIFS(L$5:L$315,$A$5:$A$315,$A104,$C$5:$C$315,$C104-1,$D$5:$D$315,$D104)&lt;0),"n.s.",ABS(L104)/ABS(SUMIFS(L$5:L$315,$A$5:$A$315,$A104,$C$5:$C$315,$C104-1,$D$5:$D$315,$D104))-1)))</f>
        <v/>
      </c>
      <c r="W104" s="16">
        <f>IF(OR($A104="",M104="",$C104=""),"",IF(COUNTIFS($A$5:$A$315,$A104,$C$5:$C$315,$C104-1,$D$5:$D$315,$D104,M$5:M$315,"&lt;&gt;")=0,"",IF(OR(SUMIFS(M$5:M$315,$A$5:$A$315,$A104,$C$5:$C$315,$C104-1,$D$5:$D$315,$D104)=0,M104*SUMIFS(M$5:M$315,$A$5:$A$315,$A104,$C$5:$C$315,$C104-1,$D$5:$D$315,$D104)&lt;0),"n.s.",ABS(M104)/ABS(SUMIFS(M$5:M$315,$A$5:$A$315,$A104,$C$5:$C$315,$C104-1,$D$5:$D$315,$D104))-1)))</f>
        <v/>
      </c>
      <c r="X104" s="16">
        <f>IF(OR($A104="",N104="",$C104=""),"",IF(COUNTIFS($A$5:$A$315,$A104,$C$5:$C$315,$C104-1,$D$5:$D$315,$D104,N$5:N$315,"&lt;&gt;")=0,"",IF(OR(SUMIFS(N$5:N$315,$A$5:$A$315,$A104,$C$5:$C$315,$C104-1,$D$5:$D$315,$D104)=0,N104*SUMIFS(N$5:N$315,$A$5:$A$315,$A104,$C$5:$C$315,$C104-1,$D$5:$D$315,$D104)&lt;0),"n.s.",ABS(N104)/ABS(SUMIFS(N$5:N$315,$A$5:$A$315,$A104,$C$5:$C$315,$C104-1,$D$5:$D$315,$D104))-1)))</f>
        <v/>
      </c>
      <c r="Y104" s="16">
        <f>IF(OR($A104="",O104="",$C104=""),"",IF(COUNTIFS($A$5:$A$315,$A104,$C$5:$C$315,$C104-1,$D$5:$D$315,$D104,O$5:O$315,"&lt;&gt;")=0,"",IF(OR(SUMIFS(O$5:O$315,$A$5:$A$315,$A104,$C$5:$C$315,$C104-1,$D$5:$D$315,$D104)=0,O104*SUMIFS(O$5:O$315,$A$5:$A$315,$A104,$C$5:$C$315,$C104-1,$D$5:$D$315,$D104)&lt;0),"n.s.",ABS(O104)/ABS(SUMIFS(O$5:O$315,$A$5:$A$315,$A104,$C$5:$C$315,$C104-1,$D$5:$D$315,$D104))-1)))</f>
        <v/>
      </c>
    </row>
    <row r="105">
      <c r="A105" s="9" t="inlineStr">
        <is>
          <t>BOAC</t>
        </is>
      </c>
      <c r="B105" s="10">
        <f>IF(A105="","",IFERROR(VLOOKUP(A105,Titres!$A$2:$B$400,2,FALSE),"Ticker inconnu"))</f>
        <v/>
      </c>
      <c r="C105" s="11" t="n">
        <v>2024</v>
      </c>
      <c r="D105" s="11" t="inlineStr">
        <is>
          <t>S1</t>
        </is>
      </c>
      <c r="E105" s="9" t="n"/>
      <c r="F105" s="12" t="n"/>
      <c r="G105" s="9" t="n"/>
      <c r="H105" s="13" t="n"/>
      <c r="I105" s="13" t="n"/>
      <c r="J105" s="13" t="n"/>
      <c r="K105" s="13" t="n"/>
      <c r="L105" s="13" t="n"/>
      <c r="M105" s="13" t="n"/>
      <c r="N105" s="13" t="n"/>
      <c r="O105" s="13" t="n"/>
      <c r="P105" s="14">
        <f>IF(A105="","",COUNT(H105:O105)/8)</f>
        <v/>
      </c>
      <c r="Q105" s="15">
        <f>IF(COUNT(H105:O105)=0,"",IF(LEN(IF(COUNT(H105,I105,J105)=3,IF(ABS(H105+I105-J105)&lt;=MAX(1,0.02*ABS(J105)),"","RBE &lt;&gt; PNB + frais "),"")&amp;IF(COUNT(J105,K105,L105)=3,IF(ABS(J105+K105-L105)&lt;=MAX(1,0.03*ABS(L105)),"","RAI &lt;&gt; RBE + coût du risque "),"")&amp;IF(COUNT(H105,M105)=2,IF(ABS(M105)&gt;ABS(H105),"RN &gt; PNB ",""),""))=0,"OK",IF(COUNT(H105,I105,J105)=3,IF(ABS(H105+I105-J105)&lt;=MAX(1,0.02*ABS(J105)),"","RBE &lt;&gt; PNB + frais "),"")&amp;IF(COUNT(J105,K105,L105)=3,IF(ABS(J105+K105-L105)&lt;=MAX(1,0.03*ABS(L105)),"","RAI &lt;&gt; RBE + coût du risque "),"")&amp;IF(COUNT(H105,M105)=2,IF(ABS(M105)&gt;ABS(H105),"RN &gt; PNB ",""),"")))</f>
        <v/>
      </c>
      <c r="R105" s="16">
        <f>IF(OR($A105="",H105="",$C105=""),"",IF(COUNTIFS($A$5:$A$315,$A105,$C$5:$C$315,$C105-1,$D$5:$D$315,$D105,H$5:H$315,"&lt;&gt;")=0,"",IF(OR(SUMIFS(H$5:H$315,$A$5:$A$315,$A105,$C$5:$C$315,$C105-1,$D$5:$D$315,$D105)=0,H105*SUMIFS(H$5:H$315,$A$5:$A$315,$A105,$C$5:$C$315,$C105-1,$D$5:$D$315,$D105)&lt;0),"n.s.",ABS(H105)/ABS(SUMIFS(H$5:H$315,$A$5:$A$315,$A105,$C$5:$C$315,$C105-1,$D$5:$D$315,$D105))-1)))</f>
        <v/>
      </c>
      <c r="S105" s="16">
        <f>IF(OR($A105="",I105="",$C105=""),"",IF(COUNTIFS($A$5:$A$315,$A105,$C$5:$C$315,$C105-1,$D$5:$D$315,$D105,I$5:I$315,"&lt;&gt;")=0,"",IF(OR(SUMIFS(I$5:I$315,$A$5:$A$315,$A105,$C$5:$C$315,$C105-1,$D$5:$D$315,$D105)=0,I105*SUMIFS(I$5:I$315,$A$5:$A$315,$A105,$C$5:$C$315,$C105-1,$D$5:$D$315,$D105)&lt;0),"n.s.",ABS(I105)/ABS(SUMIFS(I$5:I$315,$A$5:$A$315,$A105,$C$5:$C$315,$C105-1,$D$5:$D$315,$D105))-1)))</f>
        <v/>
      </c>
      <c r="T105" s="16">
        <f>IF(OR($A105="",J105="",$C105=""),"",IF(COUNTIFS($A$5:$A$315,$A105,$C$5:$C$315,$C105-1,$D$5:$D$315,$D105,J$5:J$315,"&lt;&gt;")=0,"",IF(OR(SUMIFS(J$5:J$315,$A$5:$A$315,$A105,$C$5:$C$315,$C105-1,$D$5:$D$315,$D105)=0,J105*SUMIFS(J$5:J$315,$A$5:$A$315,$A105,$C$5:$C$315,$C105-1,$D$5:$D$315,$D105)&lt;0),"n.s.",ABS(J105)/ABS(SUMIFS(J$5:J$315,$A$5:$A$315,$A105,$C$5:$C$315,$C105-1,$D$5:$D$315,$D105))-1)))</f>
        <v/>
      </c>
      <c r="U105" s="16">
        <f>IF(OR($A105="",K105="",$C105=""),"",IF(COUNTIFS($A$5:$A$315,$A105,$C$5:$C$315,$C105-1,$D$5:$D$315,$D105,K$5:K$315,"&lt;&gt;")=0,"",IF(OR(SUMIFS(K$5:K$315,$A$5:$A$315,$A105,$C$5:$C$315,$C105-1,$D$5:$D$315,$D105)=0,K105*SUMIFS(K$5:K$315,$A$5:$A$315,$A105,$C$5:$C$315,$C105-1,$D$5:$D$315,$D105)&lt;0),"n.s.",ABS(K105)/ABS(SUMIFS(K$5:K$315,$A$5:$A$315,$A105,$C$5:$C$315,$C105-1,$D$5:$D$315,$D105))-1)))</f>
        <v/>
      </c>
      <c r="V105" s="16">
        <f>IF(OR($A105="",L105="",$C105=""),"",IF(COUNTIFS($A$5:$A$315,$A105,$C$5:$C$315,$C105-1,$D$5:$D$315,$D105,L$5:L$315,"&lt;&gt;")=0,"",IF(OR(SUMIFS(L$5:L$315,$A$5:$A$315,$A105,$C$5:$C$315,$C105-1,$D$5:$D$315,$D105)=0,L105*SUMIFS(L$5:L$315,$A$5:$A$315,$A105,$C$5:$C$315,$C105-1,$D$5:$D$315,$D105)&lt;0),"n.s.",ABS(L105)/ABS(SUMIFS(L$5:L$315,$A$5:$A$315,$A105,$C$5:$C$315,$C105-1,$D$5:$D$315,$D105))-1)))</f>
        <v/>
      </c>
      <c r="W105" s="16">
        <f>IF(OR($A105="",M105="",$C105=""),"",IF(COUNTIFS($A$5:$A$315,$A105,$C$5:$C$315,$C105-1,$D$5:$D$315,$D105,M$5:M$315,"&lt;&gt;")=0,"",IF(OR(SUMIFS(M$5:M$315,$A$5:$A$315,$A105,$C$5:$C$315,$C105-1,$D$5:$D$315,$D105)=0,M105*SUMIFS(M$5:M$315,$A$5:$A$315,$A105,$C$5:$C$315,$C105-1,$D$5:$D$315,$D105)&lt;0),"n.s.",ABS(M105)/ABS(SUMIFS(M$5:M$315,$A$5:$A$315,$A105,$C$5:$C$315,$C105-1,$D$5:$D$315,$D105))-1)))</f>
        <v/>
      </c>
      <c r="X105" s="16">
        <f>IF(OR($A105="",N105="",$C105=""),"",IF(COUNTIFS($A$5:$A$315,$A105,$C$5:$C$315,$C105-1,$D$5:$D$315,$D105,N$5:N$315,"&lt;&gt;")=0,"",IF(OR(SUMIFS(N$5:N$315,$A$5:$A$315,$A105,$C$5:$C$315,$C105-1,$D$5:$D$315,$D105)=0,N105*SUMIFS(N$5:N$315,$A$5:$A$315,$A105,$C$5:$C$315,$C105-1,$D$5:$D$315,$D105)&lt;0),"n.s.",ABS(N105)/ABS(SUMIFS(N$5:N$315,$A$5:$A$315,$A105,$C$5:$C$315,$C105-1,$D$5:$D$315,$D105))-1)))</f>
        <v/>
      </c>
      <c r="Y105" s="16">
        <f>IF(OR($A105="",O105="",$C105=""),"",IF(COUNTIFS($A$5:$A$315,$A105,$C$5:$C$315,$C105-1,$D$5:$D$315,$D105,O$5:O$315,"&lt;&gt;")=0,"",IF(OR(SUMIFS(O$5:O$315,$A$5:$A$315,$A105,$C$5:$C$315,$C105-1,$D$5:$D$315,$D105)=0,O105*SUMIFS(O$5:O$315,$A$5:$A$315,$A105,$C$5:$C$315,$C105-1,$D$5:$D$315,$D105)&lt;0),"n.s.",ABS(O105)/ABS(SUMIFS(O$5:O$315,$A$5:$A$315,$A105,$C$5:$C$315,$C105-1,$D$5:$D$315,$D105))-1)))</f>
        <v/>
      </c>
    </row>
    <row r="106">
      <c r="A106" s="9" t="inlineStr">
        <is>
          <t>BOAC</t>
        </is>
      </c>
      <c r="B106" s="10">
        <f>IF(A106="","",IFERROR(VLOOKUP(A106,Titres!$A$2:$B$400,2,FALSE),"Ticker inconnu"))</f>
        <v/>
      </c>
      <c r="C106" s="11" t="n">
        <v>2024</v>
      </c>
      <c r="D106" s="11" t="inlineStr">
        <is>
          <t>T3</t>
        </is>
      </c>
      <c r="E106" s="9" t="n"/>
      <c r="F106" s="12" t="n"/>
      <c r="G106" s="9" t="n"/>
      <c r="H106" s="13" t="n"/>
      <c r="I106" s="13" t="n"/>
      <c r="J106" s="13" t="n"/>
      <c r="K106" s="13" t="n"/>
      <c r="L106" s="13" t="n"/>
      <c r="M106" s="13" t="n"/>
      <c r="N106" s="13" t="n"/>
      <c r="O106" s="13" t="n"/>
      <c r="P106" s="14">
        <f>IF(A106="","",COUNT(H106:O106)/8)</f>
        <v/>
      </c>
      <c r="Q106" s="15">
        <f>IF(COUNT(H106:O106)=0,"",IF(LEN(IF(COUNT(H106,I106,J106)=3,IF(ABS(H106+I106-J106)&lt;=MAX(1,0.02*ABS(J106)),"","RBE &lt;&gt; PNB + frais "),"")&amp;IF(COUNT(J106,K106,L106)=3,IF(ABS(J106+K106-L106)&lt;=MAX(1,0.03*ABS(L106)),"","RAI &lt;&gt; RBE + coût du risque "),"")&amp;IF(COUNT(H106,M106)=2,IF(ABS(M106)&gt;ABS(H106),"RN &gt; PNB ",""),""))=0,"OK",IF(COUNT(H106,I106,J106)=3,IF(ABS(H106+I106-J106)&lt;=MAX(1,0.02*ABS(J106)),"","RBE &lt;&gt; PNB + frais "),"")&amp;IF(COUNT(J106,K106,L106)=3,IF(ABS(J106+K106-L106)&lt;=MAX(1,0.03*ABS(L106)),"","RAI &lt;&gt; RBE + coût du risque "),"")&amp;IF(COUNT(H106,M106)=2,IF(ABS(M106)&gt;ABS(H106),"RN &gt; PNB ",""),"")))</f>
        <v/>
      </c>
      <c r="R106" s="16">
        <f>IF(OR($A106="",H106="",$C106=""),"",IF(COUNTIFS($A$5:$A$315,$A106,$C$5:$C$315,$C106-1,$D$5:$D$315,$D106,H$5:H$315,"&lt;&gt;")=0,"",IF(OR(SUMIFS(H$5:H$315,$A$5:$A$315,$A106,$C$5:$C$315,$C106-1,$D$5:$D$315,$D106)=0,H106*SUMIFS(H$5:H$315,$A$5:$A$315,$A106,$C$5:$C$315,$C106-1,$D$5:$D$315,$D106)&lt;0),"n.s.",ABS(H106)/ABS(SUMIFS(H$5:H$315,$A$5:$A$315,$A106,$C$5:$C$315,$C106-1,$D$5:$D$315,$D106))-1)))</f>
        <v/>
      </c>
      <c r="S106" s="16">
        <f>IF(OR($A106="",I106="",$C106=""),"",IF(COUNTIFS($A$5:$A$315,$A106,$C$5:$C$315,$C106-1,$D$5:$D$315,$D106,I$5:I$315,"&lt;&gt;")=0,"",IF(OR(SUMIFS(I$5:I$315,$A$5:$A$315,$A106,$C$5:$C$315,$C106-1,$D$5:$D$315,$D106)=0,I106*SUMIFS(I$5:I$315,$A$5:$A$315,$A106,$C$5:$C$315,$C106-1,$D$5:$D$315,$D106)&lt;0),"n.s.",ABS(I106)/ABS(SUMIFS(I$5:I$315,$A$5:$A$315,$A106,$C$5:$C$315,$C106-1,$D$5:$D$315,$D106))-1)))</f>
        <v/>
      </c>
      <c r="T106" s="16">
        <f>IF(OR($A106="",J106="",$C106=""),"",IF(COUNTIFS($A$5:$A$315,$A106,$C$5:$C$315,$C106-1,$D$5:$D$315,$D106,J$5:J$315,"&lt;&gt;")=0,"",IF(OR(SUMIFS(J$5:J$315,$A$5:$A$315,$A106,$C$5:$C$315,$C106-1,$D$5:$D$315,$D106)=0,J106*SUMIFS(J$5:J$315,$A$5:$A$315,$A106,$C$5:$C$315,$C106-1,$D$5:$D$315,$D106)&lt;0),"n.s.",ABS(J106)/ABS(SUMIFS(J$5:J$315,$A$5:$A$315,$A106,$C$5:$C$315,$C106-1,$D$5:$D$315,$D106))-1)))</f>
        <v/>
      </c>
      <c r="U106" s="16">
        <f>IF(OR($A106="",K106="",$C106=""),"",IF(COUNTIFS($A$5:$A$315,$A106,$C$5:$C$315,$C106-1,$D$5:$D$315,$D106,K$5:K$315,"&lt;&gt;")=0,"",IF(OR(SUMIFS(K$5:K$315,$A$5:$A$315,$A106,$C$5:$C$315,$C106-1,$D$5:$D$315,$D106)=0,K106*SUMIFS(K$5:K$315,$A$5:$A$315,$A106,$C$5:$C$315,$C106-1,$D$5:$D$315,$D106)&lt;0),"n.s.",ABS(K106)/ABS(SUMIFS(K$5:K$315,$A$5:$A$315,$A106,$C$5:$C$315,$C106-1,$D$5:$D$315,$D106))-1)))</f>
        <v/>
      </c>
      <c r="V106" s="16">
        <f>IF(OR($A106="",L106="",$C106=""),"",IF(COUNTIFS($A$5:$A$315,$A106,$C$5:$C$315,$C106-1,$D$5:$D$315,$D106,L$5:L$315,"&lt;&gt;")=0,"",IF(OR(SUMIFS(L$5:L$315,$A$5:$A$315,$A106,$C$5:$C$315,$C106-1,$D$5:$D$315,$D106)=0,L106*SUMIFS(L$5:L$315,$A$5:$A$315,$A106,$C$5:$C$315,$C106-1,$D$5:$D$315,$D106)&lt;0),"n.s.",ABS(L106)/ABS(SUMIFS(L$5:L$315,$A$5:$A$315,$A106,$C$5:$C$315,$C106-1,$D$5:$D$315,$D106))-1)))</f>
        <v/>
      </c>
      <c r="W106" s="16">
        <f>IF(OR($A106="",M106="",$C106=""),"",IF(COUNTIFS($A$5:$A$315,$A106,$C$5:$C$315,$C106-1,$D$5:$D$315,$D106,M$5:M$315,"&lt;&gt;")=0,"",IF(OR(SUMIFS(M$5:M$315,$A$5:$A$315,$A106,$C$5:$C$315,$C106-1,$D$5:$D$315,$D106)=0,M106*SUMIFS(M$5:M$315,$A$5:$A$315,$A106,$C$5:$C$315,$C106-1,$D$5:$D$315,$D106)&lt;0),"n.s.",ABS(M106)/ABS(SUMIFS(M$5:M$315,$A$5:$A$315,$A106,$C$5:$C$315,$C106-1,$D$5:$D$315,$D106))-1)))</f>
        <v/>
      </c>
      <c r="X106" s="16">
        <f>IF(OR($A106="",N106="",$C106=""),"",IF(COUNTIFS($A$5:$A$315,$A106,$C$5:$C$315,$C106-1,$D$5:$D$315,$D106,N$5:N$315,"&lt;&gt;")=0,"",IF(OR(SUMIFS(N$5:N$315,$A$5:$A$315,$A106,$C$5:$C$315,$C106-1,$D$5:$D$315,$D106)=0,N106*SUMIFS(N$5:N$315,$A$5:$A$315,$A106,$C$5:$C$315,$C106-1,$D$5:$D$315,$D106)&lt;0),"n.s.",ABS(N106)/ABS(SUMIFS(N$5:N$315,$A$5:$A$315,$A106,$C$5:$C$315,$C106-1,$D$5:$D$315,$D106))-1)))</f>
        <v/>
      </c>
      <c r="Y106" s="16">
        <f>IF(OR($A106="",O106="",$C106=""),"",IF(COUNTIFS($A$5:$A$315,$A106,$C$5:$C$315,$C106-1,$D$5:$D$315,$D106,O$5:O$315,"&lt;&gt;")=0,"",IF(OR(SUMIFS(O$5:O$315,$A$5:$A$315,$A106,$C$5:$C$315,$C106-1,$D$5:$D$315,$D106)=0,O106*SUMIFS(O$5:O$315,$A$5:$A$315,$A106,$C$5:$C$315,$C106-1,$D$5:$D$315,$D106)&lt;0),"n.s.",ABS(O106)/ABS(SUMIFS(O$5:O$315,$A$5:$A$315,$A106,$C$5:$C$315,$C106-1,$D$5:$D$315,$D106))-1)))</f>
        <v/>
      </c>
    </row>
    <row r="107">
      <c r="A107" s="9" t="inlineStr">
        <is>
          <t>BOAC</t>
        </is>
      </c>
      <c r="B107" s="10">
        <f>IF(A107="","",IFERROR(VLOOKUP(A107,Titres!$A$2:$B$400,2,FALSE),"Ticker inconnu"))</f>
        <v/>
      </c>
      <c r="C107" s="11" t="n">
        <v>2025</v>
      </c>
      <c r="D107" s="11" t="inlineStr">
        <is>
          <t>T1</t>
        </is>
      </c>
      <c r="E107" s="9" t="n"/>
      <c r="F107" s="12" t="n"/>
      <c r="G107" s="9" t="n"/>
      <c r="H107" s="13" t="n"/>
      <c r="I107" s="13" t="n"/>
      <c r="J107" s="13" t="n"/>
      <c r="K107" s="13" t="n"/>
      <c r="L107" s="13" t="n"/>
      <c r="M107" s="13" t="n"/>
      <c r="N107" s="13" t="n"/>
      <c r="O107" s="13" t="n"/>
      <c r="P107" s="14">
        <f>IF(A107="","",COUNT(H107:O107)/8)</f>
        <v/>
      </c>
      <c r="Q107" s="15">
        <f>IF(COUNT(H107:O107)=0,"",IF(LEN(IF(COUNT(H107,I107,J107)=3,IF(ABS(H107+I107-J107)&lt;=MAX(1,0.02*ABS(J107)),"","RBE &lt;&gt; PNB + frais "),"")&amp;IF(COUNT(J107,K107,L107)=3,IF(ABS(J107+K107-L107)&lt;=MAX(1,0.03*ABS(L107)),"","RAI &lt;&gt; RBE + coût du risque "),"")&amp;IF(COUNT(H107,M107)=2,IF(ABS(M107)&gt;ABS(H107),"RN &gt; PNB ",""),""))=0,"OK",IF(COUNT(H107,I107,J107)=3,IF(ABS(H107+I107-J107)&lt;=MAX(1,0.02*ABS(J107)),"","RBE &lt;&gt; PNB + frais "),"")&amp;IF(COUNT(J107,K107,L107)=3,IF(ABS(J107+K107-L107)&lt;=MAX(1,0.03*ABS(L107)),"","RAI &lt;&gt; RBE + coût du risque "),"")&amp;IF(COUNT(H107,M107)=2,IF(ABS(M107)&gt;ABS(H107),"RN &gt; PNB ",""),"")))</f>
        <v/>
      </c>
      <c r="R107" s="16">
        <f>IF(OR($A107="",H107="",$C107=""),"",IF(COUNTIFS($A$5:$A$315,$A107,$C$5:$C$315,$C107-1,$D$5:$D$315,$D107,H$5:H$315,"&lt;&gt;")=0,"",IF(OR(SUMIFS(H$5:H$315,$A$5:$A$315,$A107,$C$5:$C$315,$C107-1,$D$5:$D$315,$D107)=0,H107*SUMIFS(H$5:H$315,$A$5:$A$315,$A107,$C$5:$C$315,$C107-1,$D$5:$D$315,$D107)&lt;0),"n.s.",ABS(H107)/ABS(SUMIFS(H$5:H$315,$A$5:$A$315,$A107,$C$5:$C$315,$C107-1,$D$5:$D$315,$D107))-1)))</f>
        <v/>
      </c>
      <c r="S107" s="16">
        <f>IF(OR($A107="",I107="",$C107=""),"",IF(COUNTIFS($A$5:$A$315,$A107,$C$5:$C$315,$C107-1,$D$5:$D$315,$D107,I$5:I$315,"&lt;&gt;")=0,"",IF(OR(SUMIFS(I$5:I$315,$A$5:$A$315,$A107,$C$5:$C$315,$C107-1,$D$5:$D$315,$D107)=0,I107*SUMIFS(I$5:I$315,$A$5:$A$315,$A107,$C$5:$C$315,$C107-1,$D$5:$D$315,$D107)&lt;0),"n.s.",ABS(I107)/ABS(SUMIFS(I$5:I$315,$A$5:$A$315,$A107,$C$5:$C$315,$C107-1,$D$5:$D$315,$D107))-1)))</f>
        <v/>
      </c>
      <c r="T107" s="16">
        <f>IF(OR($A107="",J107="",$C107=""),"",IF(COUNTIFS($A$5:$A$315,$A107,$C$5:$C$315,$C107-1,$D$5:$D$315,$D107,J$5:J$315,"&lt;&gt;")=0,"",IF(OR(SUMIFS(J$5:J$315,$A$5:$A$315,$A107,$C$5:$C$315,$C107-1,$D$5:$D$315,$D107)=0,J107*SUMIFS(J$5:J$315,$A$5:$A$315,$A107,$C$5:$C$315,$C107-1,$D$5:$D$315,$D107)&lt;0),"n.s.",ABS(J107)/ABS(SUMIFS(J$5:J$315,$A$5:$A$315,$A107,$C$5:$C$315,$C107-1,$D$5:$D$315,$D107))-1)))</f>
        <v/>
      </c>
      <c r="U107" s="16">
        <f>IF(OR($A107="",K107="",$C107=""),"",IF(COUNTIFS($A$5:$A$315,$A107,$C$5:$C$315,$C107-1,$D$5:$D$315,$D107,K$5:K$315,"&lt;&gt;")=0,"",IF(OR(SUMIFS(K$5:K$315,$A$5:$A$315,$A107,$C$5:$C$315,$C107-1,$D$5:$D$315,$D107)=0,K107*SUMIFS(K$5:K$315,$A$5:$A$315,$A107,$C$5:$C$315,$C107-1,$D$5:$D$315,$D107)&lt;0),"n.s.",ABS(K107)/ABS(SUMIFS(K$5:K$315,$A$5:$A$315,$A107,$C$5:$C$315,$C107-1,$D$5:$D$315,$D107))-1)))</f>
        <v/>
      </c>
      <c r="V107" s="16">
        <f>IF(OR($A107="",L107="",$C107=""),"",IF(COUNTIFS($A$5:$A$315,$A107,$C$5:$C$315,$C107-1,$D$5:$D$315,$D107,L$5:L$315,"&lt;&gt;")=0,"",IF(OR(SUMIFS(L$5:L$315,$A$5:$A$315,$A107,$C$5:$C$315,$C107-1,$D$5:$D$315,$D107)=0,L107*SUMIFS(L$5:L$315,$A$5:$A$315,$A107,$C$5:$C$315,$C107-1,$D$5:$D$315,$D107)&lt;0),"n.s.",ABS(L107)/ABS(SUMIFS(L$5:L$315,$A$5:$A$315,$A107,$C$5:$C$315,$C107-1,$D$5:$D$315,$D107))-1)))</f>
        <v/>
      </c>
      <c r="W107" s="16">
        <f>IF(OR($A107="",M107="",$C107=""),"",IF(COUNTIFS($A$5:$A$315,$A107,$C$5:$C$315,$C107-1,$D$5:$D$315,$D107,M$5:M$315,"&lt;&gt;")=0,"",IF(OR(SUMIFS(M$5:M$315,$A$5:$A$315,$A107,$C$5:$C$315,$C107-1,$D$5:$D$315,$D107)=0,M107*SUMIFS(M$5:M$315,$A$5:$A$315,$A107,$C$5:$C$315,$C107-1,$D$5:$D$315,$D107)&lt;0),"n.s.",ABS(M107)/ABS(SUMIFS(M$5:M$315,$A$5:$A$315,$A107,$C$5:$C$315,$C107-1,$D$5:$D$315,$D107))-1)))</f>
        <v/>
      </c>
      <c r="X107" s="16">
        <f>IF(OR($A107="",N107="",$C107=""),"",IF(COUNTIFS($A$5:$A$315,$A107,$C$5:$C$315,$C107-1,$D$5:$D$315,$D107,N$5:N$315,"&lt;&gt;")=0,"",IF(OR(SUMIFS(N$5:N$315,$A$5:$A$315,$A107,$C$5:$C$315,$C107-1,$D$5:$D$315,$D107)=0,N107*SUMIFS(N$5:N$315,$A$5:$A$315,$A107,$C$5:$C$315,$C107-1,$D$5:$D$315,$D107)&lt;0),"n.s.",ABS(N107)/ABS(SUMIFS(N$5:N$315,$A$5:$A$315,$A107,$C$5:$C$315,$C107-1,$D$5:$D$315,$D107))-1)))</f>
        <v/>
      </c>
      <c r="Y107" s="16">
        <f>IF(OR($A107="",O107="",$C107=""),"",IF(COUNTIFS($A$5:$A$315,$A107,$C$5:$C$315,$C107-1,$D$5:$D$315,$D107,O$5:O$315,"&lt;&gt;")=0,"",IF(OR(SUMIFS(O$5:O$315,$A$5:$A$315,$A107,$C$5:$C$315,$C107-1,$D$5:$D$315,$D107)=0,O107*SUMIFS(O$5:O$315,$A$5:$A$315,$A107,$C$5:$C$315,$C107-1,$D$5:$D$315,$D107)&lt;0),"n.s.",ABS(O107)/ABS(SUMIFS(O$5:O$315,$A$5:$A$315,$A107,$C$5:$C$315,$C107-1,$D$5:$D$315,$D107))-1)))</f>
        <v/>
      </c>
    </row>
    <row r="108">
      <c r="A108" s="9" t="inlineStr">
        <is>
          <t>BOAC</t>
        </is>
      </c>
      <c r="B108" s="10">
        <f>IF(A108="","",IFERROR(VLOOKUP(A108,Titres!$A$2:$B$400,2,FALSE),"Ticker inconnu"))</f>
        <v/>
      </c>
      <c r="C108" s="11" t="n">
        <v>2025</v>
      </c>
      <c r="D108" s="11" t="inlineStr">
        <is>
          <t>S1</t>
        </is>
      </c>
      <c r="E108" s="9" t="n"/>
      <c r="F108" s="12" t="n"/>
      <c r="G108" s="9" t="n"/>
      <c r="H108" s="13" t="n"/>
      <c r="I108" s="13" t="n"/>
      <c r="J108" s="13" t="n"/>
      <c r="K108" s="13" t="n"/>
      <c r="L108" s="13" t="n"/>
      <c r="M108" s="13" t="n"/>
      <c r="N108" s="13" t="n"/>
      <c r="O108" s="13" t="n"/>
      <c r="P108" s="14">
        <f>IF(A108="","",COUNT(H108:O108)/8)</f>
        <v/>
      </c>
      <c r="Q108" s="15">
        <f>IF(COUNT(H108:O108)=0,"",IF(LEN(IF(COUNT(H108,I108,J108)=3,IF(ABS(H108+I108-J108)&lt;=MAX(1,0.02*ABS(J108)),"","RBE &lt;&gt; PNB + frais "),"")&amp;IF(COUNT(J108,K108,L108)=3,IF(ABS(J108+K108-L108)&lt;=MAX(1,0.03*ABS(L108)),"","RAI &lt;&gt; RBE + coût du risque "),"")&amp;IF(COUNT(H108,M108)=2,IF(ABS(M108)&gt;ABS(H108),"RN &gt; PNB ",""),""))=0,"OK",IF(COUNT(H108,I108,J108)=3,IF(ABS(H108+I108-J108)&lt;=MAX(1,0.02*ABS(J108)),"","RBE &lt;&gt; PNB + frais "),"")&amp;IF(COUNT(J108,K108,L108)=3,IF(ABS(J108+K108-L108)&lt;=MAX(1,0.03*ABS(L108)),"","RAI &lt;&gt; RBE + coût du risque "),"")&amp;IF(COUNT(H108,M108)=2,IF(ABS(M108)&gt;ABS(H108),"RN &gt; PNB ",""),"")))</f>
        <v/>
      </c>
      <c r="R108" s="16">
        <f>IF(OR($A108="",H108="",$C108=""),"",IF(COUNTIFS($A$5:$A$315,$A108,$C$5:$C$315,$C108-1,$D$5:$D$315,$D108,H$5:H$315,"&lt;&gt;")=0,"",IF(OR(SUMIFS(H$5:H$315,$A$5:$A$315,$A108,$C$5:$C$315,$C108-1,$D$5:$D$315,$D108)=0,H108*SUMIFS(H$5:H$315,$A$5:$A$315,$A108,$C$5:$C$315,$C108-1,$D$5:$D$315,$D108)&lt;0),"n.s.",ABS(H108)/ABS(SUMIFS(H$5:H$315,$A$5:$A$315,$A108,$C$5:$C$315,$C108-1,$D$5:$D$315,$D108))-1)))</f>
        <v/>
      </c>
      <c r="S108" s="16">
        <f>IF(OR($A108="",I108="",$C108=""),"",IF(COUNTIFS($A$5:$A$315,$A108,$C$5:$C$315,$C108-1,$D$5:$D$315,$D108,I$5:I$315,"&lt;&gt;")=0,"",IF(OR(SUMIFS(I$5:I$315,$A$5:$A$315,$A108,$C$5:$C$315,$C108-1,$D$5:$D$315,$D108)=0,I108*SUMIFS(I$5:I$315,$A$5:$A$315,$A108,$C$5:$C$315,$C108-1,$D$5:$D$315,$D108)&lt;0),"n.s.",ABS(I108)/ABS(SUMIFS(I$5:I$315,$A$5:$A$315,$A108,$C$5:$C$315,$C108-1,$D$5:$D$315,$D108))-1)))</f>
        <v/>
      </c>
      <c r="T108" s="16">
        <f>IF(OR($A108="",J108="",$C108=""),"",IF(COUNTIFS($A$5:$A$315,$A108,$C$5:$C$315,$C108-1,$D$5:$D$315,$D108,J$5:J$315,"&lt;&gt;")=0,"",IF(OR(SUMIFS(J$5:J$315,$A$5:$A$315,$A108,$C$5:$C$315,$C108-1,$D$5:$D$315,$D108)=0,J108*SUMIFS(J$5:J$315,$A$5:$A$315,$A108,$C$5:$C$315,$C108-1,$D$5:$D$315,$D108)&lt;0),"n.s.",ABS(J108)/ABS(SUMIFS(J$5:J$315,$A$5:$A$315,$A108,$C$5:$C$315,$C108-1,$D$5:$D$315,$D108))-1)))</f>
        <v/>
      </c>
      <c r="U108" s="16">
        <f>IF(OR($A108="",K108="",$C108=""),"",IF(COUNTIFS($A$5:$A$315,$A108,$C$5:$C$315,$C108-1,$D$5:$D$315,$D108,K$5:K$315,"&lt;&gt;")=0,"",IF(OR(SUMIFS(K$5:K$315,$A$5:$A$315,$A108,$C$5:$C$315,$C108-1,$D$5:$D$315,$D108)=0,K108*SUMIFS(K$5:K$315,$A$5:$A$315,$A108,$C$5:$C$315,$C108-1,$D$5:$D$315,$D108)&lt;0),"n.s.",ABS(K108)/ABS(SUMIFS(K$5:K$315,$A$5:$A$315,$A108,$C$5:$C$315,$C108-1,$D$5:$D$315,$D108))-1)))</f>
        <v/>
      </c>
      <c r="V108" s="16">
        <f>IF(OR($A108="",L108="",$C108=""),"",IF(COUNTIFS($A$5:$A$315,$A108,$C$5:$C$315,$C108-1,$D$5:$D$315,$D108,L$5:L$315,"&lt;&gt;")=0,"",IF(OR(SUMIFS(L$5:L$315,$A$5:$A$315,$A108,$C$5:$C$315,$C108-1,$D$5:$D$315,$D108)=0,L108*SUMIFS(L$5:L$315,$A$5:$A$315,$A108,$C$5:$C$315,$C108-1,$D$5:$D$315,$D108)&lt;0),"n.s.",ABS(L108)/ABS(SUMIFS(L$5:L$315,$A$5:$A$315,$A108,$C$5:$C$315,$C108-1,$D$5:$D$315,$D108))-1)))</f>
        <v/>
      </c>
      <c r="W108" s="16">
        <f>IF(OR($A108="",M108="",$C108=""),"",IF(COUNTIFS($A$5:$A$315,$A108,$C$5:$C$315,$C108-1,$D$5:$D$315,$D108,M$5:M$315,"&lt;&gt;")=0,"",IF(OR(SUMIFS(M$5:M$315,$A$5:$A$315,$A108,$C$5:$C$315,$C108-1,$D$5:$D$315,$D108)=0,M108*SUMIFS(M$5:M$315,$A$5:$A$315,$A108,$C$5:$C$315,$C108-1,$D$5:$D$315,$D108)&lt;0),"n.s.",ABS(M108)/ABS(SUMIFS(M$5:M$315,$A$5:$A$315,$A108,$C$5:$C$315,$C108-1,$D$5:$D$315,$D108))-1)))</f>
        <v/>
      </c>
      <c r="X108" s="16">
        <f>IF(OR($A108="",N108="",$C108=""),"",IF(COUNTIFS($A$5:$A$315,$A108,$C$5:$C$315,$C108-1,$D$5:$D$315,$D108,N$5:N$315,"&lt;&gt;")=0,"",IF(OR(SUMIFS(N$5:N$315,$A$5:$A$315,$A108,$C$5:$C$315,$C108-1,$D$5:$D$315,$D108)=0,N108*SUMIFS(N$5:N$315,$A$5:$A$315,$A108,$C$5:$C$315,$C108-1,$D$5:$D$315,$D108)&lt;0),"n.s.",ABS(N108)/ABS(SUMIFS(N$5:N$315,$A$5:$A$315,$A108,$C$5:$C$315,$C108-1,$D$5:$D$315,$D108))-1)))</f>
        <v/>
      </c>
      <c r="Y108" s="16">
        <f>IF(OR($A108="",O108="",$C108=""),"",IF(COUNTIFS($A$5:$A$315,$A108,$C$5:$C$315,$C108-1,$D$5:$D$315,$D108,O$5:O$315,"&lt;&gt;")=0,"",IF(OR(SUMIFS(O$5:O$315,$A$5:$A$315,$A108,$C$5:$C$315,$C108-1,$D$5:$D$315,$D108)=0,O108*SUMIFS(O$5:O$315,$A$5:$A$315,$A108,$C$5:$C$315,$C108-1,$D$5:$D$315,$D108)&lt;0),"n.s.",ABS(O108)/ABS(SUMIFS(O$5:O$315,$A$5:$A$315,$A108,$C$5:$C$315,$C108-1,$D$5:$D$315,$D108))-1)))</f>
        <v/>
      </c>
    </row>
    <row r="109">
      <c r="A109" s="9" t="inlineStr">
        <is>
          <t>BOAC</t>
        </is>
      </c>
      <c r="B109" s="10">
        <f>IF(A109="","",IFERROR(VLOOKUP(A109,Titres!$A$2:$B$400,2,FALSE),"Ticker inconnu"))</f>
        <v/>
      </c>
      <c r="C109" s="11" t="n">
        <v>2025</v>
      </c>
      <c r="D109" s="11" t="inlineStr">
        <is>
          <t>T3</t>
        </is>
      </c>
      <c r="E109" s="9" t="n"/>
      <c r="F109" s="12" t="n"/>
      <c r="G109" s="9" t="n"/>
      <c r="H109" s="13" t="n"/>
      <c r="I109" s="13" t="n"/>
      <c r="J109" s="13" t="n"/>
      <c r="K109" s="13" t="n"/>
      <c r="L109" s="13" t="n"/>
      <c r="M109" s="13" t="n"/>
      <c r="N109" s="13" t="n"/>
      <c r="O109" s="13" t="n"/>
      <c r="P109" s="14">
        <f>IF(A109="","",COUNT(H109:O109)/8)</f>
        <v/>
      </c>
      <c r="Q109" s="15">
        <f>IF(COUNT(H109:O109)=0,"",IF(LEN(IF(COUNT(H109,I109,J109)=3,IF(ABS(H109+I109-J109)&lt;=MAX(1,0.02*ABS(J109)),"","RBE &lt;&gt; PNB + frais "),"")&amp;IF(COUNT(J109,K109,L109)=3,IF(ABS(J109+K109-L109)&lt;=MAX(1,0.03*ABS(L109)),"","RAI &lt;&gt; RBE + coût du risque "),"")&amp;IF(COUNT(H109,M109)=2,IF(ABS(M109)&gt;ABS(H109),"RN &gt; PNB ",""),""))=0,"OK",IF(COUNT(H109,I109,J109)=3,IF(ABS(H109+I109-J109)&lt;=MAX(1,0.02*ABS(J109)),"","RBE &lt;&gt; PNB + frais "),"")&amp;IF(COUNT(J109,K109,L109)=3,IF(ABS(J109+K109-L109)&lt;=MAX(1,0.03*ABS(L109)),"","RAI &lt;&gt; RBE + coût du risque "),"")&amp;IF(COUNT(H109,M109)=2,IF(ABS(M109)&gt;ABS(H109),"RN &gt; PNB ",""),"")))</f>
        <v/>
      </c>
      <c r="R109" s="16">
        <f>IF(OR($A109="",H109="",$C109=""),"",IF(COUNTIFS($A$5:$A$315,$A109,$C$5:$C$315,$C109-1,$D$5:$D$315,$D109,H$5:H$315,"&lt;&gt;")=0,"",IF(OR(SUMIFS(H$5:H$315,$A$5:$A$315,$A109,$C$5:$C$315,$C109-1,$D$5:$D$315,$D109)=0,H109*SUMIFS(H$5:H$315,$A$5:$A$315,$A109,$C$5:$C$315,$C109-1,$D$5:$D$315,$D109)&lt;0),"n.s.",ABS(H109)/ABS(SUMIFS(H$5:H$315,$A$5:$A$315,$A109,$C$5:$C$315,$C109-1,$D$5:$D$315,$D109))-1)))</f>
        <v/>
      </c>
      <c r="S109" s="16">
        <f>IF(OR($A109="",I109="",$C109=""),"",IF(COUNTIFS($A$5:$A$315,$A109,$C$5:$C$315,$C109-1,$D$5:$D$315,$D109,I$5:I$315,"&lt;&gt;")=0,"",IF(OR(SUMIFS(I$5:I$315,$A$5:$A$315,$A109,$C$5:$C$315,$C109-1,$D$5:$D$315,$D109)=0,I109*SUMIFS(I$5:I$315,$A$5:$A$315,$A109,$C$5:$C$315,$C109-1,$D$5:$D$315,$D109)&lt;0),"n.s.",ABS(I109)/ABS(SUMIFS(I$5:I$315,$A$5:$A$315,$A109,$C$5:$C$315,$C109-1,$D$5:$D$315,$D109))-1)))</f>
        <v/>
      </c>
      <c r="T109" s="16">
        <f>IF(OR($A109="",J109="",$C109=""),"",IF(COUNTIFS($A$5:$A$315,$A109,$C$5:$C$315,$C109-1,$D$5:$D$315,$D109,J$5:J$315,"&lt;&gt;")=0,"",IF(OR(SUMIFS(J$5:J$315,$A$5:$A$315,$A109,$C$5:$C$315,$C109-1,$D$5:$D$315,$D109)=0,J109*SUMIFS(J$5:J$315,$A$5:$A$315,$A109,$C$5:$C$315,$C109-1,$D$5:$D$315,$D109)&lt;0),"n.s.",ABS(J109)/ABS(SUMIFS(J$5:J$315,$A$5:$A$315,$A109,$C$5:$C$315,$C109-1,$D$5:$D$315,$D109))-1)))</f>
        <v/>
      </c>
      <c r="U109" s="16">
        <f>IF(OR($A109="",K109="",$C109=""),"",IF(COUNTIFS($A$5:$A$315,$A109,$C$5:$C$315,$C109-1,$D$5:$D$315,$D109,K$5:K$315,"&lt;&gt;")=0,"",IF(OR(SUMIFS(K$5:K$315,$A$5:$A$315,$A109,$C$5:$C$315,$C109-1,$D$5:$D$315,$D109)=0,K109*SUMIFS(K$5:K$315,$A$5:$A$315,$A109,$C$5:$C$315,$C109-1,$D$5:$D$315,$D109)&lt;0),"n.s.",ABS(K109)/ABS(SUMIFS(K$5:K$315,$A$5:$A$315,$A109,$C$5:$C$315,$C109-1,$D$5:$D$315,$D109))-1)))</f>
        <v/>
      </c>
      <c r="V109" s="16">
        <f>IF(OR($A109="",L109="",$C109=""),"",IF(COUNTIFS($A$5:$A$315,$A109,$C$5:$C$315,$C109-1,$D$5:$D$315,$D109,L$5:L$315,"&lt;&gt;")=0,"",IF(OR(SUMIFS(L$5:L$315,$A$5:$A$315,$A109,$C$5:$C$315,$C109-1,$D$5:$D$315,$D109)=0,L109*SUMIFS(L$5:L$315,$A$5:$A$315,$A109,$C$5:$C$315,$C109-1,$D$5:$D$315,$D109)&lt;0),"n.s.",ABS(L109)/ABS(SUMIFS(L$5:L$315,$A$5:$A$315,$A109,$C$5:$C$315,$C109-1,$D$5:$D$315,$D109))-1)))</f>
        <v/>
      </c>
      <c r="W109" s="16">
        <f>IF(OR($A109="",M109="",$C109=""),"",IF(COUNTIFS($A$5:$A$315,$A109,$C$5:$C$315,$C109-1,$D$5:$D$315,$D109,M$5:M$315,"&lt;&gt;")=0,"",IF(OR(SUMIFS(M$5:M$315,$A$5:$A$315,$A109,$C$5:$C$315,$C109-1,$D$5:$D$315,$D109)=0,M109*SUMIFS(M$5:M$315,$A$5:$A$315,$A109,$C$5:$C$315,$C109-1,$D$5:$D$315,$D109)&lt;0),"n.s.",ABS(M109)/ABS(SUMIFS(M$5:M$315,$A$5:$A$315,$A109,$C$5:$C$315,$C109-1,$D$5:$D$315,$D109))-1)))</f>
        <v/>
      </c>
      <c r="X109" s="16">
        <f>IF(OR($A109="",N109="",$C109=""),"",IF(COUNTIFS($A$5:$A$315,$A109,$C$5:$C$315,$C109-1,$D$5:$D$315,$D109,N$5:N$315,"&lt;&gt;")=0,"",IF(OR(SUMIFS(N$5:N$315,$A$5:$A$315,$A109,$C$5:$C$315,$C109-1,$D$5:$D$315,$D109)=0,N109*SUMIFS(N$5:N$315,$A$5:$A$315,$A109,$C$5:$C$315,$C109-1,$D$5:$D$315,$D109)&lt;0),"n.s.",ABS(N109)/ABS(SUMIFS(N$5:N$315,$A$5:$A$315,$A109,$C$5:$C$315,$C109-1,$D$5:$D$315,$D109))-1)))</f>
        <v/>
      </c>
      <c r="Y109" s="16">
        <f>IF(OR($A109="",O109="",$C109=""),"",IF(COUNTIFS($A$5:$A$315,$A109,$C$5:$C$315,$C109-1,$D$5:$D$315,$D109,O$5:O$315,"&lt;&gt;")=0,"",IF(OR(SUMIFS(O$5:O$315,$A$5:$A$315,$A109,$C$5:$C$315,$C109-1,$D$5:$D$315,$D109)=0,O109*SUMIFS(O$5:O$315,$A$5:$A$315,$A109,$C$5:$C$315,$C109-1,$D$5:$D$315,$D109)&lt;0),"n.s.",ABS(O109)/ABS(SUMIFS(O$5:O$315,$A$5:$A$315,$A109,$C$5:$C$315,$C109-1,$D$5:$D$315,$D109))-1)))</f>
        <v/>
      </c>
    </row>
    <row r="110">
      <c r="A110" s="9" t="inlineStr">
        <is>
          <t>BOAC</t>
        </is>
      </c>
      <c r="B110" s="10">
        <f>IF(A110="","",IFERROR(VLOOKUP(A110,Titres!$A$2:$B$400,2,FALSE),"Ticker inconnu"))</f>
        <v/>
      </c>
      <c r="C110" s="11" t="n">
        <v>2026</v>
      </c>
      <c r="D110" s="11" t="inlineStr">
        <is>
          <t>T1</t>
        </is>
      </c>
      <c r="E110" s="9" t="n"/>
      <c r="F110" s="12" t="n"/>
      <c r="G110" s="9" t="n"/>
      <c r="H110" s="13" t="n"/>
      <c r="I110" s="13" t="n"/>
      <c r="J110" s="13" t="n"/>
      <c r="K110" s="13" t="n"/>
      <c r="L110" s="13" t="n"/>
      <c r="M110" s="13" t="n"/>
      <c r="N110" s="13" t="n"/>
      <c r="O110" s="13" t="n"/>
      <c r="P110" s="14">
        <f>IF(A110="","",COUNT(H110:O110)/8)</f>
        <v/>
      </c>
      <c r="Q110" s="15">
        <f>IF(COUNT(H110:O110)=0,"",IF(LEN(IF(COUNT(H110,I110,J110)=3,IF(ABS(H110+I110-J110)&lt;=MAX(1,0.02*ABS(J110)),"","RBE &lt;&gt; PNB + frais "),"")&amp;IF(COUNT(J110,K110,L110)=3,IF(ABS(J110+K110-L110)&lt;=MAX(1,0.03*ABS(L110)),"","RAI &lt;&gt; RBE + coût du risque "),"")&amp;IF(COUNT(H110,M110)=2,IF(ABS(M110)&gt;ABS(H110),"RN &gt; PNB ",""),""))=0,"OK",IF(COUNT(H110,I110,J110)=3,IF(ABS(H110+I110-J110)&lt;=MAX(1,0.02*ABS(J110)),"","RBE &lt;&gt; PNB + frais "),"")&amp;IF(COUNT(J110,K110,L110)=3,IF(ABS(J110+K110-L110)&lt;=MAX(1,0.03*ABS(L110)),"","RAI &lt;&gt; RBE + coût du risque "),"")&amp;IF(COUNT(H110,M110)=2,IF(ABS(M110)&gt;ABS(H110),"RN &gt; PNB ",""),"")))</f>
        <v/>
      </c>
      <c r="R110" s="16">
        <f>IF(OR($A110="",H110="",$C110=""),"",IF(COUNTIFS($A$5:$A$315,$A110,$C$5:$C$315,$C110-1,$D$5:$D$315,$D110,H$5:H$315,"&lt;&gt;")=0,"",IF(OR(SUMIFS(H$5:H$315,$A$5:$A$315,$A110,$C$5:$C$315,$C110-1,$D$5:$D$315,$D110)=0,H110*SUMIFS(H$5:H$315,$A$5:$A$315,$A110,$C$5:$C$315,$C110-1,$D$5:$D$315,$D110)&lt;0),"n.s.",ABS(H110)/ABS(SUMIFS(H$5:H$315,$A$5:$A$315,$A110,$C$5:$C$315,$C110-1,$D$5:$D$315,$D110))-1)))</f>
        <v/>
      </c>
      <c r="S110" s="16">
        <f>IF(OR($A110="",I110="",$C110=""),"",IF(COUNTIFS($A$5:$A$315,$A110,$C$5:$C$315,$C110-1,$D$5:$D$315,$D110,I$5:I$315,"&lt;&gt;")=0,"",IF(OR(SUMIFS(I$5:I$315,$A$5:$A$315,$A110,$C$5:$C$315,$C110-1,$D$5:$D$315,$D110)=0,I110*SUMIFS(I$5:I$315,$A$5:$A$315,$A110,$C$5:$C$315,$C110-1,$D$5:$D$315,$D110)&lt;0),"n.s.",ABS(I110)/ABS(SUMIFS(I$5:I$315,$A$5:$A$315,$A110,$C$5:$C$315,$C110-1,$D$5:$D$315,$D110))-1)))</f>
        <v/>
      </c>
      <c r="T110" s="16">
        <f>IF(OR($A110="",J110="",$C110=""),"",IF(COUNTIFS($A$5:$A$315,$A110,$C$5:$C$315,$C110-1,$D$5:$D$315,$D110,J$5:J$315,"&lt;&gt;")=0,"",IF(OR(SUMIFS(J$5:J$315,$A$5:$A$315,$A110,$C$5:$C$315,$C110-1,$D$5:$D$315,$D110)=0,J110*SUMIFS(J$5:J$315,$A$5:$A$315,$A110,$C$5:$C$315,$C110-1,$D$5:$D$315,$D110)&lt;0),"n.s.",ABS(J110)/ABS(SUMIFS(J$5:J$315,$A$5:$A$315,$A110,$C$5:$C$315,$C110-1,$D$5:$D$315,$D110))-1)))</f>
        <v/>
      </c>
      <c r="U110" s="16">
        <f>IF(OR($A110="",K110="",$C110=""),"",IF(COUNTIFS($A$5:$A$315,$A110,$C$5:$C$315,$C110-1,$D$5:$D$315,$D110,K$5:K$315,"&lt;&gt;")=0,"",IF(OR(SUMIFS(K$5:K$315,$A$5:$A$315,$A110,$C$5:$C$315,$C110-1,$D$5:$D$315,$D110)=0,K110*SUMIFS(K$5:K$315,$A$5:$A$315,$A110,$C$5:$C$315,$C110-1,$D$5:$D$315,$D110)&lt;0),"n.s.",ABS(K110)/ABS(SUMIFS(K$5:K$315,$A$5:$A$315,$A110,$C$5:$C$315,$C110-1,$D$5:$D$315,$D110))-1)))</f>
        <v/>
      </c>
      <c r="V110" s="16">
        <f>IF(OR($A110="",L110="",$C110=""),"",IF(COUNTIFS($A$5:$A$315,$A110,$C$5:$C$315,$C110-1,$D$5:$D$315,$D110,L$5:L$315,"&lt;&gt;")=0,"",IF(OR(SUMIFS(L$5:L$315,$A$5:$A$315,$A110,$C$5:$C$315,$C110-1,$D$5:$D$315,$D110)=0,L110*SUMIFS(L$5:L$315,$A$5:$A$315,$A110,$C$5:$C$315,$C110-1,$D$5:$D$315,$D110)&lt;0),"n.s.",ABS(L110)/ABS(SUMIFS(L$5:L$315,$A$5:$A$315,$A110,$C$5:$C$315,$C110-1,$D$5:$D$315,$D110))-1)))</f>
        <v/>
      </c>
      <c r="W110" s="16">
        <f>IF(OR($A110="",M110="",$C110=""),"",IF(COUNTIFS($A$5:$A$315,$A110,$C$5:$C$315,$C110-1,$D$5:$D$315,$D110,M$5:M$315,"&lt;&gt;")=0,"",IF(OR(SUMIFS(M$5:M$315,$A$5:$A$315,$A110,$C$5:$C$315,$C110-1,$D$5:$D$315,$D110)=0,M110*SUMIFS(M$5:M$315,$A$5:$A$315,$A110,$C$5:$C$315,$C110-1,$D$5:$D$315,$D110)&lt;0),"n.s.",ABS(M110)/ABS(SUMIFS(M$5:M$315,$A$5:$A$315,$A110,$C$5:$C$315,$C110-1,$D$5:$D$315,$D110))-1)))</f>
        <v/>
      </c>
      <c r="X110" s="16">
        <f>IF(OR($A110="",N110="",$C110=""),"",IF(COUNTIFS($A$5:$A$315,$A110,$C$5:$C$315,$C110-1,$D$5:$D$315,$D110,N$5:N$315,"&lt;&gt;")=0,"",IF(OR(SUMIFS(N$5:N$315,$A$5:$A$315,$A110,$C$5:$C$315,$C110-1,$D$5:$D$315,$D110)=0,N110*SUMIFS(N$5:N$315,$A$5:$A$315,$A110,$C$5:$C$315,$C110-1,$D$5:$D$315,$D110)&lt;0),"n.s.",ABS(N110)/ABS(SUMIFS(N$5:N$315,$A$5:$A$315,$A110,$C$5:$C$315,$C110-1,$D$5:$D$315,$D110))-1)))</f>
        <v/>
      </c>
      <c r="Y110" s="16">
        <f>IF(OR($A110="",O110="",$C110=""),"",IF(COUNTIFS($A$5:$A$315,$A110,$C$5:$C$315,$C110-1,$D$5:$D$315,$D110,O$5:O$315,"&lt;&gt;")=0,"",IF(OR(SUMIFS(O$5:O$315,$A$5:$A$315,$A110,$C$5:$C$315,$C110-1,$D$5:$D$315,$D110)=0,O110*SUMIFS(O$5:O$315,$A$5:$A$315,$A110,$C$5:$C$315,$C110-1,$D$5:$D$315,$D110)&lt;0),"n.s.",ABS(O110)/ABS(SUMIFS(O$5:O$315,$A$5:$A$315,$A110,$C$5:$C$315,$C110-1,$D$5:$D$315,$D110))-1)))</f>
        <v/>
      </c>
    </row>
    <row r="111">
      <c r="A111" s="9" t="inlineStr">
        <is>
          <t>BOAC</t>
        </is>
      </c>
      <c r="B111" s="10">
        <f>IF(A111="","",IFERROR(VLOOKUP(A111,Titres!$A$2:$B$400,2,FALSE),"Ticker inconnu"))</f>
        <v/>
      </c>
      <c r="C111" s="11" t="n">
        <v>2026</v>
      </c>
      <c r="D111" s="11" t="inlineStr">
        <is>
          <t>S1</t>
        </is>
      </c>
      <c r="E111" s="9" t="n"/>
      <c r="F111" s="12" t="n"/>
      <c r="G111" s="9" t="n"/>
      <c r="H111" s="13" t="n"/>
      <c r="I111" s="13" t="n"/>
      <c r="J111" s="13" t="n"/>
      <c r="K111" s="13" t="n"/>
      <c r="L111" s="13" t="n"/>
      <c r="M111" s="13" t="n"/>
      <c r="N111" s="13" t="n"/>
      <c r="O111" s="13" t="n"/>
      <c r="P111" s="14">
        <f>IF(A111="","",COUNT(H111:O111)/8)</f>
        <v/>
      </c>
      <c r="Q111" s="15">
        <f>IF(COUNT(H111:O111)=0,"",IF(LEN(IF(COUNT(H111,I111,J111)=3,IF(ABS(H111+I111-J111)&lt;=MAX(1,0.02*ABS(J111)),"","RBE &lt;&gt; PNB + frais "),"")&amp;IF(COUNT(J111,K111,L111)=3,IF(ABS(J111+K111-L111)&lt;=MAX(1,0.03*ABS(L111)),"","RAI &lt;&gt; RBE + coût du risque "),"")&amp;IF(COUNT(H111,M111)=2,IF(ABS(M111)&gt;ABS(H111),"RN &gt; PNB ",""),""))=0,"OK",IF(COUNT(H111,I111,J111)=3,IF(ABS(H111+I111-J111)&lt;=MAX(1,0.02*ABS(J111)),"","RBE &lt;&gt; PNB + frais "),"")&amp;IF(COUNT(J111,K111,L111)=3,IF(ABS(J111+K111-L111)&lt;=MAX(1,0.03*ABS(L111)),"","RAI &lt;&gt; RBE + coût du risque "),"")&amp;IF(COUNT(H111,M111)=2,IF(ABS(M111)&gt;ABS(H111),"RN &gt; PNB ",""),"")))</f>
        <v/>
      </c>
      <c r="R111" s="16">
        <f>IF(OR($A111="",H111="",$C111=""),"",IF(COUNTIFS($A$5:$A$315,$A111,$C$5:$C$315,$C111-1,$D$5:$D$315,$D111,H$5:H$315,"&lt;&gt;")=0,"",IF(OR(SUMIFS(H$5:H$315,$A$5:$A$315,$A111,$C$5:$C$315,$C111-1,$D$5:$D$315,$D111)=0,H111*SUMIFS(H$5:H$315,$A$5:$A$315,$A111,$C$5:$C$315,$C111-1,$D$5:$D$315,$D111)&lt;0),"n.s.",ABS(H111)/ABS(SUMIFS(H$5:H$315,$A$5:$A$315,$A111,$C$5:$C$315,$C111-1,$D$5:$D$315,$D111))-1)))</f>
        <v/>
      </c>
      <c r="S111" s="16">
        <f>IF(OR($A111="",I111="",$C111=""),"",IF(COUNTIFS($A$5:$A$315,$A111,$C$5:$C$315,$C111-1,$D$5:$D$315,$D111,I$5:I$315,"&lt;&gt;")=0,"",IF(OR(SUMIFS(I$5:I$315,$A$5:$A$315,$A111,$C$5:$C$315,$C111-1,$D$5:$D$315,$D111)=0,I111*SUMIFS(I$5:I$315,$A$5:$A$315,$A111,$C$5:$C$315,$C111-1,$D$5:$D$315,$D111)&lt;0),"n.s.",ABS(I111)/ABS(SUMIFS(I$5:I$315,$A$5:$A$315,$A111,$C$5:$C$315,$C111-1,$D$5:$D$315,$D111))-1)))</f>
        <v/>
      </c>
      <c r="T111" s="16">
        <f>IF(OR($A111="",J111="",$C111=""),"",IF(COUNTIFS($A$5:$A$315,$A111,$C$5:$C$315,$C111-1,$D$5:$D$315,$D111,J$5:J$315,"&lt;&gt;")=0,"",IF(OR(SUMIFS(J$5:J$315,$A$5:$A$315,$A111,$C$5:$C$315,$C111-1,$D$5:$D$315,$D111)=0,J111*SUMIFS(J$5:J$315,$A$5:$A$315,$A111,$C$5:$C$315,$C111-1,$D$5:$D$315,$D111)&lt;0),"n.s.",ABS(J111)/ABS(SUMIFS(J$5:J$315,$A$5:$A$315,$A111,$C$5:$C$315,$C111-1,$D$5:$D$315,$D111))-1)))</f>
        <v/>
      </c>
      <c r="U111" s="16">
        <f>IF(OR($A111="",K111="",$C111=""),"",IF(COUNTIFS($A$5:$A$315,$A111,$C$5:$C$315,$C111-1,$D$5:$D$315,$D111,K$5:K$315,"&lt;&gt;")=0,"",IF(OR(SUMIFS(K$5:K$315,$A$5:$A$315,$A111,$C$5:$C$315,$C111-1,$D$5:$D$315,$D111)=0,K111*SUMIFS(K$5:K$315,$A$5:$A$315,$A111,$C$5:$C$315,$C111-1,$D$5:$D$315,$D111)&lt;0),"n.s.",ABS(K111)/ABS(SUMIFS(K$5:K$315,$A$5:$A$315,$A111,$C$5:$C$315,$C111-1,$D$5:$D$315,$D111))-1)))</f>
        <v/>
      </c>
      <c r="V111" s="16">
        <f>IF(OR($A111="",L111="",$C111=""),"",IF(COUNTIFS($A$5:$A$315,$A111,$C$5:$C$315,$C111-1,$D$5:$D$315,$D111,L$5:L$315,"&lt;&gt;")=0,"",IF(OR(SUMIFS(L$5:L$315,$A$5:$A$315,$A111,$C$5:$C$315,$C111-1,$D$5:$D$315,$D111)=0,L111*SUMIFS(L$5:L$315,$A$5:$A$315,$A111,$C$5:$C$315,$C111-1,$D$5:$D$315,$D111)&lt;0),"n.s.",ABS(L111)/ABS(SUMIFS(L$5:L$315,$A$5:$A$315,$A111,$C$5:$C$315,$C111-1,$D$5:$D$315,$D111))-1)))</f>
        <v/>
      </c>
      <c r="W111" s="16">
        <f>IF(OR($A111="",M111="",$C111=""),"",IF(COUNTIFS($A$5:$A$315,$A111,$C$5:$C$315,$C111-1,$D$5:$D$315,$D111,M$5:M$315,"&lt;&gt;")=0,"",IF(OR(SUMIFS(M$5:M$315,$A$5:$A$315,$A111,$C$5:$C$315,$C111-1,$D$5:$D$315,$D111)=0,M111*SUMIFS(M$5:M$315,$A$5:$A$315,$A111,$C$5:$C$315,$C111-1,$D$5:$D$315,$D111)&lt;0),"n.s.",ABS(M111)/ABS(SUMIFS(M$5:M$315,$A$5:$A$315,$A111,$C$5:$C$315,$C111-1,$D$5:$D$315,$D111))-1)))</f>
        <v/>
      </c>
      <c r="X111" s="16">
        <f>IF(OR($A111="",N111="",$C111=""),"",IF(COUNTIFS($A$5:$A$315,$A111,$C$5:$C$315,$C111-1,$D$5:$D$315,$D111,N$5:N$315,"&lt;&gt;")=0,"",IF(OR(SUMIFS(N$5:N$315,$A$5:$A$315,$A111,$C$5:$C$315,$C111-1,$D$5:$D$315,$D111)=0,N111*SUMIFS(N$5:N$315,$A$5:$A$315,$A111,$C$5:$C$315,$C111-1,$D$5:$D$315,$D111)&lt;0),"n.s.",ABS(N111)/ABS(SUMIFS(N$5:N$315,$A$5:$A$315,$A111,$C$5:$C$315,$C111-1,$D$5:$D$315,$D111))-1)))</f>
        <v/>
      </c>
      <c r="Y111" s="16">
        <f>IF(OR($A111="",O111="",$C111=""),"",IF(COUNTIFS($A$5:$A$315,$A111,$C$5:$C$315,$C111-1,$D$5:$D$315,$D111,O$5:O$315,"&lt;&gt;")=0,"",IF(OR(SUMIFS(O$5:O$315,$A$5:$A$315,$A111,$C$5:$C$315,$C111-1,$D$5:$D$315,$D111)=0,O111*SUMIFS(O$5:O$315,$A$5:$A$315,$A111,$C$5:$C$315,$C111-1,$D$5:$D$315,$D111)&lt;0),"n.s.",ABS(O111)/ABS(SUMIFS(O$5:O$315,$A$5:$A$315,$A111,$C$5:$C$315,$C111-1,$D$5:$D$315,$D111))-1)))</f>
        <v/>
      </c>
    </row>
    <row r="112">
      <c r="A112" s="9" t="inlineStr">
        <is>
          <t>BOAC</t>
        </is>
      </c>
      <c r="B112" s="10">
        <f>IF(A112="","",IFERROR(VLOOKUP(A112,Titres!$A$2:$B$400,2,FALSE),"Ticker inconnu"))</f>
        <v/>
      </c>
      <c r="C112" s="11" t="n">
        <v>2026</v>
      </c>
      <c r="D112" s="11" t="inlineStr">
        <is>
          <t>T3</t>
        </is>
      </c>
      <c r="E112" s="9" t="n"/>
      <c r="F112" s="12" t="n"/>
      <c r="G112" s="9" t="n"/>
      <c r="H112" s="13" t="n"/>
      <c r="I112" s="13" t="n"/>
      <c r="J112" s="13" t="n"/>
      <c r="K112" s="13" t="n"/>
      <c r="L112" s="13" t="n"/>
      <c r="M112" s="13" t="n"/>
      <c r="N112" s="13" t="n"/>
      <c r="O112" s="13" t="n"/>
      <c r="P112" s="14">
        <f>IF(A112="","",COUNT(H112:O112)/8)</f>
        <v/>
      </c>
      <c r="Q112" s="15">
        <f>IF(COUNT(H112:O112)=0,"",IF(LEN(IF(COUNT(H112,I112,J112)=3,IF(ABS(H112+I112-J112)&lt;=MAX(1,0.02*ABS(J112)),"","RBE &lt;&gt; PNB + frais "),"")&amp;IF(COUNT(J112,K112,L112)=3,IF(ABS(J112+K112-L112)&lt;=MAX(1,0.03*ABS(L112)),"","RAI &lt;&gt; RBE + coût du risque "),"")&amp;IF(COUNT(H112,M112)=2,IF(ABS(M112)&gt;ABS(H112),"RN &gt; PNB ",""),""))=0,"OK",IF(COUNT(H112,I112,J112)=3,IF(ABS(H112+I112-J112)&lt;=MAX(1,0.02*ABS(J112)),"","RBE &lt;&gt; PNB + frais "),"")&amp;IF(COUNT(J112,K112,L112)=3,IF(ABS(J112+K112-L112)&lt;=MAX(1,0.03*ABS(L112)),"","RAI &lt;&gt; RBE + coût du risque "),"")&amp;IF(COUNT(H112,M112)=2,IF(ABS(M112)&gt;ABS(H112),"RN &gt; PNB ",""),"")))</f>
        <v/>
      </c>
      <c r="R112" s="16">
        <f>IF(OR($A112="",H112="",$C112=""),"",IF(COUNTIFS($A$5:$A$315,$A112,$C$5:$C$315,$C112-1,$D$5:$D$315,$D112,H$5:H$315,"&lt;&gt;")=0,"",IF(OR(SUMIFS(H$5:H$315,$A$5:$A$315,$A112,$C$5:$C$315,$C112-1,$D$5:$D$315,$D112)=0,H112*SUMIFS(H$5:H$315,$A$5:$A$315,$A112,$C$5:$C$315,$C112-1,$D$5:$D$315,$D112)&lt;0),"n.s.",ABS(H112)/ABS(SUMIFS(H$5:H$315,$A$5:$A$315,$A112,$C$5:$C$315,$C112-1,$D$5:$D$315,$D112))-1)))</f>
        <v/>
      </c>
      <c r="S112" s="16">
        <f>IF(OR($A112="",I112="",$C112=""),"",IF(COUNTIFS($A$5:$A$315,$A112,$C$5:$C$315,$C112-1,$D$5:$D$315,$D112,I$5:I$315,"&lt;&gt;")=0,"",IF(OR(SUMIFS(I$5:I$315,$A$5:$A$315,$A112,$C$5:$C$315,$C112-1,$D$5:$D$315,$D112)=0,I112*SUMIFS(I$5:I$315,$A$5:$A$315,$A112,$C$5:$C$315,$C112-1,$D$5:$D$315,$D112)&lt;0),"n.s.",ABS(I112)/ABS(SUMIFS(I$5:I$315,$A$5:$A$315,$A112,$C$5:$C$315,$C112-1,$D$5:$D$315,$D112))-1)))</f>
        <v/>
      </c>
      <c r="T112" s="16">
        <f>IF(OR($A112="",J112="",$C112=""),"",IF(COUNTIFS($A$5:$A$315,$A112,$C$5:$C$315,$C112-1,$D$5:$D$315,$D112,J$5:J$315,"&lt;&gt;")=0,"",IF(OR(SUMIFS(J$5:J$315,$A$5:$A$315,$A112,$C$5:$C$315,$C112-1,$D$5:$D$315,$D112)=0,J112*SUMIFS(J$5:J$315,$A$5:$A$315,$A112,$C$5:$C$315,$C112-1,$D$5:$D$315,$D112)&lt;0),"n.s.",ABS(J112)/ABS(SUMIFS(J$5:J$315,$A$5:$A$315,$A112,$C$5:$C$315,$C112-1,$D$5:$D$315,$D112))-1)))</f>
        <v/>
      </c>
      <c r="U112" s="16">
        <f>IF(OR($A112="",K112="",$C112=""),"",IF(COUNTIFS($A$5:$A$315,$A112,$C$5:$C$315,$C112-1,$D$5:$D$315,$D112,K$5:K$315,"&lt;&gt;")=0,"",IF(OR(SUMIFS(K$5:K$315,$A$5:$A$315,$A112,$C$5:$C$315,$C112-1,$D$5:$D$315,$D112)=0,K112*SUMIFS(K$5:K$315,$A$5:$A$315,$A112,$C$5:$C$315,$C112-1,$D$5:$D$315,$D112)&lt;0),"n.s.",ABS(K112)/ABS(SUMIFS(K$5:K$315,$A$5:$A$315,$A112,$C$5:$C$315,$C112-1,$D$5:$D$315,$D112))-1)))</f>
        <v/>
      </c>
      <c r="V112" s="16">
        <f>IF(OR($A112="",L112="",$C112=""),"",IF(COUNTIFS($A$5:$A$315,$A112,$C$5:$C$315,$C112-1,$D$5:$D$315,$D112,L$5:L$315,"&lt;&gt;")=0,"",IF(OR(SUMIFS(L$5:L$315,$A$5:$A$315,$A112,$C$5:$C$315,$C112-1,$D$5:$D$315,$D112)=0,L112*SUMIFS(L$5:L$315,$A$5:$A$315,$A112,$C$5:$C$315,$C112-1,$D$5:$D$315,$D112)&lt;0),"n.s.",ABS(L112)/ABS(SUMIFS(L$5:L$315,$A$5:$A$315,$A112,$C$5:$C$315,$C112-1,$D$5:$D$315,$D112))-1)))</f>
        <v/>
      </c>
      <c r="W112" s="16">
        <f>IF(OR($A112="",M112="",$C112=""),"",IF(COUNTIFS($A$5:$A$315,$A112,$C$5:$C$315,$C112-1,$D$5:$D$315,$D112,M$5:M$315,"&lt;&gt;")=0,"",IF(OR(SUMIFS(M$5:M$315,$A$5:$A$315,$A112,$C$5:$C$315,$C112-1,$D$5:$D$315,$D112)=0,M112*SUMIFS(M$5:M$315,$A$5:$A$315,$A112,$C$5:$C$315,$C112-1,$D$5:$D$315,$D112)&lt;0),"n.s.",ABS(M112)/ABS(SUMIFS(M$5:M$315,$A$5:$A$315,$A112,$C$5:$C$315,$C112-1,$D$5:$D$315,$D112))-1)))</f>
        <v/>
      </c>
      <c r="X112" s="16">
        <f>IF(OR($A112="",N112="",$C112=""),"",IF(COUNTIFS($A$5:$A$315,$A112,$C$5:$C$315,$C112-1,$D$5:$D$315,$D112,N$5:N$315,"&lt;&gt;")=0,"",IF(OR(SUMIFS(N$5:N$315,$A$5:$A$315,$A112,$C$5:$C$315,$C112-1,$D$5:$D$315,$D112)=0,N112*SUMIFS(N$5:N$315,$A$5:$A$315,$A112,$C$5:$C$315,$C112-1,$D$5:$D$315,$D112)&lt;0),"n.s.",ABS(N112)/ABS(SUMIFS(N$5:N$315,$A$5:$A$315,$A112,$C$5:$C$315,$C112-1,$D$5:$D$315,$D112))-1)))</f>
        <v/>
      </c>
      <c r="Y112" s="16">
        <f>IF(OR($A112="",O112="",$C112=""),"",IF(COUNTIFS($A$5:$A$315,$A112,$C$5:$C$315,$C112-1,$D$5:$D$315,$D112,O$5:O$315,"&lt;&gt;")=0,"",IF(OR(SUMIFS(O$5:O$315,$A$5:$A$315,$A112,$C$5:$C$315,$C112-1,$D$5:$D$315,$D112)=0,O112*SUMIFS(O$5:O$315,$A$5:$A$315,$A112,$C$5:$C$315,$C112-1,$D$5:$D$315,$D112)&lt;0),"n.s.",ABS(O112)/ABS(SUMIFS(O$5:O$315,$A$5:$A$315,$A112,$C$5:$C$315,$C112-1,$D$5:$D$315,$D112))-1)))</f>
        <v/>
      </c>
    </row>
    <row r="113">
      <c r="A113" s="9" t="inlineStr">
        <is>
          <t>BOAM</t>
        </is>
      </c>
      <c r="B113" s="10">
        <f>IF(A113="","",IFERROR(VLOOKUP(A113,Titres!$A$2:$B$400,2,FALSE),"Ticker inconnu"))</f>
        <v/>
      </c>
      <c r="C113" s="11" t="n">
        <v>2021</v>
      </c>
      <c r="D113" s="11" t="inlineStr">
        <is>
          <t>T1</t>
        </is>
      </c>
      <c r="E113" s="9" t="n"/>
      <c r="F113" s="12" t="n"/>
      <c r="G113" s="9" t="n"/>
      <c r="H113" s="13" t="n"/>
      <c r="I113" s="13" t="n"/>
      <c r="J113" s="13" t="n"/>
      <c r="K113" s="13" t="n"/>
      <c r="L113" s="13" t="n"/>
      <c r="M113" s="13" t="n"/>
      <c r="N113" s="13" t="n"/>
      <c r="O113" s="13" t="n"/>
      <c r="P113" s="14">
        <f>IF(A113="","",COUNT(H113:O113)/8)</f>
        <v/>
      </c>
      <c r="Q113" s="15">
        <f>IF(COUNT(H113:O113)=0,"",IF(LEN(IF(COUNT(H113,I113,J113)=3,IF(ABS(H113+I113-J113)&lt;=MAX(1,0.02*ABS(J113)),"","RBE &lt;&gt; PNB + frais "),"")&amp;IF(COUNT(J113,K113,L113)=3,IF(ABS(J113+K113-L113)&lt;=MAX(1,0.03*ABS(L113)),"","RAI &lt;&gt; RBE + coût du risque "),"")&amp;IF(COUNT(H113,M113)=2,IF(ABS(M113)&gt;ABS(H113),"RN &gt; PNB ",""),""))=0,"OK",IF(COUNT(H113,I113,J113)=3,IF(ABS(H113+I113-J113)&lt;=MAX(1,0.02*ABS(J113)),"","RBE &lt;&gt; PNB + frais "),"")&amp;IF(COUNT(J113,K113,L113)=3,IF(ABS(J113+K113-L113)&lt;=MAX(1,0.03*ABS(L113)),"","RAI &lt;&gt; RBE + coût du risque "),"")&amp;IF(COUNT(H113,M113)=2,IF(ABS(M113)&gt;ABS(H113),"RN &gt; PNB ",""),"")))</f>
        <v/>
      </c>
      <c r="R113" s="16">
        <f>IF(OR($A113="",H113="",$C113=""),"",IF(COUNTIFS($A$5:$A$315,$A113,$C$5:$C$315,$C113-1,$D$5:$D$315,$D113,H$5:H$315,"&lt;&gt;")=0,"",IF(OR(SUMIFS(H$5:H$315,$A$5:$A$315,$A113,$C$5:$C$315,$C113-1,$D$5:$D$315,$D113)=0,H113*SUMIFS(H$5:H$315,$A$5:$A$315,$A113,$C$5:$C$315,$C113-1,$D$5:$D$315,$D113)&lt;0),"n.s.",ABS(H113)/ABS(SUMIFS(H$5:H$315,$A$5:$A$315,$A113,$C$5:$C$315,$C113-1,$D$5:$D$315,$D113))-1)))</f>
        <v/>
      </c>
      <c r="S113" s="16">
        <f>IF(OR($A113="",I113="",$C113=""),"",IF(COUNTIFS($A$5:$A$315,$A113,$C$5:$C$315,$C113-1,$D$5:$D$315,$D113,I$5:I$315,"&lt;&gt;")=0,"",IF(OR(SUMIFS(I$5:I$315,$A$5:$A$315,$A113,$C$5:$C$315,$C113-1,$D$5:$D$315,$D113)=0,I113*SUMIFS(I$5:I$315,$A$5:$A$315,$A113,$C$5:$C$315,$C113-1,$D$5:$D$315,$D113)&lt;0),"n.s.",ABS(I113)/ABS(SUMIFS(I$5:I$315,$A$5:$A$315,$A113,$C$5:$C$315,$C113-1,$D$5:$D$315,$D113))-1)))</f>
        <v/>
      </c>
      <c r="T113" s="16">
        <f>IF(OR($A113="",J113="",$C113=""),"",IF(COUNTIFS($A$5:$A$315,$A113,$C$5:$C$315,$C113-1,$D$5:$D$315,$D113,J$5:J$315,"&lt;&gt;")=0,"",IF(OR(SUMIFS(J$5:J$315,$A$5:$A$315,$A113,$C$5:$C$315,$C113-1,$D$5:$D$315,$D113)=0,J113*SUMIFS(J$5:J$315,$A$5:$A$315,$A113,$C$5:$C$315,$C113-1,$D$5:$D$315,$D113)&lt;0),"n.s.",ABS(J113)/ABS(SUMIFS(J$5:J$315,$A$5:$A$315,$A113,$C$5:$C$315,$C113-1,$D$5:$D$315,$D113))-1)))</f>
        <v/>
      </c>
      <c r="U113" s="16">
        <f>IF(OR($A113="",K113="",$C113=""),"",IF(COUNTIFS($A$5:$A$315,$A113,$C$5:$C$315,$C113-1,$D$5:$D$315,$D113,K$5:K$315,"&lt;&gt;")=0,"",IF(OR(SUMIFS(K$5:K$315,$A$5:$A$315,$A113,$C$5:$C$315,$C113-1,$D$5:$D$315,$D113)=0,K113*SUMIFS(K$5:K$315,$A$5:$A$315,$A113,$C$5:$C$315,$C113-1,$D$5:$D$315,$D113)&lt;0),"n.s.",ABS(K113)/ABS(SUMIFS(K$5:K$315,$A$5:$A$315,$A113,$C$5:$C$315,$C113-1,$D$5:$D$315,$D113))-1)))</f>
        <v/>
      </c>
      <c r="V113" s="16">
        <f>IF(OR($A113="",L113="",$C113=""),"",IF(COUNTIFS($A$5:$A$315,$A113,$C$5:$C$315,$C113-1,$D$5:$D$315,$D113,L$5:L$315,"&lt;&gt;")=0,"",IF(OR(SUMIFS(L$5:L$315,$A$5:$A$315,$A113,$C$5:$C$315,$C113-1,$D$5:$D$315,$D113)=0,L113*SUMIFS(L$5:L$315,$A$5:$A$315,$A113,$C$5:$C$315,$C113-1,$D$5:$D$315,$D113)&lt;0),"n.s.",ABS(L113)/ABS(SUMIFS(L$5:L$315,$A$5:$A$315,$A113,$C$5:$C$315,$C113-1,$D$5:$D$315,$D113))-1)))</f>
        <v/>
      </c>
      <c r="W113" s="16">
        <f>IF(OR($A113="",M113="",$C113=""),"",IF(COUNTIFS($A$5:$A$315,$A113,$C$5:$C$315,$C113-1,$D$5:$D$315,$D113,M$5:M$315,"&lt;&gt;")=0,"",IF(OR(SUMIFS(M$5:M$315,$A$5:$A$315,$A113,$C$5:$C$315,$C113-1,$D$5:$D$315,$D113)=0,M113*SUMIFS(M$5:M$315,$A$5:$A$315,$A113,$C$5:$C$315,$C113-1,$D$5:$D$315,$D113)&lt;0),"n.s.",ABS(M113)/ABS(SUMIFS(M$5:M$315,$A$5:$A$315,$A113,$C$5:$C$315,$C113-1,$D$5:$D$315,$D113))-1)))</f>
        <v/>
      </c>
      <c r="X113" s="16">
        <f>IF(OR($A113="",N113="",$C113=""),"",IF(COUNTIFS($A$5:$A$315,$A113,$C$5:$C$315,$C113-1,$D$5:$D$315,$D113,N$5:N$315,"&lt;&gt;")=0,"",IF(OR(SUMIFS(N$5:N$315,$A$5:$A$315,$A113,$C$5:$C$315,$C113-1,$D$5:$D$315,$D113)=0,N113*SUMIFS(N$5:N$315,$A$5:$A$315,$A113,$C$5:$C$315,$C113-1,$D$5:$D$315,$D113)&lt;0),"n.s.",ABS(N113)/ABS(SUMIFS(N$5:N$315,$A$5:$A$315,$A113,$C$5:$C$315,$C113-1,$D$5:$D$315,$D113))-1)))</f>
        <v/>
      </c>
      <c r="Y113" s="16">
        <f>IF(OR($A113="",O113="",$C113=""),"",IF(COUNTIFS($A$5:$A$315,$A113,$C$5:$C$315,$C113-1,$D$5:$D$315,$D113,O$5:O$315,"&lt;&gt;")=0,"",IF(OR(SUMIFS(O$5:O$315,$A$5:$A$315,$A113,$C$5:$C$315,$C113-1,$D$5:$D$315,$D113)=0,O113*SUMIFS(O$5:O$315,$A$5:$A$315,$A113,$C$5:$C$315,$C113-1,$D$5:$D$315,$D113)&lt;0),"n.s.",ABS(O113)/ABS(SUMIFS(O$5:O$315,$A$5:$A$315,$A113,$C$5:$C$315,$C113-1,$D$5:$D$315,$D113))-1)))</f>
        <v/>
      </c>
    </row>
    <row r="114">
      <c r="A114" s="9" t="inlineStr">
        <is>
          <t>BOAM</t>
        </is>
      </c>
      <c r="B114" s="10">
        <f>IF(A114="","",IFERROR(VLOOKUP(A114,Titres!$A$2:$B$400,2,FALSE),"Ticker inconnu"))</f>
        <v/>
      </c>
      <c r="C114" s="11" t="n">
        <v>2021</v>
      </c>
      <c r="D114" s="11" t="inlineStr">
        <is>
          <t>S1</t>
        </is>
      </c>
      <c r="E114" s="9" t="n"/>
      <c r="F114" s="12" t="n"/>
      <c r="G114" s="9" t="n"/>
      <c r="H114" s="13" t="n"/>
      <c r="I114" s="13" t="n"/>
      <c r="J114" s="13" t="n"/>
      <c r="K114" s="13" t="n"/>
      <c r="L114" s="13" t="n"/>
      <c r="M114" s="13" t="n"/>
      <c r="N114" s="13" t="n"/>
      <c r="O114" s="13" t="n"/>
      <c r="P114" s="14">
        <f>IF(A114="","",COUNT(H114:O114)/8)</f>
        <v/>
      </c>
      <c r="Q114" s="15">
        <f>IF(COUNT(H114:O114)=0,"",IF(LEN(IF(COUNT(H114,I114,J114)=3,IF(ABS(H114+I114-J114)&lt;=MAX(1,0.02*ABS(J114)),"","RBE &lt;&gt; PNB + frais "),"")&amp;IF(COUNT(J114,K114,L114)=3,IF(ABS(J114+K114-L114)&lt;=MAX(1,0.03*ABS(L114)),"","RAI &lt;&gt; RBE + coût du risque "),"")&amp;IF(COUNT(H114,M114)=2,IF(ABS(M114)&gt;ABS(H114),"RN &gt; PNB ",""),""))=0,"OK",IF(COUNT(H114,I114,J114)=3,IF(ABS(H114+I114-J114)&lt;=MAX(1,0.02*ABS(J114)),"","RBE &lt;&gt; PNB + frais "),"")&amp;IF(COUNT(J114,K114,L114)=3,IF(ABS(J114+K114-L114)&lt;=MAX(1,0.03*ABS(L114)),"","RAI &lt;&gt; RBE + coût du risque "),"")&amp;IF(COUNT(H114,M114)=2,IF(ABS(M114)&gt;ABS(H114),"RN &gt; PNB ",""),"")))</f>
        <v/>
      </c>
      <c r="R114" s="16">
        <f>IF(OR($A114="",H114="",$C114=""),"",IF(COUNTIFS($A$5:$A$315,$A114,$C$5:$C$315,$C114-1,$D$5:$D$315,$D114,H$5:H$315,"&lt;&gt;")=0,"",IF(OR(SUMIFS(H$5:H$315,$A$5:$A$315,$A114,$C$5:$C$315,$C114-1,$D$5:$D$315,$D114)=0,H114*SUMIFS(H$5:H$315,$A$5:$A$315,$A114,$C$5:$C$315,$C114-1,$D$5:$D$315,$D114)&lt;0),"n.s.",ABS(H114)/ABS(SUMIFS(H$5:H$315,$A$5:$A$315,$A114,$C$5:$C$315,$C114-1,$D$5:$D$315,$D114))-1)))</f>
        <v/>
      </c>
      <c r="S114" s="16">
        <f>IF(OR($A114="",I114="",$C114=""),"",IF(COUNTIFS($A$5:$A$315,$A114,$C$5:$C$315,$C114-1,$D$5:$D$315,$D114,I$5:I$315,"&lt;&gt;")=0,"",IF(OR(SUMIFS(I$5:I$315,$A$5:$A$315,$A114,$C$5:$C$315,$C114-1,$D$5:$D$315,$D114)=0,I114*SUMIFS(I$5:I$315,$A$5:$A$315,$A114,$C$5:$C$315,$C114-1,$D$5:$D$315,$D114)&lt;0),"n.s.",ABS(I114)/ABS(SUMIFS(I$5:I$315,$A$5:$A$315,$A114,$C$5:$C$315,$C114-1,$D$5:$D$315,$D114))-1)))</f>
        <v/>
      </c>
      <c r="T114" s="16">
        <f>IF(OR($A114="",J114="",$C114=""),"",IF(COUNTIFS($A$5:$A$315,$A114,$C$5:$C$315,$C114-1,$D$5:$D$315,$D114,J$5:J$315,"&lt;&gt;")=0,"",IF(OR(SUMIFS(J$5:J$315,$A$5:$A$315,$A114,$C$5:$C$315,$C114-1,$D$5:$D$315,$D114)=0,J114*SUMIFS(J$5:J$315,$A$5:$A$315,$A114,$C$5:$C$315,$C114-1,$D$5:$D$315,$D114)&lt;0),"n.s.",ABS(J114)/ABS(SUMIFS(J$5:J$315,$A$5:$A$315,$A114,$C$5:$C$315,$C114-1,$D$5:$D$315,$D114))-1)))</f>
        <v/>
      </c>
      <c r="U114" s="16">
        <f>IF(OR($A114="",K114="",$C114=""),"",IF(COUNTIFS($A$5:$A$315,$A114,$C$5:$C$315,$C114-1,$D$5:$D$315,$D114,K$5:K$315,"&lt;&gt;")=0,"",IF(OR(SUMIFS(K$5:K$315,$A$5:$A$315,$A114,$C$5:$C$315,$C114-1,$D$5:$D$315,$D114)=0,K114*SUMIFS(K$5:K$315,$A$5:$A$315,$A114,$C$5:$C$315,$C114-1,$D$5:$D$315,$D114)&lt;0),"n.s.",ABS(K114)/ABS(SUMIFS(K$5:K$315,$A$5:$A$315,$A114,$C$5:$C$315,$C114-1,$D$5:$D$315,$D114))-1)))</f>
        <v/>
      </c>
      <c r="V114" s="16">
        <f>IF(OR($A114="",L114="",$C114=""),"",IF(COUNTIFS($A$5:$A$315,$A114,$C$5:$C$315,$C114-1,$D$5:$D$315,$D114,L$5:L$315,"&lt;&gt;")=0,"",IF(OR(SUMIFS(L$5:L$315,$A$5:$A$315,$A114,$C$5:$C$315,$C114-1,$D$5:$D$315,$D114)=0,L114*SUMIFS(L$5:L$315,$A$5:$A$315,$A114,$C$5:$C$315,$C114-1,$D$5:$D$315,$D114)&lt;0),"n.s.",ABS(L114)/ABS(SUMIFS(L$5:L$315,$A$5:$A$315,$A114,$C$5:$C$315,$C114-1,$D$5:$D$315,$D114))-1)))</f>
        <v/>
      </c>
      <c r="W114" s="16">
        <f>IF(OR($A114="",M114="",$C114=""),"",IF(COUNTIFS($A$5:$A$315,$A114,$C$5:$C$315,$C114-1,$D$5:$D$315,$D114,M$5:M$315,"&lt;&gt;")=0,"",IF(OR(SUMIFS(M$5:M$315,$A$5:$A$315,$A114,$C$5:$C$315,$C114-1,$D$5:$D$315,$D114)=0,M114*SUMIFS(M$5:M$315,$A$5:$A$315,$A114,$C$5:$C$315,$C114-1,$D$5:$D$315,$D114)&lt;0),"n.s.",ABS(M114)/ABS(SUMIFS(M$5:M$315,$A$5:$A$315,$A114,$C$5:$C$315,$C114-1,$D$5:$D$315,$D114))-1)))</f>
        <v/>
      </c>
      <c r="X114" s="16">
        <f>IF(OR($A114="",N114="",$C114=""),"",IF(COUNTIFS($A$5:$A$315,$A114,$C$5:$C$315,$C114-1,$D$5:$D$315,$D114,N$5:N$315,"&lt;&gt;")=0,"",IF(OR(SUMIFS(N$5:N$315,$A$5:$A$315,$A114,$C$5:$C$315,$C114-1,$D$5:$D$315,$D114)=0,N114*SUMIFS(N$5:N$315,$A$5:$A$315,$A114,$C$5:$C$315,$C114-1,$D$5:$D$315,$D114)&lt;0),"n.s.",ABS(N114)/ABS(SUMIFS(N$5:N$315,$A$5:$A$315,$A114,$C$5:$C$315,$C114-1,$D$5:$D$315,$D114))-1)))</f>
        <v/>
      </c>
      <c r="Y114" s="16">
        <f>IF(OR($A114="",O114="",$C114=""),"",IF(COUNTIFS($A$5:$A$315,$A114,$C$5:$C$315,$C114-1,$D$5:$D$315,$D114,O$5:O$315,"&lt;&gt;")=0,"",IF(OR(SUMIFS(O$5:O$315,$A$5:$A$315,$A114,$C$5:$C$315,$C114-1,$D$5:$D$315,$D114)=0,O114*SUMIFS(O$5:O$315,$A$5:$A$315,$A114,$C$5:$C$315,$C114-1,$D$5:$D$315,$D114)&lt;0),"n.s.",ABS(O114)/ABS(SUMIFS(O$5:O$315,$A$5:$A$315,$A114,$C$5:$C$315,$C114-1,$D$5:$D$315,$D114))-1)))</f>
        <v/>
      </c>
    </row>
    <row r="115">
      <c r="A115" s="9" t="inlineStr">
        <is>
          <t>BOAM</t>
        </is>
      </c>
      <c r="B115" s="10">
        <f>IF(A115="","",IFERROR(VLOOKUP(A115,Titres!$A$2:$B$400,2,FALSE),"Ticker inconnu"))</f>
        <v/>
      </c>
      <c r="C115" s="11" t="n">
        <v>2021</v>
      </c>
      <c r="D115" s="11" t="inlineStr">
        <is>
          <t>T3</t>
        </is>
      </c>
      <c r="E115" s="9" t="n"/>
      <c r="F115" s="12" t="n"/>
      <c r="G115" s="9" t="n"/>
      <c r="H115" s="13" t="n"/>
      <c r="I115" s="13" t="n"/>
      <c r="J115" s="13" t="n"/>
      <c r="K115" s="13" t="n"/>
      <c r="L115" s="13" t="n"/>
      <c r="M115" s="13" t="n"/>
      <c r="N115" s="13" t="n"/>
      <c r="O115" s="13" t="n"/>
      <c r="P115" s="14">
        <f>IF(A115="","",COUNT(H115:O115)/8)</f>
        <v/>
      </c>
      <c r="Q115" s="15">
        <f>IF(COUNT(H115:O115)=0,"",IF(LEN(IF(COUNT(H115,I115,J115)=3,IF(ABS(H115+I115-J115)&lt;=MAX(1,0.02*ABS(J115)),"","RBE &lt;&gt; PNB + frais "),"")&amp;IF(COUNT(J115,K115,L115)=3,IF(ABS(J115+K115-L115)&lt;=MAX(1,0.03*ABS(L115)),"","RAI &lt;&gt; RBE + coût du risque "),"")&amp;IF(COUNT(H115,M115)=2,IF(ABS(M115)&gt;ABS(H115),"RN &gt; PNB ",""),""))=0,"OK",IF(COUNT(H115,I115,J115)=3,IF(ABS(H115+I115-J115)&lt;=MAX(1,0.02*ABS(J115)),"","RBE &lt;&gt; PNB + frais "),"")&amp;IF(COUNT(J115,K115,L115)=3,IF(ABS(J115+K115-L115)&lt;=MAX(1,0.03*ABS(L115)),"","RAI &lt;&gt; RBE + coût du risque "),"")&amp;IF(COUNT(H115,M115)=2,IF(ABS(M115)&gt;ABS(H115),"RN &gt; PNB ",""),"")))</f>
        <v/>
      </c>
      <c r="R115" s="16">
        <f>IF(OR($A115="",H115="",$C115=""),"",IF(COUNTIFS($A$5:$A$315,$A115,$C$5:$C$315,$C115-1,$D$5:$D$315,$D115,H$5:H$315,"&lt;&gt;")=0,"",IF(OR(SUMIFS(H$5:H$315,$A$5:$A$315,$A115,$C$5:$C$315,$C115-1,$D$5:$D$315,$D115)=0,H115*SUMIFS(H$5:H$315,$A$5:$A$315,$A115,$C$5:$C$315,$C115-1,$D$5:$D$315,$D115)&lt;0),"n.s.",ABS(H115)/ABS(SUMIFS(H$5:H$315,$A$5:$A$315,$A115,$C$5:$C$315,$C115-1,$D$5:$D$315,$D115))-1)))</f>
        <v/>
      </c>
      <c r="S115" s="16">
        <f>IF(OR($A115="",I115="",$C115=""),"",IF(COUNTIFS($A$5:$A$315,$A115,$C$5:$C$315,$C115-1,$D$5:$D$315,$D115,I$5:I$315,"&lt;&gt;")=0,"",IF(OR(SUMIFS(I$5:I$315,$A$5:$A$315,$A115,$C$5:$C$315,$C115-1,$D$5:$D$315,$D115)=0,I115*SUMIFS(I$5:I$315,$A$5:$A$315,$A115,$C$5:$C$315,$C115-1,$D$5:$D$315,$D115)&lt;0),"n.s.",ABS(I115)/ABS(SUMIFS(I$5:I$315,$A$5:$A$315,$A115,$C$5:$C$315,$C115-1,$D$5:$D$315,$D115))-1)))</f>
        <v/>
      </c>
      <c r="T115" s="16">
        <f>IF(OR($A115="",J115="",$C115=""),"",IF(COUNTIFS($A$5:$A$315,$A115,$C$5:$C$315,$C115-1,$D$5:$D$315,$D115,J$5:J$315,"&lt;&gt;")=0,"",IF(OR(SUMIFS(J$5:J$315,$A$5:$A$315,$A115,$C$5:$C$315,$C115-1,$D$5:$D$315,$D115)=0,J115*SUMIFS(J$5:J$315,$A$5:$A$315,$A115,$C$5:$C$315,$C115-1,$D$5:$D$315,$D115)&lt;0),"n.s.",ABS(J115)/ABS(SUMIFS(J$5:J$315,$A$5:$A$315,$A115,$C$5:$C$315,$C115-1,$D$5:$D$315,$D115))-1)))</f>
        <v/>
      </c>
      <c r="U115" s="16">
        <f>IF(OR($A115="",K115="",$C115=""),"",IF(COUNTIFS($A$5:$A$315,$A115,$C$5:$C$315,$C115-1,$D$5:$D$315,$D115,K$5:K$315,"&lt;&gt;")=0,"",IF(OR(SUMIFS(K$5:K$315,$A$5:$A$315,$A115,$C$5:$C$315,$C115-1,$D$5:$D$315,$D115)=0,K115*SUMIFS(K$5:K$315,$A$5:$A$315,$A115,$C$5:$C$315,$C115-1,$D$5:$D$315,$D115)&lt;0),"n.s.",ABS(K115)/ABS(SUMIFS(K$5:K$315,$A$5:$A$315,$A115,$C$5:$C$315,$C115-1,$D$5:$D$315,$D115))-1)))</f>
        <v/>
      </c>
      <c r="V115" s="16">
        <f>IF(OR($A115="",L115="",$C115=""),"",IF(COUNTIFS($A$5:$A$315,$A115,$C$5:$C$315,$C115-1,$D$5:$D$315,$D115,L$5:L$315,"&lt;&gt;")=0,"",IF(OR(SUMIFS(L$5:L$315,$A$5:$A$315,$A115,$C$5:$C$315,$C115-1,$D$5:$D$315,$D115)=0,L115*SUMIFS(L$5:L$315,$A$5:$A$315,$A115,$C$5:$C$315,$C115-1,$D$5:$D$315,$D115)&lt;0),"n.s.",ABS(L115)/ABS(SUMIFS(L$5:L$315,$A$5:$A$315,$A115,$C$5:$C$315,$C115-1,$D$5:$D$315,$D115))-1)))</f>
        <v/>
      </c>
      <c r="W115" s="16">
        <f>IF(OR($A115="",M115="",$C115=""),"",IF(COUNTIFS($A$5:$A$315,$A115,$C$5:$C$315,$C115-1,$D$5:$D$315,$D115,M$5:M$315,"&lt;&gt;")=0,"",IF(OR(SUMIFS(M$5:M$315,$A$5:$A$315,$A115,$C$5:$C$315,$C115-1,$D$5:$D$315,$D115)=0,M115*SUMIFS(M$5:M$315,$A$5:$A$315,$A115,$C$5:$C$315,$C115-1,$D$5:$D$315,$D115)&lt;0),"n.s.",ABS(M115)/ABS(SUMIFS(M$5:M$315,$A$5:$A$315,$A115,$C$5:$C$315,$C115-1,$D$5:$D$315,$D115))-1)))</f>
        <v/>
      </c>
      <c r="X115" s="16">
        <f>IF(OR($A115="",N115="",$C115=""),"",IF(COUNTIFS($A$5:$A$315,$A115,$C$5:$C$315,$C115-1,$D$5:$D$315,$D115,N$5:N$315,"&lt;&gt;")=0,"",IF(OR(SUMIFS(N$5:N$315,$A$5:$A$315,$A115,$C$5:$C$315,$C115-1,$D$5:$D$315,$D115)=0,N115*SUMIFS(N$5:N$315,$A$5:$A$315,$A115,$C$5:$C$315,$C115-1,$D$5:$D$315,$D115)&lt;0),"n.s.",ABS(N115)/ABS(SUMIFS(N$5:N$315,$A$5:$A$315,$A115,$C$5:$C$315,$C115-1,$D$5:$D$315,$D115))-1)))</f>
        <v/>
      </c>
      <c r="Y115" s="16">
        <f>IF(OR($A115="",O115="",$C115=""),"",IF(COUNTIFS($A$5:$A$315,$A115,$C$5:$C$315,$C115-1,$D$5:$D$315,$D115,O$5:O$315,"&lt;&gt;")=0,"",IF(OR(SUMIFS(O$5:O$315,$A$5:$A$315,$A115,$C$5:$C$315,$C115-1,$D$5:$D$315,$D115)=0,O115*SUMIFS(O$5:O$315,$A$5:$A$315,$A115,$C$5:$C$315,$C115-1,$D$5:$D$315,$D115)&lt;0),"n.s.",ABS(O115)/ABS(SUMIFS(O$5:O$315,$A$5:$A$315,$A115,$C$5:$C$315,$C115-1,$D$5:$D$315,$D115))-1)))</f>
        <v/>
      </c>
    </row>
    <row r="116">
      <c r="A116" s="9" t="inlineStr">
        <is>
          <t>BOAM</t>
        </is>
      </c>
      <c r="B116" s="10">
        <f>IF(A116="","",IFERROR(VLOOKUP(A116,Titres!$A$2:$B$400,2,FALSE),"Ticker inconnu"))</f>
        <v/>
      </c>
      <c r="C116" s="11" t="n">
        <v>2022</v>
      </c>
      <c r="D116" s="11" t="inlineStr">
        <is>
          <t>T1</t>
        </is>
      </c>
      <c r="E116" s="9" t="n"/>
      <c r="F116" s="12" t="n"/>
      <c r="G116" s="9" t="n"/>
      <c r="H116" s="13" t="n"/>
      <c r="I116" s="13" t="n"/>
      <c r="J116" s="13" t="n"/>
      <c r="K116" s="13" t="n"/>
      <c r="L116" s="13" t="n"/>
      <c r="M116" s="13" t="n"/>
      <c r="N116" s="13" t="n"/>
      <c r="O116" s="13" t="n"/>
      <c r="P116" s="14">
        <f>IF(A116="","",COUNT(H116:O116)/8)</f>
        <v/>
      </c>
      <c r="Q116" s="15">
        <f>IF(COUNT(H116:O116)=0,"",IF(LEN(IF(COUNT(H116,I116,J116)=3,IF(ABS(H116+I116-J116)&lt;=MAX(1,0.02*ABS(J116)),"","RBE &lt;&gt; PNB + frais "),"")&amp;IF(COUNT(J116,K116,L116)=3,IF(ABS(J116+K116-L116)&lt;=MAX(1,0.03*ABS(L116)),"","RAI &lt;&gt; RBE + coût du risque "),"")&amp;IF(COUNT(H116,M116)=2,IF(ABS(M116)&gt;ABS(H116),"RN &gt; PNB ",""),""))=0,"OK",IF(COUNT(H116,I116,J116)=3,IF(ABS(H116+I116-J116)&lt;=MAX(1,0.02*ABS(J116)),"","RBE &lt;&gt; PNB + frais "),"")&amp;IF(COUNT(J116,K116,L116)=3,IF(ABS(J116+K116-L116)&lt;=MAX(1,0.03*ABS(L116)),"","RAI &lt;&gt; RBE + coût du risque "),"")&amp;IF(COUNT(H116,M116)=2,IF(ABS(M116)&gt;ABS(H116),"RN &gt; PNB ",""),"")))</f>
        <v/>
      </c>
      <c r="R116" s="16">
        <f>IF(OR($A116="",H116="",$C116=""),"",IF(COUNTIFS($A$5:$A$315,$A116,$C$5:$C$315,$C116-1,$D$5:$D$315,$D116,H$5:H$315,"&lt;&gt;")=0,"",IF(OR(SUMIFS(H$5:H$315,$A$5:$A$315,$A116,$C$5:$C$315,$C116-1,$D$5:$D$315,$D116)=0,H116*SUMIFS(H$5:H$315,$A$5:$A$315,$A116,$C$5:$C$315,$C116-1,$D$5:$D$315,$D116)&lt;0),"n.s.",ABS(H116)/ABS(SUMIFS(H$5:H$315,$A$5:$A$315,$A116,$C$5:$C$315,$C116-1,$D$5:$D$315,$D116))-1)))</f>
        <v/>
      </c>
      <c r="S116" s="16">
        <f>IF(OR($A116="",I116="",$C116=""),"",IF(COUNTIFS($A$5:$A$315,$A116,$C$5:$C$315,$C116-1,$D$5:$D$315,$D116,I$5:I$315,"&lt;&gt;")=0,"",IF(OR(SUMIFS(I$5:I$315,$A$5:$A$315,$A116,$C$5:$C$315,$C116-1,$D$5:$D$315,$D116)=0,I116*SUMIFS(I$5:I$315,$A$5:$A$315,$A116,$C$5:$C$315,$C116-1,$D$5:$D$315,$D116)&lt;0),"n.s.",ABS(I116)/ABS(SUMIFS(I$5:I$315,$A$5:$A$315,$A116,$C$5:$C$315,$C116-1,$D$5:$D$315,$D116))-1)))</f>
        <v/>
      </c>
      <c r="T116" s="16">
        <f>IF(OR($A116="",J116="",$C116=""),"",IF(COUNTIFS($A$5:$A$315,$A116,$C$5:$C$315,$C116-1,$D$5:$D$315,$D116,J$5:J$315,"&lt;&gt;")=0,"",IF(OR(SUMIFS(J$5:J$315,$A$5:$A$315,$A116,$C$5:$C$315,$C116-1,$D$5:$D$315,$D116)=0,J116*SUMIFS(J$5:J$315,$A$5:$A$315,$A116,$C$5:$C$315,$C116-1,$D$5:$D$315,$D116)&lt;0),"n.s.",ABS(J116)/ABS(SUMIFS(J$5:J$315,$A$5:$A$315,$A116,$C$5:$C$315,$C116-1,$D$5:$D$315,$D116))-1)))</f>
        <v/>
      </c>
      <c r="U116" s="16">
        <f>IF(OR($A116="",K116="",$C116=""),"",IF(COUNTIFS($A$5:$A$315,$A116,$C$5:$C$315,$C116-1,$D$5:$D$315,$D116,K$5:K$315,"&lt;&gt;")=0,"",IF(OR(SUMIFS(K$5:K$315,$A$5:$A$315,$A116,$C$5:$C$315,$C116-1,$D$5:$D$315,$D116)=0,K116*SUMIFS(K$5:K$315,$A$5:$A$315,$A116,$C$5:$C$315,$C116-1,$D$5:$D$315,$D116)&lt;0),"n.s.",ABS(K116)/ABS(SUMIFS(K$5:K$315,$A$5:$A$315,$A116,$C$5:$C$315,$C116-1,$D$5:$D$315,$D116))-1)))</f>
        <v/>
      </c>
      <c r="V116" s="16">
        <f>IF(OR($A116="",L116="",$C116=""),"",IF(COUNTIFS($A$5:$A$315,$A116,$C$5:$C$315,$C116-1,$D$5:$D$315,$D116,L$5:L$315,"&lt;&gt;")=0,"",IF(OR(SUMIFS(L$5:L$315,$A$5:$A$315,$A116,$C$5:$C$315,$C116-1,$D$5:$D$315,$D116)=0,L116*SUMIFS(L$5:L$315,$A$5:$A$315,$A116,$C$5:$C$315,$C116-1,$D$5:$D$315,$D116)&lt;0),"n.s.",ABS(L116)/ABS(SUMIFS(L$5:L$315,$A$5:$A$315,$A116,$C$5:$C$315,$C116-1,$D$5:$D$315,$D116))-1)))</f>
        <v/>
      </c>
      <c r="W116" s="16">
        <f>IF(OR($A116="",M116="",$C116=""),"",IF(COUNTIFS($A$5:$A$315,$A116,$C$5:$C$315,$C116-1,$D$5:$D$315,$D116,M$5:M$315,"&lt;&gt;")=0,"",IF(OR(SUMIFS(M$5:M$315,$A$5:$A$315,$A116,$C$5:$C$315,$C116-1,$D$5:$D$315,$D116)=0,M116*SUMIFS(M$5:M$315,$A$5:$A$315,$A116,$C$5:$C$315,$C116-1,$D$5:$D$315,$D116)&lt;0),"n.s.",ABS(M116)/ABS(SUMIFS(M$5:M$315,$A$5:$A$315,$A116,$C$5:$C$315,$C116-1,$D$5:$D$315,$D116))-1)))</f>
        <v/>
      </c>
      <c r="X116" s="16">
        <f>IF(OR($A116="",N116="",$C116=""),"",IF(COUNTIFS($A$5:$A$315,$A116,$C$5:$C$315,$C116-1,$D$5:$D$315,$D116,N$5:N$315,"&lt;&gt;")=0,"",IF(OR(SUMIFS(N$5:N$315,$A$5:$A$315,$A116,$C$5:$C$315,$C116-1,$D$5:$D$315,$D116)=0,N116*SUMIFS(N$5:N$315,$A$5:$A$315,$A116,$C$5:$C$315,$C116-1,$D$5:$D$315,$D116)&lt;0),"n.s.",ABS(N116)/ABS(SUMIFS(N$5:N$315,$A$5:$A$315,$A116,$C$5:$C$315,$C116-1,$D$5:$D$315,$D116))-1)))</f>
        <v/>
      </c>
      <c r="Y116" s="16">
        <f>IF(OR($A116="",O116="",$C116=""),"",IF(COUNTIFS($A$5:$A$315,$A116,$C$5:$C$315,$C116-1,$D$5:$D$315,$D116,O$5:O$315,"&lt;&gt;")=0,"",IF(OR(SUMIFS(O$5:O$315,$A$5:$A$315,$A116,$C$5:$C$315,$C116-1,$D$5:$D$315,$D116)=0,O116*SUMIFS(O$5:O$315,$A$5:$A$315,$A116,$C$5:$C$315,$C116-1,$D$5:$D$315,$D116)&lt;0),"n.s.",ABS(O116)/ABS(SUMIFS(O$5:O$315,$A$5:$A$315,$A116,$C$5:$C$315,$C116-1,$D$5:$D$315,$D116))-1)))</f>
        <v/>
      </c>
    </row>
    <row r="117">
      <c r="A117" s="9" t="inlineStr">
        <is>
          <t>BOAM</t>
        </is>
      </c>
      <c r="B117" s="10">
        <f>IF(A117="","",IFERROR(VLOOKUP(A117,Titres!$A$2:$B$400,2,FALSE),"Ticker inconnu"))</f>
        <v/>
      </c>
      <c r="C117" s="11" t="n">
        <v>2022</v>
      </c>
      <c r="D117" s="11" t="inlineStr">
        <is>
          <t>S1</t>
        </is>
      </c>
      <c r="E117" s="9" t="n"/>
      <c r="F117" s="12" t="n"/>
      <c r="G117" s="9" t="n"/>
      <c r="H117" s="13" t="n"/>
      <c r="I117" s="13" t="n"/>
      <c r="J117" s="13" t="n"/>
      <c r="K117" s="13" t="n"/>
      <c r="L117" s="13" t="n"/>
      <c r="M117" s="13" t="n"/>
      <c r="N117" s="13" t="n"/>
      <c r="O117" s="13" t="n"/>
      <c r="P117" s="14">
        <f>IF(A117="","",COUNT(H117:O117)/8)</f>
        <v/>
      </c>
      <c r="Q117" s="15">
        <f>IF(COUNT(H117:O117)=0,"",IF(LEN(IF(COUNT(H117,I117,J117)=3,IF(ABS(H117+I117-J117)&lt;=MAX(1,0.02*ABS(J117)),"","RBE &lt;&gt; PNB + frais "),"")&amp;IF(COUNT(J117,K117,L117)=3,IF(ABS(J117+K117-L117)&lt;=MAX(1,0.03*ABS(L117)),"","RAI &lt;&gt; RBE + coût du risque "),"")&amp;IF(COUNT(H117,M117)=2,IF(ABS(M117)&gt;ABS(H117),"RN &gt; PNB ",""),""))=0,"OK",IF(COUNT(H117,I117,J117)=3,IF(ABS(H117+I117-J117)&lt;=MAX(1,0.02*ABS(J117)),"","RBE &lt;&gt; PNB + frais "),"")&amp;IF(COUNT(J117,K117,L117)=3,IF(ABS(J117+K117-L117)&lt;=MAX(1,0.03*ABS(L117)),"","RAI &lt;&gt; RBE + coût du risque "),"")&amp;IF(COUNT(H117,M117)=2,IF(ABS(M117)&gt;ABS(H117),"RN &gt; PNB ",""),"")))</f>
        <v/>
      </c>
      <c r="R117" s="16">
        <f>IF(OR($A117="",H117="",$C117=""),"",IF(COUNTIFS($A$5:$A$315,$A117,$C$5:$C$315,$C117-1,$D$5:$D$315,$D117,H$5:H$315,"&lt;&gt;")=0,"",IF(OR(SUMIFS(H$5:H$315,$A$5:$A$315,$A117,$C$5:$C$315,$C117-1,$D$5:$D$315,$D117)=0,H117*SUMIFS(H$5:H$315,$A$5:$A$315,$A117,$C$5:$C$315,$C117-1,$D$5:$D$315,$D117)&lt;0),"n.s.",ABS(H117)/ABS(SUMIFS(H$5:H$315,$A$5:$A$315,$A117,$C$5:$C$315,$C117-1,$D$5:$D$315,$D117))-1)))</f>
        <v/>
      </c>
      <c r="S117" s="16">
        <f>IF(OR($A117="",I117="",$C117=""),"",IF(COUNTIFS($A$5:$A$315,$A117,$C$5:$C$315,$C117-1,$D$5:$D$315,$D117,I$5:I$315,"&lt;&gt;")=0,"",IF(OR(SUMIFS(I$5:I$315,$A$5:$A$315,$A117,$C$5:$C$315,$C117-1,$D$5:$D$315,$D117)=0,I117*SUMIFS(I$5:I$315,$A$5:$A$315,$A117,$C$5:$C$315,$C117-1,$D$5:$D$315,$D117)&lt;0),"n.s.",ABS(I117)/ABS(SUMIFS(I$5:I$315,$A$5:$A$315,$A117,$C$5:$C$315,$C117-1,$D$5:$D$315,$D117))-1)))</f>
        <v/>
      </c>
      <c r="T117" s="16">
        <f>IF(OR($A117="",J117="",$C117=""),"",IF(COUNTIFS($A$5:$A$315,$A117,$C$5:$C$315,$C117-1,$D$5:$D$315,$D117,J$5:J$315,"&lt;&gt;")=0,"",IF(OR(SUMIFS(J$5:J$315,$A$5:$A$315,$A117,$C$5:$C$315,$C117-1,$D$5:$D$315,$D117)=0,J117*SUMIFS(J$5:J$315,$A$5:$A$315,$A117,$C$5:$C$315,$C117-1,$D$5:$D$315,$D117)&lt;0),"n.s.",ABS(J117)/ABS(SUMIFS(J$5:J$315,$A$5:$A$315,$A117,$C$5:$C$315,$C117-1,$D$5:$D$315,$D117))-1)))</f>
        <v/>
      </c>
      <c r="U117" s="16">
        <f>IF(OR($A117="",K117="",$C117=""),"",IF(COUNTIFS($A$5:$A$315,$A117,$C$5:$C$315,$C117-1,$D$5:$D$315,$D117,K$5:K$315,"&lt;&gt;")=0,"",IF(OR(SUMIFS(K$5:K$315,$A$5:$A$315,$A117,$C$5:$C$315,$C117-1,$D$5:$D$315,$D117)=0,K117*SUMIFS(K$5:K$315,$A$5:$A$315,$A117,$C$5:$C$315,$C117-1,$D$5:$D$315,$D117)&lt;0),"n.s.",ABS(K117)/ABS(SUMIFS(K$5:K$315,$A$5:$A$315,$A117,$C$5:$C$315,$C117-1,$D$5:$D$315,$D117))-1)))</f>
        <v/>
      </c>
      <c r="V117" s="16">
        <f>IF(OR($A117="",L117="",$C117=""),"",IF(COUNTIFS($A$5:$A$315,$A117,$C$5:$C$315,$C117-1,$D$5:$D$315,$D117,L$5:L$315,"&lt;&gt;")=0,"",IF(OR(SUMIFS(L$5:L$315,$A$5:$A$315,$A117,$C$5:$C$315,$C117-1,$D$5:$D$315,$D117)=0,L117*SUMIFS(L$5:L$315,$A$5:$A$315,$A117,$C$5:$C$315,$C117-1,$D$5:$D$315,$D117)&lt;0),"n.s.",ABS(L117)/ABS(SUMIFS(L$5:L$315,$A$5:$A$315,$A117,$C$5:$C$315,$C117-1,$D$5:$D$315,$D117))-1)))</f>
        <v/>
      </c>
      <c r="W117" s="16">
        <f>IF(OR($A117="",M117="",$C117=""),"",IF(COUNTIFS($A$5:$A$315,$A117,$C$5:$C$315,$C117-1,$D$5:$D$315,$D117,M$5:M$315,"&lt;&gt;")=0,"",IF(OR(SUMIFS(M$5:M$315,$A$5:$A$315,$A117,$C$5:$C$315,$C117-1,$D$5:$D$315,$D117)=0,M117*SUMIFS(M$5:M$315,$A$5:$A$315,$A117,$C$5:$C$315,$C117-1,$D$5:$D$315,$D117)&lt;0),"n.s.",ABS(M117)/ABS(SUMIFS(M$5:M$315,$A$5:$A$315,$A117,$C$5:$C$315,$C117-1,$D$5:$D$315,$D117))-1)))</f>
        <v/>
      </c>
      <c r="X117" s="16">
        <f>IF(OR($A117="",N117="",$C117=""),"",IF(COUNTIFS($A$5:$A$315,$A117,$C$5:$C$315,$C117-1,$D$5:$D$315,$D117,N$5:N$315,"&lt;&gt;")=0,"",IF(OR(SUMIFS(N$5:N$315,$A$5:$A$315,$A117,$C$5:$C$315,$C117-1,$D$5:$D$315,$D117)=0,N117*SUMIFS(N$5:N$315,$A$5:$A$315,$A117,$C$5:$C$315,$C117-1,$D$5:$D$315,$D117)&lt;0),"n.s.",ABS(N117)/ABS(SUMIFS(N$5:N$315,$A$5:$A$315,$A117,$C$5:$C$315,$C117-1,$D$5:$D$315,$D117))-1)))</f>
        <v/>
      </c>
      <c r="Y117" s="16">
        <f>IF(OR($A117="",O117="",$C117=""),"",IF(COUNTIFS($A$5:$A$315,$A117,$C$5:$C$315,$C117-1,$D$5:$D$315,$D117,O$5:O$315,"&lt;&gt;")=0,"",IF(OR(SUMIFS(O$5:O$315,$A$5:$A$315,$A117,$C$5:$C$315,$C117-1,$D$5:$D$315,$D117)=0,O117*SUMIFS(O$5:O$315,$A$5:$A$315,$A117,$C$5:$C$315,$C117-1,$D$5:$D$315,$D117)&lt;0),"n.s.",ABS(O117)/ABS(SUMIFS(O$5:O$315,$A$5:$A$315,$A117,$C$5:$C$315,$C117-1,$D$5:$D$315,$D117))-1)))</f>
        <v/>
      </c>
    </row>
    <row r="118">
      <c r="A118" s="9" t="inlineStr">
        <is>
          <t>BOAM</t>
        </is>
      </c>
      <c r="B118" s="10">
        <f>IF(A118="","",IFERROR(VLOOKUP(A118,Titres!$A$2:$B$400,2,FALSE),"Ticker inconnu"))</f>
        <v/>
      </c>
      <c r="C118" s="11" t="n">
        <v>2022</v>
      </c>
      <c r="D118" s="11" t="inlineStr">
        <is>
          <t>T3</t>
        </is>
      </c>
      <c r="E118" s="9" t="n"/>
      <c r="F118" s="12" t="n"/>
      <c r="G118" s="9" t="n"/>
      <c r="H118" s="13" t="n"/>
      <c r="I118" s="13" t="n"/>
      <c r="J118" s="13" t="n"/>
      <c r="K118" s="13" t="n"/>
      <c r="L118" s="13" t="n"/>
      <c r="M118" s="13" t="n"/>
      <c r="N118" s="13" t="n"/>
      <c r="O118" s="13" t="n"/>
      <c r="P118" s="14">
        <f>IF(A118="","",COUNT(H118:O118)/8)</f>
        <v/>
      </c>
      <c r="Q118" s="15">
        <f>IF(COUNT(H118:O118)=0,"",IF(LEN(IF(COUNT(H118,I118,J118)=3,IF(ABS(H118+I118-J118)&lt;=MAX(1,0.02*ABS(J118)),"","RBE &lt;&gt; PNB + frais "),"")&amp;IF(COUNT(J118,K118,L118)=3,IF(ABS(J118+K118-L118)&lt;=MAX(1,0.03*ABS(L118)),"","RAI &lt;&gt; RBE + coût du risque "),"")&amp;IF(COUNT(H118,M118)=2,IF(ABS(M118)&gt;ABS(H118),"RN &gt; PNB ",""),""))=0,"OK",IF(COUNT(H118,I118,J118)=3,IF(ABS(H118+I118-J118)&lt;=MAX(1,0.02*ABS(J118)),"","RBE &lt;&gt; PNB + frais "),"")&amp;IF(COUNT(J118,K118,L118)=3,IF(ABS(J118+K118-L118)&lt;=MAX(1,0.03*ABS(L118)),"","RAI &lt;&gt; RBE + coût du risque "),"")&amp;IF(COUNT(H118,M118)=2,IF(ABS(M118)&gt;ABS(H118),"RN &gt; PNB ",""),"")))</f>
        <v/>
      </c>
      <c r="R118" s="16">
        <f>IF(OR($A118="",H118="",$C118=""),"",IF(COUNTIFS($A$5:$A$315,$A118,$C$5:$C$315,$C118-1,$D$5:$D$315,$D118,H$5:H$315,"&lt;&gt;")=0,"",IF(OR(SUMIFS(H$5:H$315,$A$5:$A$315,$A118,$C$5:$C$315,$C118-1,$D$5:$D$315,$D118)=0,H118*SUMIFS(H$5:H$315,$A$5:$A$315,$A118,$C$5:$C$315,$C118-1,$D$5:$D$315,$D118)&lt;0),"n.s.",ABS(H118)/ABS(SUMIFS(H$5:H$315,$A$5:$A$315,$A118,$C$5:$C$315,$C118-1,$D$5:$D$315,$D118))-1)))</f>
        <v/>
      </c>
      <c r="S118" s="16">
        <f>IF(OR($A118="",I118="",$C118=""),"",IF(COUNTIFS($A$5:$A$315,$A118,$C$5:$C$315,$C118-1,$D$5:$D$315,$D118,I$5:I$315,"&lt;&gt;")=0,"",IF(OR(SUMIFS(I$5:I$315,$A$5:$A$315,$A118,$C$5:$C$315,$C118-1,$D$5:$D$315,$D118)=0,I118*SUMIFS(I$5:I$315,$A$5:$A$315,$A118,$C$5:$C$315,$C118-1,$D$5:$D$315,$D118)&lt;0),"n.s.",ABS(I118)/ABS(SUMIFS(I$5:I$315,$A$5:$A$315,$A118,$C$5:$C$315,$C118-1,$D$5:$D$315,$D118))-1)))</f>
        <v/>
      </c>
      <c r="T118" s="16">
        <f>IF(OR($A118="",J118="",$C118=""),"",IF(COUNTIFS($A$5:$A$315,$A118,$C$5:$C$315,$C118-1,$D$5:$D$315,$D118,J$5:J$315,"&lt;&gt;")=0,"",IF(OR(SUMIFS(J$5:J$315,$A$5:$A$315,$A118,$C$5:$C$315,$C118-1,$D$5:$D$315,$D118)=0,J118*SUMIFS(J$5:J$315,$A$5:$A$315,$A118,$C$5:$C$315,$C118-1,$D$5:$D$315,$D118)&lt;0),"n.s.",ABS(J118)/ABS(SUMIFS(J$5:J$315,$A$5:$A$315,$A118,$C$5:$C$315,$C118-1,$D$5:$D$315,$D118))-1)))</f>
        <v/>
      </c>
      <c r="U118" s="16">
        <f>IF(OR($A118="",K118="",$C118=""),"",IF(COUNTIFS($A$5:$A$315,$A118,$C$5:$C$315,$C118-1,$D$5:$D$315,$D118,K$5:K$315,"&lt;&gt;")=0,"",IF(OR(SUMIFS(K$5:K$315,$A$5:$A$315,$A118,$C$5:$C$315,$C118-1,$D$5:$D$315,$D118)=0,K118*SUMIFS(K$5:K$315,$A$5:$A$315,$A118,$C$5:$C$315,$C118-1,$D$5:$D$315,$D118)&lt;0),"n.s.",ABS(K118)/ABS(SUMIFS(K$5:K$315,$A$5:$A$315,$A118,$C$5:$C$315,$C118-1,$D$5:$D$315,$D118))-1)))</f>
        <v/>
      </c>
      <c r="V118" s="16">
        <f>IF(OR($A118="",L118="",$C118=""),"",IF(COUNTIFS($A$5:$A$315,$A118,$C$5:$C$315,$C118-1,$D$5:$D$315,$D118,L$5:L$315,"&lt;&gt;")=0,"",IF(OR(SUMIFS(L$5:L$315,$A$5:$A$315,$A118,$C$5:$C$315,$C118-1,$D$5:$D$315,$D118)=0,L118*SUMIFS(L$5:L$315,$A$5:$A$315,$A118,$C$5:$C$315,$C118-1,$D$5:$D$315,$D118)&lt;0),"n.s.",ABS(L118)/ABS(SUMIFS(L$5:L$315,$A$5:$A$315,$A118,$C$5:$C$315,$C118-1,$D$5:$D$315,$D118))-1)))</f>
        <v/>
      </c>
      <c r="W118" s="16">
        <f>IF(OR($A118="",M118="",$C118=""),"",IF(COUNTIFS($A$5:$A$315,$A118,$C$5:$C$315,$C118-1,$D$5:$D$315,$D118,M$5:M$315,"&lt;&gt;")=0,"",IF(OR(SUMIFS(M$5:M$315,$A$5:$A$315,$A118,$C$5:$C$315,$C118-1,$D$5:$D$315,$D118)=0,M118*SUMIFS(M$5:M$315,$A$5:$A$315,$A118,$C$5:$C$315,$C118-1,$D$5:$D$315,$D118)&lt;0),"n.s.",ABS(M118)/ABS(SUMIFS(M$5:M$315,$A$5:$A$315,$A118,$C$5:$C$315,$C118-1,$D$5:$D$315,$D118))-1)))</f>
        <v/>
      </c>
      <c r="X118" s="16">
        <f>IF(OR($A118="",N118="",$C118=""),"",IF(COUNTIFS($A$5:$A$315,$A118,$C$5:$C$315,$C118-1,$D$5:$D$315,$D118,N$5:N$315,"&lt;&gt;")=0,"",IF(OR(SUMIFS(N$5:N$315,$A$5:$A$315,$A118,$C$5:$C$315,$C118-1,$D$5:$D$315,$D118)=0,N118*SUMIFS(N$5:N$315,$A$5:$A$315,$A118,$C$5:$C$315,$C118-1,$D$5:$D$315,$D118)&lt;0),"n.s.",ABS(N118)/ABS(SUMIFS(N$5:N$315,$A$5:$A$315,$A118,$C$5:$C$315,$C118-1,$D$5:$D$315,$D118))-1)))</f>
        <v/>
      </c>
      <c r="Y118" s="16">
        <f>IF(OR($A118="",O118="",$C118=""),"",IF(COUNTIFS($A$5:$A$315,$A118,$C$5:$C$315,$C118-1,$D$5:$D$315,$D118,O$5:O$315,"&lt;&gt;")=0,"",IF(OR(SUMIFS(O$5:O$315,$A$5:$A$315,$A118,$C$5:$C$315,$C118-1,$D$5:$D$315,$D118)=0,O118*SUMIFS(O$5:O$315,$A$5:$A$315,$A118,$C$5:$C$315,$C118-1,$D$5:$D$315,$D118)&lt;0),"n.s.",ABS(O118)/ABS(SUMIFS(O$5:O$315,$A$5:$A$315,$A118,$C$5:$C$315,$C118-1,$D$5:$D$315,$D118))-1)))</f>
        <v/>
      </c>
    </row>
    <row r="119">
      <c r="A119" s="9" t="inlineStr">
        <is>
          <t>BOAM</t>
        </is>
      </c>
      <c r="B119" s="10">
        <f>IF(A119="","",IFERROR(VLOOKUP(A119,Titres!$A$2:$B$400,2,FALSE),"Ticker inconnu"))</f>
        <v/>
      </c>
      <c r="C119" s="11" t="n">
        <v>2023</v>
      </c>
      <c r="D119" s="11" t="inlineStr">
        <is>
          <t>T1</t>
        </is>
      </c>
      <c r="E119" s="9" t="n"/>
      <c r="F119" s="12" t="n"/>
      <c r="G119" s="9" t="n"/>
      <c r="H119" s="13" t="n"/>
      <c r="I119" s="13" t="n"/>
      <c r="J119" s="13" t="n"/>
      <c r="K119" s="13" t="n"/>
      <c r="L119" s="13" t="n"/>
      <c r="M119" s="13" t="n"/>
      <c r="N119" s="13" t="n"/>
      <c r="O119" s="13" t="n"/>
      <c r="P119" s="14">
        <f>IF(A119="","",COUNT(H119:O119)/8)</f>
        <v/>
      </c>
      <c r="Q119" s="15">
        <f>IF(COUNT(H119:O119)=0,"",IF(LEN(IF(COUNT(H119,I119,J119)=3,IF(ABS(H119+I119-J119)&lt;=MAX(1,0.02*ABS(J119)),"","RBE &lt;&gt; PNB + frais "),"")&amp;IF(COUNT(J119,K119,L119)=3,IF(ABS(J119+K119-L119)&lt;=MAX(1,0.03*ABS(L119)),"","RAI &lt;&gt; RBE + coût du risque "),"")&amp;IF(COUNT(H119,M119)=2,IF(ABS(M119)&gt;ABS(H119),"RN &gt; PNB ",""),""))=0,"OK",IF(COUNT(H119,I119,J119)=3,IF(ABS(H119+I119-J119)&lt;=MAX(1,0.02*ABS(J119)),"","RBE &lt;&gt; PNB + frais "),"")&amp;IF(COUNT(J119,K119,L119)=3,IF(ABS(J119+K119-L119)&lt;=MAX(1,0.03*ABS(L119)),"","RAI &lt;&gt; RBE + coût du risque "),"")&amp;IF(COUNT(H119,M119)=2,IF(ABS(M119)&gt;ABS(H119),"RN &gt; PNB ",""),"")))</f>
        <v/>
      </c>
      <c r="R119" s="16">
        <f>IF(OR($A119="",H119="",$C119=""),"",IF(COUNTIFS($A$5:$A$315,$A119,$C$5:$C$315,$C119-1,$D$5:$D$315,$D119,H$5:H$315,"&lt;&gt;")=0,"",IF(OR(SUMIFS(H$5:H$315,$A$5:$A$315,$A119,$C$5:$C$315,$C119-1,$D$5:$D$315,$D119)=0,H119*SUMIFS(H$5:H$315,$A$5:$A$315,$A119,$C$5:$C$315,$C119-1,$D$5:$D$315,$D119)&lt;0),"n.s.",ABS(H119)/ABS(SUMIFS(H$5:H$315,$A$5:$A$315,$A119,$C$5:$C$315,$C119-1,$D$5:$D$315,$D119))-1)))</f>
        <v/>
      </c>
      <c r="S119" s="16">
        <f>IF(OR($A119="",I119="",$C119=""),"",IF(COUNTIFS($A$5:$A$315,$A119,$C$5:$C$315,$C119-1,$D$5:$D$315,$D119,I$5:I$315,"&lt;&gt;")=0,"",IF(OR(SUMIFS(I$5:I$315,$A$5:$A$315,$A119,$C$5:$C$315,$C119-1,$D$5:$D$315,$D119)=0,I119*SUMIFS(I$5:I$315,$A$5:$A$315,$A119,$C$5:$C$315,$C119-1,$D$5:$D$315,$D119)&lt;0),"n.s.",ABS(I119)/ABS(SUMIFS(I$5:I$315,$A$5:$A$315,$A119,$C$5:$C$315,$C119-1,$D$5:$D$315,$D119))-1)))</f>
        <v/>
      </c>
      <c r="T119" s="16">
        <f>IF(OR($A119="",J119="",$C119=""),"",IF(COUNTIFS($A$5:$A$315,$A119,$C$5:$C$315,$C119-1,$D$5:$D$315,$D119,J$5:J$315,"&lt;&gt;")=0,"",IF(OR(SUMIFS(J$5:J$315,$A$5:$A$315,$A119,$C$5:$C$315,$C119-1,$D$5:$D$315,$D119)=0,J119*SUMIFS(J$5:J$315,$A$5:$A$315,$A119,$C$5:$C$315,$C119-1,$D$5:$D$315,$D119)&lt;0),"n.s.",ABS(J119)/ABS(SUMIFS(J$5:J$315,$A$5:$A$315,$A119,$C$5:$C$315,$C119-1,$D$5:$D$315,$D119))-1)))</f>
        <v/>
      </c>
      <c r="U119" s="16">
        <f>IF(OR($A119="",K119="",$C119=""),"",IF(COUNTIFS($A$5:$A$315,$A119,$C$5:$C$315,$C119-1,$D$5:$D$315,$D119,K$5:K$315,"&lt;&gt;")=0,"",IF(OR(SUMIFS(K$5:K$315,$A$5:$A$315,$A119,$C$5:$C$315,$C119-1,$D$5:$D$315,$D119)=0,K119*SUMIFS(K$5:K$315,$A$5:$A$315,$A119,$C$5:$C$315,$C119-1,$D$5:$D$315,$D119)&lt;0),"n.s.",ABS(K119)/ABS(SUMIFS(K$5:K$315,$A$5:$A$315,$A119,$C$5:$C$315,$C119-1,$D$5:$D$315,$D119))-1)))</f>
        <v/>
      </c>
      <c r="V119" s="16">
        <f>IF(OR($A119="",L119="",$C119=""),"",IF(COUNTIFS($A$5:$A$315,$A119,$C$5:$C$315,$C119-1,$D$5:$D$315,$D119,L$5:L$315,"&lt;&gt;")=0,"",IF(OR(SUMIFS(L$5:L$315,$A$5:$A$315,$A119,$C$5:$C$315,$C119-1,$D$5:$D$315,$D119)=0,L119*SUMIFS(L$5:L$315,$A$5:$A$315,$A119,$C$5:$C$315,$C119-1,$D$5:$D$315,$D119)&lt;0),"n.s.",ABS(L119)/ABS(SUMIFS(L$5:L$315,$A$5:$A$315,$A119,$C$5:$C$315,$C119-1,$D$5:$D$315,$D119))-1)))</f>
        <v/>
      </c>
      <c r="W119" s="16">
        <f>IF(OR($A119="",M119="",$C119=""),"",IF(COUNTIFS($A$5:$A$315,$A119,$C$5:$C$315,$C119-1,$D$5:$D$315,$D119,M$5:M$315,"&lt;&gt;")=0,"",IF(OR(SUMIFS(M$5:M$315,$A$5:$A$315,$A119,$C$5:$C$315,$C119-1,$D$5:$D$315,$D119)=0,M119*SUMIFS(M$5:M$315,$A$5:$A$315,$A119,$C$5:$C$315,$C119-1,$D$5:$D$315,$D119)&lt;0),"n.s.",ABS(M119)/ABS(SUMIFS(M$5:M$315,$A$5:$A$315,$A119,$C$5:$C$315,$C119-1,$D$5:$D$315,$D119))-1)))</f>
        <v/>
      </c>
      <c r="X119" s="16">
        <f>IF(OR($A119="",N119="",$C119=""),"",IF(COUNTIFS($A$5:$A$315,$A119,$C$5:$C$315,$C119-1,$D$5:$D$315,$D119,N$5:N$315,"&lt;&gt;")=0,"",IF(OR(SUMIFS(N$5:N$315,$A$5:$A$315,$A119,$C$5:$C$315,$C119-1,$D$5:$D$315,$D119)=0,N119*SUMIFS(N$5:N$315,$A$5:$A$315,$A119,$C$5:$C$315,$C119-1,$D$5:$D$315,$D119)&lt;0),"n.s.",ABS(N119)/ABS(SUMIFS(N$5:N$315,$A$5:$A$315,$A119,$C$5:$C$315,$C119-1,$D$5:$D$315,$D119))-1)))</f>
        <v/>
      </c>
      <c r="Y119" s="16">
        <f>IF(OR($A119="",O119="",$C119=""),"",IF(COUNTIFS($A$5:$A$315,$A119,$C$5:$C$315,$C119-1,$D$5:$D$315,$D119,O$5:O$315,"&lt;&gt;")=0,"",IF(OR(SUMIFS(O$5:O$315,$A$5:$A$315,$A119,$C$5:$C$315,$C119-1,$D$5:$D$315,$D119)=0,O119*SUMIFS(O$5:O$315,$A$5:$A$315,$A119,$C$5:$C$315,$C119-1,$D$5:$D$315,$D119)&lt;0),"n.s.",ABS(O119)/ABS(SUMIFS(O$5:O$315,$A$5:$A$315,$A119,$C$5:$C$315,$C119-1,$D$5:$D$315,$D119))-1)))</f>
        <v/>
      </c>
    </row>
    <row r="120">
      <c r="A120" s="9" t="inlineStr">
        <is>
          <t>BOAM</t>
        </is>
      </c>
      <c r="B120" s="10">
        <f>IF(A120="","",IFERROR(VLOOKUP(A120,Titres!$A$2:$B$400,2,FALSE),"Ticker inconnu"))</f>
        <v/>
      </c>
      <c r="C120" s="11" t="n">
        <v>2023</v>
      </c>
      <c r="D120" s="11" t="inlineStr">
        <is>
          <t>S1</t>
        </is>
      </c>
      <c r="E120" s="9" t="n"/>
      <c r="F120" s="12" t="n"/>
      <c r="G120" s="9" t="n"/>
      <c r="H120" s="13" t="n"/>
      <c r="I120" s="13" t="n"/>
      <c r="J120" s="13" t="n"/>
      <c r="K120" s="13" t="n"/>
      <c r="L120" s="13" t="n"/>
      <c r="M120" s="13" t="n"/>
      <c r="N120" s="13" t="n"/>
      <c r="O120" s="13" t="n"/>
      <c r="P120" s="14">
        <f>IF(A120="","",COUNT(H120:O120)/8)</f>
        <v/>
      </c>
      <c r="Q120" s="15">
        <f>IF(COUNT(H120:O120)=0,"",IF(LEN(IF(COUNT(H120,I120,J120)=3,IF(ABS(H120+I120-J120)&lt;=MAX(1,0.02*ABS(J120)),"","RBE &lt;&gt; PNB + frais "),"")&amp;IF(COUNT(J120,K120,L120)=3,IF(ABS(J120+K120-L120)&lt;=MAX(1,0.03*ABS(L120)),"","RAI &lt;&gt; RBE + coût du risque "),"")&amp;IF(COUNT(H120,M120)=2,IF(ABS(M120)&gt;ABS(H120),"RN &gt; PNB ",""),""))=0,"OK",IF(COUNT(H120,I120,J120)=3,IF(ABS(H120+I120-J120)&lt;=MAX(1,0.02*ABS(J120)),"","RBE &lt;&gt; PNB + frais "),"")&amp;IF(COUNT(J120,K120,L120)=3,IF(ABS(J120+K120-L120)&lt;=MAX(1,0.03*ABS(L120)),"","RAI &lt;&gt; RBE + coût du risque "),"")&amp;IF(COUNT(H120,M120)=2,IF(ABS(M120)&gt;ABS(H120),"RN &gt; PNB ",""),"")))</f>
        <v/>
      </c>
      <c r="R120" s="16">
        <f>IF(OR($A120="",H120="",$C120=""),"",IF(COUNTIFS($A$5:$A$315,$A120,$C$5:$C$315,$C120-1,$D$5:$D$315,$D120,H$5:H$315,"&lt;&gt;")=0,"",IF(OR(SUMIFS(H$5:H$315,$A$5:$A$315,$A120,$C$5:$C$315,$C120-1,$D$5:$D$315,$D120)=0,H120*SUMIFS(H$5:H$315,$A$5:$A$315,$A120,$C$5:$C$315,$C120-1,$D$5:$D$315,$D120)&lt;0),"n.s.",ABS(H120)/ABS(SUMIFS(H$5:H$315,$A$5:$A$315,$A120,$C$5:$C$315,$C120-1,$D$5:$D$315,$D120))-1)))</f>
        <v/>
      </c>
      <c r="S120" s="16">
        <f>IF(OR($A120="",I120="",$C120=""),"",IF(COUNTIFS($A$5:$A$315,$A120,$C$5:$C$315,$C120-1,$D$5:$D$315,$D120,I$5:I$315,"&lt;&gt;")=0,"",IF(OR(SUMIFS(I$5:I$315,$A$5:$A$315,$A120,$C$5:$C$315,$C120-1,$D$5:$D$315,$D120)=0,I120*SUMIFS(I$5:I$315,$A$5:$A$315,$A120,$C$5:$C$315,$C120-1,$D$5:$D$315,$D120)&lt;0),"n.s.",ABS(I120)/ABS(SUMIFS(I$5:I$315,$A$5:$A$315,$A120,$C$5:$C$315,$C120-1,$D$5:$D$315,$D120))-1)))</f>
        <v/>
      </c>
      <c r="T120" s="16">
        <f>IF(OR($A120="",J120="",$C120=""),"",IF(COUNTIFS($A$5:$A$315,$A120,$C$5:$C$315,$C120-1,$D$5:$D$315,$D120,J$5:J$315,"&lt;&gt;")=0,"",IF(OR(SUMIFS(J$5:J$315,$A$5:$A$315,$A120,$C$5:$C$315,$C120-1,$D$5:$D$315,$D120)=0,J120*SUMIFS(J$5:J$315,$A$5:$A$315,$A120,$C$5:$C$315,$C120-1,$D$5:$D$315,$D120)&lt;0),"n.s.",ABS(J120)/ABS(SUMIFS(J$5:J$315,$A$5:$A$315,$A120,$C$5:$C$315,$C120-1,$D$5:$D$315,$D120))-1)))</f>
        <v/>
      </c>
      <c r="U120" s="16">
        <f>IF(OR($A120="",K120="",$C120=""),"",IF(COUNTIFS($A$5:$A$315,$A120,$C$5:$C$315,$C120-1,$D$5:$D$315,$D120,K$5:K$315,"&lt;&gt;")=0,"",IF(OR(SUMIFS(K$5:K$315,$A$5:$A$315,$A120,$C$5:$C$315,$C120-1,$D$5:$D$315,$D120)=0,K120*SUMIFS(K$5:K$315,$A$5:$A$315,$A120,$C$5:$C$315,$C120-1,$D$5:$D$315,$D120)&lt;0),"n.s.",ABS(K120)/ABS(SUMIFS(K$5:K$315,$A$5:$A$315,$A120,$C$5:$C$315,$C120-1,$D$5:$D$315,$D120))-1)))</f>
        <v/>
      </c>
      <c r="V120" s="16">
        <f>IF(OR($A120="",L120="",$C120=""),"",IF(COUNTIFS($A$5:$A$315,$A120,$C$5:$C$315,$C120-1,$D$5:$D$315,$D120,L$5:L$315,"&lt;&gt;")=0,"",IF(OR(SUMIFS(L$5:L$315,$A$5:$A$315,$A120,$C$5:$C$315,$C120-1,$D$5:$D$315,$D120)=0,L120*SUMIFS(L$5:L$315,$A$5:$A$315,$A120,$C$5:$C$315,$C120-1,$D$5:$D$315,$D120)&lt;0),"n.s.",ABS(L120)/ABS(SUMIFS(L$5:L$315,$A$5:$A$315,$A120,$C$5:$C$315,$C120-1,$D$5:$D$315,$D120))-1)))</f>
        <v/>
      </c>
      <c r="W120" s="16">
        <f>IF(OR($A120="",M120="",$C120=""),"",IF(COUNTIFS($A$5:$A$315,$A120,$C$5:$C$315,$C120-1,$D$5:$D$315,$D120,M$5:M$315,"&lt;&gt;")=0,"",IF(OR(SUMIFS(M$5:M$315,$A$5:$A$315,$A120,$C$5:$C$315,$C120-1,$D$5:$D$315,$D120)=0,M120*SUMIFS(M$5:M$315,$A$5:$A$315,$A120,$C$5:$C$315,$C120-1,$D$5:$D$315,$D120)&lt;0),"n.s.",ABS(M120)/ABS(SUMIFS(M$5:M$315,$A$5:$A$315,$A120,$C$5:$C$315,$C120-1,$D$5:$D$315,$D120))-1)))</f>
        <v/>
      </c>
      <c r="X120" s="16">
        <f>IF(OR($A120="",N120="",$C120=""),"",IF(COUNTIFS($A$5:$A$315,$A120,$C$5:$C$315,$C120-1,$D$5:$D$315,$D120,N$5:N$315,"&lt;&gt;")=0,"",IF(OR(SUMIFS(N$5:N$315,$A$5:$A$315,$A120,$C$5:$C$315,$C120-1,$D$5:$D$315,$D120)=0,N120*SUMIFS(N$5:N$315,$A$5:$A$315,$A120,$C$5:$C$315,$C120-1,$D$5:$D$315,$D120)&lt;0),"n.s.",ABS(N120)/ABS(SUMIFS(N$5:N$315,$A$5:$A$315,$A120,$C$5:$C$315,$C120-1,$D$5:$D$315,$D120))-1)))</f>
        <v/>
      </c>
      <c r="Y120" s="16">
        <f>IF(OR($A120="",O120="",$C120=""),"",IF(COUNTIFS($A$5:$A$315,$A120,$C$5:$C$315,$C120-1,$D$5:$D$315,$D120,O$5:O$315,"&lt;&gt;")=0,"",IF(OR(SUMIFS(O$5:O$315,$A$5:$A$315,$A120,$C$5:$C$315,$C120-1,$D$5:$D$315,$D120)=0,O120*SUMIFS(O$5:O$315,$A$5:$A$315,$A120,$C$5:$C$315,$C120-1,$D$5:$D$315,$D120)&lt;0),"n.s.",ABS(O120)/ABS(SUMIFS(O$5:O$315,$A$5:$A$315,$A120,$C$5:$C$315,$C120-1,$D$5:$D$315,$D120))-1)))</f>
        <v/>
      </c>
    </row>
    <row r="121">
      <c r="A121" s="9" t="inlineStr">
        <is>
          <t>BOAM</t>
        </is>
      </c>
      <c r="B121" s="10">
        <f>IF(A121="","",IFERROR(VLOOKUP(A121,Titres!$A$2:$B$400,2,FALSE),"Ticker inconnu"))</f>
        <v/>
      </c>
      <c r="C121" s="11" t="n">
        <v>2023</v>
      </c>
      <c r="D121" s="11" t="inlineStr">
        <is>
          <t>T3</t>
        </is>
      </c>
      <c r="E121" s="9" t="n"/>
      <c r="F121" s="12" t="n"/>
      <c r="G121" s="9" t="n"/>
      <c r="H121" s="13" t="n"/>
      <c r="I121" s="13" t="n"/>
      <c r="J121" s="13" t="n"/>
      <c r="K121" s="13" t="n"/>
      <c r="L121" s="13" t="n"/>
      <c r="M121" s="13" t="n"/>
      <c r="N121" s="13" t="n"/>
      <c r="O121" s="13" t="n"/>
      <c r="P121" s="14">
        <f>IF(A121="","",COUNT(H121:O121)/8)</f>
        <v/>
      </c>
      <c r="Q121" s="15">
        <f>IF(COUNT(H121:O121)=0,"",IF(LEN(IF(COUNT(H121,I121,J121)=3,IF(ABS(H121+I121-J121)&lt;=MAX(1,0.02*ABS(J121)),"","RBE &lt;&gt; PNB + frais "),"")&amp;IF(COUNT(J121,K121,L121)=3,IF(ABS(J121+K121-L121)&lt;=MAX(1,0.03*ABS(L121)),"","RAI &lt;&gt; RBE + coût du risque "),"")&amp;IF(COUNT(H121,M121)=2,IF(ABS(M121)&gt;ABS(H121),"RN &gt; PNB ",""),""))=0,"OK",IF(COUNT(H121,I121,J121)=3,IF(ABS(H121+I121-J121)&lt;=MAX(1,0.02*ABS(J121)),"","RBE &lt;&gt; PNB + frais "),"")&amp;IF(COUNT(J121,K121,L121)=3,IF(ABS(J121+K121-L121)&lt;=MAX(1,0.03*ABS(L121)),"","RAI &lt;&gt; RBE + coût du risque "),"")&amp;IF(COUNT(H121,M121)=2,IF(ABS(M121)&gt;ABS(H121),"RN &gt; PNB ",""),"")))</f>
        <v/>
      </c>
      <c r="R121" s="16">
        <f>IF(OR($A121="",H121="",$C121=""),"",IF(COUNTIFS($A$5:$A$315,$A121,$C$5:$C$315,$C121-1,$D$5:$D$315,$D121,H$5:H$315,"&lt;&gt;")=0,"",IF(OR(SUMIFS(H$5:H$315,$A$5:$A$315,$A121,$C$5:$C$315,$C121-1,$D$5:$D$315,$D121)=0,H121*SUMIFS(H$5:H$315,$A$5:$A$315,$A121,$C$5:$C$315,$C121-1,$D$5:$D$315,$D121)&lt;0),"n.s.",ABS(H121)/ABS(SUMIFS(H$5:H$315,$A$5:$A$315,$A121,$C$5:$C$315,$C121-1,$D$5:$D$315,$D121))-1)))</f>
        <v/>
      </c>
      <c r="S121" s="16">
        <f>IF(OR($A121="",I121="",$C121=""),"",IF(COUNTIFS($A$5:$A$315,$A121,$C$5:$C$315,$C121-1,$D$5:$D$315,$D121,I$5:I$315,"&lt;&gt;")=0,"",IF(OR(SUMIFS(I$5:I$315,$A$5:$A$315,$A121,$C$5:$C$315,$C121-1,$D$5:$D$315,$D121)=0,I121*SUMIFS(I$5:I$315,$A$5:$A$315,$A121,$C$5:$C$315,$C121-1,$D$5:$D$315,$D121)&lt;0),"n.s.",ABS(I121)/ABS(SUMIFS(I$5:I$315,$A$5:$A$315,$A121,$C$5:$C$315,$C121-1,$D$5:$D$315,$D121))-1)))</f>
        <v/>
      </c>
      <c r="T121" s="16">
        <f>IF(OR($A121="",J121="",$C121=""),"",IF(COUNTIFS($A$5:$A$315,$A121,$C$5:$C$315,$C121-1,$D$5:$D$315,$D121,J$5:J$315,"&lt;&gt;")=0,"",IF(OR(SUMIFS(J$5:J$315,$A$5:$A$315,$A121,$C$5:$C$315,$C121-1,$D$5:$D$315,$D121)=0,J121*SUMIFS(J$5:J$315,$A$5:$A$315,$A121,$C$5:$C$315,$C121-1,$D$5:$D$315,$D121)&lt;0),"n.s.",ABS(J121)/ABS(SUMIFS(J$5:J$315,$A$5:$A$315,$A121,$C$5:$C$315,$C121-1,$D$5:$D$315,$D121))-1)))</f>
        <v/>
      </c>
      <c r="U121" s="16">
        <f>IF(OR($A121="",K121="",$C121=""),"",IF(COUNTIFS($A$5:$A$315,$A121,$C$5:$C$315,$C121-1,$D$5:$D$315,$D121,K$5:K$315,"&lt;&gt;")=0,"",IF(OR(SUMIFS(K$5:K$315,$A$5:$A$315,$A121,$C$5:$C$315,$C121-1,$D$5:$D$315,$D121)=0,K121*SUMIFS(K$5:K$315,$A$5:$A$315,$A121,$C$5:$C$315,$C121-1,$D$5:$D$315,$D121)&lt;0),"n.s.",ABS(K121)/ABS(SUMIFS(K$5:K$315,$A$5:$A$315,$A121,$C$5:$C$315,$C121-1,$D$5:$D$315,$D121))-1)))</f>
        <v/>
      </c>
      <c r="V121" s="16">
        <f>IF(OR($A121="",L121="",$C121=""),"",IF(COUNTIFS($A$5:$A$315,$A121,$C$5:$C$315,$C121-1,$D$5:$D$315,$D121,L$5:L$315,"&lt;&gt;")=0,"",IF(OR(SUMIFS(L$5:L$315,$A$5:$A$315,$A121,$C$5:$C$315,$C121-1,$D$5:$D$315,$D121)=0,L121*SUMIFS(L$5:L$315,$A$5:$A$315,$A121,$C$5:$C$315,$C121-1,$D$5:$D$315,$D121)&lt;0),"n.s.",ABS(L121)/ABS(SUMIFS(L$5:L$315,$A$5:$A$315,$A121,$C$5:$C$315,$C121-1,$D$5:$D$315,$D121))-1)))</f>
        <v/>
      </c>
      <c r="W121" s="16">
        <f>IF(OR($A121="",M121="",$C121=""),"",IF(COUNTIFS($A$5:$A$315,$A121,$C$5:$C$315,$C121-1,$D$5:$D$315,$D121,M$5:M$315,"&lt;&gt;")=0,"",IF(OR(SUMIFS(M$5:M$315,$A$5:$A$315,$A121,$C$5:$C$315,$C121-1,$D$5:$D$315,$D121)=0,M121*SUMIFS(M$5:M$315,$A$5:$A$315,$A121,$C$5:$C$315,$C121-1,$D$5:$D$315,$D121)&lt;0),"n.s.",ABS(M121)/ABS(SUMIFS(M$5:M$315,$A$5:$A$315,$A121,$C$5:$C$315,$C121-1,$D$5:$D$315,$D121))-1)))</f>
        <v/>
      </c>
      <c r="X121" s="16">
        <f>IF(OR($A121="",N121="",$C121=""),"",IF(COUNTIFS($A$5:$A$315,$A121,$C$5:$C$315,$C121-1,$D$5:$D$315,$D121,N$5:N$315,"&lt;&gt;")=0,"",IF(OR(SUMIFS(N$5:N$315,$A$5:$A$315,$A121,$C$5:$C$315,$C121-1,$D$5:$D$315,$D121)=0,N121*SUMIFS(N$5:N$315,$A$5:$A$315,$A121,$C$5:$C$315,$C121-1,$D$5:$D$315,$D121)&lt;0),"n.s.",ABS(N121)/ABS(SUMIFS(N$5:N$315,$A$5:$A$315,$A121,$C$5:$C$315,$C121-1,$D$5:$D$315,$D121))-1)))</f>
        <v/>
      </c>
      <c r="Y121" s="16">
        <f>IF(OR($A121="",O121="",$C121=""),"",IF(COUNTIFS($A$5:$A$315,$A121,$C$5:$C$315,$C121-1,$D$5:$D$315,$D121,O$5:O$315,"&lt;&gt;")=0,"",IF(OR(SUMIFS(O$5:O$315,$A$5:$A$315,$A121,$C$5:$C$315,$C121-1,$D$5:$D$315,$D121)=0,O121*SUMIFS(O$5:O$315,$A$5:$A$315,$A121,$C$5:$C$315,$C121-1,$D$5:$D$315,$D121)&lt;0),"n.s.",ABS(O121)/ABS(SUMIFS(O$5:O$315,$A$5:$A$315,$A121,$C$5:$C$315,$C121-1,$D$5:$D$315,$D121))-1)))</f>
        <v/>
      </c>
    </row>
    <row r="122">
      <c r="A122" s="9" t="inlineStr">
        <is>
          <t>BOAM</t>
        </is>
      </c>
      <c r="B122" s="10">
        <f>IF(A122="","",IFERROR(VLOOKUP(A122,Titres!$A$2:$B$400,2,FALSE),"Ticker inconnu"))</f>
        <v/>
      </c>
      <c r="C122" s="11" t="n">
        <v>2024</v>
      </c>
      <c r="D122" s="11" t="inlineStr">
        <is>
          <t>T1</t>
        </is>
      </c>
      <c r="E122" s="9" t="n"/>
      <c r="F122" s="12" t="n"/>
      <c r="G122" s="9" t="n"/>
      <c r="H122" s="13" t="n"/>
      <c r="I122" s="13" t="n"/>
      <c r="J122" s="13" t="n"/>
      <c r="K122" s="13" t="n"/>
      <c r="L122" s="13" t="n"/>
      <c r="M122" s="13" t="n"/>
      <c r="N122" s="13" t="n"/>
      <c r="O122" s="13" t="n"/>
      <c r="P122" s="14">
        <f>IF(A122="","",COUNT(H122:O122)/8)</f>
        <v/>
      </c>
      <c r="Q122" s="15">
        <f>IF(COUNT(H122:O122)=0,"",IF(LEN(IF(COUNT(H122,I122,J122)=3,IF(ABS(H122+I122-J122)&lt;=MAX(1,0.02*ABS(J122)),"","RBE &lt;&gt; PNB + frais "),"")&amp;IF(COUNT(J122,K122,L122)=3,IF(ABS(J122+K122-L122)&lt;=MAX(1,0.03*ABS(L122)),"","RAI &lt;&gt; RBE + coût du risque "),"")&amp;IF(COUNT(H122,M122)=2,IF(ABS(M122)&gt;ABS(H122),"RN &gt; PNB ",""),""))=0,"OK",IF(COUNT(H122,I122,J122)=3,IF(ABS(H122+I122-J122)&lt;=MAX(1,0.02*ABS(J122)),"","RBE &lt;&gt; PNB + frais "),"")&amp;IF(COUNT(J122,K122,L122)=3,IF(ABS(J122+K122-L122)&lt;=MAX(1,0.03*ABS(L122)),"","RAI &lt;&gt; RBE + coût du risque "),"")&amp;IF(COUNT(H122,M122)=2,IF(ABS(M122)&gt;ABS(H122),"RN &gt; PNB ",""),"")))</f>
        <v/>
      </c>
      <c r="R122" s="16">
        <f>IF(OR($A122="",H122="",$C122=""),"",IF(COUNTIFS($A$5:$A$315,$A122,$C$5:$C$315,$C122-1,$D$5:$D$315,$D122,H$5:H$315,"&lt;&gt;")=0,"",IF(OR(SUMIFS(H$5:H$315,$A$5:$A$315,$A122,$C$5:$C$315,$C122-1,$D$5:$D$315,$D122)=0,H122*SUMIFS(H$5:H$315,$A$5:$A$315,$A122,$C$5:$C$315,$C122-1,$D$5:$D$315,$D122)&lt;0),"n.s.",ABS(H122)/ABS(SUMIFS(H$5:H$315,$A$5:$A$315,$A122,$C$5:$C$315,$C122-1,$D$5:$D$315,$D122))-1)))</f>
        <v/>
      </c>
      <c r="S122" s="16">
        <f>IF(OR($A122="",I122="",$C122=""),"",IF(COUNTIFS($A$5:$A$315,$A122,$C$5:$C$315,$C122-1,$D$5:$D$315,$D122,I$5:I$315,"&lt;&gt;")=0,"",IF(OR(SUMIFS(I$5:I$315,$A$5:$A$315,$A122,$C$5:$C$315,$C122-1,$D$5:$D$315,$D122)=0,I122*SUMIFS(I$5:I$315,$A$5:$A$315,$A122,$C$5:$C$315,$C122-1,$D$5:$D$315,$D122)&lt;0),"n.s.",ABS(I122)/ABS(SUMIFS(I$5:I$315,$A$5:$A$315,$A122,$C$5:$C$315,$C122-1,$D$5:$D$315,$D122))-1)))</f>
        <v/>
      </c>
      <c r="T122" s="16">
        <f>IF(OR($A122="",J122="",$C122=""),"",IF(COUNTIFS($A$5:$A$315,$A122,$C$5:$C$315,$C122-1,$D$5:$D$315,$D122,J$5:J$315,"&lt;&gt;")=0,"",IF(OR(SUMIFS(J$5:J$315,$A$5:$A$315,$A122,$C$5:$C$315,$C122-1,$D$5:$D$315,$D122)=0,J122*SUMIFS(J$5:J$315,$A$5:$A$315,$A122,$C$5:$C$315,$C122-1,$D$5:$D$315,$D122)&lt;0),"n.s.",ABS(J122)/ABS(SUMIFS(J$5:J$315,$A$5:$A$315,$A122,$C$5:$C$315,$C122-1,$D$5:$D$315,$D122))-1)))</f>
        <v/>
      </c>
      <c r="U122" s="16">
        <f>IF(OR($A122="",K122="",$C122=""),"",IF(COUNTIFS($A$5:$A$315,$A122,$C$5:$C$315,$C122-1,$D$5:$D$315,$D122,K$5:K$315,"&lt;&gt;")=0,"",IF(OR(SUMIFS(K$5:K$315,$A$5:$A$315,$A122,$C$5:$C$315,$C122-1,$D$5:$D$315,$D122)=0,K122*SUMIFS(K$5:K$315,$A$5:$A$315,$A122,$C$5:$C$315,$C122-1,$D$5:$D$315,$D122)&lt;0),"n.s.",ABS(K122)/ABS(SUMIFS(K$5:K$315,$A$5:$A$315,$A122,$C$5:$C$315,$C122-1,$D$5:$D$315,$D122))-1)))</f>
        <v/>
      </c>
      <c r="V122" s="16">
        <f>IF(OR($A122="",L122="",$C122=""),"",IF(COUNTIFS($A$5:$A$315,$A122,$C$5:$C$315,$C122-1,$D$5:$D$315,$D122,L$5:L$315,"&lt;&gt;")=0,"",IF(OR(SUMIFS(L$5:L$315,$A$5:$A$315,$A122,$C$5:$C$315,$C122-1,$D$5:$D$315,$D122)=0,L122*SUMIFS(L$5:L$315,$A$5:$A$315,$A122,$C$5:$C$315,$C122-1,$D$5:$D$315,$D122)&lt;0),"n.s.",ABS(L122)/ABS(SUMIFS(L$5:L$315,$A$5:$A$315,$A122,$C$5:$C$315,$C122-1,$D$5:$D$315,$D122))-1)))</f>
        <v/>
      </c>
      <c r="W122" s="16">
        <f>IF(OR($A122="",M122="",$C122=""),"",IF(COUNTIFS($A$5:$A$315,$A122,$C$5:$C$315,$C122-1,$D$5:$D$315,$D122,M$5:M$315,"&lt;&gt;")=0,"",IF(OR(SUMIFS(M$5:M$315,$A$5:$A$315,$A122,$C$5:$C$315,$C122-1,$D$5:$D$315,$D122)=0,M122*SUMIFS(M$5:M$315,$A$5:$A$315,$A122,$C$5:$C$315,$C122-1,$D$5:$D$315,$D122)&lt;0),"n.s.",ABS(M122)/ABS(SUMIFS(M$5:M$315,$A$5:$A$315,$A122,$C$5:$C$315,$C122-1,$D$5:$D$315,$D122))-1)))</f>
        <v/>
      </c>
      <c r="X122" s="16">
        <f>IF(OR($A122="",N122="",$C122=""),"",IF(COUNTIFS($A$5:$A$315,$A122,$C$5:$C$315,$C122-1,$D$5:$D$315,$D122,N$5:N$315,"&lt;&gt;")=0,"",IF(OR(SUMIFS(N$5:N$315,$A$5:$A$315,$A122,$C$5:$C$315,$C122-1,$D$5:$D$315,$D122)=0,N122*SUMIFS(N$5:N$315,$A$5:$A$315,$A122,$C$5:$C$315,$C122-1,$D$5:$D$315,$D122)&lt;0),"n.s.",ABS(N122)/ABS(SUMIFS(N$5:N$315,$A$5:$A$315,$A122,$C$5:$C$315,$C122-1,$D$5:$D$315,$D122))-1)))</f>
        <v/>
      </c>
      <c r="Y122" s="16">
        <f>IF(OR($A122="",O122="",$C122=""),"",IF(COUNTIFS($A$5:$A$315,$A122,$C$5:$C$315,$C122-1,$D$5:$D$315,$D122,O$5:O$315,"&lt;&gt;")=0,"",IF(OR(SUMIFS(O$5:O$315,$A$5:$A$315,$A122,$C$5:$C$315,$C122-1,$D$5:$D$315,$D122)=0,O122*SUMIFS(O$5:O$315,$A$5:$A$315,$A122,$C$5:$C$315,$C122-1,$D$5:$D$315,$D122)&lt;0),"n.s.",ABS(O122)/ABS(SUMIFS(O$5:O$315,$A$5:$A$315,$A122,$C$5:$C$315,$C122-1,$D$5:$D$315,$D122))-1)))</f>
        <v/>
      </c>
    </row>
    <row r="123">
      <c r="A123" s="9" t="inlineStr">
        <is>
          <t>BOAM</t>
        </is>
      </c>
      <c r="B123" s="10">
        <f>IF(A123="","",IFERROR(VLOOKUP(A123,Titres!$A$2:$B$400,2,FALSE),"Ticker inconnu"))</f>
        <v/>
      </c>
      <c r="C123" s="11" t="n">
        <v>2024</v>
      </c>
      <c r="D123" s="11" t="inlineStr">
        <is>
          <t>S1</t>
        </is>
      </c>
      <c r="E123" s="9" t="n"/>
      <c r="F123" s="12" t="n"/>
      <c r="G123" s="9" t="n"/>
      <c r="H123" s="13" t="n"/>
      <c r="I123" s="13" t="n"/>
      <c r="J123" s="13" t="n"/>
      <c r="K123" s="13" t="n"/>
      <c r="L123" s="13" t="n"/>
      <c r="M123" s="13" t="n"/>
      <c r="N123" s="13" t="n"/>
      <c r="O123" s="13" t="n"/>
      <c r="P123" s="14">
        <f>IF(A123="","",COUNT(H123:O123)/8)</f>
        <v/>
      </c>
      <c r="Q123" s="15">
        <f>IF(COUNT(H123:O123)=0,"",IF(LEN(IF(COUNT(H123,I123,J123)=3,IF(ABS(H123+I123-J123)&lt;=MAX(1,0.02*ABS(J123)),"","RBE &lt;&gt; PNB + frais "),"")&amp;IF(COUNT(J123,K123,L123)=3,IF(ABS(J123+K123-L123)&lt;=MAX(1,0.03*ABS(L123)),"","RAI &lt;&gt; RBE + coût du risque "),"")&amp;IF(COUNT(H123,M123)=2,IF(ABS(M123)&gt;ABS(H123),"RN &gt; PNB ",""),""))=0,"OK",IF(COUNT(H123,I123,J123)=3,IF(ABS(H123+I123-J123)&lt;=MAX(1,0.02*ABS(J123)),"","RBE &lt;&gt; PNB + frais "),"")&amp;IF(COUNT(J123,K123,L123)=3,IF(ABS(J123+K123-L123)&lt;=MAX(1,0.03*ABS(L123)),"","RAI &lt;&gt; RBE + coût du risque "),"")&amp;IF(COUNT(H123,M123)=2,IF(ABS(M123)&gt;ABS(H123),"RN &gt; PNB ",""),"")))</f>
        <v/>
      </c>
      <c r="R123" s="16">
        <f>IF(OR($A123="",H123="",$C123=""),"",IF(COUNTIFS($A$5:$A$315,$A123,$C$5:$C$315,$C123-1,$D$5:$D$315,$D123,H$5:H$315,"&lt;&gt;")=0,"",IF(OR(SUMIFS(H$5:H$315,$A$5:$A$315,$A123,$C$5:$C$315,$C123-1,$D$5:$D$315,$D123)=0,H123*SUMIFS(H$5:H$315,$A$5:$A$315,$A123,$C$5:$C$315,$C123-1,$D$5:$D$315,$D123)&lt;0),"n.s.",ABS(H123)/ABS(SUMIFS(H$5:H$315,$A$5:$A$315,$A123,$C$5:$C$315,$C123-1,$D$5:$D$315,$D123))-1)))</f>
        <v/>
      </c>
      <c r="S123" s="16">
        <f>IF(OR($A123="",I123="",$C123=""),"",IF(COUNTIFS($A$5:$A$315,$A123,$C$5:$C$315,$C123-1,$D$5:$D$315,$D123,I$5:I$315,"&lt;&gt;")=0,"",IF(OR(SUMIFS(I$5:I$315,$A$5:$A$315,$A123,$C$5:$C$315,$C123-1,$D$5:$D$315,$D123)=0,I123*SUMIFS(I$5:I$315,$A$5:$A$315,$A123,$C$5:$C$315,$C123-1,$D$5:$D$315,$D123)&lt;0),"n.s.",ABS(I123)/ABS(SUMIFS(I$5:I$315,$A$5:$A$315,$A123,$C$5:$C$315,$C123-1,$D$5:$D$315,$D123))-1)))</f>
        <v/>
      </c>
      <c r="T123" s="16">
        <f>IF(OR($A123="",J123="",$C123=""),"",IF(COUNTIFS($A$5:$A$315,$A123,$C$5:$C$315,$C123-1,$D$5:$D$315,$D123,J$5:J$315,"&lt;&gt;")=0,"",IF(OR(SUMIFS(J$5:J$315,$A$5:$A$315,$A123,$C$5:$C$315,$C123-1,$D$5:$D$315,$D123)=0,J123*SUMIFS(J$5:J$315,$A$5:$A$315,$A123,$C$5:$C$315,$C123-1,$D$5:$D$315,$D123)&lt;0),"n.s.",ABS(J123)/ABS(SUMIFS(J$5:J$315,$A$5:$A$315,$A123,$C$5:$C$315,$C123-1,$D$5:$D$315,$D123))-1)))</f>
        <v/>
      </c>
      <c r="U123" s="16">
        <f>IF(OR($A123="",K123="",$C123=""),"",IF(COUNTIFS($A$5:$A$315,$A123,$C$5:$C$315,$C123-1,$D$5:$D$315,$D123,K$5:K$315,"&lt;&gt;")=0,"",IF(OR(SUMIFS(K$5:K$315,$A$5:$A$315,$A123,$C$5:$C$315,$C123-1,$D$5:$D$315,$D123)=0,K123*SUMIFS(K$5:K$315,$A$5:$A$315,$A123,$C$5:$C$315,$C123-1,$D$5:$D$315,$D123)&lt;0),"n.s.",ABS(K123)/ABS(SUMIFS(K$5:K$315,$A$5:$A$315,$A123,$C$5:$C$315,$C123-1,$D$5:$D$315,$D123))-1)))</f>
        <v/>
      </c>
      <c r="V123" s="16">
        <f>IF(OR($A123="",L123="",$C123=""),"",IF(COUNTIFS($A$5:$A$315,$A123,$C$5:$C$315,$C123-1,$D$5:$D$315,$D123,L$5:L$315,"&lt;&gt;")=0,"",IF(OR(SUMIFS(L$5:L$315,$A$5:$A$315,$A123,$C$5:$C$315,$C123-1,$D$5:$D$315,$D123)=0,L123*SUMIFS(L$5:L$315,$A$5:$A$315,$A123,$C$5:$C$315,$C123-1,$D$5:$D$315,$D123)&lt;0),"n.s.",ABS(L123)/ABS(SUMIFS(L$5:L$315,$A$5:$A$315,$A123,$C$5:$C$315,$C123-1,$D$5:$D$315,$D123))-1)))</f>
        <v/>
      </c>
      <c r="W123" s="16">
        <f>IF(OR($A123="",M123="",$C123=""),"",IF(COUNTIFS($A$5:$A$315,$A123,$C$5:$C$315,$C123-1,$D$5:$D$315,$D123,M$5:M$315,"&lt;&gt;")=0,"",IF(OR(SUMIFS(M$5:M$315,$A$5:$A$315,$A123,$C$5:$C$315,$C123-1,$D$5:$D$315,$D123)=0,M123*SUMIFS(M$5:M$315,$A$5:$A$315,$A123,$C$5:$C$315,$C123-1,$D$5:$D$315,$D123)&lt;0),"n.s.",ABS(M123)/ABS(SUMIFS(M$5:M$315,$A$5:$A$315,$A123,$C$5:$C$315,$C123-1,$D$5:$D$315,$D123))-1)))</f>
        <v/>
      </c>
      <c r="X123" s="16">
        <f>IF(OR($A123="",N123="",$C123=""),"",IF(COUNTIFS($A$5:$A$315,$A123,$C$5:$C$315,$C123-1,$D$5:$D$315,$D123,N$5:N$315,"&lt;&gt;")=0,"",IF(OR(SUMIFS(N$5:N$315,$A$5:$A$315,$A123,$C$5:$C$315,$C123-1,$D$5:$D$315,$D123)=0,N123*SUMIFS(N$5:N$315,$A$5:$A$315,$A123,$C$5:$C$315,$C123-1,$D$5:$D$315,$D123)&lt;0),"n.s.",ABS(N123)/ABS(SUMIFS(N$5:N$315,$A$5:$A$315,$A123,$C$5:$C$315,$C123-1,$D$5:$D$315,$D123))-1)))</f>
        <v/>
      </c>
      <c r="Y123" s="16">
        <f>IF(OR($A123="",O123="",$C123=""),"",IF(COUNTIFS($A$5:$A$315,$A123,$C$5:$C$315,$C123-1,$D$5:$D$315,$D123,O$5:O$315,"&lt;&gt;")=0,"",IF(OR(SUMIFS(O$5:O$315,$A$5:$A$315,$A123,$C$5:$C$315,$C123-1,$D$5:$D$315,$D123)=0,O123*SUMIFS(O$5:O$315,$A$5:$A$315,$A123,$C$5:$C$315,$C123-1,$D$5:$D$315,$D123)&lt;0),"n.s.",ABS(O123)/ABS(SUMIFS(O$5:O$315,$A$5:$A$315,$A123,$C$5:$C$315,$C123-1,$D$5:$D$315,$D123))-1)))</f>
        <v/>
      </c>
    </row>
    <row r="124">
      <c r="A124" s="9" t="inlineStr">
        <is>
          <t>BOAM</t>
        </is>
      </c>
      <c r="B124" s="10">
        <f>IF(A124="","",IFERROR(VLOOKUP(A124,Titres!$A$2:$B$400,2,FALSE),"Ticker inconnu"))</f>
        <v/>
      </c>
      <c r="C124" s="11" t="n">
        <v>2024</v>
      </c>
      <c r="D124" s="11" t="inlineStr">
        <is>
          <t>T3</t>
        </is>
      </c>
      <c r="E124" s="9" t="n"/>
      <c r="F124" s="12" t="n"/>
      <c r="G124" s="9" t="n"/>
      <c r="H124" s="13" t="n"/>
      <c r="I124" s="13" t="n"/>
      <c r="J124" s="13" t="n"/>
      <c r="K124" s="13" t="n"/>
      <c r="L124" s="13" t="n"/>
      <c r="M124" s="13" t="n"/>
      <c r="N124" s="13" t="n"/>
      <c r="O124" s="13" t="n"/>
      <c r="P124" s="14">
        <f>IF(A124="","",COUNT(H124:O124)/8)</f>
        <v/>
      </c>
      <c r="Q124" s="15">
        <f>IF(COUNT(H124:O124)=0,"",IF(LEN(IF(COUNT(H124,I124,J124)=3,IF(ABS(H124+I124-J124)&lt;=MAX(1,0.02*ABS(J124)),"","RBE &lt;&gt; PNB + frais "),"")&amp;IF(COUNT(J124,K124,L124)=3,IF(ABS(J124+K124-L124)&lt;=MAX(1,0.03*ABS(L124)),"","RAI &lt;&gt; RBE + coût du risque "),"")&amp;IF(COUNT(H124,M124)=2,IF(ABS(M124)&gt;ABS(H124),"RN &gt; PNB ",""),""))=0,"OK",IF(COUNT(H124,I124,J124)=3,IF(ABS(H124+I124-J124)&lt;=MAX(1,0.02*ABS(J124)),"","RBE &lt;&gt; PNB + frais "),"")&amp;IF(COUNT(J124,K124,L124)=3,IF(ABS(J124+K124-L124)&lt;=MAX(1,0.03*ABS(L124)),"","RAI &lt;&gt; RBE + coût du risque "),"")&amp;IF(COUNT(H124,M124)=2,IF(ABS(M124)&gt;ABS(H124),"RN &gt; PNB ",""),"")))</f>
        <v/>
      </c>
      <c r="R124" s="16">
        <f>IF(OR($A124="",H124="",$C124=""),"",IF(COUNTIFS($A$5:$A$315,$A124,$C$5:$C$315,$C124-1,$D$5:$D$315,$D124,H$5:H$315,"&lt;&gt;")=0,"",IF(OR(SUMIFS(H$5:H$315,$A$5:$A$315,$A124,$C$5:$C$315,$C124-1,$D$5:$D$315,$D124)=0,H124*SUMIFS(H$5:H$315,$A$5:$A$315,$A124,$C$5:$C$315,$C124-1,$D$5:$D$315,$D124)&lt;0),"n.s.",ABS(H124)/ABS(SUMIFS(H$5:H$315,$A$5:$A$315,$A124,$C$5:$C$315,$C124-1,$D$5:$D$315,$D124))-1)))</f>
        <v/>
      </c>
      <c r="S124" s="16">
        <f>IF(OR($A124="",I124="",$C124=""),"",IF(COUNTIFS($A$5:$A$315,$A124,$C$5:$C$315,$C124-1,$D$5:$D$315,$D124,I$5:I$315,"&lt;&gt;")=0,"",IF(OR(SUMIFS(I$5:I$315,$A$5:$A$315,$A124,$C$5:$C$315,$C124-1,$D$5:$D$315,$D124)=0,I124*SUMIFS(I$5:I$315,$A$5:$A$315,$A124,$C$5:$C$315,$C124-1,$D$5:$D$315,$D124)&lt;0),"n.s.",ABS(I124)/ABS(SUMIFS(I$5:I$315,$A$5:$A$315,$A124,$C$5:$C$315,$C124-1,$D$5:$D$315,$D124))-1)))</f>
        <v/>
      </c>
      <c r="T124" s="16">
        <f>IF(OR($A124="",J124="",$C124=""),"",IF(COUNTIFS($A$5:$A$315,$A124,$C$5:$C$315,$C124-1,$D$5:$D$315,$D124,J$5:J$315,"&lt;&gt;")=0,"",IF(OR(SUMIFS(J$5:J$315,$A$5:$A$315,$A124,$C$5:$C$315,$C124-1,$D$5:$D$315,$D124)=0,J124*SUMIFS(J$5:J$315,$A$5:$A$315,$A124,$C$5:$C$315,$C124-1,$D$5:$D$315,$D124)&lt;0),"n.s.",ABS(J124)/ABS(SUMIFS(J$5:J$315,$A$5:$A$315,$A124,$C$5:$C$315,$C124-1,$D$5:$D$315,$D124))-1)))</f>
        <v/>
      </c>
      <c r="U124" s="16">
        <f>IF(OR($A124="",K124="",$C124=""),"",IF(COUNTIFS($A$5:$A$315,$A124,$C$5:$C$315,$C124-1,$D$5:$D$315,$D124,K$5:K$315,"&lt;&gt;")=0,"",IF(OR(SUMIFS(K$5:K$315,$A$5:$A$315,$A124,$C$5:$C$315,$C124-1,$D$5:$D$315,$D124)=0,K124*SUMIFS(K$5:K$315,$A$5:$A$315,$A124,$C$5:$C$315,$C124-1,$D$5:$D$315,$D124)&lt;0),"n.s.",ABS(K124)/ABS(SUMIFS(K$5:K$315,$A$5:$A$315,$A124,$C$5:$C$315,$C124-1,$D$5:$D$315,$D124))-1)))</f>
        <v/>
      </c>
      <c r="V124" s="16">
        <f>IF(OR($A124="",L124="",$C124=""),"",IF(COUNTIFS($A$5:$A$315,$A124,$C$5:$C$315,$C124-1,$D$5:$D$315,$D124,L$5:L$315,"&lt;&gt;")=0,"",IF(OR(SUMIFS(L$5:L$315,$A$5:$A$315,$A124,$C$5:$C$315,$C124-1,$D$5:$D$315,$D124)=0,L124*SUMIFS(L$5:L$315,$A$5:$A$315,$A124,$C$5:$C$315,$C124-1,$D$5:$D$315,$D124)&lt;0),"n.s.",ABS(L124)/ABS(SUMIFS(L$5:L$315,$A$5:$A$315,$A124,$C$5:$C$315,$C124-1,$D$5:$D$315,$D124))-1)))</f>
        <v/>
      </c>
      <c r="W124" s="16">
        <f>IF(OR($A124="",M124="",$C124=""),"",IF(COUNTIFS($A$5:$A$315,$A124,$C$5:$C$315,$C124-1,$D$5:$D$315,$D124,M$5:M$315,"&lt;&gt;")=0,"",IF(OR(SUMIFS(M$5:M$315,$A$5:$A$315,$A124,$C$5:$C$315,$C124-1,$D$5:$D$315,$D124)=0,M124*SUMIFS(M$5:M$315,$A$5:$A$315,$A124,$C$5:$C$315,$C124-1,$D$5:$D$315,$D124)&lt;0),"n.s.",ABS(M124)/ABS(SUMIFS(M$5:M$315,$A$5:$A$315,$A124,$C$5:$C$315,$C124-1,$D$5:$D$315,$D124))-1)))</f>
        <v/>
      </c>
      <c r="X124" s="16">
        <f>IF(OR($A124="",N124="",$C124=""),"",IF(COUNTIFS($A$5:$A$315,$A124,$C$5:$C$315,$C124-1,$D$5:$D$315,$D124,N$5:N$315,"&lt;&gt;")=0,"",IF(OR(SUMIFS(N$5:N$315,$A$5:$A$315,$A124,$C$5:$C$315,$C124-1,$D$5:$D$315,$D124)=0,N124*SUMIFS(N$5:N$315,$A$5:$A$315,$A124,$C$5:$C$315,$C124-1,$D$5:$D$315,$D124)&lt;0),"n.s.",ABS(N124)/ABS(SUMIFS(N$5:N$315,$A$5:$A$315,$A124,$C$5:$C$315,$C124-1,$D$5:$D$315,$D124))-1)))</f>
        <v/>
      </c>
      <c r="Y124" s="16">
        <f>IF(OR($A124="",O124="",$C124=""),"",IF(COUNTIFS($A$5:$A$315,$A124,$C$5:$C$315,$C124-1,$D$5:$D$315,$D124,O$5:O$315,"&lt;&gt;")=0,"",IF(OR(SUMIFS(O$5:O$315,$A$5:$A$315,$A124,$C$5:$C$315,$C124-1,$D$5:$D$315,$D124)=0,O124*SUMIFS(O$5:O$315,$A$5:$A$315,$A124,$C$5:$C$315,$C124-1,$D$5:$D$315,$D124)&lt;0),"n.s.",ABS(O124)/ABS(SUMIFS(O$5:O$315,$A$5:$A$315,$A124,$C$5:$C$315,$C124-1,$D$5:$D$315,$D124))-1)))</f>
        <v/>
      </c>
    </row>
    <row r="125">
      <c r="A125" s="9" t="inlineStr">
        <is>
          <t>BOAM</t>
        </is>
      </c>
      <c r="B125" s="10">
        <f>IF(A125="","",IFERROR(VLOOKUP(A125,Titres!$A$2:$B$400,2,FALSE),"Ticker inconnu"))</f>
        <v/>
      </c>
      <c r="C125" s="11" t="n">
        <v>2025</v>
      </c>
      <c r="D125" s="11" t="inlineStr">
        <is>
          <t>T1</t>
        </is>
      </c>
      <c r="E125" s="9" t="n"/>
      <c r="F125" s="12" t="n"/>
      <c r="G125" s="9" t="n"/>
      <c r="H125" s="13" t="n"/>
      <c r="I125" s="13" t="n"/>
      <c r="J125" s="13" t="n"/>
      <c r="K125" s="13" t="n"/>
      <c r="L125" s="13" t="n"/>
      <c r="M125" s="13" t="n"/>
      <c r="N125" s="13" t="n"/>
      <c r="O125" s="13" t="n"/>
      <c r="P125" s="14">
        <f>IF(A125="","",COUNT(H125:O125)/8)</f>
        <v/>
      </c>
      <c r="Q125" s="15">
        <f>IF(COUNT(H125:O125)=0,"",IF(LEN(IF(COUNT(H125,I125,J125)=3,IF(ABS(H125+I125-J125)&lt;=MAX(1,0.02*ABS(J125)),"","RBE &lt;&gt; PNB + frais "),"")&amp;IF(COUNT(J125,K125,L125)=3,IF(ABS(J125+K125-L125)&lt;=MAX(1,0.03*ABS(L125)),"","RAI &lt;&gt; RBE + coût du risque "),"")&amp;IF(COUNT(H125,M125)=2,IF(ABS(M125)&gt;ABS(H125),"RN &gt; PNB ",""),""))=0,"OK",IF(COUNT(H125,I125,J125)=3,IF(ABS(H125+I125-J125)&lt;=MAX(1,0.02*ABS(J125)),"","RBE &lt;&gt; PNB + frais "),"")&amp;IF(COUNT(J125,K125,L125)=3,IF(ABS(J125+K125-L125)&lt;=MAX(1,0.03*ABS(L125)),"","RAI &lt;&gt; RBE + coût du risque "),"")&amp;IF(COUNT(H125,M125)=2,IF(ABS(M125)&gt;ABS(H125),"RN &gt; PNB ",""),"")))</f>
        <v/>
      </c>
      <c r="R125" s="16">
        <f>IF(OR($A125="",H125="",$C125=""),"",IF(COUNTIFS($A$5:$A$315,$A125,$C$5:$C$315,$C125-1,$D$5:$D$315,$D125,H$5:H$315,"&lt;&gt;")=0,"",IF(OR(SUMIFS(H$5:H$315,$A$5:$A$315,$A125,$C$5:$C$315,$C125-1,$D$5:$D$315,$D125)=0,H125*SUMIFS(H$5:H$315,$A$5:$A$315,$A125,$C$5:$C$315,$C125-1,$D$5:$D$315,$D125)&lt;0),"n.s.",ABS(H125)/ABS(SUMIFS(H$5:H$315,$A$5:$A$315,$A125,$C$5:$C$315,$C125-1,$D$5:$D$315,$D125))-1)))</f>
        <v/>
      </c>
      <c r="S125" s="16">
        <f>IF(OR($A125="",I125="",$C125=""),"",IF(COUNTIFS($A$5:$A$315,$A125,$C$5:$C$315,$C125-1,$D$5:$D$315,$D125,I$5:I$315,"&lt;&gt;")=0,"",IF(OR(SUMIFS(I$5:I$315,$A$5:$A$315,$A125,$C$5:$C$315,$C125-1,$D$5:$D$315,$D125)=0,I125*SUMIFS(I$5:I$315,$A$5:$A$315,$A125,$C$5:$C$315,$C125-1,$D$5:$D$315,$D125)&lt;0),"n.s.",ABS(I125)/ABS(SUMIFS(I$5:I$315,$A$5:$A$315,$A125,$C$5:$C$315,$C125-1,$D$5:$D$315,$D125))-1)))</f>
        <v/>
      </c>
      <c r="T125" s="16">
        <f>IF(OR($A125="",J125="",$C125=""),"",IF(COUNTIFS($A$5:$A$315,$A125,$C$5:$C$315,$C125-1,$D$5:$D$315,$D125,J$5:J$315,"&lt;&gt;")=0,"",IF(OR(SUMIFS(J$5:J$315,$A$5:$A$315,$A125,$C$5:$C$315,$C125-1,$D$5:$D$315,$D125)=0,J125*SUMIFS(J$5:J$315,$A$5:$A$315,$A125,$C$5:$C$315,$C125-1,$D$5:$D$315,$D125)&lt;0),"n.s.",ABS(J125)/ABS(SUMIFS(J$5:J$315,$A$5:$A$315,$A125,$C$5:$C$315,$C125-1,$D$5:$D$315,$D125))-1)))</f>
        <v/>
      </c>
      <c r="U125" s="16">
        <f>IF(OR($A125="",K125="",$C125=""),"",IF(COUNTIFS($A$5:$A$315,$A125,$C$5:$C$315,$C125-1,$D$5:$D$315,$D125,K$5:K$315,"&lt;&gt;")=0,"",IF(OR(SUMIFS(K$5:K$315,$A$5:$A$315,$A125,$C$5:$C$315,$C125-1,$D$5:$D$315,$D125)=0,K125*SUMIFS(K$5:K$315,$A$5:$A$315,$A125,$C$5:$C$315,$C125-1,$D$5:$D$315,$D125)&lt;0),"n.s.",ABS(K125)/ABS(SUMIFS(K$5:K$315,$A$5:$A$315,$A125,$C$5:$C$315,$C125-1,$D$5:$D$315,$D125))-1)))</f>
        <v/>
      </c>
      <c r="V125" s="16">
        <f>IF(OR($A125="",L125="",$C125=""),"",IF(COUNTIFS($A$5:$A$315,$A125,$C$5:$C$315,$C125-1,$D$5:$D$315,$D125,L$5:L$315,"&lt;&gt;")=0,"",IF(OR(SUMIFS(L$5:L$315,$A$5:$A$315,$A125,$C$5:$C$315,$C125-1,$D$5:$D$315,$D125)=0,L125*SUMIFS(L$5:L$315,$A$5:$A$315,$A125,$C$5:$C$315,$C125-1,$D$5:$D$315,$D125)&lt;0),"n.s.",ABS(L125)/ABS(SUMIFS(L$5:L$315,$A$5:$A$315,$A125,$C$5:$C$315,$C125-1,$D$5:$D$315,$D125))-1)))</f>
        <v/>
      </c>
      <c r="W125" s="16">
        <f>IF(OR($A125="",M125="",$C125=""),"",IF(COUNTIFS($A$5:$A$315,$A125,$C$5:$C$315,$C125-1,$D$5:$D$315,$D125,M$5:M$315,"&lt;&gt;")=0,"",IF(OR(SUMIFS(M$5:M$315,$A$5:$A$315,$A125,$C$5:$C$315,$C125-1,$D$5:$D$315,$D125)=0,M125*SUMIFS(M$5:M$315,$A$5:$A$315,$A125,$C$5:$C$315,$C125-1,$D$5:$D$315,$D125)&lt;0),"n.s.",ABS(M125)/ABS(SUMIFS(M$5:M$315,$A$5:$A$315,$A125,$C$5:$C$315,$C125-1,$D$5:$D$315,$D125))-1)))</f>
        <v/>
      </c>
      <c r="X125" s="16">
        <f>IF(OR($A125="",N125="",$C125=""),"",IF(COUNTIFS($A$5:$A$315,$A125,$C$5:$C$315,$C125-1,$D$5:$D$315,$D125,N$5:N$315,"&lt;&gt;")=0,"",IF(OR(SUMIFS(N$5:N$315,$A$5:$A$315,$A125,$C$5:$C$315,$C125-1,$D$5:$D$315,$D125)=0,N125*SUMIFS(N$5:N$315,$A$5:$A$315,$A125,$C$5:$C$315,$C125-1,$D$5:$D$315,$D125)&lt;0),"n.s.",ABS(N125)/ABS(SUMIFS(N$5:N$315,$A$5:$A$315,$A125,$C$5:$C$315,$C125-1,$D$5:$D$315,$D125))-1)))</f>
        <v/>
      </c>
      <c r="Y125" s="16">
        <f>IF(OR($A125="",O125="",$C125=""),"",IF(COUNTIFS($A$5:$A$315,$A125,$C$5:$C$315,$C125-1,$D$5:$D$315,$D125,O$5:O$315,"&lt;&gt;")=0,"",IF(OR(SUMIFS(O$5:O$315,$A$5:$A$315,$A125,$C$5:$C$315,$C125-1,$D$5:$D$315,$D125)=0,O125*SUMIFS(O$5:O$315,$A$5:$A$315,$A125,$C$5:$C$315,$C125-1,$D$5:$D$315,$D125)&lt;0),"n.s.",ABS(O125)/ABS(SUMIFS(O$5:O$315,$A$5:$A$315,$A125,$C$5:$C$315,$C125-1,$D$5:$D$315,$D125))-1)))</f>
        <v/>
      </c>
    </row>
    <row r="126">
      <c r="A126" s="9" t="inlineStr">
        <is>
          <t>BOAM</t>
        </is>
      </c>
      <c r="B126" s="10">
        <f>IF(A126="","",IFERROR(VLOOKUP(A126,Titres!$A$2:$B$400,2,FALSE),"Ticker inconnu"))</f>
        <v/>
      </c>
      <c r="C126" s="11" t="n">
        <v>2025</v>
      </c>
      <c r="D126" s="11" t="inlineStr">
        <is>
          <t>S1</t>
        </is>
      </c>
      <c r="E126" s="9" t="inlineStr">
        <is>
          <t>Publié</t>
        </is>
      </c>
      <c r="F126" s="12" t="n">
        <v>46288</v>
      </c>
      <c r="G126" s="9" t="inlineStr">
        <is>
          <t>https://www.richbourse.com/common/actualite/afficher-fichier/23-09-2026-boa-mali-rapport-dactivites-1er-semestre-2026 (comparatif N-1)</t>
        </is>
      </c>
      <c r="H126" s="13" t="n">
        <v>18713</v>
      </c>
      <c r="I126" s="13" t="n">
        <v>-10357</v>
      </c>
      <c r="J126" s="13" t="n">
        <v>8355</v>
      </c>
      <c r="K126" s="13" t="n">
        <v>-3664</v>
      </c>
      <c r="L126" s="13" t="n"/>
      <c r="M126" s="13" t="n">
        <v>6206</v>
      </c>
      <c r="N126" s="13" t="n"/>
      <c r="O126" s="13" t="n"/>
      <c r="P126" s="14">
        <f>IF(A126="","",COUNT(H126:O126)/8)</f>
        <v/>
      </c>
      <c r="Q126" s="15">
        <f>IF(COUNT(H126:O126)=0,"",IF(LEN(IF(COUNT(H126,I126,J126)=3,IF(ABS(H126+I126-J126)&lt;=MAX(1,0.02*ABS(J126)),"","RBE &lt;&gt; PNB + frais "),"")&amp;IF(COUNT(J126,K126,L126)=3,IF(ABS(J126+K126-L126)&lt;=MAX(1,0.03*ABS(L126)),"","RAI &lt;&gt; RBE + coût du risque "),"")&amp;IF(COUNT(H126,M126)=2,IF(ABS(M126)&gt;ABS(H126),"RN &gt; PNB ",""),""))=0,"OK",IF(COUNT(H126,I126,J126)=3,IF(ABS(H126+I126-J126)&lt;=MAX(1,0.02*ABS(J126)),"","RBE &lt;&gt; PNB + frais "),"")&amp;IF(COUNT(J126,K126,L126)=3,IF(ABS(J126+K126-L126)&lt;=MAX(1,0.03*ABS(L126)),"","RAI &lt;&gt; RBE + coût du risque "),"")&amp;IF(COUNT(H126,M126)=2,IF(ABS(M126)&gt;ABS(H126),"RN &gt; PNB ",""),"")))</f>
        <v/>
      </c>
      <c r="R126" s="16">
        <f>IF(OR($A126="",H126="",$C126=""),"",IF(COUNTIFS($A$5:$A$315,$A126,$C$5:$C$315,$C126-1,$D$5:$D$315,$D126,H$5:H$315,"&lt;&gt;")=0,"",IF(OR(SUMIFS(H$5:H$315,$A$5:$A$315,$A126,$C$5:$C$315,$C126-1,$D$5:$D$315,$D126)=0,H126*SUMIFS(H$5:H$315,$A$5:$A$315,$A126,$C$5:$C$315,$C126-1,$D$5:$D$315,$D126)&lt;0),"n.s.",ABS(H126)/ABS(SUMIFS(H$5:H$315,$A$5:$A$315,$A126,$C$5:$C$315,$C126-1,$D$5:$D$315,$D126))-1)))</f>
        <v/>
      </c>
      <c r="S126" s="16">
        <f>IF(OR($A126="",I126="",$C126=""),"",IF(COUNTIFS($A$5:$A$315,$A126,$C$5:$C$315,$C126-1,$D$5:$D$315,$D126,I$5:I$315,"&lt;&gt;")=0,"",IF(OR(SUMIFS(I$5:I$315,$A$5:$A$315,$A126,$C$5:$C$315,$C126-1,$D$5:$D$315,$D126)=0,I126*SUMIFS(I$5:I$315,$A$5:$A$315,$A126,$C$5:$C$315,$C126-1,$D$5:$D$315,$D126)&lt;0),"n.s.",ABS(I126)/ABS(SUMIFS(I$5:I$315,$A$5:$A$315,$A126,$C$5:$C$315,$C126-1,$D$5:$D$315,$D126))-1)))</f>
        <v/>
      </c>
      <c r="T126" s="16">
        <f>IF(OR($A126="",J126="",$C126=""),"",IF(COUNTIFS($A$5:$A$315,$A126,$C$5:$C$315,$C126-1,$D$5:$D$315,$D126,J$5:J$315,"&lt;&gt;")=0,"",IF(OR(SUMIFS(J$5:J$315,$A$5:$A$315,$A126,$C$5:$C$315,$C126-1,$D$5:$D$315,$D126)=0,J126*SUMIFS(J$5:J$315,$A$5:$A$315,$A126,$C$5:$C$315,$C126-1,$D$5:$D$315,$D126)&lt;0),"n.s.",ABS(J126)/ABS(SUMIFS(J$5:J$315,$A$5:$A$315,$A126,$C$5:$C$315,$C126-1,$D$5:$D$315,$D126))-1)))</f>
        <v/>
      </c>
      <c r="U126" s="16">
        <f>IF(OR($A126="",K126="",$C126=""),"",IF(COUNTIFS($A$5:$A$315,$A126,$C$5:$C$315,$C126-1,$D$5:$D$315,$D126,K$5:K$315,"&lt;&gt;")=0,"",IF(OR(SUMIFS(K$5:K$315,$A$5:$A$315,$A126,$C$5:$C$315,$C126-1,$D$5:$D$315,$D126)=0,K126*SUMIFS(K$5:K$315,$A$5:$A$315,$A126,$C$5:$C$315,$C126-1,$D$5:$D$315,$D126)&lt;0),"n.s.",ABS(K126)/ABS(SUMIFS(K$5:K$315,$A$5:$A$315,$A126,$C$5:$C$315,$C126-1,$D$5:$D$315,$D126))-1)))</f>
        <v/>
      </c>
      <c r="V126" s="16">
        <f>IF(OR($A126="",L126="",$C126=""),"",IF(COUNTIFS($A$5:$A$315,$A126,$C$5:$C$315,$C126-1,$D$5:$D$315,$D126,L$5:L$315,"&lt;&gt;")=0,"",IF(OR(SUMIFS(L$5:L$315,$A$5:$A$315,$A126,$C$5:$C$315,$C126-1,$D$5:$D$315,$D126)=0,L126*SUMIFS(L$5:L$315,$A$5:$A$315,$A126,$C$5:$C$315,$C126-1,$D$5:$D$315,$D126)&lt;0),"n.s.",ABS(L126)/ABS(SUMIFS(L$5:L$315,$A$5:$A$315,$A126,$C$5:$C$315,$C126-1,$D$5:$D$315,$D126))-1)))</f>
        <v/>
      </c>
      <c r="W126" s="16">
        <f>IF(OR($A126="",M126="",$C126=""),"",IF(COUNTIFS($A$5:$A$315,$A126,$C$5:$C$315,$C126-1,$D$5:$D$315,$D126,M$5:M$315,"&lt;&gt;")=0,"",IF(OR(SUMIFS(M$5:M$315,$A$5:$A$315,$A126,$C$5:$C$315,$C126-1,$D$5:$D$315,$D126)=0,M126*SUMIFS(M$5:M$315,$A$5:$A$315,$A126,$C$5:$C$315,$C126-1,$D$5:$D$315,$D126)&lt;0),"n.s.",ABS(M126)/ABS(SUMIFS(M$5:M$315,$A$5:$A$315,$A126,$C$5:$C$315,$C126-1,$D$5:$D$315,$D126))-1)))</f>
        <v/>
      </c>
      <c r="X126" s="16">
        <f>IF(OR($A126="",N126="",$C126=""),"",IF(COUNTIFS($A$5:$A$315,$A126,$C$5:$C$315,$C126-1,$D$5:$D$315,$D126,N$5:N$315,"&lt;&gt;")=0,"",IF(OR(SUMIFS(N$5:N$315,$A$5:$A$315,$A126,$C$5:$C$315,$C126-1,$D$5:$D$315,$D126)=0,N126*SUMIFS(N$5:N$315,$A$5:$A$315,$A126,$C$5:$C$315,$C126-1,$D$5:$D$315,$D126)&lt;0),"n.s.",ABS(N126)/ABS(SUMIFS(N$5:N$315,$A$5:$A$315,$A126,$C$5:$C$315,$C126-1,$D$5:$D$315,$D126))-1)))</f>
        <v/>
      </c>
      <c r="Y126" s="16">
        <f>IF(OR($A126="",O126="",$C126=""),"",IF(COUNTIFS($A$5:$A$315,$A126,$C$5:$C$315,$C126-1,$D$5:$D$315,$D126,O$5:O$315,"&lt;&gt;")=0,"",IF(OR(SUMIFS(O$5:O$315,$A$5:$A$315,$A126,$C$5:$C$315,$C126-1,$D$5:$D$315,$D126)=0,O126*SUMIFS(O$5:O$315,$A$5:$A$315,$A126,$C$5:$C$315,$C126-1,$D$5:$D$315,$D126)&lt;0),"n.s.",ABS(O126)/ABS(SUMIFS(O$5:O$315,$A$5:$A$315,$A126,$C$5:$C$315,$C126-1,$D$5:$D$315,$D126))-1)))</f>
        <v/>
      </c>
    </row>
    <row r="127">
      <c r="A127" s="9" t="inlineStr">
        <is>
          <t>BOAM</t>
        </is>
      </c>
      <c r="B127" s="10">
        <f>IF(A127="","",IFERROR(VLOOKUP(A127,Titres!$A$2:$B$400,2,FALSE),"Ticker inconnu"))</f>
        <v/>
      </c>
      <c r="C127" s="11" t="n">
        <v>2025</v>
      </c>
      <c r="D127" s="11" t="inlineStr">
        <is>
          <t>T3</t>
        </is>
      </c>
      <c r="E127" s="9" t="n"/>
      <c r="F127" s="12" t="n"/>
      <c r="G127" s="9" t="n"/>
      <c r="H127" s="13" t="n"/>
      <c r="I127" s="13" t="n"/>
      <c r="J127" s="13" t="n"/>
      <c r="K127" s="13" t="n"/>
      <c r="L127" s="13" t="n"/>
      <c r="M127" s="13" t="n"/>
      <c r="N127" s="13" t="n"/>
      <c r="O127" s="13" t="n"/>
      <c r="P127" s="14">
        <f>IF(A127="","",COUNT(H127:O127)/8)</f>
        <v/>
      </c>
      <c r="Q127" s="15">
        <f>IF(COUNT(H127:O127)=0,"",IF(LEN(IF(COUNT(H127,I127,J127)=3,IF(ABS(H127+I127-J127)&lt;=MAX(1,0.02*ABS(J127)),"","RBE &lt;&gt; PNB + frais "),"")&amp;IF(COUNT(J127,K127,L127)=3,IF(ABS(J127+K127-L127)&lt;=MAX(1,0.03*ABS(L127)),"","RAI &lt;&gt; RBE + coût du risque "),"")&amp;IF(COUNT(H127,M127)=2,IF(ABS(M127)&gt;ABS(H127),"RN &gt; PNB ",""),""))=0,"OK",IF(COUNT(H127,I127,J127)=3,IF(ABS(H127+I127-J127)&lt;=MAX(1,0.02*ABS(J127)),"","RBE &lt;&gt; PNB + frais "),"")&amp;IF(COUNT(J127,K127,L127)=3,IF(ABS(J127+K127-L127)&lt;=MAX(1,0.03*ABS(L127)),"","RAI &lt;&gt; RBE + coût du risque "),"")&amp;IF(COUNT(H127,M127)=2,IF(ABS(M127)&gt;ABS(H127),"RN &gt; PNB ",""),"")))</f>
        <v/>
      </c>
      <c r="R127" s="16">
        <f>IF(OR($A127="",H127="",$C127=""),"",IF(COUNTIFS($A$5:$A$315,$A127,$C$5:$C$315,$C127-1,$D$5:$D$315,$D127,H$5:H$315,"&lt;&gt;")=0,"",IF(OR(SUMIFS(H$5:H$315,$A$5:$A$315,$A127,$C$5:$C$315,$C127-1,$D$5:$D$315,$D127)=0,H127*SUMIFS(H$5:H$315,$A$5:$A$315,$A127,$C$5:$C$315,$C127-1,$D$5:$D$315,$D127)&lt;0),"n.s.",ABS(H127)/ABS(SUMIFS(H$5:H$315,$A$5:$A$315,$A127,$C$5:$C$315,$C127-1,$D$5:$D$315,$D127))-1)))</f>
        <v/>
      </c>
      <c r="S127" s="16">
        <f>IF(OR($A127="",I127="",$C127=""),"",IF(COUNTIFS($A$5:$A$315,$A127,$C$5:$C$315,$C127-1,$D$5:$D$315,$D127,I$5:I$315,"&lt;&gt;")=0,"",IF(OR(SUMIFS(I$5:I$315,$A$5:$A$315,$A127,$C$5:$C$315,$C127-1,$D$5:$D$315,$D127)=0,I127*SUMIFS(I$5:I$315,$A$5:$A$315,$A127,$C$5:$C$315,$C127-1,$D$5:$D$315,$D127)&lt;0),"n.s.",ABS(I127)/ABS(SUMIFS(I$5:I$315,$A$5:$A$315,$A127,$C$5:$C$315,$C127-1,$D$5:$D$315,$D127))-1)))</f>
        <v/>
      </c>
      <c r="T127" s="16">
        <f>IF(OR($A127="",J127="",$C127=""),"",IF(COUNTIFS($A$5:$A$315,$A127,$C$5:$C$315,$C127-1,$D$5:$D$315,$D127,J$5:J$315,"&lt;&gt;")=0,"",IF(OR(SUMIFS(J$5:J$315,$A$5:$A$315,$A127,$C$5:$C$315,$C127-1,$D$5:$D$315,$D127)=0,J127*SUMIFS(J$5:J$315,$A$5:$A$315,$A127,$C$5:$C$315,$C127-1,$D$5:$D$315,$D127)&lt;0),"n.s.",ABS(J127)/ABS(SUMIFS(J$5:J$315,$A$5:$A$315,$A127,$C$5:$C$315,$C127-1,$D$5:$D$315,$D127))-1)))</f>
        <v/>
      </c>
      <c r="U127" s="16">
        <f>IF(OR($A127="",K127="",$C127=""),"",IF(COUNTIFS($A$5:$A$315,$A127,$C$5:$C$315,$C127-1,$D$5:$D$315,$D127,K$5:K$315,"&lt;&gt;")=0,"",IF(OR(SUMIFS(K$5:K$315,$A$5:$A$315,$A127,$C$5:$C$315,$C127-1,$D$5:$D$315,$D127)=0,K127*SUMIFS(K$5:K$315,$A$5:$A$315,$A127,$C$5:$C$315,$C127-1,$D$5:$D$315,$D127)&lt;0),"n.s.",ABS(K127)/ABS(SUMIFS(K$5:K$315,$A$5:$A$315,$A127,$C$5:$C$315,$C127-1,$D$5:$D$315,$D127))-1)))</f>
        <v/>
      </c>
      <c r="V127" s="16">
        <f>IF(OR($A127="",L127="",$C127=""),"",IF(COUNTIFS($A$5:$A$315,$A127,$C$5:$C$315,$C127-1,$D$5:$D$315,$D127,L$5:L$315,"&lt;&gt;")=0,"",IF(OR(SUMIFS(L$5:L$315,$A$5:$A$315,$A127,$C$5:$C$315,$C127-1,$D$5:$D$315,$D127)=0,L127*SUMIFS(L$5:L$315,$A$5:$A$315,$A127,$C$5:$C$315,$C127-1,$D$5:$D$315,$D127)&lt;0),"n.s.",ABS(L127)/ABS(SUMIFS(L$5:L$315,$A$5:$A$315,$A127,$C$5:$C$315,$C127-1,$D$5:$D$315,$D127))-1)))</f>
        <v/>
      </c>
      <c r="W127" s="16">
        <f>IF(OR($A127="",M127="",$C127=""),"",IF(COUNTIFS($A$5:$A$315,$A127,$C$5:$C$315,$C127-1,$D$5:$D$315,$D127,M$5:M$315,"&lt;&gt;")=0,"",IF(OR(SUMIFS(M$5:M$315,$A$5:$A$315,$A127,$C$5:$C$315,$C127-1,$D$5:$D$315,$D127)=0,M127*SUMIFS(M$5:M$315,$A$5:$A$315,$A127,$C$5:$C$315,$C127-1,$D$5:$D$315,$D127)&lt;0),"n.s.",ABS(M127)/ABS(SUMIFS(M$5:M$315,$A$5:$A$315,$A127,$C$5:$C$315,$C127-1,$D$5:$D$315,$D127))-1)))</f>
        <v/>
      </c>
      <c r="X127" s="16">
        <f>IF(OR($A127="",N127="",$C127=""),"",IF(COUNTIFS($A$5:$A$315,$A127,$C$5:$C$315,$C127-1,$D$5:$D$315,$D127,N$5:N$315,"&lt;&gt;")=0,"",IF(OR(SUMIFS(N$5:N$315,$A$5:$A$315,$A127,$C$5:$C$315,$C127-1,$D$5:$D$315,$D127)=0,N127*SUMIFS(N$5:N$315,$A$5:$A$315,$A127,$C$5:$C$315,$C127-1,$D$5:$D$315,$D127)&lt;0),"n.s.",ABS(N127)/ABS(SUMIFS(N$5:N$315,$A$5:$A$315,$A127,$C$5:$C$315,$C127-1,$D$5:$D$315,$D127))-1)))</f>
        <v/>
      </c>
      <c r="Y127" s="16">
        <f>IF(OR($A127="",O127="",$C127=""),"",IF(COUNTIFS($A$5:$A$315,$A127,$C$5:$C$315,$C127-1,$D$5:$D$315,$D127,O$5:O$315,"&lt;&gt;")=0,"",IF(OR(SUMIFS(O$5:O$315,$A$5:$A$315,$A127,$C$5:$C$315,$C127-1,$D$5:$D$315,$D127)=0,O127*SUMIFS(O$5:O$315,$A$5:$A$315,$A127,$C$5:$C$315,$C127-1,$D$5:$D$315,$D127)&lt;0),"n.s.",ABS(O127)/ABS(SUMIFS(O$5:O$315,$A$5:$A$315,$A127,$C$5:$C$315,$C127-1,$D$5:$D$315,$D127))-1)))</f>
        <v/>
      </c>
    </row>
    <row r="128">
      <c r="A128" s="9" t="inlineStr">
        <is>
          <t>BOAM</t>
        </is>
      </c>
      <c r="B128" s="10">
        <f>IF(A128="","",IFERROR(VLOOKUP(A128,Titres!$A$2:$B$400,2,FALSE),"Ticker inconnu"))</f>
        <v/>
      </c>
      <c r="C128" s="11" t="n">
        <v>2026</v>
      </c>
      <c r="D128" s="11" t="inlineStr">
        <is>
          <t>T1</t>
        </is>
      </c>
      <c r="E128" s="9" t="n"/>
      <c r="F128" s="12" t="n"/>
      <c r="G128" s="9" t="n"/>
      <c r="H128" s="13" t="n"/>
      <c r="I128" s="13" t="n"/>
      <c r="J128" s="13" t="n"/>
      <c r="K128" s="13" t="n"/>
      <c r="L128" s="13" t="n"/>
      <c r="M128" s="13" t="n"/>
      <c r="N128" s="13" t="n"/>
      <c r="O128" s="13" t="n"/>
      <c r="P128" s="14">
        <f>IF(A128="","",COUNT(H128:O128)/8)</f>
        <v/>
      </c>
      <c r="Q128" s="15">
        <f>IF(COUNT(H128:O128)=0,"",IF(LEN(IF(COUNT(H128,I128,J128)=3,IF(ABS(H128+I128-J128)&lt;=MAX(1,0.02*ABS(J128)),"","RBE &lt;&gt; PNB + frais "),"")&amp;IF(COUNT(J128,K128,L128)=3,IF(ABS(J128+K128-L128)&lt;=MAX(1,0.03*ABS(L128)),"","RAI &lt;&gt; RBE + coût du risque "),"")&amp;IF(COUNT(H128,M128)=2,IF(ABS(M128)&gt;ABS(H128),"RN &gt; PNB ",""),""))=0,"OK",IF(COUNT(H128,I128,J128)=3,IF(ABS(H128+I128-J128)&lt;=MAX(1,0.02*ABS(J128)),"","RBE &lt;&gt; PNB + frais "),"")&amp;IF(COUNT(J128,K128,L128)=3,IF(ABS(J128+K128-L128)&lt;=MAX(1,0.03*ABS(L128)),"","RAI &lt;&gt; RBE + coût du risque "),"")&amp;IF(COUNT(H128,M128)=2,IF(ABS(M128)&gt;ABS(H128),"RN &gt; PNB ",""),"")))</f>
        <v/>
      </c>
      <c r="R128" s="16">
        <f>IF(OR($A128="",H128="",$C128=""),"",IF(COUNTIFS($A$5:$A$315,$A128,$C$5:$C$315,$C128-1,$D$5:$D$315,$D128,H$5:H$315,"&lt;&gt;")=0,"",IF(OR(SUMIFS(H$5:H$315,$A$5:$A$315,$A128,$C$5:$C$315,$C128-1,$D$5:$D$315,$D128)=0,H128*SUMIFS(H$5:H$315,$A$5:$A$315,$A128,$C$5:$C$315,$C128-1,$D$5:$D$315,$D128)&lt;0),"n.s.",ABS(H128)/ABS(SUMIFS(H$5:H$315,$A$5:$A$315,$A128,$C$5:$C$315,$C128-1,$D$5:$D$315,$D128))-1)))</f>
        <v/>
      </c>
      <c r="S128" s="16">
        <f>IF(OR($A128="",I128="",$C128=""),"",IF(COUNTIFS($A$5:$A$315,$A128,$C$5:$C$315,$C128-1,$D$5:$D$315,$D128,I$5:I$315,"&lt;&gt;")=0,"",IF(OR(SUMIFS(I$5:I$315,$A$5:$A$315,$A128,$C$5:$C$315,$C128-1,$D$5:$D$315,$D128)=0,I128*SUMIFS(I$5:I$315,$A$5:$A$315,$A128,$C$5:$C$315,$C128-1,$D$5:$D$315,$D128)&lt;0),"n.s.",ABS(I128)/ABS(SUMIFS(I$5:I$315,$A$5:$A$315,$A128,$C$5:$C$315,$C128-1,$D$5:$D$315,$D128))-1)))</f>
        <v/>
      </c>
      <c r="T128" s="16">
        <f>IF(OR($A128="",J128="",$C128=""),"",IF(COUNTIFS($A$5:$A$315,$A128,$C$5:$C$315,$C128-1,$D$5:$D$315,$D128,J$5:J$315,"&lt;&gt;")=0,"",IF(OR(SUMIFS(J$5:J$315,$A$5:$A$315,$A128,$C$5:$C$315,$C128-1,$D$5:$D$315,$D128)=0,J128*SUMIFS(J$5:J$315,$A$5:$A$315,$A128,$C$5:$C$315,$C128-1,$D$5:$D$315,$D128)&lt;0),"n.s.",ABS(J128)/ABS(SUMIFS(J$5:J$315,$A$5:$A$315,$A128,$C$5:$C$315,$C128-1,$D$5:$D$315,$D128))-1)))</f>
        <v/>
      </c>
      <c r="U128" s="16">
        <f>IF(OR($A128="",K128="",$C128=""),"",IF(COUNTIFS($A$5:$A$315,$A128,$C$5:$C$315,$C128-1,$D$5:$D$315,$D128,K$5:K$315,"&lt;&gt;")=0,"",IF(OR(SUMIFS(K$5:K$315,$A$5:$A$315,$A128,$C$5:$C$315,$C128-1,$D$5:$D$315,$D128)=0,K128*SUMIFS(K$5:K$315,$A$5:$A$315,$A128,$C$5:$C$315,$C128-1,$D$5:$D$315,$D128)&lt;0),"n.s.",ABS(K128)/ABS(SUMIFS(K$5:K$315,$A$5:$A$315,$A128,$C$5:$C$315,$C128-1,$D$5:$D$315,$D128))-1)))</f>
        <v/>
      </c>
      <c r="V128" s="16">
        <f>IF(OR($A128="",L128="",$C128=""),"",IF(COUNTIFS($A$5:$A$315,$A128,$C$5:$C$315,$C128-1,$D$5:$D$315,$D128,L$5:L$315,"&lt;&gt;")=0,"",IF(OR(SUMIFS(L$5:L$315,$A$5:$A$315,$A128,$C$5:$C$315,$C128-1,$D$5:$D$315,$D128)=0,L128*SUMIFS(L$5:L$315,$A$5:$A$315,$A128,$C$5:$C$315,$C128-1,$D$5:$D$315,$D128)&lt;0),"n.s.",ABS(L128)/ABS(SUMIFS(L$5:L$315,$A$5:$A$315,$A128,$C$5:$C$315,$C128-1,$D$5:$D$315,$D128))-1)))</f>
        <v/>
      </c>
      <c r="W128" s="16">
        <f>IF(OR($A128="",M128="",$C128=""),"",IF(COUNTIFS($A$5:$A$315,$A128,$C$5:$C$315,$C128-1,$D$5:$D$315,$D128,M$5:M$315,"&lt;&gt;")=0,"",IF(OR(SUMIFS(M$5:M$315,$A$5:$A$315,$A128,$C$5:$C$315,$C128-1,$D$5:$D$315,$D128)=0,M128*SUMIFS(M$5:M$315,$A$5:$A$315,$A128,$C$5:$C$315,$C128-1,$D$5:$D$315,$D128)&lt;0),"n.s.",ABS(M128)/ABS(SUMIFS(M$5:M$315,$A$5:$A$315,$A128,$C$5:$C$315,$C128-1,$D$5:$D$315,$D128))-1)))</f>
        <v/>
      </c>
      <c r="X128" s="16">
        <f>IF(OR($A128="",N128="",$C128=""),"",IF(COUNTIFS($A$5:$A$315,$A128,$C$5:$C$315,$C128-1,$D$5:$D$315,$D128,N$5:N$315,"&lt;&gt;")=0,"",IF(OR(SUMIFS(N$5:N$315,$A$5:$A$315,$A128,$C$5:$C$315,$C128-1,$D$5:$D$315,$D128)=0,N128*SUMIFS(N$5:N$315,$A$5:$A$315,$A128,$C$5:$C$315,$C128-1,$D$5:$D$315,$D128)&lt;0),"n.s.",ABS(N128)/ABS(SUMIFS(N$5:N$315,$A$5:$A$315,$A128,$C$5:$C$315,$C128-1,$D$5:$D$315,$D128))-1)))</f>
        <v/>
      </c>
      <c r="Y128" s="16">
        <f>IF(OR($A128="",O128="",$C128=""),"",IF(COUNTIFS($A$5:$A$315,$A128,$C$5:$C$315,$C128-1,$D$5:$D$315,$D128,O$5:O$315,"&lt;&gt;")=0,"",IF(OR(SUMIFS(O$5:O$315,$A$5:$A$315,$A128,$C$5:$C$315,$C128-1,$D$5:$D$315,$D128)=0,O128*SUMIFS(O$5:O$315,$A$5:$A$315,$A128,$C$5:$C$315,$C128-1,$D$5:$D$315,$D128)&lt;0),"n.s.",ABS(O128)/ABS(SUMIFS(O$5:O$315,$A$5:$A$315,$A128,$C$5:$C$315,$C128-1,$D$5:$D$315,$D128))-1)))</f>
        <v/>
      </c>
    </row>
    <row r="129">
      <c r="A129" s="9" t="inlineStr">
        <is>
          <t>BOAM</t>
        </is>
      </c>
      <c r="B129" s="10">
        <f>IF(A129="","",IFERROR(VLOOKUP(A129,Titres!$A$2:$B$400,2,FALSE),"Ticker inconnu"))</f>
        <v/>
      </c>
      <c r="C129" s="11" t="n">
        <v>2026</v>
      </c>
      <c r="D129" s="11" t="inlineStr">
        <is>
          <t>S1</t>
        </is>
      </c>
      <c r="E129" s="9" t="inlineStr">
        <is>
          <t>Publié</t>
        </is>
      </c>
      <c r="F129" s="12" t="n">
        <v>46288</v>
      </c>
      <c r="G129" s="9" t="inlineStr">
        <is>
          <t>https://www.richbourse.com/common/actualite/afficher-fichier/23-09-2026-boa-mali-rapport-dactivites-1er-semestre-2026</t>
        </is>
      </c>
      <c r="H129" s="13" t="n">
        <v>21987</v>
      </c>
      <c r="I129" s="13" t="n">
        <v>-11176</v>
      </c>
      <c r="J129" s="13" t="n">
        <v>10811</v>
      </c>
      <c r="K129" s="13" t="n">
        <v>-4525</v>
      </c>
      <c r="L129" s="13" t="n"/>
      <c r="M129" s="13" t="n">
        <v>6716</v>
      </c>
      <c r="N129" s="13" t="n"/>
      <c r="O129" s="13" t="n"/>
      <c r="P129" s="14">
        <f>IF(A129="","",COUNT(H129:O129)/8)</f>
        <v/>
      </c>
      <c r="Q129" s="15">
        <f>IF(COUNT(H129:O129)=0,"",IF(LEN(IF(COUNT(H129,I129,J129)=3,IF(ABS(H129+I129-J129)&lt;=MAX(1,0.02*ABS(J129)),"","RBE &lt;&gt; PNB + frais "),"")&amp;IF(COUNT(J129,K129,L129)=3,IF(ABS(J129+K129-L129)&lt;=MAX(1,0.03*ABS(L129)),"","RAI &lt;&gt; RBE + coût du risque "),"")&amp;IF(COUNT(H129,M129)=2,IF(ABS(M129)&gt;ABS(H129),"RN &gt; PNB ",""),""))=0,"OK",IF(COUNT(H129,I129,J129)=3,IF(ABS(H129+I129-J129)&lt;=MAX(1,0.02*ABS(J129)),"","RBE &lt;&gt; PNB + frais "),"")&amp;IF(COUNT(J129,K129,L129)=3,IF(ABS(J129+K129-L129)&lt;=MAX(1,0.03*ABS(L129)),"","RAI &lt;&gt; RBE + coût du risque "),"")&amp;IF(COUNT(H129,M129)=2,IF(ABS(M129)&gt;ABS(H129),"RN &gt; PNB ",""),"")))</f>
        <v/>
      </c>
      <c r="R129" s="16">
        <f>IF(OR($A129="",H129="",$C129=""),"",IF(COUNTIFS($A$5:$A$315,$A129,$C$5:$C$315,$C129-1,$D$5:$D$315,$D129,H$5:H$315,"&lt;&gt;")=0,"",IF(OR(SUMIFS(H$5:H$315,$A$5:$A$315,$A129,$C$5:$C$315,$C129-1,$D$5:$D$315,$D129)=0,H129*SUMIFS(H$5:H$315,$A$5:$A$315,$A129,$C$5:$C$315,$C129-1,$D$5:$D$315,$D129)&lt;0),"n.s.",ABS(H129)/ABS(SUMIFS(H$5:H$315,$A$5:$A$315,$A129,$C$5:$C$315,$C129-1,$D$5:$D$315,$D129))-1)))</f>
        <v/>
      </c>
      <c r="S129" s="16">
        <f>IF(OR($A129="",I129="",$C129=""),"",IF(COUNTIFS($A$5:$A$315,$A129,$C$5:$C$315,$C129-1,$D$5:$D$315,$D129,I$5:I$315,"&lt;&gt;")=0,"",IF(OR(SUMIFS(I$5:I$315,$A$5:$A$315,$A129,$C$5:$C$315,$C129-1,$D$5:$D$315,$D129)=0,I129*SUMIFS(I$5:I$315,$A$5:$A$315,$A129,$C$5:$C$315,$C129-1,$D$5:$D$315,$D129)&lt;0),"n.s.",ABS(I129)/ABS(SUMIFS(I$5:I$315,$A$5:$A$315,$A129,$C$5:$C$315,$C129-1,$D$5:$D$315,$D129))-1)))</f>
        <v/>
      </c>
      <c r="T129" s="16">
        <f>IF(OR($A129="",J129="",$C129=""),"",IF(COUNTIFS($A$5:$A$315,$A129,$C$5:$C$315,$C129-1,$D$5:$D$315,$D129,J$5:J$315,"&lt;&gt;")=0,"",IF(OR(SUMIFS(J$5:J$315,$A$5:$A$315,$A129,$C$5:$C$315,$C129-1,$D$5:$D$315,$D129)=0,J129*SUMIFS(J$5:J$315,$A$5:$A$315,$A129,$C$5:$C$315,$C129-1,$D$5:$D$315,$D129)&lt;0),"n.s.",ABS(J129)/ABS(SUMIFS(J$5:J$315,$A$5:$A$315,$A129,$C$5:$C$315,$C129-1,$D$5:$D$315,$D129))-1)))</f>
        <v/>
      </c>
      <c r="U129" s="16">
        <f>IF(OR($A129="",K129="",$C129=""),"",IF(COUNTIFS($A$5:$A$315,$A129,$C$5:$C$315,$C129-1,$D$5:$D$315,$D129,K$5:K$315,"&lt;&gt;")=0,"",IF(OR(SUMIFS(K$5:K$315,$A$5:$A$315,$A129,$C$5:$C$315,$C129-1,$D$5:$D$315,$D129)=0,K129*SUMIFS(K$5:K$315,$A$5:$A$315,$A129,$C$5:$C$315,$C129-1,$D$5:$D$315,$D129)&lt;0),"n.s.",ABS(K129)/ABS(SUMIFS(K$5:K$315,$A$5:$A$315,$A129,$C$5:$C$315,$C129-1,$D$5:$D$315,$D129))-1)))</f>
        <v/>
      </c>
      <c r="V129" s="16">
        <f>IF(OR($A129="",L129="",$C129=""),"",IF(COUNTIFS($A$5:$A$315,$A129,$C$5:$C$315,$C129-1,$D$5:$D$315,$D129,L$5:L$315,"&lt;&gt;")=0,"",IF(OR(SUMIFS(L$5:L$315,$A$5:$A$315,$A129,$C$5:$C$315,$C129-1,$D$5:$D$315,$D129)=0,L129*SUMIFS(L$5:L$315,$A$5:$A$315,$A129,$C$5:$C$315,$C129-1,$D$5:$D$315,$D129)&lt;0),"n.s.",ABS(L129)/ABS(SUMIFS(L$5:L$315,$A$5:$A$315,$A129,$C$5:$C$315,$C129-1,$D$5:$D$315,$D129))-1)))</f>
        <v/>
      </c>
      <c r="W129" s="16">
        <f>IF(OR($A129="",M129="",$C129=""),"",IF(COUNTIFS($A$5:$A$315,$A129,$C$5:$C$315,$C129-1,$D$5:$D$315,$D129,M$5:M$315,"&lt;&gt;")=0,"",IF(OR(SUMIFS(M$5:M$315,$A$5:$A$315,$A129,$C$5:$C$315,$C129-1,$D$5:$D$315,$D129)=0,M129*SUMIFS(M$5:M$315,$A$5:$A$315,$A129,$C$5:$C$315,$C129-1,$D$5:$D$315,$D129)&lt;0),"n.s.",ABS(M129)/ABS(SUMIFS(M$5:M$315,$A$5:$A$315,$A129,$C$5:$C$315,$C129-1,$D$5:$D$315,$D129))-1)))</f>
        <v/>
      </c>
      <c r="X129" s="16">
        <f>IF(OR($A129="",N129="",$C129=""),"",IF(COUNTIFS($A$5:$A$315,$A129,$C$5:$C$315,$C129-1,$D$5:$D$315,$D129,N$5:N$315,"&lt;&gt;")=0,"",IF(OR(SUMIFS(N$5:N$315,$A$5:$A$315,$A129,$C$5:$C$315,$C129-1,$D$5:$D$315,$D129)=0,N129*SUMIFS(N$5:N$315,$A$5:$A$315,$A129,$C$5:$C$315,$C129-1,$D$5:$D$315,$D129)&lt;0),"n.s.",ABS(N129)/ABS(SUMIFS(N$5:N$315,$A$5:$A$315,$A129,$C$5:$C$315,$C129-1,$D$5:$D$315,$D129))-1)))</f>
        <v/>
      </c>
      <c r="Y129" s="16">
        <f>IF(OR($A129="",O129="",$C129=""),"",IF(COUNTIFS($A$5:$A$315,$A129,$C$5:$C$315,$C129-1,$D$5:$D$315,$D129,O$5:O$315,"&lt;&gt;")=0,"",IF(OR(SUMIFS(O$5:O$315,$A$5:$A$315,$A129,$C$5:$C$315,$C129-1,$D$5:$D$315,$D129)=0,O129*SUMIFS(O$5:O$315,$A$5:$A$315,$A129,$C$5:$C$315,$C129-1,$D$5:$D$315,$D129)&lt;0),"n.s.",ABS(O129)/ABS(SUMIFS(O$5:O$315,$A$5:$A$315,$A129,$C$5:$C$315,$C129-1,$D$5:$D$315,$D129))-1)))</f>
        <v/>
      </c>
    </row>
    <row r="130">
      <c r="A130" s="9" t="inlineStr">
        <is>
          <t>BOAM</t>
        </is>
      </c>
      <c r="B130" s="10">
        <f>IF(A130="","",IFERROR(VLOOKUP(A130,Titres!$A$2:$B$400,2,FALSE),"Ticker inconnu"))</f>
        <v/>
      </c>
      <c r="C130" s="11" t="n">
        <v>2026</v>
      </c>
      <c r="D130" s="11" t="inlineStr">
        <is>
          <t>T3</t>
        </is>
      </c>
      <c r="E130" s="9" t="n"/>
      <c r="F130" s="12" t="n"/>
      <c r="G130" s="9" t="n"/>
      <c r="H130" s="13" t="n"/>
      <c r="I130" s="13" t="n"/>
      <c r="J130" s="13" t="n"/>
      <c r="K130" s="13" t="n"/>
      <c r="L130" s="13" t="n"/>
      <c r="M130" s="13" t="n"/>
      <c r="N130" s="13" t="n"/>
      <c r="O130" s="13" t="n"/>
      <c r="P130" s="14">
        <f>IF(A130="","",COUNT(H130:O130)/8)</f>
        <v/>
      </c>
      <c r="Q130" s="15">
        <f>IF(COUNT(H130:O130)=0,"",IF(LEN(IF(COUNT(H130,I130,J130)=3,IF(ABS(H130+I130-J130)&lt;=MAX(1,0.02*ABS(J130)),"","RBE &lt;&gt; PNB + frais "),"")&amp;IF(COUNT(J130,K130,L130)=3,IF(ABS(J130+K130-L130)&lt;=MAX(1,0.03*ABS(L130)),"","RAI &lt;&gt; RBE + coût du risque "),"")&amp;IF(COUNT(H130,M130)=2,IF(ABS(M130)&gt;ABS(H130),"RN &gt; PNB ",""),""))=0,"OK",IF(COUNT(H130,I130,J130)=3,IF(ABS(H130+I130-J130)&lt;=MAX(1,0.02*ABS(J130)),"","RBE &lt;&gt; PNB + frais "),"")&amp;IF(COUNT(J130,K130,L130)=3,IF(ABS(J130+K130-L130)&lt;=MAX(1,0.03*ABS(L130)),"","RAI &lt;&gt; RBE + coût du risque "),"")&amp;IF(COUNT(H130,M130)=2,IF(ABS(M130)&gt;ABS(H130),"RN &gt; PNB ",""),"")))</f>
        <v/>
      </c>
      <c r="R130" s="16">
        <f>IF(OR($A130="",H130="",$C130=""),"",IF(COUNTIFS($A$5:$A$315,$A130,$C$5:$C$315,$C130-1,$D$5:$D$315,$D130,H$5:H$315,"&lt;&gt;")=0,"",IF(OR(SUMIFS(H$5:H$315,$A$5:$A$315,$A130,$C$5:$C$315,$C130-1,$D$5:$D$315,$D130)=0,H130*SUMIFS(H$5:H$315,$A$5:$A$315,$A130,$C$5:$C$315,$C130-1,$D$5:$D$315,$D130)&lt;0),"n.s.",ABS(H130)/ABS(SUMIFS(H$5:H$315,$A$5:$A$315,$A130,$C$5:$C$315,$C130-1,$D$5:$D$315,$D130))-1)))</f>
        <v/>
      </c>
      <c r="S130" s="16">
        <f>IF(OR($A130="",I130="",$C130=""),"",IF(COUNTIFS($A$5:$A$315,$A130,$C$5:$C$315,$C130-1,$D$5:$D$315,$D130,I$5:I$315,"&lt;&gt;")=0,"",IF(OR(SUMIFS(I$5:I$315,$A$5:$A$315,$A130,$C$5:$C$315,$C130-1,$D$5:$D$315,$D130)=0,I130*SUMIFS(I$5:I$315,$A$5:$A$315,$A130,$C$5:$C$315,$C130-1,$D$5:$D$315,$D130)&lt;0),"n.s.",ABS(I130)/ABS(SUMIFS(I$5:I$315,$A$5:$A$315,$A130,$C$5:$C$315,$C130-1,$D$5:$D$315,$D130))-1)))</f>
        <v/>
      </c>
      <c r="T130" s="16">
        <f>IF(OR($A130="",J130="",$C130=""),"",IF(COUNTIFS($A$5:$A$315,$A130,$C$5:$C$315,$C130-1,$D$5:$D$315,$D130,J$5:J$315,"&lt;&gt;")=0,"",IF(OR(SUMIFS(J$5:J$315,$A$5:$A$315,$A130,$C$5:$C$315,$C130-1,$D$5:$D$315,$D130)=0,J130*SUMIFS(J$5:J$315,$A$5:$A$315,$A130,$C$5:$C$315,$C130-1,$D$5:$D$315,$D130)&lt;0),"n.s.",ABS(J130)/ABS(SUMIFS(J$5:J$315,$A$5:$A$315,$A130,$C$5:$C$315,$C130-1,$D$5:$D$315,$D130))-1)))</f>
        <v/>
      </c>
      <c r="U130" s="16">
        <f>IF(OR($A130="",K130="",$C130=""),"",IF(COUNTIFS($A$5:$A$315,$A130,$C$5:$C$315,$C130-1,$D$5:$D$315,$D130,K$5:K$315,"&lt;&gt;")=0,"",IF(OR(SUMIFS(K$5:K$315,$A$5:$A$315,$A130,$C$5:$C$315,$C130-1,$D$5:$D$315,$D130)=0,K130*SUMIFS(K$5:K$315,$A$5:$A$315,$A130,$C$5:$C$315,$C130-1,$D$5:$D$315,$D130)&lt;0),"n.s.",ABS(K130)/ABS(SUMIFS(K$5:K$315,$A$5:$A$315,$A130,$C$5:$C$315,$C130-1,$D$5:$D$315,$D130))-1)))</f>
        <v/>
      </c>
      <c r="V130" s="16">
        <f>IF(OR($A130="",L130="",$C130=""),"",IF(COUNTIFS($A$5:$A$315,$A130,$C$5:$C$315,$C130-1,$D$5:$D$315,$D130,L$5:L$315,"&lt;&gt;")=0,"",IF(OR(SUMIFS(L$5:L$315,$A$5:$A$315,$A130,$C$5:$C$315,$C130-1,$D$5:$D$315,$D130)=0,L130*SUMIFS(L$5:L$315,$A$5:$A$315,$A130,$C$5:$C$315,$C130-1,$D$5:$D$315,$D130)&lt;0),"n.s.",ABS(L130)/ABS(SUMIFS(L$5:L$315,$A$5:$A$315,$A130,$C$5:$C$315,$C130-1,$D$5:$D$315,$D130))-1)))</f>
        <v/>
      </c>
      <c r="W130" s="16">
        <f>IF(OR($A130="",M130="",$C130=""),"",IF(COUNTIFS($A$5:$A$315,$A130,$C$5:$C$315,$C130-1,$D$5:$D$315,$D130,M$5:M$315,"&lt;&gt;")=0,"",IF(OR(SUMIFS(M$5:M$315,$A$5:$A$315,$A130,$C$5:$C$315,$C130-1,$D$5:$D$315,$D130)=0,M130*SUMIFS(M$5:M$315,$A$5:$A$315,$A130,$C$5:$C$315,$C130-1,$D$5:$D$315,$D130)&lt;0),"n.s.",ABS(M130)/ABS(SUMIFS(M$5:M$315,$A$5:$A$315,$A130,$C$5:$C$315,$C130-1,$D$5:$D$315,$D130))-1)))</f>
        <v/>
      </c>
      <c r="X130" s="16">
        <f>IF(OR($A130="",N130="",$C130=""),"",IF(COUNTIFS($A$5:$A$315,$A130,$C$5:$C$315,$C130-1,$D$5:$D$315,$D130,N$5:N$315,"&lt;&gt;")=0,"",IF(OR(SUMIFS(N$5:N$315,$A$5:$A$315,$A130,$C$5:$C$315,$C130-1,$D$5:$D$315,$D130)=0,N130*SUMIFS(N$5:N$315,$A$5:$A$315,$A130,$C$5:$C$315,$C130-1,$D$5:$D$315,$D130)&lt;0),"n.s.",ABS(N130)/ABS(SUMIFS(N$5:N$315,$A$5:$A$315,$A130,$C$5:$C$315,$C130-1,$D$5:$D$315,$D130))-1)))</f>
        <v/>
      </c>
      <c r="Y130" s="16">
        <f>IF(OR($A130="",O130="",$C130=""),"",IF(COUNTIFS($A$5:$A$315,$A130,$C$5:$C$315,$C130-1,$D$5:$D$315,$D130,O$5:O$315,"&lt;&gt;")=0,"",IF(OR(SUMIFS(O$5:O$315,$A$5:$A$315,$A130,$C$5:$C$315,$C130-1,$D$5:$D$315,$D130)=0,O130*SUMIFS(O$5:O$315,$A$5:$A$315,$A130,$C$5:$C$315,$C130-1,$D$5:$D$315,$D130)&lt;0),"n.s.",ABS(O130)/ABS(SUMIFS(O$5:O$315,$A$5:$A$315,$A130,$C$5:$C$315,$C130-1,$D$5:$D$315,$D130))-1)))</f>
        <v/>
      </c>
    </row>
    <row r="131">
      <c r="A131" s="9" t="inlineStr">
        <is>
          <t>BOAN</t>
        </is>
      </c>
      <c r="B131" s="10">
        <f>IF(A131="","",IFERROR(VLOOKUP(A131,Titres!$A$2:$B$400,2,FALSE),"Ticker inconnu"))</f>
        <v/>
      </c>
      <c r="C131" s="11" t="n">
        <v>2021</v>
      </c>
      <c r="D131" s="11" t="inlineStr">
        <is>
          <t>T1</t>
        </is>
      </c>
      <c r="E131" s="9" t="n"/>
      <c r="F131" s="12" t="n"/>
      <c r="G131" s="9" t="n"/>
      <c r="H131" s="13" t="n"/>
      <c r="I131" s="13" t="n"/>
      <c r="J131" s="13" t="n"/>
      <c r="K131" s="13" t="n"/>
      <c r="L131" s="13" t="n"/>
      <c r="M131" s="13" t="n"/>
      <c r="N131" s="13" t="n"/>
      <c r="O131" s="13" t="n"/>
      <c r="P131" s="14">
        <f>IF(A131="","",COUNT(H131:O131)/8)</f>
        <v/>
      </c>
      <c r="Q131" s="15">
        <f>IF(COUNT(H131:O131)=0,"",IF(LEN(IF(COUNT(H131,I131,J131)=3,IF(ABS(H131+I131-J131)&lt;=MAX(1,0.02*ABS(J131)),"","RBE &lt;&gt; PNB + frais "),"")&amp;IF(COUNT(J131,K131,L131)=3,IF(ABS(J131+K131-L131)&lt;=MAX(1,0.03*ABS(L131)),"","RAI &lt;&gt; RBE + coût du risque "),"")&amp;IF(COUNT(H131,M131)=2,IF(ABS(M131)&gt;ABS(H131),"RN &gt; PNB ",""),""))=0,"OK",IF(COUNT(H131,I131,J131)=3,IF(ABS(H131+I131-J131)&lt;=MAX(1,0.02*ABS(J131)),"","RBE &lt;&gt; PNB + frais "),"")&amp;IF(COUNT(J131,K131,L131)=3,IF(ABS(J131+K131-L131)&lt;=MAX(1,0.03*ABS(L131)),"","RAI &lt;&gt; RBE + coût du risque "),"")&amp;IF(COUNT(H131,M131)=2,IF(ABS(M131)&gt;ABS(H131),"RN &gt; PNB ",""),"")))</f>
        <v/>
      </c>
      <c r="R131" s="16">
        <f>IF(OR($A131="",H131="",$C131=""),"",IF(COUNTIFS($A$5:$A$315,$A131,$C$5:$C$315,$C131-1,$D$5:$D$315,$D131,H$5:H$315,"&lt;&gt;")=0,"",IF(OR(SUMIFS(H$5:H$315,$A$5:$A$315,$A131,$C$5:$C$315,$C131-1,$D$5:$D$315,$D131)=0,H131*SUMIFS(H$5:H$315,$A$5:$A$315,$A131,$C$5:$C$315,$C131-1,$D$5:$D$315,$D131)&lt;0),"n.s.",ABS(H131)/ABS(SUMIFS(H$5:H$315,$A$5:$A$315,$A131,$C$5:$C$315,$C131-1,$D$5:$D$315,$D131))-1)))</f>
        <v/>
      </c>
      <c r="S131" s="16">
        <f>IF(OR($A131="",I131="",$C131=""),"",IF(COUNTIFS($A$5:$A$315,$A131,$C$5:$C$315,$C131-1,$D$5:$D$315,$D131,I$5:I$315,"&lt;&gt;")=0,"",IF(OR(SUMIFS(I$5:I$315,$A$5:$A$315,$A131,$C$5:$C$315,$C131-1,$D$5:$D$315,$D131)=0,I131*SUMIFS(I$5:I$315,$A$5:$A$315,$A131,$C$5:$C$315,$C131-1,$D$5:$D$315,$D131)&lt;0),"n.s.",ABS(I131)/ABS(SUMIFS(I$5:I$315,$A$5:$A$315,$A131,$C$5:$C$315,$C131-1,$D$5:$D$315,$D131))-1)))</f>
        <v/>
      </c>
      <c r="T131" s="16">
        <f>IF(OR($A131="",J131="",$C131=""),"",IF(COUNTIFS($A$5:$A$315,$A131,$C$5:$C$315,$C131-1,$D$5:$D$315,$D131,J$5:J$315,"&lt;&gt;")=0,"",IF(OR(SUMIFS(J$5:J$315,$A$5:$A$315,$A131,$C$5:$C$315,$C131-1,$D$5:$D$315,$D131)=0,J131*SUMIFS(J$5:J$315,$A$5:$A$315,$A131,$C$5:$C$315,$C131-1,$D$5:$D$315,$D131)&lt;0),"n.s.",ABS(J131)/ABS(SUMIFS(J$5:J$315,$A$5:$A$315,$A131,$C$5:$C$315,$C131-1,$D$5:$D$315,$D131))-1)))</f>
        <v/>
      </c>
      <c r="U131" s="16">
        <f>IF(OR($A131="",K131="",$C131=""),"",IF(COUNTIFS($A$5:$A$315,$A131,$C$5:$C$315,$C131-1,$D$5:$D$315,$D131,K$5:K$315,"&lt;&gt;")=0,"",IF(OR(SUMIFS(K$5:K$315,$A$5:$A$315,$A131,$C$5:$C$315,$C131-1,$D$5:$D$315,$D131)=0,K131*SUMIFS(K$5:K$315,$A$5:$A$315,$A131,$C$5:$C$315,$C131-1,$D$5:$D$315,$D131)&lt;0),"n.s.",ABS(K131)/ABS(SUMIFS(K$5:K$315,$A$5:$A$315,$A131,$C$5:$C$315,$C131-1,$D$5:$D$315,$D131))-1)))</f>
        <v/>
      </c>
      <c r="V131" s="16">
        <f>IF(OR($A131="",L131="",$C131=""),"",IF(COUNTIFS($A$5:$A$315,$A131,$C$5:$C$315,$C131-1,$D$5:$D$315,$D131,L$5:L$315,"&lt;&gt;")=0,"",IF(OR(SUMIFS(L$5:L$315,$A$5:$A$315,$A131,$C$5:$C$315,$C131-1,$D$5:$D$315,$D131)=0,L131*SUMIFS(L$5:L$315,$A$5:$A$315,$A131,$C$5:$C$315,$C131-1,$D$5:$D$315,$D131)&lt;0),"n.s.",ABS(L131)/ABS(SUMIFS(L$5:L$315,$A$5:$A$315,$A131,$C$5:$C$315,$C131-1,$D$5:$D$315,$D131))-1)))</f>
        <v/>
      </c>
      <c r="W131" s="16">
        <f>IF(OR($A131="",M131="",$C131=""),"",IF(COUNTIFS($A$5:$A$315,$A131,$C$5:$C$315,$C131-1,$D$5:$D$315,$D131,M$5:M$315,"&lt;&gt;")=0,"",IF(OR(SUMIFS(M$5:M$315,$A$5:$A$315,$A131,$C$5:$C$315,$C131-1,$D$5:$D$315,$D131)=0,M131*SUMIFS(M$5:M$315,$A$5:$A$315,$A131,$C$5:$C$315,$C131-1,$D$5:$D$315,$D131)&lt;0),"n.s.",ABS(M131)/ABS(SUMIFS(M$5:M$315,$A$5:$A$315,$A131,$C$5:$C$315,$C131-1,$D$5:$D$315,$D131))-1)))</f>
        <v/>
      </c>
      <c r="X131" s="16">
        <f>IF(OR($A131="",N131="",$C131=""),"",IF(COUNTIFS($A$5:$A$315,$A131,$C$5:$C$315,$C131-1,$D$5:$D$315,$D131,N$5:N$315,"&lt;&gt;")=0,"",IF(OR(SUMIFS(N$5:N$315,$A$5:$A$315,$A131,$C$5:$C$315,$C131-1,$D$5:$D$315,$D131)=0,N131*SUMIFS(N$5:N$315,$A$5:$A$315,$A131,$C$5:$C$315,$C131-1,$D$5:$D$315,$D131)&lt;0),"n.s.",ABS(N131)/ABS(SUMIFS(N$5:N$315,$A$5:$A$315,$A131,$C$5:$C$315,$C131-1,$D$5:$D$315,$D131))-1)))</f>
        <v/>
      </c>
      <c r="Y131" s="16">
        <f>IF(OR($A131="",O131="",$C131=""),"",IF(COUNTIFS($A$5:$A$315,$A131,$C$5:$C$315,$C131-1,$D$5:$D$315,$D131,O$5:O$315,"&lt;&gt;")=0,"",IF(OR(SUMIFS(O$5:O$315,$A$5:$A$315,$A131,$C$5:$C$315,$C131-1,$D$5:$D$315,$D131)=0,O131*SUMIFS(O$5:O$315,$A$5:$A$315,$A131,$C$5:$C$315,$C131-1,$D$5:$D$315,$D131)&lt;0),"n.s.",ABS(O131)/ABS(SUMIFS(O$5:O$315,$A$5:$A$315,$A131,$C$5:$C$315,$C131-1,$D$5:$D$315,$D131))-1)))</f>
        <v/>
      </c>
    </row>
    <row r="132">
      <c r="A132" s="9" t="inlineStr">
        <is>
          <t>BOAN</t>
        </is>
      </c>
      <c r="B132" s="10">
        <f>IF(A132="","",IFERROR(VLOOKUP(A132,Titres!$A$2:$B$400,2,FALSE),"Ticker inconnu"))</f>
        <v/>
      </c>
      <c r="C132" s="11" t="n">
        <v>2021</v>
      </c>
      <c r="D132" s="11" t="inlineStr">
        <is>
          <t>S1</t>
        </is>
      </c>
      <c r="E132" s="9" t="n"/>
      <c r="F132" s="12" t="n"/>
      <c r="G132" s="9" t="n"/>
      <c r="H132" s="13" t="n"/>
      <c r="I132" s="13" t="n"/>
      <c r="J132" s="13" t="n"/>
      <c r="K132" s="13" t="n"/>
      <c r="L132" s="13" t="n"/>
      <c r="M132" s="13" t="n"/>
      <c r="N132" s="13" t="n"/>
      <c r="O132" s="13" t="n"/>
      <c r="P132" s="14">
        <f>IF(A132="","",COUNT(H132:O132)/8)</f>
        <v/>
      </c>
      <c r="Q132" s="15">
        <f>IF(COUNT(H132:O132)=0,"",IF(LEN(IF(COUNT(H132,I132,J132)=3,IF(ABS(H132+I132-J132)&lt;=MAX(1,0.02*ABS(J132)),"","RBE &lt;&gt; PNB + frais "),"")&amp;IF(COUNT(J132,K132,L132)=3,IF(ABS(J132+K132-L132)&lt;=MAX(1,0.03*ABS(L132)),"","RAI &lt;&gt; RBE + coût du risque "),"")&amp;IF(COUNT(H132,M132)=2,IF(ABS(M132)&gt;ABS(H132),"RN &gt; PNB ",""),""))=0,"OK",IF(COUNT(H132,I132,J132)=3,IF(ABS(H132+I132-J132)&lt;=MAX(1,0.02*ABS(J132)),"","RBE &lt;&gt; PNB + frais "),"")&amp;IF(COUNT(J132,K132,L132)=3,IF(ABS(J132+K132-L132)&lt;=MAX(1,0.03*ABS(L132)),"","RAI &lt;&gt; RBE + coût du risque "),"")&amp;IF(COUNT(H132,M132)=2,IF(ABS(M132)&gt;ABS(H132),"RN &gt; PNB ",""),"")))</f>
        <v/>
      </c>
      <c r="R132" s="16">
        <f>IF(OR($A132="",H132="",$C132=""),"",IF(COUNTIFS($A$5:$A$315,$A132,$C$5:$C$315,$C132-1,$D$5:$D$315,$D132,H$5:H$315,"&lt;&gt;")=0,"",IF(OR(SUMIFS(H$5:H$315,$A$5:$A$315,$A132,$C$5:$C$315,$C132-1,$D$5:$D$315,$D132)=0,H132*SUMIFS(H$5:H$315,$A$5:$A$315,$A132,$C$5:$C$315,$C132-1,$D$5:$D$315,$D132)&lt;0),"n.s.",ABS(H132)/ABS(SUMIFS(H$5:H$315,$A$5:$A$315,$A132,$C$5:$C$315,$C132-1,$D$5:$D$315,$D132))-1)))</f>
        <v/>
      </c>
      <c r="S132" s="16">
        <f>IF(OR($A132="",I132="",$C132=""),"",IF(COUNTIFS($A$5:$A$315,$A132,$C$5:$C$315,$C132-1,$D$5:$D$315,$D132,I$5:I$315,"&lt;&gt;")=0,"",IF(OR(SUMIFS(I$5:I$315,$A$5:$A$315,$A132,$C$5:$C$315,$C132-1,$D$5:$D$315,$D132)=0,I132*SUMIFS(I$5:I$315,$A$5:$A$315,$A132,$C$5:$C$315,$C132-1,$D$5:$D$315,$D132)&lt;0),"n.s.",ABS(I132)/ABS(SUMIFS(I$5:I$315,$A$5:$A$315,$A132,$C$5:$C$315,$C132-1,$D$5:$D$315,$D132))-1)))</f>
        <v/>
      </c>
      <c r="T132" s="16">
        <f>IF(OR($A132="",J132="",$C132=""),"",IF(COUNTIFS($A$5:$A$315,$A132,$C$5:$C$315,$C132-1,$D$5:$D$315,$D132,J$5:J$315,"&lt;&gt;")=0,"",IF(OR(SUMIFS(J$5:J$315,$A$5:$A$315,$A132,$C$5:$C$315,$C132-1,$D$5:$D$315,$D132)=0,J132*SUMIFS(J$5:J$315,$A$5:$A$315,$A132,$C$5:$C$315,$C132-1,$D$5:$D$315,$D132)&lt;0),"n.s.",ABS(J132)/ABS(SUMIFS(J$5:J$315,$A$5:$A$315,$A132,$C$5:$C$315,$C132-1,$D$5:$D$315,$D132))-1)))</f>
        <v/>
      </c>
      <c r="U132" s="16">
        <f>IF(OR($A132="",K132="",$C132=""),"",IF(COUNTIFS($A$5:$A$315,$A132,$C$5:$C$315,$C132-1,$D$5:$D$315,$D132,K$5:K$315,"&lt;&gt;")=0,"",IF(OR(SUMIFS(K$5:K$315,$A$5:$A$315,$A132,$C$5:$C$315,$C132-1,$D$5:$D$315,$D132)=0,K132*SUMIFS(K$5:K$315,$A$5:$A$315,$A132,$C$5:$C$315,$C132-1,$D$5:$D$315,$D132)&lt;0),"n.s.",ABS(K132)/ABS(SUMIFS(K$5:K$315,$A$5:$A$315,$A132,$C$5:$C$315,$C132-1,$D$5:$D$315,$D132))-1)))</f>
        <v/>
      </c>
      <c r="V132" s="16">
        <f>IF(OR($A132="",L132="",$C132=""),"",IF(COUNTIFS($A$5:$A$315,$A132,$C$5:$C$315,$C132-1,$D$5:$D$315,$D132,L$5:L$315,"&lt;&gt;")=0,"",IF(OR(SUMIFS(L$5:L$315,$A$5:$A$315,$A132,$C$5:$C$315,$C132-1,$D$5:$D$315,$D132)=0,L132*SUMIFS(L$5:L$315,$A$5:$A$315,$A132,$C$5:$C$315,$C132-1,$D$5:$D$315,$D132)&lt;0),"n.s.",ABS(L132)/ABS(SUMIFS(L$5:L$315,$A$5:$A$315,$A132,$C$5:$C$315,$C132-1,$D$5:$D$315,$D132))-1)))</f>
        <v/>
      </c>
      <c r="W132" s="16">
        <f>IF(OR($A132="",M132="",$C132=""),"",IF(COUNTIFS($A$5:$A$315,$A132,$C$5:$C$315,$C132-1,$D$5:$D$315,$D132,M$5:M$315,"&lt;&gt;")=0,"",IF(OR(SUMIFS(M$5:M$315,$A$5:$A$315,$A132,$C$5:$C$315,$C132-1,$D$5:$D$315,$D132)=0,M132*SUMIFS(M$5:M$315,$A$5:$A$315,$A132,$C$5:$C$315,$C132-1,$D$5:$D$315,$D132)&lt;0),"n.s.",ABS(M132)/ABS(SUMIFS(M$5:M$315,$A$5:$A$315,$A132,$C$5:$C$315,$C132-1,$D$5:$D$315,$D132))-1)))</f>
        <v/>
      </c>
      <c r="X132" s="16">
        <f>IF(OR($A132="",N132="",$C132=""),"",IF(COUNTIFS($A$5:$A$315,$A132,$C$5:$C$315,$C132-1,$D$5:$D$315,$D132,N$5:N$315,"&lt;&gt;")=0,"",IF(OR(SUMIFS(N$5:N$315,$A$5:$A$315,$A132,$C$5:$C$315,$C132-1,$D$5:$D$315,$D132)=0,N132*SUMIFS(N$5:N$315,$A$5:$A$315,$A132,$C$5:$C$315,$C132-1,$D$5:$D$315,$D132)&lt;0),"n.s.",ABS(N132)/ABS(SUMIFS(N$5:N$315,$A$5:$A$315,$A132,$C$5:$C$315,$C132-1,$D$5:$D$315,$D132))-1)))</f>
        <v/>
      </c>
      <c r="Y132" s="16">
        <f>IF(OR($A132="",O132="",$C132=""),"",IF(COUNTIFS($A$5:$A$315,$A132,$C$5:$C$315,$C132-1,$D$5:$D$315,$D132,O$5:O$315,"&lt;&gt;")=0,"",IF(OR(SUMIFS(O$5:O$315,$A$5:$A$315,$A132,$C$5:$C$315,$C132-1,$D$5:$D$315,$D132)=0,O132*SUMIFS(O$5:O$315,$A$5:$A$315,$A132,$C$5:$C$315,$C132-1,$D$5:$D$315,$D132)&lt;0),"n.s.",ABS(O132)/ABS(SUMIFS(O$5:O$315,$A$5:$A$315,$A132,$C$5:$C$315,$C132-1,$D$5:$D$315,$D132))-1)))</f>
        <v/>
      </c>
    </row>
    <row r="133">
      <c r="A133" s="9" t="inlineStr">
        <is>
          <t>BOAN</t>
        </is>
      </c>
      <c r="B133" s="10">
        <f>IF(A133="","",IFERROR(VLOOKUP(A133,Titres!$A$2:$B$400,2,FALSE),"Ticker inconnu"))</f>
        <v/>
      </c>
      <c r="C133" s="11" t="n">
        <v>2021</v>
      </c>
      <c r="D133" s="11" t="inlineStr">
        <is>
          <t>T3</t>
        </is>
      </c>
      <c r="E133" s="9" t="n"/>
      <c r="F133" s="12" t="n"/>
      <c r="G133" s="9" t="n"/>
      <c r="H133" s="13" t="n"/>
      <c r="I133" s="13" t="n"/>
      <c r="J133" s="13" t="n"/>
      <c r="K133" s="13" t="n"/>
      <c r="L133" s="13" t="n"/>
      <c r="M133" s="13" t="n"/>
      <c r="N133" s="13" t="n"/>
      <c r="O133" s="13" t="n"/>
      <c r="P133" s="14">
        <f>IF(A133="","",COUNT(H133:O133)/8)</f>
        <v/>
      </c>
      <c r="Q133" s="15">
        <f>IF(COUNT(H133:O133)=0,"",IF(LEN(IF(COUNT(H133,I133,J133)=3,IF(ABS(H133+I133-J133)&lt;=MAX(1,0.02*ABS(J133)),"","RBE &lt;&gt; PNB + frais "),"")&amp;IF(COUNT(J133,K133,L133)=3,IF(ABS(J133+K133-L133)&lt;=MAX(1,0.03*ABS(L133)),"","RAI &lt;&gt; RBE + coût du risque "),"")&amp;IF(COUNT(H133,M133)=2,IF(ABS(M133)&gt;ABS(H133),"RN &gt; PNB ",""),""))=0,"OK",IF(COUNT(H133,I133,J133)=3,IF(ABS(H133+I133-J133)&lt;=MAX(1,0.02*ABS(J133)),"","RBE &lt;&gt; PNB + frais "),"")&amp;IF(COUNT(J133,K133,L133)=3,IF(ABS(J133+K133-L133)&lt;=MAX(1,0.03*ABS(L133)),"","RAI &lt;&gt; RBE + coût du risque "),"")&amp;IF(COUNT(H133,M133)=2,IF(ABS(M133)&gt;ABS(H133),"RN &gt; PNB ",""),"")))</f>
        <v/>
      </c>
      <c r="R133" s="16">
        <f>IF(OR($A133="",H133="",$C133=""),"",IF(COUNTIFS($A$5:$A$315,$A133,$C$5:$C$315,$C133-1,$D$5:$D$315,$D133,H$5:H$315,"&lt;&gt;")=0,"",IF(OR(SUMIFS(H$5:H$315,$A$5:$A$315,$A133,$C$5:$C$315,$C133-1,$D$5:$D$315,$D133)=0,H133*SUMIFS(H$5:H$315,$A$5:$A$315,$A133,$C$5:$C$315,$C133-1,$D$5:$D$315,$D133)&lt;0),"n.s.",ABS(H133)/ABS(SUMIFS(H$5:H$315,$A$5:$A$315,$A133,$C$5:$C$315,$C133-1,$D$5:$D$315,$D133))-1)))</f>
        <v/>
      </c>
      <c r="S133" s="16">
        <f>IF(OR($A133="",I133="",$C133=""),"",IF(COUNTIFS($A$5:$A$315,$A133,$C$5:$C$315,$C133-1,$D$5:$D$315,$D133,I$5:I$315,"&lt;&gt;")=0,"",IF(OR(SUMIFS(I$5:I$315,$A$5:$A$315,$A133,$C$5:$C$315,$C133-1,$D$5:$D$315,$D133)=0,I133*SUMIFS(I$5:I$315,$A$5:$A$315,$A133,$C$5:$C$315,$C133-1,$D$5:$D$315,$D133)&lt;0),"n.s.",ABS(I133)/ABS(SUMIFS(I$5:I$315,$A$5:$A$315,$A133,$C$5:$C$315,$C133-1,$D$5:$D$315,$D133))-1)))</f>
        <v/>
      </c>
      <c r="T133" s="16">
        <f>IF(OR($A133="",J133="",$C133=""),"",IF(COUNTIFS($A$5:$A$315,$A133,$C$5:$C$315,$C133-1,$D$5:$D$315,$D133,J$5:J$315,"&lt;&gt;")=0,"",IF(OR(SUMIFS(J$5:J$315,$A$5:$A$315,$A133,$C$5:$C$315,$C133-1,$D$5:$D$315,$D133)=0,J133*SUMIFS(J$5:J$315,$A$5:$A$315,$A133,$C$5:$C$315,$C133-1,$D$5:$D$315,$D133)&lt;0),"n.s.",ABS(J133)/ABS(SUMIFS(J$5:J$315,$A$5:$A$315,$A133,$C$5:$C$315,$C133-1,$D$5:$D$315,$D133))-1)))</f>
        <v/>
      </c>
      <c r="U133" s="16">
        <f>IF(OR($A133="",K133="",$C133=""),"",IF(COUNTIFS($A$5:$A$315,$A133,$C$5:$C$315,$C133-1,$D$5:$D$315,$D133,K$5:K$315,"&lt;&gt;")=0,"",IF(OR(SUMIFS(K$5:K$315,$A$5:$A$315,$A133,$C$5:$C$315,$C133-1,$D$5:$D$315,$D133)=0,K133*SUMIFS(K$5:K$315,$A$5:$A$315,$A133,$C$5:$C$315,$C133-1,$D$5:$D$315,$D133)&lt;0),"n.s.",ABS(K133)/ABS(SUMIFS(K$5:K$315,$A$5:$A$315,$A133,$C$5:$C$315,$C133-1,$D$5:$D$315,$D133))-1)))</f>
        <v/>
      </c>
      <c r="V133" s="16">
        <f>IF(OR($A133="",L133="",$C133=""),"",IF(COUNTIFS($A$5:$A$315,$A133,$C$5:$C$315,$C133-1,$D$5:$D$315,$D133,L$5:L$315,"&lt;&gt;")=0,"",IF(OR(SUMIFS(L$5:L$315,$A$5:$A$315,$A133,$C$5:$C$315,$C133-1,$D$5:$D$315,$D133)=0,L133*SUMIFS(L$5:L$315,$A$5:$A$315,$A133,$C$5:$C$315,$C133-1,$D$5:$D$315,$D133)&lt;0),"n.s.",ABS(L133)/ABS(SUMIFS(L$5:L$315,$A$5:$A$315,$A133,$C$5:$C$315,$C133-1,$D$5:$D$315,$D133))-1)))</f>
        <v/>
      </c>
      <c r="W133" s="16">
        <f>IF(OR($A133="",M133="",$C133=""),"",IF(COUNTIFS($A$5:$A$315,$A133,$C$5:$C$315,$C133-1,$D$5:$D$315,$D133,M$5:M$315,"&lt;&gt;")=0,"",IF(OR(SUMIFS(M$5:M$315,$A$5:$A$315,$A133,$C$5:$C$315,$C133-1,$D$5:$D$315,$D133)=0,M133*SUMIFS(M$5:M$315,$A$5:$A$315,$A133,$C$5:$C$315,$C133-1,$D$5:$D$315,$D133)&lt;0),"n.s.",ABS(M133)/ABS(SUMIFS(M$5:M$315,$A$5:$A$315,$A133,$C$5:$C$315,$C133-1,$D$5:$D$315,$D133))-1)))</f>
        <v/>
      </c>
      <c r="X133" s="16">
        <f>IF(OR($A133="",N133="",$C133=""),"",IF(COUNTIFS($A$5:$A$315,$A133,$C$5:$C$315,$C133-1,$D$5:$D$315,$D133,N$5:N$315,"&lt;&gt;")=0,"",IF(OR(SUMIFS(N$5:N$315,$A$5:$A$315,$A133,$C$5:$C$315,$C133-1,$D$5:$D$315,$D133)=0,N133*SUMIFS(N$5:N$315,$A$5:$A$315,$A133,$C$5:$C$315,$C133-1,$D$5:$D$315,$D133)&lt;0),"n.s.",ABS(N133)/ABS(SUMIFS(N$5:N$315,$A$5:$A$315,$A133,$C$5:$C$315,$C133-1,$D$5:$D$315,$D133))-1)))</f>
        <v/>
      </c>
      <c r="Y133" s="16">
        <f>IF(OR($A133="",O133="",$C133=""),"",IF(COUNTIFS($A$5:$A$315,$A133,$C$5:$C$315,$C133-1,$D$5:$D$315,$D133,O$5:O$315,"&lt;&gt;")=0,"",IF(OR(SUMIFS(O$5:O$315,$A$5:$A$315,$A133,$C$5:$C$315,$C133-1,$D$5:$D$315,$D133)=0,O133*SUMIFS(O$5:O$315,$A$5:$A$315,$A133,$C$5:$C$315,$C133-1,$D$5:$D$315,$D133)&lt;0),"n.s.",ABS(O133)/ABS(SUMIFS(O$5:O$315,$A$5:$A$315,$A133,$C$5:$C$315,$C133-1,$D$5:$D$315,$D133))-1)))</f>
        <v/>
      </c>
    </row>
    <row r="134">
      <c r="A134" s="9" t="inlineStr">
        <is>
          <t>BOAN</t>
        </is>
      </c>
      <c r="B134" s="10">
        <f>IF(A134="","",IFERROR(VLOOKUP(A134,Titres!$A$2:$B$400,2,FALSE),"Ticker inconnu"))</f>
        <v/>
      </c>
      <c r="C134" s="11" t="n">
        <v>2022</v>
      </c>
      <c r="D134" s="11" t="inlineStr">
        <is>
          <t>T1</t>
        </is>
      </c>
      <c r="E134" s="9" t="n"/>
      <c r="F134" s="12" t="n"/>
      <c r="G134" s="9" t="n"/>
      <c r="H134" s="13" t="n"/>
      <c r="I134" s="13" t="n"/>
      <c r="J134" s="13" t="n"/>
      <c r="K134" s="13" t="n"/>
      <c r="L134" s="13" t="n"/>
      <c r="M134" s="13" t="n"/>
      <c r="N134" s="13" t="n"/>
      <c r="O134" s="13" t="n"/>
      <c r="P134" s="14">
        <f>IF(A134="","",COUNT(H134:O134)/8)</f>
        <v/>
      </c>
      <c r="Q134" s="15">
        <f>IF(COUNT(H134:O134)=0,"",IF(LEN(IF(COUNT(H134,I134,J134)=3,IF(ABS(H134+I134-J134)&lt;=MAX(1,0.02*ABS(J134)),"","RBE &lt;&gt; PNB + frais "),"")&amp;IF(COUNT(J134,K134,L134)=3,IF(ABS(J134+K134-L134)&lt;=MAX(1,0.03*ABS(L134)),"","RAI &lt;&gt; RBE + coût du risque "),"")&amp;IF(COUNT(H134,M134)=2,IF(ABS(M134)&gt;ABS(H134),"RN &gt; PNB ",""),""))=0,"OK",IF(COUNT(H134,I134,J134)=3,IF(ABS(H134+I134-J134)&lt;=MAX(1,0.02*ABS(J134)),"","RBE &lt;&gt; PNB + frais "),"")&amp;IF(COUNT(J134,K134,L134)=3,IF(ABS(J134+K134-L134)&lt;=MAX(1,0.03*ABS(L134)),"","RAI &lt;&gt; RBE + coût du risque "),"")&amp;IF(COUNT(H134,M134)=2,IF(ABS(M134)&gt;ABS(H134),"RN &gt; PNB ",""),"")))</f>
        <v/>
      </c>
      <c r="R134" s="16">
        <f>IF(OR($A134="",H134="",$C134=""),"",IF(COUNTIFS($A$5:$A$315,$A134,$C$5:$C$315,$C134-1,$D$5:$D$315,$D134,H$5:H$315,"&lt;&gt;")=0,"",IF(OR(SUMIFS(H$5:H$315,$A$5:$A$315,$A134,$C$5:$C$315,$C134-1,$D$5:$D$315,$D134)=0,H134*SUMIFS(H$5:H$315,$A$5:$A$315,$A134,$C$5:$C$315,$C134-1,$D$5:$D$315,$D134)&lt;0),"n.s.",ABS(H134)/ABS(SUMIFS(H$5:H$315,$A$5:$A$315,$A134,$C$5:$C$315,$C134-1,$D$5:$D$315,$D134))-1)))</f>
        <v/>
      </c>
      <c r="S134" s="16">
        <f>IF(OR($A134="",I134="",$C134=""),"",IF(COUNTIFS($A$5:$A$315,$A134,$C$5:$C$315,$C134-1,$D$5:$D$315,$D134,I$5:I$315,"&lt;&gt;")=0,"",IF(OR(SUMIFS(I$5:I$315,$A$5:$A$315,$A134,$C$5:$C$315,$C134-1,$D$5:$D$315,$D134)=0,I134*SUMIFS(I$5:I$315,$A$5:$A$315,$A134,$C$5:$C$315,$C134-1,$D$5:$D$315,$D134)&lt;0),"n.s.",ABS(I134)/ABS(SUMIFS(I$5:I$315,$A$5:$A$315,$A134,$C$5:$C$315,$C134-1,$D$5:$D$315,$D134))-1)))</f>
        <v/>
      </c>
      <c r="T134" s="16">
        <f>IF(OR($A134="",J134="",$C134=""),"",IF(COUNTIFS($A$5:$A$315,$A134,$C$5:$C$315,$C134-1,$D$5:$D$315,$D134,J$5:J$315,"&lt;&gt;")=0,"",IF(OR(SUMIFS(J$5:J$315,$A$5:$A$315,$A134,$C$5:$C$315,$C134-1,$D$5:$D$315,$D134)=0,J134*SUMIFS(J$5:J$315,$A$5:$A$315,$A134,$C$5:$C$315,$C134-1,$D$5:$D$315,$D134)&lt;0),"n.s.",ABS(J134)/ABS(SUMIFS(J$5:J$315,$A$5:$A$315,$A134,$C$5:$C$315,$C134-1,$D$5:$D$315,$D134))-1)))</f>
        <v/>
      </c>
      <c r="U134" s="16">
        <f>IF(OR($A134="",K134="",$C134=""),"",IF(COUNTIFS($A$5:$A$315,$A134,$C$5:$C$315,$C134-1,$D$5:$D$315,$D134,K$5:K$315,"&lt;&gt;")=0,"",IF(OR(SUMIFS(K$5:K$315,$A$5:$A$315,$A134,$C$5:$C$315,$C134-1,$D$5:$D$315,$D134)=0,K134*SUMIFS(K$5:K$315,$A$5:$A$315,$A134,$C$5:$C$315,$C134-1,$D$5:$D$315,$D134)&lt;0),"n.s.",ABS(K134)/ABS(SUMIFS(K$5:K$315,$A$5:$A$315,$A134,$C$5:$C$315,$C134-1,$D$5:$D$315,$D134))-1)))</f>
        <v/>
      </c>
      <c r="V134" s="16">
        <f>IF(OR($A134="",L134="",$C134=""),"",IF(COUNTIFS($A$5:$A$315,$A134,$C$5:$C$315,$C134-1,$D$5:$D$315,$D134,L$5:L$315,"&lt;&gt;")=0,"",IF(OR(SUMIFS(L$5:L$315,$A$5:$A$315,$A134,$C$5:$C$315,$C134-1,$D$5:$D$315,$D134)=0,L134*SUMIFS(L$5:L$315,$A$5:$A$315,$A134,$C$5:$C$315,$C134-1,$D$5:$D$315,$D134)&lt;0),"n.s.",ABS(L134)/ABS(SUMIFS(L$5:L$315,$A$5:$A$315,$A134,$C$5:$C$315,$C134-1,$D$5:$D$315,$D134))-1)))</f>
        <v/>
      </c>
      <c r="W134" s="16">
        <f>IF(OR($A134="",M134="",$C134=""),"",IF(COUNTIFS($A$5:$A$315,$A134,$C$5:$C$315,$C134-1,$D$5:$D$315,$D134,M$5:M$315,"&lt;&gt;")=0,"",IF(OR(SUMIFS(M$5:M$315,$A$5:$A$315,$A134,$C$5:$C$315,$C134-1,$D$5:$D$315,$D134)=0,M134*SUMIFS(M$5:M$315,$A$5:$A$315,$A134,$C$5:$C$315,$C134-1,$D$5:$D$315,$D134)&lt;0),"n.s.",ABS(M134)/ABS(SUMIFS(M$5:M$315,$A$5:$A$315,$A134,$C$5:$C$315,$C134-1,$D$5:$D$315,$D134))-1)))</f>
        <v/>
      </c>
      <c r="X134" s="16">
        <f>IF(OR($A134="",N134="",$C134=""),"",IF(COUNTIFS($A$5:$A$315,$A134,$C$5:$C$315,$C134-1,$D$5:$D$315,$D134,N$5:N$315,"&lt;&gt;")=0,"",IF(OR(SUMIFS(N$5:N$315,$A$5:$A$315,$A134,$C$5:$C$315,$C134-1,$D$5:$D$315,$D134)=0,N134*SUMIFS(N$5:N$315,$A$5:$A$315,$A134,$C$5:$C$315,$C134-1,$D$5:$D$315,$D134)&lt;0),"n.s.",ABS(N134)/ABS(SUMIFS(N$5:N$315,$A$5:$A$315,$A134,$C$5:$C$315,$C134-1,$D$5:$D$315,$D134))-1)))</f>
        <v/>
      </c>
      <c r="Y134" s="16">
        <f>IF(OR($A134="",O134="",$C134=""),"",IF(COUNTIFS($A$5:$A$315,$A134,$C$5:$C$315,$C134-1,$D$5:$D$315,$D134,O$5:O$315,"&lt;&gt;")=0,"",IF(OR(SUMIFS(O$5:O$315,$A$5:$A$315,$A134,$C$5:$C$315,$C134-1,$D$5:$D$315,$D134)=0,O134*SUMIFS(O$5:O$315,$A$5:$A$315,$A134,$C$5:$C$315,$C134-1,$D$5:$D$315,$D134)&lt;0),"n.s.",ABS(O134)/ABS(SUMIFS(O$5:O$315,$A$5:$A$315,$A134,$C$5:$C$315,$C134-1,$D$5:$D$315,$D134))-1)))</f>
        <v/>
      </c>
    </row>
    <row r="135">
      <c r="A135" s="9" t="inlineStr">
        <is>
          <t>BOAN</t>
        </is>
      </c>
      <c r="B135" s="10">
        <f>IF(A135="","",IFERROR(VLOOKUP(A135,Titres!$A$2:$B$400,2,FALSE),"Ticker inconnu"))</f>
        <v/>
      </c>
      <c r="C135" s="11" t="n">
        <v>2022</v>
      </c>
      <c r="D135" s="11" t="inlineStr">
        <is>
          <t>S1</t>
        </is>
      </c>
      <c r="E135" s="9" t="n"/>
      <c r="F135" s="12" t="n"/>
      <c r="G135" s="9" t="n"/>
      <c r="H135" s="13" t="n"/>
      <c r="I135" s="13" t="n"/>
      <c r="J135" s="13" t="n"/>
      <c r="K135" s="13" t="n"/>
      <c r="L135" s="13" t="n"/>
      <c r="M135" s="13" t="n"/>
      <c r="N135" s="13" t="n"/>
      <c r="O135" s="13" t="n"/>
      <c r="P135" s="14">
        <f>IF(A135="","",COUNT(H135:O135)/8)</f>
        <v/>
      </c>
      <c r="Q135" s="15">
        <f>IF(COUNT(H135:O135)=0,"",IF(LEN(IF(COUNT(H135,I135,J135)=3,IF(ABS(H135+I135-J135)&lt;=MAX(1,0.02*ABS(J135)),"","RBE &lt;&gt; PNB + frais "),"")&amp;IF(COUNT(J135,K135,L135)=3,IF(ABS(J135+K135-L135)&lt;=MAX(1,0.03*ABS(L135)),"","RAI &lt;&gt; RBE + coût du risque "),"")&amp;IF(COUNT(H135,M135)=2,IF(ABS(M135)&gt;ABS(H135),"RN &gt; PNB ",""),""))=0,"OK",IF(COUNT(H135,I135,J135)=3,IF(ABS(H135+I135-J135)&lt;=MAX(1,0.02*ABS(J135)),"","RBE &lt;&gt; PNB + frais "),"")&amp;IF(COUNT(J135,K135,L135)=3,IF(ABS(J135+K135-L135)&lt;=MAX(1,0.03*ABS(L135)),"","RAI &lt;&gt; RBE + coût du risque "),"")&amp;IF(COUNT(H135,M135)=2,IF(ABS(M135)&gt;ABS(H135),"RN &gt; PNB ",""),"")))</f>
        <v/>
      </c>
      <c r="R135" s="16">
        <f>IF(OR($A135="",H135="",$C135=""),"",IF(COUNTIFS($A$5:$A$315,$A135,$C$5:$C$315,$C135-1,$D$5:$D$315,$D135,H$5:H$315,"&lt;&gt;")=0,"",IF(OR(SUMIFS(H$5:H$315,$A$5:$A$315,$A135,$C$5:$C$315,$C135-1,$D$5:$D$315,$D135)=0,H135*SUMIFS(H$5:H$315,$A$5:$A$315,$A135,$C$5:$C$315,$C135-1,$D$5:$D$315,$D135)&lt;0),"n.s.",ABS(H135)/ABS(SUMIFS(H$5:H$315,$A$5:$A$315,$A135,$C$5:$C$315,$C135-1,$D$5:$D$315,$D135))-1)))</f>
        <v/>
      </c>
      <c r="S135" s="16">
        <f>IF(OR($A135="",I135="",$C135=""),"",IF(COUNTIFS($A$5:$A$315,$A135,$C$5:$C$315,$C135-1,$D$5:$D$315,$D135,I$5:I$315,"&lt;&gt;")=0,"",IF(OR(SUMIFS(I$5:I$315,$A$5:$A$315,$A135,$C$5:$C$315,$C135-1,$D$5:$D$315,$D135)=0,I135*SUMIFS(I$5:I$315,$A$5:$A$315,$A135,$C$5:$C$315,$C135-1,$D$5:$D$315,$D135)&lt;0),"n.s.",ABS(I135)/ABS(SUMIFS(I$5:I$315,$A$5:$A$315,$A135,$C$5:$C$315,$C135-1,$D$5:$D$315,$D135))-1)))</f>
        <v/>
      </c>
      <c r="T135" s="16">
        <f>IF(OR($A135="",J135="",$C135=""),"",IF(COUNTIFS($A$5:$A$315,$A135,$C$5:$C$315,$C135-1,$D$5:$D$315,$D135,J$5:J$315,"&lt;&gt;")=0,"",IF(OR(SUMIFS(J$5:J$315,$A$5:$A$315,$A135,$C$5:$C$315,$C135-1,$D$5:$D$315,$D135)=0,J135*SUMIFS(J$5:J$315,$A$5:$A$315,$A135,$C$5:$C$315,$C135-1,$D$5:$D$315,$D135)&lt;0),"n.s.",ABS(J135)/ABS(SUMIFS(J$5:J$315,$A$5:$A$315,$A135,$C$5:$C$315,$C135-1,$D$5:$D$315,$D135))-1)))</f>
        <v/>
      </c>
      <c r="U135" s="16">
        <f>IF(OR($A135="",K135="",$C135=""),"",IF(COUNTIFS($A$5:$A$315,$A135,$C$5:$C$315,$C135-1,$D$5:$D$315,$D135,K$5:K$315,"&lt;&gt;")=0,"",IF(OR(SUMIFS(K$5:K$315,$A$5:$A$315,$A135,$C$5:$C$315,$C135-1,$D$5:$D$315,$D135)=0,K135*SUMIFS(K$5:K$315,$A$5:$A$315,$A135,$C$5:$C$315,$C135-1,$D$5:$D$315,$D135)&lt;0),"n.s.",ABS(K135)/ABS(SUMIFS(K$5:K$315,$A$5:$A$315,$A135,$C$5:$C$315,$C135-1,$D$5:$D$315,$D135))-1)))</f>
        <v/>
      </c>
      <c r="V135" s="16">
        <f>IF(OR($A135="",L135="",$C135=""),"",IF(COUNTIFS($A$5:$A$315,$A135,$C$5:$C$315,$C135-1,$D$5:$D$315,$D135,L$5:L$315,"&lt;&gt;")=0,"",IF(OR(SUMIFS(L$5:L$315,$A$5:$A$315,$A135,$C$5:$C$315,$C135-1,$D$5:$D$315,$D135)=0,L135*SUMIFS(L$5:L$315,$A$5:$A$315,$A135,$C$5:$C$315,$C135-1,$D$5:$D$315,$D135)&lt;0),"n.s.",ABS(L135)/ABS(SUMIFS(L$5:L$315,$A$5:$A$315,$A135,$C$5:$C$315,$C135-1,$D$5:$D$315,$D135))-1)))</f>
        <v/>
      </c>
      <c r="W135" s="16">
        <f>IF(OR($A135="",M135="",$C135=""),"",IF(COUNTIFS($A$5:$A$315,$A135,$C$5:$C$315,$C135-1,$D$5:$D$315,$D135,M$5:M$315,"&lt;&gt;")=0,"",IF(OR(SUMIFS(M$5:M$315,$A$5:$A$315,$A135,$C$5:$C$315,$C135-1,$D$5:$D$315,$D135)=0,M135*SUMIFS(M$5:M$315,$A$5:$A$315,$A135,$C$5:$C$315,$C135-1,$D$5:$D$315,$D135)&lt;0),"n.s.",ABS(M135)/ABS(SUMIFS(M$5:M$315,$A$5:$A$315,$A135,$C$5:$C$315,$C135-1,$D$5:$D$315,$D135))-1)))</f>
        <v/>
      </c>
      <c r="X135" s="16">
        <f>IF(OR($A135="",N135="",$C135=""),"",IF(COUNTIFS($A$5:$A$315,$A135,$C$5:$C$315,$C135-1,$D$5:$D$315,$D135,N$5:N$315,"&lt;&gt;")=0,"",IF(OR(SUMIFS(N$5:N$315,$A$5:$A$315,$A135,$C$5:$C$315,$C135-1,$D$5:$D$315,$D135)=0,N135*SUMIFS(N$5:N$315,$A$5:$A$315,$A135,$C$5:$C$315,$C135-1,$D$5:$D$315,$D135)&lt;0),"n.s.",ABS(N135)/ABS(SUMIFS(N$5:N$315,$A$5:$A$315,$A135,$C$5:$C$315,$C135-1,$D$5:$D$315,$D135))-1)))</f>
        <v/>
      </c>
      <c r="Y135" s="16">
        <f>IF(OR($A135="",O135="",$C135=""),"",IF(COUNTIFS($A$5:$A$315,$A135,$C$5:$C$315,$C135-1,$D$5:$D$315,$D135,O$5:O$315,"&lt;&gt;")=0,"",IF(OR(SUMIFS(O$5:O$315,$A$5:$A$315,$A135,$C$5:$C$315,$C135-1,$D$5:$D$315,$D135)=0,O135*SUMIFS(O$5:O$315,$A$5:$A$315,$A135,$C$5:$C$315,$C135-1,$D$5:$D$315,$D135)&lt;0),"n.s.",ABS(O135)/ABS(SUMIFS(O$5:O$315,$A$5:$A$315,$A135,$C$5:$C$315,$C135-1,$D$5:$D$315,$D135))-1)))</f>
        <v/>
      </c>
    </row>
    <row r="136">
      <c r="A136" s="9" t="inlineStr">
        <is>
          <t>BOAN</t>
        </is>
      </c>
      <c r="B136" s="10">
        <f>IF(A136="","",IFERROR(VLOOKUP(A136,Titres!$A$2:$B$400,2,FALSE),"Ticker inconnu"))</f>
        <v/>
      </c>
      <c r="C136" s="11" t="n">
        <v>2022</v>
      </c>
      <c r="D136" s="11" t="inlineStr">
        <is>
          <t>T3</t>
        </is>
      </c>
      <c r="E136" s="9" t="n"/>
      <c r="F136" s="12" t="n"/>
      <c r="G136" s="9" t="n"/>
      <c r="H136" s="13" t="n"/>
      <c r="I136" s="13" t="n"/>
      <c r="J136" s="13" t="n"/>
      <c r="K136" s="13" t="n"/>
      <c r="L136" s="13" t="n"/>
      <c r="M136" s="13" t="n"/>
      <c r="N136" s="13" t="n"/>
      <c r="O136" s="13" t="n"/>
      <c r="P136" s="14">
        <f>IF(A136="","",COUNT(H136:O136)/8)</f>
        <v/>
      </c>
      <c r="Q136" s="15">
        <f>IF(COUNT(H136:O136)=0,"",IF(LEN(IF(COUNT(H136,I136,J136)=3,IF(ABS(H136+I136-J136)&lt;=MAX(1,0.02*ABS(J136)),"","RBE &lt;&gt; PNB + frais "),"")&amp;IF(COUNT(J136,K136,L136)=3,IF(ABS(J136+K136-L136)&lt;=MAX(1,0.03*ABS(L136)),"","RAI &lt;&gt; RBE + coût du risque "),"")&amp;IF(COUNT(H136,M136)=2,IF(ABS(M136)&gt;ABS(H136),"RN &gt; PNB ",""),""))=0,"OK",IF(COUNT(H136,I136,J136)=3,IF(ABS(H136+I136-J136)&lt;=MAX(1,0.02*ABS(J136)),"","RBE &lt;&gt; PNB + frais "),"")&amp;IF(COUNT(J136,K136,L136)=3,IF(ABS(J136+K136-L136)&lt;=MAX(1,0.03*ABS(L136)),"","RAI &lt;&gt; RBE + coût du risque "),"")&amp;IF(COUNT(H136,M136)=2,IF(ABS(M136)&gt;ABS(H136),"RN &gt; PNB ",""),"")))</f>
        <v/>
      </c>
      <c r="R136" s="16">
        <f>IF(OR($A136="",H136="",$C136=""),"",IF(COUNTIFS($A$5:$A$315,$A136,$C$5:$C$315,$C136-1,$D$5:$D$315,$D136,H$5:H$315,"&lt;&gt;")=0,"",IF(OR(SUMIFS(H$5:H$315,$A$5:$A$315,$A136,$C$5:$C$315,$C136-1,$D$5:$D$315,$D136)=0,H136*SUMIFS(H$5:H$315,$A$5:$A$315,$A136,$C$5:$C$315,$C136-1,$D$5:$D$315,$D136)&lt;0),"n.s.",ABS(H136)/ABS(SUMIFS(H$5:H$315,$A$5:$A$315,$A136,$C$5:$C$315,$C136-1,$D$5:$D$315,$D136))-1)))</f>
        <v/>
      </c>
      <c r="S136" s="16">
        <f>IF(OR($A136="",I136="",$C136=""),"",IF(COUNTIFS($A$5:$A$315,$A136,$C$5:$C$315,$C136-1,$D$5:$D$315,$D136,I$5:I$315,"&lt;&gt;")=0,"",IF(OR(SUMIFS(I$5:I$315,$A$5:$A$315,$A136,$C$5:$C$315,$C136-1,$D$5:$D$315,$D136)=0,I136*SUMIFS(I$5:I$315,$A$5:$A$315,$A136,$C$5:$C$315,$C136-1,$D$5:$D$315,$D136)&lt;0),"n.s.",ABS(I136)/ABS(SUMIFS(I$5:I$315,$A$5:$A$315,$A136,$C$5:$C$315,$C136-1,$D$5:$D$315,$D136))-1)))</f>
        <v/>
      </c>
      <c r="T136" s="16">
        <f>IF(OR($A136="",J136="",$C136=""),"",IF(COUNTIFS($A$5:$A$315,$A136,$C$5:$C$315,$C136-1,$D$5:$D$315,$D136,J$5:J$315,"&lt;&gt;")=0,"",IF(OR(SUMIFS(J$5:J$315,$A$5:$A$315,$A136,$C$5:$C$315,$C136-1,$D$5:$D$315,$D136)=0,J136*SUMIFS(J$5:J$315,$A$5:$A$315,$A136,$C$5:$C$315,$C136-1,$D$5:$D$315,$D136)&lt;0),"n.s.",ABS(J136)/ABS(SUMIFS(J$5:J$315,$A$5:$A$315,$A136,$C$5:$C$315,$C136-1,$D$5:$D$315,$D136))-1)))</f>
        <v/>
      </c>
      <c r="U136" s="16">
        <f>IF(OR($A136="",K136="",$C136=""),"",IF(COUNTIFS($A$5:$A$315,$A136,$C$5:$C$315,$C136-1,$D$5:$D$315,$D136,K$5:K$315,"&lt;&gt;")=0,"",IF(OR(SUMIFS(K$5:K$315,$A$5:$A$315,$A136,$C$5:$C$315,$C136-1,$D$5:$D$315,$D136)=0,K136*SUMIFS(K$5:K$315,$A$5:$A$315,$A136,$C$5:$C$315,$C136-1,$D$5:$D$315,$D136)&lt;0),"n.s.",ABS(K136)/ABS(SUMIFS(K$5:K$315,$A$5:$A$315,$A136,$C$5:$C$315,$C136-1,$D$5:$D$315,$D136))-1)))</f>
        <v/>
      </c>
      <c r="V136" s="16">
        <f>IF(OR($A136="",L136="",$C136=""),"",IF(COUNTIFS($A$5:$A$315,$A136,$C$5:$C$315,$C136-1,$D$5:$D$315,$D136,L$5:L$315,"&lt;&gt;")=0,"",IF(OR(SUMIFS(L$5:L$315,$A$5:$A$315,$A136,$C$5:$C$315,$C136-1,$D$5:$D$315,$D136)=0,L136*SUMIFS(L$5:L$315,$A$5:$A$315,$A136,$C$5:$C$315,$C136-1,$D$5:$D$315,$D136)&lt;0),"n.s.",ABS(L136)/ABS(SUMIFS(L$5:L$315,$A$5:$A$315,$A136,$C$5:$C$315,$C136-1,$D$5:$D$315,$D136))-1)))</f>
        <v/>
      </c>
      <c r="W136" s="16">
        <f>IF(OR($A136="",M136="",$C136=""),"",IF(COUNTIFS($A$5:$A$315,$A136,$C$5:$C$315,$C136-1,$D$5:$D$315,$D136,M$5:M$315,"&lt;&gt;")=0,"",IF(OR(SUMIFS(M$5:M$315,$A$5:$A$315,$A136,$C$5:$C$315,$C136-1,$D$5:$D$315,$D136)=0,M136*SUMIFS(M$5:M$315,$A$5:$A$315,$A136,$C$5:$C$315,$C136-1,$D$5:$D$315,$D136)&lt;0),"n.s.",ABS(M136)/ABS(SUMIFS(M$5:M$315,$A$5:$A$315,$A136,$C$5:$C$315,$C136-1,$D$5:$D$315,$D136))-1)))</f>
        <v/>
      </c>
      <c r="X136" s="16">
        <f>IF(OR($A136="",N136="",$C136=""),"",IF(COUNTIFS($A$5:$A$315,$A136,$C$5:$C$315,$C136-1,$D$5:$D$315,$D136,N$5:N$315,"&lt;&gt;")=0,"",IF(OR(SUMIFS(N$5:N$315,$A$5:$A$315,$A136,$C$5:$C$315,$C136-1,$D$5:$D$315,$D136)=0,N136*SUMIFS(N$5:N$315,$A$5:$A$315,$A136,$C$5:$C$315,$C136-1,$D$5:$D$315,$D136)&lt;0),"n.s.",ABS(N136)/ABS(SUMIFS(N$5:N$315,$A$5:$A$315,$A136,$C$5:$C$315,$C136-1,$D$5:$D$315,$D136))-1)))</f>
        <v/>
      </c>
      <c r="Y136" s="16">
        <f>IF(OR($A136="",O136="",$C136=""),"",IF(COUNTIFS($A$5:$A$315,$A136,$C$5:$C$315,$C136-1,$D$5:$D$315,$D136,O$5:O$315,"&lt;&gt;")=0,"",IF(OR(SUMIFS(O$5:O$315,$A$5:$A$315,$A136,$C$5:$C$315,$C136-1,$D$5:$D$315,$D136)=0,O136*SUMIFS(O$5:O$315,$A$5:$A$315,$A136,$C$5:$C$315,$C136-1,$D$5:$D$315,$D136)&lt;0),"n.s.",ABS(O136)/ABS(SUMIFS(O$5:O$315,$A$5:$A$315,$A136,$C$5:$C$315,$C136-1,$D$5:$D$315,$D136))-1)))</f>
        <v/>
      </c>
    </row>
    <row r="137">
      <c r="A137" s="9" t="inlineStr">
        <is>
          <t>BOAN</t>
        </is>
      </c>
      <c r="B137" s="10">
        <f>IF(A137="","",IFERROR(VLOOKUP(A137,Titres!$A$2:$B$400,2,FALSE),"Ticker inconnu"))</f>
        <v/>
      </c>
      <c r="C137" s="11" t="n">
        <v>2023</v>
      </c>
      <c r="D137" s="11" t="inlineStr">
        <is>
          <t>T1</t>
        </is>
      </c>
      <c r="E137" s="9" t="n"/>
      <c r="F137" s="12" t="n"/>
      <c r="G137" s="9" t="n"/>
      <c r="H137" s="13" t="n"/>
      <c r="I137" s="13" t="n"/>
      <c r="J137" s="13" t="n"/>
      <c r="K137" s="13" t="n"/>
      <c r="L137" s="13" t="n"/>
      <c r="M137" s="13" t="n"/>
      <c r="N137" s="13" t="n"/>
      <c r="O137" s="13" t="n"/>
      <c r="P137" s="14">
        <f>IF(A137="","",COUNT(H137:O137)/8)</f>
        <v/>
      </c>
      <c r="Q137" s="15">
        <f>IF(COUNT(H137:O137)=0,"",IF(LEN(IF(COUNT(H137,I137,J137)=3,IF(ABS(H137+I137-J137)&lt;=MAX(1,0.02*ABS(J137)),"","RBE &lt;&gt; PNB + frais "),"")&amp;IF(COUNT(J137,K137,L137)=3,IF(ABS(J137+K137-L137)&lt;=MAX(1,0.03*ABS(L137)),"","RAI &lt;&gt; RBE + coût du risque "),"")&amp;IF(COUNT(H137,M137)=2,IF(ABS(M137)&gt;ABS(H137),"RN &gt; PNB ",""),""))=0,"OK",IF(COUNT(H137,I137,J137)=3,IF(ABS(H137+I137-J137)&lt;=MAX(1,0.02*ABS(J137)),"","RBE &lt;&gt; PNB + frais "),"")&amp;IF(COUNT(J137,K137,L137)=3,IF(ABS(J137+K137-L137)&lt;=MAX(1,0.03*ABS(L137)),"","RAI &lt;&gt; RBE + coût du risque "),"")&amp;IF(COUNT(H137,M137)=2,IF(ABS(M137)&gt;ABS(H137),"RN &gt; PNB ",""),"")))</f>
        <v/>
      </c>
      <c r="R137" s="16">
        <f>IF(OR($A137="",H137="",$C137=""),"",IF(COUNTIFS($A$5:$A$315,$A137,$C$5:$C$315,$C137-1,$D$5:$D$315,$D137,H$5:H$315,"&lt;&gt;")=0,"",IF(OR(SUMIFS(H$5:H$315,$A$5:$A$315,$A137,$C$5:$C$315,$C137-1,$D$5:$D$315,$D137)=0,H137*SUMIFS(H$5:H$315,$A$5:$A$315,$A137,$C$5:$C$315,$C137-1,$D$5:$D$315,$D137)&lt;0),"n.s.",ABS(H137)/ABS(SUMIFS(H$5:H$315,$A$5:$A$315,$A137,$C$5:$C$315,$C137-1,$D$5:$D$315,$D137))-1)))</f>
        <v/>
      </c>
      <c r="S137" s="16">
        <f>IF(OR($A137="",I137="",$C137=""),"",IF(COUNTIFS($A$5:$A$315,$A137,$C$5:$C$315,$C137-1,$D$5:$D$315,$D137,I$5:I$315,"&lt;&gt;")=0,"",IF(OR(SUMIFS(I$5:I$315,$A$5:$A$315,$A137,$C$5:$C$315,$C137-1,$D$5:$D$315,$D137)=0,I137*SUMIFS(I$5:I$315,$A$5:$A$315,$A137,$C$5:$C$315,$C137-1,$D$5:$D$315,$D137)&lt;0),"n.s.",ABS(I137)/ABS(SUMIFS(I$5:I$315,$A$5:$A$315,$A137,$C$5:$C$315,$C137-1,$D$5:$D$315,$D137))-1)))</f>
        <v/>
      </c>
      <c r="T137" s="16">
        <f>IF(OR($A137="",J137="",$C137=""),"",IF(COUNTIFS($A$5:$A$315,$A137,$C$5:$C$315,$C137-1,$D$5:$D$315,$D137,J$5:J$315,"&lt;&gt;")=0,"",IF(OR(SUMIFS(J$5:J$315,$A$5:$A$315,$A137,$C$5:$C$315,$C137-1,$D$5:$D$315,$D137)=0,J137*SUMIFS(J$5:J$315,$A$5:$A$315,$A137,$C$5:$C$315,$C137-1,$D$5:$D$315,$D137)&lt;0),"n.s.",ABS(J137)/ABS(SUMIFS(J$5:J$315,$A$5:$A$315,$A137,$C$5:$C$315,$C137-1,$D$5:$D$315,$D137))-1)))</f>
        <v/>
      </c>
      <c r="U137" s="16">
        <f>IF(OR($A137="",K137="",$C137=""),"",IF(COUNTIFS($A$5:$A$315,$A137,$C$5:$C$315,$C137-1,$D$5:$D$315,$D137,K$5:K$315,"&lt;&gt;")=0,"",IF(OR(SUMIFS(K$5:K$315,$A$5:$A$315,$A137,$C$5:$C$315,$C137-1,$D$5:$D$315,$D137)=0,K137*SUMIFS(K$5:K$315,$A$5:$A$315,$A137,$C$5:$C$315,$C137-1,$D$5:$D$315,$D137)&lt;0),"n.s.",ABS(K137)/ABS(SUMIFS(K$5:K$315,$A$5:$A$315,$A137,$C$5:$C$315,$C137-1,$D$5:$D$315,$D137))-1)))</f>
        <v/>
      </c>
      <c r="V137" s="16">
        <f>IF(OR($A137="",L137="",$C137=""),"",IF(COUNTIFS($A$5:$A$315,$A137,$C$5:$C$315,$C137-1,$D$5:$D$315,$D137,L$5:L$315,"&lt;&gt;")=0,"",IF(OR(SUMIFS(L$5:L$315,$A$5:$A$315,$A137,$C$5:$C$315,$C137-1,$D$5:$D$315,$D137)=0,L137*SUMIFS(L$5:L$315,$A$5:$A$315,$A137,$C$5:$C$315,$C137-1,$D$5:$D$315,$D137)&lt;0),"n.s.",ABS(L137)/ABS(SUMIFS(L$5:L$315,$A$5:$A$315,$A137,$C$5:$C$315,$C137-1,$D$5:$D$315,$D137))-1)))</f>
        <v/>
      </c>
      <c r="W137" s="16">
        <f>IF(OR($A137="",M137="",$C137=""),"",IF(COUNTIFS($A$5:$A$315,$A137,$C$5:$C$315,$C137-1,$D$5:$D$315,$D137,M$5:M$315,"&lt;&gt;")=0,"",IF(OR(SUMIFS(M$5:M$315,$A$5:$A$315,$A137,$C$5:$C$315,$C137-1,$D$5:$D$315,$D137)=0,M137*SUMIFS(M$5:M$315,$A$5:$A$315,$A137,$C$5:$C$315,$C137-1,$D$5:$D$315,$D137)&lt;0),"n.s.",ABS(M137)/ABS(SUMIFS(M$5:M$315,$A$5:$A$315,$A137,$C$5:$C$315,$C137-1,$D$5:$D$315,$D137))-1)))</f>
        <v/>
      </c>
      <c r="X137" s="16">
        <f>IF(OR($A137="",N137="",$C137=""),"",IF(COUNTIFS($A$5:$A$315,$A137,$C$5:$C$315,$C137-1,$D$5:$D$315,$D137,N$5:N$315,"&lt;&gt;")=0,"",IF(OR(SUMIFS(N$5:N$315,$A$5:$A$315,$A137,$C$5:$C$315,$C137-1,$D$5:$D$315,$D137)=0,N137*SUMIFS(N$5:N$315,$A$5:$A$315,$A137,$C$5:$C$315,$C137-1,$D$5:$D$315,$D137)&lt;0),"n.s.",ABS(N137)/ABS(SUMIFS(N$5:N$315,$A$5:$A$315,$A137,$C$5:$C$315,$C137-1,$D$5:$D$315,$D137))-1)))</f>
        <v/>
      </c>
      <c r="Y137" s="16">
        <f>IF(OR($A137="",O137="",$C137=""),"",IF(COUNTIFS($A$5:$A$315,$A137,$C$5:$C$315,$C137-1,$D$5:$D$315,$D137,O$5:O$315,"&lt;&gt;")=0,"",IF(OR(SUMIFS(O$5:O$315,$A$5:$A$315,$A137,$C$5:$C$315,$C137-1,$D$5:$D$315,$D137)=0,O137*SUMIFS(O$5:O$315,$A$5:$A$315,$A137,$C$5:$C$315,$C137-1,$D$5:$D$315,$D137)&lt;0),"n.s.",ABS(O137)/ABS(SUMIFS(O$5:O$315,$A$5:$A$315,$A137,$C$5:$C$315,$C137-1,$D$5:$D$315,$D137))-1)))</f>
        <v/>
      </c>
    </row>
    <row r="138">
      <c r="A138" s="9" t="inlineStr">
        <is>
          <t>BOAN</t>
        </is>
      </c>
      <c r="B138" s="10">
        <f>IF(A138="","",IFERROR(VLOOKUP(A138,Titres!$A$2:$B$400,2,FALSE),"Ticker inconnu"))</f>
        <v/>
      </c>
      <c r="C138" s="11" t="n">
        <v>2023</v>
      </c>
      <c r="D138" s="11" t="inlineStr">
        <is>
          <t>S1</t>
        </is>
      </c>
      <c r="E138" s="9" t="n"/>
      <c r="F138" s="12" t="n"/>
      <c r="G138" s="9" t="n"/>
      <c r="H138" s="13" t="n"/>
      <c r="I138" s="13" t="n"/>
      <c r="J138" s="13" t="n"/>
      <c r="K138" s="13" t="n"/>
      <c r="L138" s="13" t="n"/>
      <c r="M138" s="13" t="n"/>
      <c r="N138" s="13" t="n"/>
      <c r="O138" s="13" t="n"/>
      <c r="P138" s="14">
        <f>IF(A138="","",COUNT(H138:O138)/8)</f>
        <v/>
      </c>
      <c r="Q138" s="15">
        <f>IF(COUNT(H138:O138)=0,"",IF(LEN(IF(COUNT(H138,I138,J138)=3,IF(ABS(H138+I138-J138)&lt;=MAX(1,0.02*ABS(J138)),"","RBE &lt;&gt; PNB + frais "),"")&amp;IF(COUNT(J138,K138,L138)=3,IF(ABS(J138+K138-L138)&lt;=MAX(1,0.03*ABS(L138)),"","RAI &lt;&gt; RBE + coût du risque "),"")&amp;IF(COUNT(H138,M138)=2,IF(ABS(M138)&gt;ABS(H138),"RN &gt; PNB ",""),""))=0,"OK",IF(COUNT(H138,I138,J138)=3,IF(ABS(H138+I138-J138)&lt;=MAX(1,0.02*ABS(J138)),"","RBE &lt;&gt; PNB + frais "),"")&amp;IF(COUNT(J138,K138,L138)=3,IF(ABS(J138+K138-L138)&lt;=MAX(1,0.03*ABS(L138)),"","RAI &lt;&gt; RBE + coût du risque "),"")&amp;IF(COUNT(H138,M138)=2,IF(ABS(M138)&gt;ABS(H138),"RN &gt; PNB ",""),"")))</f>
        <v/>
      </c>
      <c r="R138" s="16">
        <f>IF(OR($A138="",H138="",$C138=""),"",IF(COUNTIFS($A$5:$A$315,$A138,$C$5:$C$315,$C138-1,$D$5:$D$315,$D138,H$5:H$315,"&lt;&gt;")=0,"",IF(OR(SUMIFS(H$5:H$315,$A$5:$A$315,$A138,$C$5:$C$315,$C138-1,$D$5:$D$315,$D138)=0,H138*SUMIFS(H$5:H$315,$A$5:$A$315,$A138,$C$5:$C$315,$C138-1,$D$5:$D$315,$D138)&lt;0),"n.s.",ABS(H138)/ABS(SUMIFS(H$5:H$315,$A$5:$A$315,$A138,$C$5:$C$315,$C138-1,$D$5:$D$315,$D138))-1)))</f>
        <v/>
      </c>
      <c r="S138" s="16">
        <f>IF(OR($A138="",I138="",$C138=""),"",IF(COUNTIFS($A$5:$A$315,$A138,$C$5:$C$315,$C138-1,$D$5:$D$315,$D138,I$5:I$315,"&lt;&gt;")=0,"",IF(OR(SUMIFS(I$5:I$315,$A$5:$A$315,$A138,$C$5:$C$315,$C138-1,$D$5:$D$315,$D138)=0,I138*SUMIFS(I$5:I$315,$A$5:$A$315,$A138,$C$5:$C$315,$C138-1,$D$5:$D$315,$D138)&lt;0),"n.s.",ABS(I138)/ABS(SUMIFS(I$5:I$315,$A$5:$A$315,$A138,$C$5:$C$315,$C138-1,$D$5:$D$315,$D138))-1)))</f>
        <v/>
      </c>
      <c r="T138" s="16">
        <f>IF(OR($A138="",J138="",$C138=""),"",IF(COUNTIFS($A$5:$A$315,$A138,$C$5:$C$315,$C138-1,$D$5:$D$315,$D138,J$5:J$315,"&lt;&gt;")=0,"",IF(OR(SUMIFS(J$5:J$315,$A$5:$A$315,$A138,$C$5:$C$315,$C138-1,$D$5:$D$315,$D138)=0,J138*SUMIFS(J$5:J$315,$A$5:$A$315,$A138,$C$5:$C$315,$C138-1,$D$5:$D$315,$D138)&lt;0),"n.s.",ABS(J138)/ABS(SUMIFS(J$5:J$315,$A$5:$A$315,$A138,$C$5:$C$315,$C138-1,$D$5:$D$315,$D138))-1)))</f>
        <v/>
      </c>
      <c r="U138" s="16">
        <f>IF(OR($A138="",K138="",$C138=""),"",IF(COUNTIFS($A$5:$A$315,$A138,$C$5:$C$315,$C138-1,$D$5:$D$315,$D138,K$5:K$315,"&lt;&gt;")=0,"",IF(OR(SUMIFS(K$5:K$315,$A$5:$A$315,$A138,$C$5:$C$315,$C138-1,$D$5:$D$315,$D138)=0,K138*SUMIFS(K$5:K$315,$A$5:$A$315,$A138,$C$5:$C$315,$C138-1,$D$5:$D$315,$D138)&lt;0),"n.s.",ABS(K138)/ABS(SUMIFS(K$5:K$315,$A$5:$A$315,$A138,$C$5:$C$315,$C138-1,$D$5:$D$315,$D138))-1)))</f>
        <v/>
      </c>
      <c r="V138" s="16">
        <f>IF(OR($A138="",L138="",$C138=""),"",IF(COUNTIFS($A$5:$A$315,$A138,$C$5:$C$315,$C138-1,$D$5:$D$315,$D138,L$5:L$315,"&lt;&gt;")=0,"",IF(OR(SUMIFS(L$5:L$315,$A$5:$A$315,$A138,$C$5:$C$315,$C138-1,$D$5:$D$315,$D138)=0,L138*SUMIFS(L$5:L$315,$A$5:$A$315,$A138,$C$5:$C$315,$C138-1,$D$5:$D$315,$D138)&lt;0),"n.s.",ABS(L138)/ABS(SUMIFS(L$5:L$315,$A$5:$A$315,$A138,$C$5:$C$315,$C138-1,$D$5:$D$315,$D138))-1)))</f>
        <v/>
      </c>
      <c r="W138" s="16">
        <f>IF(OR($A138="",M138="",$C138=""),"",IF(COUNTIFS($A$5:$A$315,$A138,$C$5:$C$315,$C138-1,$D$5:$D$315,$D138,M$5:M$315,"&lt;&gt;")=0,"",IF(OR(SUMIFS(M$5:M$315,$A$5:$A$315,$A138,$C$5:$C$315,$C138-1,$D$5:$D$315,$D138)=0,M138*SUMIFS(M$5:M$315,$A$5:$A$315,$A138,$C$5:$C$315,$C138-1,$D$5:$D$315,$D138)&lt;0),"n.s.",ABS(M138)/ABS(SUMIFS(M$5:M$315,$A$5:$A$315,$A138,$C$5:$C$315,$C138-1,$D$5:$D$315,$D138))-1)))</f>
        <v/>
      </c>
      <c r="X138" s="16">
        <f>IF(OR($A138="",N138="",$C138=""),"",IF(COUNTIFS($A$5:$A$315,$A138,$C$5:$C$315,$C138-1,$D$5:$D$315,$D138,N$5:N$315,"&lt;&gt;")=0,"",IF(OR(SUMIFS(N$5:N$315,$A$5:$A$315,$A138,$C$5:$C$315,$C138-1,$D$5:$D$315,$D138)=0,N138*SUMIFS(N$5:N$315,$A$5:$A$315,$A138,$C$5:$C$315,$C138-1,$D$5:$D$315,$D138)&lt;0),"n.s.",ABS(N138)/ABS(SUMIFS(N$5:N$315,$A$5:$A$315,$A138,$C$5:$C$315,$C138-1,$D$5:$D$315,$D138))-1)))</f>
        <v/>
      </c>
      <c r="Y138" s="16">
        <f>IF(OR($A138="",O138="",$C138=""),"",IF(COUNTIFS($A$5:$A$315,$A138,$C$5:$C$315,$C138-1,$D$5:$D$315,$D138,O$5:O$315,"&lt;&gt;")=0,"",IF(OR(SUMIFS(O$5:O$315,$A$5:$A$315,$A138,$C$5:$C$315,$C138-1,$D$5:$D$315,$D138)=0,O138*SUMIFS(O$5:O$315,$A$5:$A$315,$A138,$C$5:$C$315,$C138-1,$D$5:$D$315,$D138)&lt;0),"n.s.",ABS(O138)/ABS(SUMIFS(O$5:O$315,$A$5:$A$315,$A138,$C$5:$C$315,$C138-1,$D$5:$D$315,$D138))-1)))</f>
        <v/>
      </c>
    </row>
    <row r="139">
      <c r="A139" s="9" t="inlineStr">
        <is>
          <t>BOAN</t>
        </is>
      </c>
      <c r="B139" s="10">
        <f>IF(A139="","",IFERROR(VLOOKUP(A139,Titres!$A$2:$B$400,2,FALSE),"Ticker inconnu"))</f>
        <v/>
      </c>
      <c r="C139" s="11" t="n">
        <v>2023</v>
      </c>
      <c r="D139" s="11" t="inlineStr">
        <is>
          <t>T3</t>
        </is>
      </c>
      <c r="E139" s="9" t="n"/>
      <c r="F139" s="12" t="n"/>
      <c r="G139" s="9" t="n"/>
      <c r="H139" s="13" t="n"/>
      <c r="I139" s="13" t="n"/>
      <c r="J139" s="13" t="n"/>
      <c r="K139" s="13" t="n"/>
      <c r="L139" s="13" t="n"/>
      <c r="M139" s="13" t="n"/>
      <c r="N139" s="13" t="n"/>
      <c r="O139" s="13" t="n"/>
      <c r="P139" s="14">
        <f>IF(A139="","",COUNT(H139:O139)/8)</f>
        <v/>
      </c>
      <c r="Q139" s="15">
        <f>IF(COUNT(H139:O139)=0,"",IF(LEN(IF(COUNT(H139,I139,J139)=3,IF(ABS(H139+I139-J139)&lt;=MAX(1,0.02*ABS(J139)),"","RBE &lt;&gt; PNB + frais "),"")&amp;IF(COUNT(J139,K139,L139)=3,IF(ABS(J139+K139-L139)&lt;=MAX(1,0.03*ABS(L139)),"","RAI &lt;&gt; RBE + coût du risque "),"")&amp;IF(COUNT(H139,M139)=2,IF(ABS(M139)&gt;ABS(H139),"RN &gt; PNB ",""),""))=0,"OK",IF(COUNT(H139,I139,J139)=3,IF(ABS(H139+I139-J139)&lt;=MAX(1,0.02*ABS(J139)),"","RBE &lt;&gt; PNB + frais "),"")&amp;IF(COUNT(J139,K139,L139)=3,IF(ABS(J139+K139-L139)&lt;=MAX(1,0.03*ABS(L139)),"","RAI &lt;&gt; RBE + coût du risque "),"")&amp;IF(COUNT(H139,M139)=2,IF(ABS(M139)&gt;ABS(H139),"RN &gt; PNB ",""),"")))</f>
        <v/>
      </c>
      <c r="R139" s="16">
        <f>IF(OR($A139="",H139="",$C139=""),"",IF(COUNTIFS($A$5:$A$315,$A139,$C$5:$C$315,$C139-1,$D$5:$D$315,$D139,H$5:H$315,"&lt;&gt;")=0,"",IF(OR(SUMIFS(H$5:H$315,$A$5:$A$315,$A139,$C$5:$C$315,$C139-1,$D$5:$D$315,$D139)=0,H139*SUMIFS(H$5:H$315,$A$5:$A$315,$A139,$C$5:$C$315,$C139-1,$D$5:$D$315,$D139)&lt;0),"n.s.",ABS(H139)/ABS(SUMIFS(H$5:H$315,$A$5:$A$315,$A139,$C$5:$C$315,$C139-1,$D$5:$D$315,$D139))-1)))</f>
        <v/>
      </c>
      <c r="S139" s="16">
        <f>IF(OR($A139="",I139="",$C139=""),"",IF(COUNTIFS($A$5:$A$315,$A139,$C$5:$C$315,$C139-1,$D$5:$D$315,$D139,I$5:I$315,"&lt;&gt;")=0,"",IF(OR(SUMIFS(I$5:I$315,$A$5:$A$315,$A139,$C$5:$C$315,$C139-1,$D$5:$D$315,$D139)=0,I139*SUMIFS(I$5:I$315,$A$5:$A$315,$A139,$C$5:$C$315,$C139-1,$D$5:$D$315,$D139)&lt;0),"n.s.",ABS(I139)/ABS(SUMIFS(I$5:I$315,$A$5:$A$315,$A139,$C$5:$C$315,$C139-1,$D$5:$D$315,$D139))-1)))</f>
        <v/>
      </c>
      <c r="T139" s="16">
        <f>IF(OR($A139="",J139="",$C139=""),"",IF(COUNTIFS($A$5:$A$315,$A139,$C$5:$C$315,$C139-1,$D$5:$D$315,$D139,J$5:J$315,"&lt;&gt;")=0,"",IF(OR(SUMIFS(J$5:J$315,$A$5:$A$315,$A139,$C$5:$C$315,$C139-1,$D$5:$D$315,$D139)=0,J139*SUMIFS(J$5:J$315,$A$5:$A$315,$A139,$C$5:$C$315,$C139-1,$D$5:$D$315,$D139)&lt;0),"n.s.",ABS(J139)/ABS(SUMIFS(J$5:J$315,$A$5:$A$315,$A139,$C$5:$C$315,$C139-1,$D$5:$D$315,$D139))-1)))</f>
        <v/>
      </c>
      <c r="U139" s="16">
        <f>IF(OR($A139="",K139="",$C139=""),"",IF(COUNTIFS($A$5:$A$315,$A139,$C$5:$C$315,$C139-1,$D$5:$D$315,$D139,K$5:K$315,"&lt;&gt;")=0,"",IF(OR(SUMIFS(K$5:K$315,$A$5:$A$315,$A139,$C$5:$C$315,$C139-1,$D$5:$D$315,$D139)=0,K139*SUMIFS(K$5:K$315,$A$5:$A$315,$A139,$C$5:$C$315,$C139-1,$D$5:$D$315,$D139)&lt;0),"n.s.",ABS(K139)/ABS(SUMIFS(K$5:K$315,$A$5:$A$315,$A139,$C$5:$C$315,$C139-1,$D$5:$D$315,$D139))-1)))</f>
        <v/>
      </c>
      <c r="V139" s="16">
        <f>IF(OR($A139="",L139="",$C139=""),"",IF(COUNTIFS($A$5:$A$315,$A139,$C$5:$C$315,$C139-1,$D$5:$D$315,$D139,L$5:L$315,"&lt;&gt;")=0,"",IF(OR(SUMIFS(L$5:L$315,$A$5:$A$315,$A139,$C$5:$C$315,$C139-1,$D$5:$D$315,$D139)=0,L139*SUMIFS(L$5:L$315,$A$5:$A$315,$A139,$C$5:$C$315,$C139-1,$D$5:$D$315,$D139)&lt;0),"n.s.",ABS(L139)/ABS(SUMIFS(L$5:L$315,$A$5:$A$315,$A139,$C$5:$C$315,$C139-1,$D$5:$D$315,$D139))-1)))</f>
        <v/>
      </c>
      <c r="W139" s="16">
        <f>IF(OR($A139="",M139="",$C139=""),"",IF(COUNTIFS($A$5:$A$315,$A139,$C$5:$C$315,$C139-1,$D$5:$D$315,$D139,M$5:M$315,"&lt;&gt;")=0,"",IF(OR(SUMIFS(M$5:M$315,$A$5:$A$315,$A139,$C$5:$C$315,$C139-1,$D$5:$D$315,$D139)=0,M139*SUMIFS(M$5:M$315,$A$5:$A$315,$A139,$C$5:$C$315,$C139-1,$D$5:$D$315,$D139)&lt;0),"n.s.",ABS(M139)/ABS(SUMIFS(M$5:M$315,$A$5:$A$315,$A139,$C$5:$C$315,$C139-1,$D$5:$D$315,$D139))-1)))</f>
        <v/>
      </c>
      <c r="X139" s="16">
        <f>IF(OR($A139="",N139="",$C139=""),"",IF(COUNTIFS($A$5:$A$315,$A139,$C$5:$C$315,$C139-1,$D$5:$D$315,$D139,N$5:N$315,"&lt;&gt;")=0,"",IF(OR(SUMIFS(N$5:N$315,$A$5:$A$315,$A139,$C$5:$C$315,$C139-1,$D$5:$D$315,$D139)=0,N139*SUMIFS(N$5:N$315,$A$5:$A$315,$A139,$C$5:$C$315,$C139-1,$D$5:$D$315,$D139)&lt;0),"n.s.",ABS(N139)/ABS(SUMIFS(N$5:N$315,$A$5:$A$315,$A139,$C$5:$C$315,$C139-1,$D$5:$D$315,$D139))-1)))</f>
        <v/>
      </c>
      <c r="Y139" s="16">
        <f>IF(OR($A139="",O139="",$C139=""),"",IF(COUNTIFS($A$5:$A$315,$A139,$C$5:$C$315,$C139-1,$D$5:$D$315,$D139,O$5:O$315,"&lt;&gt;")=0,"",IF(OR(SUMIFS(O$5:O$315,$A$5:$A$315,$A139,$C$5:$C$315,$C139-1,$D$5:$D$315,$D139)=0,O139*SUMIFS(O$5:O$315,$A$5:$A$315,$A139,$C$5:$C$315,$C139-1,$D$5:$D$315,$D139)&lt;0),"n.s.",ABS(O139)/ABS(SUMIFS(O$5:O$315,$A$5:$A$315,$A139,$C$5:$C$315,$C139-1,$D$5:$D$315,$D139))-1)))</f>
        <v/>
      </c>
    </row>
    <row r="140">
      <c r="A140" s="9" t="inlineStr">
        <is>
          <t>BOAN</t>
        </is>
      </c>
      <c r="B140" s="10">
        <f>IF(A140="","",IFERROR(VLOOKUP(A140,Titres!$A$2:$B$400,2,FALSE),"Ticker inconnu"))</f>
        <v/>
      </c>
      <c r="C140" s="11" t="n">
        <v>2024</v>
      </c>
      <c r="D140" s="11" t="inlineStr">
        <is>
          <t>T1</t>
        </is>
      </c>
      <c r="E140" s="9" t="n"/>
      <c r="F140" s="12" t="n"/>
      <c r="G140" s="9" t="n"/>
      <c r="H140" s="13" t="n"/>
      <c r="I140" s="13" t="n"/>
      <c r="J140" s="13" t="n"/>
      <c r="K140" s="13" t="n"/>
      <c r="L140" s="13" t="n"/>
      <c r="M140" s="13" t="n"/>
      <c r="N140" s="13" t="n"/>
      <c r="O140" s="13" t="n"/>
      <c r="P140" s="14">
        <f>IF(A140="","",COUNT(H140:O140)/8)</f>
        <v/>
      </c>
      <c r="Q140" s="15">
        <f>IF(COUNT(H140:O140)=0,"",IF(LEN(IF(COUNT(H140,I140,J140)=3,IF(ABS(H140+I140-J140)&lt;=MAX(1,0.02*ABS(J140)),"","RBE &lt;&gt; PNB + frais "),"")&amp;IF(COUNT(J140,K140,L140)=3,IF(ABS(J140+K140-L140)&lt;=MAX(1,0.03*ABS(L140)),"","RAI &lt;&gt; RBE + coût du risque "),"")&amp;IF(COUNT(H140,M140)=2,IF(ABS(M140)&gt;ABS(H140),"RN &gt; PNB ",""),""))=0,"OK",IF(COUNT(H140,I140,J140)=3,IF(ABS(H140+I140-J140)&lt;=MAX(1,0.02*ABS(J140)),"","RBE &lt;&gt; PNB + frais "),"")&amp;IF(COUNT(J140,K140,L140)=3,IF(ABS(J140+K140-L140)&lt;=MAX(1,0.03*ABS(L140)),"","RAI &lt;&gt; RBE + coût du risque "),"")&amp;IF(COUNT(H140,M140)=2,IF(ABS(M140)&gt;ABS(H140),"RN &gt; PNB ",""),"")))</f>
        <v/>
      </c>
      <c r="R140" s="16">
        <f>IF(OR($A140="",H140="",$C140=""),"",IF(COUNTIFS($A$5:$A$315,$A140,$C$5:$C$315,$C140-1,$D$5:$D$315,$D140,H$5:H$315,"&lt;&gt;")=0,"",IF(OR(SUMIFS(H$5:H$315,$A$5:$A$315,$A140,$C$5:$C$315,$C140-1,$D$5:$D$315,$D140)=0,H140*SUMIFS(H$5:H$315,$A$5:$A$315,$A140,$C$5:$C$315,$C140-1,$D$5:$D$315,$D140)&lt;0),"n.s.",ABS(H140)/ABS(SUMIFS(H$5:H$315,$A$5:$A$315,$A140,$C$5:$C$315,$C140-1,$D$5:$D$315,$D140))-1)))</f>
        <v/>
      </c>
      <c r="S140" s="16">
        <f>IF(OR($A140="",I140="",$C140=""),"",IF(COUNTIFS($A$5:$A$315,$A140,$C$5:$C$315,$C140-1,$D$5:$D$315,$D140,I$5:I$315,"&lt;&gt;")=0,"",IF(OR(SUMIFS(I$5:I$315,$A$5:$A$315,$A140,$C$5:$C$315,$C140-1,$D$5:$D$315,$D140)=0,I140*SUMIFS(I$5:I$315,$A$5:$A$315,$A140,$C$5:$C$315,$C140-1,$D$5:$D$315,$D140)&lt;0),"n.s.",ABS(I140)/ABS(SUMIFS(I$5:I$315,$A$5:$A$315,$A140,$C$5:$C$315,$C140-1,$D$5:$D$315,$D140))-1)))</f>
        <v/>
      </c>
      <c r="T140" s="16">
        <f>IF(OR($A140="",J140="",$C140=""),"",IF(COUNTIFS($A$5:$A$315,$A140,$C$5:$C$315,$C140-1,$D$5:$D$315,$D140,J$5:J$315,"&lt;&gt;")=0,"",IF(OR(SUMIFS(J$5:J$315,$A$5:$A$315,$A140,$C$5:$C$315,$C140-1,$D$5:$D$315,$D140)=0,J140*SUMIFS(J$5:J$315,$A$5:$A$315,$A140,$C$5:$C$315,$C140-1,$D$5:$D$315,$D140)&lt;0),"n.s.",ABS(J140)/ABS(SUMIFS(J$5:J$315,$A$5:$A$315,$A140,$C$5:$C$315,$C140-1,$D$5:$D$315,$D140))-1)))</f>
        <v/>
      </c>
      <c r="U140" s="16">
        <f>IF(OR($A140="",K140="",$C140=""),"",IF(COUNTIFS($A$5:$A$315,$A140,$C$5:$C$315,$C140-1,$D$5:$D$315,$D140,K$5:K$315,"&lt;&gt;")=0,"",IF(OR(SUMIFS(K$5:K$315,$A$5:$A$315,$A140,$C$5:$C$315,$C140-1,$D$5:$D$315,$D140)=0,K140*SUMIFS(K$5:K$315,$A$5:$A$315,$A140,$C$5:$C$315,$C140-1,$D$5:$D$315,$D140)&lt;0),"n.s.",ABS(K140)/ABS(SUMIFS(K$5:K$315,$A$5:$A$315,$A140,$C$5:$C$315,$C140-1,$D$5:$D$315,$D140))-1)))</f>
        <v/>
      </c>
      <c r="V140" s="16">
        <f>IF(OR($A140="",L140="",$C140=""),"",IF(COUNTIFS($A$5:$A$315,$A140,$C$5:$C$315,$C140-1,$D$5:$D$315,$D140,L$5:L$315,"&lt;&gt;")=0,"",IF(OR(SUMIFS(L$5:L$315,$A$5:$A$315,$A140,$C$5:$C$315,$C140-1,$D$5:$D$315,$D140)=0,L140*SUMIFS(L$5:L$315,$A$5:$A$315,$A140,$C$5:$C$315,$C140-1,$D$5:$D$315,$D140)&lt;0),"n.s.",ABS(L140)/ABS(SUMIFS(L$5:L$315,$A$5:$A$315,$A140,$C$5:$C$315,$C140-1,$D$5:$D$315,$D140))-1)))</f>
        <v/>
      </c>
      <c r="W140" s="16">
        <f>IF(OR($A140="",M140="",$C140=""),"",IF(COUNTIFS($A$5:$A$315,$A140,$C$5:$C$315,$C140-1,$D$5:$D$315,$D140,M$5:M$315,"&lt;&gt;")=0,"",IF(OR(SUMIFS(M$5:M$315,$A$5:$A$315,$A140,$C$5:$C$315,$C140-1,$D$5:$D$315,$D140)=0,M140*SUMIFS(M$5:M$315,$A$5:$A$315,$A140,$C$5:$C$315,$C140-1,$D$5:$D$315,$D140)&lt;0),"n.s.",ABS(M140)/ABS(SUMIFS(M$5:M$315,$A$5:$A$315,$A140,$C$5:$C$315,$C140-1,$D$5:$D$315,$D140))-1)))</f>
        <v/>
      </c>
      <c r="X140" s="16">
        <f>IF(OR($A140="",N140="",$C140=""),"",IF(COUNTIFS($A$5:$A$315,$A140,$C$5:$C$315,$C140-1,$D$5:$D$315,$D140,N$5:N$315,"&lt;&gt;")=0,"",IF(OR(SUMIFS(N$5:N$315,$A$5:$A$315,$A140,$C$5:$C$315,$C140-1,$D$5:$D$315,$D140)=0,N140*SUMIFS(N$5:N$315,$A$5:$A$315,$A140,$C$5:$C$315,$C140-1,$D$5:$D$315,$D140)&lt;0),"n.s.",ABS(N140)/ABS(SUMIFS(N$5:N$315,$A$5:$A$315,$A140,$C$5:$C$315,$C140-1,$D$5:$D$315,$D140))-1)))</f>
        <v/>
      </c>
      <c r="Y140" s="16">
        <f>IF(OR($A140="",O140="",$C140=""),"",IF(COUNTIFS($A$5:$A$315,$A140,$C$5:$C$315,$C140-1,$D$5:$D$315,$D140,O$5:O$315,"&lt;&gt;")=0,"",IF(OR(SUMIFS(O$5:O$315,$A$5:$A$315,$A140,$C$5:$C$315,$C140-1,$D$5:$D$315,$D140)=0,O140*SUMIFS(O$5:O$315,$A$5:$A$315,$A140,$C$5:$C$315,$C140-1,$D$5:$D$315,$D140)&lt;0),"n.s.",ABS(O140)/ABS(SUMIFS(O$5:O$315,$A$5:$A$315,$A140,$C$5:$C$315,$C140-1,$D$5:$D$315,$D140))-1)))</f>
        <v/>
      </c>
    </row>
    <row r="141">
      <c r="A141" s="9" t="inlineStr">
        <is>
          <t>BOAN</t>
        </is>
      </c>
      <c r="B141" s="10">
        <f>IF(A141="","",IFERROR(VLOOKUP(A141,Titres!$A$2:$B$400,2,FALSE),"Ticker inconnu"))</f>
        <v/>
      </c>
      <c r="C141" s="11" t="n">
        <v>2024</v>
      </c>
      <c r="D141" s="11" t="inlineStr">
        <is>
          <t>S1</t>
        </is>
      </c>
      <c r="E141" s="9" t="n"/>
      <c r="F141" s="12" t="n"/>
      <c r="G141" s="9" t="n"/>
      <c r="H141" s="13" t="n"/>
      <c r="I141" s="13" t="n"/>
      <c r="J141" s="13" t="n"/>
      <c r="K141" s="13" t="n"/>
      <c r="L141" s="13" t="n"/>
      <c r="M141" s="13" t="n"/>
      <c r="N141" s="13" t="n"/>
      <c r="O141" s="13" t="n"/>
      <c r="P141" s="14">
        <f>IF(A141="","",COUNT(H141:O141)/8)</f>
        <v/>
      </c>
      <c r="Q141" s="15">
        <f>IF(COUNT(H141:O141)=0,"",IF(LEN(IF(COUNT(H141,I141,J141)=3,IF(ABS(H141+I141-J141)&lt;=MAX(1,0.02*ABS(J141)),"","RBE &lt;&gt; PNB + frais "),"")&amp;IF(COUNT(J141,K141,L141)=3,IF(ABS(J141+K141-L141)&lt;=MAX(1,0.03*ABS(L141)),"","RAI &lt;&gt; RBE + coût du risque "),"")&amp;IF(COUNT(H141,M141)=2,IF(ABS(M141)&gt;ABS(H141),"RN &gt; PNB ",""),""))=0,"OK",IF(COUNT(H141,I141,J141)=3,IF(ABS(H141+I141-J141)&lt;=MAX(1,0.02*ABS(J141)),"","RBE &lt;&gt; PNB + frais "),"")&amp;IF(COUNT(J141,K141,L141)=3,IF(ABS(J141+K141-L141)&lt;=MAX(1,0.03*ABS(L141)),"","RAI &lt;&gt; RBE + coût du risque "),"")&amp;IF(COUNT(H141,M141)=2,IF(ABS(M141)&gt;ABS(H141),"RN &gt; PNB ",""),"")))</f>
        <v/>
      </c>
      <c r="R141" s="16">
        <f>IF(OR($A141="",H141="",$C141=""),"",IF(COUNTIFS($A$5:$A$315,$A141,$C$5:$C$315,$C141-1,$D$5:$D$315,$D141,H$5:H$315,"&lt;&gt;")=0,"",IF(OR(SUMIFS(H$5:H$315,$A$5:$A$315,$A141,$C$5:$C$315,$C141-1,$D$5:$D$315,$D141)=0,H141*SUMIFS(H$5:H$315,$A$5:$A$315,$A141,$C$5:$C$315,$C141-1,$D$5:$D$315,$D141)&lt;0),"n.s.",ABS(H141)/ABS(SUMIFS(H$5:H$315,$A$5:$A$315,$A141,$C$5:$C$315,$C141-1,$D$5:$D$315,$D141))-1)))</f>
        <v/>
      </c>
      <c r="S141" s="16">
        <f>IF(OR($A141="",I141="",$C141=""),"",IF(COUNTIFS($A$5:$A$315,$A141,$C$5:$C$315,$C141-1,$D$5:$D$315,$D141,I$5:I$315,"&lt;&gt;")=0,"",IF(OR(SUMIFS(I$5:I$315,$A$5:$A$315,$A141,$C$5:$C$315,$C141-1,$D$5:$D$315,$D141)=0,I141*SUMIFS(I$5:I$315,$A$5:$A$315,$A141,$C$5:$C$315,$C141-1,$D$5:$D$315,$D141)&lt;0),"n.s.",ABS(I141)/ABS(SUMIFS(I$5:I$315,$A$5:$A$315,$A141,$C$5:$C$315,$C141-1,$D$5:$D$315,$D141))-1)))</f>
        <v/>
      </c>
      <c r="T141" s="16">
        <f>IF(OR($A141="",J141="",$C141=""),"",IF(COUNTIFS($A$5:$A$315,$A141,$C$5:$C$315,$C141-1,$D$5:$D$315,$D141,J$5:J$315,"&lt;&gt;")=0,"",IF(OR(SUMIFS(J$5:J$315,$A$5:$A$315,$A141,$C$5:$C$315,$C141-1,$D$5:$D$315,$D141)=0,J141*SUMIFS(J$5:J$315,$A$5:$A$315,$A141,$C$5:$C$315,$C141-1,$D$5:$D$315,$D141)&lt;0),"n.s.",ABS(J141)/ABS(SUMIFS(J$5:J$315,$A$5:$A$315,$A141,$C$5:$C$315,$C141-1,$D$5:$D$315,$D141))-1)))</f>
        <v/>
      </c>
      <c r="U141" s="16">
        <f>IF(OR($A141="",K141="",$C141=""),"",IF(COUNTIFS($A$5:$A$315,$A141,$C$5:$C$315,$C141-1,$D$5:$D$315,$D141,K$5:K$315,"&lt;&gt;")=0,"",IF(OR(SUMIFS(K$5:K$315,$A$5:$A$315,$A141,$C$5:$C$315,$C141-1,$D$5:$D$315,$D141)=0,K141*SUMIFS(K$5:K$315,$A$5:$A$315,$A141,$C$5:$C$315,$C141-1,$D$5:$D$315,$D141)&lt;0),"n.s.",ABS(K141)/ABS(SUMIFS(K$5:K$315,$A$5:$A$315,$A141,$C$5:$C$315,$C141-1,$D$5:$D$315,$D141))-1)))</f>
        <v/>
      </c>
      <c r="V141" s="16">
        <f>IF(OR($A141="",L141="",$C141=""),"",IF(COUNTIFS($A$5:$A$315,$A141,$C$5:$C$315,$C141-1,$D$5:$D$315,$D141,L$5:L$315,"&lt;&gt;")=0,"",IF(OR(SUMIFS(L$5:L$315,$A$5:$A$315,$A141,$C$5:$C$315,$C141-1,$D$5:$D$315,$D141)=0,L141*SUMIFS(L$5:L$315,$A$5:$A$315,$A141,$C$5:$C$315,$C141-1,$D$5:$D$315,$D141)&lt;0),"n.s.",ABS(L141)/ABS(SUMIFS(L$5:L$315,$A$5:$A$315,$A141,$C$5:$C$315,$C141-1,$D$5:$D$315,$D141))-1)))</f>
        <v/>
      </c>
      <c r="W141" s="16">
        <f>IF(OR($A141="",M141="",$C141=""),"",IF(COUNTIFS($A$5:$A$315,$A141,$C$5:$C$315,$C141-1,$D$5:$D$315,$D141,M$5:M$315,"&lt;&gt;")=0,"",IF(OR(SUMIFS(M$5:M$315,$A$5:$A$315,$A141,$C$5:$C$315,$C141-1,$D$5:$D$315,$D141)=0,M141*SUMIFS(M$5:M$315,$A$5:$A$315,$A141,$C$5:$C$315,$C141-1,$D$5:$D$315,$D141)&lt;0),"n.s.",ABS(M141)/ABS(SUMIFS(M$5:M$315,$A$5:$A$315,$A141,$C$5:$C$315,$C141-1,$D$5:$D$315,$D141))-1)))</f>
        <v/>
      </c>
      <c r="X141" s="16">
        <f>IF(OR($A141="",N141="",$C141=""),"",IF(COUNTIFS($A$5:$A$315,$A141,$C$5:$C$315,$C141-1,$D$5:$D$315,$D141,N$5:N$315,"&lt;&gt;")=0,"",IF(OR(SUMIFS(N$5:N$315,$A$5:$A$315,$A141,$C$5:$C$315,$C141-1,$D$5:$D$315,$D141)=0,N141*SUMIFS(N$5:N$315,$A$5:$A$315,$A141,$C$5:$C$315,$C141-1,$D$5:$D$315,$D141)&lt;0),"n.s.",ABS(N141)/ABS(SUMIFS(N$5:N$315,$A$5:$A$315,$A141,$C$5:$C$315,$C141-1,$D$5:$D$315,$D141))-1)))</f>
        <v/>
      </c>
      <c r="Y141" s="16">
        <f>IF(OR($A141="",O141="",$C141=""),"",IF(COUNTIFS($A$5:$A$315,$A141,$C$5:$C$315,$C141-1,$D$5:$D$315,$D141,O$5:O$315,"&lt;&gt;")=0,"",IF(OR(SUMIFS(O$5:O$315,$A$5:$A$315,$A141,$C$5:$C$315,$C141-1,$D$5:$D$315,$D141)=0,O141*SUMIFS(O$5:O$315,$A$5:$A$315,$A141,$C$5:$C$315,$C141-1,$D$5:$D$315,$D141)&lt;0),"n.s.",ABS(O141)/ABS(SUMIFS(O$5:O$315,$A$5:$A$315,$A141,$C$5:$C$315,$C141-1,$D$5:$D$315,$D141))-1)))</f>
        <v/>
      </c>
    </row>
    <row r="142">
      <c r="A142" s="9" t="inlineStr">
        <is>
          <t>BOAN</t>
        </is>
      </c>
      <c r="B142" s="10">
        <f>IF(A142="","",IFERROR(VLOOKUP(A142,Titres!$A$2:$B$400,2,FALSE),"Ticker inconnu"))</f>
        <v/>
      </c>
      <c r="C142" s="11" t="n">
        <v>2024</v>
      </c>
      <c r="D142" s="11" t="inlineStr">
        <is>
          <t>T3</t>
        </is>
      </c>
      <c r="E142" s="9" t="n"/>
      <c r="F142" s="12" t="n"/>
      <c r="G142" s="9" t="n"/>
      <c r="H142" s="13" t="n"/>
      <c r="I142" s="13" t="n"/>
      <c r="J142" s="13" t="n"/>
      <c r="K142" s="13" t="n"/>
      <c r="L142" s="13" t="n"/>
      <c r="M142" s="13" t="n"/>
      <c r="N142" s="13" t="n"/>
      <c r="O142" s="13" t="n"/>
      <c r="P142" s="14">
        <f>IF(A142="","",COUNT(H142:O142)/8)</f>
        <v/>
      </c>
      <c r="Q142" s="15">
        <f>IF(COUNT(H142:O142)=0,"",IF(LEN(IF(COUNT(H142,I142,J142)=3,IF(ABS(H142+I142-J142)&lt;=MAX(1,0.02*ABS(J142)),"","RBE &lt;&gt; PNB + frais "),"")&amp;IF(COUNT(J142,K142,L142)=3,IF(ABS(J142+K142-L142)&lt;=MAX(1,0.03*ABS(L142)),"","RAI &lt;&gt; RBE + coût du risque "),"")&amp;IF(COUNT(H142,M142)=2,IF(ABS(M142)&gt;ABS(H142),"RN &gt; PNB ",""),""))=0,"OK",IF(COUNT(H142,I142,J142)=3,IF(ABS(H142+I142-J142)&lt;=MAX(1,0.02*ABS(J142)),"","RBE &lt;&gt; PNB + frais "),"")&amp;IF(COUNT(J142,K142,L142)=3,IF(ABS(J142+K142-L142)&lt;=MAX(1,0.03*ABS(L142)),"","RAI &lt;&gt; RBE + coût du risque "),"")&amp;IF(COUNT(H142,M142)=2,IF(ABS(M142)&gt;ABS(H142),"RN &gt; PNB ",""),"")))</f>
        <v/>
      </c>
      <c r="R142" s="16">
        <f>IF(OR($A142="",H142="",$C142=""),"",IF(COUNTIFS($A$5:$A$315,$A142,$C$5:$C$315,$C142-1,$D$5:$D$315,$D142,H$5:H$315,"&lt;&gt;")=0,"",IF(OR(SUMIFS(H$5:H$315,$A$5:$A$315,$A142,$C$5:$C$315,$C142-1,$D$5:$D$315,$D142)=0,H142*SUMIFS(H$5:H$315,$A$5:$A$315,$A142,$C$5:$C$315,$C142-1,$D$5:$D$315,$D142)&lt;0),"n.s.",ABS(H142)/ABS(SUMIFS(H$5:H$315,$A$5:$A$315,$A142,$C$5:$C$315,$C142-1,$D$5:$D$315,$D142))-1)))</f>
        <v/>
      </c>
      <c r="S142" s="16">
        <f>IF(OR($A142="",I142="",$C142=""),"",IF(COUNTIFS($A$5:$A$315,$A142,$C$5:$C$315,$C142-1,$D$5:$D$315,$D142,I$5:I$315,"&lt;&gt;")=0,"",IF(OR(SUMIFS(I$5:I$315,$A$5:$A$315,$A142,$C$5:$C$315,$C142-1,$D$5:$D$315,$D142)=0,I142*SUMIFS(I$5:I$315,$A$5:$A$315,$A142,$C$5:$C$315,$C142-1,$D$5:$D$315,$D142)&lt;0),"n.s.",ABS(I142)/ABS(SUMIFS(I$5:I$315,$A$5:$A$315,$A142,$C$5:$C$315,$C142-1,$D$5:$D$315,$D142))-1)))</f>
        <v/>
      </c>
      <c r="T142" s="16">
        <f>IF(OR($A142="",J142="",$C142=""),"",IF(COUNTIFS($A$5:$A$315,$A142,$C$5:$C$315,$C142-1,$D$5:$D$315,$D142,J$5:J$315,"&lt;&gt;")=0,"",IF(OR(SUMIFS(J$5:J$315,$A$5:$A$315,$A142,$C$5:$C$315,$C142-1,$D$5:$D$315,$D142)=0,J142*SUMIFS(J$5:J$315,$A$5:$A$315,$A142,$C$5:$C$315,$C142-1,$D$5:$D$315,$D142)&lt;0),"n.s.",ABS(J142)/ABS(SUMIFS(J$5:J$315,$A$5:$A$315,$A142,$C$5:$C$315,$C142-1,$D$5:$D$315,$D142))-1)))</f>
        <v/>
      </c>
      <c r="U142" s="16">
        <f>IF(OR($A142="",K142="",$C142=""),"",IF(COUNTIFS($A$5:$A$315,$A142,$C$5:$C$315,$C142-1,$D$5:$D$315,$D142,K$5:K$315,"&lt;&gt;")=0,"",IF(OR(SUMIFS(K$5:K$315,$A$5:$A$315,$A142,$C$5:$C$315,$C142-1,$D$5:$D$315,$D142)=0,K142*SUMIFS(K$5:K$315,$A$5:$A$315,$A142,$C$5:$C$315,$C142-1,$D$5:$D$315,$D142)&lt;0),"n.s.",ABS(K142)/ABS(SUMIFS(K$5:K$315,$A$5:$A$315,$A142,$C$5:$C$315,$C142-1,$D$5:$D$315,$D142))-1)))</f>
        <v/>
      </c>
      <c r="V142" s="16">
        <f>IF(OR($A142="",L142="",$C142=""),"",IF(COUNTIFS($A$5:$A$315,$A142,$C$5:$C$315,$C142-1,$D$5:$D$315,$D142,L$5:L$315,"&lt;&gt;")=0,"",IF(OR(SUMIFS(L$5:L$315,$A$5:$A$315,$A142,$C$5:$C$315,$C142-1,$D$5:$D$315,$D142)=0,L142*SUMIFS(L$5:L$315,$A$5:$A$315,$A142,$C$5:$C$315,$C142-1,$D$5:$D$315,$D142)&lt;0),"n.s.",ABS(L142)/ABS(SUMIFS(L$5:L$315,$A$5:$A$315,$A142,$C$5:$C$315,$C142-1,$D$5:$D$315,$D142))-1)))</f>
        <v/>
      </c>
      <c r="W142" s="16">
        <f>IF(OR($A142="",M142="",$C142=""),"",IF(COUNTIFS($A$5:$A$315,$A142,$C$5:$C$315,$C142-1,$D$5:$D$315,$D142,M$5:M$315,"&lt;&gt;")=0,"",IF(OR(SUMIFS(M$5:M$315,$A$5:$A$315,$A142,$C$5:$C$315,$C142-1,$D$5:$D$315,$D142)=0,M142*SUMIFS(M$5:M$315,$A$5:$A$315,$A142,$C$5:$C$315,$C142-1,$D$5:$D$315,$D142)&lt;0),"n.s.",ABS(M142)/ABS(SUMIFS(M$5:M$315,$A$5:$A$315,$A142,$C$5:$C$315,$C142-1,$D$5:$D$315,$D142))-1)))</f>
        <v/>
      </c>
      <c r="X142" s="16">
        <f>IF(OR($A142="",N142="",$C142=""),"",IF(COUNTIFS($A$5:$A$315,$A142,$C$5:$C$315,$C142-1,$D$5:$D$315,$D142,N$5:N$315,"&lt;&gt;")=0,"",IF(OR(SUMIFS(N$5:N$315,$A$5:$A$315,$A142,$C$5:$C$315,$C142-1,$D$5:$D$315,$D142)=0,N142*SUMIFS(N$5:N$315,$A$5:$A$315,$A142,$C$5:$C$315,$C142-1,$D$5:$D$315,$D142)&lt;0),"n.s.",ABS(N142)/ABS(SUMIFS(N$5:N$315,$A$5:$A$315,$A142,$C$5:$C$315,$C142-1,$D$5:$D$315,$D142))-1)))</f>
        <v/>
      </c>
      <c r="Y142" s="16">
        <f>IF(OR($A142="",O142="",$C142=""),"",IF(COUNTIFS($A$5:$A$315,$A142,$C$5:$C$315,$C142-1,$D$5:$D$315,$D142,O$5:O$315,"&lt;&gt;")=0,"",IF(OR(SUMIFS(O$5:O$315,$A$5:$A$315,$A142,$C$5:$C$315,$C142-1,$D$5:$D$315,$D142)=0,O142*SUMIFS(O$5:O$315,$A$5:$A$315,$A142,$C$5:$C$315,$C142-1,$D$5:$D$315,$D142)&lt;0),"n.s.",ABS(O142)/ABS(SUMIFS(O$5:O$315,$A$5:$A$315,$A142,$C$5:$C$315,$C142-1,$D$5:$D$315,$D142))-1)))</f>
        <v/>
      </c>
    </row>
    <row r="143">
      <c r="A143" s="9" t="inlineStr">
        <is>
          <t>BOAN</t>
        </is>
      </c>
      <c r="B143" s="10">
        <f>IF(A143="","",IFERROR(VLOOKUP(A143,Titres!$A$2:$B$400,2,FALSE),"Ticker inconnu"))</f>
        <v/>
      </c>
      <c r="C143" s="11" t="n">
        <v>2025</v>
      </c>
      <c r="D143" s="11" t="inlineStr">
        <is>
          <t>T1</t>
        </is>
      </c>
      <c r="E143" s="9" t="n"/>
      <c r="F143" s="12" t="n"/>
      <c r="G143" s="9" t="n"/>
      <c r="H143" s="13" t="n"/>
      <c r="I143" s="13" t="n"/>
      <c r="J143" s="13" t="n"/>
      <c r="K143" s="13" t="n"/>
      <c r="L143" s="13" t="n"/>
      <c r="M143" s="13" t="n"/>
      <c r="N143" s="13" t="n"/>
      <c r="O143" s="13" t="n"/>
      <c r="P143" s="14">
        <f>IF(A143="","",COUNT(H143:O143)/8)</f>
        <v/>
      </c>
      <c r="Q143" s="15">
        <f>IF(COUNT(H143:O143)=0,"",IF(LEN(IF(COUNT(H143,I143,J143)=3,IF(ABS(H143+I143-J143)&lt;=MAX(1,0.02*ABS(J143)),"","RBE &lt;&gt; PNB + frais "),"")&amp;IF(COUNT(J143,K143,L143)=3,IF(ABS(J143+K143-L143)&lt;=MAX(1,0.03*ABS(L143)),"","RAI &lt;&gt; RBE + coût du risque "),"")&amp;IF(COUNT(H143,M143)=2,IF(ABS(M143)&gt;ABS(H143),"RN &gt; PNB ",""),""))=0,"OK",IF(COUNT(H143,I143,J143)=3,IF(ABS(H143+I143-J143)&lt;=MAX(1,0.02*ABS(J143)),"","RBE &lt;&gt; PNB + frais "),"")&amp;IF(COUNT(J143,K143,L143)=3,IF(ABS(J143+K143-L143)&lt;=MAX(1,0.03*ABS(L143)),"","RAI &lt;&gt; RBE + coût du risque "),"")&amp;IF(COUNT(H143,M143)=2,IF(ABS(M143)&gt;ABS(H143),"RN &gt; PNB ",""),"")))</f>
        <v/>
      </c>
      <c r="R143" s="16">
        <f>IF(OR($A143="",H143="",$C143=""),"",IF(COUNTIFS($A$5:$A$315,$A143,$C$5:$C$315,$C143-1,$D$5:$D$315,$D143,H$5:H$315,"&lt;&gt;")=0,"",IF(OR(SUMIFS(H$5:H$315,$A$5:$A$315,$A143,$C$5:$C$315,$C143-1,$D$5:$D$315,$D143)=0,H143*SUMIFS(H$5:H$315,$A$5:$A$315,$A143,$C$5:$C$315,$C143-1,$D$5:$D$315,$D143)&lt;0),"n.s.",ABS(H143)/ABS(SUMIFS(H$5:H$315,$A$5:$A$315,$A143,$C$5:$C$315,$C143-1,$D$5:$D$315,$D143))-1)))</f>
        <v/>
      </c>
      <c r="S143" s="16">
        <f>IF(OR($A143="",I143="",$C143=""),"",IF(COUNTIFS($A$5:$A$315,$A143,$C$5:$C$315,$C143-1,$D$5:$D$315,$D143,I$5:I$315,"&lt;&gt;")=0,"",IF(OR(SUMIFS(I$5:I$315,$A$5:$A$315,$A143,$C$5:$C$315,$C143-1,$D$5:$D$315,$D143)=0,I143*SUMIFS(I$5:I$315,$A$5:$A$315,$A143,$C$5:$C$315,$C143-1,$D$5:$D$315,$D143)&lt;0),"n.s.",ABS(I143)/ABS(SUMIFS(I$5:I$315,$A$5:$A$315,$A143,$C$5:$C$315,$C143-1,$D$5:$D$315,$D143))-1)))</f>
        <v/>
      </c>
      <c r="T143" s="16">
        <f>IF(OR($A143="",J143="",$C143=""),"",IF(COUNTIFS($A$5:$A$315,$A143,$C$5:$C$315,$C143-1,$D$5:$D$315,$D143,J$5:J$315,"&lt;&gt;")=0,"",IF(OR(SUMIFS(J$5:J$315,$A$5:$A$315,$A143,$C$5:$C$315,$C143-1,$D$5:$D$315,$D143)=0,J143*SUMIFS(J$5:J$315,$A$5:$A$315,$A143,$C$5:$C$315,$C143-1,$D$5:$D$315,$D143)&lt;0),"n.s.",ABS(J143)/ABS(SUMIFS(J$5:J$315,$A$5:$A$315,$A143,$C$5:$C$315,$C143-1,$D$5:$D$315,$D143))-1)))</f>
        <v/>
      </c>
      <c r="U143" s="16">
        <f>IF(OR($A143="",K143="",$C143=""),"",IF(COUNTIFS($A$5:$A$315,$A143,$C$5:$C$315,$C143-1,$D$5:$D$315,$D143,K$5:K$315,"&lt;&gt;")=0,"",IF(OR(SUMIFS(K$5:K$315,$A$5:$A$315,$A143,$C$5:$C$315,$C143-1,$D$5:$D$315,$D143)=0,K143*SUMIFS(K$5:K$315,$A$5:$A$315,$A143,$C$5:$C$315,$C143-1,$D$5:$D$315,$D143)&lt;0),"n.s.",ABS(K143)/ABS(SUMIFS(K$5:K$315,$A$5:$A$315,$A143,$C$5:$C$315,$C143-1,$D$5:$D$315,$D143))-1)))</f>
        <v/>
      </c>
      <c r="V143" s="16">
        <f>IF(OR($A143="",L143="",$C143=""),"",IF(COUNTIFS($A$5:$A$315,$A143,$C$5:$C$315,$C143-1,$D$5:$D$315,$D143,L$5:L$315,"&lt;&gt;")=0,"",IF(OR(SUMIFS(L$5:L$315,$A$5:$A$315,$A143,$C$5:$C$315,$C143-1,$D$5:$D$315,$D143)=0,L143*SUMIFS(L$5:L$315,$A$5:$A$315,$A143,$C$5:$C$315,$C143-1,$D$5:$D$315,$D143)&lt;0),"n.s.",ABS(L143)/ABS(SUMIFS(L$5:L$315,$A$5:$A$315,$A143,$C$5:$C$315,$C143-1,$D$5:$D$315,$D143))-1)))</f>
        <v/>
      </c>
      <c r="W143" s="16">
        <f>IF(OR($A143="",M143="",$C143=""),"",IF(COUNTIFS($A$5:$A$315,$A143,$C$5:$C$315,$C143-1,$D$5:$D$315,$D143,M$5:M$315,"&lt;&gt;")=0,"",IF(OR(SUMIFS(M$5:M$315,$A$5:$A$315,$A143,$C$5:$C$315,$C143-1,$D$5:$D$315,$D143)=0,M143*SUMIFS(M$5:M$315,$A$5:$A$315,$A143,$C$5:$C$315,$C143-1,$D$5:$D$315,$D143)&lt;0),"n.s.",ABS(M143)/ABS(SUMIFS(M$5:M$315,$A$5:$A$315,$A143,$C$5:$C$315,$C143-1,$D$5:$D$315,$D143))-1)))</f>
        <v/>
      </c>
      <c r="X143" s="16">
        <f>IF(OR($A143="",N143="",$C143=""),"",IF(COUNTIFS($A$5:$A$315,$A143,$C$5:$C$315,$C143-1,$D$5:$D$315,$D143,N$5:N$315,"&lt;&gt;")=0,"",IF(OR(SUMIFS(N$5:N$315,$A$5:$A$315,$A143,$C$5:$C$315,$C143-1,$D$5:$D$315,$D143)=0,N143*SUMIFS(N$5:N$315,$A$5:$A$315,$A143,$C$5:$C$315,$C143-1,$D$5:$D$315,$D143)&lt;0),"n.s.",ABS(N143)/ABS(SUMIFS(N$5:N$315,$A$5:$A$315,$A143,$C$5:$C$315,$C143-1,$D$5:$D$315,$D143))-1)))</f>
        <v/>
      </c>
      <c r="Y143" s="16">
        <f>IF(OR($A143="",O143="",$C143=""),"",IF(COUNTIFS($A$5:$A$315,$A143,$C$5:$C$315,$C143-1,$D$5:$D$315,$D143,O$5:O$315,"&lt;&gt;")=0,"",IF(OR(SUMIFS(O$5:O$315,$A$5:$A$315,$A143,$C$5:$C$315,$C143-1,$D$5:$D$315,$D143)=0,O143*SUMIFS(O$5:O$315,$A$5:$A$315,$A143,$C$5:$C$315,$C143-1,$D$5:$D$315,$D143)&lt;0),"n.s.",ABS(O143)/ABS(SUMIFS(O$5:O$315,$A$5:$A$315,$A143,$C$5:$C$315,$C143-1,$D$5:$D$315,$D143))-1)))</f>
        <v/>
      </c>
    </row>
    <row r="144">
      <c r="A144" s="9" t="inlineStr">
        <is>
          <t>BOAN</t>
        </is>
      </c>
      <c r="B144" s="10">
        <f>IF(A144="","",IFERROR(VLOOKUP(A144,Titres!$A$2:$B$400,2,FALSE),"Ticker inconnu"))</f>
        <v/>
      </c>
      <c r="C144" s="11" t="n">
        <v>2025</v>
      </c>
      <c r="D144" s="11" t="inlineStr">
        <is>
          <t>S1</t>
        </is>
      </c>
      <c r="E144" s="9" t="n"/>
      <c r="F144" s="12" t="n"/>
      <c r="G144" s="9" t="n"/>
      <c r="H144" s="13" t="n"/>
      <c r="I144" s="13" t="n"/>
      <c r="J144" s="13" t="n"/>
      <c r="K144" s="13" t="n"/>
      <c r="L144" s="13" t="n"/>
      <c r="M144" s="13" t="n"/>
      <c r="N144" s="13" t="n"/>
      <c r="O144" s="13" t="n"/>
      <c r="P144" s="14">
        <f>IF(A144="","",COUNT(H144:O144)/8)</f>
        <v/>
      </c>
      <c r="Q144" s="15">
        <f>IF(COUNT(H144:O144)=0,"",IF(LEN(IF(COUNT(H144,I144,J144)=3,IF(ABS(H144+I144-J144)&lt;=MAX(1,0.02*ABS(J144)),"","RBE &lt;&gt; PNB + frais "),"")&amp;IF(COUNT(J144,K144,L144)=3,IF(ABS(J144+K144-L144)&lt;=MAX(1,0.03*ABS(L144)),"","RAI &lt;&gt; RBE + coût du risque "),"")&amp;IF(COUNT(H144,M144)=2,IF(ABS(M144)&gt;ABS(H144),"RN &gt; PNB ",""),""))=0,"OK",IF(COUNT(H144,I144,J144)=3,IF(ABS(H144+I144-J144)&lt;=MAX(1,0.02*ABS(J144)),"","RBE &lt;&gt; PNB + frais "),"")&amp;IF(COUNT(J144,K144,L144)=3,IF(ABS(J144+K144-L144)&lt;=MAX(1,0.03*ABS(L144)),"","RAI &lt;&gt; RBE + coût du risque "),"")&amp;IF(COUNT(H144,M144)=2,IF(ABS(M144)&gt;ABS(H144),"RN &gt; PNB ",""),"")))</f>
        <v/>
      </c>
      <c r="R144" s="16">
        <f>IF(OR($A144="",H144="",$C144=""),"",IF(COUNTIFS($A$5:$A$315,$A144,$C$5:$C$315,$C144-1,$D$5:$D$315,$D144,H$5:H$315,"&lt;&gt;")=0,"",IF(OR(SUMIFS(H$5:H$315,$A$5:$A$315,$A144,$C$5:$C$315,$C144-1,$D$5:$D$315,$D144)=0,H144*SUMIFS(H$5:H$315,$A$5:$A$315,$A144,$C$5:$C$315,$C144-1,$D$5:$D$315,$D144)&lt;0),"n.s.",ABS(H144)/ABS(SUMIFS(H$5:H$315,$A$5:$A$315,$A144,$C$5:$C$315,$C144-1,$D$5:$D$315,$D144))-1)))</f>
        <v/>
      </c>
      <c r="S144" s="16">
        <f>IF(OR($A144="",I144="",$C144=""),"",IF(COUNTIFS($A$5:$A$315,$A144,$C$5:$C$315,$C144-1,$D$5:$D$315,$D144,I$5:I$315,"&lt;&gt;")=0,"",IF(OR(SUMIFS(I$5:I$315,$A$5:$A$315,$A144,$C$5:$C$315,$C144-1,$D$5:$D$315,$D144)=0,I144*SUMIFS(I$5:I$315,$A$5:$A$315,$A144,$C$5:$C$315,$C144-1,$D$5:$D$315,$D144)&lt;0),"n.s.",ABS(I144)/ABS(SUMIFS(I$5:I$315,$A$5:$A$315,$A144,$C$5:$C$315,$C144-1,$D$5:$D$315,$D144))-1)))</f>
        <v/>
      </c>
      <c r="T144" s="16">
        <f>IF(OR($A144="",J144="",$C144=""),"",IF(COUNTIFS($A$5:$A$315,$A144,$C$5:$C$315,$C144-1,$D$5:$D$315,$D144,J$5:J$315,"&lt;&gt;")=0,"",IF(OR(SUMIFS(J$5:J$315,$A$5:$A$315,$A144,$C$5:$C$315,$C144-1,$D$5:$D$315,$D144)=0,J144*SUMIFS(J$5:J$315,$A$5:$A$315,$A144,$C$5:$C$315,$C144-1,$D$5:$D$315,$D144)&lt;0),"n.s.",ABS(J144)/ABS(SUMIFS(J$5:J$315,$A$5:$A$315,$A144,$C$5:$C$315,$C144-1,$D$5:$D$315,$D144))-1)))</f>
        <v/>
      </c>
      <c r="U144" s="16">
        <f>IF(OR($A144="",K144="",$C144=""),"",IF(COUNTIFS($A$5:$A$315,$A144,$C$5:$C$315,$C144-1,$D$5:$D$315,$D144,K$5:K$315,"&lt;&gt;")=0,"",IF(OR(SUMIFS(K$5:K$315,$A$5:$A$315,$A144,$C$5:$C$315,$C144-1,$D$5:$D$315,$D144)=0,K144*SUMIFS(K$5:K$315,$A$5:$A$315,$A144,$C$5:$C$315,$C144-1,$D$5:$D$315,$D144)&lt;0),"n.s.",ABS(K144)/ABS(SUMIFS(K$5:K$315,$A$5:$A$315,$A144,$C$5:$C$315,$C144-1,$D$5:$D$315,$D144))-1)))</f>
        <v/>
      </c>
      <c r="V144" s="16">
        <f>IF(OR($A144="",L144="",$C144=""),"",IF(COUNTIFS($A$5:$A$315,$A144,$C$5:$C$315,$C144-1,$D$5:$D$315,$D144,L$5:L$315,"&lt;&gt;")=0,"",IF(OR(SUMIFS(L$5:L$315,$A$5:$A$315,$A144,$C$5:$C$315,$C144-1,$D$5:$D$315,$D144)=0,L144*SUMIFS(L$5:L$315,$A$5:$A$315,$A144,$C$5:$C$315,$C144-1,$D$5:$D$315,$D144)&lt;0),"n.s.",ABS(L144)/ABS(SUMIFS(L$5:L$315,$A$5:$A$315,$A144,$C$5:$C$315,$C144-1,$D$5:$D$315,$D144))-1)))</f>
        <v/>
      </c>
      <c r="W144" s="16">
        <f>IF(OR($A144="",M144="",$C144=""),"",IF(COUNTIFS($A$5:$A$315,$A144,$C$5:$C$315,$C144-1,$D$5:$D$315,$D144,M$5:M$315,"&lt;&gt;")=0,"",IF(OR(SUMIFS(M$5:M$315,$A$5:$A$315,$A144,$C$5:$C$315,$C144-1,$D$5:$D$315,$D144)=0,M144*SUMIFS(M$5:M$315,$A$5:$A$315,$A144,$C$5:$C$315,$C144-1,$D$5:$D$315,$D144)&lt;0),"n.s.",ABS(M144)/ABS(SUMIFS(M$5:M$315,$A$5:$A$315,$A144,$C$5:$C$315,$C144-1,$D$5:$D$315,$D144))-1)))</f>
        <v/>
      </c>
      <c r="X144" s="16">
        <f>IF(OR($A144="",N144="",$C144=""),"",IF(COUNTIFS($A$5:$A$315,$A144,$C$5:$C$315,$C144-1,$D$5:$D$315,$D144,N$5:N$315,"&lt;&gt;")=0,"",IF(OR(SUMIFS(N$5:N$315,$A$5:$A$315,$A144,$C$5:$C$315,$C144-1,$D$5:$D$315,$D144)=0,N144*SUMIFS(N$5:N$315,$A$5:$A$315,$A144,$C$5:$C$315,$C144-1,$D$5:$D$315,$D144)&lt;0),"n.s.",ABS(N144)/ABS(SUMIFS(N$5:N$315,$A$5:$A$315,$A144,$C$5:$C$315,$C144-1,$D$5:$D$315,$D144))-1)))</f>
        <v/>
      </c>
      <c r="Y144" s="16">
        <f>IF(OR($A144="",O144="",$C144=""),"",IF(COUNTIFS($A$5:$A$315,$A144,$C$5:$C$315,$C144-1,$D$5:$D$315,$D144,O$5:O$315,"&lt;&gt;")=0,"",IF(OR(SUMIFS(O$5:O$315,$A$5:$A$315,$A144,$C$5:$C$315,$C144-1,$D$5:$D$315,$D144)=0,O144*SUMIFS(O$5:O$315,$A$5:$A$315,$A144,$C$5:$C$315,$C144-1,$D$5:$D$315,$D144)&lt;0),"n.s.",ABS(O144)/ABS(SUMIFS(O$5:O$315,$A$5:$A$315,$A144,$C$5:$C$315,$C144-1,$D$5:$D$315,$D144))-1)))</f>
        <v/>
      </c>
    </row>
    <row r="145">
      <c r="A145" s="9" t="inlineStr">
        <is>
          <t>BOAN</t>
        </is>
      </c>
      <c r="B145" s="10">
        <f>IF(A145="","",IFERROR(VLOOKUP(A145,Titres!$A$2:$B$400,2,FALSE),"Ticker inconnu"))</f>
        <v/>
      </c>
      <c r="C145" s="11" t="n">
        <v>2025</v>
      </c>
      <c r="D145" s="11" t="inlineStr">
        <is>
          <t>T3</t>
        </is>
      </c>
      <c r="E145" s="9" t="n"/>
      <c r="F145" s="12" t="n"/>
      <c r="G145" s="9" t="n"/>
      <c r="H145" s="13" t="n"/>
      <c r="I145" s="13" t="n"/>
      <c r="J145" s="13" t="n"/>
      <c r="K145" s="13" t="n"/>
      <c r="L145" s="13" t="n"/>
      <c r="M145" s="13" t="n"/>
      <c r="N145" s="13" t="n"/>
      <c r="O145" s="13" t="n"/>
      <c r="P145" s="14">
        <f>IF(A145="","",COUNT(H145:O145)/8)</f>
        <v/>
      </c>
      <c r="Q145" s="15">
        <f>IF(COUNT(H145:O145)=0,"",IF(LEN(IF(COUNT(H145,I145,J145)=3,IF(ABS(H145+I145-J145)&lt;=MAX(1,0.02*ABS(J145)),"","RBE &lt;&gt; PNB + frais "),"")&amp;IF(COUNT(J145,K145,L145)=3,IF(ABS(J145+K145-L145)&lt;=MAX(1,0.03*ABS(L145)),"","RAI &lt;&gt; RBE + coût du risque "),"")&amp;IF(COUNT(H145,M145)=2,IF(ABS(M145)&gt;ABS(H145),"RN &gt; PNB ",""),""))=0,"OK",IF(COUNT(H145,I145,J145)=3,IF(ABS(H145+I145-J145)&lt;=MAX(1,0.02*ABS(J145)),"","RBE &lt;&gt; PNB + frais "),"")&amp;IF(COUNT(J145,K145,L145)=3,IF(ABS(J145+K145-L145)&lt;=MAX(1,0.03*ABS(L145)),"","RAI &lt;&gt; RBE + coût du risque "),"")&amp;IF(COUNT(H145,M145)=2,IF(ABS(M145)&gt;ABS(H145),"RN &gt; PNB ",""),"")))</f>
        <v/>
      </c>
      <c r="R145" s="16">
        <f>IF(OR($A145="",H145="",$C145=""),"",IF(COUNTIFS($A$5:$A$315,$A145,$C$5:$C$315,$C145-1,$D$5:$D$315,$D145,H$5:H$315,"&lt;&gt;")=0,"",IF(OR(SUMIFS(H$5:H$315,$A$5:$A$315,$A145,$C$5:$C$315,$C145-1,$D$5:$D$315,$D145)=0,H145*SUMIFS(H$5:H$315,$A$5:$A$315,$A145,$C$5:$C$315,$C145-1,$D$5:$D$315,$D145)&lt;0),"n.s.",ABS(H145)/ABS(SUMIFS(H$5:H$315,$A$5:$A$315,$A145,$C$5:$C$315,$C145-1,$D$5:$D$315,$D145))-1)))</f>
        <v/>
      </c>
      <c r="S145" s="16">
        <f>IF(OR($A145="",I145="",$C145=""),"",IF(COUNTIFS($A$5:$A$315,$A145,$C$5:$C$315,$C145-1,$D$5:$D$315,$D145,I$5:I$315,"&lt;&gt;")=0,"",IF(OR(SUMIFS(I$5:I$315,$A$5:$A$315,$A145,$C$5:$C$315,$C145-1,$D$5:$D$315,$D145)=0,I145*SUMIFS(I$5:I$315,$A$5:$A$315,$A145,$C$5:$C$315,$C145-1,$D$5:$D$315,$D145)&lt;0),"n.s.",ABS(I145)/ABS(SUMIFS(I$5:I$315,$A$5:$A$315,$A145,$C$5:$C$315,$C145-1,$D$5:$D$315,$D145))-1)))</f>
        <v/>
      </c>
      <c r="T145" s="16">
        <f>IF(OR($A145="",J145="",$C145=""),"",IF(COUNTIFS($A$5:$A$315,$A145,$C$5:$C$315,$C145-1,$D$5:$D$315,$D145,J$5:J$315,"&lt;&gt;")=0,"",IF(OR(SUMIFS(J$5:J$315,$A$5:$A$315,$A145,$C$5:$C$315,$C145-1,$D$5:$D$315,$D145)=0,J145*SUMIFS(J$5:J$315,$A$5:$A$315,$A145,$C$5:$C$315,$C145-1,$D$5:$D$315,$D145)&lt;0),"n.s.",ABS(J145)/ABS(SUMIFS(J$5:J$315,$A$5:$A$315,$A145,$C$5:$C$315,$C145-1,$D$5:$D$315,$D145))-1)))</f>
        <v/>
      </c>
      <c r="U145" s="16">
        <f>IF(OR($A145="",K145="",$C145=""),"",IF(COUNTIFS($A$5:$A$315,$A145,$C$5:$C$315,$C145-1,$D$5:$D$315,$D145,K$5:K$315,"&lt;&gt;")=0,"",IF(OR(SUMIFS(K$5:K$315,$A$5:$A$315,$A145,$C$5:$C$315,$C145-1,$D$5:$D$315,$D145)=0,K145*SUMIFS(K$5:K$315,$A$5:$A$315,$A145,$C$5:$C$315,$C145-1,$D$5:$D$315,$D145)&lt;0),"n.s.",ABS(K145)/ABS(SUMIFS(K$5:K$315,$A$5:$A$315,$A145,$C$5:$C$315,$C145-1,$D$5:$D$315,$D145))-1)))</f>
        <v/>
      </c>
      <c r="V145" s="16">
        <f>IF(OR($A145="",L145="",$C145=""),"",IF(COUNTIFS($A$5:$A$315,$A145,$C$5:$C$315,$C145-1,$D$5:$D$315,$D145,L$5:L$315,"&lt;&gt;")=0,"",IF(OR(SUMIFS(L$5:L$315,$A$5:$A$315,$A145,$C$5:$C$315,$C145-1,$D$5:$D$315,$D145)=0,L145*SUMIFS(L$5:L$315,$A$5:$A$315,$A145,$C$5:$C$315,$C145-1,$D$5:$D$315,$D145)&lt;0),"n.s.",ABS(L145)/ABS(SUMIFS(L$5:L$315,$A$5:$A$315,$A145,$C$5:$C$315,$C145-1,$D$5:$D$315,$D145))-1)))</f>
        <v/>
      </c>
      <c r="W145" s="16">
        <f>IF(OR($A145="",M145="",$C145=""),"",IF(COUNTIFS($A$5:$A$315,$A145,$C$5:$C$315,$C145-1,$D$5:$D$315,$D145,M$5:M$315,"&lt;&gt;")=0,"",IF(OR(SUMIFS(M$5:M$315,$A$5:$A$315,$A145,$C$5:$C$315,$C145-1,$D$5:$D$315,$D145)=0,M145*SUMIFS(M$5:M$315,$A$5:$A$315,$A145,$C$5:$C$315,$C145-1,$D$5:$D$315,$D145)&lt;0),"n.s.",ABS(M145)/ABS(SUMIFS(M$5:M$315,$A$5:$A$315,$A145,$C$5:$C$315,$C145-1,$D$5:$D$315,$D145))-1)))</f>
        <v/>
      </c>
      <c r="X145" s="16">
        <f>IF(OR($A145="",N145="",$C145=""),"",IF(COUNTIFS($A$5:$A$315,$A145,$C$5:$C$315,$C145-1,$D$5:$D$315,$D145,N$5:N$315,"&lt;&gt;")=0,"",IF(OR(SUMIFS(N$5:N$315,$A$5:$A$315,$A145,$C$5:$C$315,$C145-1,$D$5:$D$315,$D145)=0,N145*SUMIFS(N$5:N$315,$A$5:$A$315,$A145,$C$5:$C$315,$C145-1,$D$5:$D$315,$D145)&lt;0),"n.s.",ABS(N145)/ABS(SUMIFS(N$5:N$315,$A$5:$A$315,$A145,$C$5:$C$315,$C145-1,$D$5:$D$315,$D145))-1)))</f>
        <v/>
      </c>
      <c r="Y145" s="16">
        <f>IF(OR($A145="",O145="",$C145=""),"",IF(COUNTIFS($A$5:$A$315,$A145,$C$5:$C$315,$C145-1,$D$5:$D$315,$D145,O$5:O$315,"&lt;&gt;")=0,"",IF(OR(SUMIFS(O$5:O$315,$A$5:$A$315,$A145,$C$5:$C$315,$C145-1,$D$5:$D$315,$D145)=0,O145*SUMIFS(O$5:O$315,$A$5:$A$315,$A145,$C$5:$C$315,$C145-1,$D$5:$D$315,$D145)&lt;0),"n.s.",ABS(O145)/ABS(SUMIFS(O$5:O$315,$A$5:$A$315,$A145,$C$5:$C$315,$C145-1,$D$5:$D$315,$D145))-1)))</f>
        <v/>
      </c>
    </row>
    <row r="146">
      <c r="A146" s="9" t="inlineStr">
        <is>
          <t>BOAN</t>
        </is>
      </c>
      <c r="B146" s="10">
        <f>IF(A146="","",IFERROR(VLOOKUP(A146,Titres!$A$2:$B$400,2,FALSE),"Ticker inconnu"))</f>
        <v/>
      </c>
      <c r="C146" s="11" t="n">
        <v>2026</v>
      </c>
      <c r="D146" s="11" t="inlineStr">
        <is>
          <t>T1</t>
        </is>
      </c>
      <c r="E146" s="9" t="n"/>
      <c r="F146" s="12" t="n"/>
      <c r="G146" s="9" t="n"/>
      <c r="H146" s="13" t="n"/>
      <c r="I146" s="13" t="n"/>
      <c r="J146" s="13" t="n"/>
      <c r="K146" s="13" t="n"/>
      <c r="L146" s="13" t="n"/>
      <c r="M146" s="13" t="n"/>
      <c r="N146" s="13" t="n"/>
      <c r="O146" s="13" t="n"/>
      <c r="P146" s="14">
        <f>IF(A146="","",COUNT(H146:O146)/8)</f>
        <v/>
      </c>
      <c r="Q146" s="15">
        <f>IF(COUNT(H146:O146)=0,"",IF(LEN(IF(COUNT(H146,I146,J146)=3,IF(ABS(H146+I146-J146)&lt;=MAX(1,0.02*ABS(J146)),"","RBE &lt;&gt; PNB + frais "),"")&amp;IF(COUNT(J146,K146,L146)=3,IF(ABS(J146+K146-L146)&lt;=MAX(1,0.03*ABS(L146)),"","RAI &lt;&gt; RBE + coût du risque "),"")&amp;IF(COUNT(H146,M146)=2,IF(ABS(M146)&gt;ABS(H146),"RN &gt; PNB ",""),""))=0,"OK",IF(COUNT(H146,I146,J146)=3,IF(ABS(H146+I146-J146)&lt;=MAX(1,0.02*ABS(J146)),"","RBE &lt;&gt; PNB + frais "),"")&amp;IF(COUNT(J146,K146,L146)=3,IF(ABS(J146+K146-L146)&lt;=MAX(1,0.03*ABS(L146)),"","RAI &lt;&gt; RBE + coût du risque "),"")&amp;IF(COUNT(H146,M146)=2,IF(ABS(M146)&gt;ABS(H146),"RN &gt; PNB ",""),"")))</f>
        <v/>
      </c>
      <c r="R146" s="16">
        <f>IF(OR($A146="",H146="",$C146=""),"",IF(COUNTIFS($A$5:$A$315,$A146,$C$5:$C$315,$C146-1,$D$5:$D$315,$D146,H$5:H$315,"&lt;&gt;")=0,"",IF(OR(SUMIFS(H$5:H$315,$A$5:$A$315,$A146,$C$5:$C$315,$C146-1,$D$5:$D$315,$D146)=0,H146*SUMIFS(H$5:H$315,$A$5:$A$315,$A146,$C$5:$C$315,$C146-1,$D$5:$D$315,$D146)&lt;0),"n.s.",ABS(H146)/ABS(SUMIFS(H$5:H$315,$A$5:$A$315,$A146,$C$5:$C$315,$C146-1,$D$5:$D$315,$D146))-1)))</f>
        <v/>
      </c>
      <c r="S146" s="16">
        <f>IF(OR($A146="",I146="",$C146=""),"",IF(COUNTIFS($A$5:$A$315,$A146,$C$5:$C$315,$C146-1,$D$5:$D$315,$D146,I$5:I$315,"&lt;&gt;")=0,"",IF(OR(SUMIFS(I$5:I$315,$A$5:$A$315,$A146,$C$5:$C$315,$C146-1,$D$5:$D$315,$D146)=0,I146*SUMIFS(I$5:I$315,$A$5:$A$315,$A146,$C$5:$C$315,$C146-1,$D$5:$D$315,$D146)&lt;0),"n.s.",ABS(I146)/ABS(SUMIFS(I$5:I$315,$A$5:$A$315,$A146,$C$5:$C$315,$C146-1,$D$5:$D$315,$D146))-1)))</f>
        <v/>
      </c>
      <c r="T146" s="16">
        <f>IF(OR($A146="",J146="",$C146=""),"",IF(COUNTIFS($A$5:$A$315,$A146,$C$5:$C$315,$C146-1,$D$5:$D$315,$D146,J$5:J$315,"&lt;&gt;")=0,"",IF(OR(SUMIFS(J$5:J$315,$A$5:$A$315,$A146,$C$5:$C$315,$C146-1,$D$5:$D$315,$D146)=0,J146*SUMIFS(J$5:J$315,$A$5:$A$315,$A146,$C$5:$C$315,$C146-1,$D$5:$D$315,$D146)&lt;0),"n.s.",ABS(J146)/ABS(SUMIFS(J$5:J$315,$A$5:$A$315,$A146,$C$5:$C$315,$C146-1,$D$5:$D$315,$D146))-1)))</f>
        <v/>
      </c>
      <c r="U146" s="16">
        <f>IF(OR($A146="",K146="",$C146=""),"",IF(COUNTIFS($A$5:$A$315,$A146,$C$5:$C$315,$C146-1,$D$5:$D$315,$D146,K$5:K$315,"&lt;&gt;")=0,"",IF(OR(SUMIFS(K$5:K$315,$A$5:$A$315,$A146,$C$5:$C$315,$C146-1,$D$5:$D$315,$D146)=0,K146*SUMIFS(K$5:K$315,$A$5:$A$315,$A146,$C$5:$C$315,$C146-1,$D$5:$D$315,$D146)&lt;0),"n.s.",ABS(K146)/ABS(SUMIFS(K$5:K$315,$A$5:$A$315,$A146,$C$5:$C$315,$C146-1,$D$5:$D$315,$D146))-1)))</f>
        <v/>
      </c>
      <c r="V146" s="16">
        <f>IF(OR($A146="",L146="",$C146=""),"",IF(COUNTIFS($A$5:$A$315,$A146,$C$5:$C$315,$C146-1,$D$5:$D$315,$D146,L$5:L$315,"&lt;&gt;")=0,"",IF(OR(SUMIFS(L$5:L$315,$A$5:$A$315,$A146,$C$5:$C$315,$C146-1,$D$5:$D$315,$D146)=0,L146*SUMIFS(L$5:L$315,$A$5:$A$315,$A146,$C$5:$C$315,$C146-1,$D$5:$D$315,$D146)&lt;0),"n.s.",ABS(L146)/ABS(SUMIFS(L$5:L$315,$A$5:$A$315,$A146,$C$5:$C$315,$C146-1,$D$5:$D$315,$D146))-1)))</f>
        <v/>
      </c>
      <c r="W146" s="16">
        <f>IF(OR($A146="",M146="",$C146=""),"",IF(COUNTIFS($A$5:$A$315,$A146,$C$5:$C$315,$C146-1,$D$5:$D$315,$D146,M$5:M$315,"&lt;&gt;")=0,"",IF(OR(SUMIFS(M$5:M$315,$A$5:$A$315,$A146,$C$5:$C$315,$C146-1,$D$5:$D$315,$D146)=0,M146*SUMIFS(M$5:M$315,$A$5:$A$315,$A146,$C$5:$C$315,$C146-1,$D$5:$D$315,$D146)&lt;0),"n.s.",ABS(M146)/ABS(SUMIFS(M$5:M$315,$A$5:$A$315,$A146,$C$5:$C$315,$C146-1,$D$5:$D$315,$D146))-1)))</f>
        <v/>
      </c>
      <c r="X146" s="16">
        <f>IF(OR($A146="",N146="",$C146=""),"",IF(COUNTIFS($A$5:$A$315,$A146,$C$5:$C$315,$C146-1,$D$5:$D$315,$D146,N$5:N$315,"&lt;&gt;")=0,"",IF(OR(SUMIFS(N$5:N$315,$A$5:$A$315,$A146,$C$5:$C$315,$C146-1,$D$5:$D$315,$D146)=0,N146*SUMIFS(N$5:N$315,$A$5:$A$315,$A146,$C$5:$C$315,$C146-1,$D$5:$D$315,$D146)&lt;0),"n.s.",ABS(N146)/ABS(SUMIFS(N$5:N$315,$A$5:$A$315,$A146,$C$5:$C$315,$C146-1,$D$5:$D$315,$D146))-1)))</f>
        <v/>
      </c>
      <c r="Y146" s="16">
        <f>IF(OR($A146="",O146="",$C146=""),"",IF(COUNTIFS($A$5:$A$315,$A146,$C$5:$C$315,$C146-1,$D$5:$D$315,$D146,O$5:O$315,"&lt;&gt;")=0,"",IF(OR(SUMIFS(O$5:O$315,$A$5:$A$315,$A146,$C$5:$C$315,$C146-1,$D$5:$D$315,$D146)=0,O146*SUMIFS(O$5:O$315,$A$5:$A$315,$A146,$C$5:$C$315,$C146-1,$D$5:$D$315,$D146)&lt;0),"n.s.",ABS(O146)/ABS(SUMIFS(O$5:O$315,$A$5:$A$315,$A146,$C$5:$C$315,$C146-1,$D$5:$D$315,$D146))-1)))</f>
        <v/>
      </c>
    </row>
    <row r="147">
      <c r="A147" s="9" t="inlineStr">
        <is>
          <t>BOAN</t>
        </is>
      </c>
      <c r="B147" s="10">
        <f>IF(A147="","",IFERROR(VLOOKUP(A147,Titres!$A$2:$B$400,2,FALSE),"Ticker inconnu"))</f>
        <v/>
      </c>
      <c r="C147" s="11" t="n">
        <v>2026</v>
      </c>
      <c r="D147" s="11" t="inlineStr">
        <is>
          <t>S1</t>
        </is>
      </c>
      <c r="E147" s="9" t="n"/>
      <c r="F147" s="12" t="n"/>
      <c r="G147" s="9" t="n"/>
      <c r="H147" s="13" t="n"/>
      <c r="I147" s="13" t="n"/>
      <c r="J147" s="13" t="n"/>
      <c r="K147" s="13" t="n"/>
      <c r="L147" s="13" t="n"/>
      <c r="M147" s="13" t="n"/>
      <c r="N147" s="13" t="n"/>
      <c r="O147" s="13" t="n"/>
      <c r="P147" s="14">
        <f>IF(A147="","",COUNT(H147:O147)/8)</f>
        <v/>
      </c>
      <c r="Q147" s="15">
        <f>IF(COUNT(H147:O147)=0,"",IF(LEN(IF(COUNT(H147,I147,J147)=3,IF(ABS(H147+I147-J147)&lt;=MAX(1,0.02*ABS(J147)),"","RBE &lt;&gt; PNB + frais "),"")&amp;IF(COUNT(J147,K147,L147)=3,IF(ABS(J147+K147-L147)&lt;=MAX(1,0.03*ABS(L147)),"","RAI &lt;&gt; RBE + coût du risque "),"")&amp;IF(COUNT(H147,M147)=2,IF(ABS(M147)&gt;ABS(H147),"RN &gt; PNB ",""),""))=0,"OK",IF(COUNT(H147,I147,J147)=3,IF(ABS(H147+I147-J147)&lt;=MAX(1,0.02*ABS(J147)),"","RBE &lt;&gt; PNB + frais "),"")&amp;IF(COUNT(J147,K147,L147)=3,IF(ABS(J147+K147-L147)&lt;=MAX(1,0.03*ABS(L147)),"","RAI &lt;&gt; RBE + coût du risque "),"")&amp;IF(COUNT(H147,M147)=2,IF(ABS(M147)&gt;ABS(H147),"RN &gt; PNB ",""),"")))</f>
        <v/>
      </c>
      <c r="R147" s="16">
        <f>IF(OR($A147="",H147="",$C147=""),"",IF(COUNTIFS($A$5:$A$315,$A147,$C$5:$C$315,$C147-1,$D$5:$D$315,$D147,H$5:H$315,"&lt;&gt;")=0,"",IF(OR(SUMIFS(H$5:H$315,$A$5:$A$315,$A147,$C$5:$C$315,$C147-1,$D$5:$D$315,$D147)=0,H147*SUMIFS(H$5:H$315,$A$5:$A$315,$A147,$C$5:$C$315,$C147-1,$D$5:$D$315,$D147)&lt;0),"n.s.",ABS(H147)/ABS(SUMIFS(H$5:H$315,$A$5:$A$315,$A147,$C$5:$C$315,$C147-1,$D$5:$D$315,$D147))-1)))</f>
        <v/>
      </c>
      <c r="S147" s="16">
        <f>IF(OR($A147="",I147="",$C147=""),"",IF(COUNTIFS($A$5:$A$315,$A147,$C$5:$C$315,$C147-1,$D$5:$D$315,$D147,I$5:I$315,"&lt;&gt;")=0,"",IF(OR(SUMIFS(I$5:I$315,$A$5:$A$315,$A147,$C$5:$C$315,$C147-1,$D$5:$D$315,$D147)=0,I147*SUMIFS(I$5:I$315,$A$5:$A$315,$A147,$C$5:$C$315,$C147-1,$D$5:$D$315,$D147)&lt;0),"n.s.",ABS(I147)/ABS(SUMIFS(I$5:I$315,$A$5:$A$315,$A147,$C$5:$C$315,$C147-1,$D$5:$D$315,$D147))-1)))</f>
        <v/>
      </c>
      <c r="T147" s="16">
        <f>IF(OR($A147="",J147="",$C147=""),"",IF(COUNTIFS($A$5:$A$315,$A147,$C$5:$C$315,$C147-1,$D$5:$D$315,$D147,J$5:J$315,"&lt;&gt;")=0,"",IF(OR(SUMIFS(J$5:J$315,$A$5:$A$315,$A147,$C$5:$C$315,$C147-1,$D$5:$D$315,$D147)=0,J147*SUMIFS(J$5:J$315,$A$5:$A$315,$A147,$C$5:$C$315,$C147-1,$D$5:$D$315,$D147)&lt;0),"n.s.",ABS(J147)/ABS(SUMIFS(J$5:J$315,$A$5:$A$315,$A147,$C$5:$C$315,$C147-1,$D$5:$D$315,$D147))-1)))</f>
        <v/>
      </c>
      <c r="U147" s="16">
        <f>IF(OR($A147="",K147="",$C147=""),"",IF(COUNTIFS($A$5:$A$315,$A147,$C$5:$C$315,$C147-1,$D$5:$D$315,$D147,K$5:K$315,"&lt;&gt;")=0,"",IF(OR(SUMIFS(K$5:K$315,$A$5:$A$315,$A147,$C$5:$C$315,$C147-1,$D$5:$D$315,$D147)=0,K147*SUMIFS(K$5:K$315,$A$5:$A$315,$A147,$C$5:$C$315,$C147-1,$D$5:$D$315,$D147)&lt;0),"n.s.",ABS(K147)/ABS(SUMIFS(K$5:K$315,$A$5:$A$315,$A147,$C$5:$C$315,$C147-1,$D$5:$D$315,$D147))-1)))</f>
        <v/>
      </c>
      <c r="V147" s="16">
        <f>IF(OR($A147="",L147="",$C147=""),"",IF(COUNTIFS($A$5:$A$315,$A147,$C$5:$C$315,$C147-1,$D$5:$D$315,$D147,L$5:L$315,"&lt;&gt;")=0,"",IF(OR(SUMIFS(L$5:L$315,$A$5:$A$315,$A147,$C$5:$C$315,$C147-1,$D$5:$D$315,$D147)=0,L147*SUMIFS(L$5:L$315,$A$5:$A$315,$A147,$C$5:$C$315,$C147-1,$D$5:$D$315,$D147)&lt;0),"n.s.",ABS(L147)/ABS(SUMIFS(L$5:L$315,$A$5:$A$315,$A147,$C$5:$C$315,$C147-1,$D$5:$D$315,$D147))-1)))</f>
        <v/>
      </c>
      <c r="W147" s="16">
        <f>IF(OR($A147="",M147="",$C147=""),"",IF(COUNTIFS($A$5:$A$315,$A147,$C$5:$C$315,$C147-1,$D$5:$D$315,$D147,M$5:M$315,"&lt;&gt;")=0,"",IF(OR(SUMIFS(M$5:M$315,$A$5:$A$315,$A147,$C$5:$C$315,$C147-1,$D$5:$D$315,$D147)=0,M147*SUMIFS(M$5:M$315,$A$5:$A$315,$A147,$C$5:$C$315,$C147-1,$D$5:$D$315,$D147)&lt;0),"n.s.",ABS(M147)/ABS(SUMIFS(M$5:M$315,$A$5:$A$315,$A147,$C$5:$C$315,$C147-1,$D$5:$D$315,$D147))-1)))</f>
        <v/>
      </c>
      <c r="X147" s="16">
        <f>IF(OR($A147="",N147="",$C147=""),"",IF(COUNTIFS($A$5:$A$315,$A147,$C$5:$C$315,$C147-1,$D$5:$D$315,$D147,N$5:N$315,"&lt;&gt;")=0,"",IF(OR(SUMIFS(N$5:N$315,$A$5:$A$315,$A147,$C$5:$C$315,$C147-1,$D$5:$D$315,$D147)=0,N147*SUMIFS(N$5:N$315,$A$5:$A$315,$A147,$C$5:$C$315,$C147-1,$D$5:$D$315,$D147)&lt;0),"n.s.",ABS(N147)/ABS(SUMIFS(N$5:N$315,$A$5:$A$315,$A147,$C$5:$C$315,$C147-1,$D$5:$D$315,$D147))-1)))</f>
        <v/>
      </c>
      <c r="Y147" s="16">
        <f>IF(OR($A147="",O147="",$C147=""),"",IF(COUNTIFS($A$5:$A$315,$A147,$C$5:$C$315,$C147-1,$D$5:$D$315,$D147,O$5:O$315,"&lt;&gt;")=0,"",IF(OR(SUMIFS(O$5:O$315,$A$5:$A$315,$A147,$C$5:$C$315,$C147-1,$D$5:$D$315,$D147)=0,O147*SUMIFS(O$5:O$315,$A$5:$A$315,$A147,$C$5:$C$315,$C147-1,$D$5:$D$315,$D147)&lt;0),"n.s.",ABS(O147)/ABS(SUMIFS(O$5:O$315,$A$5:$A$315,$A147,$C$5:$C$315,$C147-1,$D$5:$D$315,$D147))-1)))</f>
        <v/>
      </c>
    </row>
    <row r="148">
      <c r="A148" s="9" t="inlineStr">
        <is>
          <t>BOAN</t>
        </is>
      </c>
      <c r="B148" s="10">
        <f>IF(A148="","",IFERROR(VLOOKUP(A148,Titres!$A$2:$B$400,2,FALSE),"Ticker inconnu"))</f>
        <v/>
      </c>
      <c r="C148" s="11" t="n">
        <v>2026</v>
      </c>
      <c r="D148" s="11" t="inlineStr">
        <is>
          <t>T3</t>
        </is>
      </c>
      <c r="E148" s="9" t="n"/>
      <c r="F148" s="12" t="n"/>
      <c r="G148" s="9" t="n"/>
      <c r="H148" s="13" t="n"/>
      <c r="I148" s="13" t="n"/>
      <c r="J148" s="13" t="n"/>
      <c r="K148" s="13" t="n"/>
      <c r="L148" s="13" t="n"/>
      <c r="M148" s="13" t="n"/>
      <c r="N148" s="13" t="n"/>
      <c r="O148" s="13" t="n"/>
      <c r="P148" s="14">
        <f>IF(A148="","",COUNT(H148:O148)/8)</f>
        <v/>
      </c>
      <c r="Q148" s="15">
        <f>IF(COUNT(H148:O148)=0,"",IF(LEN(IF(COUNT(H148,I148,J148)=3,IF(ABS(H148+I148-J148)&lt;=MAX(1,0.02*ABS(J148)),"","RBE &lt;&gt; PNB + frais "),"")&amp;IF(COUNT(J148,K148,L148)=3,IF(ABS(J148+K148-L148)&lt;=MAX(1,0.03*ABS(L148)),"","RAI &lt;&gt; RBE + coût du risque "),"")&amp;IF(COUNT(H148,M148)=2,IF(ABS(M148)&gt;ABS(H148),"RN &gt; PNB ",""),""))=0,"OK",IF(COUNT(H148,I148,J148)=3,IF(ABS(H148+I148-J148)&lt;=MAX(1,0.02*ABS(J148)),"","RBE &lt;&gt; PNB + frais "),"")&amp;IF(COUNT(J148,K148,L148)=3,IF(ABS(J148+K148-L148)&lt;=MAX(1,0.03*ABS(L148)),"","RAI &lt;&gt; RBE + coût du risque "),"")&amp;IF(COUNT(H148,M148)=2,IF(ABS(M148)&gt;ABS(H148),"RN &gt; PNB ",""),"")))</f>
        <v/>
      </c>
      <c r="R148" s="16">
        <f>IF(OR($A148="",H148="",$C148=""),"",IF(COUNTIFS($A$5:$A$315,$A148,$C$5:$C$315,$C148-1,$D$5:$D$315,$D148,H$5:H$315,"&lt;&gt;")=0,"",IF(OR(SUMIFS(H$5:H$315,$A$5:$A$315,$A148,$C$5:$C$315,$C148-1,$D$5:$D$315,$D148)=0,H148*SUMIFS(H$5:H$315,$A$5:$A$315,$A148,$C$5:$C$315,$C148-1,$D$5:$D$315,$D148)&lt;0),"n.s.",ABS(H148)/ABS(SUMIFS(H$5:H$315,$A$5:$A$315,$A148,$C$5:$C$315,$C148-1,$D$5:$D$315,$D148))-1)))</f>
        <v/>
      </c>
      <c r="S148" s="16">
        <f>IF(OR($A148="",I148="",$C148=""),"",IF(COUNTIFS($A$5:$A$315,$A148,$C$5:$C$315,$C148-1,$D$5:$D$315,$D148,I$5:I$315,"&lt;&gt;")=0,"",IF(OR(SUMIFS(I$5:I$315,$A$5:$A$315,$A148,$C$5:$C$315,$C148-1,$D$5:$D$315,$D148)=0,I148*SUMIFS(I$5:I$315,$A$5:$A$315,$A148,$C$5:$C$315,$C148-1,$D$5:$D$315,$D148)&lt;0),"n.s.",ABS(I148)/ABS(SUMIFS(I$5:I$315,$A$5:$A$315,$A148,$C$5:$C$315,$C148-1,$D$5:$D$315,$D148))-1)))</f>
        <v/>
      </c>
      <c r="T148" s="16">
        <f>IF(OR($A148="",J148="",$C148=""),"",IF(COUNTIFS($A$5:$A$315,$A148,$C$5:$C$315,$C148-1,$D$5:$D$315,$D148,J$5:J$315,"&lt;&gt;")=0,"",IF(OR(SUMIFS(J$5:J$315,$A$5:$A$315,$A148,$C$5:$C$315,$C148-1,$D$5:$D$315,$D148)=0,J148*SUMIFS(J$5:J$315,$A$5:$A$315,$A148,$C$5:$C$315,$C148-1,$D$5:$D$315,$D148)&lt;0),"n.s.",ABS(J148)/ABS(SUMIFS(J$5:J$315,$A$5:$A$315,$A148,$C$5:$C$315,$C148-1,$D$5:$D$315,$D148))-1)))</f>
        <v/>
      </c>
      <c r="U148" s="16">
        <f>IF(OR($A148="",K148="",$C148=""),"",IF(COUNTIFS($A$5:$A$315,$A148,$C$5:$C$315,$C148-1,$D$5:$D$315,$D148,K$5:K$315,"&lt;&gt;")=0,"",IF(OR(SUMIFS(K$5:K$315,$A$5:$A$315,$A148,$C$5:$C$315,$C148-1,$D$5:$D$315,$D148)=0,K148*SUMIFS(K$5:K$315,$A$5:$A$315,$A148,$C$5:$C$315,$C148-1,$D$5:$D$315,$D148)&lt;0),"n.s.",ABS(K148)/ABS(SUMIFS(K$5:K$315,$A$5:$A$315,$A148,$C$5:$C$315,$C148-1,$D$5:$D$315,$D148))-1)))</f>
        <v/>
      </c>
      <c r="V148" s="16">
        <f>IF(OR($A148="",L148="",$C148=""),"",IF(COUNTIFS($A$5:$A$315,$A148,$C$5:$C$315,$C148-1,$D$5:$D$315,$D148,L$5:L$315,"&lt;&gt;")=0,"",IF(OR(SUMIFS(L$5:L$315,$A$5:$A$315,$A148,$C$5:$C$315,$C148-1,$D$5:$D$315,$D148)=0,L148*SUMIFS(L$5:L$315,$A$5:$A$315,$A148,$C$5:$C$315,$C148-1,$D$5:$D$315,$D148)&lt;0),"n.s.",ABS(L148)/ABS(SUMIFS(L$5:L$315,$A$5:$A$315,$A148,$C$5:$C$315,$C148-1,$D$5:$D$315,$D148))-1)))</f>
        <v/>
      </c>
      <c r="W148" s="16">
        <f>IF(OR($A148="",M148="",$C148=""),"",IF(COUNTIFS($A$5:$A$315,$A148,$C$5:$C$315,$C148-1,$D$5:$D$315,$D148,M$5:M$315,"&lt;&gt;")=0,"",IF(OR(SUMIFS(M$5:M$315,$A$5:$A$315,$A148,$C$5:$C$315,$C148-1,$D$5:$D$315,$D148)=0,M148*SUMIFS(M$5:M$315,$A$5:$A$315,$A148,$C$5:$C$315,$C148-1,$D$5:$D$315,$D148)&lt;0),"n.s.",ABS(M148)/ABS(SUMIFS(M$5:M$315,$A$5:$A$315,$A148,$C$5:$C$315,$C148-1,$D$5:$D$315,$D148))-1)))</f>
        <v/>
      </c>
      <c r="X148" s="16">
        <f>IF(OR($A148="",N148="",$C148=""),"",IF(COUNTIFS($A$5:$A$315,$A148,$C$5:$C$315,$C148-1,$D$5:$D$315,$D148,N$5:N$315,"&lt;&gt;")=0,"",IF(OR(SUMIFS(N$5:N$315,$A$5:$A$315,$A148,$C$5:$C$315,$C148-1,$D$5:$D$315,$D148)=0,N148*SUMIFS(N$5:N$315,$A$5:$A$315,$A148,$C$5:$C$315,$C148-1,$D$5:$D$315,$D148)&lt;0),"n.s.",ABS(N148)/ABS(SUMIFS(N$5:N$315,$A$5:$A$315,$A148,$C$5:$C$315,$C148-1,$D$5:$D$315,$D148))-1)))</f>
        <v/>
      </c>
      <c r="Y148" s="16">
        <f>IF(OR($A148="",O148="",$C148=""),"",IF(COUNTIFS($A$5:$A$315,$A148,$C$5:$C$315,$C148-1,$D$5:$D$315,$D148,O$5:O$315,"&lt;&gt;")=0,"",IF(OR(SUMIFS(O$5:O$315,$A$5:$A$315,$A148,$C$5:$C$315,$C148-1,$D$5:$D$315,$D148)=0,O148*SUMIFS(O$5:O$315,$A$5:$A$315,$A148,$C$5:$C$315,$C148-1,$D$5:$D$315,$D148)&lt;0),"n.s.",ABS(O148)/ABS(SUMIFS(O$5:O$315,$A$5:$A$315,$A148,$C$5:$C$315,$C148-1,$D$5:$D$315,$D148))-1)))</f>
        <v/>
      </c>
    </row>
    <row r="149">
      <c r="A149" s="9" t="inlineStr">
        <is>
          <t>BOAS</t>
        </is>
      </c>
      <c r="B149" s="10">
        <f>IF(A149="","",IFERROR(VLOOKUP(A149,Titres!$A$2:$B$400,2,FALSE),"Ticker inconnu"))</f>
        <v/>
      </c>
      <c r="C149" s="11" t="n">
        <v>2021</v>
      </c>
      <c r="D149" s="11" t="inlineStr">
        <is>
          <t>T1</t>
        </is>
      </c>
      <c r="E149" s="9" t="n"/>
      <c r="F149" s="12" t="n"/>
      <c r="G149" s="9" t="n"/>
      <c r="H149" s="13" t="n"/>
      <c r="I149" s="13" t="n"/>
      <c r="J149" s="13" t="n"/>
      <c r="K149" s="13" t="n"/>
      <c r="L149" s="13" t="n"/>
      <c r="M149" s="13" t="n"/>
      <c r="N149" s="13" t="n"/>
      <c r="O149" s="13" t="n"/>
      <c r="P149" s="14">
        <f>IF(A149="","",COUNT(H149:O149)/8)</f>
        <v/>
      </c>
      <c r="Q149" s="15">
        <f>IF(COUNT(H149:O149)=0,"",IF(LEN(IF(COUNT(H149,I149,J149)=3,IF(ABS(H149+I149-J149)&lt;=MAX(1,0.02*ABS(J149)),"","RBE &lt;&gt; PNB + frais "),"")&amp;IF(COUNT(J149,K149,L149)=3,IF(ABS(J149+K149-L149)&lt;=MAX(1,0.03*ABS(L149)),"","RAI &lt;&gt; RBE + coût du risque "),"")&amp;IF(COUNT(H149,M149)=2,IF(ABS(M149)&gt;ABS(H149),"RN &gt; PNB ",""),""))=0,"OK",IF(COUNT(H149,I149,J149)=3,IF(ABS(H149+I149-J149)&lt;=MAX(1,0.02*ABS(J149)),"","RBE &lt;&gt; PNB + frais "),"")&amp;IF(COUNT(J149,K149,L149)=3,IF(ABS(J149+K149-L149)&lt;=MAX(1,0.03*ABS(L149)),"","RAI &lt;&gt; RBE + coût du risque "),"")&amp;IF(COUNT(H149,M149)=2,IF(ABS(M149)&gt;ABS(H149),"RN &gt; PNB ",""),"")))</f>
        <v/>
      </c>
      <c r="R149" s="16">
        <f>IF(OR($A149="",H149="",$C149=""),"",IF(COUNTIFS($A$5:$A$315,$A149,$C$5:$C$315,$C149-1,$D$5:$D$315,$D149,H$5:H$315,"&lt;&gt;")=0,"",IF(OR(SUMIFS(H$5:H$315,$A$5:$A$315,$A149,$C$5:$C$315,$C149-1,$D$5:$D$315,$D149)=0,H149*SUMIFS(H$5:H$315,$A$5:$A$315,$A149,$C$5:$C$315,$C149-1,$D$5:$D$315,$D149)&lt;0),"n.s.",ABS(H149)/ABS(SUMIFS(H$5:H$315,$A$5:$A$315,$A149,$C$5:$C$315,$C149-1,$D$5:$D$315,$D149))-1)))</f>
        <v/>
      </c>
      <c r="S149" s="16">
        <f>IF(OR($A149="",I149="",$C149=""),"",IF(COUNTIFS($A$5:$A$315,$A149,$C$5:$C$315,$C149-1,$D$5:$D$315,$D149,I$5:I$315,"&lt;&gt;")=0,"",IF(OR(SUMIFS(I$5:I$315,$A$5:$A$315,$A149,$C$5:$C$315,$C149-1,$D$5:$D$315,$D149)=0,I149*SUMIFS(I$5:I$315,$A$5:$A$315,$A149,$C$5:$C$315,$C149-1,$D$5:$D$315,$D149)&lt;0),"n.s.",ABS(I149)/ABS(SUMIFS(I$5:I$315,$A$5:$A$315,$A149,$C$5:$C$315,$C149-1,$D$5:$D$315,$D149))-1)))</f>
        <v/>
      </c>
      <c r="T149" s="16">
        <f>IF(OR($A149="",J149="",$C149=""),"",IF(COUNTIFS($A$5:$A$315,$A149,$C$5:$C$315,$C149-1,$D$5:$D$315,$D149,J$5:J$315,"&lt;&gt;")=0,"",IF(OR(SUMIFS(J$5:J$315,$A$5:$A$315,$A149,$C$5:$C$315,$C149-1,$D$5:$D$315,$D149)=0,J149*SUMIFS(J$5:J$315,$A$5:$A$315,$A149,$C$5:$C$315,$C149-1,$D$5:$D$315,$D149)&lt;0),"n.s.",ABS(J149)/ABS(SUMIFS(J$5:J$315,$A$5:$A$315,$A149,$C$5:$C$315,$C149-1,$D$5:$D$315,$D149))-1)))</f>
        <v/>
      </c>
      <c r="U149" s="16">
        <f>IF(OR($A149="",K149="",$C149=""),"",IF(COUNTIFS($A$5:$A$315,$A149,$C$5:$C$315,$C149-1,$D$5:$D$315,$D149,K$5:K$315,"&lt;&gt;")=0,"",IF(OR(SUMIFS(K$5:K$315,$A$5:$A$315,$A149,$C$5:$C$315,$C149-1,$D$5:$D$315,$D149)=0,K149*SUMIFS(K$5:K$315,$A$5:$A$315,$A149,$C$5:$C$315,$C149-1,$D$5:$D$315,$D149)&lt;0),"n.s.",ABS(K149)/ABS(SUMIFS(K$5:K$315,$A$5:$A$315,$A149,$C$5:$C$315,$C149-1,$D$5:$D$315,$D149))-1)))</f>
        <v/>
      </c>
      <c r="V149" s="16">
        <f>IF(OR($A149="",L149="",$C149=""),"",IF(COUNTIFS($A$5:$A$315,$A149,$C$5:$C$315,$C149-1,$D$5:$D$315,$D149,L$5:L$315,"&lt;&gt;")=0,"",IF(OR(SUMIFS(L$5:L$315,$A$5:$A$315,$A149,$C$5:$C$315,$C149-1,$D$5:$D$315,$D149)=0,L149*SUMIFS(L$5:L$315,$A$5:$A$315,$A149,$C$5:$C$315,$C149-1,$D$5:$D$315,$D149)&lt;0),"n.s.",ABS(L149)/ABS(SUMIFS(L$5:L$315,$A$5:$A$315,$A149,$C$5:$C$315,$C149-1,$D$5:$D$315,$D149))-1)))</f>
        <v/>
      </c>
      <c r="W149" s="16">
        <f>IF(OR($A149="",M149="",$C149=""),"",IF(COUNTIFS($A$5:$A$315,$A149,$C$5:$C$315,$C149-1,$D$5:$D$315,$D149,M$5:M$315,"&lt;&gt;")=0,"",IF(OR(SUMIFS(M$5:M$315,$A$5:$A$315,$A149,$C$5:$C$315,$C149-1,$D$5:$D$315,$D149)=0,M149*SUMIFS(M$5:M$315,$A$5:$A$315,$A149,$C$5:$C$315,$C149-1,$D$5:$D$315,$D149)&lt;0),"n.s.",ABS(M149)/ABS(SUMIFS(M$5:M$315,$A$5:$A$315,$A149,$C$5:$C$315,$C149-1,$D$5:$D$315,$D149))-1)))</f>
        <v/>
      </c>
      <c r="X149" s="16">
        <f>IF(OR($A149="",N149="",$C149=""),"",IF(COUNTIFS($A$5:$A$315,$A149,$C$5:$C$315,$C149-1,$D$5:$D$315,$D149,N$5:N$315,"&lt;&gt;")=0,"",IF(OR(SUMIFS(N$5:N$315,$A$5:$A$315,$A149,$C$5:$C$315,$C149-1,$D$5:$D$315,$D149)=0,N149*SUMIFS(N$5:N$315,$A$5:$A$315,$A149,$C$5:$C$315,$C149-1,$D$5:$D$315,$D149)&lt;0),"n.s.",ABS(N149)/ABS(SUMIFS(N$5:N$315,$A$5:$A$315,$A149,$C$5:$C$315,$C149-1,$D$5:$D$315,$D149))-1)))</f>
        <v/>
      </c>
      <c r="Y149" s="16">
        <f>IF(OR($A149="",O149="",$C149=""),"",IF(COUNTIFS($A$5:$A$315,$A149,$C$5:$C$315,$C149-1,$D$5:$D$315,$D149,O$5:O$315,"&lt;&gt;")=0,"",IF(OR(SUMIFS(O$5:O$315,$A$5:$A$315,$A149,$C$5:$C$315,$C149-1,$D$5:$D$315,$D149)=0,O149*SUMIFS(O$5:O$315,$A$5:$A$315,$A149,$C$5:$C$315,$C149-1,$D$5:$D$315,$D149)&lt;0),"n.s.",ABS(O149)/ABS(SUMIFS(O$5:O$315,$A$5:$A$315,$A149,$C$5:$C$315,$C149-1,$D$5:$D$315,$D149))-1)))</f>
        <v/>
      </c>
    </row>
    <row r="150">
      <c r="A150" s="9" t="inlineStr">
        <is>
          <t>BOAS</t>
        </is>
      </c>
      <c r="B150" s="10">
        <f>IF(A150="","",IFERROR(VLOOKUP(A150,Titres!$A$2:$B$400,2,FALSE),"Ticker inconnu"))</f>
        <v/>
      </c>
      <c r="C150" s="11" t="n">
        <v>2021</v>
      </c>
      <c r="D150" s="11" t="inlineStr">
        <is>
          <t>S1</t>
        </is>
      </c>
      <c r="E150" s="9" t="n"/>
      <c r="F150" s="12" t="n"/>
      <c r="G150" s="9" t="n"/>
      <c r="H150" s="13" t="n"/>
      <c r="I150" s="13" t="n"/>
      <c r="J150" s="13" t="n"/>
      <c r="K150" s="13" t="n"/>
      <c r="L150" s="13" t="n"/>
      <c r="M150" s="13" t="n"/>
      <c r="N150" s="13" t="n"/>
      <c r="O150" s="13" t="n"/>
      <c r="P150" s="14">
        <f>IF(A150="","",COUNT(H150:O150)/8)</f>
        <v/>
      </c>
      <c r="Q150" s="15">
        <f>IF(COUNT(H150:O150)=0,"",IF(LEN(IF(COUNT(H150,I150,J150)=3,IF(ABS(H150+I150-J150)&lt;=MAX(1,0.02*ABS(J150)),"","RBE &lt;&gt; PNB + frais "),"")&amp;IF(COUNT(J150,K150,L150)=3,IF(ABS(J150+K150-L150)&lt;=MAX(1,0.03*ABS(L150)),"","RAI &lt;&gt; RBE + coût du risque "),"")&amp;IF(COUNT(H150,M150)=2,IF(ABS(M150)&gt;ABS(H150),"RN &gt; PNB ",""),""))=0,"OK",IF(COUNT(H150,I150,J150)=3,IF(ABS(H150+I150-J150)&lt;=MAX(1,0.02*ABS(J150)),"","RBE &lt;&gt; PNB + frais "),"")&amp;IF(COUNT(J150,K150,L150)=3,IF(ABS(J150+K150-L150)&lt;=MAX(1,0.03*ABS(L150)),"","RAI &lt;&gt; RBE + coût du risque "),"")&amp;IF(COUNT(H150,M150)=2,IF(ABS(M150)&gt;ABS(H150),"RN &gt; PNB ",""),"")))</f>
        <v/>
      </c>
      <c r="R150" s="16">
        <f>IF(OR($A150="",H150="",$C150=""),"",IF(COUNTIFS($A$5:$A$315,$A150,$C$5:$C$315,$C150-1,$D$5:$D$315,$D150,H$5:H$315,"&lt;&gt;")=0,"",IF(OR(SUMIFS(H$5:H$315,$A$5:$A$315,$A150,$C$5:$C$315,$C150-1,$D$5:$D$315,$D150)=0,H150*SUMIFS(H$5:H$315,$A$5:$A$315,$A150,$C$5:$C$315,$C150-1,$D$5:$D$315,$D150)&lt;0),"n.s.",ABS(H150)/ABS(SUMIFS(H$5:H$315,$A$5:$A$315,$A150,$C$5:$C$315,$C150-1,$D$5:$D$315,$D150))-1)))</f>
        <v/>
      </c>
      <c r="S150" s="16">
        <f>IF(OR($A150="",I150="",$C150=""),"",IF(COUNTIFS($A$5:$A$315,$A150,$C$5:$C$315,$C150-1,$D$5:$D$315,$D150,I$5:I$315,"&lt;&gt;")=0,"",IF(OR(SUMIFS(I$5:I$315,$A$5:$A$315,$A150,$C$5:$C$315,$C150-1,$D$5:$D$315,$D150)=0,I150*SUMIFS(I$5:I$315,$A$5:$A$315,$A150,$C$5:$C$315,$C150-1,$D$5:$D$315,$D150)&lt;0),"n.s.",ABS(I150)/ABS(SUMIFS(I$5:I$315,$A$5:$A$315,$A150,$C$5:$C$315,$C150-1,$D$5:$D$315,$D150))-1)))</f>
        <v/>
      </c>
      <c r="T150" s="16">
        <f>IF(OR($A150="",J150="",$C150=""),"",IF(COUNTIFS($A$5:$A$315,$A150,$C$5:$C$315,$C150-1,$D$5:$D$315,$D150,J$5:J$315,"&lt;&gt;")=0,"",IF(OR(SUMIFS(J$5:J$315,$A$5:$A$315,$A150,$C$5:$C$315,$C150-1,$D$5:$D$315,$D150)=0,J150*SUMIFS(J$5:J$315,$A$5:$A$315,$A150,$C$5:$C$315,$C150-1,$D$5:$D$315,$D150)&lt;0),"n.s.",ABS(J150)/ABS(SUMIFS(J$5:J$315,$A$5:$A$315,$A150,$C$5:$C$315,$C150-1,$D$5:$D$315,$D150))-1)))</f>
        <v/>
      </c>
      <c r="U150" s="16">
        <f>IF(OR($A150="",K150="",$C150=""),"",IF(COUNTIFS($A$5:$A$315,$A150,$C$5:$C$315,$C150-1,$D$5:$D$315,$D150,K$5:K$315,"&lt;&gt;")=0,"",IF(OR(SUMIFS(K$5:K$315,$A$5:$A$315,$A150,$C$5:$C$315,$C150-1,$D$5:$D$315,$D150)=0,K150*SUMIFS(K$5:K$315,$A$5:$A$315,$A150,$C$5:$C$315,$C150-1,$D$5:$D$315,$D150)&lt;0),"n.s.",ABS(K150)/ABS(SUMIFS(K$5:K$315,$A$5:$A$315,$A150,$C$5:$C$315,$C150-1,$D$5:$D$315,$D150))-1)))</f>
        <v/>
      </c>
      <c r="V150" s="16">
        <f>IF(OR($A150="",L150="",$C150=""),"",IF(COUNTIFS($A$5:$A$315,$A150,$C$5:$C$315,$C150-1,$D$5:$D$315,$D150,L$5:L$315,"&lt;&gt;")=0,"",IF(OR(SUMIFS(L$5:L$315,$A$5:$A$315,$A150,$C$5:$C$315,$C150-1,$D$5:$D$315,$D150)=0,L150*SUMIFS(L$5:L$315,$A$5:$A$315,$A150,$C$5:$C$315,$C150-1,$D$5:$D$315,$D150)&lt;0),"n.s.",ABS(L150)/ABS(SUMIFS(L$5:L$315,$A$5:$A$315,$A150,$C$5:$C$315,$C150-1,$D$5:$D$315,$D150))-1)))</f>
        <v/>
      </c>
      <c r="W150" s="16">
        <f>IF(OR($A150="",M150="",$C150=""),"",IF(COUNTIFS($A$5:$A$315,$A150,$C$5:$C$315,$C150-1,$D$5:$D$315,$D150,M$5:M$315,"&lt;&gt;")=0,"",IF(OR(SUMIFS(M$5:M$315,$A$5:$A$315,$A150,$C$5:$C$315,$C150-1,$D$5:$D$315,$D150)=0,M150*SUMIFS(M$5:M$315,$A$5:$A$315,$A150,$C$5:$C$315,$C150-1,$D$5:$D$315,$D150)&lt;0),"n.s.",ABS(M150)/ABS(SUMIFS(M$5:M$315,$A$5:$A$315,$A150,$C$5:$C$315,$C150-1,$D$5:$D$315,$D150))-1)))</f>
        <v/>
      </c>
      <c r="X150" s="16">
        <f>IF(OR($A150="",N150="",$C150=""),"",IF(COUNTIFS($A$5:$A$315,$A150,$C$5:$C$315,$C150-1,$D$5:$D$315,$D150,N$5:N$315,"&lt;&gt;")=0,"",IF(OR(SUMIFS(N$5:N$315,$A$5:$A$315,$A150,$C$5:$C$315,$C150-1,$D$5:$D$315,$D150)=0,N150*SUMIFS(N$5:N$315,$A$5:$A$315,$A150,$C$5:$C$315,$C150-1,$D$5:$D$315,$D150)&lt;0),"n.s.",ABS(N150)/ABS(SUMIFS(N$5:N$315,$A$5:$A$315,$A150,$C$5:$C$315,$C150-1,$D$5:$D$315,$D150))-1)))</f>
        <v/>
      </c>
      <c r="Y150" s="16">
        <f>IF(OR($A150="",O150="",$C150=""),"",IF(COUNTIFS($A$5:$A$315,$A150,$C$5:$C$315,$C150-1,$D$5:$D$315,$D150,O$5:O$315,"&lt;&gt;")=0,"",IF(OR(SUMIFS(O$5:O$315,$A$5:$A$315,$A150,$C$5:$C$315,$C150-1,$D$5:$D$315,$D150)=0,O150*SUMIFS(O$5:O$315,$A$5:$A$315,$A150,$C$5:$C$315,$C150-1,$D$5:$D$315,$D150)&lt;0),"n.s.",ABS(O150)/ABS(SUMIFS(O$5:O$315,$A$5:$A$315,$A150,$C$5:$C$315,$C150-1,$D$5:$D$315,$D150))-1)))</f>
        <v/>
      </c>
    </row>
    <row r="151">
      <c r="A151" s="9" t="inlineStr">
        <is>
          <t>BOAS</t>
        </is>
      </c>
      <c r="B151" s="10">
        <f>IF(A151="","",IFERROR(VLOOKUP(A151,Titres!$A$2:$B$400,2,FALSE),"Ticker inconnu"))</f>
        <v/>
      </c>
      <c r="C151" s="11" t="n">
        <v>2021</v>
      </c>
      <c r="D151" s="11" t="inlineStr">
        <is>
          <t>T3</t>
        </is>
      </c>
      <c r="E151" s="9" t="n"/>
      <c r="F151" s="12" t="n"/>
      <c r="G151" s="9" t="n"/>
      <c r="H151" s="13" t="n"/>
      <c r="I151" s="13" t="n"/>
      <c r="J151" s="13" t="n"/>
      <c r="K151" s="13" t="n"/>
      <c r="L151" s="13" t="n"/>
      <c r="M151" s="13" t="n"/>
      <c r="N151" s="13" t="n"/>
      <c r="O151" s="13" t="n"/>
      <c r="P151" s="14">
        <f>IF(A151="","",COUNT(H151:O151)/8)</f>
        <v/>
      </c>
      <c r="Q151" s="15">
        <f>IF(COUNT(H151:O151)=0,"",IF(LEN(IF(COUNT(H151,I151,J151)=3,IF(ABS(H151+I151-J151)&lt;=MAX(1,0.02*ABS(J151)),"","RBE &lt;&gt; PNB + frais "),"")&amp;IF(COUNT(J151,K151,L151)=3,IF(ABS(J151+K151-L151)&lt;=MAX(1,0.03*ABS(L151)),"","RAI &lt;&gt; RBE + coût du risque "),"")&amp;IF(COUNT(H151,M151)=2,IF(ABS(M151)&gt;ABS(H151),"RN &gt; PNB ",""),""))=0,"OK",IF(COUNT(H151,I151,J151)=3,IF(ABS(H151+I151-J151)&lt;=MAX(1,0.02*ABS(J151)),"","RBE &lt;&gt; PNB + frais "),"")&amp;IF(COUNT(J151,K151,L151)=3,IF(ABS(J151+K151-L151)&lt;=MAX(1,0.03*ABS(L151)),"","RAI &lt;&gt; RBE + coût du risque "),"")&amp;IF(COUNT(H151,M151)=2,IF(ABS(M151)&gt;ABS(H151),"RN &gt; PNB ",""),"")))</f>
        <v/>
      </c>
      <c r="R151" s="16">
        <f>IF(OR($A151="",H151="",$C151=""),"",IF(COUNTIFS($A$5:$A$315,$A151,$C$5:$C$315,$C151-1,$D$5:$D$315,$D151,H$5:H$315,"&lt;&gt;")=0,"",IF(OR(SUMIFS(H$5:H$315,$A$5:$A$315,$A151,$C$5:$C$315,$C151-1,$D$5:$D$315,$D151)=0,H151*SUMIFS(H$5:H$315,$A$5:$A$315,$A151,$C$5:$C$315,$C151-1,$D$5:$D$315,$D151)&lt;0),"n.s.",ABS(H151)/ABS(SUMIFS(H$5:H$315,$A$5:$A$315,$A151,$C$5:$C$315,$C151-1,$D$5:$D$315,$D151))-1)))</f>
        <v/>
      </c>
      <c r="S151" s="16">
        <f>IF(OR($A151="",I151="",$C151=""),"",IF(COUNTIFS($A$5:$A$315,$A151,$C$5:$C$315,$C151-1,$D$5:$D$315,$D151,I$5:I$315,"&lt;&gt;")=0,"",IF(OR(SUMIFS(I$5:I$315,$A$5:$A$315,$A151,$C$5:$C$315,$C151-1,$D$5:$D$315,$D151)=0,I151*SUMIFS(I$5:I$315,$A$5:$A$315,$A151,$C$5:$C$315,$C151-1,$D$5:$D$315,$D151)&lt;0),"n.s.",ABS(I151)/ABS(SUMIFS(I$5:I$315,$A$5:$A$315,$A151,$C$5:$C$315,$C151-1,$D$5:$D$315,$D151))-1)))</f>
        <v/>
      </c>
      <c r="T151" s="16">
        <f>IF(OR($A151="",J151="",$C151=""),"",IF(COUNTIFS($A$5:$A$315,$A151,$C$5:$C$315,$C151-1,$D$5:$D$315,$D151,J$5:J$315,"&lt;&gt;")=0,"",IF(OR(SUMIFS(J$5:J$315,$A$5:$A$315,$A151,$C$5:$C$315,$C151-1,$D$5:$D$315,$D151)=0,J151*SUMIFS(J$5:J$315,$A$5:$A$315,$A151,$C$5:$C$315,$C151-1,$D$5:$D$315,$D151)&lt;0),"n.s.",ABS(J151)/ABS(SUMIFS(J$5:J$315,$A$5:$A$315,$A151,$C$5:$C$315,$C151-1,$D$5:$D$315,$D151))-1)))</f>
        <v/>
      </c>
      <c r="U151" s="16">
        <f>IF(OR($A151="",K151="",$C151=""),"",IF(COUNTIFS($A$5:$A$315,$A151,$C$5:$C$315,$C151-1,$D$5:$D$315,$D151,K$5:K$315,"&lt;&gt;")=0,"",IF(OR(SUMIFS(K$5:K$315,$A$5:$A$315,$A151,$C$5:$C$315,$C151-1,$D$5:$D$315,$D151)=0,K151*SUMIFS(K$5:K$315,$A$5:$A$315,$A151,$C$5:$C$315,$C151-1,$D$5:$D$315,$D151)&lt;0),"n.s.",ABS(K151)/ABS(SUMIFS(K$5:K$315,$A$5:$A$315,$A151,$C$5:$C$315,$C151-1,$D$5:$D$315,$D151))-1)))</f>
        <v/>
      </c>
      <c r="V151" s="16">
        <f>IF(OR($A151="",L151="",$C151=""),"",IF(COUNTIFS($A$5:$A$315,$A151,$C$5:$C$315,$C151-1,$D$5:$D$315,$D151,L$5:L$315,"&lt;&gt;")=0,"",IF(OR(SUMIFS(L$5:L$315,$A$5:$A$315,$A151,$C$5:$C$315,$C151-1,$D$5:$D$315,$D151)=0,L151*SUMIFS(L$5:L$315,$A$5:$A$315,$A151,$C$5:$C$315,$C151-1,$D$5:$D$315,$D151)&lt;0),"n.s.",ABS(L151)/ABS(SUMIFS(L$5:L$315,$A$5:$A$315,$A151,$C$5:$C$315,$C151-1,$D$5:$D$315,$D151))-1)))</f>
        <v/>
      </c>
      <c r="W151" s="16">
        <f>IF(OR($A151="",M151="",$C151=""),"",IF(COUNTIFS($A$5:$A$315,$A151,$C$5:$C$315,$C151-1,$D$5:$D$315,$D151,M$5:M$315,"&lt;&gt;")=0,"",IF(OR(SUMIFS(M$5:M$315,$A$5:$A$315,$A151,$C$5:$C$315,$C151-1,$D$5:$D$315,$D151)=0,M151*SUMIFS(M$5:M$315,$A$5:$A$315,$A151,$C$5:$C$315,$C151-1,$D$5:$D$315,$D151)&lt;0),"n.s.",ABS(M151)/ABS(SUMIFS(M$5:M$315,$A$5:$A$315,$A151,$C$5:$C$315,$C151-1,$D$5:$D$315,$D151))-1)))</f>
        <v/>
      </c>
      <c r="X151" s="16">
        <f>IF(OR($A151="",N151="",$C151=""),"",IF(COUNTIFS($A$5:$A$315,$A151,$C$5:$C$315,$C151-1,$D$5:$D$315,$D151,N$5:N$315,"&lt;&gt;")=0,"",IF(OR(SUMIFS(N$5:N$315,$A$5:$A$315,$A151,$C$5:$C$315,$C151-1,$D$5:$D$315,$D151)=0,N151*SUMIFS(N$5:N$315,$A$5:$A$315,$A151,$C$5:$C$315,$C151-1,$D$5:$D$315,$D151)&lt;0),"n.s.",ABS(N151)/ABS(SUMIFS(N$5:N$315,$A$5:$A$315,$A151,$C$5:$C$315,$C151-1,$D$5:$D$315,$D151))-1)))</f>
        <v/>
      </c>
      <c r="Y151" s="16">
        <f>IF(OR($A151="",O151="",$C151=""),"",IF(COUNTIFS($A$5:$A$315,$A151,$C$5:$C$315,$C151-1,$D$5:$D$315,$D151,O$5:O$315,"&lt;&gt;")=0,"",IF(OR(SUMIFS(O$5:O$315,$A$5:$A$315,$A151,$C$5:$C$315,$C151-1,$D$5:$D$315,$D151)=0,O151*SUMIFS(O$5:O$315,$A$5:$A$315,$A151,$C$5:$C$315,$C151-1,$D$5:$D$315,$D151)&lt;0),"n.s.",ABS(O151)/ABS(SUMIFS(O$5:O$315,$A$5:$A$315,$A151,$C$5:$C$315,$C151-1,$D$5:$D$315,$D151))-1)))</f>
        <v/>
      </c>
    </row>
    <row r="152">
      <c r="A152" s="9" t="inlineStr">
        <is>
          <t>BOAS</t>
        </is>
      </c>
      <c r="B152" s="10">
        <f>IF(A152="","",IFERROR(VLOOKUP(A152,Titres!$A$2:$B$400,2,FALSE),"Ticker inconnu"))</f>
        <v/>
      </c>
      <c r="C152" s="11" t="n">
        <v>2022</v>
      </c>
      <c r="D152" s="11" t="inlineStr">
        <is>
          <t>T1</t>
        </is>
      </c>
      <c r="E152" s="9" t="n"/>
      <c r="F152" s="12" t="n"/>
      <c r="G152" s="9" t="n"/>
      <c r="H152" s="13" t="n"/>
      <c r="I152" s="13" t="n"/>
      <c r="J152" s="13" t="n"/>
      <c r="K152" s="13" t="n"/>
      <c r="L152" s="13" t="n"/>
      <c r="M152" s="13" t="n"/>
      <c r="N152" s="13" t="n"/>
      <c r="O152" s="13" t="n"/>
      <c r="P152" s="14">
        <f>IF(A152="","",COUNT(H152:O152)/8)</f>
        <v/>
      </c>
      <c r="Q152" s="15">
        <f>IF(COUNT(H152:O152)=0,"",IF(LEN(IF(COUNT(H152,I152,J152)=3,IF(ABS(H152+I152-J152)&lt;=MAX(1,0.02*ABS(J152)),"","RBE &lt;&gt; PNB + frais "),"")&amp;IF(COUNT(J152,K152,L152)=3,IF(ABS(J152+K152-L152)&lt;=MAX(1,0.03*ABS(L152)),"","RAI &lt;&gt; RBE + coût du risque "),"")&amp;IF(COUNT(H152,M152)=2,IF(ABS(M152)&gt;ABS(H152),"RN &gt; PNB ",""),""))=0,"OK",IF(COUNT(H152,I152,J152)=3,IF(ABS(H152+I152-J152)&lt;=MAX(1,0.02*ABS(J152)),"","RBE &lt;&gt; PNB + frais "),"")&amp;IF(COUNT(J152,K152,L152)=3,IF(ABS(J152+K152-L152)&lt;=MAX(1,0.03*ABS(L152)),"","RAI &lt;&gt; RBE + coût du risque "),"")&amp;IF(COUNT(H152,M152)=2,IF(ABS(M152)&gt;ABS(H152),"RN &gt; PNB ",""),"")))</f>
        <v/>
      </c>
      <c r="R152" s="16">
        <f>IF(OR($A152="",H152="",$C152=""),"",IF(COUNTIFS($A$5:$A$315,$A152,$C$5:$C$315,$C152-1,$D$5:$D$315,$D152,H$5:H$315,"&lt;&gt;")=0,"",IF(OR(SUMIFS(H$5:H$315,$A$5:$A$315,$A152,$C$5:$C$315,$C152-1,$D$5:$D$315,$D152)=0,H152*SUMIFS(H$5:H$315,$A$5:$A$315,$A152,$C$5:$C$315,$C152-1,$D$5:$D$315,$D152)&lt;0),"n.s.",ABS(H152)/ABS(SUMIFS(H$5:H$315,$A$5:$A$315,$A152,$C$5:$C$315,$C152-1,$D$5:$D$315,$D152))-1)))</f>
        <v/>
      </c>
      <c r="S152" s="16">
        <f>IF(OR($A152="",I152="",$C152=""),"",IF(COUNTIFS($A$5:$A$315,$A152,$C$5:$C$315,$C152-1,$D$5:$D$315,$D152,I$5:I$315,"&lt;&gt;")=0,"",IF(OR(SUMIFS(I$5:I$315,$A$5:$A$315,$A152,$C$5:$C$315,$C152-1,$D$5:$D$315,$D152)=0,I152*SUMIFS(I$5:I$315,$A$5:$A$315,$A152,$C$5:$C$315,$C152-1,$D$5:$D$315,$D152)&lt;0),"n.s.",ABS(I152)/ABS(SUMIFS(I$5:I$315,$A$5:$A$315,$A152,$C$5:$C$315,$C152-1,$D$5:$D$315,$D152))-1)))</f>
        <v/>
      </c>
      <c r="T152" s="16">
        <f>IF(OR($A152="",J152="",$C152=""),"",IF(COUNTIFS($A$5:$A$315,$A152,$C$5:$C$315,$C152-1,$D$5:$D$315,$D152,J$5:J$315,"&lt;&gt;")=0,"",IF(OR(SUMIFS(J$5:J$315,$A$5:$A$315,$A152,$C$5:$C$315,$C152-1,$D$5:$D$315,$D152)=0,J152*SUMIFS(J$5:J$315,$A$5:$A$315,$A152,$C$5:$C$315,$C152-1,$D$5:$D$315,$D152)&lt;0),"n.s.",ABS(J152)/ABS(SUMIFS(J$5:J$315,$A$5:$A$315,$A152,$C$5:$C$315,$C152-1,$D$5:$D$315,$D152))-1)))</f>
        <v/>
      </c>
      <c r="U152" s="16">
        <f>IF(OR($A152="",K152="",$C152=""),"",IF(COUNTIFS($A$5:$A$315,$A152,$C$5:$C$315,$C152-1,$D$5:$D$315,$D152,K$5:K$315,"&lt;&gt;")=0,"",IF(OR(SUMIFS(K$5:K$315,$A$5:$A$315,$A152,$C$5:$C$315,$C152-1,$D$5:$D$315,$D152)=0,K152*SUMIFS(K$5:K$315,$A$5:$A$315,$A152,$C$5:$C$315,$C152-1,$D$5:$D$315,$D152)&lt;0),"n.s.",ABS(K152)/ABS(SUMIFS(K$5:K$315,$A$5:$A$315,$A152,$C$5:$C$315,$C152-1,$D$5:$D$315,$D152))-1)))</f>
        <v/>
      </c>
      <c r="V152" s="16">
        <f>IF(OR($A152="",L152="",$C152=""),"",IF(COUNTIFS($A$5:$A$315,$A152,$C$5:$C$315,$C152-1,$D$5:$D$315,$D152,L$5:L$315,"&lt;&gt;")=0,"",IF(OR(SUMIFS(L$5:L$315,$A$5:$A$315,$A152,$C$5:$C$315,$C152-1,$D$5:$D$315,$D152)=0,L152*SUMIFS(L$5:L$315,$A$5:$A$315,$A152,$C$5:$C$315,$C152-1,$D$5:$D$315,$D152)&lt;0),"n.s.",ABS(L152)/ABS(SUMIFS(L$5:L$315,$A$5:$A$315,$A152,$C$5:$C$315,$C152-1,$D$5:$D$315,$D152))-1)))</f>
        <v/>
      </c>
      <c r="W152" s="16">
        <f>IF(OR($A152="",M152="",$C152=""),"",IF(COUNTIFS($A$5:$A$315,$A152,$C$5:$C$315,$C152-1,$D$5:$D$315,$D152,M$5:M$315,"&lt;&gt;")=0,"",IF(OR(SUMIFS(M$5:M$315,$A$5:$A$315,$A152,$C$5:$C$315,$C152-1,$D$5:$D$315,$D152)=0,M152*SUMIFS(M$5:M$315,$A$5:$A$315,$A152,$C$5:$C$315,$C152-1,$D$5:$D$315,$D152)&lt;0),"n.s.",ABS(M152)/ABS(SUMIFS(M$5:M$315,$A$5:$A$315,$A152,$C$5:$C$315,$C152-1,$D$5:$D$315,$D152))-1)))</f>
        <v/>
      </c>
      <c r="X152" s="16">
        <f>IF(OR($A152="",N152="",$C152=""),"",IF(COUNTIFS($A$5:$A$315,$A152,$C$5:$C$315,$C152-1,$D$5:$D$315,$D152,N$5:N$315,"&lt;&gt;")=0,"",IF(OR(SUMIFS(N$5:N$315,$A$5:$A$315,$A152,$C$5:$C$315,$C152-1,$D$5:$D$315,$D152)=0,N152*SUMIFS(N$5:N$315,$A$5:$A$315,$A152,$C$5:$C$315,$C152-1,$D$5:$D$315,$D152)&lt;0),"n.s.",ABS(N152)/ABS(SUMIFS(N$5:N$315,$A$5:$A$315,$A152,$C$5:$C$315,$C152-1,$D$5:$D$315,$D152))-1)))</f>
        <v/>
      </c>
      <c r="Y152" s="16">
        <f>IF(OR($A152="",O152="",$C152=""),"",IF(COUNTIFS($A$5:$A$315,$A152,$C$5:$C$315,$C152-1,$D$5:$D$315,$D152,O$5:O$315,"&lt;&gt;")=0,"",IF(OR(SUMIFS(O$5:O$315,$A$5:$A$315,$A152,$C$5:$C$315,$C152-1,$D$5:$D$315,$D152)=0,O152*SUMIFS(O$5:O$315,$A$5:$A$315,$A152,$C$5:$C$315,$C152-1,$D$5:$D$315,$D152)&lt;0),"n.s.",ABS(O152)/ABS(SUMIFS(O$5:O$315,$A$5:$A$315,$A152,$C$5:$C$315,$C152-1,$D$5:$D$315,$D152))-1)))</f>
        <v/>
      </c>
    </row>
    <row r="153">
      <c r="A153" s="9" t="inlineStr">
        <is>
          <t>BOAS</t>
        </is>
      </c>
      <c r="B153" s="10">
        <f>IF(A153="","",IFERROR(VLOOKUP(A153,Titres!$A$2:$B$400,2,FALSE),"Ticker inconnu"))</f>
        <v/>
      </c>
      <c r="C153" s="11" t="n">
        <v>2022</v>
      </c>
      <c r="D153" s="11" t="inlineStr">
        <is>
          <t>S1</t>
        </is>
      </c>
      <c r="E153" s="9" t="n"/>
      <c r="F153" s="12" t="n"/>
      <c r="G153" s="9" t="n"/>
      <c r="H153" s="13" t="n"/>
      <c r="I153" s="13" t="n"/>
      <c r="J153" s="13" t="n"/>
      <c r="K153" s="13" t="n"/>
      <c r="L153" s="13" t="n"/>
      <c r="M153" s="13" t="n"/>
      <c r="N153" s="13" t="n"/>
      <c r="O153" s="13" t="n"/>
      <c r="P153" s="14">
        <f>IF(A153="","",COUNT(H153:O153)/8)</f>
        <v/>
      </c>
      <c r="Q153" s="15">
        <f>IF(COUNT(H153:O153)=0,"",IF(LEN(IF(COUNT(H153,I153,J153)=3,IF(ABS(H153+I153-J153)&lt;=MAX(1,0.02*ABS(J153)),"","RBE &lt;&gt; PNB + frais "),"")&amp;IF(COUNT(J153,K153,L153)=3,IF(ABS(J153+K153-L153)&lt;=MAX(1,0.03*ABS(L153)),"","RAI &lt;&gt; RBE + coût du risque "),"")&amp;IF(COUNT(H153,M153)=2,IF(ABS(M153)&gt;ABS(H153),"RN &gt; PNB ",""),""))=0,"OK",IF(COUNT(H153,I153,J153)=3,IF(ABS(H153+I153-J153)&lt;=MAX(1,0.02*ABS(J153)),"","RBE &lt;&gt; PNB + frais "),"")&amp;IF(COUNT(J153,K153,L153)=3,IF(ABS(J153+K153-L153)&lt;=MAX(1,0.03*ABS(L153)),"","RAI &lt;&gt; RBE + coût du risque "),"")&amp;IF(COUNT(H153,M153)=2,IF(ABS(M153)&gt;ABS(H153),"RN &gt; PNB ",""),"")))</f>
        <v/>
      </c>
      <c r="R153" s="16">
        <f>IF(OR($A153="",H153="",$C153=""),"",IF(COUNTIFS($A$5:$A$315,$A153,$C$5:$C$315,$C153-1,$D$5:$D$315,$D153,H$5:H$315,"&lt;&gt;")=0,"",IF(OR(SUMIFS(H$5:H$315,$A$5:$A$315,$A153,$C$5:$C$315,$C153-1,$D$5:$D$315,$D153)=0,H153*SUMIFS(H$5:H$315,$A$5:$A$315,$A153,$C$5:$C$315,$C153-1,$D$5:$D$315,$D153)&lt;0),"n.s.",ABS(H153)/ABS(SUMIFS(H$5:H$315,$A$5:$A$315,$A153,$C$5:$C$315,$C153-1,$D$5:$D$315,$D153))-1)))</f>
        <v/>
      </c>
      <c r="S153" s="16">
        <f>IF(OR($A153="",I153="",$C153=""),"",IF(COUNTIFS($A$5:$A$315,$A153,$C$5:$C$315,$C153-1,$D$5:$D$315,$D153,I$5:I$315,"&lt;&gt;")=0,"",IF(OR(SUMIFS(I$5:I$315,$A$5:$A$315,$A153,$C$5:$C$315,$C153-1,$D$5:$D$315,$D153)=0,I153*SUMIFS(I$5:I$315,$A$5:$A$315,$A153,$C$5:$C$315,$C153-1,$D$5:$D$315,$D153)&lt;0),"n.s.",ABS(I153)/ABS(SUMIFS(I$5:I$315,$A$5:$A$315,$A153,$C$5:$C$315,$C153-1,$D$5:$D$315,$D153))-1)))</f>
        <v/>
      </c>
      <c r="T153" s="16">
        <f>IF(OR($A153="",J153="",$C153=""),"",IF(COUNTIFS($A$5:$A$315,$A153,$C$5:$C$315,$C153-1,$D$5:$D$315,$D153,J$5:J$315,"&lt;&gt;")=0,"",IF(OR(SUMIFS(J$5:J$315,$A$5:$A$315,$A153,$C$5:$C$315,$C153-1,$D$5:$D$315,$D153)=0,J153*SUMIFS(J$5:J$315,$A$5:$A$315,$A153,$C$5:$C$315,$C153-1,$D$5:$D$315,$D153)&lt;0),"n.s.",ABS(J153)/ABS(SUMIFS(J$5:J$315,$A$5:$A$315,$A153,$C$5:$C$315,$C153-1,$D$5:$D$315,$D153))-1)))</f>
        <v/>
      </c>
      <c r="U153" s="16">
        <f>IF(OR($A153="",K153="",$C153=""),"",IF(COUNTIFS($A$5:$A$315,$A153,$C$5:$C$315,$C153-1,$D$5:$D$315,$D153,K$5:K$315,"&lt;&gt;")=0,"",IF(OR(SUMIFS(K$5:K$315,$A$5:$A$315,$A153,$C$5:$C$315,$C153-1,$D$5:$D$315,$D153)=0,K153*SUMIFS(K$5:K$315,$A$5:$A$315,$A153,$C$5:$C$315,$C153-1,$D$5:$D$315,$D153)&lt;0),"n.s.",ABS(K153)/ABS(SUMIFS(K$5:K$315,$A$5:$A$315,$A153,$C$5:$C$315,$C153-1,$D$5:$D$315,$D153))-1)))</f>
        <v/>
      </c>
      <c r="V153" s="16">
        <f>IF(OR($A153="",L153="",$C153=""),"",IF(COUNTIFS($A$5:$A$315,$A153,$C$5:$C$315,$C153-1,$D$5:$D$315,$D153,L$5:L$315,"&lt;&gt;")=0,"",IF(OR(SUMIFS(L$5:L$315,$A$5:$A$315,$A153,$C$5:$C$315,$C153-1,$D$5:$D$315,$D153)=0,L153*SUMIFS(L$5:L$315,$A$5:$A$315,$A153,$C$5:$C$315,$C153-1,$D$5:$D$315,$D153)&lt;0),"n.s.",ABS(L153)/ABS(SUMIFS(L$5:L$315,$A$5:$A$315,$A153,$C$5:$C$315,$C153-1,$D$5:$D$315,$D153))-1)))</f>
        <v/>
      </c>
      <c r="W153" s="16">
        <f>IF(OR($A153="",M153="",$C153=""),"",IF(COUNTIFS($A$5:$A$315,$A153,$C$5:$C$315,$C153-1,$D$5:$D$315,$D153,M$5:M$315,"&lt;&gt;")=0,"",IF(OR(SUMIFS(M$5:M$315,$A$5:$A$315,$A153,$C$5:$C$315,$C153-1,$D$5:$D$315,$D153)=0,M153*SUMIFS(M$5:M$315,$A$5:$A$315,$A153,$C$5:$C$315,$C153-1,$D$5:$D$315,$D153)&lt;0),"n.s.",ABS(M153)/ABS(SUMIFS(M$5:M$315,$A$5:$A$315,$A153,$C$5:$C$315,$C153-1,$D$5:$D$315,$D153))-1)))</f>
        <v/>
      </c>
      <c r="X153" s="16">
        <f>IF(OR($A153="",N153="",$C153=""),"",IF(COUNTIFS($A$5:$A$315,$A153,$C$5:$C$315,$C153-1,$D$5:$D$315,$D153,N$5:N$315,"&lt;&gt;")=0,"",IF(OR(SUMIFS(N$5:N$315,$A$5:$A$315,$A153,$C$5:$C$315,$C153-1,$D$5:$D$315,$D153)=0,N153*SUMIFS(N$5:N$315,$A$5:$A$315,$A153,$C$5:$C$315,$C153-1,$D$5:$D$315,$D153)&lt;0),"n.s.",ABS(N153)/ABS(SUMIFS(N$5:N$315,$A$5:$A$315,$A153,$C$5:$C$315,$C153-1,$D$5:$D$315,$D153))-1)))</f>
        <v/>
      </c>
      <c r="Y153" s="16">
        <f>IF(OR($A153="",O153="",$C153=""),"",IF(COUNTIFS($A$5:$A$315,$A153,$C$5:$C$315,$C153-1,$D$5:$D$315,$D153,O$5:O$315,"&lt;&gt;")=0,"",IF(OR(SUMIFS(O$5:O$315,$A$5:$A$315,$A153,$C$5:$C$315,$C153-1,$D$5:$D$315,$D153)=0,O153*SUMIFS(O$5:O$315,$A$5:$A$315,$A153,$C$5:$C$315,$C153-1,$D$5:$D$315,$D153)&lt;0),"n.s.",ABS(O153)/ABS(SUMIFS(O$5:O$315,$A$5:$A$315,$A153,$C$5:$C$315,$C153-1,$D$5:$D$315,$D153))-1)))</f>
        <v/>
      </c>
    </row>
    <row r="154">
      <c r="A154" s="9" t="inlineStr">
        <is>
          <t>BOAS</t>
        </is>
      </c>
      <c r="B154" s="10">
        <f>IF(A154="","",IFERROR(VLOOKUP(A154,Titres!$A$2:$B$400,2,FALSE),"Ticker inconnu"))</f>
        <v/>
      </c>
      <c r="C154" s="11" t="n">
        <v>2022</v>
      </c>
      <c r="D154" s="11" t="inlineStr">
        <is>
          <t>T3</t>
        </is>
      </c>
      <c r="E154" s="9" t="n"/>
      <c r="F154" s="12" t="n"/>
      <c r="G154" s="9" t="n"/>
      <c r="H154" s="13" t="n"/>
      <c r="I154" s="13" t="n"/>
      <c r="J154" s="13" t="n"/>
      <c r="K154" s="13" t="n"/>
      <c r="L154" s="13" t="n"/>
      <c r="M154" s="13" t="n"/>
      <c r="N154" s="13" t="n"/>
      <c r="O154" s="13" t="n"/>
      <c r="P154" s="14">
        <f>IF(A154="","",COUNT(H154:O154)/8)</f>
        <v/>
      </c>
      <c r="Q154" s="15">
        <f>IF(COUNT(H154:O154)=0,"",IF(LEN(IF(COUNT(H154,I154,J154)=3,IF(ABS(H154+I154-J154)&lt;=MAX(1,0.02*ABS(J154)),"","RBE &lt;&gt; PNB + frais "),"")&amp;IF(COUNT(J154,K154,L154)=3,IF(ABS(J154+K154-L154)&lt;=MAX(1,0.03*ABS(L154)),"","RAI &lt;&gt; RBE + coût du risque "),"")&amp;IF(COUNT(H154,M154)=2,IF(ABS(M154)&gt;ABS(H154),"RN &gt; PNB ",""),""))=0,"OK",IF(COUNT(H154,I154,J154)=3,IF(ABS(H154+I154-J154)&lt;=MAX(1,0.02*ABS(J154)),"","RBE &lt;&gt; PNB + frais "),"")&amp;IF(COUNT(J154,K154,L154)=3,IF(ABS(J154+K154-L154)&lt;=MAX(1,0.03*ABS(L154)),"","RAI &lt;&gt; RBE + coût du risque "),"")&amp;IF(COUNT(H154,M154)=2,IF(ABS(M154)&gt;ABS(H154),"RN &gt; PNB ",""),"")))</f>
        <v/>
      </c>
      <c r="R154" s="16">
        <f>IF(OR($A154="",H154="",$C154=""),"",IF(COUNTIFS($A$5:$A$315,$A154,$C$5:$C$315,$C154-1,$D$5:$D$315,$D154,H$5:H$315,"&lt;&gt;")=0,"",IF(OR(SUMIFS(H$5:H$315,$A$5:$A$315,$A154,$C$5:$C$315,$C154-1,$D$5:$D$315,$D154)=0,H154*SUMIFS(H$5:H$315,$A$5:$A$315,$A154,$C$5:$C$315,$C154-1,$D$5:$D$315,$D154)&lt;0),"n.s.",ABS(H154)/ABS(SUMIFS(H$5:H$315,$A$5:$A$315,$A154,$C$5:$C$315,$C154-1,$D$5:$D$315,$D154))-1)))</f>
        <v/>
      </c>
      <c r="S154" s="16">
        <f>IF(OR($A154="",I154="",$C154=""),"",IF(COUNTIFS($A$5:$A$315,$A154,$C$5:$C$315,$C154-1,$D$5:$D$315,$D154,I$5:I$315,"&lt;&gt;")=0,"",IF(OR(SUMIFS(I$5:I$315,$A$5:$A$315,$A154,$C$5:$C$315,$C154-1,$D$5:$D$315,$D154)=0,I154*SUMIFS(I$5:I$315,$A$5:$A$315,$A154,$C$5:$C$315,$C154-1,$D$5:$D$315,$D154)&lt;0),"n.s.",ABS(I154)/ABS(SUMIFS(I$5:I$315,$A$5:$A$315,$A154,$C$5:$C$315,$C154-1,$D$5:$D$315,$D154))-1)))</f>
        <v/>
      </c>
      <c r="T154" s="16">
        <f>IF(OR($A154="",J154="",$C154=""),"",IF(COUNTIFS($A$5:$A$315,$A154,$C$5:$C$315,$C154-1,$D$5:$D$315,$D154,J$5:J$315,"&lt;&gt;")=0,"",IF(OR(SUMIFS(J$5:J$315,$A$5:$A$315,$A154,$C$5:$C$315,$C154-1,$D$5:$D$315,$D154)=0,J154*SUMIFS(J$5:J$315,$A$5:$A$315,$A154,$C$5:$C$315,$C154-1,$D$5:$D$315,$D154)&lt;0),"n.s.",ABS(J154)/ABS(SUMIFS(J$5:J$315,$A$5:$A$315,$A154,$C$5:$C$315,$C154-1,$D$5:$D$315,$D154))-1)))</f>
        <v/>
      </c>
      <c r="U154" s="16">
        <f>IF(OR($A154="",K154="",$C154=""),"",IF(COUNTIFS($A$5:$A$315,$A154,$C$5:$C$315,$C154-1,$D$5:$D$315,$D154,K$5:K$315,"&lt;&gt;")=0,"",IF(OR(SUMIFS(K$5:K$315,$A$5:$A$315,$A154,$C$5:$C$315,$C154-1,$D$5:$D$315,$D154)=0,K154*SUMIFS(K$5:K$315,$A$5:$A$315,$A154,$C$5:$C$315,$C154-1,$D$5:$D$315,$D154)&lt;0),"n.s.",ABS(K154)/ABS(SUMIFS(K$5:K$315,$A$5:$A$315,$A154,$C$5:$C$315,$C154-1,$D$5:$D$315,$D154))-1)))</f>
        <v/>
      </c>
      <c r="V154" s="16">
        <f>IF(OR($A154="",L154="",$C154=""),"",IF(COUNTIFS($A$5:$A$315,$A154,$C$5:$C$315,$C154-1,$D$5:$D$315,$D154,L$5:L$315,"&lt;&gt;")=0,"",IF(OR(SUMIFS(L$5:L$315,$A$5:$A$315,$A154,$C$5:$C$315,$C154-1,$D$5:$D$315,$D154)=0,L154*SUMIFS(L$5:L$315,$A$5:$A$315,$A154,$C$5:$C$315,$C154-1,$D$5:$D$315,$D154)&lt;0),"n.s.",ABS(L154)/ABS(SUMIFS(L$5:L$315,$A$5:$A$315,$A154,$C$5:$C$315,$C154-1,$D$5:$D$315,$D154))-1)))</f>
        <v/>
      </c>
      <c r="W154" s="16">
        <f>IF(OR($A154="",M154="",$C154=""),"",IF(COUNTIFS($A$5:$A$315,$A154,$C$5:$C$315,$C154-1,$D$5:$D$315,$D154,M$5:M$315,"&lt;&gt;")=0,"",IF(OR(SUMIFS(M$5:M$315,$A$5:$A$315,$A154,$C$5:$C$315,$C154-1,$D$5:$D$315,$D154)=0,M154*SUMIFS(M$5:M$315,$A$5:$A$315,$A154,$C$5:$C$315,$C154-1,$D$5:$D$315,$D154)&lt;0),"n.s.",ABS(M154)/ABS(SUMIFS(M$5:M$315,$A$5:$A$315,$A154,$C$5:$C$315,$C154-1,$D$5:$D$315,$D154))-1)))</f>
        <v/>
      </c>
      <c r="X154" s="16">
        <f>IF(OR($A154="",N154="",$C154=""),"",IF(COUNTIFS($A$5:$A$315,$A154,$C$5:$C$315,$C154-1,$D$5:$D$315,$D154,N$5:N$315,"&lt;&gt;")=0,"",IF(OR(SUMIFS(N$5:N$315,$A$5:$A$315,$A154,$C$5:$C$315,$C154-1,$D$5:$D$315,$D154)=0,N154*SUMIFS(N$5:N$315,$A$5:$A$315,$A154,$C$5:$C$315,$C154-1,$D$5:$D$315,$D154)&lt;0),"n.s.",ABS(N154)/ABS(SUMIFS(N$5:N$315,$A$5:$A$315,$A154,$C$5:$C$315,$C154-1,$D$5:$D$315,$D154))-1)))</f>
        <v/>
      </c>
      <c r="Y154" s="16">
        <f>IF(OR($A154="",O154="",$C154=""),"",IF(COUNTIFS($A$5:$A$315,$A154,$C$5:$C$315,$C154-1,$D$5:$D$315,$D154,O$5:O$315,"&lt;&gt;")=0,"",IF(OR(SUMIFS(O$5:O$315,$A$5:$A$315,$A154,$C$5:$C$315,$C154-1,$D$5:$D$315,$D154)=0,O154*SUMIFS(O$5:O$315,$A$5:$A$315,$A154,$C$5:$C$315,$C154-1,$D$5:$D$315,$D154)&lt;0),"n.s.",ABS(O154)/ABS(SUMIFS(O$5:O$315,$A$5:$A$315,$A154,$C$5:$C$315,$C154-1,$D$5:$D$315,$D154))-1)))</f>
        <v/>
      </c>
    </row>
    <row r="155">
      <c r="A155" s="9" t="inlineStr">
        <is>
          <t>BOAS</t>
        </is>
      </c>
      <c r="B155" s="10">
        <f>IF(A155="","",IFERROR(VLOOKUP(A155,Titres!$A$2:$B$400,2,FALSE),"Ticker inconnu"))</f>
        <v/>
      </c>
      <c r="C155" s="11" t="n">
        <v>2023</v>
      </c>
      <c r="D155" s="11" t="inlineStr">
        <is>
          <t>T1</t>
        </is>
      </c>
      <c r="E155" s="9" t="n"/>
      <c r="F155" s="12" t="n"/>
      <c r="G155" s="9" t="n"/>
      <c r="H155" s="13" t="n"/>
      <c r="I155" s="13" t="n"/>
      <c r="J155" s="13" t="n"/>
      <c r="K155" s="13" t="n"/>
      <c r="L155" s="13" t="n"/>
      <c r="M155" s="13" t="n"/>
      <c r="N155" s="13" t="n"/>
      <c r="O155" s="13" t="n"/>
      <c r="P155" s="14">
        <f>IF(A155="","",COUNT(H155:O155)/8)</f>
        <v/>
      </c>
      <c r="Q155" s="15">
        <f>IF(COUNT(H155:O155)=0,"",IF(LEN(IF(COUNT(H155,I155,J155)=3,IF(ABS(H155+I155-J155)&lt;=MAX(1,0.02*ABS(J155)),"","RBE &lt;&gt; PNB + frais "),"")&amp;IF(COUNT(J155,K155,L155)=3,IF(ABS(J155+K155-L155)&lt;=MAX(1,0.03*ABS(L155)),"","RAI &lt;&gt; RBE + coût du risque "),"")&amp;IF(COUNT(H155,M155)=2,IF(ABS(M155)&gt;ABS(H155),"RN &gt; PNB ",""),""))=0,"OK",IF(COUNT(H155,I155,J155)=3,IF(ABS(H155+I155-J155)&lt;=MAX(1,0.02*ABS(J155)),"","RBE &lt;&gt; PNB + frais "),"")&amp;IF(COUNT(J155,K155,L155)=3,IF(ABS(J155+K155-L155)&lt;=MAX(1,0.03*ABS(L155)),"","RAI &lt;&gt; RBE + coût du risque "),"")&amp;IF(COUNT(H155,M155)=2,IF(ABS(M155)&gt;ABS(H155),"RN &gt; PNB ",""),"")))</f>
        <v/>
      </c>
      <c r="R155" s="16">
        <f>IF(OR($A155="",H155="",$C155=""),"",IF(COUNTIFS($A$5:$A$315,$A155,$C$5:$C$315,$C155-1,$D$5:$D$315,$D155,H$5:H$315,"&lt;&gt;")=0,"",IF(OR(SUMIFS(H$5:H$315,$A$5:$A$315,$A155,$C$5:$C$315,$C155-1,$D$5:$D$315,$D155)=0,H155*SUMIFS(H$5:H$315,$A$5:$A$315,$A155,$C$5:$C$315,$C155-1,$D$5:$D$315,$D155)&lt;0),"n.s.",ABS(H155)/ABS(SUMIFS(H$5:H$315,$A$5:$A$315,$A155,$C$5:$C$315,$C155-1,$D$5:$D$315,$D155))-1)))</f>
        <v/>
      </c>
      <c r="S155" s="16">
        <f>IF(OR($A155="",I155="",$C155=""),"",IF(COUNTIFS($A$5:$A$315,$A155,$C$5:$C$315,$C155-1,$D$5:$D$315,$D155,I$5:I$315,"&lt;&gt;")=0,"",IF(OR(SUMIFS(I$5:I$315,$A$5:$A$315,$A155,$C$5:$C$315,$C155-1,$D$5:$D$315,$D155)=0,I155*SUMIFS(I$5:I$315,$A$5:$A$315,$A155,$C$5:$C$315,$C155-1,$D$5:$D$315,$D155)&lt;0),"n.s.",ABS(I155)/ABS(SUMIFS(I$5:I$315,$A$5:$A$315,$A155,$C$5:$C$315,$C155-1,$D$5:$D$315,$D155))-1)))</f>
        <v/>
      </c>
      <c r="T155" s="16">
        <f>IF(OR($A155="",J155="",$C155=""),"",IF(COUNTIFS($A$5:$A$315,$A155,$C$5:$C$315,$C155-1,$D$5:$D$315,$D155,J$5:J$315,"&lt;&gt;")=0,"",IF(OR(SUMIFS(J$5:J$315,$A$5:$A$315,$A155,$C$5:$C$315,$C155-1,$D$5:$D$315,$D155)=0,J155*SUMIFS(J$5:J$315,$A$5:$A$315,$A155,$C$5:$C$315,$C155-1,$D$5:$D$315,$D155)&lt;0),"n.s.",ABS(J155)/ABS(SUMIFS(J$5:J$315,$A$5:$A$315,$A155,$C$5:$C$315,$C155-1,$D$5:$D$315,$D155))-1)))</f>
        <v/>
      </c>
      <c r="U155" s="16">
        <f>IF(OR($A155="",K155="",$C155=""),"",IF(COUNTIFS($A$5:$A$315,$A155,$C$5:$C$315,$C155-1,$D$5:$D$315,$D155,K$5:K$315,"&lt;&gt;")=0,"",IF(OR(SUMIFS(K$5:K$315,$A$5:$A$315,$A155,$C$5:$C$315,$C155-1,$D$5:$D$315,$D155)=0,K155*SUMIFS(K$5:K$315,$A$5:$A$315,$A155,$C$5:$C$315,$C155-1,$D$5:$D$315,$D155)&lt;0),"n.s.",ABS(K155)/ABS(SUMIFS(K$5:K$315,$A$5:$A$315,$A155,$C$5:$C$315,$C155-1,$D$5:$D$315,$D155))-1)))</f>
        <v/>
      </c>
      <c r="V155" s="16">
        <f>IF(OR($A155="",L155="",$C155=""),"",IF(COUNTIFS($A$5:$A$315,$A155,$C$5:$C$315,$C155-1,$D$5:$D$315,$D155,L$5:L$315,"&lt;&gt;")=0,"",IF(OR(SUMIFS(L$5:L$315,$A$5:$A$315,$A155,$C$5:$C$315,$C155-1,$D$5:$D$315,$D155)=0,L155*SUMIFS(L$5:L$315,$A$5:$A$315,$A155,$C$5:$C$315,$C155-1,$D$5:$D$315,$D155)&lt;0),"n.s.",ABS(L155)/ABS(SUMIFS(L$5:L$315,$A$5:$A$315,$A155,$C$5:$C$315,$C155-1,$D$5:$D$315,$D155))-1)))</f>
        <v/>
      </c>
      <c r="W155" s="16">
        <f>IF(OR($A155="",M155="",$C155=""),"",IF(COUNTIFS($A$5:$A$315,$A155,$C$5:$C$315,$C155-1,$D$5:$D$315,$D155,M$5:M$315,"&lt;&gt;")=0,"",IF(OR(SUMIFS(M$5:M$315,$A$5:$A$315,$A155,$C$5:$C$315,$C155-1,$D$5:$D$315,$D155)=0,M155*SUMIFS(M$5:M$315,$A$5:$A$315,$A155,$C$5:$C$315,$C155-1,$D$5:$D$315,$D155)&lt;0),"n.s.",ABS(M155)/ABS(SUMIFS(M$5:M$315,$A$5:$A$315,$A155,$C$5:$C$315,$C155-1,$D$5:$D$315,$D155))-1)))</f>
        <v/>
      </c>
      <c r="X155" s="16">
        <f>IF(OR($A155="",N155="",$C155=""),"",IF(COUNTIFS($A$5:$A$315,$A155,$C$5:$C$315,$C155-1,$D$5:$D$315,$D155,N$5:N$315,"&lt;&gt;")=0,"",IF(OR(SUMIFS(N$5:N$315,$A$5:$A$315,$A155,$C$5:$C$315,$C155-1,$D$5:$D$315,$D155)=0,N155*SUMIFS(N$5:N$315,$A$5:$A$315,$A155,$C$5:$C$315,$C155-1,$D$5:$D$315,$D155)&lt;0),"n.s.",ABS(N155)/ABS(SUMIFS(N$5:N$315,$A$5:$A$315,$A155,$C$5:$C$315,$C155-1,$D$5:$D$315,$D155))-1)))</f>
        <v/>
      </c>
      <c r="Y155" s="16">
        <f>IF(OR($A155="",O155="",$C155=""),"",IF(COUNTIFS($A$5:$A$315,$A155,$C$5:$C$315,$C155-1,$D$5:$D$315,$D155,O$5:O$315,"&lt;&gt;")=0,"",IF(OR(SUMIFS(O$5:O$315,$A$5:$A$315,$A155,$C$5:$C$315,$C155-1,$D$5:$D$315,$D155)=0,O155*SUMIFS(O$5:O$315,$A$5:$A$315,$A155,$C$5:$C$315,$C155-1,$D$5:$D$315,$D155)&lt;0),"n.s.",ABS(O155)/ABS(SUMIFS(O$5:O$315,$A$5:$A$315,$A155,$C$5:$C$315,$C155-1,$D$5:$D$315,$D155))-1)))</f>
        <v/>
      </c>
    </row>
    <row r="156">
      <c r="A156" s="9" t="inlineStr">
        <is>
          <t>BOAS</t>
        </is>
      </c>
      <c r="B156" s="10">
        <f>IF(A156="","",IFERROR(VLOOKUP(A156,Titres!$A$2:$B$400,2,FALSE),"Ticker inconnu"))</f>
        <v/>
      </c>
      <c r="C156" s="11" t="n">
        <v>2023</v>
      </c>
      <c r="D156" s="11" t="inlineStr">
        <is>
          <t>S1</t>
        </is>
      </c>
      <c r="E156" s="9" t="n"/>
      <c r="F156" s="12" t="n"/>
      <c r="G156" s="9" t="n"/>
      <c r="H156" s="13" t="n"/>
      <c r="I156" s="13" t="n"/>
      <c r="J156" s="13" t="n"/>
      <c r="K156" s="13" t="n"/>
      <c r="L156" s="13" t="n"/>
      <c r="M156" s="13" t="n"/>
      <c r="N156" s="13" t="n"/>
      <c r="O156" s="13" t="n"/>
      <c r="P156" s="14">
        <f>IF(A156="","",COUNT(H156:O156)/8)</f>
        <v/>
      </c>
      <c r="Q156" s="15">
        <f>IF(COUNT(H156:O156)=0,"",IF(LEN(IF(COUNT(H156,I156,J156)=3,IF(ABS(H156+I156-J156)&lt;=MAX(1,0.02*ABS(J156)),"","RBE &lt;&gt; PNB + frais "),"")&amp;IF(COUNT(J156,K156,L156)=3,IF(ABS(J156+K156-L156)&lt;=MAX(1,0.03*ABS(L156)),"","RAI &lt;&gt; RBE + coût du risque "),"")&amp;IF(COUNT(H156,M156)=2,IF(ABS(M156)&gt;ABS(H156),"RN &gt; PNB ",""),""))=0,"OK",IF(COUNT(H156,I156,J156)=3,IF(ABS(H156+I156-J156)&lt;=MAX(1,0.02*ABS(J156)),"","RBE &lt;&gt; PNB + frais "),"")&amp;IF(COUNT(J156,K156,L156)=3,IF(ABS(J156+K156-L156)&lt;=MAX(1,0.03*ABS(L156)),"","RAI &lt;&gt; RBE + coût du risque "),"")&amp;IF(COUNT(H156,M156)=2,IF(ABS(M156)&gt;ABS(H156),"RN &gt; PNB ",""),"")))</f>
        <v/>
      </c>
      <c r="R156" s="16">
        <f>IF(OR($A156="",H156="",$C156=""),"",IF(COUNTIFS($A$5:$A$315,$A156,$C$5:$C$315,$C156-1,$D$5:$D$315,$D156,H$5:H$315,"&lt;&gt;")=0,"",IF(OR(SUMIFS(H$5:H$315,$A$5:$A$315,$A156,$C$5:$C$315,$C156-1,$D$5:$D$315,$D156)=0,H156*SUMIFS(H$5:H$315,$A$5:$A$315,$A156,$C$5:$C$315,$C156-1,$D$5:$D$315,$D156)&lt;0),"n.s.",ABS(H156)/ABS(SUMIFS(H$5:H$315,$A$5:$A$315,$A156,$C$5:$C$315,$C156-1,$D$5:$D$315,$D156))-1)))</f>
        <v/>
      </c>
      <c r="S156" s="16">
        <f>IF(OR($A156="",I156="",$C156=""),"",IF(COUNTIFS($A$5:$A$315,$A156,$C$5:$C$315,$C156-1,$D$5:$D$315,$D156,I$5:I$315,"&lt;&gt;")=0,"",IF(OR(SUMIFS(I$5:I$315,$A$5:$A$315,$A156,$C$5:$C$315,$C156-1,$D$5:$D$315,$D156)=0,I156*SUMIFS(I$5:I$315,$A$5:$A$315,$A156,$C$5:$C$315,$C156-1,$D$5:$D$315,$D156)&lt;0),"n.s.",ABS(I156)/ABS(SUMIFS(I$5:I$315,$A$5:$A$315,$A156,$C$5:$C$315,$C156-1,$D$5:$D$315,$D156))-1)))</f>
        <v/>
      </c>
      <c r="T156" s="16">
        <f>IF(OR($A156="",J156="",$C156=""),"",IF(COUNTIFS($A$5:$A$315,$A156,$C$5:$C$315,$C156-1,$D$5:$D$315,$D156,J$5:J$315,"&lt;&gt;")=0,"",IF(OR(SUMIFS(J$5:J$315,$A$5:$A$315,$A156,$C$5:$C$315,$C156-1,$D$5:$D$315,$D156)=0,J156*SUMIFS(J$5:J$315,$A$5:$A$315,$A156,$C$5:$C$315,$C156-1,$D$5:$D$315,$D156)&lt;0),"n.s.",ABS(J156)/ABS(SUMIFS(J$5:J$315,$A$5:$A$315,$A156,$C$5:$C$315,$C156-1,$D$5:$D$315,$D156))-1)))</f>
        <v/>
      </c>
      <c r="U156" s="16">
        <f>IF(OR($A156="",K156="",$C156=""),"",IF(COUNTIFS($A$5:$A$315,$A156,$C$5:$C$315,$C156-1,$D$5:$D$315,$D156,K$5:K$315,"&lt;&gt;")=0,"",IF(OR(SUMIFS(K$5:K$315,$A$5:$A$315,$A156,$C$5:$C$315,$C156-1,$D$5:$D$315,$D156)=0,K156*SUMIFS(K$5:K$315,$A$5:$A$315,$A156,$C$5:$C$315,$C156-1,$D$5:$D$315,$D156)&lt;0),"n.s.",ABS(K156)/ABS(SUMIFS(K$5:K$315,$A$5:$A$315,$A156,$C$5:$C$315,$C156-1,$D$5:$D$315,$D156))-1)))</f>
        <v/>
      </c>
      <c r="V156" s="16">
        <f>IF(OR($A156="",L156="",$C156=""),"",IF(COUNTIFS($A$5:$A$315,$A156,$C$5:$C$315,$C156-1,$D$5:$D$315,$D156,L$5:L$315,"&lt;&gt;")=0,"",IF(OR(SUMIFS(L$5:L$315,$A$5:$A$315,$A156,$C$5:$C$315,$C156-1,$D$5:$D$315,$D156)=0,L156*SUMIFS(L$5:L$315,$A$5:$A$315,$A156,$C$5:$C$315,$C156-1,$D$5:$D$315,$D156)&lt;0),"n.s.",ABS(L156)/ABS(SUMIFS(L$5:L$315,$A$5:$A$315,$A156,$C$5:$C$315,$C156-1,$D$5:$D$315,$D156))-1)))</f>
        <v/>
      </c>
      <c r="W156" s="16">
        <f>IF(OR($A156="",M156="",$C156=""),"",IF(COUNTIFS($A$5:$A$315,$A156,$C$5:$C$315,$C156-1,$D$5:$D$315,$D156,M$5:M$315,"&lt;&gt;")=0,"",IF(OR(SUMIFS(M$5:M$315,$A$5:$A$315,$A156,$C$5:$C$315,$C156-1,$D$5:$D$315,$D156)=0,M156*SUMIFS(M$5:M$315,$A$5:$A$315,$A156,$C$5:$C$315,$C156-1,$D$5:$D$315,$D156)&lt;0),"n.s.",ABS(M156)/ABS(SUMIFS(M$5:M$315,$A$5:$A$315,$A156,$C$5:$C$315,$C156-1,$D$5:$D$315,$D156))-1)))</f>
        <v/>
      </c>
      <c r="X156" s="16">
        <f>IF(OR($A156="",N156="",$C156=""),"",IF(COUNTIFS($A$5:$A$315,$A156,$C$5:$C$315,$C156-1,$D$5:$D$315,$D156,N$5:N$315,"&lt;&gt;")=0,"",IF(OR(SUMIFS(N$5:N$315,$A$5:$A$315,$A156,$C$5:$C$315,$C156-1,$D$5:$D$315,$D156)=0,N156*SUMIFS(N$5:N$315,$A$5:$A$315,$A156,$C$5:$C$315,$C156-1,$D$5:$D$315,$D156)&lt;0),"n.s.",ABS(N156)/ABS(SUMIFS(N$5:N$315,$A$5:$A$315,$A156,$C$5:$C$315,$C156-1,$D$5:$D$315,$D156))-1)))</f>
        <v/>
      </c>
      <c r="Y156" s="16">
        <f>IF(OR($A156="",O156="",$C156=""),"",IF(COUNTIFS($A$5:$A$315,$A156,$C$5:$C$315,$C156-1,$D$5:$D$315,$D156,O$5:O$315,"&lt;&gt;")=0,"",IF(OR(SUMIFS(O$5:O$315,$A$5:$A$315,$A156,$C$5:$C$315,$C156-1,$D$5:$D$315,$D156)=0,O156*SUMIFS(O$5:O$315,$A$5:$A$315,$A156,$C$5:$C$315,$C156-1,$D$5:$D$315,$D156)&lt;0),"n.s.",ABS(O156)/ABS(SUMIFS(O$5:O$315,$A$5:$A$315,$A156,$C$5:$C$315,$C156-1,$D$5:$D$315,$D156))-1)))</f>
        <v/>
      </c>
    </row>
    <row r="157">
      <c r="A157" s="9" t="inlineStr">
        <is>
          <t>BOAS</t>
        </is>
      </c>
      <c r="B157" s="10">
        <f>IF(A157="","",IFERROR(VLOOKUP(A157,Titres!$A$2:$B$400,2,FALSE),"Ticker inconnu"))</f>
        <v/>
      </c>
      <c r="C157" s="11" t="n">
        <v>2023</v>
      </c>
      <c r="D157" s="11" t="inlineStr">
        <is>
          <t>T3</t>
        </is>
      </c>
      <c r="E157" s="9" t="n"/>
      <c r="F157" s="12" t="n"/>
      <c r="G157" s="9" t="n"/>
      <c r="H157" s="13" t="n"/>
      <c r="I157" s="13" t="n"/>
      <c r="J157" s="13" t="n"/>
      <c r="K157" s="13" t="n"/>
      <c r="L157" s="13" t="n"/>
      <c r="M157" s="13" t="n"/>
      <c r="N157" s="13" t="n"/>
      <c r="O157" s="13" t="n"/>
      <c r="P157" s="14">
        <f>IF(A157="","",COUNT(H157:O157)/8)</f>
        <v/>
      </c>
      <c r="Q157" s="15">
        <f>IF(COUNT(H157:O157)=0,"",IF(LEN(IF(COUNT(H157,I157,J157)=3,IF(ABS(H157+I157-J157)&lt;=MAX(1,0.02*ABS(J157)),"","RBE &lt;&gt; PNB + frais "),"")&amp;IF(COUNT(J157,K157,L157)=3,IF(ABS(J157+K157-L157)&lt;=MAX(1,0.03*ABS(L157)),"","RAI &lt;&gt; RBE + coût du risque "),"")&amp;IF(COUNT(H157,M157)=2,IF(ABS(M157)&gt;ABS(H157),"RN &gt; PNB ",""),""))=0,"OK",IF(COUNT(H157,I157,J157)=3,IF(ABS(H157+I157-J157)&lt;=MAX(1,0.02*ABS(J157)),"","RBE &lt;&gt; PNB + frais "),"")&amp;IF(COUNT(J157,K157,L157)=3,IF(ABS(J157+K157-L157)&lt;=MAX(1,0.03*ABS(L157)),"","RAI &lt;&gt; RBE + coût du risque "),"")&amp;IF(COUNT(H157,M157)=2,IF(ABS(M157)&gt;ABS(H157),"RN &gt; PNB ",""),"")))</f>
        <v/>
      </c>
      <c r="R157" s="16">
        <f>IF(OR($A157="",H157="",$C157=""),"",IF(COUNTIFS($A$5:$A$315,$A157,$C$5:$C$315,$C157-1,$D$5:$D$315,$D157,H$5:H$315,"&lt;&gt;")=0,"",IF(OR(SUMIFS(H$5:H$315,$A$5:$A$315,$A157,$C$5:$C$315,$C157-1,$D$5:$D$315,$D157)=0,H157*SUMIFS(H$5:H$315,$A$5:$A$315,$A157,$C$5:$C$315,$C157-1,$D$5:$D$315,$D157)&lt;0),"n.s.",ABS(H157)/ABS(SUMIFS(H$5:H$315,$A$5:$A$315,$A157,$C$5:$C$315,$C157-1,$D$5:$D$315,$D157))-1)))</f>
        <v/>
      </c>
      <c r="S157" s="16">
        <f>IF(OR($A157="",I157="",$C157=""),"",IF(COUNTIFS($A$5:$A$315,$A157,$C$5:$C$315,$C157-1,$D$5:$D$315,$D157,I$5:I$315,"&lt;&gt;")=0,"",IF(OR(SUMIFS(I$5:I$315,$A$5:$A$315,$A157,$C$5:$C$315,$C157-1,$D$5:$D$315,$D157)=0,I157*SUMIFS(I$5:I$315,$A$5:$A$315,$A157,$C$5:$C$315,$C157-1,$D$5:$D$315,$D157)&lt;0),"n.s.",ABS(I157)/ABS(SUMIFS(I$5:I$315,$A$5:$A$315,$A157,$C$5:$C$315,$C157-1,$D$5:$D$315,$D157))-1)))</f>
        <v/>
      </c>
      <c r="T157" s="16">
        <f>IF(OR($A157="",J157="",$C157=""),"",IF(COUNTIFS($A$5:$A$315,$A157,$C$5:$C$315,$C157-1,$D$5:$D$315,$D157,J$5:J$315,"&lt;&gt;")=0,"",IF(OR(SUMIFS(J$5:J$315,$A$5:$A$315,$A157,$C$5:$C$315,$C157-1,$D$5:$D$315,$D157)=0,J157*SUMIFS(J$5:J$315,$A$5:$A$315,$A157,$C$5:$C$315,$C157-1,$D$5:$D$315,$D157)&lt;0),"n.s.",ABS(J157)/ABS(SUMIFS(J$5:J$315,$A$5:$A$315,$A157,$C$5:$C$315,$C157-1,$D$5:$D$315,$D157))-1)))</f>
        <v/>
      </c>
      <c r="U157" s="16">
        <f>IF(OR($A157="",K157="",$C157=""),"",IF(COUNTIFS($A$5:$A$315,$A157,$C$5:$C$315,$C157-1,$D$5:$D$315,$D157,K$5:K$315,"&lt;&gt;")=0,"",IF(OR(SUMIFS(K$5:K$315,$A$5:$A$315,$A157,$C$5:$C$315,$C157-1,$D$5:$D$315,$D157)=0,K157*SUMIFS(K$5:K$315,$A$5:$A$315,$A157,$C$5:$C$315,$C157-1,$D$5:$D$315,$D157)&lt;0),"n.s.",ABS(K157)/ABS(SUMIFS(K$5:K$315,$A$5:$A$315,$A157,$C$5:$C$315,$C157-1,$D$5:$D$315,$D157))-1)))</f>
        <v/>
      </c>
      <c r="V157" s="16">
        <f>IF(OR($A157="",L157="",$C157=""),"",IF(COUNTIFS($A$5:$A$315,$A157,$C$5:$C$315,$C157-1,$D$5:$D$315,$D157,L$5:L$315,"&lt;&gt;")=0,"",IF(OR(SUMIFS(L$5:L$315,$A$5:$A$315,$A157,$C$5:$C$315,$C157-1,$D$5:$D$315,$D157)=0,L157*SUMIFS(L$5:L$315,$A$5:$A$315,$A157,$C$5:$C$315,$C157-1,$D$5:$D$315,$D157)&lt;0),"n.s.",ABS(L157)/ABS(SUMIFS(L$5:L$315,$A$5:$A$315,$A157,$C$5:$C$315,$C157-1,$D$5:$D$315,$D157))-1)))</f>
        <v/>
      </c>
      <c r="W157" s="16">
        <f>IF(OR($A157="",M157="",$C157=""),"",IF(COUNTIFS($A$5:$A$315,$A157,$C$5:$C$315,$C157-1,$D$5:$D$315,$D157,M$5:M$315,"&lt;&gt;")=0,"",IF(OR(SUMIFS(M$5:M$315,$A$5:$A$315,$A157,$C$5:$C$315,$C157-1,$D$5:$D$315,$D157)=0,M157*SUMIFS(M$5:M$315,$A$5:$A$315,$A157,$C$5:$C$315,$C157-1,$D$5:$D$315,$D157)&lt;0),"n.s.",ABS(M157)/ABS(SUMIFS(M$5:M$315,$A$5:$A$315,$A157,$C$5:$C$315,$C157-1,$D$5:$D$315,$D157))-1)))</f>
        <v/>
      </c>
      <c r="X157" s="16">
        <f>IF(OR($A157="",N157="",$C157=""),"",IF(COUNTIFS($A$5:$A$315,$A157,$C$5:$C$315,$C157-1,$D$5:$D$315,$D157,N$5:N$315,"&lt;&gt;")=0,"",IF(OR(SUMIFS(N$5:N$315,$A$5:$A$315,$A157,$C$5:$C$315,$C157-1,$D$5:$D$315,$D157)=0,N157*SUMIFS(N$5:N$315,$A$5:$A$315,$A157,$C$5:$C$315,$C157-1,$D$5:$D$315,$D157)&lt;0),"n.s.",ABS(N157)/ABS(SUMIFS(N$5:N$315,$A$5:$A$315,$A157,$C$5:$C$315,$C157-1,$D$5:$D$315,$D157))-1)))</f>
        <v/>
      </c>
      <c r="Y157" s="16">
        <f>IF(OR($A157="",O157="",$C157=""),"",IF(COUNTIFS($A$5:$A$315,$A157,$C$5:$C$315,$C157-1,$D$5:$D$315,$D157,O$5:O$315,"&lt;&gt;")=0,"",IF(OR(SUMIFS(O$5:O$315,$A$5:$A$315,$A157,$C$5:$C$315,$C157-1,$D$5:$D$315,$D157)=0,O157*SUMIFS(O$5:O$315,$A$5:$A$315,$A157,$C$5:$C$315,$C157-1,$D$5:$D$315,$D157)&lt;0),"n.s.",ABS(O157)/ABS(SUMIFS(O$5:O$315,$A$5:$A$315,$A157,$C$5:$C$315,$C157-1,$D$5:$D$315,$D157))-1)))</f>
        <v/>
      </c>
    </row>
    <row r="158">
      <c r="A158" s="9" t="inlineStr">
        <is>
          <t>BOAS</t>
        </is>
      </c>
      <c r="B158" s="10">
        <f>IF(A158="","",IFERROR(VLOOKUP(A158,Titres!$A$2:$B$400,2,FALSE),"Ticker inconnu"))</f>
        <v/>
      </c>
      <c r="C158" s="11" t="n">
        <v>2024</v>
      </c>
      <c r="D158" s="11" t="inlineStr">
        <is>
          <t>T1</t>
        </is>
      </c>
      <c r="E158" s="9" t="n"/>
      <c r="F158" s="12" t="n"/>
      <c r="G158" s="9" t="n"/>
      <c r="H158" s="13" t="n"/>
      <c r="I158" s="13" t="n"/>
      <c r="J158" s="13" t="n"/>
      <c r="K158" s="13" t="n"/>
      <c r="L158" s="13" t="n"/>
      <c r="M158" s="13" t="n"/>
      <c r="N158" s="13" t="n"/>
      <c r="O158" s="13" t="n"/>
      <c r="P158" s="14">
        <f>IF(A158="","",COUNT(H158:O158)/8)</f>
        <v/>
      </c>
      <c r="Q158" s="15">
        <f>IF(COUNT(H158:O158)=0,"",IF(LEN(IF(COUNT(H158,I158,J158)=3,IF(ABS(H158+I158-J158)&lt;=MAX(1,0.02*ABS(J158)),"","RBE &lt;&gt; PNB + frais "),"")&amp;IF(COUNT(J158,K158,L158)=3,IF(ABS(J158+K158-L158)&lt;=MAX(1,0.03*ABS(L158)),"","RAI &lt;&gt; RBE + coût du risque "),"")&amp;IF(COUNT(H158,M158)=2,IF(ABS(M158)&gt;ABS(H158),"RN &gt; PNB ",""),""))=0,"OK",IF(COUNT(H158,I158,J158)=3,IF(ABS(H158+I158-J158)&lt;=MAX(1,0.02*ABS(J158)),"","RBE &lt;&gt; PNB + frais "),"")&amp;IF(COUNT(J158,K158,L158)=3,IF(ABS(J158+K158-L158)&lt;=MAX(1,0.03*ABS(L158)),"","RAI &lt;&gt; RBE + coût du risque "),"")&amp;IF(COUNT(H158,M158)=2,IF(ABS(M158)&gt;ABS(H158),"RN &gt; PNB ",""),"")))</f>
        <v/>
      </c>
      <c r="R158" s="16">
        <f>IF(OR($A158="",H158="",$C158=""),"",IF(COUNTIFS($A$5:$A$315,$A158,$C$5:$C$315,$C158-1,$D$5:$D$315,$D158,H$5:H$315,"&lt;&gt;")=0,"",IF(OR(SUMIFS(H$5:H$315,$A$5:$A$315,$A158,$C$5:$C$315,$C158-1,$D$5:$D$315,$D158)=0,H158*SUMIFS(H$5:H$315,$A$5:$A$315,$A158,$C$5:$C$315,$C158-1,$D$5:$D$315,$D158)&lt;0),"n.s.",ABS(H158)/ABS(SUMIFS(H$5:H$315,$A$5:$A$315,$A158,$C$5:$C$315,$C158-1,$D$5:$D$315,$D158))-1)))</f>
        <v/>
      </c>
      <c r="S158" s="16">
        <f>IF(OR($A158="",I158="",$C158=""),"",IF(COUNTIFS($A$5:$A$315,$A158,$C$5:$C$315,$C158-1,$D$5:$D$315,$D158,I$5:I$315,"&lt;&gt;")=0,"",IF(OR(SUMIFS(I$5:I$315,$A$5:$A$315,$A158,$C$5:$C$315,$C158-1,$D$5:$D$315,$D158)=0,I158*SUMIFS(I$5:I$315,$A$5:$A$315,$A158,$C$5:$C$315,$C158-1,$D$5:$D$315,$D158)&lt;0),"n.s.",ABS(I158)/ABS(SUMIFS(I$5:I$315,$A$5:$A$315,$A158,$C$5:$C$315,$C158-1,$D$5:$D$315,$D158))-1)))</f>
        <v/>
      </c>
      <c r="T158" s="16">
        <f>IF(OR($A158="",J158="",$C158=""),"",IF(COUNTIFS($A$5:$A$315,$A158,$C$5:$C$315,$C158-1,$D$5:$D$315,$D158,J$5:J$315,"&lt;&gt;")=0,"",IF(OR(SUMIFS(J$5:J$315,$A$5:$A$315,$A158,$C$5:$C$315,$C158-1,$D$5:$D$315,$D158)=0,J158*SUMIFS(J$5:J$315,$A$5:$A$315,$A158,$C$5:$C$315,$C158-1,$D$5:$D$315,$D158)&lt;0),"n.s.",ABS(J158)/ABS(SUMIFS(J$5:J$315,$A$5:$A$315,$A158,$C$5:$C$315,$C158-1,$D$5:$D$315,$D158))-1)))</f>
        <v/>
      </c>
      <c r="U158" s="16">
        <f>IF(OR($A158="",K158="",$C158=""),"",IF(COUNTIFS($A$5:$A$315,$A158,$C$5:$C$315,$C158-1,$D$5:$D$315,$D158,K$5:K$315,"&lt;&gt;")=0,"",IF(OR(SUMIFS(K$5:K$315,$A$5:$A$315,$A158,$C$5:$C$315,$C158-1,$D$5:$D$315,$D158)=0,K158*SUMIFS(K$5:K$315,$A$5:$A$315,$A158,$C$5:$C$315,$C158-1,$D$5:$D$315,$D158)&lt;0),"n.s.",ABS(K158)/ABS(SUMIFS(K$5:K$315,$A$5:$A$315,$A158,$C$5:$C$315,$C158-1,$D$5:$D$315,$D158))-1)))</f>
        <v/>
      </c>
      <c r="V158" s="16">
        <f>IF(OR($A158="",L158="",$C158=""),"",IF(COUNTIFS($A$5:$A$315,$A158,$C$5:$C$315,$C158-1,$D$5:$D$315,$D158,L$5:L$315,"&lt;&gt;")=0,"",IF(OR(SUMIFS(L$5:L$315,$A$5:$A$315,$A158,$C$5:$C$315,$C158-1,$D$5:$D$315,$D158)=0,L158*SUMIFS(L$5:L$315,$A$5:$A$315,$A158,$C$5:$C$315,$C158-1,$D$5:$D$315,$D158)&lt;0),"n.s.",ABS(L158)/ABS(SUMIFS(L$5:L$315,$A$5:$A$315,$A158,$C$5:$C$315,$C158-1,$D$5:$D$315,$D158))-1)))</f>
        <v/>
      </c>
      <c r="W158" s="16">
        <f>IF(OR($A158="",M158="",$C158=""),"",IF(COUNTIFS($A$5:$A$315,$A158,$C$5:$C$315,$C158-1,$D$5:$D$315,$D158,M$5:M$315,"&lt;&gt;")=0,"",IF(OR(SUMIFS(M$5:M$315,$A$5:$A$315,$A158,$C$5:$C$315,$C158-1,$D$5:$D$315,$D158)=0,M158*SUMIFS(M$5:M$315,$A$5:$A$315,$A158,$C$5:$C$315,$C158-1,$D$5:$D$315,$D158)&lt;0),"n.s.",ABS(M158)/ABS(SUMIFS(M$5:M$315,$A$5:$A$315,$A158,$C$5:$C$315,$C158-1,$D$5:$D$315,$D158))-1)))</f>
        <v/>
      </c>
      <c r="X158" s="16">
        <f>IF(OR($A158="",N158="",$C158=""),"",IF(COUNTIFS($A$5:$A$315,$A158,$C$5:$C$315,$C158-1,$D$5:$D$315,$D158,N$5:N$315,"&lt;&gt;")=0,"",IF(OR(SUMIFS(N$5:N$315,$A$5:$A$315,$A158,$C$5:$C$315,$C158-1,$D$5:$D$315,$D158)=0,N158*SUMIFS(N$5:N$315,$A$5:$A$315,$A158,$C$5:$C$315,$C158-1,$D$5:$D$315,$D158)&lt;0),"n.s.",ABS(N158)/ABS(SUMIFS(N$5:N$315,$A$5:$A$315,$A158,$C$5:$C$315,$C158-1,$D$5:$D$315,$D158))-1)))</f>
        <v/>
      </c>
      <c r="Y158" s="16">
        <f>IF(OR($A158="",O158="",$C158=""),"",IF(COUNTIFS($A$5:$A$315,$A158,$C$5:$C$315,$C158-1,$D$5:$D$315,$D158,O$5:O$315,"&lt;&gt;")=0,"",IF(OR(SUMIFS(O$5:O$315,$A$5:$A$315,$A158,$C$5:$C$315,$C158-1,$D$5:$D$315,$D158)=0,O158*SUMIFS(O$5:O$315,$A$5:$A$315,$A158,$C$5:$C$315,$C158-1,$D$5:$D$315,$D158)&lt;0),"n.s.",ABS(O158)/ABS(SUMIFS(O$5:O$315,$A$5:$A$315,$A158,$C$5:$C$315,$C158-1,$D$5:$D$315,$D158))-1)))</f>
        <v/>
      </c>
    </row>
    <row r="159">
      <c r="A159" s="9" t="inlineStr">
        <is>
          <t>BOAS</t>
        </is>
      </c>
      <c r="B159" s="10">
        <f>IF(A159="","",IFERROR(VLOOKUP(A159,Titres!$A$2:$B$400,2,FALSE),"Ticker inconnu"))</f>
        <v/>
      </c>
      <c r="C159" s="11" t="n">
        <v>2024</v>
      </c>
      <c r="D159" s="11" t="inlineStr">
        <is>
          <t>S1</t>
        </is>
      </c>
      <c r="E159" s="9" t="n"/>
      <c r="F159" s="12" t="n"/>
      <c r="G159" s="9" t="n"/>
      <c r="H159" s="13" t="n"/>
      <c r="I159" s="13" t="n"/>
      <c r="J159" s="13" t="n"/>
      <c r="K159" s="13" t="n"/>
      <c r="L159" s="13" t="n"/>
      <c r="M159" s="13" t="n"/>
      <c r="N159" s="13" t="n"/>
      <c r="O159" s="13" t="n"/>
      <c r="P159" s="14">
        <f>IF(A159="","",COUNT(H159:O159)/8)</f>
        <v/>
      </c>
      <c r="Q159" s="15">
        <f>IF(COUNT(H159:O159)=0,"",IF(LEN(IF(COUNT(H159,I159,J159)=3,IF(ABS(H159+I159-J159)&lt;=MAX(1,0.02*ABS(J159)),"","RBE &lt;&gt; PNB + frais "),"")&amp;IF(COUNT(J159,K159,L159)=3,IF(ABS(J159+K159-L159)&lt;=MAX(1,0.03*ABS(L159)),"","RAI &lt;&gt; RBE + coût du risque "),"")&amp;IF(COUNT(H159,M159)=2,IF(ABS(M159)&gt;ABS(H159),"RN &gt; PNB ",""),""))=0,"OK",IF(COUNT(H159,I159,J159)=3,IF(ABS(H159+I159-J159)&lt;=MAX(1,0.02*ABS(J159)),"","RBE &lt;&gt; PNB + frais "),"")&amp;IF(COUNT(J159,K159,L159)=3,IF(ABS(J159+K159-L159)&lt;=MAX(1,0.03*ABS(L159)),"","RAI &lt;&gt; RBE + coût du risque "),"")&amp;IF(COUNT(H159,M159)=2,IF(ABS(M159)&gt;ABS(H159),"RN &gt; PNB ",""),"")))</f>
        <v/>
      </c>
      <c r="R159" s="16">
        <f>IF(OR($A159="",H159="",$C159=""),"",IF(COUNTIFS($A$5:$A$315,$A159,$C$5:$C$315,$C159-1,$D$5:$D$315,$D159,H$5:H$315,"&lt;&gt;")=0,"",IF(OR(SUMIFS(H$5:H$315,$A$5:$A$315,$A159,$C$5:$C$315,$C159-1,$D$5:$D$315,$D159)=0,H159*SUMIFS(H$5:H$315,$A$5:$A$315,$A159,$C$5:$C$315,$C159-1,$D$5:$D$315,$D159)&lt;0),"n.s.",ABS(H159)/ABS(SUMIFS(H$5:H$315,$A$5:$A$315,$A159,$C$5:$C$315,$C159-1,$D$5:$D$315,$D159))-1)))</f>
        <v/>
      </c>
      <c r="S159" s="16">
        <f>IF(OR($A159="",I159="",$C159=""),"",IF(COUNTIFS($A$5:$A$315,$A159,$C$5:$C$315,$C159-1,$D$5:$D$315,$D159,I$5:I$315,"&lt;&gt;")=0,"",IF(OR(SUMIFS(I$5:I$315,$A$5:$A$315,$A159,$C$5:$C$315,$C159-1,$D$5:$D$315,$D159)=0,I159*SUMIFS(I$5:I$315,$A$5:$A$315,$A159,$C$5:$C$315,$C159-1,$D$5:$D$315,$D159)&lt;0),"n.s.",ABS(I159)/ABS(SUMIFS(I$5:I$315,$A$5:$A$315,$A159,$C$5:$C$315,$C159-1,$D$5:$D$315,$D159))-1)))</f>
        <v/>
      </c>
      <c r="T159" s="16">
        <f>IF(OR($A159="",J159="",$C159=""),"",IF(COUNTIFS($A$5:$A$315,$A159,$C$5:$C$315,$C159-1,$D$5:$D$315,$D159,J$5:J$315,"&lt;&gt;")=0,"",IF(OR(SUMIFS(J$5:J$315,$A$5:$A$315,$A159,$C$5:$C$315,$C159-1,$D$5:$D$315,$D159)=0,J159*SUMIFS(J$5:J$315,$A$5:$A$315,$A159,$C$5:$C$315,$C159-1,$D$5:$D$315,$D159)&lt;0),"n.s.",ABS(J159)/ABS(SUMIFS(J$5:J$315,$A$5:$A$315,$A159,$C$5:$C$315,$C159-1,$D$5:$D$315,$D159))-1)))</f>
        <v/>
      </c>
      <c r="U159" s="16">
        <f>IF(OR($A159="",K159="",$C159=""),"",IF(COUNTIFS($A$5:$A$315,$A159,$C$5:$C$315,$C159-1,$D$5:$D$315,$D159,K$5:K$315,"&lt;&gt;")=0,"",IF(OR(SUMIFS(K$5:K$315,$A$5:$A$315,$A159,$C$5:$C$315,$C159-1,$D$5:$D$315,$D159)=0,K159*SUMIFS(K$5:K$315,$A$5:$A$315,$A159,$C$5:$C$315,$C159-1,$D$5:$D$315,$D159)&lt;0),"n.s.",ABS(K159)/ABS(SUMIFS(K$5:K$315,$A$5:$A$315,$A159,$C$5:$C$315,$C159-1,$D$5:$D$315,$D159))-1)))</f>
        <v/>
      </c>
      <c r="V159" s="16">
        <f>IF(OR($A159="",L159="",$C159=""),"",IF(COUNTIFS($A$5:$A$315,$A159,$C$5:$C$315,$C159-1,$D$5:$D$315,$D159,L$5:L$315,"&lt;&gt;")=0,"",IF(OR(SUMIFS(L$5:L$315,$A$5:$A$315,$A159,$C$5:$C$315,$C159-1,$D$5:$D$315,$D159)=0,L159*SUMIFS(L$5:L$315,$A$5:$A$315,$A159,$C$5:$C$315,$C159-1,$D$5:$D$315,$D159)&lt;0),"n.s.",ABS(L159)/ABS(SUMIFS(L$5:L$315,$A$5:$A$315,$A159,$C$5:$C$315,$C159-1,$D$5:$D$315,$D159))-1)))</f>
        <v/>
      </c>
      <c r="W159" s="16">
        <f>IF(OR($A159="",M159="",$C159=""),"",IF(COUNTIFS($A$5:$A$315,$A159,$C$5:$C$315,$C159-1,$D$5:$D$315,$D159,M$5:M$315,"&lt;&gt;")=0,"",IF(OR(SUMIFS(M$5:M$315,$A$5:$A$315,$A159,$C$5:$C$315,$C159-1,$D$5:$D$315,$D159)=0,M159*SUMIFS(M$5:M$315,$A$5:$A$315,$A159,$C$5:$C$315,$C159-1,$D$5:$D$315,$D159)&lt;0),"n.s.",ABS(M159)/ABS(SUMIFS(M$5:M$315,$A$5:$A$315,$A159,$C$5:$C$315,$C159-1,$D$5:$D$315,$D159))-1)))</f>
        <v/>
      </c>
      <c r="X159" s="16">
        <f>IF(OR($A159="",N159="",$C159=""),"",IF(COUNTIFS($A$5:$A$315,$A159,$C$5:$C$315,$C159-1,$D$5:$D$315,$D159,N$5:N$315,"&lt;&gt;")=0,"",IF(OR(SUMIFS(N$5:N$315,$A$5:$A$315,$A159,$C$5:$C$315,$C159-1,$D$5:$D$315,$D159)=0,N159*SUMIFS(N$5:N$315,$A$5:$A$315,$A159,$C$5:$C$315,$C159-1,$D$5:$D$315,$D159)&lt;0),"n.s.",ABS(N159)/ABS(SUMIFS(N$5:N$315,$A$5:$A$315,$A159,$C$5:$C$315,$C159-1,$D$5:$D$315,$D159))-1)))</f>
        <v/>
      </c>
      <c r="Y159" s="16">
        <f>IF(OR($A159="",O159="",$C159=""),"",IF(COUNTIFS($A$5:$A$315,$A159,$C$5:$C$315,$C159-1,$D$5:$D$315,$D159,O$5:O$315,"&lt;&gt;")=0,"",IF(OR(SUMIFS(O$5:O$315,$A$5:$A$315,$A159,$C$5:$C$315,$C159-1,$D$5:$D$315,$D159)=0,O159*SUMIFS(O$5:O$315,$A$5:$A$315,$A159,$C$5:$C$315,$C159-1,$D$5:$D$315,$D159)&lt;0),"n.s.",ABS(O159)/ABS(SUMIFS(O$5:O$315,$A$5:$A$315,$A159,$C$5:$C$315,$C159-1,$D$5:$D$315,$D159))-1)))</f>
        <v/>
      </c>
    </row>
    <row r="160">
      <c r="A160" s="9" t="inlineStr">
        <is>
          <t>BOAS</t>
        </is>
      </c>
      <c r="B160" s="10">
        <f>IF(A160="","",IFERROR(VLOOKUP(A160,Titres!$A$2:$B$400,2,FALSE),"Ticker inconnu"))</f>
        <v/>
      </c>
      <c r="C160" s="11" t="n">
        <v>2024</v>
      </c>
      <c r="D160" s="11" t="inlineStr">
        <is>
          <t>T3</t>
        </is>
      </c>
      <c r="E160" s="9" t="n"/>
      <c r="F160" s="12" t="n"/>
      <c r="G160" s="9" t="n"/>
      <c r="H160" s="13" t="n"/>
      <c r="I160" s="13" t="n"/>
      <c r="J160" s="13" t="n"/>
      <c r="K160" s="13" t="n"/>
      <c r="L160" s="13" t="n"/>
      <c r="M160" s="13" t="n"/>
      <c r="N160" s="13" t="n"/>
      <c r="O160" s="13" t="n"/>
      <c r="P160" s="14">
        <f>IF(A160="","",COUNT(H160:O160)/8)</f>
        <v/>
      </c>
      <c r="Q160" s="15">
        <f>IF(COUNT(H160:O160)=0,"",IF(LEN(IF(COUNT(H160,I160,J160)=3,IF(ABS(H160+I160-J160)&lt;=MAX(1,0.02*ABS(J160)),"","RBE &lt;&gt; PNB + frais "),"")&amp;IF(COUNT(J160,K160,L160)=3,IF(ABS(J160+K160-L160)&lt;=MAX(1,0.03*ABS(L160)),"","RAI &lt;&gt; RBE + coût du risque "),"")&amp;IF(COUNT(H160,M160)=2,IF(ABS(M160)&gt;ABS(H160),"RN &gt; PNB ",""),""))=0,"OK",IF(COUNT(H160,I160,J160)=3,IF(ABS(H160+I160-J160)&lt;=MAX(1,0.02*ABS(J160)),"","RBE &lt;&gt; PNB + frais "),"")&amp;IF(COUNT(J160,K160,L160)=3,IF(ABS(J160+K160-L160)&lt;=MAX(1,0.03*ABS(L160)),"","RAI &lt;&gt; RBE + coût du risque "),"")&amp;IF(COUNT(H160,M160)=2,IF(ABS(M160)&gt;ABS(H160),"RN &gt; PNB ",""),"")))</f>
        <v/>
      </c>
      <c r="R160" s="16">
        <f>IF(OR($A160="",H160="",$C160=""),"",IF(COUNTIFS($A$5:$A$315,$A160,$C$5:$C$315,$C160-1,$D$5:$D$315,$D160,H$5:H$315,"&lt;&gt;")=0,"",IF(OR(SUMIFS(H$5:H$315,$A$5:$A$315,$A160,$C$5:$C$315,$C160-1,$D$5:$D$315,$D160)=0,H160*SUMIFS(H$5:H$315,$A$5:$A$315,$A160,$C$5:$C$315,$C160-1,$D$5:$D$315,$D160)&lt;0),"n.s.",ABS(H160)/ABS(SUMIFS(H$5:H$315,$A$5:$A$315,$A160,$C$5:$C$315,$C160-1,$D$5:$D$315,$D160))-1)))</f>
        <v/>
      </c>
      <c r="S160" s="16">
        <f>IF(OR($A160="",I160="",$C160=""),"",IF(COUNTIFS($A$5:$A$315,$A160,$C$5:$C$315,$C160-1,$D$5:$D$315,$D160,I$5:I$315,"&lt;&gt;")=0,"",IF(OR(SUMIFS(I$5:I$315,$A$5:$A$315,$A160,$C$5:$C$315,$C160-1,$D$5:$D$315,$D160)=0,I160*SUMIFS(I$5:I$315,$A$5:$A$315,$A160,$C$5:$C$315,$C160-1,$D$5:$D$315,$D160)&lt;0),"n.s.",ABS(I160)/ABS(SUMIFS(I$5:I$315,$A$5:$A$315,$A160,$C$5:$C$315,$C160-1,$D$5:$D$315,$D160))-1)))</f>
        <v/>
      </c>
      <c r="T160" s="16">
        <f>IF(OR($A160="",J160="",$C160=""),"",IF(COUNTIFS($A$5:$A$315,$A160,$C$5:$C$315,$C160-1,$D$5:$D$315,$D160,J$5:J$315,"&lt;&gt;")=0,"",IF(OR(SUMIFS(J$5:J$315,$A$5:$A$315,$A160,$C$5:$C$315,$C160-1,$D$5:$D$315,$D160)=0,J160*SUMIFS(J$5:J$315,$A$5:$A$315,$A160,$C$5:$C$315,$C160-1,$D$5:$D$315,$D160)&lt;0),"n.s.",ABS(J160)/ABS(SUMIFS(J$5:J$315,$A$5:$A$315,$A160,$C$5:$C$315,$C160-1,$D$5:$D$315,$D160))-1)))</f>
        <v/>
      </c>
      <c r="U160" s="16">
        <f>IF(OR($A160="",K160="",$C160=""),"",IF(COUNTIFS($A$5:$A$315,$A160,$C$5:$C$315,$C160-1,$D$5:$D$315,$D160,K$5:K$315,"&lt;&gt;")=0,"",IF(OR(SUMIFS(K$5:K$315,$A$5:$A$315,$A160,$C$5:$C$315,$C160-1,$D$5:$D$315,$D160)=0,K160*SUMIFS(K$5:K$315,$A$5:$A$315,$A160,$C$5:$C$315,$C160-1,$D$5:$D$315,$D160)&lt;0),"n.s.",ABS(K160)/ABS(SUMIFS(K$5:K$315,$A$5:$A$315,$A160,$C$5:$C$315,$C160-1,$D$5:$D$315,$D160))-1)))</f>
        <v/>
      </c>
      <c r="V160" s="16">
        <f>IF(OR($A160="",L160="",$C160=""),"",IF(COUNTIFS($A$5:$A$315,$A160,$C$5:$C$315,$C160-1,$D$5:$D$315,$D160,L$5:L$315,"&lt;&gt;")=0,"",IF(OR(SUMIFS(L$5:L$315,$A$5:$A$315,$A160,$C$5:$C$315,$C160-1,$D$5:$D$315,$D160)=0,L160*SUMIFS(L$5:L$315,$A$5:$A$315,$A160,$C$5:$C$315,$C160-1,$D$5:$D$315,$D160)&lt;0),"n.s.",ABS(L160)/ABS(SUMIFS(L$5:L$315,$A$5:$A$315,$A160,$C$5:$C$315,$C160-1,$D$5:$D$315,$D160))-1)))</f>
        <v/>
      </c>
      <c r="W160" s="16">
        <f>IF(OR($A160="",M160="",$C160=""),"",IF(COUNTIFS($A$5:$A$315,$A160,$C$5:$C$315,$C160-1,$D$5:$D$315,$D160,M$5:M$315,"&lt;&gt;")=0,"",IF(OR(SUMIFS(M$5:M$315,$A$5:$A$315,$A160,$C$5:$C$315,$C160-1,$D$5:$D$315,$D160)=0,M160*SUMIFS(M$5:M$315,$A$5:$A$315,$A160,$C$5:$C$315,$C160-1,$D$5:$D$315,$D160)&lt;0),"n.s.",ABS(M160)/ABS(SUMIFS(M$5:M$315,$A$5:$A$315,$A160,$C$5:$C$315,$C160-1,$D$5:$D$315,$D160))-1)))</f>
        <v/>
      </c>
      <c r="X160" s="16">
        <f>IF(OR($A160="",N160="",$C160=""),"",IF(COUNTIFS($A$5:$A$315,$A160,$C$5:$C$315,$C160-1,$D$5:$D$315,$D160,N$5:N$315,"&lt;&gt;")=0,"",IF(OR(SUMIFS(N$5:N$315,$A$5:$A$315,$A160,$C$5:$C$315,$C160-1,$D$5:$D$315,$D160)=0,N160*SUMIFS(N$5:N$315,$A$5:$A$315,$A160,$C$5:$C$315,$C160-1,$D$5:$D$315,$D160)&lt;0),"n.s.",ABS(N160)/ABS(SUMIFS(N$5:N$315,$A$5:$A$315,$A160,$C$5:$C$315,$C160-1,$D$5:$D$315,$D160))-1)))</f>
        <v/>
      </c>
      <c r="Y160" s="16">
        <f>IF(OR($A160="",O160="",$C160=""),"",IF(COUNTIFS($A$5:$A$315,$A160,$C$5:$C$315,$C160-1,$D$5:$D$315,$D160,O$5:O$315,"&lt;&gt;")=0,"",IF(OR(SUMIFS(O$5:O$315,$A$5:$A$315,$A160,$C$5:$C$315,$C160-1,$D$5:$D$315,$D160)=0,O160*SUMIFS(O$5:O$315,$A$5:$A$315,$A160,$C$5:$C$315,$C160-1,$D$5:$D$315,$D160)&lt;0),"n.s.",ABS(O160)/ABS(SUMIFS(O$5:O$315,$A$5:$A$315,$A160,$C$5:$C$315,$C160-1,$D$5:$D$315,$D160))-1)))</f>
        <v/>
      </c>
    </row>
    <row r="161">
      <c r="A161" s="9" t="inlineStr">
        <is>
          <t>BOAS</t>
        </is>
      </c>
      <c r="B161" s="10">
        <f>IF(A161="","",IFERROR(VLOOKUP(A161,Titres!$A$2:$B$400,2,FALSE),"Ticker inconnu"))</f>
        <v/>
      </c>
      <c r="C161" s="11" t="n">
        <v>2025</v>
      </c>
      <c r="D161" s="11" t="inlineStr">
        <is>
          <t>T1</t>
        </is>
      </c>
      <c r="E161" s="9" t="n"/>
      <c r="F161" s="12" t="n"/>
      <c r="G161" s="9" t="n"/>
      <c r="H161" s="13" t="n"/>
      <c r="I161" s="13" t="n"/>
      <c r="J161" s="13" t="n"/>
      <c r="K161" s="13" t="n"/>
      <c r="L161" s="13" t="n"/>
      <c r="M161" s="13" t="n"/>
      <c r="N161" s="13" t="n"/>
      <c r="O161" s="13" t="n"/>
      <c r="P161" s="14">
        <f>IF(A161="","",COUNT(H161:O161)/8)</f>
        <v/>
      </c>
      <c r="Q161" s="15">
        <f>IF(COUNT(H161:O161)=0,"",IF(LEN(IF(COUNT(H161,I161,J161)=3,IF(ABS(H161+I161-J161)&lt;=MAX(1,0.02*ABS(J161)),"","RBE &lt;&gt; PNB + frais "),"")&amp;IF(COUNT(J161,K161,L161)=3,IF(ABS(J161+K161-L161)&lt;=MAX(1,0.03*ABS(L161)),"","RAI &lt;&gt; RBE + coût du risque "),"")&amp;IF(COUNT(H161,M161)=2,IF(ABS(M161)&gt;ABS(H161),"RN &gt; PNB ",""),""))=0,"OK",IF(COUNT(H161,I161,J161)=3,IF(ABS(H161+I161-J161)&lt;=MAX(1,0.02*ABS(J161)),"","RBE &lt;&gt; PNB + frais "),"")&amp;IF(COUNT(J161,K161,L161)=3,IF(ABS(J161+K161-L161)&lt;=MAX(1,0.03*ABS(L161)),"","RAI &lt;&gt; RBE + coût du risque "),"")&amp;IF(COUNT(H161,M161)=2,IF(ABS(M161)&gt;ABS(H161),"RN &gt; PNB ",""),"")))</f>
        <v/>
      </c>
      <c r="R161" s="16">
        <f>IF(OR($A161="",H161="",$C161=""),"",IF(COUNTIFS($A$5:$A$315,$A161,$C$5:$C$315,$C161-1,$D$5:$D$315,$D161,H$5:H$315,"&lt;&gt;")=0,"",IF(OR(SUMIFS(H$5:H$315,$A$5:$A$315,$A161,$C$5:$C$315,$C161-1,$D$5:$D$315,$D161)=0,H161*SUMIFS(H$5:H$315,$A$5:$A$315,$A161,$C$5:$C$315,$C161-1,$D$5:$D$315,$D161)&lt;0),"n.s.",ABS(H161)/ABS(SUMIFS(H$5:H$315,$A$5:$A$315,$A161,$C$5:$C$315,$C161-1,$D$5:$D$315,$D161))-1)))</f>
        <v/>
      </c>
      <c r="S161" s="16">
        <f>IF(OR($A161="",I161="",$C161=""),"",IF(COUNTIFS($A$5:$A$315,$A161,$C$5:$C$315,$C161-1,$D$5:$D$315,$D161,I$5:I$315,"&lt;&gt;")=0,"",IF(OR(SUMIFS(I$5:I$315,$A$5:$A$315,$A161,$C$5:$C$315,$C161-1,$D$5:$D$315,$D161)=0,I161*SUMIFS(I$5:I$315,$A$5:$A$315,$A161,$C$5:$C$315,$C161-1,$D$5:$D$315,$D161)&lt;0),"n.s.",ABS(I161)/ABS(SUMIFS(I$5:I$315,$A$5:$A$315,$A161,$C$5:$C$315,$C161-1,$D$5:$D$315,$D161))-1)))</f>
        <v/>
      </c>
      <c r="T161" s="16">
        <f>IF(OR($A161="",J161="",$C161=""),"",IF(COUNTIFS($A$5:$A$315,$A161,$C$5:$C$315,$C161-1,$D$5:$D$315,$D161,J$5:J$315,"&lt;&gt;")=0,"",IF(OR(SUMIFS(J$5:J$315,$A$5:$A$315,$A161,$C$5:$C$315,$C161-1,$D$5:$D$315,$D161)=0,J161*SUMIFS(J$5:J$315,$A$5:$A$315,$A161,$C$5:$C$315,$C161-1,$D$5:$D$315,$D161)&lt;0),"n.s.",ABS(J161)/ABS(SUMIFS(J$5:J$315,$A$5:$A$315,$A161,$C$5:$C$315,$C161-1,$D$5:$D$315,$D161))-1)))</f>
        <v/>
      </c>
      <c r="U161" s="16">
        <f>IF(OR($A161="",K161="",$C161=""),"",IF(COUNTIFS($A$5:$A$315,$A161,$C$5:$C$315,$C161-1,$D$5:$D$315,$D161,K$5:K$315,"&lt;&gt;")=0,"",IF(OR(SUMIFS(K$5:K$315,$A$5:$A$315,$A161,$C$5:$C$315,$C161-1,$D$5:$D$315,$D161)=0,K161*SUMIFS(K$5:K$315,$A$5:$A$315,$A161,$C$5:$C$315,$C161-1,$D$5:$D$315,$D161)&lt;0),"n.s.",ABS(K161)/ABS(SUMIFS(K$5:K$315,$A$5:$A$315,$A161,$C$5:$C$315,$C161-1,$D$5:$D$315,$D161))-1)))</f>
        <v/>
      </c>
      <c r="V161" s="16">
        <f>IF(OR($A161="",L161="",$C161=""),"",IF(COUNTIFS($A$5:$A$315,$A161,$C$5:$C$315,$C161-1,$D$5:$D$315,$D161,L$5:L$315,"&lt;&gt;")=0,"",IF(OR(SUMIFS(L$5:L$315,$A$5:$A$315,$A161,$C$5:$C$315,$C161-1,$D$5:$D$315,$D161)=0,L161*SUMIFS(L$5:L$315,$A$5:$A$315,$A161,$C$5:$C$315,$C161-1,$D$5:$D$315,$D161)&lt;0),"n.s.",ABS(L161)/ABS(SUMIFS(L$5:L$315,$A$5:$A$315,$A161,$C$5:$C$315,$C161-1,$D$5:$D$315,$D161))-1)))</f>
        <v/>
      </c>
      <c r="W161" s="16">
        <f>IF(OR($A161="",M161="",$C161=""),"",IF(COUNTIFS($A$5:$A$315,$A161,$C$5:$C$315,$C161-1,$D$5:$D$315,$D161,M$5:M$315,"&lt;&gt;")=0,"",IF(OR(SUMIFS(M$5:M$315,$A$5:$A$315,$A161,$C$5:$C$315,$C161-1,$D$5:$D$315,$D161)=0,M161*SUMIFS(M$5:M$315,$A$5:$A$315,$A161,$C$5:$C$315,$C161-1,$D$5:$D$315,$D161)&lt;0),"n.s.",ABS(M161)/ABS(SUMIFS(M$5:M$315,$A$5:$A$315,$A161,$C$5:$C$315,$C161-1,$D$5:$D$315,$D161))-1)))</f>
        <v/>
      </c>
      <c r="X161" s="16">
        <f>IF(OR($A161="",N161="",$C161=""),"",IF(COUNTIFS($A$5:$A$315,$A161,$C$5:$C$315,$C161-1,$D$5:$D$315,$D161,N$5:N$315,"&lt;&gt;")=0,"",IF(OR(SUMIFS(N$5:N$315,$A$5:$A$315,$A161,$C$5:$C$315,$C161-1,$D$5:$D$315,$D161)=0,N161*SUMIFS(N$5:N$315,$A$5:$A$315,$A161,$C$5:$C$315,$C161-1,$D$5:$D$315,$D161)&lt;0),"n.s.",ABS(N161)/ABS(SUMIFS(N$5:N$315,$A$5:$A$315,$A161,$C$5:$C$315,$C161-1,$D$5:$D$315,$D161))-1)))</f>
        <v/>
      </c>
      <c r="Y161" s="16">
        <f>IF(OR($A161="",O161="",$C161=""),"",IF(COUNTIFS($A$5:$A$315,$A161,$C$5:$C$315,$C161-1,$D$5:$D$315,$D161,O$5:O$315,"&lt;&gt;")=0,"",IF(OR(SUMIFS(O$5:O$315,$A$5:$A$315,$A161,$C$5:$C$315,$C161-1,$D$5:$D$315,$D161)=0,O161*SUMIFS(O$5:O$315,$A$5:$A$315,$A161,$C$5:$C$315,$C161-1,$D$5:$D$315,$D161)&lt;0),"n.s.",ABS(O161)/ABS(SUMIFS(O$5:O$315,$A$5:$A$315,$A161,$C$5:$C$315,$C161-1,$D$5:$D$315,$D161))-1)))</f>
        <v/>
      </c>
    </row>
    <row r="162">
      <c r="A162" s="9" t="inlineStr">
        <is>
          <t>BOAS</t>
        </is>
      </c>
      <c r="B162" s="10">
        <f>IF(A162="","",IFERROR(VLOOKUP(A162,Titres!$A$2:$B$400,2,FALSE),"Ticker inconnu"))</f>
        <v/>
      </c>
      <c r="C162" s="11" t="n">
        <v>2025</v>
      </c>
      <c r="D162" s="11" t="inlineStr">
        <is>
          <t>S1</t>
        </is>
      </c>
      <c r="E162" s="9" t="n"/>
      <c r="F162" s="12" t="n"/>
      <c r="G162" s="9" t="n"/>
      <c r="H162" s="13" t="n"/>
      <c r="I162" s="13" t="n"/>
      <c r="J162" s="13" t="n"/>
      <c r="K162" s="13" t="n"/>
      <c r="L162" s="13" t="n"/>
      <c r="M162" s="13" t="n"/>
      <c r="N162" s="13" t="n"/>
      <c r="O162" s="13" t="n"/>
      <c r="P162" s="14">
        <f>IF(A162="","",COUNT(H162:O162)/8)</f>
        <v/>
      </c>
      <c r="Q162" s="15">
        <f>IF(COUNT(H162:O162)=0,"",IF(LEN(IF(COUNT(H162,I162,J162)=3,IF(ABS(H162+I162-J162)&lt;=MAX(1,0.02*ABS(J162)),"","RBE &lt;&gt; PNB + frais "),"")&amp;IF(COUNT(J162,K162,L162)=3,IF(ABS(J162+K162-L162)&lt;=MAX(1,0.03*ABS(L162)),"","RAI &lt;&gt; RBE + coût du risque "),"")&amp;IF(COUNT(H162,M162)=2,IF(ABS(M162)&gt;ABS(H162),"RN &gt; PNB ",""),""))=0,"OK",IF(COUNT(H162,I162,J162)=3,IF(ABS(H162+I162-J162)&lt;=MAX(1,0.02*ABS(J162)),"","RBE &lt;&gt; PNB + frais "),"")&amp;IF(COUNT(J162,K162,L162)=3,IF(ABS(J162+K162-L162)&lt;=MAX(1,0.03*ABS(L162)),"","RAI &lt;&gt; RBE + coût du risque "),"")&amp;IF(COUNT(H162,M162)=2,IF(ABS(M162)&gt;ABS(H162),"RN &gt; PNB ",""),"")))</f>
        <v/>
      </c>
      <c r="R162" s="16">
        <f>IF(OR($A162="",H162="",$C162=""),"",IF(COUNTIFS($A$5:$A$315,$A162,$C$5:$C$315,$C162-1,$D$5:$D$315,$D162,H$5:H$315,"&lt;&gt;")=0,"",IF(OR(SUMIFS(H$5:H$315,$A$5:$A$315,$A162,$C$5:$C$315,$C162-1,$D$5:$D$315,$D162)=0,H162*SUMIFS(H$5:H$315,$A$5:$A$315,$A162,$C$5:$C$315,$C162-1,$D$5:$D$315,$D162)&lt;0),"n.s.",ABS(H162)/ABS(SUMIFS(H$5:H$315,$A$5:$A$315,$A162,$C$5:$C$315,$C162-1,$D$5:$D$315,$D162))-1)))</f>
        <v/>
      </c>
      <c r="S162" s="16">
        <f>IF(OR($A162="",I162="",$C162=""),"",IF(COUNTIFS($A$5:$A$315,$A162,$C$5:$C$315,$C162-1,$D$5:$D$315,$D162,I$5:I$315,"&lt;&gt;")=0,"",IF(OR(SUMIFS(I$5:I$315,$A$5:$A$315,$A162,$C$5:$C$315,$C162-1,$D$5:$D$315,$D162)=0,I162*SUMIFS(I$5:I$315,$A$5:$A$315,$A162,$C$5:$C$315,$C162-1,$D$5:$D$315,$D162)&lt;0),"n.s.",ABS(I162)/ABS(SUMIFS(I$5:I$315,$A$5:$A$315,$A162,$C$5:$C$315,$C162-1,$D$5:$D$315,$D162))-1)))</f>
        <v/>
      </c>
      <c r="T162" s="16">
        <f>IF(OR($A162="",J162="",$C162=""),"",IF(COUNTIFS($A$5:$A$315,$A162,$C$5:$C$315,$C162-1,$D$5:$D$315,$D162,J$5:J$315,"&lt;&gt;")=0,"",IF(OR(SUMIFS(J$5:J$315,$A$5:$A$315,$A162,$C$5:$C$315,$C162-1,$D$5:$D$315,$D162)=0,J162*SUMIFS(J$5:J$315,$A$5:$A$315,$A162,$C$5:$C$315,$C162-1,$D$5:$D$315,$D162)&lt;0),"n.s.",ABS(J162)/ABS(SUMIFS(J$5:J$315,$A$5:$A$315,$A162,$C$5:$C$315,$C162-1,$D$5:$D$315,$D162))-1)))</f>
        <v/>
      </c>
      <c r="U162" s="16">
        <f>IF(OR($A162="",K162="",$C162=""),"",IF(COUNTIFS($A$5:$A$315,$A162,$C$5:$C$315,$C162-1,$D$5:$D$315,$D162,K$5:K$315,"&lt;&gt;")=0,"",IF(OR(SUMIFS(K$5:K$315,$A$5:$A$315,$A162,$C$5:$C$315,$C162-1,$D$5:$D$315,$D162)=0,K162*SUMIFS(K$5:K$315,$A$5:$A$315,$A162,$C$5:$C$315,$C162-1,$D$5:$D$315,$D162)&lt;0),"n.s.",ABS(K162)/ABS(SUMIFS(K$5:K$315,$A$5:$A$315,$A162,$C$5:$C$315,$C162-1,$D$5:$D$315,$D162))-1)))</f>
        <v/>
      </c>
      <c r="V162" s="16">
        <f>IF(OR($A162="",L162="",$C162=""),"",IF(COUNTIFS($A$5:$A$315,$A162,$C$5:$C$315,$C162-1,$D$5:$D$315,$D162,L$5:L$315,"&lt;&gt;")=0,"",IF(OR(SUMIFS(L$5:L$315,$A$5:$A$315,$A162,$C$5:$C$315,$C162-1,$D$5:$D$315,$D162)=0,L162*SUMIFS(L$5:L$315,$A$5:$A$315,$A162,$C$5:$C$315,$C162-1,$D$5:$D$315,$D162)&lt;0),"n.s.",ABS(L162)/ABS(SUMIFS(L$5:L$315,$A$5:$A$315,$A162,$C$5:$C$315,$C162-1,$D$5:$D$315,$D162))-1)))</f>
        <v/>
      </c>
      <c r="W162" s="16">
        <f>IF(OR($A162="",M162="",$C162=""),"",IF(COUNTIFS($A$5:$A$315,$A162,$C$5:$C$315,$C162-1,$D$5:$D$315,$D162,M$5:M$315,"&lt;&gt;")=0,"",IF(OR(SUMIFS(M$5:M$315,$A$5:$A$315,$A162,$C$5:$C$315,$C162-1,$D$5:$D$315,$D162)=0,M162*SUMIFS(M$5:M$315,$A$5:$A$315,$A162,$C$5:$C$315,$C162-1,$D$5:$D$315,$D162)&lt;0),"n.s.",ABS(M162)/ABS(SUMIFS(M$5:M$315,$A$5:$A$315,$A162,$C$5:$C$315,$C162-1,$D$5:$D$315,$D162))-1)))</f>
        <v/>
      </c>
      <c r="X162" s="16">
        <f>IF(OR($A162="",N162="",$C162=""),"",IF(COUNTIFS($A$5:$A$315,$A162,$C$5:$C$315,$C162-1,$D$5:$D$315,$D162,N$5:N$315,"&lt;&gt;")=0,"",IF(OR(SUMIFS(N$5:N$315,$A$5:$A$315,$A162,$C$5:$C$315,$C162-1,$D$5:$D$315,$D162)=0,N162*SUMIFS(N$5:N$315,$A$5:$A$315,$A162,$C$5:$C$315,$C162-1,$D$5:$D$315,$D162)&lt;0),"n.s.",ABS(N162)/ABS(SUMIFS(N$5:N$315,$A$5:$A$315,$A162,$C$5:$C$315,$C162-1,$D$5:$D$315,$D162))-1)))</f>
        <v/>
      </c>
      <c r="Y162" s="16">
        <f>IF(OR($A162="",O162="",$C162=""),"",IF(COUNTIFS($A$5:$A$315,$A162,$C$5:$C$315,$C162-1,$D$5:$D$315,$D162,O$5:O$315,"&lt;&gt;")=0,"",IF(OR(SUMIFS(O$5:O$315,$A$5:$A$315,$A162,$C$5:$C$315,$C162-1,$D$5:$D$315,$D162)=0,O162*SUMIFS(O$5:O$315,$A$5:$A$315,$A162,$C$5:$C$315,$C162-1,$D$5:$D$315,$D162)&lt;0),"n.s.",ABS(O162)/ABS(SUMIFS(O$5:O$315,$A$5:$A$315,$A162,$C$5:$C$315,$C162-1,$D$5:$D$315,$D162))-1)))</f>
        <v/>
      </c>
    </row>
    <row r="163">
      <c r="A163" s="9" t="inlineStr">
        <is>
          <t>BOAS</t>
        </is>
      </c>
      <c r="B163" s="10">
        <f>IF(A163="","",IFERROR(VLOOKUP(A163,Titres!$A$2:$B$400,2,FALSE),"Ticker inconnu"))</f>
        <v/>
      </c>
      <c r="C163" s="11" t="n">
        <v>2025</v>
      </c>
      <c r="D163" s="11" t="inlineStr">
        <is>
          <t>T3</t>
        </is>
      </c>
      <c r="E163" s="9" t="n"/>
      <c r="F163" s="12" t="n"/>
      <c r="G163" s="9" t="n"/>
      <c r="H163" s="13" t="n"/>
      <c r="I163" s="13" t="n"/>
      <c r="J163" s="13" t="n"/>
      <c r="K163" s="13" t="n"/>
      <c r="L163" s="13" t="n"/>
      <c r="M163" s="13" t="n"/>
      <c r="N163" s="13" t="n"/>
      <c r="O163" s="13" t="n"/>
      <c r="P163" s="14">
        <f>IF(A163="","",COUNT(H163:O163)/8)</f>
        <v/>
      </c>
      <c r="Q163" s="15">
        <f>IF(COUNT(H163:O163)=0,"",IF(LEN(IF(COUNT(H163,I163,J163)=3,IF(ABS(H163+I163-J163)&lt;=MAX(1,0.02*ABS(J163)),"","RBE &lt;&gt; PNB + frais "),"")&amp;IF(COUNT(J163,K163,L163)=3,IF(ABS(J163+K163-L163)&lt;=MAX(1,0.03*ABS(L163)),"","RAI &lt;&gt; RBE + coût du risque "),"")&amp;IF(COUNT(H163,M163)=2,IF(ABS(M163)&gt;ABS(H163),"RN &gt; PNB ",""),""))=0,"OK",IF(COUNT(H163,I163,J163)=3,IF(ABS(H163+I163-J163)&lt;=MAX(1,0.02*ABS(J163)),"","RBE &lt;&gt; PNB + frais "),"")&amp;IF(COUNT(J163,K163,L163)=3,IF(ABS(J163+K163-L163)&lt;=MAX(1,0.03*ABS(L163)),"","RAI &lt;&gt; RBE + coût du risque "),"")&amp;IF(COUNT(H163,M163)=2,IF(ABS(M163)&gt;ABS(H163),"RN &gt; PNB ",""),"")))</f>
        <v/>
      </c>
      <c r="R163" s="16">
        <f>IF(OR($A163="",H163="",$C163=""),"",IF(COUNTIFS($A$5:$A$315,$A163,$C$5:$C$315,$C163-1,$D$5:$D$315,$D163,H$5:H$315,"&lt;&gt;")=0,"",IF(OR(SUMIFS(H$5:H$315,$A$5:$A$315,$A163,$C$5:$C$315,$C163-1,$D$5:$D$315,$D163)=0,H163*SUMIFS(H$5:H$315,$A$5:$A$315,$A163,$C$5:$C$315,$C163-1,$D$5:$D$315,$D163)&lt;0),"n.s.",ABS(H163)/ABS(SUMIFS(H$5:H$315,$A$5:$A$315,$A163,$C$5:$C$315,$C163-1,$D$5:$D$315,$D163))-1)))</f>
        <v/>
      </c>
      <c r="S163" s="16">
        <f>IF(OR($A163="",I163="",$C163=""),"",IF(COUNTIFS($A$5:$A$315,$A163,$C$5:$C$315,$C163-1,$D$5:$D$315,$D163,I$5:I$315,"&lt;&gt;")=0,"",IF(OR(SUMIFS(I$5:I$315,$A$5:$A$315,$A163,$C$5:$C$315,$C163-1,$D$5:$D$315,$D163)=0,I163*SUMIFS(I$5:I$315,$A$5:$A$315,$A163,$C$5:$C$315,$C163-1,$D$5:$D$315,$D163)&lt;0),"n.s.",ABS(I163)/ABS(SUMIFS(I$5:I$315,$A$5:$A$315,$A163,$C$5:$C$315,$C163-1,$D$5:$D$315,$D163))-1)))</f>
        <v/>
      </c>
      <c r="T163" s="16">
        <f>IF(OR($A163="",J163="",$C163=""),"",IF(COUNTIFS($A$5:$A$315,$A163,$C$5:$C$315,$C163-1,$D$5:$D$315,$D163,J$5:J$315,"&lt;&gt;")=0,"",IF(OR(SUMIFS(J$5:J$315,$A$5:$A$315,$A163,$C$5:$C$315,$C163-1,$D$5:$D$315,$D163)=0,J163*SUMIFS(J$5:J$315,$A$5:$A$315,$A163,$C$5:$C$315,$C163-1,$D$5:$D$315,$D163)&lt;0),"n.s.",ABS(J163)/ABS(SUMIFS(J$5:J$315,$A$5:$A$315,$A163,$C$5:$C$315,$C163-1,$D$5:$D$315,$D163))-1)))</f>
        <v/>
      </c>
      <c r="U163" s="16">
        <f>IF(OR($A163="",K163="",$C163=""),"",IF(COUNTIFS($A$5:$A$315,$A163,$C$5:$C$315,$C163-1,$D$5:$D$315,$D163,K$5:K$315,"&lt;&gt;")=0,"",IF(OR(SUMIFS(K$5:K$315,$A$5:$A$315,$A163,$C$5:$C$315,$C163-1,$D$5:$D$315,$D163)=0,K163*SUMIFS(K$5:K$315,$A$5:$A$315,$A163,$C$5:$C$315,$C163-1,$D$5:$D$315,$D163)&lt;0),"n.s.",ABS(K163)/ABS(SUMIFS(K$5:K$315,$A$5:$A$315,$A163,$C$5:$C$315,$C163-1,$D$5:$D$315,$D163))-1)))</f>
        <v/>
      </c>
      <c r="V163" s="16">
        <f>IF(OR($A163="",L163="",$C163=""),"",IF(COUNTIFS($A$5:$A$315,$A163,$C$5:$C$315,$C163-1,$D$5:$D$315,$D163,L$5:L$315,"&lt;&gt;")=0,"",IF(OR(SUMIFS(L$5:L$315,$A$5:$A$315,$A163,$C$5:$C$315,$C163-1,$D$5:$D$315,$D163)=0,L163*SUMIFS(L$5:L$315,$A$5:$A$315,$A163,$C$5:$C$315,$C163-1,$D$5:$D$315,$D163)&lt;0),"n.s.",ABS(L163)/ABS(SUMIFS(L$5:L$315,$A$5:$A$315,$A163,$C$5:$C$315,$C163-1,$D$5:$D$315,$D163))-1)))</f>
        <v/>
      </c>
      <c r="W163" s="16">
        <f>IF(OR($A163="",M163="",$C163=""),"",IF(COUNTIFS($A$5:$A$315,$A163,$C$5:$C$315,$C163-1,$D$5:$D$315,$D163,M$5:M$315,"&lt;&gt;")=0,"",IF(OR(SUMIFS(M$5:M$315,$A$5:$A$315,$A163,$C$5:$C$315,$C163-1,$D$5:$D$315,$D163)=0,M163*SUMIFS(M$5:M$315,$A$5:$A$315,$A163,$C$5:$C$315,$C163-1,$D$5:$D$315,$D163)&lt;0),"n.s.",ABS(M163)/ABS(SUMIFS(M$5:M$315,$A$5:$A$315,$A163,$C$5:$C$315,$C163-1,$D$5:$D$315,$D163))-1)))</f>
        <v/>
      </c>
      <c r="X163" s="16">
        <f>IF(OR($A163="",N163="",$C163=""),"",IF(COUNTIFS($A$5:$A$315,$A163,$C$5:$C$315,$C163-1,$D$5:$D$315,$D163,N$5:N$315,"&lt;&gt;")=0,"",IF(OR(SUMIFS(N$5:N$315,$A$5:$A$315,$A163,$C$5:$C$315,$C163-1,$D$5:$D$315,$D163)=0,N163*SUMIFS(N$5:N$315,$A$5:$A$315,$A163,$C$5:$C$315,$C163-1,$D$5:$D$315,$D163)&lt;0),"n.s.",ABS(N163)/ABS(SUMIFS(N$5:N$315,$A$5:$A$315,$A163,$C$5:$C$315,$C163-1,$D$5:$D$315,$D163))-1)))</f>
        <v/>
      </c>
      <c r="Y163" s="16">
        <f>IF(OR($A163="",O163="",$C163=""),"",IF(COUNTIFS($A$5:$A$315,$A163,$C$5:$C$315,$C163-1,$D$5:$D$315,$D163,O$5:O$315,"&lt;&gt;")=0,"",IF(OR(SUMIFS(O$5:O$315,$A$5:$A$315,$A163,$C$5:$C$315,$C163-1,$D$5:$D$315,$D163)=0,O163*SUMIFS(O$5:O$315,$A$5:$A$315,$A163,$C$5:$C$315,$C163-1,$D$5:$D$315,$D163)&lt;0),"n.s.",ABS(O163)/ABS(SUMIFS(O$5:O$315,$A$5:$A$315,$A163,$C$5:$C$315,$C163-1,$D$5:$D$315,$D163))-1)))</f>
        <v/>
      </c>
    </row>
    <row r="164">
      <c r="A164" s="9" t="inlineStr">
        <is>
          <t>BOAS</t>
        </is>
      </c>
      <c r="B164" s="10">
        <f>IF(A164="","",IFERROR(VLOOKUP(A164,Titres!$A$2:$B$400,2,FALSE),"Ticker inconnu"))</f>
        <v/>
      </c>
      <c r="C164" s="11" t="n">
        <v>2026</v>
      </c>
      <c r="D164" s="11" t="inlineStr">
        <is>
          <t>T1</t>
        </is>
      </c>
      <c r="E164" s="9" t="n"/>
      <c r="F164" s="12" t="n"/>
      <c r="G164" s="9" t="n"/>
      <c r="H164" s="13" t="n"/>
      <c r="I164" s="13" t="n"/>
      <c r="J164" s="13" t="n"/>
      <c r="K164" s="13" t="n"/>
      <c r="L164" s="13" t="n"/>
      <c r="M164" s="13" t="n"/>
      <c r="N164" s="13" t="n"/>
      <c r="O164" s="13" t="n"/>
      <c r="P164" s="14">
        <f>IF(A164="","",COUNT(H164:O164)/8)</f>
        <v/>
      </c>
      <c r="Q164" s="15">
        <f>IF(COUNT(H164:O164)=0,"",IF(LEN(IF(COUNT(H164,I164,J164)=3,IF(ABS(H164+I164-J164)&lt;=MAX(1,0.02*ABS(J164)),"","RBE &lt;&gt; PNB + frais "),"")&amp;IF(COUNT(J164,K164,L164)=3,IF(ABS(J164+K164-L164)&lt;=MAX(1,0.03*ABS(L164)),"","RAI &lt;&gt; RBE + coût du risque "),"")&amp;IF(COUNT(H164,M164)=2,IF(ABS(M164)&gt;ABS(H164),"RN &gt; PNB ",""),""))=0,"OK",IF(COUNT(H164,I164,J164)=3,IF(ABS(H164+I164-J164)&lt;=MAX(1,0.02*ABS(J164)),"","RBE &lt;&gt; PNB + frais "),"")&amp;IF(COUNT(J164,K164,L164)=3,IF(ABS(J164+K164-L164)&lt;=MAX(1,0.03*ABS(L164)),"","RAI &lt;&gt; RBE + coût du risque "),"")&amp;IF(COUNT(H164,M164)=2,IF(ABS(M164)&gt;ABS(H164),"RN &gt; PNB ",""),"")))</f>
        <v/>
      </c>
      <c r="R164" s="16">
        <f>IF(OR($A164="",H164="",$C164=""),"",IF(COUNTIFS($A$5:$A$315,$A164,$C$5:$C$315,$C164-1,$D$5:$D$315,$D164,H$5:H$315,"&lt;&gt;")=0,"",IF(OR(SUMIFS(H$5:H$315,$A$5:$A$315,$A164,$C$5:$C$315,$C164-1,$D$5:$D$315,$D164)=0,H164*SUMIFS(H$5:H$315,$A$5:$A$315,$A164,$C$5:$C$315,$C164-1,$D$5:$D$315,$D164)&lt;0),"n.s.",ABS(H164)/ABS(SUMIFS(H$5:H$315,$A$5:$A$315,$A164,$C$5:$C$315,$C164-1,$D$5:$D$315,$D164))-1)))</f>
        <v/>
      </c>
      <c r="S164" s="16">
        <f>IF(OR($A164="",I164="",$C164=""),"",IF(COUNTIFS($A$5:$A$315,$A164,$C$5:$C$315,$C164-1,$D$5:$D$315,$D164,I$5:I$315,"&lt;&gt;")=0,"",IF(OR(SUMIFS(I$5:I$315,$A$5:$A$315,$A164,$C$5:$C$315,$C164-1,$D$5:$D$315,$D164)=0,I164*SUMIFS(I$5:I$315,$A$5:$A$315,$A164,$C$5:$C$315,$C164-1,$D$5:$D$315,$D164)&lt;0),"n.s.",ABS(I164)/ABS(SUMIFS(I$5:I$315,$A$5:$A$315,$A164,$C$5:$C$315,$C164-1,$D$5:$D$315,$D164))-1)))</f>
        <v/>
      </c>
      <c r="T164" s="16">
        <f>IF(OR($A164="",J164="",$C164=""),"",IF(COUNTIFS($A$5:$A$315,$A164,$C$5:$C$315,$C164-1,$D$5:$D$315,$D164,J$5:J$315,"&lt;&gt;")=0,"",IF(OR(SUMIFS(J$5:J$315,$A$5:$A$315,$A164,$C$5:$C$315,$C164-1,$D$5:$D$315,$D164)=0,J164*SUMIFS(J$5:J$315,$A$5:$A$315,$A164,$C$5:$C$315,$C164-1,$D$5:$D$315,$D164)&lt;0),"n.s.",ABS(J164)/ABS(SUMIFS(J$5:J$315,$A$5:$A$315,$A164,$C$5:$C$315,$C164-1,$D$5:$D$315,$D164))-1)))</f>
        <v/>
      </c>
      <c r="U164" s="16">
        <f>IF(OR($A164="",K164="",$C164=""),"",IF(COUNTIFS($A$5:$A$315,$A164,$C$5:$C$315,$C164-1,$D$5:$D$315,$D164,K$5:K$315,"&lt;&gt;")=0,"",IF(OR(SUMIFS(K$5:K$315,$A$5:$A$315,$A164,$C$5:$C$315,$C164-1,$D$5:$D$315,$D164)=0,K164*SUMIFS(K$5:K$315,$A$5:$A$315,$A164,$C$5:$C$315,$C164-1,$D$5:$D$315,$D164)&lt;0),"n.s.",ABS(K164)/ABS(SUMIFS(K$5:K$315,$A$5:$A$315,$A164,$C$5:$C$315,$C164-1,$D$5:$D$315,$D164))-1)))</f>
        <v/>
      </c>
      <c r="V164" s="16">
        <f>IF(OR($A164="",L164="",$C164=""),"",IF(COUNTIFS($A$5:$A$315,$A164,$C$5:$C$315,$C164-1,$D$5:$D$315,$D164,L$5:L$315,"&lt;&gt;")=0,"",IF(OR(SUMIFS(L$5:L$315,$A$5:$A$315,$A164,$C$5:$C$315,$C164-1,$D$5:$D$315,$D164)=0,L164*SUMIFS(L$5:L$315,$A$5:$A$315,$A164,$C$5:$C$315,$C164-1,$D$5:$D$315,$D164)&lt;0),"n.s.",ABS(L164)/ABS(SUMIFS(L$5:L$315,$A$5:$A$315,$A164,$C$5:$C$315,$C164-1,$D$5:$D$315,$D164))-1)))</f>
        <v/>
      </c>
      <c r="W164" s="16">
        <f>IF(OR($A164="",M164="",$C164=""),"",IF(COUNTIFS($A$5:$A$315,$A164,$C$5:$C$315,$C164-1,$D$5:$D$315,$D164,M$5:M$315,"&lt;&gt;")=0,"",IF(OR(SUMIFS(M$5:M$315,$A$5:$A$315,$A164,$C$5:$C$315,$C164-1,$D$5:$D$315,$D164)=0,M164*SUMIFS(M$5:M$315,$A$5:$A$315,$A164,$C$5:$C$315,$C164-1,$D$5:$D$315,$D164)&lt;0),"n.s.",ABS(M164)/ABS(SUMIFS(M$5:M$315,$A$5:$A$315,$A164,$C$5:$C$315,$C164-1,$D$5:$D$315,$D164))-1)))</f>
        <v/>
      </c>
      <c r="X164" s="16">
        <f>IF(OR($A164="",N164="",$C164=""),"",IF(COUNTIFS($A$5:$A$315,$A164,$C$5:$C$315,$C164-1,$D$5:$D$315,$D164,N$5:N$315,"&lt;&gt;")=0,"",IF(OR(SUMIFS(N$5:N$315,$A$5:$A$315,$A164,$C$5:$C$315,$C164-1,$D$5:$D$315,$D164)=0,N164*SUMIFS(N$5:N$315,$A$5:$A$315,$A164,$C$5:$C$315,$C164-1,$D$5:$D$315,$D164)&lt;0),"n.s.",ABS(N164)/ABS(SUMIFS(N$5:N$315,$A$5:$A$315,$A164,$C$5:$C$315,$C164-1,$D$5:$D$315,$D164))-1)))</f>
        <v/>
      </c>
      <c r="Y164" s="16">
        <f>IF(OR($A164="",O164="",$C164=""),"",IF(COUNTIFS($A$5:$A$315,$A164,$C$5:$C$315,$C164-1,$D$5:$D$315,$D164,O$5:O$315,"&lt;&gt;")=0,"",IF(OR(SUMIFS(O$5:O$315,$A$5:$A$315,$A164,$C$5:$C$315,$C164-1,$D$5:$D$315,$D164)=0,O164*SUMIFS(O$5:O$315,$A$5:$A$315,$A164,$C$5:$C$315,$C164-1,$D$5:$D$315,$D164)&lt;0),"n.s.",ABS(O164)/ABS(SUMIFS(O$5:O$315,$A$5:$A$315,$A164,$C$5:$C$315,$C164-1,$D$5:$D$315,$D164))-1)))</f>
        <v/>
      </c>
    </row>
    <row r="165">
      <c r="A165" s="9" t="inlineStr">
        <is>
          <t>BOAS</t>
        </is>
      </c>
      <c r="B165" s="10">
        <f>IF(A165="","",IFERROR(VLOOKUP(A165,Titres!$A$2:$B$400,2,FALSE),"Ticker inconnu"))</f>
        <v/>
      </c>
      <c r="C165" s="11" t="n">
        <v>2026</v>
      </c>
      <c r="D165" s="11" t="inlineStr">
        <is>
          <t>S1</t>
        </is>
      </c>
      <c r="E165" s="9" t="n"/>
      <c r="F165" s="12" t="n"/>
      <c r="G165" s="9" t="n"/>
      <c r="H165" s="13" t="n"/>
      <c r="I165" s="13" t="n"/>
      <c r="J165" s="13" t="n"/>
      <c r="K165" s="13" t="n"/>
      <c r="L165" s="13" t="n"/>
      <c r="M165" s="13" t="n"/>
      <c r="N165" s="13" t="n"/>
      <c r="O165" s="13" t="n"/>
      <c r="P165" s="14">
        <f>IF(A165="","",COUNT(H165:O165)/8)</f>
        <v/>
      </c>
      <c r="Q165" s="15">
        <f>IF(COUNT(H165:O165)=0,"",IF(LEN(IF(COUNT(H165,I165,J165)=3,IF(ABS(H165+I165-J165)&lt;=MAX(1,0.02*ABS(J165)),"","RBE &lt;&gt; PNB + frais "),"")&amp;IF(COUNT(J165,K165,L165)=3,IF(ABS(J165+K165-L165)&lt;=MAX(1,0.03*ABS(L165)),"","RAI &lt;&gt; RBE + coût du risque "),"")&amp;IF(COUNT(H165,M165)=2,IF(ABS(M165)&gt;ABS(H165),"RN &gt; PNB ",""),""))=0,"OK",IF(COUNT(H165,I165,J165)=3,IF(ABS(H165+I165-J165)&lt;=MAX(1,0.02*ABS(J165)),"","RBE &lt;&gt; PNB + frais "),"")&amp;IF(COUNT(J165,K165,L165)=3,IF(ABS(J165+K165-L165)&lt;=MAX(1,0.03*ABS(L165)),"","RAI &lt;&gt; RBE + coût du risque "),"")&amp;IF(COUNT(H165,M165)=2,IF(ABS(M165)&gt;ABS(H165),"RN &gt; PNB ",""),"")))</f>
        <v/>
      </c>
      <c r="R165" s="16">
        <f>IF(OR($A165="",H165="",$C165=""),"",IF(COUNTIFS($A$5:$A$315,$A165,$C$5:$C$315,$C165-1,$D$5:$D$315,$D165,H$5:H$315,"&lt;&gt;")=0,"",IF(OR(SUMIFS(H$5:H$315,$A$5:$A$315,$A165,$C$5:$C$315,$C165-1,$D$5:$D$315,$D165)=0,H165*SUMIFS(H$5:H$315,$A$5:$A$315,$A165,$C$5:$C$315,$C165-1,$D$5:$D$315,$D165)&lt;0),"n.s.",ABS(H165)/ABS(SUMIFS(H$5:H$315,$A$5:$A$315,$A165,$C$5:$C$315,$C165-1,$D$5:$D$315,$D165))-1)))</f>
        <v/>
      </c>
      <c r="S165" s="16">
        <f>IF(OR($A165="",I165="",$C165=""),"",IF(COUNTIFS($A$5:$A$315,$A165,$C$5:$C$315,$C165-1,$D$5:$D$315,$D165,I$5:I$315,"&lt;&gt;")=0,"",IF(OR(SUMIFS(I$5:I$315,$A$5:$A$315,$A165,$C$5:$C$315,$C165-1,$D$5:$D$315,$D165)=0,I165*SUMIFS(I$5:I$315,$A$5:$A$315,$A165,$C$5:$C$315,$C165-1,$D$5:$D$315,$D165)&lt;0),"n.s.",ABS(I165)/ABS(SUMIFS(I$5:I$315,$A$5:$A$315,$A165,$C$5:$C$315,$C165-1,$D$5:$D$315,$D165))-1)))</f>
        <v/>
      </c>
      <c r="T165" s="16">
        <f>IF(OR($A165="",J165="",$C165=""),"",IF(COUNTIFS($A$5:$A$315,$A165,$C$5:$C$315,$C165-1,$D$5:$D$315,$D165,J$5:J$315,"&lt;&gt;")=0,"",IF(OR(SUMIFS(J$5:J$315,$A$5:$A$315,$A165,$C$5:$C$315,$C165-1,$D$5:$D$315,$D165)=0,J165*SUMIFS(J$5:J$315,$A$5:$A$315,$A165,$C$5:$C$315,$C165-1,$D$5:$D$315,$D165)&lt;0),"n.s.",ABS(J165)/ABS(SUMIFS(J$5:J$315,$A$5:$A$315,$A165,$C$5:$C$315,$C165-1,$D$5:$D$315,$D165))-1)))</f>
        <v/>
      </c>
      <c r="U165" s="16">
        <f>IF(OR($A165="",K165="",$C165=""),"",IF(COUNTIFS($A$5:$A$315,$A165,$C$5:$C$315,$C165-1,$D$5:$D$315,$D165,K$5:K$315,"&lt;&gt;")=0,"",IF(OR(SUMIFS(K$5:K$315,$A$5:$A$315,$A165,$C$5:$C$315,$C165-1,$D$5:$D$315,$D165)=0,K165*SUMIFS(K$5:K$315,$A$5:$A$315,$A165,$C$5:$C$315,$C165-1,$D$5:$D$315,$D165)&lt;0),"n.s.",ABS(K165)/ABS(SUMIFS(K$5:K$315,$A$5:$A$315,$A165,$C$5:$C$315,$C165-1,$D$5:$D$315,$D165))-1)))</f>
        <v/>
      </c>
      <c r="V165" s="16">
        <f>IF(OR($A165="",L165="",$C165=""),"",IF(COUNTIFS($A$5:$A$315,$A165,$C$5:$C$315,$C165-1,$D$5:$D$315,$D165,L$5:L$315,"&lt;&gt;")=0,"",IF(OR(SUMIFS(L$5:L$315,$A$5:$A$315,$A165,$C$5:$C$315,$C165-1,$D$5:$D$315,$D165)=0,L165*SUMIFS(L$5:L$315,$A$5:$A$315,$A165,$C$5:$C$315,$C165-1,$D$5:$D$315,$D165)&lt;0),"n.s.",ABS(L165)/ABS(SUMIFS(L$5:L$315,$A$5:$A$315,$A165,$C$5:$C$315,$C165-1,$D$5:$D$315,$D165))-1)))</f>
        <v/>
      </c>
      <c r="W165" s="16">
        <f>IF(OR($A165="",M165="",$C165=""),"",IF(COUNTIFS($A$5:$A$315,$A165,$C$5:$C$315,$C165-1,$D$5:$D$315,$D165,M$5:M$315,"&lt;&gt;")=0,"",IF(OR(SUMIFS(M$5:M$315,$A$5:$A$315,$A165,$C$5:$C$315,$C165-1,$D$5:$D$315,$D165)=0,M165*SUMIFS(M$5:M$315,$A$5:$A$315,$A165,$C$5:$C$315,$C165-1,$D$5:$D$315,$D165)&lt;0),"n.s.",ABS(M165)/ABS(SUMIFS(M$5:M$315,$A$5:$A$315,$A165,$C$5:$C$315,$C165-1,$D$5:$D$315,$D165))-1)))</f>
        <v/>
      </c>
      <c r="X165" s="16">
        <f>IF(OR($A165="",N165="",$C165=""),"",IF(COUNTIFS($A$5:$A$315,$A165,$C$5:$C$315,$C165-1,$D$5:$D$315,$D165,N$5:N$315,"&lt;&gt;")=0,"",IF(OR(SUMIFS(N$5:N$315,$A$5:$A$315,$A165,$C$5:$C$315,$C165-1,$D$5:$D$315,$D165)=0,N165*SUMIFS(N$5:N$315,$A$5:$A$315,$A165,$C$5:$C$315,$C165-1,$D$5:$D$315,$D165)&lt;0),"n.s.",ABS(N165)/ABS(SUMIFS(N$5:N$315,$A$5:$A$315,$A165,$C$5:$C$315,$C165-1,$D$5:$D$315,$D165))-1)))</f>
        <v/>
      </c>
      <c r="Y165" s="16">
        <f>IF(OR($A165="",O165="",$C165=""),"",IF(COUNTIFS($A$5:$A$315,$A165,$C$5:$C$315,$C165-1,$D$5:$D$315,$D165,O$5:O$315,"&lt;&gt;")=0,"",IF(OR(SUMIFS(O$5:O$315,$A$5:$A$315,$A165,$C$5:$C$315,$C165-1,$D$5:$D$315,$D165)=0,O165*SUMIFS(O$5:O$315,$A$5:$A$315,$A165,$C$5:$C$315,$C165-1,$D$5:$D$315,$D165)&lt;0),"n.s.",ABS(O165)/ABS(SUMIFS(O$5:O$315,$A$5:$A$315,$A165,$C$5:$C$315,$C165-1,$D$5:$D$315,$D165))-1)))</f>
        <v/>
      </c>
    </row>
    <row r="166">
      <c r="A166" s="9" t="inlineStr">
        <is>
          <t>BOAS</t>
        </is>
      </c>
      <c r="B166" s="10">
        <f>IF(A166="","",IFERROR(VLOOKUP(A166,Titres!$A$2:$B$400,2,FALSE),"Ticker inconnu"))</f>
        <v/>
      </c>
      <c r="C166" s="11" t="n">
        <v>2026</v>
      </c>
      <c r="D166" s="11" t="inlineStr">
        <is>
          <t>T3</t>
        </is>
      </c>
      <c r="E166" s="9" t="n"/>
      <c r="F166" s="12" t="n"/>
      <c r="G166" s="9" t="n"/>
      <c r="H166" s="13" t="n"/>
      <c r="I166" s="13" t="n"/>
      <c r="J166" s="13" t="n"/>
      <c r="K166" s="13" t="n"/>
      <c r="L166" s="13" t="n"/>
      <c r="M166" s="13" t="n"/>
      <c r="N166" s="13" t="n"/>
      <c r="O166" s="13" t="n"/>
      <c r="P166" s="14">
        <f>IF(A166="","",COUNT(H166:O166)/8)</f>
        <v/>
      </c>
      <c r="Q166" s="15">
        <f>IF(COUNT(H166:O166)=0,"",IF(LEN(IF(COUNT(H166,I166,J166)=3,IF(ABS(H166+I166-J166)&lt;=MAX(1,0.02*ABS(J166)),"","RBE &lt;&gt; PNB + frais "),"")&amp;IF(COUNT(J166,K166,L166)=3,IF(ABS(J166+K166-L166)&lt;=MAX(1,0.03*ABS(L166)),"","RAI &lt;&gt; RBE + coût du risque "),"")&amp;IF(COUNT(H166,M166)=2,IF(ABS(M166)&gt;ABS(H166),"RN &gt; PNB ",""),""))=0,"OK",IF(COUNT(H166,I166,J166)=3,IF(ABS(H166+I166-J166)&lt;=MAX(1,0.02*ABS(J166)),"","RBE &lt;&gt; PNB + frais "),"")&amp;IF(COUNT(J166,K166,L166)=3,IF(ABS(J166+K166-L166)&lt;=MAX(1,0.03*ABS(L166)),"","RAI &lt;&gt; RBE + coût du risque "),"")&amp;IF(COUNT(H166,M166)=2,IF(ABS(M166)&gt;ABS(H166),"RN &gt; PNB ",""),"")))</f>
        <v/>
      </c>
      <c r="R166" s="16">
        <f>IF(OR($A166="",H166="",$C166=""),"",IF(COUNTIFS($A$5:$A$315,$A166,$C$5:$C$315,$C166-1,$D$5:$D$315,$D166,H$5:H$315,"&lt;&gt;")=0,"",IF(OR(SUMIFS(H$5:H$315,$A$5:$A$315,$A166,$C$5:$C$315,$C166-1,$D$5:$D$315,$D166)=0,H166*SUMIFS(H$5:H$315,$A$5:$A$315,$A166,$C$5:$C$315,$C166-1,$D$5:$D$315,$D166)&lt;0),"n.s.",ABS(H166)/ABS(SUMIFS(H$5:H$315,$A$5:$A$315,$A166,$C$5:$C$315,$C166-1,$D$5:$D$315,$D166))-1)))</f>
        <v/>
      </c>
      <c r="S166" s="16">
        <f>IF(OR($A166="",I166="",$C166=""),"",IF(COUNTIFS($A$5:$A$315,$A166,$C$5:$C$315,$C166-1,$D$5:$D$315,$D166,I$5:I$315,"&lt;&gt;")=0,"",IF(OR(SUMIFS(I$5:I$315,$A$5:$A$315,$A166,$C$5:$C$315,$C166-1,$D$5:$D$315,$D166)=0,I166*SUMIFS(I$5:I$315,$A$5:$A$315,$A166,$C$5:$C$315,$C166-1,$D$5:$D$315,$D166)&lt;0),"n.s.",ABS(I166)/ABS(SUMIFS(I$5:I$315,$A$5:$A$315,$A166,$C$5:$C$315,$C166-1,$D$5:$D$315,$D166))-1)))</f>
        <v/>
      </c>
      <c r="T166" s="16">
        <f>IF(OR($A166="",J166="",$C166=""),"",IF(COUNTIFS($A$5:$A$315,$A166,$C$5:$C$315,$C166-1,$D$5:$D$315,$D166,J$5:J$315,"&lt;&gt;")=0,"",IF(OR(SUMIFS(J$5:J$315,$A$5:$A$315,$A166,$C$5:$C$315,$C166-1,$D$5:$D$315,$D166)=0,J166*SUMIFS(J$5:J$315,$A$5:$A$315,$A166,$C$5:$C$315,$C166-1,$D$5:$D$315,$D166)&lt;0),"n.s.",ABS(J166)/ABS(SUMIFS(J$5:J$315,$A$5:$A$315,$A166,$C$5:$C$315,$C166-1,$D$5:$D$315,$D166))-1)))</f>
        <v/>
      </c>
      <c r="U166" s="16">
        <f>IF(OR($A166="",K166="",$C166=""),"",IF(COUNTIFS($A$5:$A$315,$A166,$C$5:$C$315,$C166-1,$D$5:$D$315,$D166,K$5:K$315,"&lt;&gt;")=0,"",IF(OR(SUMIFS(K$5:K$315,$A$5:$A$315,$A166,$C$5:$C$315,$C166-1,$D$5:$D$315,$D166)=0,K166*SUMIFS(K$5:K$315,$A$5:$A$315,$A166,$C$5:$C$315,$C166-1,$D$5:$D$315,$D166)&lt;0),"n.s.",ABS(K166)/ABS(SUMIFS(K$5:K$315,$A$5:$A$315,$A166,$C$5:$C$315,$C166-1,$D$5:$D$315,$D166))-1)))</f>
        <v/>
      </c>
      <c r="V166" s="16">
        <f>IF(OR($A166="",L166="",$C166=""),"",IF(COUNTIFS($A$5:$A$315,$A166,$C$5:$C$315,$C166-1,$D$5:$D$315,$D166,L$5:L$315,"&lt;&gt;")=0,"",IF(OR(SUMIFS(L$5:L$315,$A$5:$A$315,$A166,$C$5:$C$315,$C166-1,$D$5:$D$315,$D166)=0,L166*SUMIFS(L$5:L$315,$A$5:$A$315,$A166,$C$5:$C$315,$C166-1,$D$5:$D$315,$D166)&lt;0),"n.s.",ABS(L166)/ABS(SUMIFS(L$5:L$315,$A$5:$A$315,$A166,$C$5:$C$315,$C166-1,$D$5:$D$315,$D166))-1)))</f>
        <v/>
      </c>
      <c r="W166" s="16">
        <f>IF(OR($A166="",M166="",$C166=""),"",IF(COUNTIFS($A$5:$A$315,$A166,$C$5:$C$315,$C166-1,$D$5:$D$315,$D166,M$5:M$315,"&lt;&gt;")=0,"",IF(OR(SUMIFS(M$5:M$315,$A$5:$A$315,$A166,$C$5:$C$315,$C166-1,$D$5:$D$315,$D166)=0,M166*SUMIFS(M$5:M$315,$A$5:$A$315,$A166,$C$5:$C$315,$C166-1,$D$5:$D$315,$D166)&lt;0),"n.s.",ABS(M166)/ABS(SUMIFS(M$5:M$315,$A$5:$A$315,$A166,$C$5:$C$315,$C166-1,$D$5:$D$315,$D166))-1)))</f>
        <v/>
      </c>
      <c r="X166" s="16">
        <f>IF(OR($A166="",N166="",$C166=""),"",IF(COUNTIFS($A$5:$A$315,$A166,$C$5:$C$315,$C166-1,$D$5:$D$315,$D166,N$5:N$315,"&lt;&gt;")=0,"",IF(OR(SUMIFS(N$5:N$315,$A$5:$A$315,$A166,$C$5:$C$315,$C166-1,$D$5:$D$315,$D166)=0,N166*SUMIFS(N$5:N$315,$A$5:$A$315,$A166,$C$5:$C$315,$C166-1,$D$5:$D$315,$D166)&lt;0),"n.s.",ABS(N166)/ABS(SUMIFS(N$5:N$315,$A$5:$A$315,$A166,$C$5:$C$315,$C166-1,$D$5:$D$315,$D166))-1)))</f>
        <v/>
      </c>
      <c r="Y166" s="16">
        <f>IF(OR($A166="",O166="",$C166=""),"",IF(COUNTIFS($A$5:$A$315,$A166,$C$5:$C$315,$C166-1,$D$5:$D$315,$D166,O$5:O$315,"&lt;&gt;")=0,"",IF(OR(SUMIFS(O$5:O$315,$A$5:$A$315,$A166,$C$5:$C$315,$C166-1,$D$5:$D$315,$D166)=0,O166*SUMIFS(O$5:O$315,$A$5:$A$315,$A166,$C$5:$C$315,$C166-1,$D$5:$D$315,$D166)&lt;0),"n.s.",ABS(O166)/ABS(SUMIFS(O$5:O$315,$A$5:$A$315,$A166,$C$5:$C$315,$C166-1,$D$5:$D$315,$D166))-1)))</f>
        <v/>
      </c>
    </row>
    <row r="167">
      <c r="A167" s="9" t="inlineStr">
        <is>
          <t>CBIBF</t>
        </is>
      </c>
      <c r="B167" s="10">
        <f>IF(A167="","",IFERROR(VLOOKUP(A167,Titres!$A$2:$B$400,2,FALSE),"Ticker inconnu"))</f>
        <v/>
      </c>
      <c r="C167" s="11" t="n">
        <v>2021</v>
      </c>
      <c r="D167" s="11" t="inlineStr">
        <is>
          <t>T1</t>
        </is>
      </c>
      <c r="E167" s="9" t="n"/>
      <c r="F167" s="12" t="n"/>
      <c r="G167" s="9" t="n"/>
      <c r="H167" s="13" t="n"/>
      <c r="I167" s="13" t="n"/>
      <c r="J167" s="13" t="n"/>
      <c r="K167" s="13" t="n"/>
      <c r="L167" s="13" t="n"/>
      <c r="M167" s="13" t="n"/>
      <c r="N167" s="13" t="n"/>
      <c r="O167" s="13" t="n"/>
      <c r="P167" s="14">
        <f>IF(A167="","",COUNT(H167:O167)/8)</f>
        <v/>
      </c>
      <c r="Q167" s="15">
        <f>IF(COUNT(H167:O167)=0,"",IF(LEN(IF(COUNT(H167,I167,J167)=3,IF(ABS(H167+I167-J167)&lt;=MAX(1,0.02*ABS(J167)),"","RBE &lt;&gt; PNB + frais "),"")&amp;IF(COUNT(J167,K167,L167)=3,IF(ABS(J167+K167-L167)&lt;=MAX(1,0.03*ABS(L167)),"","RAI &lt;&gt; RBE + coût du risque "),"")&amp;IF(COUNT(H167,M167)=2,IF(ABS(M167)&gt;ABS(H167),"RN &gt; PNB ",""),""))=0,"OK",IF(COUNT(H167,I167,J167)=3,IF(ABS(H167+I167-J167)&lt;=MAX(1,0.02*ABS(J167)),"","RBE &lt;&gt; PNB + frais "),"")&amp;IF(COUNT(J167,K167,L167)=3,IF(ABS(J167+K167-L167)&lt;=MAX(1,0.03*ABS(L167)),"","RAI &lt;&gt; RBE + coût du risque "),"")&amp;IF(COUNT(H167,M167)=2,IF(ABS(M167)&gt;ABS(H167),"RN &gt; PNB ",""),"")))</f>
        <v/>
      </c>
      <c r="R167" s="16">
        <f>IF(OR($A167="",H167="",$C167=""),"",IF(COUNTIFS($A$5:$A$315,$A167,$C$5:$C$315,$C167-1,$D$5:$D$315,$D167,H$5:H$315,"&lt;&gt;")=0,"",IF(OR(SUMIFS(H$5:H$315,$A$5:$A$315,$A167,$C$5:$C$315,$C167-1,$D$5:$D$315,$D167)=0,H167*SUMIFS(H$5:H$315,$A$5:$A$315,$A167,$C$5:$C$315,$C167-1,$D$5:$D$315,$D167)&lt;0),"n.s.",ABS(H167)/ABS(SUMIFS(H$5:H$315,$A$5:$A$315,$A167,$C$5:$C$315,$C167-1,$D$5:$D$315,$D167))-1)))</f>
        <v/>
      </c>
      <c r="S167" s="16">
        <f>IF(OR($A167="",I167="",$C167=""),"",IF(COUNTIFS($A$5:$A$315,$A167,$C$5:$C$315,$C167-1,$D$5:$D$315,$D167,I$5:I$315,"&lt;&gt;")=0,"",IF(OR(SUMIFS(I$5:I$315,$A$5:$A$315,$A167,$C$5:$C$315,$C167-1,$D$5:$D$315,$D167)=0,I167*SUMIFS(I$5:I$315,$A$5:$A$315,$A167,$C$5:$C$315,$C167-1,$D$5:$D$315,$D167)&lt;0),"n.s.",ABS(I167)/ABS(SUMIFS(I$5:I$315,$A$5:$A$315,$A167,$C$5:$C$315,$C167-1,$D$5:$D$315,$D167))-1)))</f>
        <v/>
      </c>
      <c r="T167" s="16">
        <f>IF(OR($A167="",J167="",$C167=""),"",IF(COUNTIFS($A$5:$A$315,$A167,$C$5:$C$315,$C167-1,$D$5:$D$315,$D167,J$5:J$315,"&lt;&gt;")=0,"",IF(OR(SUMIFS(J$5:J$315,$A$5:$A$315,$A167,$C$5:$C$315,$C167-1,$D$5:$D$315,$D167)=0,J167*SUMIFS(J$5:J$315,$A$5:$A$315,$A167,$C$5:$C$315,$C167-1,$D$5:$D$315,$D167)&lt;0),"n.s.",ABS(J167)/ABS(SUMIFS(J$5:J$315,$A$5:$A$315,$A167,$C$5:$C$315,$C167-1,$D$5:$D$315,$D167))-1)))</f>
        <v/>
      </c>
      <c r="U167" s="16">
        <f>IF(OR($A167="",K167="",$C167=""),"",IF(COUNTIFS($A$5:$A$315,$A167,$C$5:$C$315,$C167-1,$D$5:$D$315,$D167,K$5:K$315,"&lt;&gt;")=0,"",IF(OR(SUMIFS(K$5:K$315,$A$5:$A$315,$A167,$C$5:$C$315,$C167-1,$D$5:$D$315,$D167)=0,K167*SUMIFS(K$5:K$315,$A$5:$A$315,$A167,$C$5:$C$315,$C167-1,$D$5:$D$315,$D167)&lt;0),"n.s.",ABS(K167)/ABS(SUMIFS(K$5:K$315,$A$5:$A$315,$A167,$C$5:$C$315,$C167-1,$D$5:$D$315,$D167))-1)))</f>
        <v/>
      </c>
      <c r="V167" s="16">
        <f>IF(OR($A167="",L167="",$C167=""),"",IF(COUNTIFS($A$5:$A$315,$A167,$C$5:$C$315,$C167-1,$D$5:$D$315,$D167,L$5:L$315,"&lt;&gt;")=0,"",IF(OR(SUMIFS(L$5:L$315,$A$5:$A$315,$A167,$C$5:$C$315,$C167-1,$D$5:$D$315,$D167)=0,L167*SUMIFS(L$5:L$315,$A$5:$A$315,$A167,$C$5:$C$315,$C167-1,$D$5:$D$315,$D167)&lt;0),"n.s.",ABS(L167)/ABS(SUMIFS(L$5:L$315,$A$5:$A$315,$A167,$C$5:$C$315,$C167-1,$D$5:$D$315,$D167))-1)))</f>
        <v/>
      </c>
      <c r="W167" s="16">
        <f>IF(OR($A167="",M167="",$C167=""),"",IF(COUNTIFS($A$5:$A$315,$A167,$C$5:$C$315,$C167-1,$D$5:$D$315,$D167,M$5:M$315,"&lt;&gt;")=0,"",IF(OR(SUMIFS(M$5:M$315,$A$5:$A$315,$A167,$C$5:$C$315,$C167-1,$D$5:$D$315,$D167)=0,M167*SUMIFS(M$5:M$315,$A$5:$A$315,$A167,$C$5:$C$315,$C167-1,$D$5:$D$315,$D167)&lt;0),"n.s.",ABS(M167)/ABS(SUMIFS(M$5:M$315,$A$5:$A$315,$A167,$C$5:$C$315,$C167-1,$D$5:$D$315,$D167))-1)))</f>
        <v/>
      </c>
      <c r="X167" s="16">
        <f>IF(OR($A167="",N167="",$C167=""),"",IF(COUNTIFS($A$5:$A$315,$A167,$C$5:$C$315,$C167-1,$D$5:$D$315,$D167,N$5:N$315,"&lt;&gt;")=0,"",IF(OR(SUMIFS(N$5:N$315,$A$5:$A$315,$A167,$C$5:$C$315,$C167-1,$D$5:$D$315,$D167)=0,N167*SUMIFS(N$5:N$315,$A$5:$A$315,$A167,$C$5:$C$315,$C167-1,$D$5:$D$315,$D167)&lt;0),"n.s.",ABS(N167)/ABS(SUMIFS(N$5:N$315,$A$5:$A$315,$A167,$C$5:$C$315,$C167-1,$D$5:$D$315,$D167))-1)))</f>
        <v/>
      </c>
      <c r="Y167" s="16">
        <f>IF(OR($A167="",O167="",$C167=""),"",IF(COUNTIFS($A$5:$A$315,$A167,$C$5:$C$315,$C167-1,$D$5:$D$315,$D167,O$5:O$315,"&lt;&gt;")=0,"",IF(OR(SUMIFS(O$5:O$315,$A$5:$A$315,$A167,$C$5:$C$315,$C167-1,$D$5:$D$315,$D167)=0,O167*SUMIFS(O$5:O$315,$A$5:$A$315,$A167,$C$5:$C$315,$C167-1,$D$5:$D$315,$D167)&lt;0),"n.s.",ABS(O167)/ABS(SUMIFS(O$5:O$315,$A$5:$A$315,$A167,$C$5:$C$315,$C167-1,$D$5:$D$315,$D167))-1)))</f>
        <v/>
      </c>
    </row>
    <row r="168">
      <c r="A168" s="9" t="inlineStr">
        <is>
          <t>CBIBF</t>
        </is>
      </c>
      <c r="B168" s="10">
        <f>IF(A168="","",IFERROR(VLOOKUP(A168,Titres!$A$2:$B$400,2,FALSE),"Ticker inconnu"))</f>
        <v/>
      </c>
      <c r="C168" s="11" t="n">
        <v>2021</v>
      </c>
      <c r="D168" s="11" t="inlineStr">
        <is>
          <t>S1</t>
        </is>
      </c>
      <c r="E168" s="9" t="n"/>
      <c r="F168" s="12" t="n"/>
      <c r="G168" s="9" t="n"/>
      <c r="H168" s="13" t="n"/>
      <c r="I168" s="13" t="n"/>
      <c r="J168" s="13" t="n"/>
      <c r="K168" s="13" t="n"/>
      <c r="L168" s="13" t="n"/>
      <c r="M168" s="13" t="n"/>
      <c r="N168" s="13" t="n"/>
      <c r="O168" s="13" t="n"/>
      <c r="P168" s="14">
        <f>IF(A168="","",COUNT(H168:O168)/8)</f>
        <v/>
      </c>
      <c r="Q168" s="15">
        <f>IF(COUNT(H168:O168)=0,"",IF(LEN(IF(COUNT(H168,I168,J168)=3,IF(ABS(H168+I168-J168)&lt;=MAX(1,0.02*ABS(J168)),"","RBE &lt;&gt; PNB + frais "),"")&amp;IF(COUNT(J168,K168,L168)=3,IF(ABS(J168+K168-L168)&lt;=MAX(1,0.03*ABS(L168)),"","RAI &lt;&gt; RBE + coût du risque "),"")&amp;IF(COUNT(H168,M168)=2,IF(ABS(M168)&gt;ABS(H168),"RN &gt; PNB ",""),""))=0,"OK",IF(COUNT(H168,I168,J168)=3,IF(ABS(H168+I168-J168)&lt;=MAX(1,0.02*ABS(J168)),"","RBE &lt;&gt; PNB + frais "),"")&amp;IF(COUNT(J168,K168,L168)=3,IF(ABS(J168+K168-L168)&lt;=MAX(1,0.03*ABS(L168)),"","RAI &lt;&gt; RBE + coût du risque "),"")&amp;IF(COUNT(H168,M168)=2,IF(ABS(M168)&gt;ABS(H168),"RN &gt; PNB ",""),"")))</f>
        <v/>
      </c>
      <c r="R168" s="16">
        <f>IF(OR($A168="",H168="",$C168=""),"",IF(COUNTIFS($A$5:$A$315,$A168,$C$5:$C$315,$C168-1,$D$5:$D$315,$D168,H$5:H$315,"&lt;&gt;")=0,"",IF(OR(SUMIFS(H$5:H$315,$A$5:$A$315,$A168,$C$5:$C$315,$C168-1,$D$5:$D$315,$D168)=0,H168*SUMIFS(H$5:H$315,$A$5:$A$315,$A168,$C$5:$C$315,$C168-1,$D$5:$D$315,$D168)&lt;0),"n.s.",ABS(H168)/ABS(SUMIFS(H$5:H$315,$A$5:$A$315,$A168,$C$5:$C$315,$C168-1,$D$5:$D$315,$D168))-1)))</f>
        <v/>
      </c>
      <c r="S168" s="16">
        <f>IF(OR($A168="",I168="",$C168=""),"",IF(COUNTIFS($A$5:$A$315,$A168,$C$5:$C$315,$C168-1,$D$5:$D$315,$D168,I$5:I$315,"&lt;&gt;")=0,"",IF(OR(SUMIFS(I$5:I$315,$A$5:$A$315,$A168,$C$5:$C$315,$C168-1,$D$5:$D$315,$D168)=0,I168*SUMIFS(I$5:I$315,$A$5:$A$315,$A168,$C$5:$C$315,$C168-1,$D$5:$D$315,$D168)&lt;0),"n.s.",ABS(I168)/ABS(SUMIFS(I$5:I$315,$A$5:$A$315,$A168,$C$5:$C$315,$C168-1,$D$5:$D$315,$D168))-1)))</f>
        <v/>
      </c>
      <c r="T168" s="16">
        <f>IF(OR($A168="",J168="",$C168=""),"",IF(COUNTIFS($A$5:$A$315,$A168,$C$5:$C$315,$C168-1,$D$5:$D$315,$D168,J$5:J$315,"&lt;&gt;")=0,"",IF(OR(SUMIFS(J$5:J$315,$A$5:$A$315,$A168,$C$5:$C$315,$C168-1,$D$5:$D$315,$D168)=0,J168*SUMIFS(J$5:J$315,$A$5:$A$315,$A168,$C$5:$C$315,$C168-1,$D$5:$D$315,$D168)&lt;0),"n.s.",ABS(J168)/ABS(SUMIFS(J$5:J$315,$A$5:$A$315,$A168,$C$5:$C$315,$C168-1,$D$5:$D$315,$D168))-1)))</f>
        <v/>
      </c>
      <c r="U168" s="16">
        <f>IF(OR($A168="",K168="",$C168=""),"",IF(COUNTIFS($A$5:$A$315,$A168,$C$5:$C$315,$C168-1,$D$5:$D$315,$D168,K$5:K$315,"&lt;&gt;")=0,"",IF(OR(SUMIFS(K$5:K$315,$A$5:$A$315,$A168,$C$5:$C$315,$C168-1,$D$5:$D$315,$D168)=0,K168*SUMIFS(K$5:K$315,$A$5:$A$315,$A168,$C$5:$C$315,$C168-1,$D$5:$D$315,$D168)&lt;0),"n.s.",ABS(K168)/ABS(SUMIFS(K$5:K$315,$A$5:$A$315,$A168,$C$5:$C$315,$C168-1,$D$5:$D$315,$D168))-1)))</f>
        <v/>
      </c>
      <c r="V168" s="16">
        <f>IF(OR($A168="",L168="",$C168=""),"",IF(COUNTIFS($A$5:$A$315,$A168,$C$5:$C$315,$C168-1,$D$5:$D$315,$D168,L$5:L$315,"&lt;&gt;")=0,"",IF(OR(SUMIFS(L$5:L$315,$A$5:$A$315,$A168,$C$5:$C$315,$C168-1,$D$5:$D$315,$D168)=0,L168*SUMIFS(L$5:L$315,$A$5:$A$315,$A168,$C$5:$C$315,$C168-1,$D$5:$D$315,$D168)&lt;0),"n.s.",ABS(L168)/ABS(SUMIFS(L$5:L$315,$A$5:$A$315,$A168,$C$5:$C$315,$C168-1,$D$5:$D$315,$D168))-1)))</f>
        <v/>
      </c>
      <c r="W168" s="16">
        <f>IF(OR($A168="",M168="",$C168=""),"",IF(COUNTIFS($A$5:$A$315,$A168,$C$5:$C$315,$C168-1,$D$5:$D$315,$D168,M$5:M$315,"&lt;&gt;")=0,"",IF(OR(SUMIFS(M$5:M$315,$A$5:$A$315,$A168,$C$5:$C$315,$C168-1,$D$5:$D$315,$D168)=0,M168*SUMIFS(M$5:M$315,$A$5:$A$315,$A168,$C$5:$C$315,$C168-1,$D$5:$D$315,$D168)&lt;0),"n.s.",ABS(M168)/ABS(SUMIFS(M$5:M$315,$A$5:$A$315,$A168,$C$5:$C$315,$C168-1,$D$5:$D$315,$D168))-1)))</f>
        <v/>
      </c>
      <c r="X168" s="16">
        <f>IF(OR($A168="",N168="",$C168=""),"",IF(COUNTIFS($A$5:$A$315,$A168,$C$5:$C$315,$C168-1,$D$5:$D$315,$D168,N$5:N$315,"&lt;&gt;")=0,"",IF(OR(SUMIFS(N$5:N$315,$A$5:$A$315,$A168,$C$5:$C$315,$C168-1,$D$5:$D$315,$D168)=0,N168*SUMIFS(N$5:N$315,$A$5:$A$315,$A168,$C$5:$C$315,$C168-1,$D$5:$D$315,$D168)&lt;0),"n.s.",ABS(N168)/ABS(SUMIFS(N$5:N$315,$A$5:$A$315,$A168,$C$5:$C$315,$C168-1,$D$5:$D$315,$D168))-1)))</f>
        <v/>
      </c>
      <c r="Y168" s="16">
        <f>IF(OR($A168="",O168="",$C168=""),"",IF(COUNTIFS($A$5:$A$315,$A168,$C$5:$C$315,$C168-1,$D$5:$D$315,$D168,O$5:O$315,"&lt;&gt;")=0,"",IF(OR(SUMIFS(O$5:O$315,$A$5:$A$315,$A168,$C$5:$C$315,$C168-1,$D$5:$D$315,$D168)=0,O168*SUMIFS(O$5:O$315,$A$5:$A$315,$A168,$C$5:$C$315,$C168-1,$D$5:$D$315,$D168)&lt;0),"n.s.",ABS(O168)/ABS(SUMIFS(O$5:O$315,$A$5:$A$315,$A168,$C$5:$C$315,$C168-1,$D$5:$D$315,$D168))-1)))</f>
        <v/>
      </c>
    </row>
    <row r="169">
      <c r="A169" s="9" t="inlineStr">
        <is>
          <t>CBIBF</t>
        </is>
      </c>
      <c r="B169" s="10">
        <f>IF(A169="","",IFERROR(VLOOKUP(A169,Titres!$A$2:$B$400,2,FALSE),"Ticker inconnu"))</f>
        <v/>
      </c>
      <c r="C169" s="11" t="n">
        <v>2021</v>
      </c>
      <c r="D169" s="11" t="inlineStr">
        <is>
          <t>T3</t>
        </is>
      </c>
      <c r="E169" s="9" t="n"/>
      <c r="F169" s="12" t="n"/>
      <c r="G169" s="9" t="n"/>
      <c r="H169" s="13" t="n"/>
      <c r="I169" s="13" t="n"/>
      <c r="J169" s="13" t="n"/>
      <c r="K169" s="13" t="n"/>
      <c r="L169" s="13" t="n"/>
      <c r="M169" s="13" t="n"/>
      <c r="N169" s="13" t="n"/>
      <c r="O169" s="13" t="n"/>
      <c r="P169" s="14">
        <f>IF(A169="","",COUNT(H169:O169)/8)</f>
        <v/>
      </c>
      <c r="Q169" s="15">
        <f>IF(COUNT(H169:O169)=0,"",IF(LEN(IF(COUNT(H169,I169,J169)=3,IF(ABS(H169+I169-J169)&lt;=MAX(1,0.02*ABS(J169)),"","RBE &lt;&gt; PNB + frais "),"")&amp;IF(COUNT(J169,K169,L169)=3,IF(ABS(J169+K169-L169)&lt;=MAX(1,0.03*ABS(L169)),"","RAI &lt;&gt; RBE + coût du risque "),"")&amp;IF(COUNT(H169,M169)=2,IF(ABS(M169)&gt;ABS(H169),"RN &gt; PNB ",""),""))=0,"OK",IF(COUNT(H169,I169,J169)=3,IF(ABS(H169+I169-J169)&lt;=MAX(1,0.02*ABS(J169)),"","RBE &lt;&gt; PNB + frais "),"")&amp;IF(COUNT(J169,K169,L169)=3,IF(ABS(J169+K169-L169)&lt;=MAX(1,0.03*ABS(L169)),"","RAI &lt;&gt; RBE + coût du risque "),"")&amp;IF(COUNT(H169,M169)=2,IF(ABS(M169)&gt;ABS(H169),"RN &gt; PNB ",""),"")))</f>
        <v/>
      </c>
      <c r="R169" s="16">
        <f>IF(OR($A169="",H169="",$C169=""),"",IF(COUNTIFS($A$5:$A$315,$A169,$C$5:$C$315,$C169-1,$D$5:$D$315,$D169,H$5:H$315,"&lt;&gt;")=0,"",IF(OR(SUMIFS(H$5:H$315,$A$5:$A$315,$A169,$C$5:$C$315,$C169-1,$D$5:$D$315,$D169)=0,H169*SUMIFS(H$5:H$315,$A$5:$A$315,$A169,$C$5:$C$315,$C169-1,$D$5:$D$315,$D169)&lt;0),"n.s.",ABS(H169)/ABS(SUMIFS(H$5:H$315,$A$5:$A$315,$A169,$C$5:$C$315,$C169-1,$D$5:$D$315,$D169))-1)))</f>
        <v/>
      </c>
      <c r="S169" s="16">
        <f>IF(OR($A169="",I169="",$C169=""),"",IF(COUNTIFS($A$5:$A$315,$A169,$C$5:$C$315,$C169-1,$D$5:$D$315,$D169,I$5:I$315,"&lt;&gt;")=0,"",IF(OR(SUMIFS(I$5:I$315,$A$5:$A$315,$A169,$C$5:$C$315,$C169-1,$D$5:$D$315,$D169)=0,I169*SUMIFS(I$5:I$315,$A$5:$A$315,$A169,$C$5:$C$315,$C169-1,$D$5:$D$315,$D169)&lt;0),"n.s.",ABS(I169)/ABS(SUMIFS(I$5:I$315,$A$5:$A$315,$A169,$C$5:$C$315,$C169-1,$D$5:$D$315,$D169))-1)))</f>
        <v/>
      </c>
      <c r="T169" s="16">
        <f>IF(OR($A169="",J169="",$C169=""),"",IF(COUNTIFS($A$5:$A$315,$A169,$C$5:$C$315,$C169-1,$D$5:$D$315,$D169,J$5:J$315,"&lt;&gt;")=0,"",IF(OR(SUMIFS(J$5:J$315,$A$5:$A$315,$A169,$C$5:$C$315,$C169-1,$D$5:$D$315,$D169)=0,J169*SUMIFS(J$5:J$315,$A$5:$A$315,$A169,$C$5:$C$315,$C169-1,$D$5:$D$315,$D169)&lt;0),"n.s.",ABS(J169)/ABS(SUMIFS(J$5:J$315,$A$5:$A$315,$A169,$C$5:$C$315,$C169-1,$D$5:$D$315,$D169))-1)))</f>
        <v/>
      </c>
      <c r="U169" s="16">
        <f>IF(OR($A169="",K169="",$C169=""),"",IF(COUNTIFS($A$5:$A$315,$A169,$C$5:$C$315,$C169-1,$D$5:$D$315,$D169,K$5:K$315,"&lt;&gt;")=0,"",IF(OR(SUMIFS(K$5:K$315,$A$5:$A$315,$A169,$C$5:$C$315,$C169-1,$D$5:$D$315,$D169)=0,K169*SUMIFS(K$5:K$315,$A$5:$A$315,$A169,$C$5:$C$315,$C169-1,$D$5:$D$315,$D169)&lt;0),"n.s.",ABS(K169)/ABS(SUMIFS(K$5:K$315,$A$5:$A$315,$A169,$C$5:$C$315,$C169-1,$D$5:$D$315,$D169))-1)))</f>
        <v/>
      </c>
      <c r="V169" s="16">
        <f>IF(OR($A169="",L169="",$C169=""),"",IF(COUNTIFS($A$5:$A$315,$A169,$C$5:$C$315,$C169-1,$D$5:$D$315,$D169,L$5:L$315,"&lt;&gt;")=0,"",IF(OR(SUMIFS(L$5:L$315,$A$5:$A$315,$A169,$C$5:$C$315,$C169-1,$D$5:$D$315,$D169)=0,L169*SUMIFS(L$5:L$315,$A$5:$A$315,$A169,$C$5:$C$315,$C169-1,$D$5:$D$315,$D169)&lt;0),"n.s.",ABS(L169)/ABS(SUMIFS(L$5:L$315,$A$5:$A$315,$A169,$C$5:$C$315,$C169-1,$D$5:$D$315,$D169))-1)))</f>
        <v/>
      </c>
      <c r="W169" s="16">
        <f>IF(OR($A169="",M169="",$C169=""),"",IF(COUNTIFS($A$5:$A$315,$A169,$C$5:$C$315,$C169-1,$D$5:$D$315,$D169,M$5:M$315,"&lt;&gt;")=0,"",IF(OR(SUMIFS(M$5:M$315,$A$5:$A$315,$A169,$C$5:$C$315,$C169-1,$D$5:$D$315,$D169)=0,M169*SUMIFS(M$5:M$315,$A$5:$A$315,$A169,$C$5:$C$315,$C169-1,$D$5:$D$315,$D169)&lt;0),"n.s.",ABS(M169)/ABS(SUMIFS(M$5:M$315,$A$5:$A$315,$A169,$C$5:$C$315,$C169-1,$D$5:$D$315,$D169))-1)))</f>
        <v/>
      </c>
      <c r="X169" s="16">
        <f>IF(OR($A169="",N169="",$C169=""),"",IF(COUNTIFS($A$5:$A$315,$A169,$C$5:$C$315,$C169-1,$D$5:$D$315,$D169,N$5:N$315,"&lt;&gt;")=0,"",IF(OR(SUMIFS(N$5:N$315,$A$5:$A$315,$A169,$C$5:$C$315,$C169-1,$D$5:$D$315,$D169)=0,N169*SUMIFS(N$5:N$315,$A$5:$A$315,$A169,$C$5:$C$315,$C169-1,$D$5:$D$315,$D169)&lt;0),"n.s.",ABS(N169)/ABS(SUMIFS(N$5:N$315,$A$5:$A$315,$A169,$C$5:$C$315,$C169-1,$D$5:$D$315,$D169))-1)))</f>
        <v/>
      </c>
      <c r="Y169" s="16">
        <f>IF(OR($A169="",O169="",$C169=""),"",IF(COUNTIFS($A$5:$A$315,$A169,$C$5:$C$315,$C169-1,$D$5:$D$315,$D169,O$5:O$315,"&lt;&gt;")=0,"",IF(OR(SUMIFS(O$5:O$315,$A$5:$A$315,$A169,$C$5:$C$315,$C169-1,$D$5:$D$315,$D169)=0,O169*SUMIFS(O$5:O$315,$A$5:$A$315,$A169,$C$5:$C$315,$C169-1,$D$5:$D$315,$D169)&lt;0),"n.s.",ABS(O169)/ABS(SUMIFS(O$5:O$315,$A$5:$A$315,$A169,$C$5:$C$315,$C169-1,$D$5:$D$315,$D169))-1)))</f>
        <v/>
      </c>
    </row>
    <row r="170">
      <c r="A170" s="9" t="inlineStr">
        <is>
          <t>CBIBF</t>
        </is>
      </c>
      <c r="B170" s="10">
        <f>IF(A170="","",IFERROR(VLOOKUP(A170,Titres!$A$2:$B$400,2,FALSE),"Ticker inconnu"))</f>
        <v/>
      </c>
      <c r="C170" s="11" t="n">
        <v>2022</v>
      </c>
      <c r="D170" s="11" t="inlineStr">
        <is>
          <t>T1</t>
        </is>
      </c>
      <c r="E170" s="9" t="n"/>
      <c r="F170" s="12" t="n"/>
      <c r="G170" s="9" t="n"/>
      <c r="H170" s="13" t="n"/>
      <c r="I170" s="13" t="n"/>
      <c r="J170" s="13" t="n"/>
      <c r="K170" s="13" t="n"/>
      <c r="L170" s="13" t="n"/>
      <c r="M170" s="13" t="n"/>
      <c r="N170" s="13" t="n"/>
      <c r="O170" s="13" t="n"/>
      <c r="P170" s="14">
        <f>IF(A170="","",COUNT(H170:O170)/8)</f>
        <v/>
      </c>
      <c r="Q170" s="15">
        <f>IF(COUNT(H170:O170)=0,"",IF(LEN(IF(COUNT(H170,I170,J170)=3,IF(ABS(H170+I170-J170)&lt;=MAX(1,0.02*ABS(J170)),"","RBE &lt;&gt; PNB + frais "),"")&amp;IF(COUNT(J170,K170,L170)=3,IF(ABS(J170+K170-L170)&lt;=MAX(1,0.03*ABS(L170)),"","RAI &lt;&gt; RBE + coût du risque "),"")&amp;IF(COUNT(H170,M170)=2,IF(ABS(M170)&gt;ABS(H170),"RN &gt; PNB ",""),""))=0,"OK",IF(COUNT(H170,I170,J170)=3,IF(ABS(H170+I170-J170)&lt;=MAX(1,0.02*ABS(J170)),"","RBE &lt;&gt; PNB + frais "),"")&amp;IF(COUNT(J170,K170,L170)=3,IF(ABS(J170+K170-L170)&lt;=MAX(1,0.03*ABS(L170)),"","RAI &lt;&gt; RBE + coût du risque "),"")&amp;IF(COUNT(H170,M170)=2,IF(ABS(M170)&gt;ABS(H170),"RN &gt; PNB ",""),"")))</f>
        <v/>
      </c>
      <c r="R170" s="16">
        <f>IF(OR($A170="",H170="",$C170=""),"",IF(COUNTIFS($A$5:$A$315,$A170,$C$5:$C$315,$C170-1,$D$5:$D$315,$D170,H$5:H$315,"&lt;&gt;")=0,"",IF(OR(SUMIFS(H$5:H$315,$A$5:$A$315,$A170,$C$5:$C$315,$C170-1,$D$5:$D$315,$D170)=0,H170*SUMIFS(H$5:H$315,$A$5:$A$315,$A170,$C$5:$C$315,$C170-1,$D$5:$D$315,$D170)&lt;0),"n.s.",ABS(H170)/ABS(SUMIFS(H$5:H$315,$A$5:$A$315,$A170,$C$5:$C$315,$C170-1,$D$5:$D$315,$D170))-1)))</f>
        <v/>
      </c>
      <c r="S170" s="16">
        <f>IF(OR($A170="",I170="",$C170=""),"",IF(COUNTIFS($A$5:$A$315,$A170,$C$5:$C$315,$C170-1,$D$5:$D$315,$D170,I$5:I$315,"&lt;&gt;")=0,"",IF(OR(SUMIFS(I$5:I$315,$A$5:$A$315,$A170,$C$5:$C$315,$C170-1,$D$5:$D$315,$D170)=0,I170*SUMIFS(I$5:I$315,$A$5:$A$315,$A170,$C$5:$C$315,$C170-1,$D$5:$D$315,$D170)&lt;0),"n.s.",ABS(I170)/ABS(SUMIFS(I$5:I$315,$A$5:$A$315,$A170,$C$5:$C$315,$C170-1,$D$5:$D$315,$D170))-1)))</f>
        <v/>
      </c>
      <c r="T170" s="16">
        <f>IF(OR($A170="",J170="",$C170=""),"",IF(COUNTIFS($A$5:$A$315,$A170,$C$5:$C$315,$C170-1,$D$5:$D$315,$D170,J$5:J$315,"&lt;&gt;")=0,"",IF(OR(SUMIFS(J$5:J$315,$A$5:$A$315,$A170,$C$5:$C$315,$C170-1,$D$5:$D$315,$D170)=0,J170*SUMIFS(J$5:J$315,$A$5:$A$315,$A170,$C$5:$C$315,$C170-1,$D$5:$D$315,$D170)&lt;0),"n.s.",ABS(J170)/ABS(SUMIFS(J$5:J$315,$A$5:$A$315,$A170,$C$5:$C$315,$C170-1,$D$5:$D$315,$D170))-1)))</f>
        <v/>
      </c>
      <c r="U170" s="16">
        <f>IF(OR($A170="",K170="",$C170=""),"",IF(COUNTIFS($A$5:$A$315,$A170,$C$5:$C$315,$C170-1,$D$5:$D$315,$D170,K$5:K$315,"&lt;&gt;")=0,"",IF(OR(SUMIFS(K$5:K$315,$A$5:$A$315,$A170,$C$5:$C$315,$C170-1,$D$5:$D$315,$D170)=0,K170*SUMIFS(K$5:K$315,$A$5:$A$315,$A170,$C$5:$C$315,$C170-1,$D$5:$D$315,$D170)&lt;0),"n.s.",ABS(K170)/ABS(SUMIFS(K$5:K$315,$A$5:$A$315,$A170,$C$5:$C$315,$C170-1,$D$5:$D$315,$D170))-1)))</f>
        <v/>
      </c>
      <c r="V170" s="16">
        <f>IF(OR($A170="",L170="",$C170=""),"",IF(COUNTIFS($A$5:$A$315,$A170,$C$5:$C$315,$C170-1,$D$5:$D$315,$D170,L$5:L$315,"&lt;&gt;")=0,"",IF(OR(SUMIFS(L$5:L$315,$A$5:$A$315,$A170,$C$5:$C$315,$C170-1,$D$5:$D$315,$D170)=0,L170*SUMIFS(L$5:L$315,$A$5:$A$315,$A170,$C$5:$C$315,$C170-1,$D$5:$D$315,$D170)&lt;0),"n.s.",ABS(L170)/ABS(SUMIFS(L$5:L$315,$A$5:$A$315,$A170,$C$5:$C$315,$C170-1,$D$5:$D$315,$D170))-1)))</f>
        <v/>
      </c>
      <c r="W170" s="16">
        <f>IF(OR($A170="",M170="",$C170=""),"",IF(COUNTIFS($A$5:$A$315,$A170,$C$5:$C$315,$C170-1,$D$5:$D$315,$D170,M$5:M$315,"&lt;&gt;")=0,"",IF(OR(SUMIFS(M$5:M$315,$A$5:$A$315,$A170,$C$5:$C$315,$C170-1,$D$5:$D$315,$D170)=0,M170*SUMIFS(M$5:M$315,$A$5:$A$315,$A170,$C$5:$C$315,$C170-1,$D$5:$D$315,$D170)&lt;0),"n.s.",ABS(M170)/ABS(SUMIFS(M$5:M$315,$A$5:$A$315,$A170,$C$5:$C$315,$C170-1,$D$5:$D$315,$D170))-1)))</f>
        <v/>
      </c>
      <c r="X170" s="16">
        <f>IF(OR($A170="",N170="",$C170=""),"",IF(COUNTIFS($A$5:$A$315,$A170,$C$5:$C$315,$C170-1,$D$5:$D$315,$D170,N$5:N$315,"&lt;&gt;")=0,"",IF(OR(SUMIFS(N$5:N$315,$A$5:$A$315,$A170,$C$5:$C$315,$C170-1,$D$5:$D$315,$D170)=0,N170*SUMIFS(N$5:N$315,$A$5:$A$315,$A170,$C$5:$C$315,$C170-1,$D$5:$D$315,$D170)&lt;0),"n.s.",ABS(N170)/ABS(SUMIFS(N$5:N$315,$A$5:$A$315,$A170,$C$5:$C$315,$C170-1,$D$5:$D$315,$D170))-1)))</f>
        <v/>
      </c>
      <c r="Y170" s="16">
        <f>IF(OR($A170="",O170="",$C170=""),"",IF(COUNTIFS($A$5:$A$315,$A170,$C$5:$C$315,$C170-1,$D$5:$D$315,$D170,O$5:O$315,"&lt;&gt;")=0,"",IF(OR(SUMIFS(O$5:O$315,$A$5:$A$315,$A170,$C$5:$C$315,$C170-1,$D$5:$D$315,$D170)=0,O170*SUMIFS(O$5:O$315,$A$5:$A$315,$A170,$C$5:$C$315,$C170-1,$D$5:$D$315,$D170)&lt;0),"n.s.",ABS(O170)/ABS(SUMIFS(O$5:O$315,$A$5:$A$315,$A170,$C$5:$C$315,$C170-1,$D$5:$D$315,$D170))-1)))</f>
        <v/>
      </c>
    </row>
    <row r="171">
      <c r="A171" s="9" t="inlineStr">
        <is>
          <t>CBIBF</t>
        </is>
      </c>
      <c r="B171" s="10">
        <f>IF(A171="","",IFERROR(VLOOKUP(A171,Titres!$A$2:$B$400,2,FALSE),"Ticker inconnu"))</f>
        <v/>
      </c>
      <c r="C171" s="11" t="n">
        <v>2022</v>
      </c>
      <c r="D171" s="11" t="inlineStr">
        <is>
          <t>S1</t>
        </is>
      </c>
      <c r="E171" s="9" t="n"/>
      <c r="F171" s="12" t="n"/>
      <c r="G171" s="9" t="n"/>
      <c r="H171" s="13" t="n"/>
      <c r="I171" s="13" t="n"/>
      <c r="J171" s="13" t="n"/>
      <c r="K171" s="13" t="n"/>
      <c r="L171" s="13" t="n"/>
      <c r="M171" s="13" t="n"/>
      <c r="N171" s="13" t="n"/>
      <c r="O171" s="13" t="n"/>
      <c r="P171" s="14">
        <f>IF(A171="","",COUNT(H171:O171)/8)</f>
        <v/>
      </c>
      <c r="Q171" s="15">
        <f>IF(COUNT(H171:O171)=0,"",IF(LEN(IF(COUNT(H171,I171,J171)=3,IF(ABS(H171+I171-J171)&lt;=MAX(1,0.02*ABS(J171)),"","RBE &lt;&gt; PNB + frais "),"")&amp;IF(COUNT(J171,K171,L171)=3,IF(ABS(J171+K171-L171)&lt;=MAX(1,0.03*ABS(L171)),"","RAI &lt;&gt; RBE + coût du risque "),"")&amp;IF(COUNT(H171,M171)=2,IF(ABS(M171)&gt;ABS(H171),"RN &gt; PNB ",""),""))=0,"OK",IF(COUNT(H171,I171,J171)=3,IF(ABS(H171+I171-J171)&lt;=MAX(1,0.02*ABS(J171)),"","RBE &lt;&gt; PNB + frais "),"")&amp;IF(COUNT(J171,K171,L171)=3,IF(ABS(J171+K171-L171)&lt;=MAX(1,0.03*ABS(L171)),"","RAI &lt;&gt; RBE + coût du risque "),"")&amp;IF(COUNT(H171,M171)=2,IF(ABS(M171)&gt;ABS(H171),"RN &gt; PNB ",""),"")))</f>
        <v/>
      </c>
      <c r="R171" s="16">
        <f>IF(OR($A171="",H171="",$C171=""),"",IF(COUNTIFS($A$5:$A$315,$A171,$C$5:$C$315,$C171-1,$D$5:$D$315,$D171,H$5:H$315,"&lt;&gt;")=0,"",IF(OR(SUMIFS(H$5:H$315,$A$5:$A$315,$A171,$C$5:$C$315,$C171-1,$D$5:$D$315,$D171)=0,H171*SUMIFS(H$5:H$315,$A$5:$A$315,$A171,$C$5:$C$315,$C171-1,$D$5:$D$315,$D171)&lt;0),"n.s.",ABS(H171)/ABS(SUMIFS(H$5:H$315,$A$5:$A$315,$A171,$C$5:$C$315,$C171-1,$D$5:$D$315,$D171))-1)))</f>
        <v/>
      </c>
      <c r="S171" s="16">
        <f>IF(OR($A171="",I171="",$C171=""),"",IF(COUNTIFS($A$5:$A$315,$A171,$C$5:$C$315,$C171-1,$D$5:$D$315,$D171,I$5:I$315,"&lt;&gt;")=0,"",IF(OR(SUMIFS(I$5:I$315,$A$5:$A$315,$A171,$C$5:$C$315,$C171-1,$D$5:$D$315,$D171)=0,I171*SUMIFS(I$5:I$315,$A$5:$A$315,$A171,$C$5:$C$315,$C171-1,$D$5:$D$315,$D171)&lt;0),"n.s.",ABS(I171)/ABS(SUMIFS(I$5:I$315,$A$5:$A$315,$A171,$C$5:$C$315,$C171-1,$D$5:$D$315,$D171))-1)))</f>
        <v/>
      </c>
      <c r="T171" s="16">
        <f>IF(OR($A171="",J171="",$C171=""),"",IF(COUNTIFS($A$5:$A$315,$A171,$C$5:$C$315,$C171-1,$D$5:$D$315,$D171,J$5:J$315,"&lt;&gt;")=0,"",IF(OR(SUMIFS(J$5:J$315,$A$5:$A$315,$A171,$C$5:$C$315,$C171-1,$D$5:$D$315,$D171)=0,J171*SUMIFS(J$5:J$315,$A$5:$A$315,$A171,$C$5:$C$315,$C171-1,$D$5:$D$315,$D171)&lt;0),"n.s.",ABS(J171)/ABS(SUMIFS(J$5:J$315,$A$5:$A$315,$A171,$C$5:$C$315,$C171-1,$D$5:$D$315,$D171))-1)))</f>
        <v/>
      </c>
      <c r="U171" s="16">
        <f>IF(OR($A171="",K171="",$C171=""),"",IF(COUNTIFS($A$5:$A$315,$A171,$C$5:$C$315,$C171-1,$D$5:$D$315,$D171,K$5:K$315,"&lt;&gt;")=0,"",IF(OR(SUMIFS(K$5:K$315,$A$5:$A$315,$A171,$C$5:$C$315,$C171-1,$D$5:$D$315,$D171)=0,K171*SUMIFS(K$5:K$315,$A$5:$A$315,$A171,$C$5:$C$315,$C171-1,$D$5:$D$315,$D171)&lt;0),"n.s.",ABS(K171)/ABS(SUMIFS(K$5:K$315,$A$5:$A$315,$A171,$C$5:$C$315,$C171-1,$D$5:$D$315,$D171))-1)))</f>
        <v/>
      </c>
      <c r="V171" s="16">
        <f>IF(OR($A171="",L171="",$C171=""),"",IF(COUNTIFS($A$5:$A$315,$A171,$C$5:$C$315,$C171-1,$D$5:$D$315,$D171,L$5:L$315,"&lt;&gt;")=0,"",IF(OR(SUMIFS(L$5:L$315,$A$5:$A$315,$A171,$C$5:$C$315,$C171-1,$D$5:$D$315,$D171)=0,L171*SUMIFS(L$5:L$315,$A$5:$A$315,$A171,$C$5:$C$315,$C171-1,$D$5:$D$315,$D171)&lt;0),"n.s.",ABS(L171)/ABS(SUMIFS(L$5:L$315,$A$5:$A$315,$A171,$C$5:$C$315,$C171-1,$D$5:$D$315,$D171))-1)))</f>
        <v/>
      </c>
      <c r="W171" s="16">
        <f>IF(OR($A171="",M171="",$C171=""),"",IF(COUNTIFS($A$5:$A$315,$A171,$C$5:$C$315,$C171-1,$D$5:$D$315,$D171,M$5:M$315,"&lt;&gt;")=0,"",IF(OR(SUMIFS(M$5:M$315,$A$5:$A$315,$A171,$C$5:$C$315,$C171-1,$D$5:$D$315,$D171)=0,M171*SUMIFS(M$5:M$315,$A$5:$A$315,$A171,$C$5:$C$315,$C171-1,$D$5:$D$315,$D171)&lt;0),"n.s.",ABS(M171)/ABS(SUMIFS(M$5:M$315,$A$5:$A$315,$A171,$C$5:$C$315,$C171-1,$D$5:$D$315,$D171))-1)))</f>
        <v/>
      </c>
      <c r="X171" s="16">
        <f>IF(OR($A171="",N171="",$C171=""),"",IF(COUNTIFS($A$5:$A$315,$A171,$C$5:$C$315,$C171-1,$D$5:$D$315,$D171,N$5:N$315,"&lt;&gt;")=0,"",IF(OR(SUMIFS(N$5:N$315,$A$5:$A$315,$A171,$C$5:$C$315,$C171-1,$D$5:$D$315,$D171)=0,N171*SUMIFS(N$5:N$315,$A$5:$A$315,$A171,$C$5:$C$315,$C171-1,$D$5:$D$315,$D171)&lt;0),"n.s.",ABS(N171)/ABS(SUMIFS(N$5:N$315,$A$5:$A$315,$A171,$C$5:$C$315,$C171-1,$D$5:$D$315,$D171))-1)))</f>
        <v/>
      </c>
      <c r="Y171" s="16">
        <f>IF(OR($A171="",O171="",$C171=""),"",IF(COUNTIFS($A$5:$A$315,$A171,$C$5:$C$315,$C171-1,$D$5:$D$315,$D171,O$5:O$315,"&lt;&gt;")=0,"",IF(OR(SUMIFS(O$5:O$315,$A$5:$A$315,$A171,$C$5:$C$315,$C171-1,$D$5:$D$315,$D171)=0,O171*SUMIFS(O$5:O$315,$A$5:$A$315,$A171,$C$5:$C$315,$C171-1,$D$5:$D$315,$D171)&lt;0),"n.s.",ABS(O171)/ABS(SUMIFS(O$5:O$315,$A$5:$A$315,$A171,$C$5:$C$315,$C171-1,$D$5:$D$315,$D171))-1)))</f>
        <v/>
      </c>
    </row>
    <row r="172">
      <c r="A172" s="9" t="inlineStr">
        <is>
          <t>CBIBF</t>
        </is>
      </c>
      <c r="B172" s="10">
        <f>IF(A172="","",IFERROR(VLOOKUP(A172,Titres!$A$2:$B$400,2,FALSE),"Ticker inconnu"))</f>
        <v/>
      </c>
      <c r="C172" s="11" t="n">
        <v>2022</v>
      </c>
      <c r="D172" s="11" t="inlineStr">
        <is>
          <t>T3</t>
        </is>
      </c>
      <c r="E172" s="9" t="n"/>
      <c r="F172" s="12" t="n"/>
      <c r="G172" s="9" t="n"/>
      <c r="H172" s="13" t="n"/>
      <c r="I172" s="13" t="n"/>
      <c r="J172" s="13" t="n"/>
      <c r="K172" s="13" t="n"/>
      <c r="L172" s="13" t="n"/>
      <c r="M172" s="13" t="n"/>
      <c r="N172" s="13" t="n"/>
      <c r="O172" s="13" t="n"/>
      <c r="P172" s="14">
        <f>IF(A172="","",COUNT(H172:O172)/8)</f>
        <v/>
      </c>
      <c r="Q172" s="15">
        <f>IF(COUNT(H172:O172)=0,"",IF(LEN(IF(COUNT(H172,I172,J172)=3,IF(ABS(H172+I172-J172)&lt;=MAX(1,0.02*ABS(J172)),"","RBE &lt;&gt; PNB + frais "),"")&amp;IF(COUNT(J172,K172,L172)=3,IF(ABS(J172+K172-L172)&lt;=MAX(1,0.03*ABS(L172)),"","RAI &lt;&gt; RBE + coût du risque "),"")&amp;IF(COUNT(H172,M172)=2,IF(ABS(M172)&gt;ABS(H172),"RN &gt; PNB ",""),""))=0,"OK",IF(COUNT(H172,I172,J172)=3,IF(ABS(H172+I172-J172)&lt;=MAX(1,0.02*ABS(J172)),"","RBE &lt;&gt; PNB + frais "),"")&amp;IF(COUNT(J172,K172,L172)=3,IF(ABS(J172+K172-L172)&lt;=MAX(1,0.03*ABS(L172)),"","RAI &lt;&gt; RBE + coût du risque "),"")&amp;IF(COUNT(H172,M172)=2,IF(ABS(M172)&gt;ABS(H172),"RN &gt; PNB ",""),"")))</f>
        <v/>
      </c>
      <c r="R172" s="16">
        <f>IF(OR($A172="",H172="",$C172=""),"",IF(COUNTIFS($A$5:$A$315,$A172,$C$5:$C$315,$C172-1,$D$5:$D$315,$D172,H$5:H$315,"&lt;&gt;")=0,"",IF(OR(SUMIFS(H$5:H$315,$A$5:$A$315,$A172,$C$5:$C$315,$C172-1,$D$5:$D$315,$D172)=0,H172*SUMIFS(H$5:H$315,$A$5:$A$315,$A172,$C$5:$C$315,$C172-1,$D$5:$D$315,$D172)&lt;0),"n.s.",ABS(H172)/ABS(SUMIFS(H$5:H$315,$A$5:$A$315,$A172,$C$5:$C$315,$C172-1,$D$5:$D$315,$D172))-1)))</f>
        <v/>
      </c>
      <c r="S172" s="16">
        <f>IF(OR($A172="",I172="",$C172=""),"",IF(COUNTIFS($A$5:$A$315,$A172,$C$5:$C$315,$C172-1,$D$5:$D$315,$D172,I$5:I$315,"&lt;&gt;")=0,"",IF(OR(SUMIFS(I$5:I$315,$A$5:$A$315,$A172,$C$5:$C$315,$C172-1,$D$5:$D$315,$D172)=0,I172*SUMIFS(I$5:I$315,$A$5:$A$315,$A172,$C$5:$C$315,$C172-1,$D$5:$D$315,$D172)&lt;0),"n.s.",ABS(I172)/ABS(SUMIFS(I$5:I$315,$A$5:$A$315,$A172,$C$5:$C$315,$C172-1,$D$5:$D$315,$D172))-1)))</f>
        <v/>
      </c>
      <c r="T172" s="16">
        <f>IF(OR($A172="",J172="",$C172=""),"",IF(COUNTIFS($A$5:$A$315,$A172,$C$5:$C$315,$C172-1,$D$5:$D$315,$D172,J$5:J$315,"&lt;&gt;")=0,"",IF(OR(SUMIFS(J$5:J$315,$A$5:$A$315,$A172,$C$5:$C$315,$C172-1,$D$5:$D$315,$D172)=0,J172*SUMIFS(J$5:J$315,$A$5:$A$315,$A172,$C$5:$C$315,$C172-1,$D$5:$D$315,$D172)&lt;0),"n.s.",ABS(J172)/ABS(SUMIFS(J$5:J$315,$A$5:$A$315,$A172,$C$5:$C$315,$C172-1,$D$5:$D$315,$D172))-1)))</f>
        <v/>
      </c>
      <c r="U172" s="16">
        <f>IF(OR($A172="",K172="",$C172=""),"",IF(COUNTIFS($A$5:$A$315,$A172,$C$5:$C$315,$C172-1,$D$5:$D$315,$D172,K$5:K$315,"&lt;&gt;")=0,"",IF(OR(SUMIFS(K$5:K$315,$A$5:$A$315,$A172,$C$5:$C$315,$C172-1,$D$5:$D$315,$D172)=0,K172*SUMIFS(K$5:K$315,$A$5:$A$315,$A172,$C$5:$C$315,$C172-1,$D$5:$D$315,$D172)&lt;0),"n.s.",ABS(K172)/ABS(SUMIFS(K$5:K$315,$A$5:$A$315,$A172,$C$5:$C$315,$C172-1,$D$5:$D$315,$D172))-1)))</f>
        <v/>
      </c>
      <c r="V172" s="16">
        <f>IF(OR($A172="",L172="",$C172=""),"",IF(COUNTIFS($A$5:$A$315,$A172,$C$5:$C$315,$C172-1,$D$5:$D$315,$D172,L$5:L$315,"&lt;&gt;")=0,"",IF(OR(SUMIFS(L$5:L$315,$A$5:$A$315,$A172,$C$5:$C$315,$C172-1,$D$5:$D$315,$D172)=0,L172*SUMIFS(L$5:L$315,$A$5:$A$315,$A172,$C$5:$C$315,$C172-1,$D$5:$D$315,$D172)&lt;0),"n.s.",ABS(L172)/ABS(SUMIFS(L$5:L$315,$A$5:$A$315,$A172,$C$5:$C$315,$C172-1,$D$5:$D$315,$D172))-1)))</f>
        <v/>
      </c>
      <c r="W172" s="16">
        <f>IF(OR($A172="",M172="",$C172=""),"",IF(COUNTIFS($A$5:$A$315,$A172,$C$5:$C$315,$C172-1,$D$5:$D$315,$D172,M$5:M$315,"&lt;&gt;")=0,"",IF(OR(SUMIFS(M$5:M$315,$A$5:$A$315,$A172,$C$5:$C$315,$C172-1,$D$5:$D$315,$D172)=0,M172*SUMIFS(M$5:M$315,$A$5:$A$315,$A172,$C$5:$C$315,$C172-1,$D$5:$D$315,$D172)&lt;0),"n.s.",ABS(M172)/ABS(SUMIFS(M$5:M$315,$A$5:$A$315,$A172,$C$5:$C$315,$C172-1,$D$5:$D$315,$D172))-1)))</f>
        <v/>
      </c>
      <c r="X172" s="16">
        <f>IF(OR($A172="",N172="",$C172=""),"",IF(COUNTIFS($A$5:$A$315,$A172,$C$5:$C$315,$C172-1,$D$5:$D$315,$D172,N$5:N$315,"&lt;&gt;")=0,"",IF(OR(SUMIFS(N$5:N$315,$A$5:$A$315,$A172,$C$5:$C$315,$C172-1,$D$5:$D$315,$D172)=0,N172*SUMIFS(N$5:N$315,$A$5:$A$315,$A172,$C$5:$C$315,$C172-1,$D$5:$D$315,$D172)&lt;0),"n.s.",ABS(N172)/ABS(SUMIFS(N$5:N$315,$A$5:$A$315,$A172,$C$5:$C$315,$C172-1,$D$5:$D$315,$D172))-1)))</f>
        <v/>
      </c>
      <c r="Y172" s="16">
        <f>IF(OR($A172="",O172="",$C172=""),"",IF(COUNTIFS($A$5:$A$315,$A172,$C$5:$C$315,$C172-1,$D$5:$D$315,$D172,O$5:O$315,"&lt;&gt;")=0,"",IF(OR(SUMIFS(O$5:O$315,$A$5:$A$315,$A172,$C$5:$C$315,$C172-1,$D$5:$D$315,$D172)=0,O172*SUMIFS(O$5:O$315,$A$5:$A$315,$A172,$C$5:$C$315,$C172-1,$D$5:$D$315,$D172)&lt;0),"n.s.",ABS(O172)/ABS(SUMIFS(O$5:O$315,$A$5:$A$315,$A172,$C$5:$C$315,$C172-1,$D$5:$D$315,$D172))-1)))</f>
        <v/>
      </c>
    </row>
    <row r="173">
      <c r="A173" s="9" t="inlineStr">
        <is>
          <t>CBIBF</t>
        </is>
      </c>
      <c r="B173" s="10">
        <f>IF(A173="","",IFERROR(VLOOKUP(A173,Titres!$A$2:$B$400,2,FALSE),"Ticker inconnu"))</f>
        <v/>
      </c>
      <c r="C173" s="11" t="n">
        <v>2023</v>
      </c>
      <c r="D173" s="11" t="inlineStr">
        <is>
          <t>T1</t>
        </is>
      </c>
      <c r="E173" s="9" t="n"/>
      <c r="F173" s="12" t="n"/>
      <c r="G173" s="9" t="n"/>
      <c r="H173" s="13" t="n"/>
      <c r="I173" s="13" t="n"/>
      <c r="J173" s="13" t="n"/>
      <c r="K173" s="13" t="n"/>
      <c r="L173" s="13" t="n"/>
      <c r="M173" s="13" t="n"/>
      <c r="N173" s="13" t="n"/>
      <c r="O173" s="13" t="n"/>
      <c r="P173" s="14">
        <f>IF(A173="","",COUNT(H173:O173)/8)</f>
        <v/>
      </c>
      <c r="Q173" s="15">
        <f>IF(COUNT(H173:O173)=0,"",IF(LEN(IF(COUNT(H173,I173,J173)=3,IF(ABS(H173+I173-J173)&lt;=MAX(1,0.02*ABS(J173)),"","RBE &lt;&gt; PNB + frais "),"")&amp;IF(COUNT(J173,K173,L173)=3,IF(ABS(J173+K173-L173)&lt;=MAX(1,0.03*ABS(L173)),"","RAI &lt;&gt; RBE + coût du risque "),"")&amp;IF(COUNT(H173,M173)=2,IF(ABS(M173)&gt;ABS(H173),"RN &gt; PNB ",""),""))=0,"OK",IF(COUNT(H173,I173,J173)=3,IF(ABS(H173+I173-J173)&lt;=MAX(1,0.02*ABS(J173)),"","RBE &lt;&gt; PNB + frais "),"")&amp;IF(COUNT(J173,K173,L173)=3,IF(ABS(J173+K173-L173)&lt;=MAX(1,0.03*ABS(L173)),"","RAI &lt;&gt; RBE + coût du risque "),"")&amp;IF(COUNT(H173,M173)=2,IF(ABS(M173)&gt;ABS(H173),"RN &gt; PNB ",""),"")))</f>
        <v/>
      </c>
      <c r="R173" s="16">
        <f>IF(OR($A173="",H173="",$C173=""),"",IF(COUNTIFS($A$5:$A$315,$A173,$C$5:$C$315,$C173-1,$D$5:$D$315,$D173,H$5:H$315,"&lt;&gt;")=0,"",IF(OR(SUMIFS(H$5:H$315,$A$5:$A$315,$A173,$C$5:$C$315,$C173-1,$D$5:$D$315,$D173)=0,H173*SUMIFS(H$5:H$315,$A$5:$A$315,$A173,$C$5:$C$315,$C173-1,$D$5:$D$315,$D173)&lt;0),"n.s.",ABS(H173)/ABS(SUMIFS(H$5:H$315,$A$5:$A$315,$A173,$C$5:$C$315,$C173-1,$D$5:$D$315,$D173))-1)))</f>
        <v/>
      </c>
      <c r="S173" s="16">
        <f>IF(OR($A173="",I173="",$C173=""),"",IF(COUNTIFS($A$5:$A$315,$A173,$C$5:$C$315,$C173-1,$D$5:$D$315,$D173,I$5:I$315,"&lt;&gt;")=0,"",IF(OR(SUMIFS(I$5:I$315,$A$5:$A$315,$A173,$C$5:$C$315,$C173-1,$D$5:$D$315,$D173)=0,I173*SUMIFS(I$5:I$315,$A$5:$A$315,$A173,$C$5:$C$315,$C173-1,$D$5:$D$315,$D173)&lt;0),"n.s.",ABS(I173)/ABS(SUMIFS(I$5:I$315,$A$5:$A$315,$A173,$C$5:$C$315,$C173-1,$D$5:$D$315,$D173))-1)))</f>
        <v/>
      </c>
      <c r="T173" s="16">
        <f>IF(OR($A173="",J173="",$C173=""),"",IF(COUNTIFS($A$5:$A$315,$A173,$C$5:$C$315,$C173-1,$D$5:$D$315,$D173,J$5:J$315,"&lt;&gt;")=0,"",IF(OR(SUMIFS(J$5:J$315,$A$5:$A$315,$A173,$C$5:$C$315,$C173-1,$D$5:$D$315,$D173)=0,J173*SUMIFS(J$5:J$315,$A$5:$A$315,$A173,$C$5:$C$315,$C173-1,$D$5:$D$315,$D173)&lt;0),"n.s.",ABS(J173)/ABS(SUMIFS(J$5:J$315,$A$5:$A$315,$A173,$C$5:$C$315,$C173-1,$D$5:$D$315,$D173))-1)))</f>
        <v/>
      </c>
      <c r="U173" s="16">
        <f>IF(OR($A173="",K173="",$C173=""),"",IF(COUNTIFS($A$5:$A$315,$A173,$C$5:$C$315,$C173-1,$D$5:$D$315,$D173,K$5:K$315,"&lt;&gt;")=0,"",IF(OR(SUMIFS(K$5:K$315,$A$5:$A$315,$A173,$C$5:$C$315,$C173-1,$D$5:$D$315,$D173)=0,K173*SUMIFS(K$5:K$315,$A$5:$A$315,$A173,$C$5:$C$315,$C173-1,$D$5:$D$315,$D173)&lt;0),"n.s.",ABS(K173)/ABS(SUMIFS(K$5:K$315,$A$5:$A$315,$A173,$C$5:$C$315,$C173-1,$D$5:$D$315,$D173))-1)))</f>
        <v/>
      </c>
      <c r="V173" s="16">
        <f>IF(OR($A173="",L173="",$C173=""),"",IF(COUNTIFS($A$5:$A$315,$A173,$C$5:$C$315,$C173-1,$D$5:$D$315,$D173,L$5:L$315,"&lt;&gt;")=0,"",IF(OR(SUMIFS(L$5:L$315,$A$5:$A$315,$A173,$C$5:$C$315,$C173-1,$D$5:$D$315,$D173)=0,L173*SUMIFS(L$5:L$315,$A$5:$A$315,$A173,$C$5:$C$315,$C173-1,$D$5:$D$315,$D173)&lt;0),"n.s.",ABS(L173)/ABS(SUMIFS(L$5:L$315,$A$5:$A$315,$A173,$C$5:$C$315,$C173-1,$D$5:$D$315,$D173))-1)))</f>
        <v/>
      </c>
      <c r="W173" s="16">
        <f>IF(OR($A173="",M173="",$C173=""),"",IF(COUNTIFS($A$5:$A$315,$A173,$C$5:$C$315,$C173-1,$D$5:$D$315,$D173,M$5:M$315,"&lt;&gt;")=0,"",IF(OR(SUMIFS(M$5:M$315,$A$5:$A$315,$A173,$C$5:$C$315,$C173-1,$D$5:$D$315,$D173)=0,M173*SUMIFS(M$5:M$315,$A$5:$A$315,$A173,$C$5:$C$315,$C173-1,$D$5:$D$315,$D173)&lt;0),"n.s.",ABS(M173)/ABS(SUMIFS(M$5:M$315,$A$5:$A$315,$A173,$C$5:$C$315,$C173-1,$D$5:$D$315,$D173))-1)))</f>
        <v/>
      </c>
      <c r="X173" s="16">
        <f>IF(OR($A173="",N173="",$C173=""),"",IF(COUNTIFS($A$5:$A$315,$A173,$C$5:$C$315,$C173-1,$D$5:$D$315,$D173,N$5:N$315,"&lt;&gt;")=0,"",IF(OR(SUMIFS(N$5:N$315,$A$5:$A$315,$A173,$C$5:$C$315,$C173-1,$D$5:$D$315,$D173)=0,N173*SUMIFS(N$5:N$315,$A$5:$A$315,$A173,$C$5:$C$315,$C173-1,$D$5:$D$315,$D173)&lt;0),"n.s.",ABS(N173)/ABS(SUMIFS(N$5:N$315,$A$5:$A$315,$A173,$C$5:$C$315,$C173-1,$D$5:$D$315,$D173))-1)))</f>
        <v/>
      </c>
      <c r="Y173" s="16">
        <f>IF(OR($A173="",O173="",$C173=""),"",IF(COUNTIFS($A$5:$A$315,$A173,$C$5:$C$315,$C173-1,$D$5:$D$315,$D173,O$5:O$315,"&lt;&gt;")=0,"",IF(OR(SUMIFS(O$5:O$315,$A$5:$A$315,$A173,$C$5:$C$315,$C173-1,$D$5:$D$315,$D173)=0,O173*SUMIFS(O$5:O$315,$A$5:$A$315,$A173,$C$5:$C$315,$C173-1,$D$5:$D$315,$D173)&lt;0),"n.s.",ABS(O173)/ABS(SUMIFS(O$5:O$315,$A$5:$A$315,$A173,$C$5:$C$315,$C173-1,$D$5:$D$315,$D173))-1)))</f>
        <v/>
      </c>
    </row>
    <row r="174">
      <c r="A174" s="9" t="inlineStr">
        <is>
          <t>CBIBF</t>
        </is>
      </c>
      <c r="B174" s="10">
        <f>IF(A174="","",IFERROR(VLOOKUP(A174,Titres!$A$2:$B$400,2,FALSE),"Ticker inconnu"))</f>
        <v/>
      </c>
      <c r="C174" s="11" t="n">
        <v>2023</v>
      </c>
      <c r="D174" s="11" t="inlineStr">
        <is>
          <t>S1</t>
        </is>
      </c>
      <c r="E174" s="9" t="n"/>
      <c r="F174" s="12" t="n"/>
      <c r="G174" s="9" t="n"/>
      <c r="H174" s="13" t="n"/>
      <c r="I174" s="13" t="n"/>
      <c r="J174" s="13" t="n"/>
      <c r="K174" s="13" t="n"/>
      <c r="L174" s="13" t="n"/>
      <c r="M174" s="13" t="n"/>
      <c r="N174" s="13" t="n"/>
      <c r="O174" s="13" t="n"/>
      <c r="P174" s="14">
        <f>IF(A174="","",COUNT(H174:O174)/8)</f>
        <v/>
      </c>
      <c r="Q174" s="15">
        <f>IF(COUNT(H174:O174)=0,"",IF(LEN(IF(COUNT(H174,I174,J174)=3,IF(ABS(H174+I174-J174)&lt;=MAX(1,0.02*ABS(J174)),"","RBE &lt;&gt; PNB + frais "),"")&amp;IF(COUNT(J174,K174,L174)=3,IF(ABS(J174+K174-L174)&lt;=MAX(1,0.03*ABS(L174)),"","RAI &lt;&gt; RBE + coût du risque "),"")&amp;IF(COUNT(H174,M174)=2,IF(ABS(M174)&gt;ABS(H174),"RN &gt; PNB ",""),""))=0,"OK",IF(COUNT(H174,I174,J174)=3,IF(ABS(H174+I174-J174)&lt;=MAX(1,0.02*ABS(J174)),"","RBE &lt;&gt; PNB + frais "),"")&amp;IF(COUNT(J174,K174,L174)=3,IF(ABS(J174+K174-L174)&lt;=MAX(1,0.03*ABS(L174)),"","RAI &lt;&gt; RBE + coût du risque "),"")&amp;IF(COUNT(H174,M174)=2,IF(ABS(M174)&gt;ABS(H174),"RN &gt; PNB ",""),"")))</f>
        <v/>
      </c>
      <c r="R174" s="16">
        <f>IF(OR($A174="",H174="",$C174=""),"",IF(COUNTIFS($A$5:$A$315,$A174,$C$5:$C$315,$C174-1,$D$5:$D$315,$D174,H$5:H$315,"&lt;&gt;")=0,"",IF(OR(SUMIFS(H$5:H$315,$A$5:$A$315,$A174,$C$5:$C$315,$C174-1,$D$5:$D$315,$D174)=0,H174*SUMIFS(H$5:H$315,$A$5:$A$315,$A174,$C$5:$C$315,$C174-1,$D$5:$D$315,$D174)&lt;0),"n.s.",ABS(H174)/ABS(SUMIFS(H$5:H$315,$A$5:$A$315,$A174,$C$5:$C$315,$C174-1,$D$5:$D$315,$D174))-1)))</f>
        <v/>
      </c>
      <c r="S174" s="16">
        <f>IF(OR($A174="",I174="",$C174=""),"",IF(COUNTIFS($A$5:$A$315,$A174,$C$5:$C$315,$C174-1,$D$5:$D$315,$D174,I$5:I$315,"&lt;&gt;")=0,"",IF(OR(SUMIFS(I$5:I$315,$A$5:$A$315,$A174,$C$5:$C$315,$C174-1,$D$5:$D$315,$D174)=0,I174*SUMIFS(I$5:I$315,$A$5:$A$315,$A174,$C$5:$C$315,$C174-1,$D$5:$D$315,$D174)&lt;0),"n.s.",ABS(I174)/ABS(SUMIFS(I$5:I$315,$A$5:$A$315,$A174,$C$5:$C$315,$C174-1,$D$5:$D$315,$D174))-1)))</f>
        <v/>
      </c>
      <c r="T174" s="16">
        <f>IF(OR($A174="",J174="",$C174=""),"",IF(COUNTIFS($A$5:$A$315,$A174,$C$5:$C$315,$C174-1,$D$5:$D$315,$D174,J$5:J$315,"&lt;&gt;")=0,"",IF(OR(SUMIFS(J$5:J$315,$A$5:$A$315,$A174,$C$5:$C$315,$C174-1,$D$5:$D$315,$D174)=0,J174*SUMIFS(J$5:J$315,$A$5:$A$315,$A174,$C$5:$C$315,$C174-1,$D$5:$D$315,$D174)&lt;0),"n.s.",ABS(J174)/ABS(SUMIFS(J$5:J$315,$A$5:$A$315,$A174,$C$5:$C$315,$C174-1,$D$5:$D$315,$D174))-1)))</f>
        <v/>
      </c>
      <c r="U174" s="16">
        <f>IF(OR($A174="",K174="",$C174=""),"",IF(COUNTIFS($A$5:$A$315,$A174,$C$5:$C$315,$C174-1,$D$5:$D$315,$D174,K$5:K$315,"&lt;&gt;")=0,"",IF(OR(SUMIFS(K$5:K$315,$A$5:$A$315,$A174,$C$5:$C$315,$C174-1,$D$5:$D$315,$D174)=0,K174*SUMIFS(K$5:K$315,$A$5:$A$315,$A174,$C$5:$C$315,$C174-1,$D$5:$D$315,$D174)&lt;0),"n.s.",ABS(K174)/ABS(SUMIFS(K$5:K$315,$A$5:$A$315,$A174,$C$5:$C$315,$C174-1,$D$5:$D$315,$D174))-1)))</f>
        <v/>
      </c>
      <c r="V174" s="16">
        <f>IF(OR($A174="",L174="",$C174=""),"",IF(COUNTIFS($A$5:$A$315,$A174,$C$5:$C$315,$C174-1,$D$5:$D$315,$D174,L$5:L$315,"&lt;&gt;")=0,"",IF(OR(SUMIFS(L$5:L$315,$A$5:$A$315,$A174,$C$5:$C$315,$C174-1,$D$5:$D$315,$D174)=0,L174*SUMIFS(L$5:L$315,$A$5:$A$315,$A174,$C$5:$C$315,$C174-1,$D$5:$D$315,$D174)&lt;0),"n.s.",ABS(L174)/ABS(SUMIFS(L$5:L$315,$A$5:$A$315,$A174,$C$5:$C$315,$C174-1,$D$5:$D$315,$D174))-1)))</f>
        <v/>
      </c>
      <c r="W174" s="16">
        <f>IF(OR($A174="",M174="",$C174=""),"",IF(COUNTIFS($A$5:$A$315,$A174,$C$5:$C$315,$C174-1,$D$5:$D$315,$D174,M$5:M$315,"&lt;&gt;")=0,"",IF(OR(SUMIFS(M$5:M$315,$A$5:$A$315,$A174,$C$5:$C$315,$C174-1,$D$5:$D$315,$D174)=0,M174*SUMIFS(M$5:M$315,$A$5:$A$315,$A174,$C$5:$C$315,$C174-1,$D$5:$D$315,$D174)&lt;0),"n.s.",ABS(M174)/ABS(SUMIFS(M$5:M$315,$A$5:$A$315,$A174,$C$5:$C$315,$C174-1,$D$5:$D$315,$D174))-1)))</f>
        <v/>
      </c>
      <c r="X174" s="16">
        <f>IF(OR($A174="",N174="",$C174=""),"",IF(COUNTIFS($A$5:$A$315,$A174,$C$5:$C$315,$C174-1,$D$5:$D$315,$D174,N$5:N$315,"&lt;&gt;")=0,"",IF(OR(SUMIFS(N$5:N$315,$A$5:$A$315,$A174,$C$5:$C$315,$C174-1,$D$5:$D$315,$D174)=0,N174*SUMIFS(N$5:N$315,$A$5:$A$315,$A174,$C$5:$C$315,$C174-1,$D$5:$D$315,$D174)&lt;0),"n.s.",ABS(N174)/ABS(SUMIFS(N$5:N$315,$A$5:$A$315,$A174,$C$5:$C$315,$C174-1,$D$5:$D$315,$D174))-1)))</f>
        <v/>
      </c>
      <c r="Y174" s="16">
        <f>IF(OR($A174="",O174="",$C174=""),"",IF(COUNTIFS($A$5:$A$315,$A174,$C$5:$C$315,$C174-1,$D$5:$D$315,$D174,O$5:O$315,"&lt;&gt;")=0,"",IF(OR(SUMIFS(O$5:O$315,$A$5:$A$315,$A174,$C$5:$C$315,$C174-1,$D$5:$D$315,$D174)=0,O174*SUMIFS(O$5:O$315,$A$5:$A$315,$A174,$C$5:$C$315,$C174-1,$D$5:$D$315,$D174)&lt;0),"n.s.",ABS(O174)/ABS(SUMIFS(O$5:O$315,$A$5:$A$315,$A174,$C$5:$C$315,$C174-1,$D$5:$D$315,$D174))-1)))</f>
        <v/>
      </c>
    </row>
    <row r="175">
      <c r="A175" s="9" t="inlineStr">
        <is>
          <t>CBIBF</t>
        </is>
      </c>
      <c r="B175" s="10">
        <f>IF(A175="","",IFERROR(VLOOKUP(A175,Titres!$A$2:$B$400,2,FALSE),"Ticker inconnu"))</f>
        <v/>
      </c>
      <c r="C175" s="11" t="n">
        <v>2023</v>
      </c>
      <c r="D175" s="11" t="inlineStr">
        <is>
          <t>T3</t>
        </is>
      </c>
      <c r="E175" s="9" t="n"/>
      <c r="F175" s="12" t="n"/>
      <c r="G175" s="9" t="n"/>
      <c r="H175" s="13" t="n"/>
      <c r="I175" s="13" t="n"/>
      <c r="J175" s="13" t="n"/>
      <c r="K175" s="13" t="n"/>
      <c r="L175" s="13" t="n"/>
      <c r="M175" s="13" t="n"/>
      <c r="N175" s="13" t="n"/>
      <c r="O175" s="13" t="n"/>
      <c r="P175" s="14">
        <f>IF(A175="","",COUNT(H175:O175)/8)</f>
        <v/>
      </c>
      <c r="Q175" s="15">
        <f>IF(COUNT(H175:O175)=0,"",IF(LEN(IF(COUNT(H175,I175,J175)=3,IF(ABS(H175+I175-J175)&lt;=MAX(1,0.02*ABS(J175)),"","RBE &lt;&gt; PNB + frais "),"")&amp;IF(COUNT(J175,K175,L175)=3,IF(ABS(J175+K175-L175)&lt;=MAX(1,0.03*ABS(L175)),"","RAI &lt;&gt; RBE + coût du risque "),"")&amp;IF(COUNT(H175,M175)=2,IF(ABS(M175)&gt;ABS(H175),"RN &gt; PNB ",""),""))=0,"OK",IF(COUNT(H175,I175,J175)=3,IF(ABS(H175+I175-J175)&lt;=MAX(1,0.02*ABS(J175)),"","RBE &lt;&gt; PNB + frais "),"")&amp;IF(COUNT(J175,K175,L175)=3,IF(ABS(J175+K175-L175)&lt;=MAX(1,0.03*ABS(L175)),"","RAI &lt;&gt; RBE + coût du risque "),"")&amp;IF(COUNT(H175,M175)=2,IF(ABS(M175)&gt;ABS(H175),"RN &gt; PNB ",""),"")))</f>
        <v/>
      </c>
      <c r="R175" s="16">
        <f>IF(OR($A175="",H175="",$C175=""),"",IF(COUNTIFS($A$5:$A$315,$A175,$C$5:$C$315,$C175-1,$D$5:$D$315,$D175,H$5:H$315,"&lt;&gt;")=0,"",IF(OR(SUMIFS(H$5:H$315,$A$5:$A$315,$A175,$C$5:$C$315,$C175-1,$D$5:$D$315,$D175)=0,H175*SUMIFS(H$5:H$315,$A$5:$A$315,$A175,$C$5:$C$315,$C175-1,$D$5:$D$315,$D175)&lt;0),"n.s.",ABS(H175)/ABS(SUMIFS(H$5:H$315,$A$5:$A$315,$A175,$C$5:$C$315,$C175-1,$D$5:$D$315,$D175))-1)))</f>
        <v/>
      </c>
      <c r="S175" s="16">
        <f>IF(OR($A175="",I175="",$C175=""),"",IF(COUNTIFS($A$5:$A$315,$A175,$C$5:$C$315,$C175-1,$D$5:$D$315,$D175,I$5:I$315,"&lt;&gt;")=0,"",IF(OR(SUMIFS(I$5:I$315,$A$5:$A$315,$A175,$C$5:$C$315,$C175-1,$D$5:$D$315,$D175)=0,I175*SUMIFS(I$5:I$315,$A$5:$A$315,$A175,$C$5:$C$315,$C175-1,$D$5:$D$315,$D175)&lt;0),"n.s.",ABS(I175)/ABS(SUMIFS(I$5:I$315,$A$5:$A$315,$A175,$C$5:$C$315,$C175-1,$D$5:$D$315,$D175))-1)))</f>
        <v/>
      </c>
      <c r="T175" s="16">
        <f>IF(OR($A175="",J175="",$C175=""),"",IF(COUNTIFS($A$5:$A$315,$A175,$C$5:$C$315,$C175-1,$D$5:$D$315,$D175,J$5:J$315,"&lt;&gt;")=0,"",IF(OR(SUMIFS(J$5:J$315,$A$5:$A$315,$A175,$C$5:$C$315,$C175-1,$D$5:$D$315,$D175)=0,J175*SUMIFS(J$5:J$315,$A$5:$A$315,$A175,$C$5:$C$315,$C175-1,$D$5:$D$315,$D175)&lt;0),"n.s.",ABS(J175)/ABS(SUMIFS(J$5:J$315,$A$5:$A$315,$A175,$C$5:$C$315,$C175-1,$D$5:$D$315,$D175))-1)))</f>
        <v/>
      </c>
      <c r="U175" s="16">
        <f>IF(OR($A175="",K175="",$C175=""),"",IF(COUNTIFS($A$5:$A$315,$A175,$C$5:$C$315,$C175-1,$D$5:$D$315,$D175,K$5:K$315,"&lt;&gt;")=0,"",IF(OR(SUMIFS(K$5:K$315,$A$5:$A$315,$A175,$C$5:$C$315,$C175-1,$D$5:$D$315,$D175)=0,K175*SUMIFS(K$5:K$315,$A$5:$A$315,$A175,$C$5:$C$315,$C175-1,$D$5:$D$315,$D175)&lt;0),"n.s.",ABS(K175)/ABS(SUMIFS(K$5:K$315,$A$5:$A$315,$A175,$C$5:$C$315,$C175-1,$D$5:$D$315,$D175))-1)))</f>
        <v/>
      </c>
      <c r="V175" s="16">
        <f>IF(OR($A175="",L175="",$C175=""),"",IF(COUNTIFS($A$5:$A$315,$A175,$C$5:$C$315,$C175-1,$D$5:$D$315,$D175,L$5:L$315,"&lt;&gt;")=0,"",IF(OR(SUMIFS(L$5:L$315,$A$5:$A$315,$A175,$C$5:$C$315,$C175-1,$D$5:$D$315,$D175)=0,L175*SUMIFS(L$5:L$315,$A$5:$A$315,$A175,$C$5:$C$315,$C175-1,$D$5:$D$315,$D175)&lt;0),"n.s.",ABS(L175)/ABS(SUMIFS(L$5:L$315,$A$5:$A$315,$A175,$C$5:$C$315,$C175-1,$D$5:$D$315,$D175))-1)))</f>
        <v/>
      </c>
      <c r="W175" s="16">
        <f>IF(OR($A175="",M175="",$C175=""),"",IF(COUNTIFS($A$5:$A$315,$A175,$C$5:$C$315,$C175-1,$D$5:$D$315,$D175,M$5:M$315,"&lt;&gt;")=0,"",IF(OR(SUMIFS(M$5:M$315,$A$5:$A$315,$A175,$C$5:$C$315,$C175-1,$D$5:$D$315,$D175)=0,M175*SUMIFS(M$5:M$315,$A$5:$A$315,$A175,$C$5:$C$315,$C175-1,$D$5:$D$315,$D175)&lt;0),"n.s.",ABS(M175)/ABS(SUMIFS(M$5:M$315,$A$5:$A$315,$A175,$C$5:$C$315,$C175-1,$D$5:$D$315,$D175))-1)))</f>
        <v/>
      </c>
      <c r="X175" s="16">
        <f>IF(OR($A175="",N175="",$C175=""),"",IF(COUNTIFS($A$5:$A$315,$A175,$C$5:$C$315,$C175-1,$D$5:$D$315,$D175,N$5:N$315,"&lt;&gt;")=0,"",IF(OR(SUMIFS(N$5:N$315,$A$5:$A$315,$A175,$C$5:$C$315,$C175-1,$D$5:$D$315,$D175)=0,N175*SUMIFS(N$5:N$315,$A$5:$A$315,$A175,$C$5:$C$315,$C175-1,$D$5:$D$315,$D175)&lt;0),"n.s.",ABS(N175)/ABS(SUMIFS(N$5:N$315,$A$5:$A$315,$A175,$C$5:$C$315,$C175-1,$D$5:$D$315,$D175))-1)))</f>
        <v/>
      </c>
      <c r="Y175" s="16">
        <f>IF(OR($A175="",O175="",$C175=""),"",IF(COUNTIFS($A$5:$A$315,$A175,$C$5:$C$315,$C175-1,$D$5:$D$315,$D175,O$5:O$315,"&lt;&gt;")=0,"",IF(OR(SUMIFS(O$5:O$315,$A$5:$A$315,$A175,$C$5:$C$315,$C175-1,$D$5:$D$315,$D175)=0,O175*SUMIFS(O$5:O$315,$A$5:$A$315,$A175,$C$5:$C$315,$C175-1,$D$5:$D$315,$D175)&lt;0),"n.s.",ABS(O175)/ABS(SUMIFS(O$5:O$315,$A$5:$A$315,$A175,$C$5:$C$315,$C175-1,$D$5:$D$315,$D175))-1)))</f>
        <v/>
      </c>
    </row>
    <row r="176">
      <c r="A176" s="9" t="inlineStr">
        <is>
          <t>CBIBF</t>
        </is>
      </c>
      <c r="B176" s="10">
        <f>IF(A176="","",IFERROR(VLOOKUP(A176,Titres!$A$2:$B$400,2,FALSE),"Ticker inconnu"))</f>
        <v/>
      </c>
      <c r="C176" s="11" t="n">
        <v>2024</v>
      </c>
      <c r="D176" s="11" t="inlineStr">
        <is>
          <t>T1</t>
        </is>
      </c>
      <c r="E176" s="9" t="n"/>
      <c r="F176" s="12" t="n"/>
      <c r="G176" s="9" t="n"/>
      <c r="H176" s="13" t="n"/>
      <c r="I176" s="13" t="n"/>
      <c r="J176" s="13" t="n"/>
      <c r="K176" s="13" t="n"/>
      <c r="L176" s="13" t="n"/>
      <c r="M176" s="13" t="n"/>
      <c r="N176" s="13" t="n"/>
      <c r="O176" s="13" t="n"/>
      <c r="P176" s="14">
        <f>IF(A176="","",COUNT(H176:O176)/8)</f>
        <v/>
      </c>
      <c r="Q176" s="15">
        <f>IF(COUNT(H176:O176)=0,"",IF(LEN(IF(COUNT(H176,I176,J176)=3,IF(ABS(H176+I176-J176)&lt;=MAX(1,0.02*ABS(J176)),"","RBE &lt;&gt; PNB + frais "),"")&amp;IF(COUNT(J176,K176,L176)=3,IF(ABS(J176+K176-L176)&lt;=MAX(1,0.03*ABS(L176)),"","RAI &lt;&gt; RBE + coût du risque "),"")&amp;IF(COUNT(H176,M176)=2,IF(ABS(M176)&gt;ABS(H176),"RN &gt; PNB ",""),""))=0,"OK",IF(COUNT(H176,I176,J176)=3,IF(ABS(H176+I176-J176)&lt;=MAX(1,0.02*ABS(J176)),"","RBE &lt;&gt; PNB + frais "),"")&amp;IF(COUNT(J176,K176,L176)=3,IF(ABS(J176+K176-L176)&lt;=MAX(1,0.03*ABS(L176)),"","RAI &lt;&gt; RBE + coût du risque "),"")&amp;IF(COUNT(H176,M176)=2,IF(ABS(M176)&gt;ABS(H176),"RN &gt; PNB ",""),"")))</f>
        <v/>
      </c>
      <c r="R176" s="16">
        <f>IF(OR($A176="",H176="",$C176=""),"",IF(COUNTIFS($A$5:$A$315,$A176,$C$5:$C$315,$C176-1,$D$5:$D$315,$D176,H$5:H$315,"&lt;&gt;")=0,"",IF(OR(SUMIFS(H$5:H$315,$A$5:$A$315,$A176,$C$5:$C$315,$C176-1,$D$5:$D$315,$D176)=0,H176*SUMIFS(H$5:H$315,$A$5:$A$315,$A176,$C$5:$C$315,$C176-1,$D$5:$D$315,$D176)&lt;0),"n.s.",ABS(H176)/ABS(SUMIFS(H$5:H$315,$A$5:$A$315,$A176,$C$5:$C$315,$C176-1,$D$5:$D$315,$D176))-1)))</f>
        <v/>
      </c>
      <c r="S176" s="16">
        <f>IF(OR($A176="",I176="",$C176=""),"",IF(COUNTIFS($A$5:$A$315,$A176,$C$5:$C$315,$C176-1,$D$5:$D$315,$D176,I$5:I$315,"&lt;&gt;")=0,"",IF(OR(SUMIFS(I$5:I$315,$A$5:$A$315,$A176,$C$5:$C$315,$C176-1,$D$5:$D$315,$D176)=0,I176*SUMIFS(I$5:I$315,$A$5:$A$315,$A176,$C$5:$C$315,$C176-1,$D$5:$D$315,$D176)&lt;0),"n.s.",ABS(I176)/ABS(SUMIFS(I$5:I$315,$A$5:$A$315,$A176,$C$5:$C$315,$C176-1,$D$5:$D$315,$D176))-1)))</f>
        <v/>
      </c>
      <c r="T176" s="16">
        <f>IF(OR($A176="",J176="",$C176=""),"",IF(COUNTIFS($A$5:$A$315,$A176,$C$5:$C$315,$C176-1,$D$5:$D$315,$D176,J$5:J$315,"&lt;&gt;")=0,"",IF(OR(SUMIFS(J$5:J$315,$A$5:$A$315,$A176,$C$5:$C$315,$C176-1,$D$5:$D$315,$D176)=0,J176*SUMIFS(J$5:J$315,$A$5:$A$315,$A176,$C$5:$C$315,$C176-1,$D$5:$D$315,$D176)&lt;0),"n.s.",ABS(J176)/ABS(SUMIFS(J$5:J$315,$A$5:$A$315,$A176,$C$5:$C$315,$C176-1,$D$5:$D$315,$D176))-1)))</f>
        <v/>
      </c>
      <c r="U176" s="16">
        <f>IF(OR($A176="",K176="",$C176=""),"",IF(COUNTIFS($A$5:$A$315,$A176,$C$5:$C$315,$C176-1,$D$5:$D$315,$D176,K$5:K$315,"&lt;&gt;")=0,"",IF(OR(SUMIFS(K$5:K$315,$A$5:$A$315,$A176,$C$5:$C$315,$C176-1,$D$5:$D$315,$D176)=0,K176*SUMIFS(K$5:K$315,$A$5:$A$315,$A176,$C$5:$C$315,$C176-1,$D$5:$D$315,$D176)&lt;0),"n.s.",ABS(K176)/ABS(SUMIFS(K$5:K$315,$A$5:$A$315,$A176,$C$5:$C$315,$C176-1,$D$5:$D$315,$D176))-1)))</f>
        <v/>
      </c>
      <c r="V176" s="16">
        <f>IF(OR($A176="",L176="",$C176=""),"",IF(COUNTIFS($A$5:$A$315,$A176,$C$5:$C$315,$C176-1,$D$5:$D$315,$D176,L$5:L$315,"&lt;&gt;")=0,"",IF(OR(SUMIFS(L$5:L$315,$A$5:$A$315,$A176,$C$5:$C$315,$C176-1,$D$5:$D$315,$D176)=0,L176*SUMIFS(L$5:L$315,$A$5:$A$315,$A176,$C$5:$C$315,$C176-1,$D$5:$D$315,$D176)&lt;0),"n.s.",ABS(L176)/ABS(SUMIFS(L$5:L$315,$A$5:$A$315,$A176,$C$5:$C$315,$C176-1,$D$5:$D$315,$D176))-1)))</f>
        <v/>
      </c>
      <c r="W176" s="16">
        <f>IF(OR($A176="",M176="",$C176=""),"",IF(COUNTIFS($A$5:$A$315,$A176,$C$5:$C$315,$C176-1,$D$5:$D$315,$D176,M$5:M$315,"&lt;&gt;")=0,"",IF(OR(SUMIFS(M$5:M$315,$A$5:$A$315,$A176,$C$5:$C$315,$C176-1,$D$5:$D$315,$D176)=0,M176*SUMIFS(M$5:M$315,$A$5:$A$315,$A176,$C$5:$C$315,$C176-1,$D$5:$D$315,$D176)&lt;0),"n.s.",ABS(M176)/ABS(SUMIFS(M$5:M$315,$A$5:$A$315,$A176,$C$5:$C$315,$C176-1,$D$5:$D$315,$D176))-1)))</f>
        <v/>
      </c>
      <c r="X176" s="16">
        <f>IF(OR($A176="",N176="",$C176=""),"",IF(COUNTIFS($A$5:$A$315,$A176,$C$5:$C$315,$C176-1,$D$5:$D$315,$D176,N$5:N$315,"&lt;&gt;")=0,"",IF(OR(SUMIFS(N$5:N$315,$A$5:$A$315,$A176,$C$5:$C$315,$C176-1,$D$5:$D$315,$D176)=0,N176*SUMIFS(N$5:N$315,$A$5:$A$315,$A176,$C$5:$C$315,$C176-1,$D$5:$D$315,$D176)&lt;0),"n.s.",ABS(N176)/ABS(SUMIFS(N$5:N$315,$A$5:$A$315,$A176,$C$5:$C$315,$C176-1,$D$5:$D$315,$D176))-1)))</f>
        <v/>
      </c>
      <c r="Y176" s="16">
        <f>IF(OR($A176="",O176="",$C176=""),"",IF(COUNTIFS($A$5:$A$315,$A176,$C$5:$C$315,$C176-1,$D$5:$D$315,$D176,O$5:O$315,"&lt;&gt;")=0,"",IF(OR(SUMIFS(O$5:O$315,$A$5:$A$315,$A176,$C$5:$C$315,$C176-1,$D$5:$D$315,$D176)=0,O176*SUMIFS(O$5:O$315,$A$5:$A$315,$A176,$C$5:$C$315,$C176-1,$D$5:$D$315,$D176)&lt;0),"n.s.",ABS(O176)/ABS(SUMIFS(O$5:O$315,$A$5:$A$315,$A176,$C$5:$C$315,$C176-1,$D$5:$D$315,$D176))-1)))</f>
        <v/>
      </c>
    </row>
    <row r="177">
      <c r="A177" s="9" t="inlineStr">
        <is>
          <t>CBIBF</t>
        </is>
      </c>
      <c r="B177" s="10">
        <f>IF(A177="","",IFERROR(VLOOKUP(A177,Titres!$A$2:$B$400,2,FALSE),"Ticker inconnu"))</f>
        <v/>
      </c>
      <c r="C177" s="11" t="n">
        <v>2024</v>
      </c>
      <c r="D177" s="11" t="inlineStr">
        <is>
          <t>S1</t>
        </is>
      </c>
      <c r="E177" s="9" t="n"/>
      <c r="F177" s="12" t="n"/>
      <c r="G177" s="9" t="n"/>
      <c r="H177" s="13" t="n"/>
      <c r="I177" s="13" t="n"/>
      <c r="J177" s="13" t="n"/>
      <c r="K177" s="13" t="n"/>
      <c r="L177" s="13" t="n"/>
      <c r="M177" s="13" t="n"/>
      <c r="N177" s="13" t="n"/>
      <c r="O177" s="13" t="n"/>
      <c r="P177" s="14">
        <f>IF(A177="","",COUNT(H177:O177)/8)</f>
        <v/>
      </c>
      <c r="Q177" s="15">
        <f>IF(COUNT(H177:O177)=0,"",IF(LEN(IF(COUNT(H177,I177,J177)=3,IF(ABS(H177+I177-J177)&lt;=MAX(1,0.02*ABS(J177)),"","RBE &lt;&gt; PNB + frais "),"")&amp;IF(COUNT(J177,K177,L177)=3,IF(ABS(J177+K177-L177)&lt;=MAX(1,0.03*ABS(L177)),"","RAI &lt;&gt; RBE + coût du risque "),"")&amp;IF(COUNT(H177,M177)=2,IF(ABS(M177)&gt;ABS(H177),"RN &gt; PNB ",""),""))=0,"OK",IF(COUNT(H177,I177,J177)=3,IF(ABS(H177+I177-J177)&lt;=MAX(1,0.02*ABS(J177)),"","RBE &lt;&gt; PNB + frais "),"")&amp;IF(COUNT(J177,K177,L177)=3,IF(ABS(J177+K177-L177)&lt;=MAX(1,0.03*ABS(L177)),"","RAI &lt;&gt; RBE + coût du risque "),"")&amp;IF(COUNT(H177,M177)=2,IF(ABS(M177)&gt;ABS(H177),"RN &gt; PNB ",""),"")))</f>
        <v/>
      </c>
      <c r="R177" s="16">
        <f>IF(OR($A177="",H177="",$C177=""),"",IF(COUNTIFS($A$5:$A$315,$A177,$C$5:$C$315,$C177-1,$D$5:$D$315,$D177,H$5:H$315,"&lt;&gt;")=0,"",IF(OR(SUMIFS(H$5:H$315,$A$5:$A$315,$A177,$C$5:$C$315,$C177-1,$D$5:$D$315,$D177)=0,H177*SUMIFS(H$5:H$315,$A$5:$A$315,$A177,$C$5:$C$315,$C177-1,$D$5:$D$315,$D177)&lt;0),"n.s.",ABS(H177)/ABS(SUMIFS(H$5:H$315,$A$5:$A$315,$A177,$C$5:$C$315,$C177-1,$D$5:$D$315,$D177))-1)))</f>
        <v/>
      </c>
      <c r="S177" s="16">
        <f>IF(OR($A177="",I177="",$C177=""),"",IF(COUNTIFS($A$5:$A$315,$A177,$C$5:$C$315,$C177-1,$D$5:$D$315,$D177,I$5:I$315,"&lt;&gt;")=0,"",IF(OR(SUMIFS(I$5:I$315,$A$5:$A$315,$A177,$C$5:$C$315,$C177-1,$D$5:$D$315,$D177)=0,I177*SUMIFS(I$5:I$315,$A$5:$A$315,$A177,$C$5:$C$315,$C177-1,$D$5:$D$315,$D177)&lt;0),"n.s.",ABS(I177)/ABS(SUMIFS(I$5:I$315,$A$5:$A$315,$A177,$C$5:$C$315,$C177-1,$D$5:$D$315,$D177))-1)))</f>
        <v/>
      </c>
      <c r="T177" s="16">
        <f>IF(OR($A177="",J177="",$C177=""),"",IF(COUNTIFS($A$5:$A$315,$A177,$C$5:$C$315,$C177-1,$D$5:$D$315,$D177,J$5:J$315,"&lt;&gt;")=0,"",IF(OR(SUMIFS(J$5:J$315,$A$5:$A$315,$A177,$C$5:$C$315,$C177-1,$D$5:$D$315,$D177)=0,J177*SUMIFS(J$5:J$315,$A$5:$A$315,$A177,$C$5:$C$315,$C177-1,$D$5:$D$315,$D177)&lt;0),"n.s.",ABS(J177)/ABS(SUMIFS(J$5:J$315,$A$5:$A$315,$A177,$C$5:$C$315,$C177-1,$D$5:$D$315,$D177))-1)))</f>
        <v/>
      </c>
      <c r="U177" s="16">
        <f>IF(OR($A177="",K177="",$C177=""),"",IF(COUNTIFS($A$5:$A$315,$A177,$C$5:$C$315,$C177-1,$D$5:$D$315,$D177,K$5:K$315,"&lt;&gt;")=0,"",IF(OR(SUMIFS(K$5:K$315,$A$5:$A$315,$A177,$C$5:$C$315,$C177-1,$D$5:$D$315,$D177)=0,K177*SUMIFS(K$5:K$315,$A$5:$A$315,$A177,$C$5:$C$315,$C177-1,$D$5:$D$315,$D177)&lt;0),"n.s.",ABS(K177)/ABS(SUMIFS(K$5:K$315,$A$5:$A$315,$A177,$C$5:$C$315,$C177-1,$D$5:$D$315,$D177))-1)))</f>
        <v/>
      </c>
      <c r="V177" s="16">
        <f>IF(OR($A177="",L177="",$C177=""),"",IF(COUNTIFS($A$5:$A$315,$A177,$C$5:$C$315,$C177-1,$D$5:$D$315,$D177,L$5:L$315,"&lt;&gt;")=0,"",IF(OR(SUMIFS(L$5:L$315,$A$5:$A$315,$A177,$C$5:$C$315,$C177-1,$D$5:$D$315,$D177)=0,L177*SUMIFS(L$5:L$315,$A$5:$A$315,$A177,$C$5:$C$315,$C177-1,$D$5:$D$315,$D177)&lt;0),"n.s.",ABS(L177)/ABS(SUMIFS(L$5:L$315,$A$5:$A$315,$A177,$C$5:$C$315,$C177-1,$D$5:$D$315,$D177))-1)))</f>
        <v/>
      </c>
      <c r="W177" s="16">
        <f>IF(OR($A177="",M177="",$C177=""),"",IF(COUNTIFS($A$5:$A$315,$A177,$C$5:$C$315,$C177-1,$D$5:$D$315,$D177,M$5:M$315,"&lt;&gt;")=0,"",IF(OR(SUMIFS(M$5:M$315,$A$5:$A$315,$A177,$C$5:$C$315,$C177-1,$D$5:$D$315,$D177)=0,M177*SUMIFS(M$5:M$315,$A$5:$A$315,$A177,$C$5:$C$315,$C177-1,$D$5:$D$315,$D177)&lt;0),"n.s.",ABS(M177)/ABS(SUMIFS(M$5:M$315,$A$5:$A$315,$A177,$C$5:$C$315,$C177-1,$D$5:$D$315,$D177))-1)))</f>
        <v/>
      </c>
      <c r="X177" s="16">
        <f>IF(OR($A177="",N177="",$C177=""),"",IF(COUNTIFS($A$5:$A$315,$A177,$C$5:$C$315,$C177-1,$D$5:$D$315,$D177,N$5:N$315,"&lt;&gt;")=0,"",IF(OR(SUMIFS(N$5:N$315,$A$5:$A$315,$A177,$C$5:$C$315,$C177-1,$D$5:$D$315,$D177)=0,N177*SUMIFS(N$5:N$315,$A$5:$A$315,$A177,$C$5:$C$315,$C177-1,$D$5:$D$315,$D177)&lt;0),"n.s.",ABS(N177)/ABS(SUMIFS(N$5:N$315,$A$5:$A$315,$A177,$C$5:$C$315,$C177-1,$D$5:$D$315,$D177))-1)))</f>
        <v/>
      </c>
      <c r="Y177" s="16">
        <f>IF(OR($A177="",O177="",$C177=""),"",IF(COUNTIFS($A$5:$A$315,$A177,$C$5:$C$315,$C177-1,$D$5:$D$315,$D177,O$5:O$315,"&lt;&gt;")=0,"",IF(OR(SUMIFS(O$5:O$315,$A$5:$A$315,$A177,$C$5:$C$315,$C177-1,$D$5:$D$315,$D177)=0,O177*SUMIFS(O$5:O$315,$A$5:$A$315,$A177,$C$5:$C$315,$C177-1,$D$5:$D$315,$D177)&lt;0),"n.s.",ABS(O177)/ABS(SUMIFS(O$5:O$315,$A$5:$A$315,$A177,$C$5:$C$315,$C177-1,$D$5:$D$315,$D177))-1)))</f>
        <v/>
      </c>
    </row>
    <row r="178">
      <c r="A178" s="9" t="inlineStr">
        <is>
          <t>CBIBF</t>
        </is>
      </c>
      <c r="B178" s="10">
        <f>IF(A178="","",IFERROR(VLOOKUP(A178,Titres!$A$2:$B$400,2,FALSE),"Ticker inconnu"))</f>
        <v/>
      </c>
      <c r="C178" s="11" t="n">
        <v>2024</v>
      </c>
      <c r="D178" s="11" t="inlineStr">
        <is>
          <t>T3</t>
        </is>
      </c>
      <c r="E178" s="9" t="n"/>
      <c r="F178" s="12" t="n"/>
      <c r="G178" s="9" t="n"/>
      <c r="H178" s="13" t="n"/>
      <c r="I178" s="13" t="n"/>
      <c r="J178" s="13" t="n"/>
      <c r="K178" s="13" t="n"/>
      <c r="L178" s="13" t="n"/>
      <c r="M178" s="13" t="n"/>
      <c r="N178" s="13" t="n"/>
      <c r="O178" s="13" t="n"/>
      <c r="P178" s="14">
        <f>IF(A178="","",COUNT(H178:O178)/8)</f>
        <v/>
      </c>
      <c r="Q178" s="15">
        <f>IF(COUNT(H178:O178)=0,"",IF(LEN(IF(COUNT(H178,I178,J178)=3,IF(ABS(H178+I178-J178)&lt;=MAX(1,0.02*ABS(J178)),"","RBE &lt;&gt; PNB + frais "),"")&amp;IF(COUNT(J178,K178,L178)=3,IF(ABS(J178+K178-L178)&lt;=MAX(1,0.03*ABS(L178)),"","RAI &lt;&gt; RBE + coût du risque "),"")&amp;IF(COUNT(H178,M178)=2,IF(ABS(M178)&gt;ABS(H178),"RN &gt; PNB ",""),""))=0,"OK",IF(COUNT(H178,I178,J178)=3,IF(ABS(H178+I178-J178)&lt;=MAX(1,0.02*ABS(J178)),"","RBE &lt;&gt; PNB + frais "),"")&amp;IF(COUNT(J178,K178,L178)=3,IF(ABS(J178+K178-L178)&lt;=MAX(1,0.03*ABS(L178)),"","RAI &lt;&gt; RBE + coût du risque "),"")&amp;IF(COUNT(H178,M178)=2,IF(ABS(M178)&gt;ABS(H178),"RN &gt; PNB ",""),"")))</f>
        <v/>
      </c>
      <c r="R178" s="16">
        <f>IF(OR($A178="",H178="",$C178=""),"",IF(COUNTIFS($A$5:$A$315,$A178,$C$5:$C$315,$C178-1,$D$5:$D$315,$D178,H$5:H$315,"&lt;&gt;")=0,"",IF(OR(SUMIFS(H$5:H$315,$A$5:$A$315,$A178,$C$5:$C$315,$C178-1,$D$5:$D$315,$D178)=0,H178*SUMIFS(H$5:H$315,$A$5:$A$315,$A178,$C$5:$C$315,$C178-1,$D$5:$D$315,$D178)&lt;0),"n.s.",ABS(H178)/ABS(SUMIFS(H$5:H$315,$A$5:$A$315,$A178,$C$5:$C$315,$C178-1,$D$5:$D$315,$D178))-1)))</f>
        <v/>
      </c>
      <c r="S178" s="16">
        <f>IF(OR($A178="",I178="",$C178=""),"",IF(COUNTIFS($A$5:$A$315,$A178,$C$5:$C$315,$C178-1,$D$5:$D$315,$D178,I$5:I$315,"&lt;&gt;")=0,"",IF(OR(SUMIFS(I$5:I$315,$A$5:$A$315,$A178,$C$5:$C$315,$C178-1,$D$5:$D$315,$D178)=0,I178*SUMIFS(I$5:I$315,$A$5:$A$315,$A178,$C$5:$C$315,$C178-1,$D$5:$D$315,$D178)&lt;0),"n.s.",ABS(I178)/ABS(SUMIFS(I$5:I$315,$A$5:$A$315,$A178,$C$5:$C$315,$C178-1,$D$5:$D$315,$D178))-1)))</f>
        <v/>
      </c>
      <c r="T178" s="16">
        <f>IF(OR($A178="",J178="",$C178=""),"",IF(COUNTIFS($A$5:$A$315,$A178,$C$5:$C$315,$C178-1,$D$5:$D$315,$D178,J$5:J$315,"&lt;&gt;")=0,"",IF(OR(SUMIFS(J$5:J$315,$A$5:$A$315,$A178,$C$5:$C$315,$C178-1,$D$5:$D$315,$D178)=0,J178*SUMIFS(J$5:J$315,$A$5:$A$315,$A178,$C$5:$C$315,$C178-1,$D$5:$D$315,$D178)&lt;0),"n.s.",ABS(J178)/ABS(SUMIFS(J$5:J$315,$A$5:$A$315,$A178,$C$5:$C$315,$C178-1,$D$5:$D$315,$D178))-1)))</f>
        <v/>
      </c>
      <c r="U178" s="16">
        <f>IF(OR($A178="",K178="",$C178=""),"",IF(COUNTIFS($A$5:$A$315,$A178,$C$5:$C$315,$C178-1,$D$5:$D$315,$D178,K$5:K$315,"&lt;&gt;")=0,"",IF(OR(SUMIFS(K$5:K$315,$A$5:$A$315,$A178,$C$5:$C$315,$C178-1,$D$5:$D$315,$D178)=0,K178*SUMIFS(K$5:K$315,$A$5:$A$315,$A178,$C$5:$C$315,$C178-1,$D$5:$D$315,$D178)&lt;0),"n.s.",ABS(K178)/ABS(SUMIFS(K$5:K$315,$A$5:$A$315,$A178,$C$5:$C$315,$C178-1,$D$5:$D$315,$D178))-1)))</f>
        <v/>
      </c>
      <c r="V178" s="16">
        <f>IF(OR($A178="",L178="",$C178=""),"",IF(COUNTIFS($A$5:$A$315,$A178,$C$5:$C$315,$C178-1,$D$5:$D$315,$D178,L$5:L$315,"&lt;&gt;")=0,"",IF(OR(SUMIFS(L$5:L$315,$A$5:$A$315,$A178,$C$5:$C$315,$C178-1,$D$5:$D$315,$D178)=0,L178*SUMIFS(L$5:L$315,$A$5:$A$315,$A178,$C$5:$C$315,$C178-1,$D$5:$D$315,$D178)&lt;0),"n.s.",ABS(L178)/ABS(SUMIFS(L$5:L$315,$A$5:$A$315,$A178,$C$5:$C$315,$C178-1,$D$5:$D$315,$D178))-1)))</f>
        <v/>
      </c>
      <c r="W178" s="16">
        <f>IF(OR($A178="",M178="",$C178=""),"",IF(COUNTIFS($A$5:$A$315,$A178,$C$5:$C$315,$C178-1,$D$5:$D$315,$D178,M$5:M$315,"&lt;&gt;")=0,"",IF(OR(SUMIFS(M$5:M$315,$A$5:$A$315,$A178,$C$5:$C$315,$C178-1,$D$5:$D$315,$D178)=0,M178*SUMIFS(M$5:M$315,$A$5:$A$315,$A178,$C$5:$C$315,$C178-1,$D$5:$D$315,$D178)&lt;0),"n.s.",ABS(M178)/ABS(SUMIFS(M$5:M$315,$A$5:$A$315,$A178,$C$5:$C$315,$C178-1,$D$5:$D$315,$D178))-1)))</f>
        <v/>
      </c>
      <c r="X178" s="16">
        <f>IF(OR($A178="",N178="",$C178=""),"",IF(COUNTIFS($A$5:$A$315,$A178,$C$5:$C$315,$C178-1,$D$5:$D$315,$D178,N$5:N$315,"&lt;&gt;")=0,"",IF(OR(SUMIFS(N$5:N$315,$A$5:$A$315,$A178,$C$5:$C$315,$C178-1,$D$5:$D$315,$D178)=0,N178*SUMIFS(N$5:N$315,$A$5:$A$315,$A178,$C$5:$C$315,$C178-1,$D$5:$D$315,$D178)&lt;0),"n.s.",ABS(N178)/ABS(SUMIFS(N$5:N$315,$A$5:$A$315,$A178,$C$5:$C$315,$C178-1,$D$5:$D$315,$D178))-1)))</f>
        <v/>
      </c>
      <c r="Y178" s="16">
        <f>IF(OR($A178="",O178="",$C178=""),"",IF(COUNTIFS($A$5:$A$315,$A178,$C$5:$C$315,$C178-1,$D$5:$D$315,$D178,O$5:O$315,"&lt;&gt;")=0,"",IF(OR(SUMIFS(O$5:O$315,$A$5:$A$315,$A178,$C$5:$C$315,$C178-1,$D$5:$D$315,$D178)=0,O178*SUMIFS(O$5:O$315,$A$5:$A$315,$A178,$C$5:$C$315,$C178-1,$D$5:$D$315,$D178)&lt;0),"n.s.",ABS(O178)/ABS(SUMIFS(O$5:O$315,$A$5:$A$315,$A178,$C$5:$C$315,$C178-1,$D$5:$D$315,$D178))-1)))</f>
        <v/>
      </c>
    </row>
    <row r="179">
      <c r="A179" s="9" t="inlineStr">
        <is>
          <t>CBIBF</t>
        </is>
      </c>
      <c r="B179" s="10">
        <f>IF(A179="","",IFERROR(VLOOKUP(A179,Titres!$A$2:$B$400,2,FALSE),"Ticker inconnu"))</f>
        <v/>
      </c>
      <c r="C179" s="11" t="n">
        <v>2025</v>
      </c>
      <c r="D179" s="11" t="inlineStr">
        <is>
          <t>T1</t>
        </is>
      </c>
      <c r="E179" s="9" t="n"/>
      <c r="F179" s="12" t="n"/>
      <c r="G179" s="9" t="n"/>
      <c r="H179" s="13" t="n"/>
      <c r="I179" s="13" t="n"/>
      <c r="J179" s="13" t="n"/>
      <c r="K179" s="13" t="n"/>
      <c r="L179" s="13" t="n"/>
      <c r="M179" s="13" t="n"/>
      <c r="N179" s="13" t="n"/>
      <c r="O179" s="13" t="n"/>
      <c r="P179" s="14">
        <f>IF(A179="","",COUNT(H179:O179)/8)</f>
        <v/>
      </c>
      <c r="Q179" s="15">
        <f>IF(COUNT(H179:O179)=0,"",IF(LEN(IF(COUNT(H179,I179,J179)=3,IF(ABS(H179+I179-J179)&lt;=MAX(1,0.02*ABS(J179)),"","RBE &lt;&gt; PNB + frais "),"")&amp;IF(COUNT(J179,K179,L179)=3,IF(ABS(J179+K179-L179)&lt;=MAX(1,0.03*ABS(L179)),"","RAI &lt;&gt; RBE + coût du risque "),"")&amp;IF(COUNT(H179,M179)=2,IF(ABS(M179)&gt;ABS(H179),"RN &gt; PNB ",""),""))=0,"OK",IF(COUNT(H179,I179,J179)=3,IF(ABS(H179+I179-J179)&lt;=MAX(1,0.02*ABS(J179)),"","RBE &lt;&gt; PNB + frais "),"")&amp;IF(COUNT(J179,K179,L179)=3,IF(ABS(J179+K179-L179)&lt;=MAX(1,0.03*ABS(L179)),"","RAI &lt;&gt; RBE + coût du risque "),"")&amp;IF(COUNT(H179,M179)=2,IF(ABS(M179)&gt;ABS(H179),"RN &gt; PNB ",""),"")))</f>
        <v/>
      </c>
      <c r="R179" s="16">
        <f>IF(OR($A179="",H179="",$C179=""),"",IF(COUNTIFS($A$5:$A$315,$A179,$C$5:$C$315,$C179-1,$D$5:$D$315,$D179,H$5:H$315,"&lt;&gt;")=0,"",IF(OR(SUMIFS(H$5:H$315,$A$5:$A$315,$A179,$C$5:$C$315,$C179-1,$D$5:$D$315,$D179)=0,H179*SUMIFS(H$5:H$315,$A$5:$A$315,$A179,$C$5:$C$315,$C179-1,$D$5:$D$315,$D179)&lt;0),"n.s.",ABS(H179)/ABS(SUMIFS(H$5:H$315,$A$5:$A$315,$A179,$C$5:$C$315,$C179-1,$D$5:$D$315,$D179))-1)))</f>
        <v/>
      </c>
      <c r="S179" s="16">
        <f>IF(OR($A179="",I179="",$C179=""),"",IF(COUNTIFS($A$5:$A$315,$A179,$C$5:$C$315,$C179-1,$D$5:$D$315,$D179,I$5:I$315,"&lt;&gt;")=0,"",IF(OR(SUMIFS(I$5:I$315,$A$5:$A$315,$A179,$C$5:$C$315,$C179-1,$D$5:$D$315,$D179)=0,I179*SUMIFS(I$5:I$315,$A$5:$A$315,$A179,$C$5:$C$315,$C179-1,$D$5:$D$315,$D179)&lt;0),"n.s.",ABS(I179)/ABS(SUMIFS(I$5:I$315,$A$5:$A$315,$A179,$C$5:$C$315,$C179-1,$D$5:$D$315,$D179))-1)))</f>
        <v/>
      </c>
      <c r="T179" s="16">
        <f>IF(OR($A179="",J179="",$C179=""),"",IF(COUNTIFS($A$5:$A$315,$A179,$C$5:$C$315,$C179-1,$D$5:$D$315,$D179,J$5:J$315,"&lt;&gt;")=0,"",IF(OR(SUMIFS(J$5:J$315,$A$5:$A$315,$A179,$C$5:$C$315,$C179-1,$D$5:$D$315,$D179)=0,J179*SUMIFS(J$5:J$315,$A$5:$A$315,$A179,$C$5:$C$315,$C179-1,$D$5:$D$315,$D179)&lt;0),"n.s.",ABS(J179)/ABS(SUMIFS(J$5:J$315,$A$5:$A$315,$A179,$C$5:$C$315,$C179-1,$D$5:$D$315,$D179))-1)))</f>
        <v/>
      </c>
      <c r="U179" s="16">
        <f>IF(OR($A179="",K179="",$C179=""),"",IF(COUNTIFS($A$5:$A$315,$A179,$C$5:$C$315,$C179-1,$D$5:$D$315,$D179,K$5:K$315,"&lt;&gt;")=0,"",IF(OR(SUMIFS(K$5:K$315,$A$5:$A$315,$A179,$C$5:$C$315,$C179-1,$D$5:$D$315,$D179)=0,K179*SUMIFS(K$5:K$315,$A$5:$A$315,$A179,$C$5:$C$315,$C179-1,$D$5:$D$315,$D179)&lt;0),"n.s.",ABS(K179)/ABS(SUMIFS(K$5:K$315,$A$5:$A$315,$A179,$C$5:$C$315,$C179-1,$D$5:$D$315,$D179))-1)))</f>
        <v/>
      </c>
      <c r="V179" s="16">
        <f>IF(OR($A179="",L179="",$C179=""),"",IF(COUNTIFS($A$5:$A$315,$A179,$C$5:$C$315,$C179-1,$D$5:$D$315,$D179,L$5:L$315,"&lt;&gt;")=0,"",IF(OR(SUMIFS(L$5:L$315,$A$5:$A$315,$A179,$C$5:$C$315,$C179-1,$D$5:$D$315,$D179)=0,L179*SUMIFS(L$5:L$315,$A$5:$A$315,$A179,$C$5:$C$315,$C179-1,$D$5:$D$315,$D179)&lt;0),"n.s.",ABS(L179)/ABS(SUMIFS(L$5:L$315,$A$5:$A$315,$A179,$C$5:$C$315,$C179-1,$D$5:$D$315,$D179))-1)))</f>
        <v/>
      </c>
      <c r="W179" s="16">
        <f>IF(OR($A179="",M179="",$C179=""),"",IF(COUNTIFS($A$5:$A$315,$A179,$C$5:$C$315,$C179-1,$D$5:$D$315,$D179,M$5:M$315,"&lt;&gt;")=0,"",IF(OR(SUMIFS(M$5:M$315,$A$5:$A$315,$A179,$C$5:$C$315,$C179-1,$D$5:$D$315,$D179)=0,M179*SUMIFS(M$5:M$315,$A$5:$A$315,$A179,$C$5:$C$315,$C179-1,$D$5:$D$315,$D179)&lt;0),"n.s.",ABS(M179)/ABS(SUMIFS(M$5:M$315,$A$5:$A$315,$A179,$C$5:$C$315,$C179-1,$D$5:$D$315,$D179))-1)))</f>
        <v/>
      </c>
      <c r="X179" s="16">
        <f>IF(OR($A179="",N179="",$C179=""),"",IF(COUNTIFS($A$5:$A$315,$A179,$C$5:$C$315,$C179-1,$D$5:$D$315,$D179,N$5:N$315,"&lt;&gt;")=0,"",IF(OR(SUMIFS(N$5:N$315,$A$5:$A$315,$A179,$C$5:$C$315,$C179-1,$D$5:$D$315,$D179)=0,N179*SUMIFS(N$5:N$315,$A$5:$A$315,$A179,$C$5:$C$315,$C179-1,$D$5:$D$315,$D179)&lt;0),"n.s.",ABS(N179)/ABS(SUMIFS(N$5:N$315,$A$5:$A$315,$A179,$C$5:$C$315,$C179-1,$D$5:$D$315,$D179))-1)))</f>
        <v/>
      </c>
      <c r="Y179" s="16">
        <f>IF(OR($A179="",O179="",$C179=""),"",IF(COUNTIFS($A$5:$A$315,$A179,$C$5:$C$315,$C179-1,$D$5:$D$315,$D179,O$5:O$315,"&lt;&gt;")=0,"",IF(OR(SUMIFS(O$5:O$315,$A$5:$A$315,$A179,$C$5:$C$315,$C179-1,$D$5:$D$315,$D179)=0,O179*SUMIFS(O$5:O$315,$A$5:$A$315,$A179,$C$5:$C$315,$C179-1,$D$5:$D$315,$D179)&lt;0),"n.s.",ABS(O179)/ABS(SUMIFS(O$5:O$315,$A$5:$A$315,$A179,$C$5:$C$315,$C179-1,$D$5:$D$315,$D179))-1)))</f>
        <v/>
      </c>
    </row>
    <row r="180">
      <c r="A180" s="9" t="inlineStr">
        <is>
          <t>CBIBF</t>
        </is>
      </c>
      <c r="B180" s="10">
        <f>IF(A180="","",IFERROR(VLOOKUP(A180,Titres!$A$2:$B$400,2,FALSE),"Ticker inconnu"))</f>
        <v/>
      </c>
      <c r="C180" s="11" t="n">
        <v>2025</v>
      </c>
      <c r="D180" s="11" t="inlineStr">
        <is>
          <t>S1</t>
        </is>
      </c>
      <c r="E180" s="9" t="n"/>
      <c r="F180" s="12" t="n"/>
      <c r="G180" s="9" t="n"/>
      <c r="H180" s="13" t="n"/>
      <c r="I180" s="13" t="n"/>
      <c r="J180" s="13" t="n"/>
      <c r="K180" s="13" t="n"/>
      <c r="L180" s="13" t="n"/>
      <c r="M180" s="13" t="n"/>
      <c r="N180" s="13" t="n"/>
      <c r="O180" s="13" t="n"/>
      <c r="P180" s="14">
        <f>IF(A180="","",COUNT(H180:O180)/8)</f>
        <v/>
      </c>
      <c r="Q180" s="15">
        <f>IF(COUNT(H180:O180)=0,"",IF(LEN(IF(COUNT(H180,I180,J180)=3,IF(ABS(H180+I180-J180)&lt;=MAX(1,0.02*ABS(J180)),"","RBE &lt;&gt; PNB + frais "),"")&amp;IF(COUNT(J180,K180,L180)=3,IF(ABS(J180+K180-L180)&lt;=MAX(1,0.03*ABS(L180)),"","RAI &lt;&gt; RBE + coût du risque "),"")&amp;IF(COUNT(H180,M180)=2,IF(ABS(M180)&gt;ABS(H180),"RN &gt; PNB ",""),""))=0,"OK",IF(COUNT(H180,I180,J180)=3,IF(ABS(H180+I180-J180)&lt;=MAX(1,0.02*ABS(J180)),"","RBE &lt;&gt; PNB + frais "),"")&amp;IF(COUNT(J180,K180,L180)=3,IF(ABS(J180+K180-L180)&lt;=MAX(1,0.03*ABS(L180)),"","RAI &lt;&gt; RBE + coût du risque "),"")&amp;IF(COUNT(H180,M180)=2,IF(ABS(M180)&gt;ABS(H180),"RN &gt; PNB ",""),"")))</f>
        <v/>
      </c>
      <c r="R180" s="16">
        <f>IF(OR($A180="",H180="",$C180=""),"",IF(COUNTIFS($A$5:$A$315,$A180,$C$5:$C$315,$C180-1,$D$5:$D$315,$D180,H$5:H$315,"&lt;&gt;")=0,"",IF(OR(SUMIFS(H$5:H$315,$A$5:$A$315,$A180,$C$5:$C$315,$C180-1,$D$5:$D$315,$D180)=0,H180*SUMIFS(H$5:H$315,$A$5:$A$315,$A180,$C$5:$C$315,$C180-1,$D$5:$D$315,$D180)&lt;0),"n.s.",ABS(H180)/ABS(SUMIFS(H$5:H$315,$A$5:$A$315,$A180,$C$5:$C$315,$C180-1,$D$5:$D$315,$D180))-1)))</f>
        <v/>
      </c>
      <c r="S180" s="16">
        <f>IF(OR($A180="",I180="",$C180=""),"",IF(COUNTIFS($A$5:$A$315,$A180,$C$5:$C$315,$C180-1,$D$5:$D$315,$D180,I$5:I$315,"&lt;&gt;")=0,"",IF(OR(SUMIFS(I$5:I$315,$A$5:$A$315,$A180,$C$5:$C$315,$C180-1,$D$5:$D$315,$D180)=0,I180*SUMIFS(I$5:I$315,$A$5:$A$315,$A180,$C$5:$C$315,$C180-1,$D$5:$D$315,$D180)&lt;0),"n.s.",ABS(I180)/ABS(SUMIFS(I$5:I$315,$A$5:$A$315,$A180,$C$5:$C$315,$C180-1,$D$5:$D$315,$D180))-1)))</f>
        <v/>
      </c>
      <c r="T180" s="16">
        <f>IF(OR($A180="",J180="",$C180=""),"",IF(COUNTIFS($A$5:$A$315,$A180,$C$5:$C$315,$C180-1,$D$5:$D$315,$D180,J$5:J$315,"&lt;&gt;")=0,"",IF(OR(SUMIFS(J$5:J$315,$A$5:$A$315,$A180,$C$5:$C$315,$C180-1,$D$5:$D$315,$D180)=0,J180*SUMIFS(J$5:J$315,$A$5:$A$315,$A180,$C$5:$C$315,$C180-1,$D$5:$D$315,$D180)&lt;0),"n.s.",ABS(J180)/ABS(SUMIFS(J$5:J$315,$A$5:$A$315,$A180,$C$5:$C$315,$C180-1,$D$5:$D$315,$D180))-1)))</f>
        <v/>
      </c>
      <c r="U180" s="16">
        <f>IF(OR($A180="",K180="",$C180=""),"",IF(COUNTIFS($A$5:$A$315,$A180,$C$5:$C$315,$C180-1,$D$5:$D$315,$D180,K$5:K$315,"&lt;&gt;")=0,"",IF(OR(SUMIFS(K$5:K$315,$A$5:$A$315,$A180,$C$5:$C$315,$C180-1,$D$5:$D$315,$D180)=0,K180*SUMIFS(K$5:K$315,$A$5:$A$315,$A180,$C$5:$C$315,$C180-1,$D$5:$D$315,$D180)&lt;0),"n.s.",ABS(K180)/ABS(SUMIFS(K$5:K$315,$A$5:$A$315,$A180,$C$5:$C$315,$C180-1,$D$5:$D$315,$D180))-1)))</f>
        <v/>
      </c>
      <c r="V180" s="16">
        <f>IF(OR($A180="",L180="",$C180=""),"",IF(COUNTIFS($A$5:$A$315,$A180,$C$5:$C$315,$C180-1,$D$5:$D$315,$D180,L$5:L$315,"&lt;&gt;")=0,"",IF(OR(SUMIFS(L$5:L$315,$A$5:$A$315,$A180,$C$5:$C$315,$C180-1,$D$5:$D$315,$D180)=0,L180*SUMIFS(L$5:L$315,$A$5:$A$315,$A180,$C$5:$C$315,$C180-1,$D$5:$D$315,$D180)&lt;0),"n.s.",ABS(L180)/ABS(SUMIFS(L$5:L$315,$A$5:$A$315,$A180,$C$5:$C$315,$C180-1,$D$5:$D$315,$D180))-1)))</f>
        <v/>
      </c>
      <c r="W180" s="16">
        <f>IF(OR($A180="",M180="",$C180=""),"",IF(COUNTIFS($A$5:$A$315,$A180,$C$5:$C$315,$C180-1,$D$5:$D$315,$D180,M$5:M$315,"&lt;&gt;")=0,"",IF(OR(SUMIFS(M$5:M$315,$A$5:$A$315,$A180,$C$5:$C$315,$C180-1,$D$5:$D$315,$D180)=0,M180*SUMIFS(M$5:M$315,$A$5:$A$315,$A180,$C$5:$C$315,$C180-1,$D$5:$D$315,$D180)&lt;0),"n.s.",ABS(M180)/ABS(SUMIFS(M$5:M$315,$A$5:$A$315,$A180,$C$5:$C$315,$C180-1,$D$5:$D$315,$D180))-1)))</f>
        <v/>
      </c>
      <c r="X180" s="16">
        <f>IF(OR($A180="",N180="",$C180=""),"",IF(COUNTIFS($A$5:$A$315,$A180,$C$5:$C$315,$C180-1,$D$5:$D$315,$D180,N$5:N$315,"&lt;&gt;")=0,"",IF(OR(SUMIFS(N$5:N$315,$A$5:$A$315,$A180,$C$5:$C$315,$C180-1,$D$5:$D$315,$D180)=0,N180*SUMIFS(N$5:N$315,$A$5:$A$315,$A180,$C$5:$C$315,$C180-1,$D$5:$D$315,$D180)&lt;0),"n.s.",ABS(N180)/ABS(SUMIFS(N$5:N$315,$A$5:$A$315,$A180,$C$5:$C$315,$C180-1,$D$5:$D$315,$D180))-1)))</f>
        <v/>
      </c>
      <c r="Y180" s="16">
        <f>IF(OR($A180="",O180="",$C180=""),"",IF(COUNTIFS($A$5:$A$315,$A180,$C$5:$C$315,$C180-1,$D$5:$D$315,$D180,O$5:O$315,"&lt;&gt;")=0,"",IF(OR(SUMIFS(O$5:O$315,$A$5:$A$315,$A180,$C$5:$C$315,$C180-1,$D$5:$D$315,$D180)=0,O180*SUMIFS(O$5:O$315,$A$5:$A$315,$A180,$C$5:$C$315,$C180-1,$D$5:$D$315,$D180)&lt;0),"n.s.",ABS(O180)/ABS(SUMIFS(O$5:O$315,$A$5:$A$315,$A180,$C$5:$C$315,$C180-1,$D$5:$D$315,$D180))-1)))</f>
        <v/>
      </c>
    </row>
    <row r="181">
      <c r="A181" s="9" t="inlineStr">
        <is>
          <t>CBIBF</t>
        </is>
      </c>
      <c r="B181" s="10">
        <f>IF(A181="","",IFERROR(VLOOKUP(A181,Titres!$A$2:$B$400,2,FALSE),"Ticker inconnu"))</f>
        <v/>
      </c>
      <c r="C181" s="11" t="n">
        <v>2025</v>
      </c>
      <c r="D181" s="11" t="inlineStr">
        <is>
          <t>T3</t>
        </is>
      </c>
      <c r="E181" s="9" t="n"/>
      <c r="F181" s="12" t="n"/>
      <c r="G181" s="9" t="n"/>
      <c r="H181" s="13" t="n"/>
      <c r="I181" s="13" t="n"/>
      <c r="J181" s="13" t="n"/>
      <c r="K181" s="13" t="n"/>
      <c r="L181" s="13" t="n"/>
      <c r="M181" s="13" t="n"/>
      <c r="N181" s="13" t="n"/>
      <c r="O181" s="13" t="n"/>
      <c r="P181" s="14">
        <f>IF(A181="","",COUNT(H181:O181)/8)</f>
        <v/>
      </c>
      <c r="Q181" s="15">
        <f>IF(COUNT(H181:O181)=0,"",IF(LEN(IF(COUNT(H181,I181,J181)=3,IF(ABS(H181+I181-J181)&lt;=MAX(1,0.02*ABS(J181)),"","RBE &lt;&gt; PNB + frais "),"")&amp;IF(COUNT(J181,K181,L181)=3,IF(ABS(J181+K181-L181)&lt;=MAX(1,0.03*ABS(L181)),"","RAI &lt;&gt; RBE + coût du risque "),"")&amp;IF(COUNT(H181,M181)=2,IF(ABS(M181)&gt;ABS(H181),"RN &gt; PNB ",""),""))=0,"OK",IF(COUNT(H181,I181,J181)=3,IF(ABS(H181+I181-J181)&lt;=MAX(1,0.02*ABS(J181)),"","RBE &lt;&gt; PNB + frais "),"")&amp;IF(COUNT(J181,K181,L181)=3,IF(ABS(J181+K181-L181)&lt;=MAX(1,0.03*ABS(L181)),"","RAI &lt;&gt; RBE + coût du risque "),"")&amp;IF(COUNT(H181,M181)=2,IF(ABS(M181)&gt;ABS(H181),"RN &gt; PNB ",""),"")))</f>
        <v/>
      </c>
      <c r="R181" s="16">
        <f>IF(OR($A181="",H181="",$C181=""),"",IF(COUNTIFS($A$5:$A$315,$A181,$C$5:$C$315,$C181-1,$D$5:$D$315,$D181,H$5:H$315,"&lt;&gt;")=0,"",IF(OR(SUMIFS(H$5:H$315,$A$5:$A$315,$A181,$C$5:$C$315,$C181-1,$D$5:$D$315,$D181)=0,H181*SUMIFS(H$5:H$315,$A$5:$A$315,$A181,$C$5:$C$315,$C181-1,$D$5:$D$315,$D181)&lt;0),"n.s.",ABS(H181)/ABS(SUMIFS(H$5:H$315,$A$5:$A$315,$A181,$C$5:$C$315,$C181-1,$D$5:$D$315,$D181))-1)))</f>
        <v/>
      </c>
      <c r="S181" s="16">
        <f>IF(OR($A181="",I181="",$C181=""),"",IF(COUNTIFS($A$5:$A$315,$A181,$C$5:$C$315,$C181-1,$D$5:$D$315,$D181,I$5:I$315,"&lt;&gt;")=0,"",IF(OR(SUMIFS(I$5:I$315,$A$5:$A$315,$A181,$C$5:$C$315,$C181-1,$D$5:$D$315,$D181)=0,I181*SUMIFS(I$5:I$315,$A$5:$A$315,$A181,$C$5:$C$315,$C181-1,$D$5:$D$315,$D181)&lt;0),"n.s.",ABS(I181)/ABS(SUMIFS(I$5:I$315,$A$5:$A$315,$A181,$C$5:$C$315,$C181-1,$D$5:$D$315,$D181))-1)))</f>
        <v/>
      </c>
      <c r="T181" s="16">
        <f>IF(OR($A181="",J181="",$C181=""),"",IF(COUNTIFS($A$5:$A$315,$A181,$C$5:$C$315,$C181-1,$D$5:$D$315,$D181,J$5:J$315,"&lt;&gt;")=0,"",IF(OR(SUMIFS(J$5:J$315,$A$5:$A$315,$A181,$C$5:$C$315,$C181-1,$D$5:$D$315,$D181)=0,J181*SUMIFS(J$5:J$315,$A$5:$A$315,$A181,$C$5:$C$315,$C181-1,$D$5:$D$315,$D181)&lt;0),"n.s.",ABS(J181)/ABS(SUMIFS(J$5:J$315,$A$5:$A$315,$A181,$C$5:$C$315,$C181-1,$D$5:$D$315,$D181))-1)))</f>
        <v/>
      </c>
      <c r="U181" s="16">
        <f>IF(OR($A181="",K181="",$C181=""),"",IF(COUNTIFS($A$5:$A$315,$A181,$C$5:$C$315,$C181-1,$D$5:$D$315,$D181,K$5:K$315,"&lt;&gt;")=0,"",IF(OR(SUMIFS(K$5:K$315,$A$5:$A$315,$A181,$C$5:$C$315,$C181-1,$D$5:$D$315,$D181)=0,K181*SUMIFS(K$5:K$315,$A$5:$A$315,$A181,$C$5:$C$315,$C181-1,$D$5:$D$315,$D181)&lt;0),"n.s.",ABS(K181)/ABS(SUMIFS(K$5:K$315,$A$5:$A$315,$A181,$C$5:$C$315,$C181-1,$D$5:$D$315,$D181))-1)))</f>
        <v/>
      </c>
      <c r="V181" s="16">
        <f>IF(OR($A181="",L181="",$C181=""),"",IF(COUNTIFS($A$5:$A$315,$A181,$C$5:$C$315,$C181-1,$D$5:$D$315,$D181,L$5:L$315,"&lt;&gt;")=0,"",IF(OR(SUMIFS(L$5:L$315,$A$5:$A$315,$A181,$C$5:$C$315,$C181-1,$D$5:$D$315,$D181)=0,L181*SUMIFS(L$5:L$315,$A$5:$A$315,$A181,$C$5:$C$315,$C181-1,$D$5:$D$315,$D181)&lt;0),"n.s.",ABS(L181)/ABS(SUMIFS(L$5:L$315,$A$5:$A$315,$A181,$C$5:$C$315,$C181-1,$D$5:$D$315,$D181))-1)))</f>
        <v/>
      </c>
      <c r="W181" s="16">
        <f>IF(OR($A181="",M181="",$C181=""),"",IF(COUNTIFS($A$5:$A$315,$A181,$C$5:$C$315,$C181-1,$D$5:$D$315,$D181,M$5:M$315,"&lt;&gt;")=0,"",IF(OR(SUMIFS(M$5:M$315,$A$5:$A$315,$A181,$C$5:$C$315,$C181-1,$D$5:$D$315,$D181)=0,M181*SUMIFS(M$5:M$315,$A$5:$A$315,$A181,$C$5:$C$315,$C181-1,$D$5:$D$315,$D181)&lt;0),"n.s.",ABS(M181)/ABS(SUMIFS(M$5:M$315,$A$5:$A$315,$A181,$C$5:$C$315,$C181-1,$D$5:$D$315,$D181))-1)))</f>
        <v/>
      </c>
      <c r="X181" s="16">
        <f>IF(OR($A181="",N181="",$C181=""),"",IF(COUNTIFS($A$5:$A$315,$A181,$C$5:$C$315,$C181-1,$D$5:$D$315,$D181,N$5:N$315,"&lt;&gt;")=0,"",IF(OR(SUMIFS(N$5:N$315,$A$5:$A$315,$A181,$C$5:$C$315,$C181-1,$D$5:$D$315,$D181)=0,N181*SUMIFS(N$5:N$315,$A$5:$A$315,$A181,$C$5:$C$315,$C181-1,$D$5:$D$315,$D181)&lt;0),"n.s.",ABS(N181)/ABS(SUMIFS(N$5:N$315,$A$5:$A$315,$A181,$C$5:$C$315,$C181-1,$D$5:$D$315,$D181))-1)))</f>
        <v/>
      </c>
      <c r="Y181" s="16">
        <f>IF(OR($A181="",O181="",$C181=""),"",IF(COUNTIFS($A$5:$A$315,$A181,$C$5:$C$315,$C181-1,$D$5:$D$315,$D181,O$5:O$315,"&lt;&gt;")=0,"",IF(OR(SUMIFS(O$5:O$315,$A$5:$A$315,$A181,$C$5:$C$315,$C181-1,$D$5:$D$315,$D181)=0,O181*SUMIFS(O$5:O$315,$A$5:$A$315,$A181,$C$5:$C$315,$C181-1,$D$5:$D$315,$D181)&lt;0),"n.s.",ABS(O181)/ABS(SUMIFS(O$5:O$315,$A$5:$A$315,$A181,$C$5:$C$315,$C181-1,$D$5:$D$315,$D181))-1)))</f>
        <v/>
      </c>
    </row>
    <row r="182">
      <c r="A182" s="9" t="inlineStr">
        <is>
          <t>CBIBF</t>
        </is>
      </c>
      <c r="B182" s="10">
        <f>IF(A182="","",IFERROR(VLOOKUP(A182,Titres!$A$2:$B$400,2,FALSE),"Ticker inconnu"))</f>
        <v/>
      </c>
      <c r="C182" s="11" t="n">
        <v>2026</v>
      </c>
      <c r="D182" s="11" t="inlineStr">
        <is>
          <t>T1</t>
        </is>
      </c>
      <c r="E182" s="9" t="n"/>
      <c r="F182" s="12" t="n"/>
      <c r="G182" s="9" t="n"/>
      <c r="H182" s="13" t="n"/>
      <c r="I182" s="13" t="n"/>
      <c r="J182" s="13" t="n"/>
      <c r="K182" s="13" t="n"/>
      <c r="L182" s="13" t="n"/>
      <c r="M182" s="13" t="n"/>
      <c r="N182" s="13" t="n"/>
      <c r="O182" s="13" t="n"/>
      <c r="P182" s="14">
        <f>IF(A182="","",COUNT(H182:O182)/8)</f>
        <v/>
      </c>
      <c r="Q182" s="15">
        <f>IF(COUNT(H182:O182)=0,"",IF(LEN(IF(COUNT(H182,I182,J182)=3,IF(ABS(H182+I182-J182)&lt;=MAX(1,0.02*ABS(J182)),"","RBE &lt;&gt; PNB + frais "),"")&amp;IF(COUNT(J182,K182,L182)=3,IF(ABS(J182+K182-L182)&lt;=MAX(1,0.03*ABS(L182)),"","RAI &lt;&gt; RBE + coût du risque "),"")&amp;IF(COUNT(H182,M182)=2,IF(ABS(M182)&gt;ABS(H182),"RN &gt; PNB ",""),""))=0,"OK",IF(COUNT(H182,I182,J182)=3,IF(ABS(H182+I182-J182)&lt;=MAX(1,0.02*ABS(J182)),"","RBE &lt;&gt; PNB + frais "),"")&amp;IF(COUNT(J182,K182,L182)=3,IF(ABS(J182+K182-L182)&lt;=MAX(1,0.03*ABS(L182)),"","RAI &lt;&gt; RBE + coût du risque "),"")&amp;IF(COUNT(H182,M182)=2,IF(ABS(M182)&gt;ABS(H182),"RN &gt; PNB ",""),"")))</f>
        <v/>
      </c>
      <c r="R182" s="16">
        <f>IF(OR($A182="",H182="",$C182=""),"",IF(COUNTIFS($A$5:$A$315,$A182,$C$5:$C$315,$C182-1,$D$5:$D$315,$D182,H$5:H$315,"&lt;&gt;")=0,"",IF(OR(SUMIFS(H$5:H$315,$A$5:$A$315,$A182,$C$5:$C$315,$C182-1,$D$5:$D$315,$D182)=0,H182*SUMIFS(H$5:H$315,$A$5:$A$315,$A182,$C$5:$C$315,$C182-1,$D$5:$D$315,$D182)&lt;0),"n.s.",ABS(H182)/ABS(SUMIFS(H$5:H$315,$A$5:$A$315,$A182,$C$5:$C$315,$C182-1,$D$5:$D$315,$D182))-1)))</f>
        <v/>
      </c>
      <c r="S182" s="16">
        <f>IF(OR($A182="",I182="",$C182=""),"",IF(COUNTIFS($A$5:$A$315,$A182,$C$5:$C$315,$C182-1,$D$5:$D$315,$D182,I$5:I$315,"&lt;&gt;")=0,"",IF(OR(SUMIFS(I$5:I$315,$A$5:$A$315,$A182,$C$5:$C$315,$C182-1,$D$5:$D$315,$D182)=0,I182*SUMIFS(I$5:I$315,$A$5:$A$315,$A182,$C$5:$C$315,$C182-1,$D$5:$D$315,$D182)&lt;0),"n.s.",ABS(I182)/ABS(SUMIFS(I$5:I$315,$A$5:$A$315,$A182,$C$5:$C$315,$C182-1,$D$5:$D$315,$D182))-1)))</f>
        <v/>
      </c>
      <c r="T182" s="16">
        <f>IF(OR($A182="",J182="",$C182=""),"",IF(COUNTIFS($A$5:$A$315,$A182,$C$5:$C$315,$C182-1,$D$5:$D$315,$D182,J$5:J$315,"&lt;&gt;")=0,"",IF(OR(SUMIFS(J$5:J$315,$A$5:$A$315,$A182,$C$5:$C$315,$C182-1,$D$5:$D$315,$D182)=0,J182*SUMIFS(J$5:J$315,$A$5:$A$315,$A182,$C$5:$C$315,$C182-1,$D$5:$D$315,$D182)&lt;0),"n.s.",ABS(J182)/ABS(SUMIFS(J$5:J$315,$A$5:$A$315,$A182,$C$5:$C$315,$C182-1,$D$5:$D$315,$D182))-1)))</f>
        <v/>
      </c>
      <c r="U182" s="16">
        <f>IF(OR($A182="",K182="",$C182=""),"",IF(COUNTIFS($A$5:$A$315,$A182,$C$5:$C$315,$C182-1,$D$5:$D$315,$D182,K$5:K$315,"&lt;&gt;")=0,"",IF(OR(SUMIFS(K$5:K$315,$A$5:$A$315,$A182,$C$5:$C$315,$C182-1,$D$5:$D$315,$D182)=0,K182*SUMIFS(K$5:K$315,$A$5:$A$315,$A182,$C$5:$C$315,$C182-1,$D$5:$D$315,$D182)&lt;0),"n.s.",ABS(K182)/ABS(SUMIFS(K$5:K$315,$A$5:$A$315,$A182,$C$5:$C$315,$C182-1,$D$5:$D$315,$D182))-1)))</f>
        <v/>
      </c>
      <c r="V182" s="16">
        <f>IF(OR($A182="",L182="",$C182=""),"",IF(COUNTIFS($A$5:$A$315,$A182,$C$5:$C$315,$C182-1,$D$5:$D$315,$D182,L$5:L$315,"&lt;&gt;")=0,"",IF(OR(SUMIFS(L$5:L$315,$A$5:$A$315,$A182,$C$5:$C$315,$C182-1,$D$5:$D$315,$D182)=0,L182*SUMIFS(L$5:L$315,$A$5:$A$315,$A182,$C$5:$C$315,$C182-1,$D$5:$D$315,$D182)&lt;0),"n.s.",ABS(L182)/ABS(SUMIFS(L$5:L$315,$A$5:$A$315,$A182,$C$5:$C$315,$C182-1,$D$5:$D$315,$D182))-1)))</f>
        <v/>
      </c>
      <c r="W182" s="16">
        <f>IF(OR($A182="",M182="",$C182=""),"",IF(COUNTIFS($A$5:$A$315,$A182,$C$5:$C$315,$C182-1,$D$5:$D$315,$D182,M$5:M$315,"&lt;&gt;")=0,"",IF(OR(SUMIFS(M$5:M$315,$A$5:$A$315,$A182,$C$5:$C$315,$C182-1,$D$5:$D$315,$D182)=0,M182*SUMIFS(M$5:M$315,$A$5:$A$315,$A182,$C$5:$C$315,$C182-1,$D$5:$D$315,$D182)&lt;0),"n.s.",ABS(M182)/ABS(SUMIFS(M$5:M$315,$A$5:$A$315,$A182,$C$5:$C$315,$C182-1,$D$5:$D$315,$D182))-1)))</f>
        <v/>
      </c>
      <c r="X182" s="16">
        <f>IF(OR($A182="",N182="",$C182=""),"",IF(COUNTIFS($A$5:$A$315,$A182,$C$5:$C$315,$C182-1,$D$5:$D$315,$D182,N$5:N$315,"&lt;&gt;")=0,"",IF(OR(SUMIFS(N$5:N$315,$A$5:$A$315,$A182,$C$5:$C$315,$C182-1,$D$5:$D$315,$D182)=0,N182*SUMIFS(N$5:N$315,$A$5:$A$315,$A182,$C$5:$C$315,$C182-1,$D$5:$D$315,$D182)&lt;0),"n.s.",ABS(N182)/ABS(SUMIFS(N$5:N$315,$A$5:$A$315,$A182,$C$5:$C$315,$C182-1,$D$5:$D$315,$D182))-1)))</f>
        <v/>
      </c>
      <c r="Y182" s="16">
        <f>IF(OR($A182="",O182="",$C182=""),"",IF(COUNTIFS($A$5:$A$315,$A182,$C$5:$C$315,$C182-1,$D$5:$D$315,$D182,O$5:O$315,"&lt;&gt;")=0,"",IF(OR(SUMIFS(O$5:O$315,$A$5:$A$315,$A182,$C$5:$C$315,$C182-1,$D$5:$D$315,$D182)=0,O182*SUMIFS(O$5:O$315,$A$5:$A$315,$A182,$C$5:$C$315,$C182-1,$D$5:$D$315,$D182)&lt;0),"n.s.",ABS(O182)/ABS(SUMIFS(O$5:O$315,$A$5:$A$315,$A182,$C$5:$C$315,$C182-1,$D$5:$D$315,$D182))-1)))</f>
        <v/>
      </c>
    </row>
    <row r="183">
      <c r="A183" s="9" t="inlineStr">
        <is>
          <t>CBIBF</t>
        </is>
      </c>
      <c r="B183" s="10">
        <f>IF(A183="","",IFERROR(VLOOKUP(A183,Titres!$A$2:$B$400,2,FALSE),"Ticker inconnu"))</f>
        <v/>
      </c>
      <c r="C183" s="11" t="n">
        <v>2026</v>
      </c>
      <c r="D183" s="11" t="inlineStr">
        <is>
          <t>S1</t>
        </is>
      </c>
      <c r="E183" s="9" t="n"/>
      <c r="F183" s="12" t="n"/>
      <c r="G183" s="9" t="n"/>
      <c r="H183" s="13" t="n"/>
      <c r="I183" s="13" t="n"/>
      <c r="J183" s="13" t="n"/>
      <c r="K183" s="13" t="n"/>
      <c r="L183" s="13" t="n"/>
      <c r="M183" s="13" t="n"/>
      <c r="N183" s="13" t="n"/>
      <c r="O183" s="13" t="n"/>
      <c r="P183" s="14">
        <f>IF(A183="","",COUNT(H183:O183)/8)</f>
        <v/>
      </c>
      <c r="Q183" s="15">
        <f>IF(COUNT(H183:O183)=0,"",IF(LEN(IF(COUNT(H183,I183,J183)=3,IF(ABS(H183+I183-J183)&lt;=MAX(1,0.02*ABS(J183)),"","RBE &lt;&gt; PNB + frais "),"")&amp;IF(COUNT(J183,K183,L183)=3,IF(ABS(J183+K183-L183)&lt;=MAX(1,0.03*ABS(L183)),"","RAI &lt;&gt; RBE + coût du risque "),"")&amp;IF(COUNT(H183,M183)=2,IF(ABS(M183)&gt;ABS(H183),"RN &gt; PNB ",""),""))=0,"OK",IF(COUNT(H183,I183,J183)=3,IF(ABS(H183+I183-J183)&lt;=MAX(1,0.02*ABS(J183)),"","RBE &lt;&gt; PNB + frais "),"")&amp;IF(COUNT(J183,K183,L183)=3,IF(ABS(J183+K183-L183)&lt;=MAX(1,0.03*ABS(L183)),"","RAI &lt;&gt; RBE + coût du risque "),"")&amp;IF(COUNT(H183,M183)=2,IF(ABS(M183)&gt;ABS(H183),"RN &gt; PNB ",""),"")))</f>
        <v/>
      </c>
      <c r="R183" s="16">
        <f>IF(OR($A183="",H183="",$C183=""),"",IF(COUNTIFS($A$5:$A$315,$A183,$C$5:$C$315,$C183-1,$D$5:$D$315,$D183,H$5:H$315,"&lt;&gt;")=0,"",IF(OR(SUMIFS(H$5:H$315,$A$5:$A$315,$A183,$C$5:$C$315,$C183-1,$D$5:$D$315,$D183)=0,H183*SUMIFS(H$5:H$315,$A$5:$A$315,$A183,$C$5:$C$315,$C183-1,$D$5:$D$315,$D183)&lt;0),"n.s.",ABS(H183)/ABS(SUMIFS(H$5:H$315,$A$5:$A$315,$A183,$C$5:$C$315,$C183-1,$D$5:$D$315,$D183))-1)))</f>
        <v/>
      </c>
      <c r="S183" s="16">
        <f>IF(OR($A183="",I183="",$C183=""),"",IF(COUNTIFS($A$5:$A$315,$A183,$C$5:$C$315,$C183-1,$D$5:$D$315,$D183,I$5:I$315,"&lt;&gt;")=0,"",IF(OR(SUMIFS(I$5:I$315,$A$5:$A$315,$A183,$C$5:$C$315,$C183-1,$D$5:$D$315,$D183)=0,I183*SUMIFS(I$5:I$315,$A$5:$A$315,$A183,$C$5:$C$315,$C183-1,$D$5:$D$315,$D183)&lt;0),"n.s.",ABS(I183)/ABS(SUMIFS(I$5:I$315,$A$5:$A$315,$A183,$C$5:$C$315,$C183-1,$D$5:$D$315,$D183))-1)))</f>
        <v/>
      </c>
      <c r="T183" s="16">
        <f>IF(OR($A183="",J183="",$C183=""),"",IF(COUNTIFS($A$5:$A$315,$A183,$C$5:$C$315,$C183-1,$D$5:$D$315,$D183,J$5:J$315,"&lt;&gt;")=0,"",IF(OR(SUMIFS(J$5:J$315,$A$5:$A$315,$A183,$C$5:$C$315,$C183-1,$D$5:$D$315,$D183)=0,J183*SUMIFS(J$5:J$315,$A$5:$A$315,$A183,$C$5:$C$315,$C183-1,$D$5:$D$315,$D183)&lt;0),"n.s.",ABS(J183)/ABS(SUMIFS(J$5:J$315,$A$5:$A$315,$A183,$C$5:$C$315,$C183-1,$D$5:$D$315,$D183))-1)))</f>
        <v/>
      </c>
      <c r="U183" s="16">
        <f>IF(OR($A183="",K183="",$C183=""),"",IF(COUNTIFS($A$5:$A$315,$A183,$C$5:$C$315,$C183-1,$D$5:$D$315,$D183,K$5:K$315,"&lt;&gt;")=0,"",IF(OR(SUMIFS(K$5:K$315,$A$5:$A$315,$A183,$C$5:$C$315,$C183-1,$D$5:$D$315,$D183)=0,K183*SUMIFS(K$5:K$315,$A$5:$A$315,$A183,$C$5:$C$315,$C183-1,$D$5:$D$315,$D183)&lt;0),"n.s.",ABS(K183)/ABS(SUMIFS(K$5:K$315,$A$5:$A$315,$A183,$C$5:$C$315,$C183-1,$D$5:$D$315,$D183))-1)))</f>
        <v/>
      </c>
      <c r="V183" s="16">
        <f>IF(OR($A183="",L183="",$C183=""),"",IF(COUNTIFS($A$5:$A$315,$A183,$C$5:$C$315,$C183-1,$D$5:$D$315,$D183,L$5:L$315,"&lt;&gt;")=0,"",IF(OR(SUMIFS(L$5:L$315,$A$5:$A$315,$A183,$C$5:$C$315,$C183-1,$D$5:$D$315,$D183)=0,L183*SUMIFS(L$5:L$315,$A$5:$A$315,$A183,$C$5:$C$315,$C183-1,$D$5:$D$315,$D183)&lt;0),"n.s.",ABS(L183)/ABS(SUMIFS(L$5:L$315,$A$5:$A$315,$A183,$C$5:$C$315,$C183-1,$D$5:$D$315,$D183))-1)))</f>
        <v/>
      </c>
      <c r="W183" s="16">
        <f>IF(OR($A183="",M183="",$C183=""),"",IF(COUNTIFS($A$5:$A$315,$A183,$C$5:$C$315,$C183-1,$D$5:$D$315,$D183,M$5:M$315,"&lt;&gt;")=0,"",IF(OR(SUMIFS(M$5:M$315,$A$5:$A$315,$A183,$C$5:$C$315,$C183-1,$D$5:$D$315,$D183)=0,M183*SUMIFS(M$5:M$315,$A$5:$A$315,$A183,$C$5:$C$315,$C183-1,$D$5:$D$315,$D183)&lt;0),"n.s.",ABS(M183)/ABS(SUMIFS(M$5:M$315,$A$5:$A$315,$A183,$C$5:$C$315,$C183-1,$D$5:$D$315,$D183))-1)))</f>
        <v/>
      </c>
      <c r="X183" s="16">
        <f>IF(OR($A183="",N183="",$C183=""),"",IF(COUNTIFS($A$5:$A$315,$A183,$C$5:$C$315,$C183-1,$D$5:$D$315,$D183,N$5:N$315,"&lt;&gt;")=0,"",IF(OR(SUMIFS(N$5:N$315,$A$5:$A$315,$A183,$C$5:$C$315,$C183-1,$D$5:$D$315,$D183)=0,N183*SUMIFS(N$5:N$315,$A$5:$A$315,$A183,$C$5:$C$315,$C183-1,$D$5:$D$315,$D183)&lt;0),"n.s.",ABS(N183)/ABS(SUMIFS(N$5:N$315,$A$5:$A$315,$A183,$C$5:$C$315,$C183-1,$D$5:$D$315,$D183))-1)))</f>
        <v/>
      </c>
      <c r="Y183" s="16">
        <f>IF(OR($A183="",O183="",$C183=""),"",IF(COUNTIFS($A$5:$A$315,$A183,$C$5:$C$315,$C183-1,$D$5:$D$315,$D183,O$5:O$315,"&lt;&gt;")=0,"",IF(OR(SUMIFS(O$5:O$315,$A$5:$A$315,$A183,$C$5:$C$315,$C183-1,$D$5:$D$315,$D183)=0,O183*SUMIFS(O$5:O$315,$A$5:$A$315,$A183,$C$5:$C$315,$C183-1,$D$5:$D$315,$D183)&lt;0),"n.s.",ABS(O183)/ABS(SUMIFS(O$5:O$315,$A$5:$A$315,$A183,$C$5:$C$315,$C183-1,$D$5:$D$315,$D183))-1)))</f>
        <v/>
      </c>
    </row>
    <row r="184">
      <c r="A184" s="9" t="inlineStr">
        <is>
          <t>CBIBF</t>
        </is>
      </c>
      <c r="B184" s="10">
        <f>IF(A184="","",IFERROR(VLOOKUP(A184,Titres!$A$2:$B$400,2,FALSE),"Ticker inconnu"))</f>
        <v/>
      </c>
      <c r="C184" s="11" t="n">
        <v>2026</v>
      </c>
      <c r="D184" s="11" t="inlineStr">
        <is>
          <t>T3</t>
        </is>
      </c>
      <c r="E184" s="9" t="n"/>
      <c r="F184" s="12" t="n"/>
      <c r="G184" s="9" t="n"/>
      <c r="H184" s="13" t="n"/>
      <c r="I184" s="13" t="n"/>
      <c r="J184" s="13" t="n"/>
      <c r="K184" s="13" t="n"/>
      <c r="L184" s="13" t="n"/>
      <c r="M184" s="13" t="n"/>
      <c r="N184" s="13" t="n"/>
      <c r="O184" s="13" t="n"/>
      <c r="P184" s="14">
        <f>IF(A184="","",COUNT(H184:O184)/8)</f>
        <v/>
      </c>
      <c r="Q184" s="15">
        <f>IF(COUNT(H184:O184)=0,"",IF(LEN(IF(COUNT(H184,I184,J184)=3,IF(ABS(H184+I184-J184)&lt;=MAX(1,0.02*ABS(J184)),"","RBE &lt;&gt; PNB + frais "),"")&amp;IF(COUNT(J184,K184,L184)=3,IF(ABS(J184+K184-L184)&lt;=MAX(1,0.03*ABS(L184)),"","RAI &lt;&gt; RBE + coût du risque "),"")&amp;IF(COUNT(H184,M184)=2,IF(ABS(M184)&gt;ABS(H184),"RN &gt; PNB ",""),""))=0,"OK",IF(COUNT(H184,I184,J184)=3,IF(ABS(H184+I184-J184)&lt;=MAX(1,0.02*ABS(J184)),"","RBE &lt;&gt; PNB + frais "),"")&amp;IF(COUNT(J184,K184,L184)=3,IF(ABS(J184+K184-L184)&lt;=MAX(1,0.03*ABS(L184)),"","RAI &lt;&gt; RBE + coût du risque "),"")&amp;IF(COUNT(H184,M184)=2,IF(ABS(M184)&gt;ABS(H184),"RN &gt; PNB ",""),"")))</f>
        <v/>
      </c>
      <c r="R184" s="16">
        <f>IF(OR($A184="",H184="",$C184=""),"",IF(COUNTIFS($A$5:$A$315,$A184,$C$5:$C$315,$C184-1,$D$5:$D$315,$D184,H$5:H$315,"&lt;&gt;")=0,"",IF(OR(SUMIFS(H$5:H$315,$A$5:$A$315,$A184,$C$5:$C$315,$C184-1,$D$5:$D$315,$D184)=0,H184*SUMIFS(H$5:H$315,$A$5:$A$315,$A184,$C$5:$C$315,$C184-1,$D$5:$D$315,$D184)&lt;0),"n.s.",ABS(H184)/ABS(SUMIFS(H$5:H$315,$A$5:$A$315,$A184,$C$5:$C$315,$C184-1,$D$5:$D$315,$D184))-1)))</f>
        <v/>
      </c>
      <c r="S184" s="16">
        <f>IF(OR($A184="",I184="",$C184=""),"",IF(COUNTIFS($A$5:$A$315,$A184,$C$5:$C$315,$C184-1,$D$5:$D$315,$D184,I$5:I$315,"&lt;&gt;")=0,"",IF(OR(SUMIFS(I$5:I$315,$A$5:$A$315,$A184,$C$5:$C$315,$C184-1,$D$5:$D$315,$D184)=0,I184*SUMIFS(I$5:I$315,$A$5:$A$315,$A184,$C$5:$C$315,$C184-1,$D$5:$D$315,$D184)&lt;0),"n.s.",ABS(I184)/ABS(SUMIFS(I$5:I$315,$A$5:$A$315,$A184,$C$5:$C$315,$C184-1,$D$5:$D$315,$D184))-1)))</f>
        <v/>
      </c>
      <c r="T184" s="16">
        <f>IF(OR($A184="",J184="",$C184=""),"",IF(COUNTIFS($A$5:$A$315,$A184,$C$5:$C$315,$C184-1,$D$5:$D$315,$D184,J$5:J$315,"&lt;&gt;")=0,"",IF(OR(SUMIFS(J$5:J$315,$A$5:$A$315,$A184,$C$5:$C$315,$C184-1,$D$5:$D$315,$D184)=0,J184*SUMIFS(J$5:J$315,$A$5:$A$315,$A184,$C$5:$C$315,$C184-1,$D$5:$D$315,$D184)&lt;0),"n.s.",ABS(J184)/ABS(SUMIFS(J$5:J$315,$A$5:$A$315,$A184,$C$5:$C$315,$C184-1,$D$5:$D$315,$D184))-1)))</f>
        <v/>
      </c>
      <c r="U184" s="16">
        <f>IF(OR($A184="",K184="",$C184=""),"",IF(COUNTIFS($A$5:$A$315,$A184,$C$5:$C$315,$C184-1,$D$5:$D$315,$D184,K$5:K$315,"&lt;&gt;")=0,"",IF(OR(SUMIFS(K$5:K$315,$A$5:$A$315,$A184,$C$5:$C$315,$C184-1,$D$5:$D$315,$D184)=0,K184*SUMIFS(K$5:K$315,$A$5:$A$315,$A184,$C$5:$C$315,$C184-1,$D$5:$D$315,$D184)&lt;0),"n.s.",ABS(K184)/ABS(SUMIFS(K$5:K$315,$A$5:$A$315,$A184,$C$5:$C$315,$C184-1,$D$5:$D$315,$D184))-1)))</f>
        <v/>
      </c>
      <c r="V184" s="16">
        <f>IF(OR($A184="",L184="",$C184=""),"",IF(COUNTIFS($A$5:$A$315,$A184,$C$5:$C$315,$C184-1,$D$5:$D$315,$D184,L$5:L$315,"&lt;&gt;")=0,"",IF(OR(SUMIFS(L$5:L$315,$A$5:$A$315,$A184,$C$5:$C$315,$C184-1,$D$5:$D$315,$D184)=0,L184*SUMIFS(L$5:L$315,$A$5:$A$315,$A184,$C$5:$C$315,$C184-1,$D$5:$D$315,$D184)&lt;0),"n.s.",ABS(L184)/ABS(SUMIFS(L$5:L$315,$A$5:$A$315,$A184,$C$5:$C$315,$C184-1,$D$5:$D$315,$D184))-1)))</f>
        <v/>
      </c>
      <c r="W184" s="16">
        <f>IF(OR($A184="",M184="",$C184=""),"",IF(COUNTIFS($A$5:$A$315,$A184,$C$5:$C$315,$C184-1,$D$5:$D$315,$D184,M$5:M$315,"&lt;&gt;")=0,"",IF(OR(SUMIFS(M$5:M$315,$A$5:$A$315,$A184,$C$5:$C$315,$C184-1,$D$5:$D$315,$D184)=0,M184*SUMIFS(M$5:M$315,$A$5:$A$315,$A184,$C$5:$C$315,$C184-1,$D$5:$D$315,$D184)&lt;0),"n.s.",ABS(M184)/ABS(SUMIFS(M$5:M$315,$A$5:$A$315,$A184,$C$5:$C$315,$C184-1,$D$5:$D$315,$D184))-1)))</f>
        <v/>
      </c>
      <c r="X184" s="16">
        <f>IF(OR($A184="",N184="",$C184=""),"",IF(COUNTIFS($A$5:$A$315,$A184,$C$5:$C$315,$C184-1,$D$5:$D$315,$D184,N$5:N$315,"&lt;&gt;")=0,"",IF(OR(SUMIFS(N$5:N$315,$A$5:$A$315,$A184,$C$5:$C$315,$C184-1,$D$5:$D$315,$D184)=0,N184*SUMIFS(N$5:N$315,$A$5:$A$315,$A184,$C$5:$C$315,$C184-1,$D$5:$D$315,$D184)&lt;0),"n.s.",ABS(N184)/ABS(SUMIFS(N$5:N$315,$A$5:$A$315,$A184,$C$5:$C$315,$C184-1,$D$5:$D$315,$D184))-1)))</f>
        <v/>
      </c>
      <c r="Y184" s="16">
        <f>IF(OR($A184="",O184="",$C184=""),"",IF(COUNTIFS($A$5:$A$315,$A184,$C$5:$C$315,$C184-1,$D$5:$D$315,$D184,O$5:O$315,"&lt;&gt;")=0,"",IF(OR(SUMIFS(O$5:O$315,$A$5:$A$315,$A184,$C$5:$C$315,$C184-1,$D$5:$D$315,$D184)=0,O184*SUMIFS(O$5:O$315,$A$5:$A$315,$A184,$C$5:$C$315,$C184-1,$D$5:$D$315,$D184)&lt;0),"n.s.",ABS(O184)/ABS(SUMIFS(O$5:O$315,$A$5:$A$315,$A184,$C$5:$C$315,$C184-1,$D$5:$D$315,$D184))-1)))</f>
        <v/>
      </c>
    </row>
    <row r="185">
      <c r="A185" s="9" t="inlineStr">
        <is>
          <t>ECOC</t>
        </is>
      </c>
      <c r="B185" s="10">
        <f>IF(A185="","",IFERROR(VLOOKUP(A185,Titres!$A$2:$B$400,2,FALSE),"Ticker inconnu"))</f>
        <v/>
      </c>
      <c r="C185" s="11" t="n">
        <v>2021</v>
      </c>
      <c r="D185" s="11" t="inlineStr">
        <is>
          <t>T1</t>
        </is>
      </c>
      <c r="E185" s="9" t="n"/>
      <c r="F185" s="12" t="n"/>
      <c r="G185" s="9" t="n"/>
      <c r="H185" s="13" t="n"/>
      <c r="I185" s="13" t="n"/>
      <c r="J185" s="13" t="n"/>
      <c r="K185" s="13" t="n"/>
      <c r="L185" s="13" t="n"/>
      <c r="M185" s="13" t="n"/>
      <c r="N185" s="13" t="n"/>
      <c r="O185" s="13" t="n"/>
      <c r="P185" s="14">
        <f>IF(A185="","",COUNT(H185:O185)/8)</f>
        <v/>
      </c>
      <c r="Q185" s="15">
        <f>IF(COUNT(H185:O185)=0,"",IF(LEN(IF(COUNT(H185,I185,J185)=3,IF(ABS(H185+I185-J185)&lt;=MAX(1,0.02*ABS(J185)),"","RBE &lt;&gt; PNB + frais "),"")&amp;IF(COUNT(J185,K185,L185)=3,IF(ABS(J185+K185-L185)&lt;=MAX(1,0.03*ABS(L185)),"","RAI &lt;&gt; RBE + coût du risque "),"")&amp;IF(COUNT(H185,M185)=2,IF(ABS(M185)&gt;ABS(H185),"RN &gt; PNB ",""),""))=0,"OK",IF(COUNT(H185,I185,J185)=3,IF(ABS(H185+I185-J185)&lt;=MAX(1,0.02*ABS(J185)),"","RBE &lt;&gt; PNB + frais "),"")&amp;IF(COUNT(J185,K185,L185)=3,IF(ABS(J185+K185-L185)&lt;=MAX(1,0.03*ABS(L185)),"","RAI &lt;&gt; RBE + coût du risque "),"")&amp;IF(COUNT(H185,M185)=2,IF(ABS(M185)&gt;ABS(H185),"RN &gt; PNB ",""),"")))</f>
        <v/>
      </c>
      <c r="R185" s="16">
        <f>IF(OR($A185="",H185="",$C185=""),"",IF(COUNTIFS($A$5:$A$315,$A185,$C$5:$C$315,$C185-1,$D$5:$D$315,$D185,H$5:H$315,"&lt;&gt;")=0,"",IF(OR(SUMIFS(H$5:H$315,$A$5:$A$315,$A185,$C$5:$C$315,$C185-1,$D$5:$D$315,$D185)=0,H185*SUMIFS(H$5:H$315,$A$5:$A$315,$A185,$C$5:$C$315,$C185-1,$D$5:$D$315,$D185)&lt;0),"n.s.",ABS(H185)/ABS(SUMIFS(H$5:H$315,$A$5:$A$315,$A185,$C$5:$C$315,$C185-1,$D$5:$D$315,$D185))-1)))</f>
        <v/>
      </c>
      <c r="S185" s="16">
        <f>IF(OR($A185="",I185="",$C185=""),"",IF(COUNTIFS($A$5:$A$315,$A185,$C$5:$C$315,$C185-1,$D$5:$D$315,$D185,I$5:I$315,"&lt;&gt;")=0,"",IF(OR(SUMIFS(I$5:I$315,$A$5:$A$315,$A185,$C$5:$C$315,$C185-1,$D$5:$D$315,$D185)=0,I185*SUMIFS(I$5:I$315,$A$5:$A$315,$A185,$C$5:$C$315,$C185-1,$D$5:$D$315,$D185)&lt;0),"n.s.",ABS(I185)/ABS(SUMIFS(I$5:I$315,$A$5:$A$315,$A185,$C$5:$C$315,$C185-1,$D$5:$D$315,$D185))-1)))</f>
        <v/>
      </c>
      <c r="T185" s="16">
        <f>IF(OR($A185="",J185="",$C185=""),"",IF(COUNTIFS($A$5:$A$315,$A185,$C$5:$C$315,$C185-1,$D$5:$D$315,$D185,J$5:J$315,"&lt;&gt;")=0,"",IF(OR(SUMIFS(J$5:J$315,$A$5:$A$315,$A185,$C$5:$C$315,$C185-1,$D$5:$D$315,$D185)=0,J185*SUMIFS(J$5:J$315,$A$5:$A$315,$A185,$C$5:$C$315,$C185-1,$D$5:$D$315,$D185)&lt;0),"n.s.",ABS(J185)/ABS(SUMIFS(J$5:J$315,$A$5:$A$315,$A185,$C$5:$C$315,$C185-1,$D$5:$D$315,$D185))-1)))</f>
        <v/>
      </c>
      <c r="U185" s="16">
        <f>IF(OR($A185="",K185="",$C185=""),"",IF(COUNTIFS($A$5:$A$315,$A185,$C$5:$C$315,$C185-1,$D$5:$D$315,$D185,K$5:K$315,"&lt;&gt;")=0,"",IF(OR(SUMIFS(K$5:K$315,$A$5:$A$315,$A185,$C$5:$C$315,$C185-1,$D$5:$D$315,$D185)=0,K185*SUMIFS(K$5:K$315,$A$5:$A$315,$A185,$C$5:$C$315,$C185-1,$D$5:$D$315,$D185)&lt;0),"n.s.",ABS(K185)/ABS(SUMIFS(K$5:K$315,$A$5:$A$315,$A185,$C$5:$C$315,$C185-1,$D$5:$D$315,$D185))-1)))</f>
        <v/>
      </c>
      <c r="V185" s="16">
        <f>IF(OR($A185="",L185="",$C185=""),"",IF(COUNTIFS($A$5:$A$315,$A185,$C$5:$C$315,$C185-1,$D$5:$D$315,$D185,L$5:L$315,"&lt;&gt;")=0,"",IF(OR(SUMIFS(L$5:L$315,$A$5:$A$315,$A185,$C$5:$C$315,$C185-1,$D$5:$D$315,$D185)=0,L185*SUMIFS(L$5:L$315,$A$5:$A$315,$A185,$C$5:$C$315,$C185-1,$D$5:$D$315,$D185)&lt;0),"n.s.",ABS(L185)/ABS(SUMIFS(L$5:L$315,$A$5:$A$315,$A185,$C$5:$C$315,$C185-1,$D$5:$D$315,$D185))-1)))</f>
        <v/>
      </c>
      <c r="W185" s="16">
        <f>IF(OR($A185="",M185="",$C185=""),"",IF(COUNTIFS($A$5:$A$315,$A185,$C$5:$C$315,$C185-1,$D$5:$D$315,$D185,M$5:M$315,"&lt;&gt;")=0,"",IF(OR(SUMIFS(M$5:M$315,$A$5:$A$315,$A185,$C$5:$C$315,$C185-1,$D$5:$D$315,$D185)=0,M185*SUMIFS(M$5:M$315,$A$5:$A$315,$A185,$C$5:$C$315,$C185-1,$D$5:$D$315,$D185)&lt;0),"n.s.",ABS(M185)/ABS(SUMIFS(M$5:M$315,$A$5:$A$315,$A185,$C$5:$C$315,$C185-1,$D$5:$D$315,$D185))-1)))</f>
        <v/>
      </c>
      <c r="X185" s="16">
        <f>IF(OR($A185="",N185="",$C185=""),"",IF(COUNTIFS($A$5:$A$315,$A185,$C$5:$C$315,$C185-1,$D$5:$D$315,$D185,N$5:N$315,"&lt;&gt;")=0,"",IF(OR(SUMIFS(N$5:N$315,$A$5:$A$315,$A185,$C$5:$C$315,$C185-1,$D$5:$D$315,$D185)=0,N185*SUMIFS(N$5:N$315,$A$5:$A$315,$A185,$C$5:$C$315,$C185-1,$D$5:$D$315,$D185)&lt;0),"n.s.",ABS(N185)/ABS(SUMIFS(N$5:N$315,$A$5:$A$315,$A185,$C$5:$C$315,$C185-1,$D$5:$D$315,$D185))-1)))</f>
        <v/>
      </c>
      <c r="Y185" s="16">
        <f>IF(OR($A185="",O185="",$C185=""),"",IF(COUNTIFS($A$5:$A$315,$A185,$C$5:$C$315,$C185-1,$D$5:$D$315,$D185,O$5:O$315,"&lt;&gt;")=0,"",IF(OR(SUMIFS(O$5:O$315,$A$5:$A$315,$A185,$C$5:$C$315,$C185-1,$D$5:$D$315,$D185)=0,O185*SUMIFS(O$5:O$315,$A$5:$A$315,$A185,$C$5:$C$315,$C185-1,$D$5:$D$315,$D185)&lt;0),"n.s.",ABS(O185)/ABS(SUMIFS(O$5:O$315,$A$5:$A$315,$A185,$C$5:$C$315,$C185-1,$D$5:$D$315,$D185))-1)))</f>
        <v/>
      </c>
    </row>
    <row r="186">
      <c r="A186" s="9" t="inlineStr">
        <is>
          <t>ECOC</t>
        </is>
      </c>
      <c r="B186" s="10">
        <f>IF(A186="","",IFERROR(VLOOKUP(A186,Titres!$A$2:$B$400,2,FALSE),"Ticker inconnu"))</f>
        <v/>
      </c>
      <c r="C186" s="11" t="n">
        <v>2021</v>
      </c>
      <c r="D186" s="11" t="inlineStr">
        <is>
          <t>S1</t>
        </is>
      </c>
      <c r="E186" s="9" t="n"/>
      <c r="F186" s="12" t="n"/>
      <c r="G186" s="9" t="n"/>
      <c r="H186" s="13" t="n"/>
      <c r="I186" s="13" t="n"/>
      <c r="J186" s="13" t="n"/>
      <c r="K186" s="13" t="n"/>
      <c r="L186" s="13" t="n"/>
      <c r="M186" s="13" t="n"/>
      <c r="N186" s="13" t="n"/>
      <c r="O186" s="13" t="n"/>
      <c r="P186" s="14">
        <f>IF(A186="","",COUNT(H186:O186)/8)</f>
        <v/>
      </c>
      <c r="Q186" s="15">
        <f>IF(COUNT(H186:O186)=0,"",IF(LEN(IF(COUNT(H186,I186,J186)=3,IF(ABS(H186+I186-J186)&lt;=MAX(1,0.02*ABS(J186)),"","RBE &lt;&gt; PNB + frais "),"")&amp;IF(COUNT(J186,K186,L186)=3,IF(ABS(J186+K186-L186)&lt;=MAX(1,0.03*ABS(L186)),"","RAI &lt;&gt; RBE + coût du risque "),"")&amp;IF(COUNT(H186,M186)=2,IF(ABS(M186)&gt;ABS(H186),"RN &gt; PNB ",""),""))=0,"OK",IF(COUNT(H186,I186,J186)=3,IF(ABS(H186+I186-J186)&lt;=MAX(1,0.02*ABS(J186)),"","RBE &lt;&gt; PNB + frais "),"")&amp;IF(COUNT(J186,K186,L186)=3,IF(ABS(J186+K186-L186)&lt;=MAX(1,0.03*ABS(L186)),"","RAI &lt;&gt; RBE + coût du risque "),"")&amp;IF(COUNT(H186,M186)=2,IF(ABS(M186)&gt;ABS(H186),"RN &gt; PNB ",""),"")))</f>
        <v/>
      </c>
      <c r="R186" s="16">
        <f>IF(OR($A186="",H186="",$C186=""),"",IF(COUNTIFS($A$5:$A$315,$A186,$C$5:$C$315,$C186-1,$D$5:$D$315,$D186,H$5:H$315,"&lt;&gt;")=0,"",IF(OR(SUMIFS(H$5:H$315,$A$5:$A$315,$A186,$C$5:$C$315,$C186-1,$D$5:$D$315,$D186)=0,H186*SUMIFS(H$5:H$315,$A$5:$A$315,$A186,$C$5:$C$315,$C186-1,$D$5:$D$315,$D186)&lt;0),"n.s.",ABS(H186)/ABS(SUMIFS(H$5:H$315,$A$5:$A$315,$A186,$C$5:$C$315,$C186-1,$D$5:$D$315,$D186))-1)))</f>
        <v/>
      </c>
      <c r="S186" s="16">
        <f>IF(OR($A186="",I186="",$C186=""),"",IF(COUNTIFS($A$5:$A$315,$A186,$C$5:$C$315,$C186-1,$D$5:$D$315,$D186,I$5:I$315,"&lt;&gt;")=0,"",IF(OR(SUMIFS(I$5:I$315,$A$5:$A$315,$A186,$C$5:$C$315,$C186-1,$D$5:$D$315,$D186)=0,I186*SUMIFS(I$5:I$315,$A$5:$A$315,$A186,$C$5:$C$315,$C186-1,$D$5:$D$315,$D186)&lt;0),"n.s.",ABS(I186)/ABS(SUMIFS(I$5:I$315,$A$5:$A$315,$A186,$C$5:$C$315,$C186-1,$D$5:$D$315,$D186))-1)))</f>
        <v/>
      </c>
      <c r="T186" s="16">
        <f>IF(OR($A186="",J186="",$C186=""),"",IF(COUNTIFS($A$5:$A$315,$A186,$C$5:$C$315,$C186-1,$D$5:$D$315,$D186,J$5:J$315,"&lt;&gt;")=0,"",IF(OR(SUMIFS(J$5:J$315,$A$5:$A$315,$A186,$C$5:$C$315,$C186-1,$D$5:$D$315,$D186)=0,J186*SUMIFS(J$5:J$315,$A$5:$A$315,$A186,$C$5:$C$315,$C186-1,$D$5:$D$315,$D186)&lt;0),"n.s.",ABS(J186)/ABS(SUMIFS(J$5:J$315,$A$5:$A$315,$A186,$C$5:$C$315,$C186-1,$D$5:$D$315,$D186))-1)))</f>
        <v/>
      </c>
      <c r="U186" s="16">
        <f>IF(OR($A186="",K186="",$C186=""),"",IF(COUNTIFS($A$5:$A$315,$A186,$C$5:$C$315,$C186-1,$D$5:$D$315,$D186,K$5:K$315,"&lt;&gt;")=0,"",IF(OR(SUMIFS(K$5:K$315,$A$5:$A$315,$A186,$C$5:$C$315,$C186-1,$D$5:$D$315,$D186)=0,K186*SUMIFS(K$5:K$315,$A$5:$A$315,$A186,$C$5:$C$315,$C186-1,$D$5:$D$315,$D186)&lt;0),"n.s.",ABS(K186)/ABS(SUMIFS(K$5:K$315,$A$5:$A$315,$A186,$C$5:$C$315,$C186-1,$D$5:$D$315,$D186))-1)))</f>
        <v/>
      </c>
      <c r="V186" s="16">
        <f>IF(OR($A186="",L186="",$C186=""),"",IF(COUNTIFS($A$5:$A$315,$A186,$C$5:$C$315,$C186-1,$D$5:$D$315,$D186,L$5:L$315,"&lt;&gt;")=0,"",IF(OR(SUMIFS(L$5:L$315,$A$5:$A$315,$A186,$C$5:$C$315,$C186-1,$D$5:$D$315,$D186)=0,L186*SUMIFS(L$5:L$315,$A$5:$A$315,$A186,$C$5:$C$315,$C186-1,$D$5:$D$315,$D186)&lt;0),"n.s.",ABS(L186)/ABS(SUMIFS(L$5:L$315,$A$5:$A$315,$A186,$C$5:$C$315,$C186-1,$D$5:$D$315,$D186))-1)))</f>
        <v/>
      </c>
      <c r="W186" s="16">
        <f>IF(OR($A186="",M186="",$C186=""),"",IF(COUNTIFS($A$5:$A$315,$A186,$C$5:$C$315,$C186-1,$D$5:$D$315,$D186,M$5:M$315,"&lt;&gt;")=0,"",IF(OR(SUMIFS(M$5:M$315,$A$5:$A$315,$A186,$C$5:$C$315,$C186-1,$D$5:$D$315,$D186)=0,M186*SUMIFS(M$5:M$315,$A$5:$A$315,$A186,$C$5:$C$315,$C186-1,$D$5:$D$315,$D186)&lt;0),"n.s.",ABS(M186)/ABS(SUMIFS(M$5:M$315,$A$5:$A$315,$A186,$C$5:$C$315,$C186-1,$D$5:$D$315,$D186))-1)))</f>
        <v/>
      </c>
      <c r="X186" s="16">
        <f>IF(OR($A186="",N186="",$C186=""),"",IF(COUNTIFS($A$5:$A$315,$A186,$C$5:$C$315,$C186-1,$D$5:$D$315,$D186,N$5:N$315,"&lt;&gt;")=0,"",IF(OR(SUMIFS(N$5:N$315,$A$5:$A$315,$A186,$C$5:$C$315,$C186-1,$D$5:$D$315,$D186)=0,N186*SUMIFS(N$5:N$315,$A$5:$A$315,$A186,$C$5:$C$315,$C186-1,$D$5:$D$315,$D186)&lt;0),"n.s.",ABS(N186)/ABS(SUMIFS(N$5:N$315,$A$5:$A$315,$A186,$C$5:$C$315,$C186-1,$D$5:$D$315,$D186))-1)))</f>
        <v/>
      </c>
      <c r="Y186" s="16">
        <f>IF(OR($A186="",O186="",$C186=""),"",IF(COUNTIFS($A$5:$A$315,$A186,$C$5:$C$315,$C186-1,$D$5:$D$315,$D186,O$5:O$315,"&lt;&gt;")=0,"",IF(OR(SUMIFS(O$5:O$315,$A$5:$A$315,$A186,$C$5:$C$315,$C186-1,$D$5:$D$315,$D186)=0,O186*SUMIFS(O$5:O$315,$A$5:$A$315,$A186,$C$5:$C$315,$C186-1,$D$5:$D$315,$D186)&lt;0),"n.s.",ABS(O186)/ABS(SUMIFS(O$5:O$315,$A$5:$A$315,$A186,$C$5:$C$315,$C186-1,$D$5:$D$315,$D186))-1)))</f>
        <v/>
      </c>
    </row>
    <row r="187">
      <c r="A187" s="9" t="inlineStr">
        <is>
          <t>ECOC</t>
        </is>
      </c>
      <c r="B187" s="10">
        <f>IF(A187="","",IFERROR(VLOOKUP(A187,Titres!$A$2:$B$400,2,FALSE),"Ticker inconnu"))</f>
        <v/>
      </c>
      <c r="C187" s="11" t="n">
        <v>2021</v>
      </c>
      <c r="D187" s="11" t="inlineStr">
        <is>
          <t>T3</t>
        </is>
      </c>
      <c r="E187" s="9" t="n"/>
      <c r="F187" s="12" t="n"/>
      <c r="G187" s="9" t="n"/>
      <c r="H187" s="13" t="n"/>
      <c r="I187" s="13" t="n"/>
      <c r="J187" s="13" t="n"/>
      <c r="K187" s="13" t="n"/>
      <c r="L187" s="13" t="n"/>
      <c r="M187" s="13" t="n"/>
      <c r="N187" s="13" t="n"/>
      <c r="O187" s="13" t="n"/>
      <c r="P187" s="14">
        <f>IF(A187="","",COUNT(H187:O187)/8)</f>
        <v/>
      </c>
      <c r="Q187" s="15">
        <f>IF(COUNT(H187:O187)=0,"",IF(LEN(IF(COUNT(H187,I187,J187)=3,IF(ABS(H187+I187-J187)&lt;=MAX(1,0.02*ABS(J187)),"","RBE &lt;&gt; PNB + frais "),"")&amp;IF(COUNT(J187,K187,L187)=3,IF(ABS(J187+K187-L187)&lt;=MAX(1,0.03*ABS(L187)),"","RAI &lt;&gt; RBE + coût du risque "),"")&amp;IF(COUNT(H187,M187)=2,IF(ABS(M187)&gt;ABS(H187),"RN &gt; PNB ",""),""))=0,"OK",IF(COUNT(H187,I187,J187)=3,IF(ABS(H187+I187-J187)&lt;=MAX(1,0.02*ABS(J187)),"","RBE &lt;&gt; PNB + frais "),"")&amp;IF(COUNT(J187,K187,L187)=3,IF(ABS(J187+K187-L187)&lt;=MAX(1,0.03*ABS(L187)),"","RAI &lt;&gt; RBE + coût du risque "),"")&amp;IF(COUNT(H187,M187)=2,IF(ABS(M187)&gt;ABS(H187),"RN &gt; PNB ",""),"")))</f>
        <v/>
      </c>
      <c r="R187" s="16">
        <f>IF(OR($A187="",H187="",$C187=""),"",IF(COUNTIFS($A$5:$A$315,$A187,$C$5:$C$315,$C187-1,$D$5:$D$315,$D187,H$5:H$315,"&lt;&gt;")=0,"",IF(OR(SUMIFS(H$5:H$315,$A$5:$A$315,$A187,$C$5:$C$315,$C187-1,$D$5:$D$315,$D187)=0,H187*SUMIFS(H$5:H$315,$A$5:$A$315,$A187,$C$5:$C$315,$C187-1,$D$5:$D$315,$D187)&lt;0),"n.s.",ABS(H187)/ABS(SUMIFS(H$5:H$315,$A$5:$A$315,$A187,$C$5:$C$315,$C187-1,$D$5:$D$315,$D187))-1)))</f>
        <v/>
      </c>
      <c r="S187" s="16">
        <f>IF(OR($A187="",I187="",$C187=""),"",IF(COUNTIFS($A$5:$A$315,$A187,$C$5:$C$315,$C187-1,$D$5:$D$315,$D187,I$5:I$315,"&lt;&gt;")=0,"",IF(OR(SUMIFS(I$5:I$315,$A$5:$A$315,$A187,$C$5:$C$315,$C187-1,$D$5:$D$315,$D187)=0,I187*SUMIFS(I$5:I$315,$A$5:$A$315,$A187,$C$5:$C$315,$C187-1,$D$5:$D$315,$D187)&lt;0),"n.s.",ABS(I187)/ABS(SUMIFS(I$5:I$315,$A$5:$A$315,$A187,$C$5:$C$315,$C187-1,$D$5:$D$315,$D187))-1)))</f>
        <v/>
      </c>
      <c r="T187" s="16">
        <f>IF(OR($A187="",J187="",$C187=""),"",IF(COUNTIFS($A$5:$A$315,$A187,$C$5:$C$315,$C187-1,$D$5:$D$315,$D187,J$5:J$315,"&lt;&gt;")=0,"",IF(OR(SUMIFS(J$5:J$315,$A$5:$A$315,$A187,$C$5:$C$315,$C187-1,$D$5:$D$315,$D187)=0,J187*SUMIFS(J$5:J$315,$A$5:$A$315,$A187,$C$5:$C$315,$C187-1,$D$5:$D$315,$D187)&lt;0),"n.s.",ABS(J187)/ABS(SUMIFS(J$5:J$315,$A$5:$A$315,$A187,$C$5:$C$315,$C187-1,$D$5:$D$315,$D187))-1)))</f>
        <v/>
      </c>
      <c r="U187" s="16">
        <f>IF(OR($A187="",K187="",$C187=""),"",IF(COUNTIFS($A$5:$A$315,$A187,$C$5:$C$315,$C187-1,$D$5:$D$315,$D187,K$5:K$315,"&lt;&gt;")=0,"",IF(OR(SUMIFS(K$5:K$315,$A$5:$A$315,$A187,$C$5:$C$315,$C187-1,$D$5:$D$315,$D187)=0,K187*SUMIFS(K$5:K$315,$A$5:$A$315,$A187,$C$5:$C$315,$C187-1,$D$5:$D$315,$D187)&lt;0),"n.s.",ABS(K187)/ABS(SUMIFS(K$5:K$315,$A$5:$A$315,$A187,$C$5:$C$315,$C187-1,$D$5:$D$315,$D187))-1)))</f>
        <v/>
      </c>
      <c r="V187" s="16">
        <f>IF(OR($A187="",L187="",$C187=""),"",IF(COUNTIFS($A$5:$A$315,$A187,$C$5:$C$315,$C187-1,$D$5:$D$315,$D187,L$5:L$315,"&lt;&gt;")=0,"",IF(OR(SUMIFS(L$5:L$315,$A$5:$A$315,$A187,$C$5:$C$315,$C187-1,$D$5:$D$315,$D187)=0,L187*SUMIFS(L$5:L$315,$A$5:$A$315,$A187,$C$5:$C$315,$C187-1,$D$5:$D$315,$D187)&lt;0),"n.s.",ABS(L187)/ABS(SUMIFS(L$5:L$315,$A$5:$A$315,$A187,$C$5:$C$315,$C187-1,$D$5:$D$315,$D187))-1)))</f>
        <v/>
      </c>
      <c r="W187" s="16">
        <f>IF(OR($A187="",M187="",$C187=""),"",IF(COUNTIFS($A$5:$A$315,$A187,$C$5:$C$315,$C187-1,$D$5:$D$315,$D187,M$5:M$315,"&lt;&gt;")=0,"",IF(OR(SUMIFS(M$5:M$315,$A$5:$A$315,$A187,$C$5:$C$315,$C187-1,$D$5:$D$315,$D187)=0,M187*SUMIFS(M$5:M$315,$A$5:$A$315,$A187,$C$5:$C$315,$C187-1,$D$5:$D$315,$D187)&lt;0),"n.s.",ABS(M187)/ABS(SUMIFS(M$5:M$315,$A$5:$A$315,$A187,$C$5:$C$315,$C187-1,$D$5:$D$315,$D187))-1)))</f>
        <v/>
      </c>
      <c r="X187" s="16">
        <f>IF(OR($A187="",N187="",$C187=""),"",IF(COUNTIFS($A$5:$A$315,$A187,$C$5:$C$315,$C187-1,$D$5:$D$315,$D187,N$5:N$315,"&lt;&gt;")=0,"",IF(OR(SUMIFS(N$5:N$315,$A$5:$A$315,$A187,$C$5:$C$315,$C187-1,$D$5:$D$315,$D187)=0,N187*SUMIFS(N$5:N$315,$A$5:$A$315,$A187,$C$5:$C$315,$C187-1,$D$5:$D$315,$D187)&lt;0),"n.s.",ABS(N187)/ABS(SUMIFS(N$5:N$315,$A$5:$A$315,$A187,$C$5:$C$315,$C187-1,$D$5:$D$315,$D187))-1)))</f>
        <v/>
      </c>
      <c r="Y187" s="16">
        <f>IF(OR($A187="",O187="",$C187=""),"",IF(COUNTIFS($A$5:$A$315,$A187,$C$5:$C$315,$C187-1,$D$5:$D$315,$D187,O$5:O$315,"&lt;&gt;")=0,"",IF(OR(SUMIFS(O$5:O$315,$A$5:$A$315,$A187,$C$5:$C$315,$C187-1,$D$5:$D$315,$D187)=0,O187*SUMIFS(O$5:O$315,$A$5:$A$315,$A187,$C$5:$C$315,$C187-1,$D$5:$D$315,$D187)&lt;0),"n.s.",ABS(O187)/ABS(SUMIFS(O$5:O$315,$A$5:$A$315,$A187,$C$5:$C$315,$C187-1,$D$5:$D$315,$D187))-1)))</f>
        <v/>
      </c>
    </row>
    <row r="188">
      <c r="A188" s="9" t="inlineStr">
        <is>
          <t>ECOC</t>
        </is>
      </c>
      <c r="B188" s="10">
        <f>IF(A188="","",IFERROR(VLOOKUP(A188,Titres!$A$2:$B$400,2,FALSE),"Ticker inconnu"))</f>
        <v/>
      </c>
      <c r="C188" s="11" t="n">
        <v>2022</v>
      </c>
      <c r="D188" s="11" t="inlineStr">
        <is>
          <t>T1</t>
        </is>
      </c>
      <c r="E188" s="9" t="n"/>
      <c r="F188" s="12" t="n"/>
      <c r="G188" s="9" t="n"/>
      <c r="H188" s="13" t="n"/>
      <c r="I188" s="13" t="n"/>
      <c r="J188" s="13" t="n"/>
      <c r="K188" s="13" t="n"/>
      <c r="L188" s="13" t="n"/>
      <c r="M188" s="13" t="n"/>
      <c r="N188" s="13" t="n"/>
      <c r="O188" s="13" t="n"/>
      <c r="P188" s="14">
        <f>IF(A188="","",COUNT(H188:O188)/8)</f>
        <v/>
      </c>
      <c r="Q188" s="15">
        <f>IF(COUNT(H188:O188)=0,"",IF(LEN(IF(COUNT(H188,I188,J188)=3,IF(ABS(H188+I188-J188)&lt;=MAX(1,0.02*ABS(J188)),"","RBE &lt;&gt; PNB + frais "),"")&amp;IF(COUNT(J188,K188,L188)=3,IF(ABS(J188+K188-L188)&lt;=MAX(1,0.03*ABS(L188)),"","RAI &lt;&gt; RBE + coût du risque "),"")&amp;IF(COUNT(H188,M188)=2,IF(ABS(M188)&gt;ABS(H188),"RN &gt; PNB ",""),""))=0,"OK",IF(COUNT(H188,I188,J188)=3,IF(ABS(H188+I188-J188)&lt;=MAX(1,0.02*ABS(J188)),"","RBE &lt;&gt; PNB + frais "),"")&amp;IF(COUNT(J188,K188,L188)=3,IF(ABS(J188+K188-L188)&lt;=MAX(1,0.03*ABS(L188)),"","RAI &lt;&gt; RBE + coût du risque "),"")&amp;IF(COUNT(H188,M188)=2,IF(ABS(M188)&gt;ABS(H188),"RN &gt; PNB ",""),"")))</f>
        <v/>
      </c>
      <c r="R188" s="16">
        <f>IF(OR($A188="",H188="",$C188=""),"",IF(COUNTIFS($A$5:$A$315,$A188,$C$5:$C$315,$C188-1,$D$5:$D$315,$D188,H$5:H$315,"&lt;&gt;")=0,"",IF(OR(SUMIFS(H$5:H$315,$A$5:$A$315,$A188,$C$5:$C$315,$C188-1,$D$5:$D$315,$D188)=0,H188*SUMIFS(H$5:H$315,$A$5:$A$315,$A188,$C$5:$C$315,$C188-1,$D$5:$D$315,$D188)&lt;0),"n.s.",ABS(H188)/ABS(SUMIFS(H$5:H$315,$A$5:$A$315,$A188,$C$5:$C$315,$C188-1,$D$5:$D$315,$D188))-1)))</f>
        <v/>
      </c>
      <c r="S188" s="16">
        <f>IF(OR($A188="",I188="",$C188=""),"",IF(COUNTIFS($A$5:$A$315,$A188,$C$5:$C$315,$C188-1,$D$5:$D$315,$D188,I$5:I$315,"&lt;&gt;")=0,"",IF(OR(SUMIFS(I$5:I$315,$A$5:$A$315,$A188,$C$5:$C$315,$C188-1,$D$5:$D$315,$D188)=0,I188*SUMIFS(I$5:I$315,$A$5:$A$315,$A188,$C$5:$C$315,$C188-1,$D$5:$D$315,$D188)&lt;0),"n.s.",ABS(I188)/ABS(SUMIFS(I$5:I$315,$A$5:$A$315,$A188,$C$5:$C$315,$C188-1,$D$5:$D$315,$D188))-1)))</f>
        <v/>
      </c>
      <c r="T188" s="16">
        <f>IF(OR($A188="",J188="",$C188=""),"",IF(COUNTIFS($A$5:$A$315,$A188,$C$5:$C$315,$C188-1,$D$5:$D$315,$D188,J$5:J$315,"&lt;&gt;")=0,"",IF(OR(SUMIFS(J$5:J$315,$A$5:$A$315,$A188,$C$5:$C$315,$C188-1,$D$5:$D$315,$D188)=0,J188*SUMIFS(J$5:J$315,$A$5:$A$315,$A188,$C$5:$C$315,$C188-1,$D$5:$D$315,$D188)&lt;0),"n.s.",ABS(J188)/ABS(SUMIFS(J$5:J$315,$A$5:$A$315,$A188,$C$5:$C$315,$C188-1,$D$5:$D$315,$D188))-1)))</f>
        <v/>
      </c>
      <c r="U188" s="16">
        <f>IF(OR($A188="",K188="",$C188=""),"",IF(COUNTIFS($A$5:$A$315,$A188,$C$5:$C$315,$C188-1,$D$5:$D$315,$D188,K$5:K$315,"&lt;&gt;")=0,"",IF(OR(SUMIFS(K$5:K$315,$A$5:$A$315,$A188,$C$5:$C$315,$C188-1,$D$5:$D$315,$D188)=0,K188*SUMIFS(K$5:K$315,$A$5:$A$315,$A188,$C$5:$C$315,$C188-1,$D$5:$D$315,$D188)&lt;0),"n.s.",ABS(K188)/ABS(SUMIFS(K$5:K$315,$A$5:$A$315,$A188,$C$5:$C$315,$C188-1,$D$5:$D$315,$D188))-1)))</f>
        <v/>
      </c>
      <c r="V188" s="16">
        <f>IF(OR($A188="",L188="",$C188=""),"",IF(COUNTIFS($A$5:$A$315,$A188,$C$5:$C$315,$C188-1,$D$5:$D$315,$D188,L$5:L$315,"&lt;&gt;")=0,"",IF(OR(SUMIFS(L$5:L$315,$A$5:$A$315,$A188,$C$5:$C$315,$C188-1,$D$5:$D$315,$D188)=0,L188*SUMIFS(L$5:L$315,$A$5:$A$315,$A188,$C$5:$C$315,$C188-1,$D$5:$D$315,$D188)&lt;0),"n.s.",ABS(L188)/ABS(SUMIFS(L$5:L$315,$A$5:$A$315,$A188,$C$5:$C$315,$C188-1,$D$5:$D$315,$D188))-1)))</f>
        <v/>
      </c>
      <c r="W188" s="16">
        <f>IF(OR($A188="",M188="",$C188=""),"",IF(COUNTIFS($A$5:$A$315,$A188,$C$5:$C$315,$C188-1,$D$5:$D$315,$D188,M$5:M$315,"&lt;&gt;")=0,"",IF(OR(SUMIFS(M$5:M$315,$A$5:$A$315,$A188,$C$5:$C$315,$C188-1,$D$5:$D$315,$D188)=0,M188*SUMIFS(M$5:M$315,$A$5:$A$315,$A188,$C$5:$C$315,$C188-1,$D$5:$D$315,$D188)&lt;0),"n.s.",ABS(M188)/ABS(SUMIFS(M$5:M$315,$A$5:$A$315,$A188,$C$5:$C$315,$C188-1,$D$5:$D$315,$D188))-1)))</f>
        <v/>
      </c>
      <c r="X188" s="16">
        <f>IF(OR($A188="",N188="",$C188=""),"",IF(COUNTIFS($A$5:$A$315,$A188,$C$5:$C$315,$C188-1,$D$5:$D$315,$D188,N$5:N$315,"&lt;&gt;")=0,"",IF(OR(SUMIFS(N$5:N$315,$A$5:$A$315,$A188,$C$5:$C$315,$C188-1,$D$5:$D$315,$D188)=0,N188*SUMIFS(N$5:N$315,$A$5:$A$315,$A188,$C$5:$C$315,$C188-1,$D$5:$D$315,$D188)&lt;0),"n.s.",ABS(N188)/ABS(SUMIFS(N$5:N$315,$A$5:$A$315,$A188,$C$5:$C$315,$C188-1,$D$5:$D$315,$D188))-1)))</f>
        <v/>
      </c>
      <c r="Y188" s="16">
        <f>IF(OR($A188="",O188="",$C188=""),"",IF(COUNTIFS($A$5:$A$315,$A188,$C$5:$C$315,$C188-1,$D$5:$D$315,$D188,O$5:O$315,"&lt;&gt;")=0,"",IF(OR(SUMIFS(O$5:O$315,$A$5:$A$315,$A188,$C$5:$C$315,$C188-1,$D$5:$D$315,$D188)=0,O188*SUMIFS(O$5:O$315,$A$5:$A$315,$A188,$C$5:$C$315,$C188-1,$D$5:$D$315,$D188)&lt;0),"n.s.",ABS(O188)/ABS(SUMIFS(O$5:O$315,$A$5:$A$315,$A188,$C$5:$C$315,$C188-1,$D$5:$D$315,$D188))-1)))</f>
        <v/>
      </c>
    </row>
    <row r="189">
      <c r="A189" s="9" t="inlineStr">
        <is>
          <t>ECOC</t>
        </is>
      </c>
      <c r="B189" s="10">
        <f>IF(A189="","",IFERROR(VLOOKUP(A189,Titres!$A$2:$B$400,2,FALSE),"Ticker inconnu"))</f>
        <v/>
      </c>
      <c r="C189" s="11" t="n">
        <v>2022</v>
      </c>
      <c r="D189" s="11" t="inlineStr">
        <is>
          <t>S1</t>
        </is>
      </c>
      <c r="E189" s="9" t="n"/>
      <c r="F189" s="12" t="n"/>
      <c r="G189" s="9" t="n"/>
      <c r="H189" s="13" t="n"/>
      <c r="I189" s="13" t="n"/>
      <c r="J189" s="13" t="n"/>
      <c r="K189" s="13" t="n"/>
      <c r="L189" s="13" t="n"/>
      <c r="M189" s="13" t="n"/>
      <c r="N189" s="13" t="n"/>
      <c r="O189" s="13" t="n"/>
      <c r="P189" s="14">
        <f>IF(A189="","",COUNT(H189:O189)/8)</f>
        <v/>
      </c>
      <c r="Q189" s="15">
        <f>IF(COUNT(H189:O189)=0,"",IF(LEN(IF(COUNT(H189,I189,J189)=3,IF(ABS(H189+I189-J189)&lt;=MAX(1,0.02*ABS(J189)),"","RBE &lt;&gt; PNB + frais "),"")&amp;IF(COUNT(J189,K189,L189)=3,IF(ABS(J189+K189-L189)&lt;=MAX(1,0.03*ABS(L189)),"","RAI &lt;&gt; RBE + coût du risque "),"")&amp;IF(COUNT(H189,M189)=2,IF(ABS(M189)&gt;ABS(H189),"RN &gt; PNB ",""),""))=0,"OK",IF(COUNT(H189,I189,J189)=3,IF(ABS(H189+I189-J189)&lt;=MAX(1,0.02*ABS(J189)),"","RBE &lt;&gt; PNB + frais "),"")&amp;IF(COUNT(J189,K189,L189)=3,IF(ABS(J189+K189-L189)&lt;=MAX(1,0.03*ABS(L189)),"","RAI &lt;&gt; RBE + coût du risque "),"")&amp;IF(COUNT(H189,M189)=2,IF(ABS(M189)&gt;ABS(H189),"RN &gt; PNB ",""),"")))</f>
        <v/>
      </c>
      <c r="R189" s="16">
        <f>IF(OR($A189="",H189="",$C189=""),"",IF(COUNTIFS($A$5:$A$315,$A189,$C$5:$C$315,$C189-1,$D$5:$D$315,$D189,H$5:H$315,"&lt;&gt;")=0,"",IF(OR(SUMIFS(H$5:H$315,$A$5:$A$315,$A189,$C$5:$C$315,$C189-1,$D$5:$D$315,$D189)=0,H189*SUMIFS(H$5:H$315,$A$5:$A$315,$A189,$C$5:$C$315,$C189-1,$D$5:$D$315,$D189)&lt;0),"n.s.",ABS(H189)/ABS(SUMIFS(H$5:H$315,$A$5:$A$315,$A189,$C$5:$C$315,$C189-1,$D$5:$D$315,$D189))-1)))</f>
        <v/>
      </c>
      <c r="S189" s="16">
        <f>IF(OR($A189="",I189="",$C189=""),"",IF(COUNTIFS($A$5:$A$315,$A189,$C$5:$C$315,$C189-1,$D$5:$D$315,$D189,I$5:I$315,"&lt;&gt;")=0,"",IF(OR(SUMIFS(I$5:I$315,$A$5:$A$315,$A189,$C$5:$C$315,$C189-1,$D$5:$D$315,$D189)=0,I189*SUMIFS(I$5:I$315,$A$5:$A$315,$A189,$C$5:$C$315,$C189-1,$D$5:$D$315,$D189)&lt;0),"n.s.",ABS(I189)/ABS(SUMIFS(I$5:I$315,$A$5:$A$315,$A189,$C$5:$C$315,$C189-1,$D$5:$D$315,$D189))-1)))</f>
        <v/>
      </c>
      <c r="T189" s="16">
        <f>IF(OR($A189="",J189="",$C189=""),"",IF(COUNTIFS($A$5:$A$315,$A189,$C$5:$C$315,$C189-1,$D$5:$D$315,$D189,J$5:J$315,"&lt;&gt;")=0,"",IF(OR(SUMIFS(J$5:J$315,$A$5:$A$315,$A189,$C$5:$C$315,$C189-1,$D$5:$D$315,$D189)=0,J189*SUMIFS(J$5:J$315,$A$5:$A$315,$A189,$C$5:$C$315,$C189-1,$D$5:$D$315,$D189)&lt;0),"n.s.",ABS(J189)/ABS(SUMIFS(J$5:J$315,$A$5:$A$315,$A189,$C$5:$C$315,$C189-1,$D$5:$D$315,$D189))-1)))</f>
        <v/>
      </c>
      <c r="U189" s="16">
        <f>IF(OR($A189="",K189="",$C189=""),"",IF(COUNTIFS($A$5:$A$315,$A189,$C$5:$C$315,$C189-1,$D$5:$D$315,$D189,K$5:K$315,"&lt;&gt;")=0,"",IF(OR(SUMIFS(K$5:K$315,$A$5:$A$315,$A189,$C$5:$C$315,$C189-1,$D$5:$D$315,$D189)=0,K189*SUMIFS(K$5:K$315,$A$5:$A$315,$A189,$C$5:$C$315,$C189-1,$D$5:$D$315,$D189)&lt;0),"n.s.",ABS(K189)/ABS(SUMIFS(K$5:K$315,$A$5:$A$315,$A189,$C$5:$C$315,$C189-1,$D$5:$D$315,$D189))-1)))</f>
        <v/>
      </c>
      <c r="V189" s="16">
        <f>IF(OR($A189="",L189="",$C189=""),"",IF(COUNTIFS($A$5:$A$315,$A189,$C$5:$C$315,$C189-1,$D$5:$D$315,$D189,L$5:L$315,"&lt;&gt;")=0,"",IF(OR(SUMIFS(L$5:L$315,$A$5:$A$315,$A189,$C$5:$C$315,$C189-1,$D$5:$D$315,$D189)=0,L189*SUMIFS(L$5:L$315,$A$5:$A$315,$A189,$C$5:$C$315,$C189-1,$D$5:$D$315,$D189)&lt;0),"n.s.",ABS(L189)/ABS(SUMIFS(L$5:L$315,$A$5:$A$315,$A189,$C$5:$C$315,$C189-1,$D$5:$D$315,$D189))-1)))</f>
        <v/>
      </c>
      <c r="W189" s="16">
        <f>IF(OR($A189="",M189="",$C189=""),"",IF(COUNTIFS($A$5:$A$315,$A189,$C$5:$C$315,$C189-1,$D$5:$D$315,$D189,M$5:M$315,"&lt;&gt;")=0,"",IF(OR(SUMIFS(M$5:M$315,$A$5:$A$315,$A189,$C$5:$C$315,$C189-1,$D$5:$D$315,$D189)=0,M189*SUMIFS(M$5:M$315,$A$5:$A$315,$A189,$C$5:$C$315,$C189-1,$D$5:$D$315,$D189)&lt;0),"n.s.",ABS(M189)/ABS(SUMIFS(M$5:M$315,$A$5:$A$315,$A189,$C$5:$C$315,$C189-1,$D$5:$D$315,$D189))-1)))</f>
        <v/>
      </c>
      <c r="X189" s="16">
        <f>IF(OR($A189="",N189="",$C189=""),"",IF(COUNTIFS($A$5:$A$315,$A189,$C$5:$C$315,$C189-1,$D$5:$D$315,$D189,N$5:N$315,"&lt;&gt;")=0,"",IF(OR(SUMIFS(N$5:N$315,$A$5:$A$315,$A189,$C$5:$C$315,$C189-1,$D$5:$D$315,$D189)=0,N189*SUMIFS(N$5:N$315,$A$5:$A$315,$A189,$C$5:$C$315,$C189-1,$D$5:$D$315,$D189)&lt;0),"n.s.",ABS(N189)/ABS(SUMIFS(N$5:N$315,$A$5:$A$315,$A189,$C$5:$C$315,$C189-1,$D$5:$D$315,$D189))-1)))</f>
        <v/>
      </c>
      <c r="Y189" s="16">
        <f>IF(OR($A189="",O189="",$C189=""),"",IF(COUNTIFS($A$5:$A$315,$A189,$C$5:$C$315,$C189-1,$D$5:$D$315,$D189,O$5:O$315,"&lt;&gt;")=0,"",IF(OR(SUMIFS(O$5:O$315,$A$5:$A$315,$A189,$C$5:$C$315,$C189-1,$D$5:$D$315,$D189)=0,O189*SUMIFS(O$5:O$315,$A$5:$A$315,$A189,$C$5:$C$315,$C189-1,$D$5:$D$315,$D189)&lt;0),"n.s.",ABS(O189)/ABS(SUMIFS(O$5:O$315,$A$5:$A$315,$A189,$C$5:$C$315,$C189-1,$D$5:$D$315,$D189))-1)))</f>
        <v/>
      </c>
    </row>
    <row r="190">
      <c r="A190" s="9" t="inlineStr">
        <is>
          <t>ECOC</t>
        </is>
      </c>
      <c r="B190" s="10">
        <f>IF(A190="","",IFERROR(VLOOKUP(A190,Titres!$A$2:$B$400,2,FALSE),"Ticker inconnu"))</f>
        <v/>
      </c>
      <c r="C190" s="11" t="n">
        <v>2022</v>
      </c>
      <c r="D190" s="11" t="inlineStr">
        <is>
          <t>T3</t>
        </is>
      </c>
      <c r="E190" s="9" t="n"/>
      <c r="F190" s="12" t="n"/>
      <c r="G190" s="9" t="n"/>
      <c r="H190" s="13" t="n"/>
      <c r="I190" s="13" t="n"/>
      <c r="J190" s="13" t="n"/>
      <c r="K190" s="13" t="n"/>
      <c r="L190" s="13" t="n"/>
      <c r="M190" s="13" t="n"/>
      <c r="N190" s="13" t="n"/>
      <c r="O190" s="13" t="n"/>
      <c r="P190" s="14">
        <f>IF(A190="","",COUNT(H190:O190)/8)</f>
        <v/>
      </c>
      <c r="Q190" s="15">
        <f>IF(COUNT(H190:O190)=0,"",IF(LEN(IF(COUNT(H190,I190,J190)=3,IF(ABS(H190+I190-J190)&lt;=MAX(1,0.02*ABS(J190)),"","RBE &lt;&gt; PNB + frais "),"")&amp;IF(COUNT(J190,K190,L190)=3,IF(ABS(J190+K190-L190)&lt;=MAX(1,0.03*ABS(L190)),"","RAI &lt;&gt; RBE + coût du risque "),"")&amp;IF(COUNT(H190,M190)=2,IF(ABS(M190)&gt;ABS(H190),"RN &gt; PNB ",""),""))=0,"OK",IF(COUNT(H190,I190,J190)=3,IF(ABS(H190+I190-J190)&lt;=MAX(1,0.02*ABS(J190)),"","RBE &lt;&gt; PNB + frais "),"")&amp;IF(COUNT(J190,K190,L190)=3,IF(ABS(J190+K190-L190)&lt;=MAX(1,0.03*ABS(L190)),"","RAI &lt;&gt; RBE + coût du risque "),"")&amp;IF(COUNT(H190,M190)=2,IF(ABS(M190)&gt;ABS(H190),"RN &gt; PNB ",""),"")))</f>
        <v/>
      </c>
      <c r="R190" s="16">
        <f>IF(OR($A190="",H190="",$C190=""),"",IF(COUNTIFS($A$5:$A$315,$A190,$C$5:$C$315,$C190-1,$D$5:$D$315,$D190,H$5:H$315,"&lt;&gt;")=0,"",IF(OR(SUMIFS(H$5:H$315,$A$5:$A$315,$A190,$C$5:$C$315,$C190-1,$D$5:$D$315,$D190)=0,H190*SUMIFS(H$5:H$315,$A$5:$A$315,$A190,$C$5:$C$315,$C190-1,$D$5:$D$315,$D190)&lt;0),"n.s.",ABS(H190)/ABS(SUMIFS(H$5:H$315,$A$5:$A$315,$A190,$C$5:$C$315,$C190-1,$D$5:$D$315,$D190))-1)))</f>
        <v/>
      </c>
      <c r="S190" s="16">
        <f>IF(OR($A190="",I190="",$C190=""),"",IF(COUNTIFS($A$5:$A$315,$A190,$C$5:$C$315,$C190-1,$D$5:$D$315,$D190,I$5:I$315,"&lt;&gt;")=0,"",IF(OR(SUMIFS(I$5:I$315,$A$5:$A$315,$A190,$C$5:$C$315,$C190-1,$D$5:$D$315,$D190)=0,I190*SUMIFS(I$5:I$315,$A$5:$A$315,$A190,$C$5:$C$315,$C190-1,$D$5:$D$315,$D190)&lt;0),"n.s.",ABS(I190)/ABS(SUMIFS(I$5:I$315,$A$5:$A$315,$A190,$C$5:$C$315,$C190-1,$D$5:$D$315,$D190))-1)))</f>
        <v/>
      </c>
      <c r="T190" s="16">
        <f>IF(OR($A190="",J190="",$C190=""),"",IF(COUNTIFS($A$5:$A$315,$A190,$C$5:$C$315,$C190-1,$D$5:$D$315,$D190,J$5:J$315,"&lt;&gt;")=0,"",IF(OR(SUMIFS(J$5:J$315,$A$5:$A$315,$A190,$C$5:$C$315,$C190-1,$D$5:$D$315,$D190)=0,J190*SUMIFS(J$5:J$315,$A$5:$A$315,$A190,$C$5:$C$315,$C190-1,$D$5:$D$315,$D190)&lt;0),"n.s.",ABS(J190)/ABS(SUMIFS(J$5:J$315,$A$5:$A$315,$A190,$C$5:$C$315,$C190-1,$D$5:$D$315,$D190))-1)))</f>
        <v/>
      </c>
      <c r="U190" s="16">
        <f>IF(OR($A190="",K190="",$C190=""),"",IF(COUNTIFS($A$5:$A$315,$A190,$C$5:$C$315,$C190-1,$D$5:$D$315,$D190,K$5:K$315,"&lt;&gt;")=0,"",IF(OR(SUMIFS(K$5:K$315,$A$5:$A$315,$A190,$C$5:$C$315,$C190-1,$D$5:$D$315,$D190)=0,K190*SUMIFS(K$5:K$315,$A$5:$A$315,$A190,$C$5:$C$315,$C190-1,$D$5:$D$315,$D190)&lt;0),"n.s.",ABS(K190)/ABS(SUMIFS(K$5:K$315,$A$5:$A$315,$A190,$C$5:$C$315,$C190-1,$D$5:$D$315,$D190))-1)))</f>
        <v/>
      </c>
      <c r="V190" s="16">
        <f>IF(OR($A190="",L190="",$C190=""),"",IF(COUNTIFS($A$5:$A$315,$A190,$C$5:$C$315,$C190-1,$D$5:$D$315,$D190,L$5:L$315,"&lt;&gt;")=0,"",IF(OR(SUMIFS(L$5:L$315,$A$5:$A$315,$A190,$C$5:$C$315,$C190-1,$D$5:$D$315,$D190)=0,L190*SUMIFS(L$5:L$315,$A$5:$A$315,$A190,$C$5:$C$315,$C190-1,$D$5:$D$315,$D190)&lt;0),"n.s.",ABS(L190)/ABS(SUMIFS(L$5:L$315,$A$5:$A$315,$A190,$C$5:$C$315,$C190-1,$D$5:$D$315,$D190))-1)))</f>
        <v/>
      </c>
      <c r="W190" s="16">
        <f>IF(OR($A190="",M190="",$C190=""),"",IF(COUNTIFS($A$5:$A$315,$A190,$C$5:$C$315,$C190-1,$D$5:$D$315,$D190,M$5:M$315,"&lt;&gt;")=0,"",IF(OR(SUMIFS(M$5:M$315,$A$5:$A$315,$A190,$C$5:$C$315,$C190-1,$D$5:$D$315,$D190)=0,M190*SUMIFS(M$5:M$315,$A$5:$A$315,$A190,$C$5:$C$315,$C190-1,$D$5:$D$315,$D190)&lt;0),"n.s.",ABS(M190)/ABS(SUMIFS(M$5:M$315,$A$5:$A$315,$A190,$C$5:$C$315,$C190-1,$D$5:$D$315,$D190))-1)))</f>
        <v/>
      </c>
      <c r="X190" s="16">
        <f>IF(OR($A190="",N190="",$C190=""),"",IF(COUNTIFS($A$5:$A$315,$A190,$C$5:$C$315,$C190-1,$D$5:$D$315,$D190,N$5:N$315,"&lt;&gt;")=0,"",IF(OR(SUMIFS(N$5:N$315,$A$5:$A$315,$A190,$C$5:$C$315,$C190-1,$D$5:$D$315,$D190)=0,N190*SUMIFS(N$5:N$315,$A$5:$A$315,$A190,$C$5:$C$315,$C190-1,$D$5:$D$315,$D190)&lt;0),"n.s.",ABS(N190)/ABS(SUMIFS(N$5:N$315,$A$5:$A$315,$A190,$C$5:$C$315,$C190-1,$D$5:$D$315,$D190))-1)))</f>
        <v/>
      </c>
      <c r="Y190" s="16">
        <f>IF(OR($A190="",O190="",$C190=""),"",IF(COUNTIFS($A$5:$A$315,$A190,$C$5:$C$315,$C190-1,$D$5:$D$315,$D190,O$5:O$315,"&lt;&gt;")=0,"",IF(OR(SUMIFS(O$5:O$315,$A$5:$A$315,$A190,$C$5:$C$315,$C190-1,$D$5:$D$315,$D190)=0,O190*SUMIFS(O$5:O$315,$A$5:$A$315,$A190,$C$5:$C$315,$C190-1,$D$5:$D$315,$D190)&lt;0),"n.s.",ABS(O190)/ABS(SUMIFS(O$5:O$315,$A$5:$A$315,$A190,$C$5:$C$315,$C190-1,$D$5:$D$315,$D190))-1)))</f>
        <v/>
      </c>
    </row>
    <row r="191">
      <c r="A191" s="9" t="inlineStr">
        <is>
          <t>ECOC</t>
        </is>
      </c>
      <c r="B191" s="10">
        <f>IF(A191="","",IFERROR(VLOOKUP(A191,Titres!$A$2:$B$400,2,FALSE),"Ticker inconnu"))</f>
        <v/>
      </c>
      <c r="C191" s="11" t="n">
        <v>2023</v>
      </c>
      <c r="D191" s="11" t="inlineStr">
        <is>
          <t>T1</t>
        </is>
      </c>
      <c r="E191" s="9" t="n"/>
      <c r="F191" s="12" t="n"/>
      <c r="G191" s="9" t="n"/>
      <c r="H191" s="13" t="n"/>
      <c r="I191" s="13" t="n"/>
      <c r="J191" s="13" t="n"/>
      <c r="K191" s="13" t="n"/>
      <c r="L191" s="13" t="n"/>
      <c r="M191" s="13" t="n"/>
      <c r="N191" s="13" t="n"/>
      <c r="O191" s="13" t="n"/>
      <c r="P191" s="14">
        <f>IF(A191="","",COUNT(H191:O191)/8)</f>
        <v/>
      </c>
      <c r="Q191" s="15">
        <f>IF(COUNT(H191:O191)=0,"",IF(LEN(IF(COUNT(H191,I191,J191)=3,IF(ABS(H191+I191-J191)&lt;=MAX(1,0.02*ABS(J191)),"","RBE &lt;&gt; PNB + frais "),"")&amp;IF(COUNT(J191,K191,L191)=3,IF(ABS(J191+K191-L191)&lt;=MAX(1,0.03*ABS(L191)),"","RAI &lt;&gt; RBE + coût du risque "),"")&amp;IF(COUNT(H191,M191)=2,IF(ABS(M191)&gt;ABS(H191),"RN &gt; PNB ",""),""))=0,"OK",IF(COUNT(H191,I191,J191)=3,IF(ABS(H191+I191-J191)&lt;=MAX(1,0.02*ABS(J191)),"","RBE &lt;&gt; PNB + frais "),"")&amp;IF(COUNT(J191,K191,L191)=3,IF(ABS(J191+K191-L191)&lt;=MAX(1,0.03*ABS(L191)),"","RAI &lt;&gt; RBE + coût du risque "),"")&amp;IF(COUNT(H191,M191)=2,IF(ABS(M191)&gt;ABS(H191),"RN &gt; PNB ",""),"")))</f>
        <v/>
      </c>
      <c r="R191" s="16">
        <f>IF(OR($A191="",H191="",$C191=""),"",IF(COUNTIFS($A$5:$A$315,$A191,$C$5:$C$315,$C191-1,$D$5:$D$315,$D191,H$5:H$315,"&lt;&gt;")=0,"",IF(OR(SUMIFS(H$5:H$315,$A$5:$A$315,$A191,$C$5:$C$315,$C191-1,$D$5:$D$315,$D191)=0,H191*SUMIFS(H$5:H$315,$A$5:$A$315,$A191,$C$5:$C$315,$C191-1,$D$5:$D$315,$D191)&lt;0),"n.s.",ABS(H191)/ABS(SUMIFS(H$5:H$315,$A$5:$A$315,$A191,$C$5:$C$315,$C191-1,$D$5:$D$315,$D191))-1)))</f>
        <v/>
      </c>
      <c r="S191" s="16">
        <f>IF(OR($A191="",I191="",$C191=""),"",IF(COUNTIFS($A$5:$A$315,$A191,$C$5:$C$315,$C191-1,$D$5:$D$315,$D191,I$5:I$315,"&lt;&gt;")=0,"",IF(OR(SUMIFS(I$5:I$315,$A$5:$A$315,$A191,$C$5:$C$315,$C191-1,$D$5:$D$315,$D191)=0,I191*SUMIFS(I$5:I$315,$A$5:$A$315,$A191,$C$5:$C$315,$C191-1,$D$5:$D$315,$D191)&lt;0),"n.s.",ABS(I191)/ABS(SUMIFS(I$5:I$315,$A$5:$A$315,$A191,$C$5:$C$315,$C191-1,$D$5:$D$315,$D191))-1)))</f>
        <v/>
      </c>
      <c r="T191" s="16">
        <f>IF(OR($A191="",J191="",$C191=""),"",IF(COUNTIFS($A$5:$A$315,$A191,$C$5:$C$315,$C191-1,$D$5:$D$315,$D191,J$5:J$315,"&lt;&gt;")=0,"",IF(OR(SUMIFS(J$5:J$315,$A$5:$A$315,$A191,$C$5:$C$315,$C191-1,$D$5:$D$315,$D191)=0,J191*SUMIFS(J$5:J$315,$A$5:$A$315,$A191,$C$5:$C$315,$C191-1,$D$5:$D$315,$D191)&lt;0),"n.s.",ABS(J191)/ABS(SUMIFS(J$5:J$315,$A$5:$A$315,$A191,$C$5:$C$315,$C191-1,$D$5:$D$315,$D191))-1)))</f>
        <v/>
      </c>
      <c r="U191" s="16">
        <f>IF(OR($A191="",K191="",$C191=""),"",IF(COUNTIFS($A$5:$A$315,$A191,$C$5:$C$315,$C191-1,$D$5:$D$315,$D191,K$5:K$315,"&lt;&gt;")=0,"",IF(OR(SUMIFS(K$5:K$315,$A$5:$A$315,$A191,$C$5:$C$315,$C191-1,$D$5:$D$315,$D191)=0,K191*SUMIFS(K$5:K$315,$A$5:$A$315,$A191,$C$5:$C$315,$C191-1,$D$5:$D$315,$D191)&lt;0),"n.s.",ABS(K191)/ABS(SUMIFS(K$5:K$315,$A$5:$A$315,$A191,$C$5:$C$315,$C191-1,$D$5:$D$315,$D191))-1)))</f>
        <v/>
      </c>
      <c r="V191" s="16">
        <f>IF(OR($A191="",L191="",$C191=""),"",IF(COUNTIFS($A$5:$A$315,$A191,$C$5:$C$315,$C191-1,$D$5:$D$315,$D191,L$5:L$315,"&lt;&gt;")=0,"",IF(OR(SUMIFS(L$5:L$315,$A$5:$A$315,$A191,$C$5:$C$315,$C191-1,$D$5:$D$315,$D191)=0,L191*SUMIFS(L$5:L$315,$A$5:$A$315,$A191,$C$5:$C$315,$C191-1,$D$5:$D$315,$D191)&lt;0),"n.s.",ABS(L191)/ABS(SUMIFS(L$5:L$315,$A$5:$A$315,$A191,$C$5:$C$315,$C191-1,$D$5:$D$315,$D191))-1)))</f>
        <v/>
      </c>
      <c r="W191" s="16">
        <f>IF(OR($A191="",M191="",$C191=""),"",IF(COUNTIFS($A$5:$A$315,$A191,$C$5:$C$315,$C191-1,$D$5:$D$315,$D191,M$5:M$315,"&lt;&gt;")=0,"",IF(OR(SUMIFS(M$5:M$315,$A$5:$A$315,$A191,$C$5:$C$315,$C191-1,$D$5:$D$315,$D191)=0,M191*SUMIFS(M$5:M$315,$A$5:$A$315,$A191,$C$5:$C$315,$C191-1,$D$5:$D$315,$D191)&lt;0),"n.s.",ABS(M191)/ABS(SUMIFS(M$5:M$315,$A$5:$A$315,$A191,$C$5:$C$315,$C191-1,$D$5:$D$315,$D191))-1)))</f>
        <v/>
      </c>
      <c r="X191" s="16">
        <f>IF(OR($A191="",N191="",$C191=""),"",IF(COUNTIFS($A$5:$A$315,$A191,$C$5:$C$315,$C191-1,$D$5:$D$315,$D191,N$5:N$315,"&lt;&gt;")=0,"",IF(OR(SUMIFS(N$5:N$315,$A$5:$A$315,$A191,$C$5:$C$315,$C191-1,$D$5:$D$315,$D191)=0,N191*SUMIFS(N$5:N$315,$A$5:$A$315,$A191,$C$5:$C$315,$C191-1,$D$5:$D$315,$D191)&lt;0),"n.s.",ABS(N191)/ABS(SUMIFS(N$5:N$315,$A$5:$A$315,$A191,$C$5:$C$315,$C191-1,$D$5:$D$315,$D191))-1)))</f>
        <v/>
      </c>
      <c r="Y191" s="16">
        <f>IF(OR($A191="",O191="",$C191=""),"",IF(COUNTIFS($A$5:$A$315,$A191,$C$5:$C$315,$C191-1,$D$5:$D$315,$D191,O$5:O$315,"&lt;&gt;")=0,"",IF(OR(SUMIFS(O$5:O$315,$A$5:$A$315,$A191,$C$5:$C$315,$C191-1,$D$5:$D$315,$D191)=0,O191*SUMIFS(O$5:O$315,$A$5:$A$315,$A191,$C$5:$C$315,$C191-1,$D$5:$D$315,$D191)&lt;0),"n.s.",ABS(O191)/ABS(SUMIFS(O$5:O$315,$A$5:$A$315,$A191,$C$5:$C$315,$C191-1,$D$5:$D$315,$D191))-1)))</f>
        <v/>
      </c>
    </row>
    <row r="192">
      <c r="A192" s="9" t="inlineStr">
        <is>
          <t>ECOC</t>
        </is>
      </c>
      <c r="B192" s="10">
        <f>IF(A192="","",IFERROR(VLOOKUP(A192,Titres!$A$2:$B$400,2,FALSE),"Ticker inconnu"))</f>
        <v/>
      </c>
      <c r="C192" s="11" t="n">
        <v>2023</v>
      </c>
      <c r="D192" s="11" t="inlineStr">
        <is>
          <t>S1</t>
        </is>
      </c>
      <c r="E192" s="9" t="n"/>
      <c r="F192" s="12" t="n"/>
      <c r="G192" s="9" t="n"/>
      <c r="H192" s="13" t="n"/>
      <c r="I192" s="13" t="n"/>
      <c r="J192" s="13" t="n"/>
      <c r="K192" s="13" t="n"/>
      <c r="L192" s="13" t="n"/>
      <c r="M192" s="13" t="n"/>
      <c r="N192" s="13" t="n"/>
      <c r="O192" s="13" t="n"/>
      <c r="P192" s="14">
        <f>IF(A192="","",COUNT(H192:O192)/8)</f>
        <v/>
      </c>
      <c r="Q192" s="15">
        <f>IF(COUNT(H192:O192)=0,"",IF(LEN(IF(COUNT(H192,I192,J192)=3,IF(ABS(H192+I192-J192)&lt;=MAX(1,0.02*ABS(J192)),"","RBE &lt;&gt; PNB + frais "),"")&amp;IF(COUNT(J192,K192,L192)=3,IF(ABS(J192+K192-L192)&lt;=MAX(1,0.03*ABS(L192)),"","RAI &lt;&gt; RBE + coût du risque "),"")&amp;IF(COUNT(H192,M192)=2,IF(ABS(M192)&gt;ABS(H192),"RN &gt; PNB ",""),""))=0,"OK",IF(COUNT(H192,I192,J192)=3,IF(ABS(H192+I192-J192)&lt;=MAX(1,0.02*ABS(J192)),"","RBE &lt;&gt; PNB + frais "),"")&amp;IF(COUNT(J192,K192,L192)=3,IF(ABS(J192+K192-L192)&lt;=MAX(1,0.03*ABS(L192)),"","RAI &lt;&gt; RBE + coût du risque "),"")&amp;IF(COUNT(H192,M192)=2,IF(ABS(M192)&gt;ABS(H192),"RN &gt; PNB ",""),"")))</f>
        <v/>
      </c>
      <c r="R192" s="16">
        <f>IF(OR($A192="",H192="",$C192=""),"",IF(COUNTIFS($A$5:$A$315,$A192,$C$5:$C$315,$C192-1,$D$5:$D$315,$D192,H$5:H$315,"&lt;&gt;")=0,"",IF(OR(SUMIFS(H$5:H$315,$A$5:$A$315,$A192,$C$5:$C$315,$C192-1,$D$5:$D$315,$D192)=0,H192*SUMIFS(H$5:H$315,$A$5:$A$315,$A192,$C$5:$C$315,$C192-1,$D$5:$D$315,$D192)&lt;0),"n.s.",ABS(H192)/ABS(SUMIFS(H$5:H$315,$A$5:$A$315,$A192,$C$5:$C$315,$C192-1,$D$5:$D$315,$D192))-1)))</f>
        <v/>
      </c>
      <c r="S192" s="16">
        <f>IF(OR($A192="",I192="",$C192=""),"",IF(COUNTIFS($A$5:$A$315,$A192,$C$5:$C$315,$C192-1,$D$5:$D$315,$D192,I$5:I$315,"&lt;&gt;")=0,"",IF(OR(SUMIFS(I$5:I$315,$A$5:$A$315,$A192,$C$5:$C$315,$C192-1,$D$5:$D$315,$D192)=0,I192*SUMIFS(I$5:I$315,$A$5:$A$315,$A192,$C$5:$C$315,$C192-1,$D$5:$D$315,$D192)&lt;0),"n.s.",ABS(I192)/ABS(SUMIFS(I$5:I$315,$A$5:$A$315,$A192,$C$5:$C$315,$C192-1,$D$5:$D$315,$D192))-1)))</f>
        <v/>
      </c>
      <c r="T192" s="16">
        <f>IF(OR($A192="",J192="",$C192=""),"",IF(COUNTIFS($A$5:$A$315,$A192,$C$5:$C$315,$C192-1,$D$5:$D$315,$D192,J$5:J$315,"&lt;&gt;")=0,"",IF(OR(SUMIFS(J$5:J$315,$A$5:$A$315,$A192,$C$5:$C$315,$C192-1,$D$5:$D$315,$D192)=0,J192*SUMIFS(J$5:J$315,$A$5:$A$315,$A192,$C$5:$C$315,$C192-1,$D$5:$D$315,$D192)&lt;0),"n.s.",ABS(J192)/ABS(SUMIFS(J$5:J$315,$A$5:$A$315,$A192,$C$5:$C$315,$C192-1,$D$5:$D$315,$D192))-1)))</f>
        <v/>
      </c>
      <c r="U192" s="16">
        <f>IF(OR($A192="",K192="",$C192=""),"",IF(COUNTIFS($A$5:$A$315,$A192,$C$5:$C$315,$C192-1,$D$5:$D$315,$D192,K$5:K$315,"&lt;&gt;")=0,"",IF(OR(SUMIFS(K$5:K$315,$A$5:$A$315,$A192,$C$5:$C$315,$C192-1,$D$5:$D$315,$D192)=0,K192*SUMIFS(K$5:K$315,$A$5:$A$315,$A192,$C$5:$C$315,$C192-1,$D$5:$D$315,$D192)&lt;0),"n.s.",ABS(K192)/ABS(SUMIFS(K$5:K$315,$A$5:$A$315,$A192,$C$5:$C$315,$C192-1,$D$5:$D$315,$D192))-1)))</f>
        <v/>
      </c>
      <c r="V192" s="16">
        <f>IF(OR($A192="",L192="",$C192=""),"",IF(COUNTIFS($A$5:$A$315,$A192,$C$5:$C$315,$C192-1,$D$5:$D$315,$D192,L$5:L$315,"&lt;&gt;")=0,"",IF(OR(SUMIFS(L$5:L$315,$A$5:$A$315,$A192,$C$5:$C$315,$C192-1,$D$5:$D$315,$D192)=0,L192*SUMIFS(L$5:L$315,$A$5:$A$315,$A192,$C$5:$C$315,$C192-1,$D$5:$D$315,$D192)&lt;0),"n.s.",ABS(L192)/ABS(SUMIFS(L$5:L$315,$A$5:$A$315,$A192,$C$5:$C$315,$C192-1,$D$5:$D$315,$D192))-1)))</f>
        <v/>
      </c>
      <c r="W192" s="16">
        <f>IF(OR($A192="",M192="",$C192=""),"",IF(COUNTIFS($A$5:$A$315,$A192,$C$5:$C$315,$C192-1,$D$5:$D$315,$D192,M$5:M$315,"&lt;&gt;")=0,"",IF(OR(SUMIFS(M$5:M$315,$A$5:$A$315,$A192,$C$5:$C$315,$C192-1,$D$5:$D$315,$D192)=0,M192*SUMIFS(M$5:M$315,$A$5:$A$315,$A192,$C$5:$C$315,$C192-1,$D$5:$D$315,$D192)&lt;0),"n.s.",ABS(M192)/ABS(SUMIFS(M$5:M$315,$A$5:$A$315,$A192,$C$5:$C$315,$C192-1,$D$5:$D$315,$D192))-1)))</f>
        <v/>
      </c>
      <c r="X192" s="16">
        <f>IF(OR($A192="",N192="",$C192=""),"",IF(COUNTIFS($A$5:$A$315,$A192,$C$5:$C$315,$C192-1,$D$5:$D$315,$D192,N$5:N$315,"&lt;&gt;")=0,"",IF(OR(SUMIFS(N$5:N$315,$A$5:$A$315,$A192,$C$5:$C$315,$C192-1,$D$5:$D$315,$D192)=0,N192*SUMIFS(N$5:N$315,$A$5:$A$315,$A192,$C$5:$C$315,$C192-1,$D$5:$D$315,$D192)&lt;0),"n.s.",ABS(N192)/ABS(SUMIFS(N$5:N$315,$A$5:$A$315,$A192,$C$5:$C$315,$C192-1,$D$5:$D$315,$D192))-1)))</f>
        <v/>
      </c>
      <c r="Y192" s="16">
        <f>IF(OR($A192="",O192="",$C192=""),"",IF(COUNTIFS($A$5:$A$315,$A192,$C$5:$C$315,$C192-1,$D$5:$D$315,$D192,O$5:O$315,"&lt;&gt;")=0,"",IF(OR(SUMIFS(O$5:O$315,$A$5:$A$315,$A192,$C$5:$C$315,$C192-1,$D$5:$D$315,$D192)=0,O192*SUMIFS(O$5:O$315,$A$5:$A$315,$A192,$C$5:$C$315,$C192-1,$D$5:$D$315,$D192)&lt;0),"n.s.",ABS(O192)/ABS(SUMIFS(O$5:O$315,$A$5:$A$315,$A192,$C$5:$C$315,$C192-1,$D$5:$D$315,$D192))-1)))</f>
        <v/>
      </c>
    </row>
    <row r="193">
      <c r="A193" s="9" t="inlineStr">
        <is>
          <t>ECOC</t>
        </is>
      </c>
      <c r="B193" s="10">
        <f>IF(A193="","",IFERROR(VLOOKUP(A193,Titres!$A$2:$B$400,2,FALSE),"Ticker inconnu"))</f>
        <v/>
      </c>
      <c r="C193" s="11" t="n">
        <v>2023</v>
      </c>
      <c r="D193" s="11" t="inlineStr">
        <is>
          <t>T3</t>
        </is>
      </c>
      <c r="E193" s="9" t="n"/>
      <c r="F193" s="12" t="n"/>
      <c r="G193" s="9" t="n"/>
      <c r="H193" s="13" t="n"/>
      <c r="I193" s="13" t="n"/>
      <c r="J193" s="13" t="n"/>
      <c r="K193" s="13" t="n"/>
      <c r="L193" s="13" t="n"/>
      <c r="M193" s="13" t="n"/>
      <c r="N193" s="13" t="n"/>
      <c r="O193" s="13" t="n"/>
      <c r="P193" s="14">
        <f>IF(A193="","",COUNT(H193:O193)/8)</f>
        <v/>
      </c>
      <c r="Q193" s="15">
        <f>IF(COUNT(H193:O193)=0,"",IF(LEN(IF(COUNT(H193,I193,J193)=3,IF(ABS(H193+I193-J193)&lt;=MAX(1,0.02*ABS(J193)),"","RBE &lt;&gt; PNB + frais "),"")&amp;IF(COUNT(J193,K193,L193)=3,IF(ABS(J193+K193-L193)&lt;=MAX(1,0.03*ABS(L193)),"","RAI &lt;&gt; RBE + coût du risque "),"")&amp;IF(COUNT(H193,M193)=2,IF(ABS(M193)&gt;ABS(H193),"RN &gt; PNB ",""),""))=0,"OK",IF(COUNT(H193,I193,J193)=3,IF(ABS(H193+I193-J193)&lt;=MAX(1,0.02*ABS(J193)),"","RBE &lt;&gt; PNB + frais "),"")&amp;IF(COUNT(J193,K193,L193)=3,IF(ABS(J193+K193-L193)&lt;=MAX(1,0.03*ABS(L193)),"","RAI &lt;&gt; RBE + coût du risque "),"")&amp;IF(COUNT(H193,M193)=2,IF(ABS(M193)&gt;ABS(H193),"RN &gt; PNB ",""),"")))</f>
        <v/>
      </c>
      <c r="R193" s="16">
        <f>IF(OR($A193="",H193="",$C193=""),"",IF(COUNTIFS($A$5:$A$315,$A193,$C$5:$C$315,$C193-1,$D$5:$D$315,$D193,H$5:H$315,"&lt;&gt;")=0,"",IF(OR(SUMIFS(H$5:H$315,$A$5:$A$315,$A193,$C$5:$C$315,$C193-1,$D$5:$D$315,$D193)=0,H193*SUMIFS(H$5:H$315,$A$5:$A$315,$A193,$C$5:$C$315,$C193-1,$D$5:$D$315,$D193)&lt;0),"n.s.",ABS(H193)/ABS(SUMIFS(H$5:H$315,$A$5:$A$315,$A193,$C$5:$C$315,$C193-1,$D$5:$D$315,$D193))-1)))</f>
        <v/>
      </c>
      <c r="S193" s="16">
        <f>IF(OR($A193="",I193="",$C193=""),"",IF(COUNTIFS($A$5:$A$315,$A193,$C$5:$C$315,$C193-1,$D$5:$D$315,$D193,I$5:I$315,"&lt;&gt;")=0,"",IF(OR(SUMIFS(I$5:I$315,$A$5:$A$315,$A193,$C$5:$C$315,$C193-1,$D$5:$D$315,$D193)=0,I193*SUMIFS(I$5:I$315,$A$5:$A$315,$A193,$C$5:$C$315,$C193-1,$D$5:$D$315,$D193)&lt;0),"n.s.",ABS(I193)/ABS(SUMIFS(I$5:I$315,$A$5:$A$315,$A193,$C$5:$C$315,$C193-1,$D$5:$D$315,$D193))-1)))</f>
        <v/>
      </c>
      <c r="T193" s="16">
        <f>IF(OR($A193="",J193="",$C193=""),"",IF(COUNTIFS($A$5:$A$315,$A193,$C$5:$C$315,$C193-1,$D$5:$D$315,$D193,J$5:J$315,"&lt;&gt;")=0,"",IF(OR(SUMIFS(J$5:J$315,$A$5:$A$315,$A193,$C$5:$C$315,$C193-1,$D$5:$D$315,$D193)=0,J193*SUMIFS(J$5:J$315,$A$5:$A$315,$A193,$C$5:$C$315,$C193-1,$D$5:$D$315,$D193)&lt;0),"n.s.",ABS(J193)/ABS(SUMIFS(J$5:J$315,$A$5:$A$315,$A193,$C$5:$C$315,$C193-1,$D$5:$D$315,$D193))-1)))</f>
        <v/>
      </c>
      <c r="U193" s="16">
        <f>IF(OR($A193="",K193="",$C193=""),"",IF(COUNTIFS($A$5:$A$315,$A193,$C$5:$C$315,$C193-1,$D$5:$D$315,$D193,K$5:K$315,"&lt;&gt;")=0,"",IF(OR(SUMIFS(K$5:K$315,$A$5:$A$315,$A193,$C$5:$C$315,$C193-1,$D$5:$D$315,$D193)=0,K193*SUMIFS(K$5:K$315,$A$5:$A$315,$A193,$C$5:$C$315,$C193-1,$D$5:$D$315,$D193)&lt;0),"n.s.",ABS(K193)/ABS(SUMIFS(K$5:K$315,$A$5:$A$315,$A193,$C$5:$C$315,$C193-1,$D$5:$D$315,$D193))-1)))</f>
        <v/>
      </c>
      <c r="V193" s="16">
        <f>IF(OR($A193="",L193="",$C193=""),"",IF(COUNTIFS($A$5:$A$315,$A193,$C$5:$C$315,$C193-1,$D$5:$D$315,$D193,L$5:L$315,"&lt;&gt;")=0,"",IF(OR(SUMIFS(L$5:L$315,$A$5:$A$315,$A193,$C$5:$C$315,$C193-1,$D$5:$D$315,$D193)=0,L193*SUMIFS(L$5:L$315,$A$5:$A$315,$A193,$C$5:$C$315,$C193-1,$D$5:$D$315,$D193)&lt;0),"n.s.",ABS(L193)/ABS(SUMIFS(L$5:L$315,$A$5:$A$315,$A193,$C$5:$C$315,$C193-1,$D$5:$D$315,$D193))-1)))</f>
        <v/>
      </c>
      <c r="W193" s="16">
        <f>IF(OR($A193="",M193="",$C193=""),"",IF(COUNTIFS($A$5:$A$315,$A193,$C$5:$C$315,$C193-1,$D$5:$D$315,$D193,M$5:M$315,"&lt;&gt;")=0,"",IF(OR(SUMIFS(M$5:M$315,$A$5:$A$315,$A193,$C$5:$C$315,$C193-1,$D$5:$D$315,$D193)=0,M193*SUMIFS(M$5:M$315,$A$5:$A$315,$A193,$C$5:$C$315,$C193-1,$D$5:$D$315,$D193)&lt;0),"n.s.",ABS(M193)/ABS(SUMIFS(M$5:M$315,$A$5:$A$315,$A193,$C$5:$C$315,$C193-1,$D$5:$D$315,$D193))-1)))</f>
        <v/>
      </c>
      <c r="X193" s="16">
        <f>IF(OR($A193="",N193="",$C193=""),"",IF(COUNTIFS($A$5:$A$315,$A193,$C$5:$C$315,$C193-1,$D$5:$D$315,$D193,N$5:N$315,"&lt;&gt;")=0,"",IF(OR(SUMIFS(N$5:N$315,$A$5:$A$315,$A193,$C$5:$C$315,$C193-1,$D$5:$D$315,$D193)=0,N193*SUMIFS(N$5:N$315,$A$5:$A$315,$A193,$C$5:$C$315,$C193-1,$D$5:$D$315,$D193)&lt;0),"n.s.",ABS(N193)/ABS(SUMIFS(N$5:N$315,$A$5:$A$315,$A193,$C$5:$C$315,$C193-1,$D$5:$D$315,$D193))-1)))</f>
        <v/>
      </c>
      <c r="Y193" s="16">
        <f>IF(OR($A193="",O193="",$C193=""),"",IF(COUNTIFS($A$5:$A$315,$A193,$C$5:$C$315,$C193-1,$D$5:$D$315,$D193,O$5:O$315,"&lt;&gt;")=0,"",IF(OR(SUMIFS(O$5:O$315,$A$5:$A$315,$A193,$C$5:$C$315,$C193-1,$D$5:$D$315,$D193)=0,O193*SUMIFS(O$5:O$315,$A$5:$A$315,$A193,$C$5:$C$315,$C193-1,$D$5:$D$315,$D193)&lt;0),"n.s.",ABS(O193)/ABS(SUMIFS(O$5:O$315,$A$5:$A$315,$A193,$C$5:$C$315,$C193-1,$D$5:$D$315,$D193))-1)))</f>
        <v/>
      </c>
    </row>
    <row r="194">
      <c r="A194" s="9" t="inlineStr">
        <is>
          <t>ECOC</t>
        </is>
      </c>
      <c r="B194" s="10">
        <f>IF(A194="","",IFERROR(VLOOKUP(A194,Titres!$A$2:$B$400,2,FALSE),"Ticker inconnu"))</f>
        <v/>
      </c>
      <c r="C194" s="11" t="n">
        <v>2024</v>
      </c>
      <c r="D194" s="11" t="inlineStr">
        <is>
          <t>T1</t>
        </is>
      </c>
      <c r="E194" s="9" t="n"/>
      <c r="F194" s="12" t="n"/>
      <c r="G194" s="9" t="n"/>
      <c r="H194" s="13" t="n"/>
      <c r="I194" s="13" t="n"/>
      <c r="J194" s="13" t="n"/>
      <c r="K194" s="13" t="n"/>
      <c r="L194" s="13" t="n"/>
      <c r="M194" s="13" t="n"/>
      <c r="N194" s="13" t="n"/>
      <c r="O194" s="13" t="n"/>
      <c r="P194" s="14">
        <f>IF(A194="","",COUNT(H194:O194)/8)</f>
        <v/>
      </c>
      <c r="Q194" s="15">
        <f>IF(COUNT(H194:O194)=0,"",IF(LEN(IF(COUNT(H194,I194,J194)=3,IF(ABS(H194+I194-J194)&lt;=MAX(1,0.02*ABS(J194)),"","RBE &lt;&gt; PNB + frais "),"")&amp;IF(COUNT(J194,K194,L194)=3,IF(ABS(J194+K194-L194)&lt;=MAX(1,0.03*ABS(L194)),"","RAI &lt;&gt; RBE + coût du risque "),"")&amp;IF(COUNT(H194,M194)=2,IF(ABS(M194)&gt;ABS(H194),"RN &gt; PNB ",""),""))=0,"OK",IF(COUNT(H194,I194,J194)=3,IF(ABS(H194+I194-J194)&lt;=MAX(1,0.02*ABS(J194)),"","RBE &lt;&gt; PNB + frais "),"")&amp;IF(COUNT(J194,K194,L194)=3,IF(ABS(J194+K194-L194)&lt;=MAX(1,0.03*ABS(L194)),"","RAI &lt;&gt; RBE + coût du risque "),"")&amp;IF(COUNT(H194,M194)=2,IF(ABS(M194)&gt;ABS(H194),"RN &gt; PNB ",""),"")))</f>
        <v/>
      </c>
      <c r="R194" s="16">
        <f>IF(OR($A194="",H194="",$C194=""),"",IF(COUNTIFS($A$5:$A$315,$A194,$C$5:$C$315,$C194-1,$D$5:$D$315,$D194,H$5:H$315,"&lt;&gt;")=0,"",IF(OR(SUMIFS(H$5:H$315,$A$5:$A$315,$A194,$C$5:$C$315,$C194-1,$D$5:$D$315,$D194)=0,H194*SUMIFS(H$5:H$315,$A$5:$A$315,$A194,$C$5:$C$315,$C194-1,$D$5:$D$315,$D194)&lt;0),"n.s.",ABS(H194)/ABS(SUMIFS(H$5:H$315,$A$5:$A$315,$A194,$C$5:$C$315,$C194-1,$D$5:$D$315,$D194))-1)))</f>
        <v/>
      </c>
      <c r="S194" s="16">
        <f>IF(OR($A194="",I194="",$C194=""),"",IF(COUNTIFS($A$5:$A$315,$A194,$C$5:$C$315,$C194-1,$D$5:$D$315,$D194,I$5:I$315,"&lt;&gt;")=0,"",IF(OR(SUMIFS(I$5:I$315,$A$5:$A$315,$A194,$C$5:$C$315,$C194-1,$D$5:$D$315,$D194)=0,I194*SUMIFS(I$5:I$315,$A$5:$A$315,$A194,$C$5:$C$315,$C194-1,$D$5:$D$315,$D194)&lt;0),"n.s.",ABS(I194)/ABS(SUMIFS(I$5:I$315,$A$5:$A$315,$A194,$C$5:$C$315,$C194-1,$D$5:$D$315,$D194))-1)))</f>
        <v/>
      </c>
      <c r="T194" s="16">
        <f>IF(OR($A194="",J194="",$C194=""),"",IF(COUNTIFS($A$5:$A$315,$A194,$C$5:$C$315,$C194-1,$D$5:$D$315,$D194,J$5:J$315,"&lt;&gt;")=0,"",IF(OR(SUMIFS(J$5:J$315,$A$5:$A$315,$A194,$C$5:$C$315,$C194-1,$D$5:$D$315,$D194)=0,J194*SUMIFS(J$5:J$315,$A$5:$A$315,$A194,$C$5:$C$315,$C194-1,$D$5:$D$315,$D194)&lt;0),"n.s.",ABS(J194)/ABS(SUMIFS(J$5:J$315,$A$5:$A$315,$A194,$C$5:$C$315,$C194-1,$D$5:$D$315,$D194))-1)))</f>
        <v/>
      </c>
      <c r="U194" s="16">
        <f>IF(OR($A194="",K194="",$C194=""),"",IF(COUNTIFS($A$5:$A$315,$A194,$C$5:$C$315,$C194-1,$D$5:$D$315,$D194,K$5:K$315,"&lt;&gt;")=0,"",IF(OR(SUMIFS(K$5:K$315,$A$5:$A$315,$A194,$C$5:$C$315,$C194-1,$D$5:$D$315,$D194)=0,K194*SUMIFS(K$5:K$315,$A$5:$A$315,$A194,$C$5:$C$315,$C194-1,$D$5:$D$315,$D194)&lt;0),"n.s.",ABS(K194)/ABS(SUMIFS(K$5:K$315,$A$5:$A$315,$A194,$C$5:$C$315,$C194-1,$D$5:$D$315,$D194))-1)))</f>
        <v/>
      </c>
      <c r="V194" s="16">
        <f>IF(OR($A194="",L194="",$C194=""),"",IF(COUNTIFS($A$5:$A$315,$A194,$C$5:$C$315,$C194-1,$D$5:$D$315,$D194,L$5:L$315,"&lt;&gt;")=0,"",IF(OR(SUMIFS(L$5:L$315,$A$5:$A$315,$A194,$C$5:$C$315,$C194-1,$D$5:$D$315,$D194)=0,L194*SUMIFS(L$5:L$315,$A$5:$A$315,$A194,$C$5:$C$315,$C194-1,$D$5:$D$315,$D194)&lt;0),"n.s.",ABS(L194)/ABS(SUMIFS(L$5:L$315,$A$5:$A$315,$A194,$C$5:$C$315,$C194-1,$D$5:$D$315,$D194))-1)))</f>
        <v/>
      </c>
      <c r="W194" s="16">
        <f>IF(OR($A194="",M194="",$C194=""),"",IF(COUNTIFS($A$5:$A$315,$A194,$C$5:$C$315,$C194-1,$D$5:$D$315,$D194,M$5:M$315,"&lt;&gt;")=0,"",IF(OR(SUMIFS(M$5:M$315,$A$5:$A$315,$A194,$C$5:$C$315,$C194-1,$D$5:$D$315,$D194)=0,M194*SUMIFS(M$5:M$315,$A$5:$A$315,$A194,$C$5:$C$315,$C194-1,$D$5:$D$315,$D194)&lt;0),"n.s.",ABS(M194)/ABS(SUMIFS(M$5:M$315,$A$5:$A$315,$A194,$C$5:$C$315,$C194-1,$D$5:$D$315,$D194))-1)))</f>
        <v/>
      </c>
      <c r="X194" s="16">
        <f>IF(OR($A194="",N194="",$C194=""),"",IF(COUNTIFS($A$5:$A$315,$A194,$C$5:$C$315,$C194-1,$D$5:$D$315,$D194,N$5:N$315,"&lt;&gt;")=0,"",IF(OR(SUMIFS(N$5:N$315,$A$5:$A$315,$A194,$C$5:$C$315,$C194-1,$D$5:$D$315,$D194)=0,N194*SUMIFS(N$5:N$315,$A$5:$A$315,$A194,$C$5:$C$315,$C194-1,$D$5:$D$315,$D194)&lt;0),"n.s.",ABS(N194)/ABS(SUMIFS(N$5:N$315,$A$5:$A$315,$A194,$C$5:$C$315,$C194-1,$D$5:$D$315,$D194))-1)))</f>
        <v/>
      </c>
      <c r="Y194" s="16">
        <f>IF(OR($A194="",O194="",$C194=""),"",IF(COUNTIFS($A$5:$A$315,$A194,$C$5:$C$315,$C194-1,$D$5:$D$315,$D194,O$5:O$315,"&lt;&gt;")=0,"",IF(OR(SUMIFS(O$5:O$315,$A$5:$A$315,$A194,$C$5:$C$315,$C194-1,$D$5:$D$315,$D194)=0,O194*SUMIFS(O$5:O$315,$A$5:$A$315,$A194,$C$5:$C$315,$C194-1,$D$5:$D$315,$D194)&lt;0),"n.s.",ABS(O194)/ABS(SUMIFS(O$5:O$315,$A$5:$A$315,$A194,$C$5:$C$315,$C194-1,$D$5:$D$315,$D194))-1)))</f>
        <v/>
      </c>
    </row>
    <row r="195">
      <c r="A195" s="9" t="inlineStr">
        <is>
          <t>ECOC</t>
        </is>
      </c>
      <c r="B195" s="10">
        <f>IF(A195="","",IFERROR(VLOOKUP(A195,Titres!$A$2:$B$400,2,FALSE),"Ticker inconnu"))</f>
        <v/>
      </c>
      <c r="C195" s="11" t="n">
        <v>2024</v>
      </c>
      <c r="D195" s="11" t="inlineStr">
        <is>
          <t>S1</t>
        </is>
      </c>
      <c r="E195" s="9" t="n"/>
      <c r="F195" s="12" t="n"/>
      <c r="G195" s="9" t="n"/>
      <c r="H195" s="13" t="n"/>
      <c r="I195" s="13" t="n"/>
      <c r="J195" s="13" t="n"/>
      <c r="K195" s="13" t="n"/>
      <c r="L195" s="13" t="n"/>
      <c r="M195" s="13" t="n"/>
      <c r="N195" s="13" t="n"/>
      <c r="O195" s="13" t="n"/>
      <c r="P195" s="14">
        <f>IF(A195="","",COUNT(H195:O195)/8)</f>
        <v/>
      </c>
      <c r="Q195" s="15">
        <f>IF(COUNT(H195:O195)=0,"",IF(LEN(IF(COUNT(H195,I195,J195)=3,IF(ABS(H195+I195-J195)&lt;=MAX(1,0.02*ABS(J195)),"","RBE &lt;&gt; PNB + frais "),"")&amp;IF(COUNT(J195,K195,L195)=3,IF(ABS(J195+K195-L195)&lt;=MAX(1,0.03*ABS(L195)),"","RAI &lt;&gt; RBE + coût du risque "),"")&amp;IF(COUNT(H195,M195)=2,IF(ABS(M195)&gt;ABS(H195),"RN &gt; PNB ",""),""))=0,"OK",IF(COUNT(H195,I195,J195)=3,IF(ABS(H195+I195-J195)&lt;=MAX(1,0.02*ABS(J195)),"","RBE &lt;&gt; PNB + frais "),"")&amp;IF(COUNT(J195,K195,L195)=3,IF(ABS(J195+K195-L195)&lt;=MAX(1,0.03*ABS(L195)),"","RAI &lt;&gt; RBE + coût du risque "),"")&amp;IF(COUNT(H195,M195)=2,IF(ABS(M195)&gt;ABS(H195),"RN &gt; PNB ",""),"")))</f>
        <v/>
      </c>
      <c r="R195" s="16">
        <f>IF(OR($A195="",H195="",$C195=""),"",IF(COUNTIFS($A$5:$A$315,$A195,$C$5:$C$315,$C195-1,$D$5:$D$315,$D195,H$5:H$315,"&lt;&gt;")=0,"",IF(OR(SUMIFS(H$5:H$315,$A$5:$A$315,$A195,$C$5:$C$315,$C195-1,$D$5:$D$315,$D195)=0,H195*SUMIFS(H$5:H$315,$A$5:$A$315,$A195,$C$5:$C$315,$C195-1,$D$5:$D$315,$D195)&lt;0),"n.s.",ABS(H195)/ABS(SUMIFS(H$5:H$315,$A$5:$A$315,$A195,$C$5:$C$315,$C195-1,$D$5:$D$315,$D195))-1)))</f>
        <v/>
      </c>
      <c r="S195" s="16">
        <f>IF(OR($A195="",I195="",$C195=""),"",IF(COUNTIFS($A$5:$A$315,$A195,$C$5:$C$315,$C195-1,$D$5:$D$315,$D195,I$5:I$315,"&lt;&gt;")=0,"",IF(OR(SUMIFS(I$5:I$315,$A$5:$A$315,$A195,$C$5:$C$315,$C195-1,$D$5:$D$315,$D195)=0,I195*SUMIFS(I$5:I$315,$A$5:$A$315,$A195,$C$5:$C$315,$C195-1,$D$5:$D$315,$D195)&lt;0),"n.s.",ABS(I195)/ABS(SUMIFS(I$5:I$315,$A$5:$A$315,$A195,$C$5:$C$315,$C195-1,$D$5:$D$315,$D195))-1)))</f>
        <v/>
      </c>
      <c r="T195" s="16">
        <f>IF(OR($A195="",J195="",$C195=""),"",IF(COUNTIFS($A$5:$A$315,$A195,$C$5:$C$315,$C195-1,$D$5:$D$315,$D195,J$5:J$315,"&lt;&gt;")=0,"",IF(OR(SUMIFS(J$5:J$315,$A$5:$A$315,$A195,$C$5:$C$315,$C195-1,$D$5:$D$315,$D195)=0,J195*SUMIFS(J$5:J$315,$A$5:$A$315,$A195,$C$5:$C$315,$C195-1,$D$5:$D$315,$D195)&lt;0),"n.s.",ABS(J195)/ABS(SUMIFS(J$5:J$315,$A$5:$A$315,$A195,$C$5:$C$315,$C195-1,$D$5:$D$315,$D195))-1)))</f>
        <v/>
      </c>
      <c r="U195" s="16">
        <f>IF(OR($A195="",K195="",$C195=""),"",IF(COUNTIFS($A$5:$A$315,$A195,$C$5:$C$315,$C195-1,$D$5:$D$315,$D195,K$5:K$315,"&lt;&gt;")=0,"",IF(OR(SUMIFS(K$5:K$315,$A$5:$A$315,$A195,$C$5:$C$315,$C195-1,$D$5:$D$315,$D195)=0,K195*SUMIFS(K$5:K$315,$A$5:$A$315,$A195,$C$5:$C$315,$C195-1,$D$5:$D$315,$D195)&lt;0),"n.s.",ABS(K195)/ABS(SUMIFS(K$5:K$315,$A$5:$A$315,$A195,$C$5:$C$315,$C195-1,$D$5:$D$315,$D195))-1)))</f>
        <v/>
      </c>
      <c r="V195" s="16">
        <f>IF(OR($A195="",L195="",$C195=""),"",IF(COUNTIFS($A$5:$A$315,$A195,$C$5:$C$315,$C195-1,$D$5:$D$315,$D195,L$5:L$315,"&lt;&gt;")=0,"",IF(OR(SUMIFS(L$5:L$315,$A$5:$A$315,$A195,$C$5:$C$315,$C195-1,$D$5:$D$315,$D195)=0,L195*SUMIFS(L$5:L$315,$A$5:$A$315,$A195,$C$5:$C$315,$C195-1,$D$5:$D$315,$D195)&lt;0),"n.s.",ABS(L195)/ABS(SUMIFS(L$5:L$315,$A$5:$A$315,$A195,$C$5:$C$315,$C195-1,$D$5:$D$315,$D195))-1)))</f>
        <v/>
      </c>
      <c r="W195" s="16">
        <f>IF(OR($A195="",M195="",$C195=""),"",IF(COUNTIFS($A$5:$A$315,$A195,$C$5:$C$315,$C195-1,$D$5:$D$315,$D195,M$5:M$315,"&lt;&gt;")=0,"",IF(OR(SUMIFS(M$5:M$315,$A$5:$A$315,$A195,$C$5:$C$315,$C195-1,$D$5:$D$315,$D195)=0,M195*SUMIFS(M$5:M$315,$A$5:$A$315,$A195,$C$5:$C$315,$C195-1,$D$5:$D$315,$D195)&lt;0),"n.s.",ABS(M195)/ABS(SUMIFS(M$5:M$315,$A$5:$A$315,$A195,$C$5:$C$315,$C195-1,$D$5:$D$315,$D195))-1)))</f>
        <v/>
      </c>
      <c r="X195" s="16">
        <f>IF(OR($A195="",N195="",$C195=""),"",IF(COUNTIFS($A$5:$A$315,$A195,$C$5:$C$315,$C195-1,$D$5:$D$315,$D195,N$5:N$315,"&lt;&gt;")=0,"",IF(OR(SUMIFS(N$5:N$315,$A$5:$A$315,$A195,$C$5:$C$315,$C195-1,$D$5:$D$315,$D195)=0,N195*SUMIFS(N$5:N$315,$A$5:$A$315,$A195,$C$5:$C$315,$C195-1,$D$5:$D$315,$D195)&lt;0),"n.s.",ABS(N195)/ABS(SUMIFS(N$5:N$315,$A$5:$A$315,$A195,$C$5:$C$315,$C195-1,$D$5:$D$315,$D195))-1)))</f>
        <v/>
      </c>
      <c r="Y195" s="16">
        <f>IF(OR($A195="",O195="",$C195=""),"",IF(COUNTIFS($A$5:$A$315,$A195,$C$5:$C$315,$C195-1,$D$5:$D$315,$D195,O$5:O$315,"&lt;&gt;")=0,"",IF(OR(SUMIFS(O$5:O$315,$A$5:$A$315,$A195,$C$5:$C$315,$C195-1,$D$5:$D$315,$D195)=0,O195*SUMIFS(O$5:O$315,$A$5:$A$315,$A195,$C$5:$C$315,$C195-1,$D$5:$D$315,$D195)&lt;0),"n.s.",ABS(O195)/ABS(SUMIFS(O$5:O$315,$A$5:$A$315,$A195,$C$5:$C$315,$C195-1,$D$5:$D$315,$D195))-1)))</f>
        <v/>
      </c>
    </row>
    <row r="196">
      <c r="A196" s="9" t="inlineStr">
        <is>
          <t>ECOC</t>
        </is>
      </c>
      <c r="B196" s="10">
        <f>IF(A196="","",IFERROR(VLOOKUP(A196,Titres!$A$2:$B$400,2,FALSE),"Ticker inconnu"))</f>
        <v/>
      </c>
      <c r="C196" s="11" t="n">
        <v>2024</v>
      </c>
      <c r="D196" s="11" t="inlineStr">
        <is>
          <t>T3</t>
        </is>
      </c>
      <c r="E196" s="9" t="n"/>
      <c r="F196" s="12" t="n"/>
      <c r="G196" s="9" t="n"/>
      <c r="H196" s="13" t="n"/>
      <c r="I196" s="13" t="n"/>
      <c r="J196" s="13" t="n"/>
      <c r="K196" s="13" t="n"/>
      <c r="L196" s="13" t="n"/>
      <c r="M196" s="13" t="n"/>
      <c r="N196" s="13" t="n"/>
      <c r="O196" s="13" t="n"/>
      <c r="P196" s="14">
        <f>IF(A196="","",COUNT(H196:O196)/8)</f>
        <v/>
      </c>
      <c r="Q196" s="15">
        <f>IF(COUNT(H196:O196)=0,"",IF(LEN(IF(COUNT(H196,I196,J196)=3,IF(ABS(H196+I196-J196)&lt;=MAX(1,0.02*ABS(J196)),"","RBE &lt;&gt; PNB + frais "),"")&amp;IF(COUNT(J196,K196,L196)=3,IF(ABS(J196+K196-L196)&lt;=MAX(1,0.03*ABS(L196)),"","RAI &lt;&gt; RBE + coût du risque "),"")&amp;IF(COUNT(H196,M196)=2,IF(ABS(M196)&gt;ABS(H196),"RN &gt; PNB ",""),""))=0,"OK",IF(COUNT(H196,I196,J196)=3,IF(ABS(H196+I196-J196)&lt;=MAX(1,0.02*ABS(J196)),"","RBE &lt;&gt; PNB + frais "),"")&amp;IF(COUNT(J196,K196,L196)=3,IF(ABS(J196+K196-L196)&lt;=MAX(1,0.03*ABS(L196)),"","RAI &lt;&gt; RBE + coût du risque "),"")&amp;IF(COUNT(H196,M196)=2,IF(ABS(M196)&gt;ABS(H196),"RN &gt; PNB ",""),"")))</f>
        <v/>
      </c>
      <c r="R196" s="16">
        <f>IF(OR($A196="",H196="",$C196=""),"",IF(COUNTIFS($A$5:$A$315,$A196,$C$5:$C$315,$C196-1,$D$5:$D$315,$D196,H$5:H$315,"&lt;&gt;")=0,"",IF(OR(SUMIFS(H$5:H$315,$A$5:$A$315,$A196,$C$5:$C$315,$C196-1,$D$5:$D$315,$D196)=0,H196*SUMIFS(H$5:H$315,$A$5:$A$315,$A196,$C$5:$C$315,$C196-1,$D$5:$D$315,$D196)&lt;0),"n.s.",ABS(H196)/ABS(SUMIFS(H$5:H$315,$A$5:$A$315,$A196,$C$5:$C$315,$C196-1,$D$5:$D$315,$D196))-1)))</f>
        <v/>
      </c>
      <c r="S196" s="16">
        <f>IF(OR($A196="",I196="",$C196=""),"",IF(COUNTIFS($A$5:$A$315,$A196,$C$5:$C$315,$C196-1,$D$5:$D$315,$D196,I$5:I$315,"&lt;&gt;")=0,"",IF(OR(SUMIFS(I$5:I$315,$A$5:$A$315,$A196,$C$5:$C$315,$C196-1,$D$5:$D$315,$D196)=0,I196*SUMIFS(I$5:I$315,$A$5:$A$315,$A196,$C$5:$C$315,$C196-1,$D$5:$D$315,$D196)&lt;0),"n.s.",ABS(I196)/ABS(SUMIFS(I$5:I$315,$A$5:$A$315,$A196,$C$5:$C$315,$C196-1,$D$5:$D$315,$D196))-1)))</f>
        <v/>
      </c>
      <c r="T196" s="16">
        <f>IF(OR($A196="",J196="",$C196=""),"",IF(COUNTIFS($A$5:$A$315,$A196,$C$5:$C$315,$C196-1,$D$5:$D$315,$D196,J$5:J$315,"&lt;&gt;")=0,"",IF(OR(SUMIFS(J$5:J$315,$A$5:$A$315,$A196,$C$5:$C$315,$C196-1,$D$5:$D$315,$D196)=0,J196*SUMIFS(J$5:J$315,$A$5:$A$315,$A196,$C$5:$C$315,$C196-1,$D$5:$D$315,$D196)&lt;0),"n.s.",ABS(J196)/ABS(SUMIFS(J$5:J$315,$A$5:$A$315,$A196,$C$5:$C$315,$C196-1,$D$5:$D$315,$D196))-1)))</f>
        <v/>
      </c>
      <c r="U196" s="16">
        <f>IF(OR($A196="",K196="",$C196=""),"",IF(COUNTIFS($A$5:$A$315,$A196,$C$5:$C$315,$C196-1,$D$5:$D$315,$D196,K$5:K$315,"&lt;&gt;")=0,"",IF(OR(SUMIFS(K$5:K$315,$A$5:$A$315,$A196,$C$5:$C$315,$C196-1,$D$5:$D$315,$D196)=0,K196*SUMIFS(K$5:K$315,$A$5:$A$315,$A196,$C$5:$C$315,$C196-1,$D$5:$D$315,$D196)&lt;0),"n.s.",ABS(K196)/ABS(SUMIFS(K$5:K$315,$A$5:$A$315,$A196,$C$5:$C$315,$C196-1,$D$5:$D$315,$D196))-1)))</f>
        <v/>
      </c>
      <c r="V196" s="16">
        <f>IF(OR($A196="",L196="",$C196=""),"",IF(COUNTIFS($A$5:$A$315,$A196,$C$5:$C$315,$C196-1,$D$5:$D$315,$D196,L$5:L$315,"&lt;&gt;")=0,"",IF(OR(SUMIFS(L$5:L$315,$A$5:$A$315,$A196,$C$5:$C$315,$C196-1,$D$5:$D$315,$D196)=0,L196*SUMIFS(L$5:L$315,$A$5:$A$315,$A196,$C$5:$C$315,$C196-1,$D$5:$D$315,$D196)&lt;0),"n.s.",ABS(L196)/ABS(SUMIFS(L$5:L$315,$A$5:$A$315,$A196,$C$5:$C$315,$C196-1,$D$5:$D$315,$D196))-1)))</f>
        <v/>
      </c>
      <c r="W196" s="16">
        <f>IF(OR($A196="",M196="",$C196=""),"",IF(COUNTIFS($A$5:$A$315,$A196,$C$5:$C$315,$C196-1,$D$5:$D$315,$D196,M$5:M$315,"&lt;&gt;")=0,"",IF(OR(SUMIFS(M$5:M$315,$A$5:$A$315,$A196,$C$5:$C$315,$C196-1,$D$5:$D$315,$D196)=0,M196*SUMIFS(M$5:M$315,$A$5:$A$315,$A196,$C$5:$C$315,$C196-1,$D$5:$D$315,$D196)&lt;0),"n.s.",ABS(M196)/ABS(SUMIFS(M$5:M$315,$A$5:$A$315,$A196,$C$5:$C$315,$C196-1,$D$5:$D$315,$D196))-1)))</f>
        <v/>
      </c>
      <c r="X196" s="16">
        <f>IF(OR($A196="",N196="",$C196=""),"",IF(COUNTIFS($A$5:$A$315,$A196,$C$5:$C$315,$C196-1,$D$5:$D$315,$D196,N$5:N$315,"&lt;&gt;")=0,"",IF(OR(SUMIFS(N$5:N$315,$A$5:$A$315,$A196,$C$5:$C$315,$C196-1,$D$5:$D$315,$D196)=0,N196*SUMIFS(N$5:N$315,$A$5:$A$315,$A196,$C$5:$C$315,$C196-1,$D$5:$D$315,$D196)&lt;0),"n.s.",ABS(N196)/ABS(SUMIFS(N$5:N$315,$A$5:$A$315,$A196,$C$5:$C$315,$C196-1,$D$5:$D$315,$D196))-1)))</f>
        <v/>
      </c>
      <c r="Y196" s="16">
        <f>IF(OR($A196="",O196="",$C196=""),"",IF(COUNTIFS($A$5:$A$315,$A196,$C$5:$C$315,$C196-1,$D$5:$D$315,$D196,O$5:O$315,"&lt;&gt;")=0,"",IF(OR(SUMIFS(O$5:O$315,$A$5:$A$315,$A196,$C$5:$C$315,$C196-1,$D$5:$D$315,$D196)=0,O196*SUMIFS(O$5:O$315,$A$5:$A$315,$A196,$C$5:$C$315,$C196-1,$D$5:$D$315,$D196)&lt;0),"n.s.",ABS(O196)/ABS(SUMIFS(O$5:O$315,$A$5:$A$315,$A196,$C$5:$C$315,$C196-1,$D$5:$D$315,$D196))-1)))</f>
        <v/>
      </c>
    </row>
    <row r="197">
      <c r="A197" s="9" t="inlineStr">
        <is>
          <t>ECOC</t>
        </is>
      </c>
      <c r="B197" s="10">
        <f>IF(A197="","",IFERROR(VLOOKUP(A197,Titres!$A$2:$B$400,2,FALSE),"Ticker inconnu"))</f>
        <v/>
      </c>
      <c r="C197" s="11" t="n">
        <v>2025</v>
      </c>
      <c r="D197" s="11" t="inlineStr">
        <is>
          <t>T1</t>
        </is>
      </c>
      <c r="E197" s="9" t="inlineStr">
        <is>
          <t>Publié</t>
        </is>
      </c>
      <c r="F197" s="12" t="n">
        <v>46141</v>
      </c>
      <c r="G197" s="9" t="inlineStr">
        <is>
          <t>https://www.richbourse.com/common/actualite/afficher-fichier/29-04-2026-ecobank-ci-rapport-dactivites-1er-trimestre-2026 (comparatif N-1)</t>
        </is>
      </c>
      <c r="H197" s="13" t="n">
        <v>29738</v>
      </c>
      <c r="I197" s="13" t="n"/>
      <c r="J197" s="13" t="n"/>
      <c r="K197" s="13" t="n"/>
      <c r="L197" s="13" t="n">
        <v>15459</v>
      </c>
      <c r="M197" s="13" t="n">
        <v>13258</v>
      </c>
      <c r="N197" s="13" t="n">
        <v>984547</v>
      </c>
      <c r="O197" s="13" t="n">
        <v>1526362</v>
      </c>
      <c r="P197" s="14">
        <f>IF(A197="","",COUNT(H197:O197)/8)</f>
        <v/>
      </c>
      <c r="Q197" s="15">
        <f>IF(COUNT(H197:O197)=0,"",IF(LEN(IF(COUNT(H197,I197,J197)=3,IF(ABS(H197+I197-J197)&lt;=MAX(1,0.02*ABS(J197)),"","RBE &lt;&gt; PNB + frais "),"")&amp;IF(COUNT(J197,K197,L197)=3,IF(ABS(J197+K197-L197)&lt;=MAX(1,0.03*ABS(L197)),"","RAI &lt;&gt; RBE + coût du risque "),"")&amp;IF(COUNT(H197,M197)=2,IF(ABS(M197)&gt;ABS(H197),"RN &gt; PNB ",""),""))=0,"OK",IF(COUNT(H197,I197,J197)=3,IF(ABS(H197+I197-J197)&lt;=MAX(1,0.02*ABS(J197)),"","RBE &lt;&gt; PNB + frais "),"")&amp;IF(COUNT(J197,K197,L197)=3,IF(ABS(J197+K197-L197)&lt;=MAX(1,0.03*ABS(L197)),"","RAI &lt;&gt; RBE + coût du risque "),"")&amp;IF(COUNT(H197,M197)=2,IF(ABS(M197)&gt;ABS(H197),"RN &gt; PNB ",""),"")))</f>
        <v/>
      </c>
      <c r="R197" s="16">
        <f>IF(OR($A197="",H197="",$C197=""),"",IF(COUNTIFS($A$5:$A$315,$A197,$C$5:$C$315,$C197-1,$D$5:$D$315,$D197,H$5:H$315,"&lt;&gt;")=0,"",IF(OR(SUMIFS(H$5:H$315,$A$5:$A$315,$A197,$C$5:$C$315,$C197-1,$D$5:$D$315,$D197)=0,H197*SUMIFS(H$5:H$315,$A$5:$A$315,$A197,$C$5:$C$315,$C197-1,$D$5:$D$315,$D197)&lt;0),"n.s.",ABS(H197)/ABS(SUMIFS(H$5:H$315,$A$5:$A$315,$A197,$C$5:$C$315,$C197-1,$D$5:$D$315,$D197))-1)))</f>
        <v/>
      </c>
      <c r="S197" s="16">
        <f>IF(OR($A197="",I197="",$C197=""),"",IF(COUNTIFS($A$5:$A$315,$A197,$C$5:$C$315,$C197-1,$D$5:$D$315,$D197,I$5:I$315,"&lt;&gt;")=0,"",IF(OR(SUMIFS(I$5:I$315,$A$5:$A$315,$A197,$C$5:$C$315,$C197-1,$D$5:$D$315,$D197)=0,I197*SUMIFS(I$5:I$315,$A$5:$A$315,$A197,$C$5:$C$315,$C197-1,$D$5:$D$315,$D197)&lt;0),"n.s.",ABS(I197)/ABS(SUMIFS(I$5:I$315,$A$5:$A$315,$A197,$C$5:$C$315,$C197-1,$D$5:$D$315,$D197))-1)))</f>
        <v/>
      </c>
      <c r="T197" s="16">
        <f>IF(OR($A197="",J197="",$C197=""),"",IF(COUNTIFS($A$5:$A$315,$A197,$C$5:$C$315,$C197-1,$D$5:$D$315,$D197,J$5:J$315,"&lt;&gt;")=0,"",IF(OR(SUMIFS(J$5:J$315,$A$5:$A$315,$A197,$C$5:$C$315,$C197-1,$D$5:$D$315,$D197)=0,J197*SUMIFS(J$5:J$315,$A$5:$A$315,$A197,$C$5:$C$315,$C197-1,$D$5:$D$315,$D197)&lt;0),"n.s.",ABS(J197)/ABS(SUMIFS(J$5:J$315,$A$5:$A$315,$A197,$C$5:$C$315,$C197-1,$D$5:$D$315,$D197))-1)))</f>
        <v/>
      </c>
      <c r="U197" s="16">
        <f>IF(OR($A197="",K197="",$C197=""),"",IF(COUNTIFS($A$5:$A$315,$A197,$C$5:$C$315,$C197-1,$D$5:$D$315,$D197,K$5:K$315,"&lt;&gt;")=0,"",IF(OR(SUMIFS(K$5:K$315,$A$5:$A$315,$A197,$C$5:$C$315,$C197-1,$D$5:$D$315,$D197)=0,K197*SUMIFS(K$5:K$315,$A$5:$A$315,$A197,$C$5:$C$315,$C197-1,$D$5:$D$315,$D197)&lt;0),"n.s.",ABS(K197)/ABS(SUMIFS(K$5:K$315,$A$5:$A$315,$A197,$C$5:$C$315,$C197-1,$D$5:$D$315,$D197))-1)))</f>
        <v/>
      </c>
      <c r="V197" s="16">
        <f>IF(OR($A197="",L197="",$C197=""),"",IF(COUNTIFS($A$5:$A$315,$A197,$C$5:$C$315,$C197-1,$D$5:$D$315,$D197,L$5:L$315,"&lt;&gt;")=0,"",IF(OR(SUMIFS(L$5:L$315,$A$5:$A$315,$A197,$C$5:$C$315,$C197-1,$D$5:$D$315,$D197)=0,L197*SUMIFS(L$5:L$315,$A$5:$A$315,$A197,$C$5:$C$315,$C197-1,$D$5:$D$315,$D197)&lt;0),"n.s.",ABS(L197)/ABS(SUMIFS(L$5:L$315,$A$5:$A$315,$A197,$C$5:$C$315,$C197-1,$D$5:$D$315,$D197))-1)))</f>
        <v/>
      </c>
      <c r="W197" s="16">
        <f>IF(OR($A197="",M197="",$C197=""),"",IF(COUNTIFS($A$5:$A$315,$A197,$C$5:$C$315,$C197-1,$D$5:$D$315,$D197,M$5:M$315,"&lt;&gt;")=0,"",IF(OR(SUMIFS(M$5:M$315,$A$5:$A$315,$A197,$C$5:$C$315,$C197-1,$D$5:$D$315,$D197)=0,M197*SUMIFS(M$5:M$315,$A$5:$A$315,$A197,$C$5:$C$315,$C197-1,$D$5:$D$315,$D197)&lt;0),"n.s.",ABS(M197)/ABS(SUMIFS(M$5:M$315,$A$5:$A$315,$A197,$C$5:$C$315,$C197-1,$D$5:$D$315,$D197))-1)))</f>
        <v/>
      </c>
      <c r="X197" s="16">
        <f>IF(OR($A197="",N197="",$C197=""),"",IF(COUNTIFS($A$5:$A$315,$A197,$C$5:$C$315,$C197-1,$D$5:$D$315,$D197,N$5:N$315,"&lt;&gt;")=0,"",IF(OR(SUMIFS(N$5:N$315,$A$5:$A$315,$A197,$C$5:$C$315,$C197-1,$D$5:$D$315,$D197)=0,N197*SUMIFS(N$5:N$315,$A$5:$A$315,$A197,$C$5:$C$315,$C197-1,$D$5:$D$315,$D197)&lt;0),"n.s.",ABS(N197)/ABS(SUMIFS(N$5:N$315,$A$5:$A$315,$A197,$C$5:$C$315,$C197-1,$D$5:$D$315,$D197))-1)))</f>
        <v/>
      </c>
      <c r="Y197" s="16">
        <f>IF(OR($A197="",O197="",$C197=""),"",IF(COUNTIFS($A$5:$A$315,$A197,$C$5:$C$315,$C197-1,$D$5:$D$315,$D197,O$5:O$315,"&lt;&gt;")=0,"",IF(OR(SUMIFS(O$5:O$315,$A$5:$A$315,$A197,$C$5:$C$315,$C197-1,$D$5:$D$315,$D197)=0,O197*SUMIFS(O$5:O$315,$A$5:$A$315,$A197,$C$5:$C$315,$C197-1,$D$5:$D$315,$D197)&lt;0),"n.s.",ABS(O197)/ABS(SUMIFS(O$5:O$315,$A$5:$A$315,$A197,$C$5:$C$315,$C197-1,$D$5:$D$315,$D197))-1)))</f>
        <v/>
      </c>
    </row>
    <row r="198">
      <c r="A198" s="9" t="inlineStr">
        <is>
          <t>ECOC</t>
        </is>
      </c>
      <c r="B198" s="10">
        <f>IF(A198="","",IFERROR(VLOOKUP(A198,Titres!$A$2:$B$400,2,FALSE),"Ticker inconnu"))</f>
        <v/>
      </c>
      <c r="C198" s="11" t="n">
        <v>2025</v>
      </c>
      <c r="D198" s="11" t="inlineStr">
        <is>
          <t>S1</t>
        </is>
      </c>
      <c r="E198" s="9" t="n"/>
      <c r="F198" s="12" t="n"/>
      <c r="G198" s="9" t="n"/>
      <c r="H198" s="13" t="n"/>
      <c r="I198" s="13" t="n"/>
      <c r="J198" s="13" t="n"/>
      <c r="K198" s="13" t="n"/>
      <c r="L198" s="13" t="n"/>
      <c r="M198" s="13" t="n"/>
      <c r="N198" s="13" t="n"/>
      <c r="O198" s="13" t="n"/>
      <c r="P198" s="14">
        <f>IF(A198="","",COUNT(H198:O198)/8)</f>
        <v/>
      </c>
      <c r="Q198" s="15">
        <f>IF(COUNT(H198:O198)=0,"",IF(LEN(IF(COUNT(H198,I198,J198)=3,IF(ABS(H198+I198-J198)&lt;=MAX(1,0.02*ABS(J198)),"","RBE &lt;&gt; PNB + frais "),"")&amp;IF(COUNT(J198,K198,L198)=3,IF(ABS(J198+K198-L198)&lt;=MAX(1,0.03*ABS(L198)),"","RAI &lt;&gt; RBE + coût du risque "),"")&amp;IF(COUNT(H198,M198)=2,IF(ABS(M198)&gt;ABS(H198),"RN &gt; PNB ",""),""))=0,"OK",IF(COUNT(H198,I198,J198)=3,IF(ABS(H198+I198-J198)&lt;=MAX(1,0.02*ABS(J198)),"","RBE &lt;&gt; PNB + frais "),"")&amp;IF(COUNT(J198,K198,L198)=3,IF(ABS(J198+K198-L198)&lt;=MAX(1,0.03*ABS(L198)),"","RAI &lt;&gt; RBE + coût du risque "),"")&amp;IF(COUNT(H198,M198)=2,IF(ABS(M198)&gt;ABS(H198),"RN &gt; PNB ",""),"")))</f>
        <v/>
      </c>
      <c r="R198" s="16">
        <f>IF(OR($A198="",H198="",$C198=""),"",IF(COUNTIFS($A$5:$A$315,$A198,$C$5:$C$315,$C198-1,$D$5:$D$315,$D198,H$5:H$315,"&lt;&gt;")=0,"",IF(OR(SUMIFS(H$5:H$315,$A$5:$A$315,$A198,$C$5:$C$315,$C198-1,$D$5:$D$315,$D198)=0,H198*SUMIFS(H$5:H$315,$A$5:$A$315,$A198,$C$5:$C$315,$C198-1,$D$5:$D$315,$D198)&lt;0),"n.s.",ABS(H198)/ABS(SUMIFS(H$5:H$315,$A$5:$A$315,$A198,$C$5:$C$315,$C198-1,$D$5:$D$315,$D198))-1)))</f>
        <v/>
      </c>
      <c r="S198" s="16">
        <f>IF(OR($A198="",I198="",$C198=""),"",IF(COUNTIFS($A$5:$A$315,$A198,$C$5:$C$315,$C198-1,$D$5:$D$315,$D198,I$5:I$315,"&lt;&gt;")=0,"",IF(OR(SUMIFS(I$5:I$315,$A$5:$A$315,$A198,$C$5:$C$315,$C198-1,$D$5:$D$315,$D198)=0,I198*SUMIFS(I$5:I$315,$A$5:$A$315,$A198,$C$5:$C$315,$C198-1,$D$5:$D$315,$D198)&lt;0),"n.s.",ABS(I198)/ABS(SUMIFS(I$5:I$315,$A$5:$A$315,$A198,$C$5:$C$315,$C198-1,$D$5:$D$315,$D198))-1)))</f>
        <v/>
      </c>
      <c r="T198" s="16">
        <f>IF(OR($A198="",J198="",$C198=""),"",IF(COUNTIFS($A$5:$A$315,$A198,$C$5:$C$315,$C198-1,$D$5:$D$315,$D198,J$5:J$315,"&lt;&gt;")=0,"",IF(OR(SUMIFS(J$5:J$315,$A$5:$A$315,$A198,$C$5:$C$315,$C198-1,$D$5:$D$315,$D198)=0,J198*SUMIFS(J$5:J$315,$A$5:$A$315,$A198,$C$5:$C$315,$C198-1,$D$5:$D$315,$D198)&lt;0),"n.s.",ABS(J198)/ABS(SUMIFS(J$5:J$315,$A$5:$A$315,$A198,$C$5:$C$315,$C198-1,$D$5:$D$315,$D198))-1)))</f>
        <v/>
      </c>
      <c r="U198" s="16">
        <f>IF(OR($A198="",K198="",$C198=""),"",IF(COUNTIFS($A$5:$A$315,$A198,$C$5:$C$315,$C198-1,$D$5:$D$315,$D198,K$5:K$315,"&lt;&gt;")=0,"",IF(OR(SUMIFS(K$5:K$315,$A$5:$A$315,$A198,$C$5:$C$315,$C198-1,$D$5:$D$315,$D198)=0,K198*SUMIFS(K$5:K$315,$A$5:$A$315,$A198,$C$5:$C$315,$C198-1,$D$5:$D$315,$D198)&lt;0),"n.s.",ABS(K198)/ABS(SUMIFS(K$5:K$315,$A$5:$A$315,$A198,$C$5:$C$315,$C198-1,$D$5:$D$315,$D198))-1)))</f>
        <v/>
      </c>
      <c r="V198" s="16">
        <f>IF(OR($A198="",L198="",$C198=""),"",IF(COUNTIFS($A$5:$A$315,$A198,$C$5:$C$315,$C198-1,$D$5:$D$315,$D198,L$5:L$315,"&lt;&gt;")=0,"",IF(OR(SUMIFS(L$5:L$315,$A$5:$A$315,$A198,$C$5:$C$315,$C198-1,$D$5:$D$315,$D198)=0,L198*SUMIFS(L$5:L$315,$A$5:$A$315,$A198,$C$5:$C$315,$C198-1,$D$5:$D$315,$D198)&lt;0),"n.s.",ABS(L198)/ABS(SUMIFS(L$5:L$315,$A$5:$A$315,$A198,$C$5:$C$315,$C198-1,$D$5:$D$315,$D198))-1)))</f>
        <v/>
      </c>
      <c r="W198" s="16">
        <f>IF(OR($A198="",M198="",$C198=""),"",IF(COUNTIFS($A$5:$A$315,$A198,$C$5:$C$315,$C198-1,$D$5:$D$315,$D198,M$5:M$315,"&lt;&gt;")=0,"",IF(OR(SUMIFS(M$5:M$315,$A$5:$A$315,$A198,$C$5:$C$315,$C198-1,$D$5:$D$315,$D198)=0,M198*SUMIFS(M$5:M$315,$A$5:$A$315,$A198,$C$5:$C$315,$C198-1,$D$5:$D$315,$D198)&lt;0),"n.s.",ABS(M198)/ABS(SUMIFS(M$5:M$315,$A$5:$A$315,$A198,$C$5:$C$315,$C198-1,$D$5:$D$315,$D198))-1)))</f>
        <v/>
      </c>
      <c r="X198" s="16">
        <f>IF(OR($A198="",N198="",$C198=""),"",IF(COUNTIFS($A$5:$A$315,$A198,$C$5:$C$315,$C198-1,$D$5:$D$315,$D198,N$5:N$315,"&lt;&gt;")=0,"",IF(OR(SUMIFS(N$5:N$315,$A$5:$A$315,$A198,$C$5:$C$315,$C198-1,$D$5:$D$315,$D198)=0,N198*SUMIFS(N$5:N$315,$A$5:$A$315,$A198,$C$5:$C$315,$C198-1,$D$5:$D$315,$D198)&lt;0),"n.s.",ABS(N198)/ABS(SUMIFS(N$5:N$315,$A$5:$A$315,$A198,$C$5:$C$315,$C198-1,$D$5:$D$315,$D198))-1)))</f>
        <v/>
      </c>
      <c r="Y198" s="16">
        <f>IF(OR($A198="",O198="",$C198=""),"",IF(COUNTIFS($A$5:$A$315,$A198,$C$5:$C$315,$C198-1,$D$5:$D$315,$D198,O$5:O$315,"&lt;&gt;")=0,"",IF(OR(SUMIFS(O$5:O$315,$A$5:$A$315,$A198,$C$5:$C$315,$C198-1,$D$5:$D$315,$D198)=0,O198*SUMIFS(O$5:O$315,$A$5:$A$315,$A198,$C$5:$C$315,$C198-1,$D$5:$D$315,$D198)&lt;0),"n.s.",ABS(O198)/ABS(SUMIFS(O$5:O$315,$A$5:$A$315,$A198,$C$5:$C$315,$C198-1,$D$5:$D$315,$D198))-1)))</f>
        <v/>
      </c>
    </row>
    <row r="199">
      <c r="A199" s="9" t="inlineStr">
        <is>
          <t>ECOC</t>
        </is>
      </c>
      <c r="B199" s="10">
        <f>IF(A199="","",IFERROR(VLOOKUP(A199,Titres!$A$2:$B$400,2,FALSE),"Ticker inconnu"))</f>
        <v/>
      </c>
      <c r="C199" s="11" t="n">
        <v>2025</v>
      </c>
      <c r="D199" s="11" t="inlineStr">
        <is>
          <t>T3</t>
        </is>
      </c>
      <c r="E199" s="9" t="n"/>
      <c r="F199" s="12" t="n"/>
      <c r="G199" s="9" t="n"/>
      <c r="H199" s="13" t="n"/>
      <c r="I199" s="13" t="n"/>
      <c r="J199" s="13" t="n"/>
      <c r="K199" s="13" t="n"/>
      <c r="L199" s="13" t="n"/>
      <c r="M199" s="13" t="n"/>
      <c r="N199" s="13" t="n"/>
      <c r="O199" s="13" t="n"/>
      <c r="P199" s="14">
        <f>IF(A199="","",COUNT(H199:O199)/8)</f>
        <v/>
      </c>
      <c r="Q199" s="15">
        <f>IF(COUNT(H199:O199)=0,"",IF(LEN(IF(COUNT(H199,I199,J199)=3,IF(ABS(H199+I199-J199)&lt;=MAX(1,0.02*ABS(J199)),"","RBE &lt;&gt; PNB + frais "),"")&amp;IF(COUNT(J199,K199,L199)=3,IF(ABS(J199+K199-L199)&lt;=MAX(1,0.03*ABS(L199)),"","RAI &lt;&gt; RBE + coût du risque "),"")&amp;IF(COUNT(H199,M199)=2,IF(ABS(M199)&gt;ABS(H199),"RN &gt; PNB ",""),""))=0,"OK",IF(COUNT(H199,I199,J199)=3,IF(ABS(H199+I199-J199)&lt;=MAX(1,0.02*ABS(J199)),"","RBE &lt;&gt; PNB + frais "),"")&amp;IF(COUNT(J199,K199,L199)=3,IF(ABS(J199+K199-L199)&lt;=MAX(1,0.03*ABS(L199)),"","RAI &lt;&gt; RBE + coût du risque "),"")&amp;IF(COUNT(H199,M199)=2,IF(ABS(M199)&gt;ABS(H199),"RN &gt; PNB ",""),"")))</f>
        <v/>
      </c>
      <c r="R199" s="16">
        <f>IF(OR($A199="",H199="",$C199=""),"",IF(COUNTIFS($A$5:$A$315,$A199,$C$5:$C$315,$C199-1,$D$5:$D$315,$D199,H$5:H$315,"&lt;&gt;")=0,"",IF(OR(SUMIFS(H$5:H$315,$A$5:$A$315,$A199,$C$5:$C$315,$C199-1,$D$5:$D$315,$D199)=0,H199*SUMIFS(H$5:H$315,$A$5:$A$315,$A199,$C$5:$C$315,$C199-1,$D$5:$D$315,$D199)&lt;0),"n.s.",ABS(H199)/ABS(SUMIFS(H$5:H$315,$A$5:$A$315,$A199,$C$5:$C$315,$C199-1,$D$5:$D$315,$D199))-1)))</f>
        <v/>
      </c>
      <c r="S199" s="16">
        <f>IF(OR($A199="",I199="",$C199=""),"",IF(COUNTIFS($A$5:$A$315,$A199,$C$5:$C$315,$C199-1,$D$5:$D$315,$D199,I$5:I$315,"&lt;&gt;")=0,"",IF(OR(SUMIFS(I$5:I$315,$A$5:$A$315,$A199,$C$5:$C$315,$C199-1,$D$5:$D$315,$D199)=0,I199*SUMIFS(I$5:I$315,$A$5:$A$315,$A199,$C$5:$C$315,$C199-1,$D$5:$D$315,$D199)&lt;0),"n.s.",ABS(I199)/ABS(SUMIFS(I$5:I$315,$A$5:$A$315,$A199,$C$5:$C$315,$C199-1,$D$5:$D$315,$D199))-1)))</f>
        <v/>
      </c>
      <c r="T199" s="16">
        <f>IF(OR($A199="",J199="",$C199=""),"",IF(COUNTIFS($A$5:$A$315,$A199,$C$5:$C$315,$C199-1,$D$5:$D$315,$D199,J$5:J$315,"&lt;&gt;")=0,"",IF(OR(SUMIFS(J$5:J$315,$A$5:$A$315,$A199,$C$5:$C$315,$C199-1,$D$5:$D$315,$D199)=0,J199*SUMIFS(J$5:J$315,$A$5:$A$315,$A199,$C$5:$C$315,$C199-1,$D$5:$D$315,$D199)&lt;0),"n.s.",ABS(J199)/ABS(SUMIFS(J$5:J$315,$A$5:$A$315,$A199,$C$5:$C$315,$C199-1,$D$5:$D$315,$D199))-1)))</f>
        <v/>
      </c>
      <c r="U199" s="16">
        <f>IF(OR($A199="",K199="",$C199=""),"",IF(COUNTIFS($A$5:$A$315,$A199,$C$5:$C$315,$C199-1,$D$5:$D$315,$D199,K$5:K$315,"&lt;&gt;")=0,"",IF(OR(SUMIFS(K$5:K$315,$A$5:$A$315,$A199,$C$5:$C$315,$C199-1,$D$5:$D$315,$D199)=0,K199*SUMIFS(K$5:K$315,$A$5:$A$315,$A199,$C$5:$C$315,$C199-1,$D$5:$D$315,$D199)&lt;0),"n.s.",ABS(K199)/ABS(SUMIFS(K$5:K$315,$A$5:$A$315,$A199,$C$5:$C$315,$C199-1,$D$5:$D$315,$D199))-1)))</f>
        <v/>
      </c>
      <c r="V199" s="16">
        <f>IF(OR($A199="",L199="",$C199=""),"",IF(COUNTIFS($A$5:$A$315,$A199,$C$5:$C$315,$C199-1,$D$5:$D$315,$D199,L$5:L$315,"&lt;&gt;")=0,"",IF(OR(SUMIFS(L$5:L$315,$A$5:$A$315,$A199,$C$5:$C$315,$C199-1,$D$5:$D$315,$D199)=0,L199*SUMIFS(L$5:L$315,$A$5:$A$315,$A199,$C$5:$C$315,$C199-1,$D$5:$D$315,$D199)&lt;0),"n.s.",ABS(L199)/ABS(SUMIFS(L$5:L$315,$A$5:$A$315,$A199,$C$5:$C$315,$C199-1,$D$5:$D$315,$D199))-1)))</f>
        <v/>
      </c>
      <c r="W199" s="16">
        <f>IF(OR($A199="",M199="",$C199=""),"",IF(COUNTIFS($A$5:$A$315,$A199,$C$5:$C$315,$C199-1,$D$5:$D$315,$D199,M$5:M$315,"&lt;&gt;")=0,"",IF(OR(SUMIFS(M$5:M$315,$A$5:$A$315,$A199,$C$5:$C$315,$C199-1,$D$5:$D$315,$D199)=0,M199*SUMIFS(M$5:M$315,$A$5:$A$315,$A199,$C$5:$C$315,$C199-1,$D$5:$D$315,$D199)&lt;0),"n.s.",ABS(M199)/ABS(SUMIFS(M$5:M$315,$A$5:$A$315,$A199,$C$5:$C$315,$C199-1,$D$5:$D$315,$D199))-1)))</f>
        <v/>
      </c>
      <c r="X199" s="16">
        <f>IF(OR($A199="",N199="",$C199=""),"",IF(COUNTIFS($A$5:$A$315,$A199,$C$5:$C$315,$C199-1,$D$5:$D$315,$D199,N$5:N$315,"&lt;&gt;")=0,"",IF(OR(SUMIFS(N$5:N$315,$A$5:$A$315,$A199,$C$5:$C$315,$C199-1,$D$5:$D$315,$D199)=0,N199*SUMIFS(N$5:N$315,$A$5:$A$315,$A199,$C$5:$C$315,$C199-1,$D$5:$D$315,$D199)&lt;0),"n.s.",ABS(N199)/ABS(SUMIFS(N$5:N$315,$A$5:$A$315,$A199,$C$5:$C$315,$C199-1,$D$5:$D$315,$D199))-1)))</f>
        <v/>
      </c>
      <c r="Y199" s="16">
        <f>IF(OR($A199="",O199="",$C199=""),"",IF(COUNTIFS($A$5:$A$315,$A199,$C$5:$C$315,$C199-1,$D$5:$D$315,$D199,O$5:O$315,"&lt;&gt;")=0,"",IF(OR(SUMIFS(O$5:O$315,$A$5:$A$315,$A199,$C$5:$C$315,$C199-1,$D$5:$D$315,$D199)=0,O199*SUMIFS(O$5:O$315,$A$5:$A$315,$A199,$C$5:$C$315,$C199-1,$D$5:$D$315,$D199)&lt;0),"n.s.",ABS(O199)/ABS(SUMIFS(O$5:O$315,$A$5:$A$315,$A199,$C$5:$C$315,$C199-1,$D$5:$D$315,$D199))-1)))</f>
        <v/>
      </c>
    </row>
    <row r="200">
      <c r="A200" s="9" t="inlineStr">
        <is>
          <t>ECOC</t>
        </is>
      </c>
      <c r="B200" s="10">
        <f>IF(A200="","",IFERROR(VLOOKUP(A200,Titres!$A$2:$B$400,2,FALSE),"Ticker inconnu"))</f>
        <v/>
      </c>
      <c r="C200" s="11" t="n">
        <v>2026</v>
      </c>
      <c r="D200" s="11" t="inlineStr">
        <is>
          <t>T1</t>
        </is>
      </c>
      <c r="E200" s="9" t="inlineStr">
        <is>
          <t>Publié</t>
        </is>
      </c>
      <c r="F200" s="12" t="n">
        <v>46141</v>
      </c>
      <c r="G200" s="9" t="inlineStr">
        <is>
          <t>https://www.richbourse.com/common/actualite/afficher-fichier/29-04-2026-ecobank-ci-rapport-dactivites-1er-trimestre-2026</t>
        </is>
      </c>
      <c r="H200" s="13" t="n">
        <v>30846</v>
      </c>
      <c r="I200" s="13" t="n"/>
      <c r="J200" s="13" t="n"/>
      <c r="K200" s="13" t="n"/>
      <c r="L200" s="13" t="n">
        <v>15074</v>
      </c>
      <c r="M200" s="13" t="n">
        <v>13040</v>
      </c>
      <c r="N200" s="13" t="n">
        <v>958724</v>
      </c>
      <c r="O200" s="13" t="n">
        <v>1709280</v>
      </c>
      <c r="P200" s="14">
        <f>IF(A200="","",COUNT(H200:O200)/8)</f>
        <v/>
      </c>
      <c r="Q200" s="15">
        <f>IF(COUNT(H200:O200)=0,"",IF(LEN(IF(COUNT(H200,I200,J200)=3,IF(ABS(H200+I200-J200)&lt;=MAX(1,0.02*ABS(J200)),"","RBE &lt;&gt; PNB + frais "),"")&amp;IF(COUNT(J200,K200,L200)=3,IF(ABS(J200+K200-L200)&lt;=MAX(1,0.03*ABS(L200)),"","RAI &lt;&gt; RBE + coût du risque "),"")&amp;IF(COUNT(H200,M200)=2,IF(ABS(M200)&gt;ABS(H200),"RN &gt; PNB ",""),""))=0,"OK",IF(COUNT(H200,I200,J200)=3,IF(ABS(H200+I200-J200)&lt;=MAX(1,0.02*ABS(J200)),"","RBE &lt;&gt; PNB + frais "),"")&amp;IF(COUNT(J200,K200,L200)=3,IF(ABS(J200+K200-L200)&lt;=MAX(1,0.03*ABS(L200)),"","RAI &lt;&gt; RBE + coût du risque "),"")&amp;IF(COUNT(H200,M200)=2,IF(ABS(M200)&gt;ABS(H200),"RN &gt; PNB ",""),"")))</f>
        <v/>
      </c>
      <c r="R200" s="16">
        <f>IF(OR($A200="",H200="",$C200=""),"",IF(COUNTIFS($A$5:$A$315,$A200,$C$5:$C$315,$C200-1,$D$5:$D$315,$D200,H$5:H$315,"&lt;&gt;")=0,"",IF(OR(SUMIFS(H$5:H$315,$A$5:$A$315,$A200,$C$5:$C$315,$C200-1,$D$5:$D$315,$D200)=0,H200*SUMIFS(H$5:H$315,$A$5:$A$315,$A200,$C$5:$C$315,$C200-1,$D$5:$D$315,$D200)&lt;0),"n.s.",ABS(H200)/ABS(SUMIFS(H$5:H$315,$A$5:$A$315,$A200,$C$5:$C$315,$C200-1,$D$5:$D$315,$D200))-1)))</f>
        <v/>
      </c>
      <c r="S200" s="16">
        <f>IF(OR($A200="",I200="",$C200=""),"",IF(COUNTIFS($A$5:$A$315,$A200,$C$5:$C$315,$C200-1,$D$5:$D$315,$D200,I$5:I$315,"&lt;&gt;")=0,"",IF(OR(SUMIFS(I$5:I$315,$A$5:$A$315,$A200,$C$5:$C$315,$C200-1,$D$5:$D$315,$D200)=0,I200*SUMIFS(I$5:I$315,$A$5:$A$315,$A200,$C$5:$C$315,$C200-1,$D$5:$D$315,$D200)&lt;0),"n.s.",ABS(I200)/ABS(SUMIFS(I$5:I$315,$A$5:$A$315,$A200,$C$5:$C$315,$C200-1,$D$5:$D$315,$D200))-1)))</f>
        <v/>
      </c>
      <c r="T200" s="16">
        <f>IF(OR($A200="",J200="",$C200=""),"",IF(COUNTIFS($A$5:$A$315,$A200,$C$5:$C$315,$C200-1,$D$5:$D$315,$D200,J$5:J$315,"&lt;&gt;")=0,"",IF(OR(SUMIFS(J$5:J$315,$A$5:$A$315,$A200,$C$5:$C$315,$C200-1,$D$5:$D$315,$D200)=0,J200*SUMIFS(J$5:J$315,$A$5:$A$315,$A200,$C$5:$C$315,$C200-1,$D$5:$D$315,$D200)&lt;0),"n.s.",ABS(J200)/ABS(SUMIFS(J$5:J$315,$A$5:$A$315,$A200,$C$5:$C$315,$C200-1,$D$5:$D$315,$D200))-1)))</f>
        <v/>
      </c>
      <c r="U200" s="16">
        <f>IF(OR($A200="",K200="",$C200=""),"",IF(COUNTIFS($A$5:$A$315,$A200,$C$5:$C$315,$C200-1,$D$5:$D$315,$D200,K$5:K$315,"&lt;&gt;")=0,"",IF(OR(SUMIFS(K$5:K$315,$A$5:$A$315,$A200,$C$5:$C$315,$C200-1,$D$5:$D$315,$D200)=0,K200*SUMIFS(K$5:K$315,$A$5:$A$315,$A200,$C$5:$C$315,$C200-1,$D$5:$D$315,$D200)&lt;0),"n.s.",ABS(K200)/ABS(SUMIFS(K$5:K$315,$A$5:$A$315,$A200,$C$5:$C$315,$C200-1,$D$5:$D$315,$D200))-1)))</f>
        <v/>
      </c>
      <c r="V200" s="16">
        <f>IF(OR($A200="",L200="",$C200=""),"",IF(COUNTIFS($A$5:$A$315,$A200,$C$5:$C$315,$C200-1,$D$5:$D$315,$D200,L$5:L$315,"&lt;&gt;")=0,"",IF(OR(SUMIFS(L$5:L$315,$A$5:$A$315,$A200,$C$5:$C$315,$C200-1,$D$5:$D$315,$D200)=0,L200*SUMIFS(L$5:L$315,$A$5:$A$315,$A200,$C$5:$C$315,$C200-1,$D$5:$D$315,$D200)&lt;0),"n.s.",ABS(L200)/ABS(SUMIFS(L$5:L$315,$A$5:$A$315,$A200,$C$5:$C$315,$C200-1,$D$5:$D$315,$D200))-1)))</f>
        <v/>
      </c>
      <c r="W200" s="16">
        <f>IF(OR($A200="",M200="",$C200=""),"",IF(COUNTIFS($A$5:$A$315,$A200,$C$5:$C$315,$C200-1,$D$5:$D$315,$D200,M$5:M$315,"&lt;&gt;")=0,"",IF(OR(SUMIFS(M$5:M$315,$A$5:$A$315,$A200,$C$5:$C$315,$C200-1,$D$5:$D$315,$D200)=0,M200*SUMIFS(M$5:M$315,$A$5:$A$315,$A200,$C$5:$C$315,$C200-1,$D$5:$D$315,$D200)&lt;0),"n.s.",ABS(M200)/ABS(SUMIFS(M$5:M$315,$A$5:$A$315,$A200,$C$5:$C$315,$C200-1,$D$5:$D$315,$D200))-1)))</f>
        <v/>
      </c>
      <c r="X200" s="16">
        <f>IF(OR($A200="",N200="",$C200=""),"",IF(COUNTIFS($A$5:$A$315,$A200,$C$5:$C$315,$C200-1,$D$5:$D$315,$D200,N$5:N$315,"&lt;&gt;")=0,"",IF(OR(SUMIFS(N$5:N$315,$A$5:$A$315,$A200,$C$5:$C$315,$C200-1,$D$5:$D$315,$D200)=0,N200*SUMIFS(N$5:N$315,$A$5:$A$315,$A200,$C$5:$C$315,$C200-1,$D$5:$D$315,$D200)&lt;0),"n.s.",ABS(N200)/ABS(SUMIFS(N$5:N$315,$A$5:$A$315,$A200,$C$5:$C$315,$C200-1,$D$5:$D$315,$D200))-1)))</f>
        <v/>
      </c>
      <c r="Y200" s="16">
        <f>IF(OR($A200="",O200="",$C200=""),"",IF(COUNTIFS($A$5:$A$315,$A200,$C$5:$C$315,$C200-1,$D$5:$D$315,$D200,O$5:O$315,"&lt;&gt;")=0,"",IF(OR(SUMIFS(O$5:O$315,$A$5:$A$315,$A200,$C$5:$C$315,$C200-1,$D$5:$D$315,$D200)=0,O200*SUMIFS(O$5:O$315,$A$5:$A$315,$A200,$C$5:$C$315,$C200-1,$D$5:$D$315,$D200)&lt;0),"n.s.",ABS(O200)/ABS(SUMIFS(O$5:O$315,$A$5:$A$315,$A200,$C$5:$C$315,$C200-1,$D$5:$D$315,$D200))-1)))</f>
        <v/>
      </c>
    </row>
    <row r="201">
      <c r="A201" s="9" t="inlineStr">
        <is>
          <t>ECOC</t>
        </is>
      </c>
      <c r="B201" s="10">
        <f>IF(A201="","",IFERROR(VLOOKUP(A201,Titres!$A$2:$B$400,2,FALSE),"Ticker inconnu"))</f>
        <v/>
      </c>
      <c r="C201" s="11" t="n">
        <v>2026</v>
      </c>
      <c r="D201" s="11" t="inlineStr">
        <is>
          <t>S1</t>
        </is>
      </c>
      <c r="E201" s="9" t="n"/>
      <c r="F201" s="12" t="n"/>
      <c r="G201" s="9" t="n"/>
      <c r="H201" s="13" t="n"/>
      <c r="I201" s="13" t="n"/>
      <c r="J201" s="13" t="n"/>
      <c r="K201" s="13" t="n"/>
      <c r="L201" s="13" t="n"/>
      <c r="M201" s="13" t="n"/>
      <c r="N201" s="13" t="n"/>
      <c r="O201" s="13" t="n"/>
      <c r="P201" s="14">
        <f>IF(A201="","",COUNT(H201:O201)/8)</f>
        <v/>
      </c>
      <c r="Q201" s="15">
        <f>IF(COUNT(H201:O201)=0,"",IF(LEN(IF(COUNT(H201,I201,J201)=3,IF(ABS(H201+I201-J201)&lt;=MAX(1,0.02*ABS(J201)),"","RBE &lt;&gt; PNB + frais "),"")&amp;IF(COUNT(J201,K201,L201)=3,IF(ABS(J201+K201-L201)&lt;=MAX(1,0.03*ABS(L201)),"","RAI &lt;&gt; RBE + coût du risque "),"")&amp;IF(COUNT(H201,M201)=2,IF(ABS(M201)&gt;ABS(H201),"RN &gt; PNB ",""),""))=0,"OK",IF(COUNT(H201,I201,J201)=3,IF(ABS(H201+I201-J201)&lt;=MAX(1,0.02*ABS(J201)),"","RBE &lt;&gt; PNB + frais "),"")&amp;IF(COUNT(J201,K201,L201)=3,IF(ABS(J201+K201-L201)&lt;=MAX(1,0.03*ABS(L201)),"","RAI &lt;&gt; RBE + coût du risque "),"")&amp;IF(COUNT(H201,M201)=2,IF(ABS(M201)&gt;ABS(H201),"RN &gt; PNB ",""),"")))</f>
        <v/>
      </c>
      <c r="R201" s="16">
        <f>IF(OR($A201="",H201="",$C201=""),"",IF(COUNTIFS($A$5:$A$315,$A201,$C$5:$C$315,$C201-1,$D$5:$D$315,$D201,H$5:H$315,"&lt;&gt;")=0,"",IF(OR(SUMIFS(H$5:H$315,$A$5:$A$315,$A201,$C$5:$C$315,$C201-1,$D$5:$D$315,$D201)=0,H201*SUMIFS(H$5:H$315,$A$5:$A$315,$A201,$C$5:$C$315,$C201-1,$D$5:$D$315,$D201)&lt;0),"n.s.",ABS(H201)/ABS(SUMIFS(H$5:H$315,$A$5:$A$315,$A201,$C$5:$C$315,$C201-1,$D$5:$D$315,$D201))-1)))</f>
        <v/>
      </c>
      <c r="S201" s="16">
        <f>IF(OR($A201="",I201="",$C201=""),"",IF(COUNTIFS($A$5:$A$315,$A201,$C$5:$C$315,$C201-1,$D$5:$D$315,$D201,I$5:I$315,"&lt;&gt;")=0,"",IF(OR(SUMIFS(I$5:I$315,$A$5:$A$315,$A201,$C$5:$C$315,$C201-1,$D$5:$D$315,$D201)=0,I201*SUMIFS(I$5:I$315,$A$5:$A$315,$A201,$C$5:$C$315,$C201-1,$D$5:$D$315,$D201)&lt;0),"n.s.",ABS(I201)/ABS(SUMIFS(I$5:I$315,$A$5:$A$315,$A201,$C$5:$C$315,$C201-1,$D$5:$D$315,$D201))-1)))</f>
        <v/>
      </c>
      <c r="T201" s="16">
        <f>IF(OR($A201="",J201="",$C201=""),"",IF(COUNTIFS($A$5:$A$315,$A201,$C$5:$C$315,$C201-1,$D$5:$D$315,$D201,J$5:J$315,"&lt;&gt;")=0,"",IF(OR(SUMIFS(J$5:J$315,$A$5:$A$315,$A201,$C$5:$C$315,$C201-1,$D$5:$D$315,$D201)=0,J201*SUMIFS(J$5:J$315,$A$5:$A$315,$A201,$C$5:$C$315,$C201-1,$D$5:$D$315,$D201)&lt;0),"n.s.",ABS(J201)/ABS(SUMIFS(J$5:J$315,$A$5:$A$315,$A201,$C$5:$C$315,$C201-1,$D$5:$D$315,$D201))-1)))</f>
        <v/>
      </c>
      <c r="U201" s="16">
        <f>IF(OR($A201="",K201="",$C201=""),"",IF(COUNTIFS($A$5:$A$315,$A201,$C$5:$C$315,$C201-1,$D$5:$D$315,$D201,K$5:K$315,"&lt;&gt;")=0,"",IF(OR(SUMIFS(K$5:K$315,$A$5:$A$315,$A201,$C$5:$C$315,$C201-1,$D$5:$D$315,$D201)=0,K201*SUMIFS(K$5:K$315,$A$5:$A$315,$A201,$C$5:$C$315,$C201-1,$D$5:$D$315,$D201)&lt;0),"n.s.",ABS(K201)/ABS(SUMIFS(K$5:K$315,$A$5:$A$315,$A201,$C$5:$C$315,$C201-1,$D$5:$D$315,$D201))-1)))</f>
        <v/>
      </c>
      <c r="V201" s="16">
        <f>IF(OR($A201="",L201="",$C201=""),"",IF(COUNTIFS($A$5:$A$315,$A201,$C$5:$C$315,$C201-1,$D$5:$D$315,$D201,L$5:L$315,"&lt;&gt;")=0,"",IF(OR(SUMIFS(L$5:L$315,$A$5:$A$315,$A201,$C$5:$C$315,$C201-1,$D$5:$D$315,$D201)=0,L201*SUMIFS(L$5:L$315,$A$5:$A$315,$A201,$C$5:$C$315,$C201-1,$D$5:$D$315,$D201)&lt;0),"n.s.",ABS(L201)/ABS(SUMIFS(L$5:L$315,$A$5:$A$315,$A201,$C$5:$C$315,$C201-1,$D$5:$D$315,$D201))-1)))</f>
        <v/>
      </c>
      <c r="W201" s="16">
        <f>IF(OR($A201="",M201="",$C201=""),"",IF(COUNTIFS($A$5:$A$315,$A201,$C$5:$C$315,$C201-1,$D$5:$D$315,$D201,M$5:M$315,"&lt;&gt;")=0,"",IF(OR(SUMIFS(M$5:M$315,$A$5:$A$315,$A201,$C$5:$C$315,$C201-1,$D$5:$D$315,$D201)=0,M201*SUMIFS(M$5:M$315,$A$5:$A$315,$A201,$C$5:$C$315,$C201-1,$D$5:$D$315,$D201)&lt;0),"n.s.",ABS(M201)/ABS(SUMIFS(M$5:M$315,$A$5:$A$315,$A201,$C$5:$C$315,$C201-1,$D$5:$D$315,$D201))-1)))</f>
        <v/>
      </c>
      <c r="X201" s="16">
        <f>IF(OR($A201="",N201="",$C201=""),"",IF(COUNTIFS($A$5:$A$315,$A201,$C$5:$C$315,$C201-1,$D$5:$D$315,$D201,N$5:N$315,"&lt;&gt;")=0,"",IF(OR(SUMIFS(N$5:N$315,$A$5:$A$315,$A201,$C$5:$C$315,$C201-1,$D$5:$D$315,$D201)=0,N201*SUMIFS(N$5:N$315,$A$5:$A$315,$A201,$C$5:$C$315,$C201-1,$D$5:$D$315,$D201)&lt;0),"n.s.",ABS(N201)/ABS(SUMIFS(N$5:N$315,$A$5:$A$315,$A201,$C$5:$C$315,$C201-1,$D$5:$D$315,$D201))-1)))</f>
        <v/>
      </c>
      <c r="Y201" s="16">
        <f>IF(OR($A201="",O201="",$C201=""),"",IF(COUNTIFS($A$5:$A$315,$A201,$C$5:$C$315,$C201-1,$D$5:$D$315,$D201,O$5:O$315,"&lt;&gt;")=0,"",IF(OR(SUMIFS(O$5:O$315,$A$5:$A$315,$A201,$C$5:$C$315,$C201-1,$D$5:$D$315,$D201)=0,O201*SUMIFS(O$5:O$315,$A$5:$A$315,$A201,$C$5:$C$315,$C201-1,$D$5:$D$315,$D201)&lt;0),"n.s.",ABS(O201)/ABS(SUMIFS(O$5:O$315,$A$5:$A$315,$A201,$C$5:$C$315,$C201-1,$D$5:$D$315,$D201))-1)))</f>
        <v/>
      </c>
    </row>
    <row r="202">
      <c r="A202" s="9" t="inlineStr">
        <is>
          <t>ECOC</t>
        </is>
      </c>
      <c r="B202" s="10">
        <f>IF(A202="","",IFERROR(VLOOKUP(A202,Titres!$A$2:$B$400,2,FALSE),"Ticker inconnu"))</f>
        <v/>
      </c>
      <c r="C202" s="11" t="n">
        <v>2026</v>
      </c>
      <c r="D202" s="11" t="inlineStr">
        <is>
          <t>T3</t>
        </is>
      </c>
      <c r="E202" s="9" t="n"/>
      <c r="F202" s="12" t="n"/>
      <c r="G202" s="9" t="n"/>
      <c r="H202" s="13" t="n"/>
      <c r="I202" s="13" t="n"/>
      <c r="J202" s="13" t="n"/>
      <c r="K202" s="13" t="n"/>
      <c r="L202" s="13" t="n"/>
      <c r="M202" s="13" t="n"/>
      <c r="N202" s="13" t="n"/>
      <c r="O202" s="13" t="n"/>
      <c r="P202" s="14">
        <f>IF(A202="","",COUNT(H202:O202)/8)</f>
        <v/>
      </c>
      <c r="Q202" s="15">
        <f>IF(COUNT(H202:O202)=0,"",IF(LEN(IF(COUNT(H202,I202,J202)=3,IF(ABS(H202+I202-J202)&lt;=MAX(1,0.02*ABS(J202)),"","RBE &lt;&gt; PNB + frais "),"")&amp;IF(COUNT(J202,K202,L202)=3,IF(ABS(J202+K202-L202)&lt;=MAX(1,0.03*ABS(L202)),"","RAI &lt;&gt; RBE + coût du risque "),"")&amp;IF(COUNT(H202,M202)=2,IF(ABS(M202)&gt;ABS(H202),"RN &gt; PNB ",""),""))=0,"OK",IF(COUNT(H202,I202,J202)=3,IF(ABS(H202+I202-J202)&lt;=MAX(1,0.02*ABS(J202)),"","RBE &lt;&gt; PNB + frais "),"")&amp;IF(COUNT(J202,K202,L202)=3,IF(ABS(J202+K202-L202)&lt;=MAX(1,0.03*ABS(L202)),"","RAI &lt;&gt; RBE + coût du risque "),"")&amp;IF(COUNT(H202,M202)=2,IF(ABS(M202)&gt;ABS(H202),"RN &gt; PNB ",""),"")))</f>
        <v/>
      </c>
      <c r="R202" s="16">
        <f>IF(OR($A202="",H202="",$C202=""),"",IF(COUNTIFS($A$5:$A$315,$A202,$C$5:$C$315,$C202-1,$D$5:$D$315,$D202,H$5:H$315,"&lt;&gt;")=0,"",IF(OR(SUMIFS(H$5:H$315,$A$5:$A$315,$A202,$C$5:$C$315,$C202-1,$D$5:$D$315,$D202)=0,H202*SUMIFS(H$5:H$315,$A$5:$A$315,$A202,$C$5:$C$315,$C202-1,$D$5:$D$315,$D202)&lt;0),"n.s.",ABS(H202)/ABS(SUMIFS(H$5:H$315,$A$5:$A$315,$A202,$C$5:$C$315,$C202-1,$D$5:$D$315,$D202))-1)))</f>
        <v/>
      </c>
      <c r="S202" s="16">
        <f>IF(OR($A202="",I202="",$C202=""),"",IF(COUNTIFS($A$5:$A$315,$A202,$C$5:$C$315,$C202-1,$D$5:$D$315,$D202,I$5:I$315,"&lt;&gt;")=0,"",IF(OR(SUMIFS(I$5:I$315,$A$5:$A$315,$A202,$C$5:$C$315,$C202-1,$D$5:$D$315,$D202)=0,I202*SUMIFS(I$5:I$315,$A$5:$A$315,$A202,$C$5:$C$315,$C202-1,$D$5:$D$315,$D202)&lt;0),"n.s.",ABS(I202)/ABS(SUMIFS(I$5:I$315,$A$5:$A$315,$A202,$C$5:$C$315,$C202-1,$D$5:$D$315,$D202))-1)))</f>
        <v/>
      </c>
      <c r="T202" s="16">
        <f>IF(OR($A202="",J202="",$C202=""),"",IF(COUNTIFS($A$5:$A$315,$A202,$C$5:$C$315,$C202-1,$D$5:$D$315,$D202,J$5:J$315,"&lt;&gt;")=0,"",IF(OR(SUMIFS(J$5:J$315,$A$5:$A$315,$A202,$C$5:$C$315,$C202-1,$D$5:$D$315,$D202)=0,J202*SUMIFS(J$5:J$315,$A$5:$A$315,$A202,$C$5:$C$315,$C202-1,$D$5:$D$315,$D202)&lt;0),"n.s.",ABS(J202)/ABS(SUMIFS(J$5:J$315,$A$5:$A$315,$A202,$C$5:$C$315,$C202-1,$D$5:$D$315,$D202))-1)))</f>
        <v/>
      </c>
      <c r="U202" s="16">
        <f>IF(OR($A202="",K202="",$C202=""),"",IF(COUNTIFS($A$5:$A$315,$A202,$C$5:$C$315,$C202-1,$D$5:$D$315,$D202,K$5:K$315,"&lt;&gt;")=0,"",IF(OR(SUMIFS(K$5:K$315,$A$5:$A$315,$A202,$C$5:$C$315,$C202-1,$D$5:$D$315,$D202)=0,K202*SUMIFS(K$5:K$315,$A$5:$A$315,$A202,$C$5:$C$315,$C202-1,$D$5:$D$315,$D202)&lt;0),"n.s.",ABS(K202)/ABS(SUMIFS(K$5:K$315,$A$5:$A$315,$A202,$C$5:$C$315,$C202-1,$D$5:$D$315,$D202))-1)))</f>
        <v/>
      </c>
      <c r="V202" s="16">
        <f>IF(OR($A202="",L202="",$C202=""),"",IF(COUNTIFS($A$5:$A$315,$A202,$C$5:$C$315,$C202-1,$D$5:$D$315,$D202,L$5:L$315,"&lt;&gt;")=0,"",IF(OR(SUMIFS(L$5:L$315,$A$5:$A$315,$A202,$C$5:$C$315,$C202-1,$D$5:$D$315,$D202)=0,L202*SUMIFS(L$5:L$315,$A$5:$A$315,$A202,$C$5:$C$315,$C202-1,$D$5:$D$315,$D202)&lt;0),"n.s.",ABS(L202)/ABS(SUMIFS(L$5:L$315,$A$5:$A$315,$A202,$C$5:$C$315,$C202-1,$D$5:$D$315,$D202))-1)))</f>
        <v/>
      </c>
      <c r="W202" s="16">
        <f>IF(OR($A202="",M202="",$C202=""),"",IF(COUNTIFS($A$5:$A$315,$A202,$C$5:$C$315,$C202-1,$D$5:$D$315,$D202,M$5:M$315,"&lt;&gt;")=0,"",IF(OR(SUMIFS(M$5:M$315,$A$5:$A$315,$A202,$C$5:$C$315,$C202-1,$D$5:$D$315,$D202)=0,M202*SUMIFS(M$5:M$315,$A$5:$A$315,$A202,$C$5:$C$315,$C202-1,$D$5:$D$315,$D202)&lt;0),"n.s.",ABS(M202)/ABS(SUMIFS(M$5:M$315,$A$5:$A$315,$A202,$C$5:$C$315,$C202-1,$D$5:$D$315,$D202))-1)))</f>
        <v/>
      </c>
      <c r="X202" s="16">
        <f>IF(OR($A202="",N202="",$C202=""),"",IF(COUNTIFS($A$5:$A$315,$A202,$C$5:$C$315,$C202-1,$D$5:$D$315,$D202,N$5:N$315,"&lt;&gt;")=0,"",IF(OR(SUMIFS(N$5:N$315,$A$5:$A$315,$A202,$C$5:$C$315,$C202-1,$D$5:$D$315,$D202)=0,N202*SUMIFS(N$5:N$315,$A$5:$A$315,$A202,$C$5:$C$315,$C202-1,$D$5:$D$315,$D202)&lt;0),"n.s.",ABS(N202)/ABS(SUMIFS(N$5:N$315,$A$5:$A$315,$A202,$C$5:$C$315,$C202-1,$D$5:$D$315,$D202))-1)))</f>
        <v/>
      </c>
      <c r="Y202" s="16">
        <f>IF(OR($A202="",O202="",$C202=""),"",IF(COUNTIFS($A$5:$A$315,$A202,$C$5:$C$315,$C202-1,$D$5:$D$315,$D202,O$5:O$315,"&lt;&gt;")=0,"",IF(OR(SUMIFS(O$5:O$315,$A$5:$A$315,$A202,$C$5:$C$315,$C202-1,$D$5:$D$315,$D202)=0,O202*SUMIFS(O$5:O$315,$A$5:$A$315,$A202,$C$5:$C$315,$C202-1,$D$5:$D$315,$D202)&lt;0),"n.s.",ABS(O202)/ABS(SUMIFS(O$5:O$315,$A$5:$A$315,$A202,$C$5:$C$315,$C202-1,$D$5:$D$315,$D202))-1)))</f>
        <v/>
      </c>
    </row>
    <row r="203">
      <c r="A203" s="9" t="inlineStr">
        <is>
          <t>NSBC</t>
        </is>
      </c>
      <c r="B203" s="10">
        <f>IF(A203="","",IFERROR(VLOOKUP(A203,Titres!$A$2:$B$400,2,FALSE),"Ticker inconnu"))</f>
        <v/>
      </c>
      <c r="C203" s="11" t="n">
        <v>2021</v>
      </c>
      <c r="D203" s="11" t="inlineStr">
        <is>
          <t>T1</t>
        </is>
      </c>
      <c r="E203" s="9" t="n"/>
      <c r="F203" s="12" t="n"/>
      <c r="G203" s="9" t="n"/>
      <c r="H203" s="13" t="n"/>
      <c r="I203" s="13" t="n"/>
      <c r="J203" s="13" t="n"/>
      <c r="K203" s="13" t="n"/>
      <c r="L203" s="13" t="n"/>
      <c r="M203" s="13" t="n"/>
      <c r="N203" s="13" t="n"/>
      <c r="O203" s="13" t="n"/>
      <c r="P203" s="14">
        <f>IF(A203="","",COUNT(H203:O203)/8)</f>
        <v/>
      </c>
      <c r="Q203" s="15">
        <f>IF(COUNT(H203:O203)=0,"",IF(LEN(IF(COUNT(H203,I203,J203)=3,IF(ABS(H203+I203-J203)&lt;=MAX(1,0.02*ABS(J203)),"","RBE &lt;&gt; PNB + frais "),"")&amp;IF(COUNT(J203,K203,L203)=3,IF(ABS(J203+K203-L203)&lt;=MAX(1,0.03*ABS(L203)),"","RAI &lt;&gt; RBE + coût du risque "),"")&amp;IF(COUNT(H203,M203)=2,IF(ABS(M203)&gt;ABS(H203),"RN &gt; PNB ",""),""))=0,"OK",IF(COUNT(H203,I203,J203)=3,IF(ABS(H203+I203-J203)&lt;=MAX(1,0.02*ABS(J203)),"","RBE &lt;&gt; PNB + frais "),"")&amp;IF(COUNT(J203,K203,L203)=3,IF(ABS(J203+K203-L203)&lt;=MAX(1,0.03*ABS(L203)),"","RAI &lt;&gt; RBE + coût du risque "),"")&amp;IF(COUNT(H203,M203)=2,IF(ABS(M203)&gt;ABS(H203),"RN &gt; PNB ",""),"")))</f>
        <v/>
      </c>
      <c r="R203" s="16">
        <f>IF(OR($A203="",H203="",$C203=""),"",IF(COUNTIFS($A$5:$A$315,$A203,$C$5:$C$315,$C203-1,$D$5:$D$315,$D203,H$5:H$315,"&lt;&gt;")=0,"",IF(OR(SUMIFS(H$5:H$315,$A$5:$A$315,$A203,$C$5:$C$315,$C203-1,$D$5:$D$315,$D203)=0,H203*SUMIFS(H$5:H$315,$A$5:$A$315,$A203,$C$5:$C$315,$C203-1,$D$5:$D$315,$D203)&lt;0),"n.s.",ABS(H203)/ABS(SUMIFS(H$5:H$315,$A$5:$A$315,$A203,$C$5:$C$315,$C203-1,$D$5:$D$315,$D203))-1)))</f>
        <v/>
      </c>
      <c r="S203" s="16">
        <f>IF(OR($A203="",I203="",$C203=""),"",IF(COUNTIFS($A$5:$A$315,$A203,$C$5:$C$315,$C203-1,$D$5:$D$315,$D203,I$5:I$315,"&lt;&gt;")=0,"",IF(OR(SUMIFS(I$5:I$315,$A$5:$A$315,$A203,$C$5:$C$315,$C203-1,$D$5:$D$315,$D203)=0,I203*SUMIFS(I$5:I$315,$A$5:$A$315,$A203,$C$5:$C$315,$C203-1,$D$5:$D$315,$D203)&lt;0),"n.s.",ABS(I203)/ABS(SUMIFS(I$5:I$315,$A$5:$A$315,$A203,$C$5:$C$315,$C203-1,$D$5:$D$315,$D203))-1)))</f>
        <v/>
      </c>
      <c r="T203" s="16">
        <f>IF(OR($A203="",J203="",$C203=""),"",IF(COUNTIFS($A$5:$A$315,$A203,$C$5:$C$315,$C203-1,$D$5:$D$315,$D203,J$5:J$315,"&lt;&gt;")=0,"",IF(OR(SUMIFS(J$5:J$315,$A$5:$A$315,$A203,$C$5:$C$315,$C203-1,$D$5:$D$315,$D203)=0,J203*SUMIFS(J$5:J$315,$A$5:$A$315,$A203,$C$5:$C$315,$C203-1,$D$5:$D$315,$D203)&lt;0),"n.s.",ABS(J203)/ABS(SUMIFS(J$5:J$315,$A$5:$A$315,$A203,$C$5:$C$315,$C203-1,$D$5:$D$315,$D203))-1)))</f>
        <v/>
      </c>
      <c r="U203" s="16">
        <f>IF(OR($A203="",K203="",$C203=""),"",IF(COUNTIFS($A$5:$A$315,$A203,$C$5:$C$315,$C203-1,$D$5:$D$315,$D203,K$5:K$315,"&lt;&gt;")=0,"",IF(OR(SUMIFS(K$5:K$315,$A$5:$A$315,$A203,$C$5:$C$315,$C203-1,$D$5:$D$315,$D203)=0,K203*SUMIFS(K$5:K$315,$A$5:$A$315,$A203,$C$5:$C$315,$C203-1,$D$5:$D$315,$D203)&lt;0),"n.s.",ABS(K203)/ABS(SUMIFS(K$5:K$315,$A$5:$A$315,$A203,$C$5:$C$315,$C203-1,$D$5:$D$315,$D203))-1)))</f>
        <v/>
      </c>
      <c r="V203" s="16">
        <f>IF(OR($A203="",L203="",$C203=""),"",IF(COUNTIFS($A$5:$A$315,$A203,$C$5:$C$315,$C203-1,$D$5:$D$315,$D203,L$5:L$315,"&lt;&gt;")=0,"",IF(OR(SUMIFS(L$5:L$315,$A$5:$A$315,$A203,$C$5:$C$315,$C203-1,$D$5:$D$315,$D203)=0,L203*SUMIFS(L$5:L$315,$A$5:$A$315,$A203,$C$5:$C$315,$C203-1,$D$5:$D$315,$D203)&lt;0),"n.s.",ABS(L203)/ABS(SUMIFS(L$5:L$315,$A$5:$A$315,$A203,$C$5:$C$315,$C203-1,$D$5:$D$315,$D203))-1)))</f>
        <v/>
      </c>
      <c r="W203" s="16">
        <f>IF(OR($A203="",M203="",$C203=""),"",IF(COUNTIFS($A$5:$A$315,$A203,$C$5:$C$315,$C203-1,$D$5:$D$315,$D203,M$5:M$315,"&lt;&gt;")=0,"",IF(OR(SUMIFS(M$5:M$315,$A$5:$A$315,$A203,$C$5:$C$315,$C203-1,$D$5:$D$315,$D203)=0,M203*SUMIFS(M$5:M$315,$A$5:$A$315,$A203,$C$5:$C$315,$C203-1,$D$5:$D$315,$D203)&lt;0),"n.s.",ABS(M203)/ABS(SUMIFS(M$5:M$315,$A$5:$A$315,$A203,$C$5:$C$315,$C203-1,$D$5:$D$315,$D203))-1)))</f>
        <v/>
      </c>
      <c r="X203" s="16">
        <f>IF(OR($A203="",N203="",$C203=""),"",IF(COUNTIFS($A$5:$A$315,$A203,$C$5:$C$315,$C203-1,$D$5:$D$315,$D203,N$5:N$315,"&lt;&gt;")=0,"",IF(OR(SUMIFS(N$5:N$315,$A$5:$A$315,$A203,$C$5:$C$315,$C203-1,$D$5:$D$315,$D203)=0,N203*SUMIFS(N$5:N$315,$A$5:$A$315,$A203,$C$5:$C$315,$C203-1,$D$5:$D$315,$D203)&lt;0),"n.s.",ABS(N203)/ABS(SUMIFS(N$5:N$315,$A$5:$A$315,$A203,$C$5:$C$315,$C203-1,$D$5:$D$315,$D203))-1)))</f>
        <v/>
      </c>
      <c r="Y203" s="16">
        <f>IF(OR($A203="",O203="",$C203=""),"",IF(COUNTIFS($A$5:$A$315,$A203,$C$5:$C$315,$C203-1,$D$5:$D$315,$D203,O$5:O$315,"&lt;&gt;")=0,"",IF(OR(SUMIFS(O$5:O$315,$A$5:$A$315,$A203,$C$5:$C$315,$C203-1,$D$5:$D$315,$D203)=0,O203*SUMIFS(O$5:O$315,$A$5:$A$315,$A203,$C$5:$C$315,$C203-1,$D$5:$D$315,$D203)&lt;0),"n.s.",ABS(O203)/ABS(SUMIFS(O$5:O$315,$A$5:$A$315,$A203,$C$5:$C$315,$C203-1,$D$5:$D$315,$D203))-1)))</f>
        <v/>
      </c>
    </row>
    <row r="204">
      <c r="A204" s="9" t="inlineStr">
        <is>
          <t>NSBC</t>
        </is>
      </c>
      <c r="B204" s="10">
        <f>IF(A204="","",IFERROR(VLOOKUP(A204,Titres!$A$2:$B$400,2,FALSE),"Ticker inconnu"))</f>
        <v/>
      </c>
      <c r="C204" s="11" t="n">
        <v>2021</v>
      </c>
      <c r="D204" s="11" t="inlineStr">
        <is>
          <t>S1</t>
        </is>
      </c>
      <c r="E204" s="9" t="n"/>
      <c r="F204" s="12" t="n"/>
      <c r="G204" s="9" t="n"/>
      <c r="H204" s="13" t="n"/>
      <c r="I204" s="13" t="n"/>
      <c r="J204" s="13" t="n"/>
      <c r="K204" s="13" t="n"/>
      <c r="L204" s="13" t="n"/>
      <c r="M204" s="13" t="n"/>
      <c r="N204" s="13" t="n"/>
      <c r="O204" s="13" t="n"/>
      <c r="P204" s="14">
        <f>IF(A204="","",COUNT(H204:O204)/8)</f>
        <v/>
      </c>
      <c r="Q204" s="15">
        <f>IF(COUNT(H204:O204)=0,"",IF(LEN(IF(COUNT(H204,I204,J204)=3,IF(ABS(H204+I204-J204)&lt;=MAX(1,0.02*ABS(J204)),"","RBE &lt;&gt; PNB + frais "),"")&amp;IF(COUNT(J204,K204,L204)=3,IF(ABS(J204+K204-L204)&lt;=MAX(1,0.03*ABS(L204)),"","RAI &lt;&gt; RBE + coût du risque "),"")&amp;IF(COUNT(H204,M204)=2,IF(ABS(M204)&gt;ABS(H204),"RN &gt; PNB ",""),""))=0,"OK",IF(COUNT(H204,I204,J204)=3,IF(ABS(H204+I204-J204)&lt;=MAX(1,0.02*ABS(J204)),"","RBE &lt;&gt; PNB + frais "),"")&amp;IF(COUNT(J204,K204,L204)=3,IF(ABS(J204+K204-L204)&lt;=MAX(1,0.03*ABS(L204)),"","RAI &lt;&gt; RBE + coût du risque "),"")&amp;IF(COUNT(H204,M204)=2,IF(ABS(M204)&gt;ABS(H204),"RN &gt; PNB ",""),"")))</f>
        <v/>
      </c>
      <c r="R204" s="16">
        <f>IF(OR($A204="",H204="",$C204=""),"",IF(COUNTIFS($A$5:$A$315,$A204,$C$5:$C$315,$C204-1,$D$5:$D$315,$D204,H$5:H$315,"&lt;&gt;")=0,"",IF(OR(SUMIFS(H$5:H$315,$A$5:$A$315,$A204,$C$5:$C$315,$C204-1,$D$5:$D$315,$D204)=0,H204*SUMIFS(H$5:H$315,$A$5:$A$315,$A204,$C$5:$C$315,$C204-1,$D$5:$D$315,$D204)&lt;0),"n.s.",ABS(H204)/ABS(SUMIFS(H$5:H$315,$A$5:$A$315,$A204,$C$5:$C$315,$C204-1,$D$5:$D$315,$D204))-1)))</f>
        <v/>
      </c>
      <c r="S204" s="16">
        <f>IF(OR($A204="",I204="",$C204=""),"",IF(COUNTIFS($A$5:$A$315,$A204,$C$5:$C$315,$C204-1,$D$5:$D$315,$D204,I$5:I$315,"&lt;&gt;")=0,"",IF(OR(SUMIFS(I$5:I$315,$A$5:$A$315,$A204,$C$5:$C$315,$C204-1,$D$5:$D$315,$D204)=0,I204*SUMIFS(I$5:I$315,$A$5:$A$315,$A204,$C$5:$C$315,$C204-1,$D$5:$D$315,$D204)&lt;0),"n.s.",ABS(I204)/ABS(SUMIFS(I$5:I$315,$A$5:$A$315,$A204,$C$5:$C$315,$C204-1,$D$5:$D$315,$D204))-1)))</f>
        <v/>
      </c>
      <c r="T204" s="16">
        <f>IF(OR($A204="",J204="",$C204=""),"",IF(COUNTIFS($A$5:$A$315,$A204,$C$5:$C$315,$C204-1,$D$5:$D$315,$D204,J$5:J$315,"&lt;&gt;")=0,"",IF(OR(SUMIFS(J$5:J$315,$A$5:$A$315,$A204,$C$5:$C$315,$C204-1,$D$5:$D$315,$D204)=0,J204*SUMIFS(J$5:J$315,$A$5:$A$315,$A204,$C$5:$C$315,$C204-1,$D$5:$D$315,$D204)&lt;0),"n.s.",ABS(J204)/ABS(SUMIFS(J$5:J$315,$A$5:$A$315,$A204,$C$5:$C$315,$C204-1,$D$5:$D$315,$D204))-1)))</f>
        <v/>
      </c>
      <c r="U204" s="16">
        <f>IF(OR($A204="",K204="",$C204=""),"",IF(COUNTIFS($A$5:$A$315,$A204,$C$5:$C$315,$C204-1,$D$5:$D$315,$D204,K$5:K$315,"&lt;&gt;")=0,"",IF(OR(SUMIFS(K$5:K$315,$A$5:$A$315,$A204,$C$5:$C$315,$C204-1,$D$5:$D$315,$D204)=0,K204*SUMIFS(K$5:K$315,$A$5:$A$315,$A204,$C$5:$C$315,$C204-1,$D$5:$D$315,$D204)&lt;0),"n.s.",ABS(K204)/ABS(SUMIFS(K$5:K$315,$A$5:$A$315,$A204,$C$5:$C$315,$C204-1,$D$5:$D$315,$D204))-1)))</f>
        <v/>
      </c>
      <c r="V204" s="16">
        <f>IF(OR($A204="",L204="",$C204=""),"",IF(COUNTIFS($A$5:$A$315,$A204,$C$5:$C$315,$C204-1,$D$5:$D$315,$D204,L$5:L$315,"&lt;&gt;")=0,"",IF(OR(SUMIFS(L$5:L$315,$A$5:$A$315,$A204,$C$5:$C$315,$C204-1,$D$5:$D$315,$D204)=0,L204*SUMIFS(L$5:L$315,$A$5:$A$315,$A204,$C$5:$C$315,$C204-1,$D$5:$D$315,$D204)&lt;0),"n.s.",ABS(L204)/ABS(SUMIFS(L$5:L$315,$A$5:$A$315,$A204,$C$5:$C$315,$C204-1,$D$5:$D$315,$D204))-1)))</f>
        <v/>
      </c>
      <c r="W204" s="16">
        <f>IF(OR($A204="",M204="",$C204=""),"",IF(COUNTIFS($A$5:$A$315,$A204,$C$5:$C$315,$C204-1,$D$5:$D$315,$D204,M$5:M$315,"&lt;&gt;")=0,"",IF(OR(SUMIFS(M$5:M$315,$A$5:$A$315,$A204,$C$5:$C$315,$C204-1,$D$5:$D$315,$D204)=0,M204*SUMIFS(M$5:M$315,$A$5:$A$315,$A204,$C$5:$C$315,$C204-1,$D$5:$D$315,$D204)&lt;0),"n.s.",ABS(M204)/ABS(SUMIFS(M$5:M$315,$A$5:$A$315,$A204,$C$5:$C$315,$C204-1,$D$5:$D$315,$D204))-1)))</f>
        <v/>
      </c>
      <c r="X204" s="16">
        <f>IF(OR($A204="",N204="",$C204=""),"",IF(COUNTIFS($A$5:$A$315,$A204,$C$5:$C$315,$C204-1,$D$5:$D$315,$D204,N$5:N$315,"&lt;&gt;")=0,"",IF(OR(SUMIFS(N$5:N$315,$A$5:$A$315,$A204,$C$5:$C$315,$C204-1,$D$5:$D$315,$D204)=0,N204*SUMIFS(N$5:N$315,$A$5:$A$315,$A204,$C$5:$C$315,$C204-1,$D$5:$D$315,$D204)&lt;0),"n.s.",ABS(N204)/ABS(SUMIFS(N$5:N$315,$A$5:$A$315,$A204,$C$5:$C$315,$C204-1,$D$5:$D$315,$D204))-1)))</f>
        <v/>
      </c>
      <c r="Y204" s="16">
        <f>IF(OR($A204="",O204="",$C204=""),"",IF(COUNTIFS($A$5:$A$315,$A204,$C$5:$C$315,$C204-1,$D$5:$D$315,$D204,O$5:O$315,"&lt;&gt;")=0,"",IF(OR(SUMIFS(O$5:O$315,$A$5:$A$315,$A204,$C$5:$C$315,$C204-1,$D$5:$D$315,$D204)=0,O204*SUMIFS(O$5:O$315,$A$5:$A$315,$A204,$C$5:$C$315,$C204-1,$D$5:$D$315,$D204)&lt;0),"n.s.",ABS(O204)/ABS(SUMIFS(O$5:O$315,$A$5:$A$315,$A204,$C$5:$C$315,$C204-1,$D$5:$D$315,$D204))-1)))</f>
        <v/>
      </c>
    </row>
    <row r="205">
      <c r="A205" s="9" t="inlineStr">
        <is>
          <t>NSBC</t>
        </is>
      </c>
      <c r="B205" s="10">
        <f>IF(A205="","",IFERROR(VLOOKUP(A205,Titres!$A$2:$B$400,2,FALSE),"Ticker inconnu"))</f>
        <v/>
      </c>
      <c r="C205" s="11" t="n">
        <v>2021</v>
      </c>
      <c r="D205" s="11" t="inlineStr">
        <is>
          <t>T3</t>
        </is>
      </c>
      <c r="E205" s="9" t="n"/>
      <c r="F205" s="12" t="n"/>
      <c r="G205" s="9" t="n"/>
      <c r="H205" s="13" t="n"/>
      <c r="I205" s="13" t="n"/>
      <c r="J205" s="13" t="n"/>
      <c r="K205" s="13" t="n"/>
      <c r="L205" s="13" t="n"/>
      <c r="M205" s="13" t="n"/>
      <c r="N205" s="13" t="n"/>
      <c r="O205" s="13" t="n"/>
      <c r="P205" s="14">
        <f>IF(A205="","",COUNT(H205:O205)/8)</f>
        <v/>
      </c>
      <c r="Q205" s="15">
        <f>IF(COUNT(H205:O205)=0,"",IF(LEN(IF(COUNT(H205,I205,J205)=3,IF(ABS(H205+I205-J205)&lt;=MAX(1,0.02*ABS(J205)),"","RBE &lt;&gt; PNB + frais "),"")&amp;IF(COUNT(J205,K205,L205)=3,IF(ABS(J205+K205-L205)&lt;=MAX(1,0.03*ABS(L205)),"","RAI &lt;&gt; RBE + coût du risque "),"")&amp;IF(COUNT(H205,M205)=2,IF(ABS(M205)&gt;ABS(H205),"RN &gt; PNB ",""),""))=0,"OK",IF(COUNT(H205,I205,J205)=3,IF(ABS(H205+I205-J205)&lt;=MAX(1,0.02*ABS(J205)),"","RBE &lt;&gt; PNB + frais "),"")&amp;IF(COUNT(J205,K205,L205)=3,IF(ABS(J205+K205-L205)&lt;=MAX(1,0.03*ABS(L205)),"","RAI &lt;&gt; RBE + coût du risque "),"")&amp;IF(COUNT(H205,M205)=2,IF(ABS(M205)&gt;ABS(H205),"RN &gt; PNB ",""),"")))</f>
        <v/>
      </c>
      <c r="R205" s="16">
        <f>IF(OR($A205="",H205="",$C205=""),"",IF(COUNTIFS($A$5:$A$315,$A205,$C$5:$C$315,$C205-1,$D$5:$D$315,$D205,H$5:H$315,"&lt;&gt;")=0,"",IF(OR(SUMIFS(H$5:H$315,$A$5:$A$315,$A205,$C$5:$C$315,$C205-1,$D$5:$D$315,$D205)=0,H205*SUMIFS(H$5:H$315,$A$5:$A$315,$A205,$C$5:$C$315,$C205-1,$D$5:$D$315,$D205)&lt;0),"n.s.",ABS(H205)/ABS(SUMIFS(H$5:H$315,$A$5:$A$315,$A205,$C$5:$C$315,$C205-1,$D$5:$D$315,$D205))-1)))</f>
        <v/>
      </c>
      <c r="S205" s="16">
        <f>IF(OR($A205="",I205="",$C205=""),"",IF(COUNTIFS($A$5:$A$315,$A205,$C$5:$C$315,$C205-1,$D$5:$D$315,$D205,I$5:I$315,"&lt;&gt;")=0,"",IF(OR(SUMIFS(I$5:I$315,$A$5:$A$315,$A205,$C$5:$C$315,$C205-1,$D$5:$D$315,$D205)=0,I205*SUMIFS(I$5:I$315,$A$5:$A$315,$A205,$C$5:$C$315,$C205-1,$D$5:$D$315,$D205)&lt;0),"n.s.",ABS(I205)/ABS(SUMIFS(I$5:I$315,$A$5:$A$315,$A205,$C$5:$C$315,$C205-1,$D$5:$D$315,$D205))-1)))</f>
        <v/>
      </c>
      <c r="T205" s="16">
        <f>IF(OR($A205="",J205="",$C205=""),"",IF(COUNTIFS($A$5:$A$315,$A205,$C$5:$C$315,$C205-1,$D$5:$D$315,$D205,J$5:J$315,"&lt;&gt;")=0,"",IF(OR(SUMIFS(J$5:J$315,$A$5:$A$315,$A205,$C$5:$C$315,$C205-1,$D$5:$D$315,$D205)=0,J205*SUMIFS(J$5:J$315,$A$5:$A$315,$A205,$C$5:$C$315,$C205-1,$D$5:$D$315,$D205)&lt;0),"n.s.",ABS(J205)/ABS(SUMIFS(J$5:J$315,$A$5:$A$315,$A205,$C$5:$C$315,$C205-1,$D$5:$D$315,$D205))-1)))</f>
        <v/>
      </c>
      <c r="U205" s="16">
        <f>IF(OR($A205="",K205="",$C205=""),"",IF(COUNTIFS($A$5:$A$315,$A205,$C$5:$C$315,$C205-1,$D$5:$D$315,$D205,K$5:K$315,"&lt;&gt;")=0,"",IF(OR(SUMIFS(K$5:K$315,$A$5:$A$315,$A205,$C$5:$C$315,$C205-1,$D$5:$D$315,$D205)=0,K205*SUMIFS(K$5:K$315,$A$5:$A$315,$A205,$C$5:$C$315,$C205-1,$D$5:$D$315,$D205)&lt;0),"n.s.",ABS(K205)/ABS(SUMIFS(K$5:K$315,$A$5:$A$315,$A205,$C$5:$C$315,$C205-1,$D$5:$D$315,$D205))-1)))</f>
        <v/>
      </c>
      <c r="V205" s="16">
        <f>IF(OR($A205="",L205="",$C205=""),"",IF(COUNTIFS($A$5:$A$315,$A205,$C$5:$C$315,$C205-1,$D$5:$D$315,$D205,L$5:L$315,"&lt;&gt;")=0,"",IF(OR(SUMIFS(L$5:L$315,$A$5:$A$315,$A205,$C$5:$C$315,$C205-1,$D$5:$D$315,$D205)=0,L205*SUMIFS(L$5:L$315,$A$5:$A$315,$A205,$C$5:$C$315,$C205-1,$D$5:$D$315,$D205)&lt;0),"n.s.",ABS(L205)/ABS(SUMIFS(L$5:L$315,$A$5:$A$315,$A205,$C$5:$C$315,$C205-1,$D$5:$D$315,$D205))-1)))</f>
        <v/>
      </c>
      <c r="W205" s="16">
        <f>IF(OR($A205="",M205="",$C205=""),"",IF(COUNTIFS($A$5:$A$315,$A205,$C$5:$C$315,$C205-1,$D$5:$D$315,$D205,M$5:M$315,"&lt;&gt;")=0,"",IF(OR(SUMIFS(M$5:M$315,$A$5:$A$315,$A205,$C$5:$C$315,$C205-1,$D$5:$D$315,$D205)=0,M205*SUMIFS(M$5:M$315,$A$5:$A$315,$A205,$C$5:$C$315,$C205-1,$D$5:$D$315,$D205)&lt;0),"n.s.",ABS(M205)/ABS(SUMIFS(M$5:M$315,$A$5:$A$315,$A205,$C$5:$C$315,$C205-1,$D$5:$D$315,$D205))-1)))</f>
        <v/>
      </c>
      <c r="X205" s="16">
        <f>IF(OR($A205="",N205="",$C205=""),"",IF(COUNTIFS($A$5:$A$315,$A205,$C$5:$C$315,$C205-1,$D$5:$D$315,$D205,N$5:N$315,"&lt;&gt;")=0,"",IF(OR(SUMIFS(N$5:N$315,$A$5:$A$315,$A205,$C$5:$C$315,$C205-1,$D$5:$D$315,$D205)=0,N205*SUMIFS(N$5:N$315,$A$5:$A$315,$A205,$C$5:$C$315,$C205-1,$D$5:$D$315,$D205)&lt;0),"n.s.",ABS(N205)/ABS(SUMIFS(N$5:N$315,$A$5:$A$315,$A205,$C$5:$C$315,$C205-1,$D$5:$D$315,$D205))-1)))</f>
        <v/>
      </c>
      <c r="Y205" s="16">
        <f>IF(OR($A205="",O205="",$C205=""),"",IF(COUNTIFS($A$5:$A$315,$A205,$C$5:$C$315,$C205-1,$D$5:$D$315,$D205,O$5:O$315,"&lt;&gt;")=0,"",IF(OR(SUMIFS(O$5:O$315,$A$5:$A$315,$A205,$C$5:$C$315,$C205-1,$D$5:$D$315,$D205)=0,O205*SUMIFS(O$5:O$315,$A$5:$A$315,$A205,$C$5:$C$315,$C205-1,$D$5:$D$315,$D205)&lt;0),"n.s.",ABS(O205)/ABS(SUMIFS(O$5:O$315,$A$5:$A$315,$A205,$C$5:$C$315,$C205-1,$D$5:$D$315,$D205))-1)))</f>
        <v/>
      </c>
    </row>
    <row r="206">
      <c r="A206" s="9" t="inlineStr">
        <is>
          <t>NSBC</t>
        </is>
      </c>
      <c r="B206" s="10">
        <f>IF(A206="","",IFERROR(VLOOKUP(A206,Titres!$A$2:$B$400,2,FALSE),"Ticker inconnu"))</f>
        <v/>
      </c>
      <c r="C206" s="11" t="n">
        <v>2022</v>
      </c>
      <c r="D206" s="11" t="inlineStr">
        <is>
          <t>T1</t>
        </is>
      </c>
      <c r="E206" s="9" t="n"/>
      <c r="F206" s="12" t="n"/>
      <c r="G206" s="9" t="n"/>
      <c r="H206" s="13" t="n"/>
      <c r="I206" s="13" t="n"/>
      <c r="J206" s="13" t="n"/>
      <c r="K206" s="13" t="n"/>
      <c r="L206" s="13" t="n"/>
      <c r="M206" s="13" t="n"/>
      <c r="N206" s="13" t="n"/>
      <c r="O206" s="13" t="n"/>
      <c r="P206" s="14">
        <f>IF(A206="","",COUNT(H206:O206)/8)</f>
        <v/>
      </c>
      <c r="Q206" s="15">
        <f>IF(COUNT(H206:O206)=0,"",IF(LEN(IF(COUNT(H206,I206,J206)=3,IF(ABS(H206+I206-J206)&lt;=MAX(1,0.02*ABS(J206)),"","RBE &lt;&gt; PNB + frais "),"")&amp;IF(COUNT(J206,K206,L206)=3,IF(ABS(J206+K206-L206)&lt;=MAX(1,0.03*ABS(L206)),"","RAI &lt;&gt; RBE + coût du risque "),"")&amp;IF(COUNT(H206,M206)=2,IF(ABS(M206)&gt;ABS(H206),"RN &gt; PNB ",""),""))=0,"OK",IF(COUNT(H206,I206,J206)=3,IF(ABS(H206+I206-J206)&lt;=MAX(1,0.02*ABS(J206)),"","RBE &lt;&gt; PNB + frais "),"")&amp;IF(COUNT(J206,K206,L206)=3,IF(ABS(J206+K206-L206)&lt;=MAX(1,0.03*ABS(L206)),"","RAI &lt;&gt; RBE + coût du risque "),"")&amp;IF(COUNT(H206,M206)=2,IF(ABS(M206)&gt;ABS(H206),"RN &gt; PNB ",""),"")))</f>
        <v/>
      </c>
      <c r="R206" s="16">
        <f>IF(OR($A206="",H206="",$C206=""),"",IF(COUNTIFS($A$5:$A$315,$A206,$C$5:$C$315,$C206-1,$D$5:$D$315,$D206,H$5:H$315,"&lt;&gt;")=0,"",IF(OR(SUMIFS(H$5:H$315,$A$5:$A$315,$A206,$C$5:$C$315,$C206-1,$D$5:$D$315,$D206)=0,H206*SUMIFS(H$5:H$315,$A$5:$A$315,$A206,$C$5:$C$315,$C206-1,$D$5:$D$315,$D206)&lt;0),"n.s.",ABS(H206)/ABS(SUMIFS(H$5:H$315,$A$5:$A$315,$A206,$C$5:$C$315,$C206-1,$D$5:$D$315,$D206))-1)))</f>
        <v/>
      </c>
      <c r="S206" s="16">
        <f>IF(OR($A206="",I206="",$C206=""),"",IF(COUNTIFS($A$5:$A$315,$A206,$C$5:$C$315,$C206-1,$D$5:$D$315,$D206,I$5:I$315,"&lt;&gt;")=0,"",IF(OR(SUMIFS(I$5:I$315,$A$5:$A$315,$A206,$C$5:$C$315,$C206-1,$D$5:$D$315,$D206)=0,I206*SUMIFS(I$5:I$315,$A$5:$A$315,$A206,$C$5:$C$315,$C206-1,$D$5:$D$315,$D206)&lt;0),"n.s.",ABS(I206)/ABS(SUMIFS(I$5:I$315,$A$5:$A$315,$A206,$C$5:$C$315,$C206-1,$D$5:$D$315,$D206))-1)))</f>
        <v/>
      </c>
      <c r="T206" s="16">
        <f>IF(OR($A206="",J206="",$C206=""),"",IF(COUNTIFS($A$5:$A$315,$A206,$C$5:$C$315,$C206-1,$D$5:$D$315,$D206,J$5:J$315,"&lt;&gt;")=0,"",IF(OR(SUMIFS(J$5:J$315,$A$5:$A$315,$A206,$C$5:$C$315,$C206-1,$D$5:$D$315,$D206)=0,J206*SUMIFS(J$5:J$315,$A$5:$A$315,$A206,$C$5:$C$315,$C206-1,$D$5:$D$315,$D206)&lt;0),"n.s.",ABS(J206)/ABS(SUMIFS(J$5:J$315,$A$5:$A$315,$A206,$C$5:$C$315,$C206-1,$D$5:$D$315,$D206))-1)))</f>
        <v/>
      </c>
      <c r="U206" s="16">
        <f>IF(OR($A206="",K206="",$C206=""),"",IF(COUNTIFS($A$5:$A$315,$A206,$C$5:$C$315,$C206-1,$D$5:$D$315,$D206,K$5:K$315,"&lt;&gt;")=0,"",IF(OR(SUMIFS(K$5:K$315,$A$5:$A$315,$A206,$C$5:$C$315,$C206-1,$D$5:$D$315,$D206)=0,K206*SUMIFS(K$5:K$315,$A$5:$A$315,$A206,$C$5:$C$315,$C206-1,$D$5:$D$315,$D206)&lt;0),"n.s.",ABS(K206)/ABS(SUMIFS(K$5:K$315,$A$5:$A$315,$A206,$C$5:$C$315,$C206-1,$D$5:$D$315,$D206))-1)))</f>
        <v/>
      </c>
      <c r="V206" s="16">
        <f>IF(OR($A206="",L206="",$C206=""),"",IF(COUNTIFS($A$5:$A$315,$A206,$C$5:$C$315,$C206-1,$D$5:$D$315,$D206,L$5:L$315,"&lt;&gt;")=0,"",IF(OR(SUMIFS(L$5:L$315,$A$5:$A$315,$A206,$C$5:$C$315,$C206-1,$D$5:$D$315,$D206)=0,L206*SUMIFS(L$5:L$315,$A$5:$A$315,$A206,$C$5:$C$315,$C206-1,$D$5:$D$315,$D206)&lt;0),"n.s.",ABS(L206)/ABS(SUMIFS(L$5:L$315,$A$5:$A$315,$A206,$C$5:$C$315,$C206-1,$D$5:$D$315,$D206))-1)))</f>
        <v/>
      </c>
      <c r="W206" s="16">
        <f>IF(OR($A206="",M206="",$C206=""),"",IF(COUNTIFS($A$5:$A$315,$A206,$C$5:$C$315,$C206-1,$D$5:$D$315,$D206,M$5:M$315,"&lt;&gt;")=0,"",IF(OR(SUMIFS(M$5:M$315,$A$5:$A$315,$A206,$C$5:$C$315,$C206-1,$D$5:$D$315,$D206)=0,M206*SUMIFS(M$5:M$315,$A$5:$A$315,$A206,$C$5:$C$315,$C206-1,$D$5:$D$315,$D206)&lt;0),"n.s.",ABS(M206)/ABS(SUMIFS(M$5:M$315,$A$5:$A$315,$A206,$C$5:$C$315,$C206-1,$D$5:$D$315,$D206))-1)))</f>
        <v/>
      </c>
      <c r="X206" s="16">
        <f>IF(OR($A206="",N206="",$C206=""),"",IF(COUNTIFS($A$5:$A$315,$A206,$C$5:$C$315,$C206-1,$D$5:$D$315,$D206,N$5:N$315,"&lt;&gt;")=0,"",IF(OR(SUMIFS(N$5:N$315,$A$5:$A$315,$A206,$C$5:$C$315,$C206-1,$D$5:$D$315,$D206)=0,N206*SUMIFS(N$5:N$315,$A$5:$A$315,$A206,$C$5:$C$315,$C206-1,$D$5:$D$315,$D206)&lt;0),"n.s.",ABS(N206)/ABS(SUMIFS(N$5:N$315,$A$5:$A$315,$A206,$C$5:$C$315,$C206-1,$D$5:$D$315,$D206))-1)))</f>
        <v/>
      </c>
      <c r="Y206" s="16">
        <f>IF(OR($A206="",O206="",$C206=""),"",IF(COUNTIFS($A$5:$A$315,$A206,$C$5:$C$315,$C206-1,$D$5:$D$315,$D206,O$5:O$315,"&lt;&gt;")=0,"",IF(OR(SUMIFS(O$5:O$315,$A$5:$A$315,$A206,$C$5:$C$315,$C206-1,$D$5:$D$315,$D206)=0,O206*SUMIFS(O$5:O$315,$A$5:$A$315,$A206,$C$5:$C$315,$C206-1,$D$5:$D$315,$D206)&lt;0),"n.s.",ABS(O206)/ABS(SUMIFS(O$5:O$315,$A$5:$A$315,$A206,$C$5:$C$315,$C206-1,$D$5:$D$315,$D206))-1)))</f>
        <v/>
      </c>
    </row>
    <row r="207">
      <c r="A207" s="9" t="inlineStr">
        <is>
          <t>NSBC</t>
        </is>
      </c>
      <c r="B207" s="10">
        <f>IF(A207="","",IFERROR(VLOOKUP(A207,Titres!$A$2:$B$400,2,FALSE),"Ticker inconnu"))</f>
        <v/>
      </c>
      <c r="C207" s="11" t="n">
        <v>2022</v>
      </c>
      <c r="D207" s="11" t="inlineStr">
        <is>
          <t>S1</t>
        </is>
      </c>
      <c r="E207" s="9" t="n"/>
      <c r="F207" s="12" t="n"/>
      <c r="G207" s="9" t="n"/>
      <c r="H207" s="13" t="n"/>
      <c r="I207" s="13" t="n"/>
      <c r="J207" s="13" t="n"/>
      <c r="K207" s="13" t="n"/>
      <c r="L207" s="13" t="n"/>
      <c r="M207" s="13" t="n"/>
      <c r="N207" s="13" t="n"/>
      <c r="O207" s="13" t="n"/>
      <c r="P207" s="14">
        <f>IF(A207="","",COUNT(H207:O207)/8)</f>
        <v/>
      </c>
      <c r="Q207" s="15">
        <f>IF(COUNT(H207:O207)=0,"",IF(LEN(IF(COUNT(H207,I207,J207)=3,IF(ABS(H207+I207-J207)&lt;=MAX(1,0.02*ABS(J207)),"","RBE &lt;&gt; PNB + frais "),"")&amp;IF(COUNT(J207,K207,L207)=3,IF(ABS(J207+K207-L207)&lt;=MAX(1,0.03*ABS(L207)),"","RAI &lt;&gt; RBE + coût du risque "),"")&amp;IF(COUNT(H207,M207)=2,IF(ABS(M207)&gt;ABS(H207),"RN &gt; PNB ",""),""))=0,"OK",IF(COUNT(H207,I207,J207)=3,IF(ABS(H207+I207-J207)&lt;=MAX(1,0.02*ABS(J207)),"","RBE &lt;&gt; PNB + frais "),"")&amp;IF(COUNT(J207,K207,L207)=3,IF(ABS(J207+K207-L207)&lt;=MAX(1,0.03*ABS(L207)),"","RAI &lt;&gt; RBE + coût du risque "),"")&amp;IF(COUNT(H207,M207)=2,IF(ABS(M207)&gt;ABS(H207),"RN &gt; PNB ",""),"")))</f>
        <v/>
      </c>
      <c r="R207" s="16">
        <f>IF(OR($A207="",H207="",$C207=""),"",IF(COUNTIFS($A$5:$A$315,$A207,$C$5:$C$315,$C207-1,$D$5:$D$315,$D207,H$5:H$315,"&lt;&gt;")=0,"",IF(OR(SUMIFS(H$5:H$315,$A$5:$A$315,$A207,$C$5:$C$315,$C207-1,$D$5:$D$315,$D207)=0,H207*SUMIFS(H$5:H$315,$A$5:$A$315,$A207,$C$5:$C$315,$C207-1,$D$5:$D$315,$D207)&lt;0),"n.s.",ABS(H207)/ABS(SUMIFS(H$5:H$315,$A$5:$A$315,$A207,$C$5:$C$315,$C207-1,$D$5:$D$315,$D207))-1)))</f>
        <v/>
      </c>
      <c r="S207" s="16">
        <f>IF(OR($A207="",I207="",$C207=""),"",IF(COUNTIFS($A$5:$A$315,$A207,$C$5:$C$315,$C207-1,$D$5:$D$315,$D207,I$5:I$315,"&lt;&gt;")=0,"",IF(OR(SUMIFS(I$5:I$315,$A$5:$A$315,$A207,$C$5:$C$315,$C207-1,$D$5:$D$315,$D207)=0,I207*SUMIFS(I$5:I$315,$A$5:$A$315,$A207,$C$5:$C$315,$C207-1,$D$5:$D$315,$D207)&lt;0),"n.s.",ABS(I207)/ABS(SUMIFS(I$5:I$315,$A$5:$A$315,$A207,$C$5:$C$315,$C207-1,$D$5:$D$315,$D207))-1)))</f>
        <v/>
      </c>
      <c r="T207" s="16">
        <f>IF(OR($A207="",J207="",$C207=""),"",IF(COUNTIFS($A$5:$A$315,$A207,$C$5:$C$315,$C207-1,$D$5:$D$315,$D207,J$5:J$315,"&lt;&gt;")=0,"",IF(OR(SUMIFS(J$5:J$315,$A$5:$A$315,$A207,$C$5:$C$315,$C207-1,$D$5:$D$315,$D207)=0,J207*SUMIFS(J$5:J$315,$A$5:$A$315,$A207,$C$5:$C$315,$C207-1,$D$5:$D$315,$D207)&lt;0),"n.s.",ABS(J207)/ABS(SUMIFS(J$5:J$315,$A$5:$A$315,$A207,$C$5:$C$315,$C207-1,$D$5:$D$315,$D207))-1)))</f>
        <v/>
      </c>
      <c r="U207" s="16">
        <f>IF(OR($A207="",K207="",$C207=""),"",IF(COUNTIFS($A$5:$A$315,$A207,$C$5:$C$315,$C207-1,$D$5:$D$315,$D207,K$5:K$315,"&lt;&gt;")=0,"",IF(OR(SUMIFS(K$5:K$315,$A$5:$A$315,$A207,$C$5:$C$315,$C207-1,$D$5:$D$315,$D207)=0,K207*SUMIFS(K$5:K$315,$A$5:$A$315,$A207,$C$5:$C$315,$C207-1,$D$5:$D$315,$D207)&lt;0),"n.s.",ABS(K207)/ABS(SUMIFS(K$5:K$315,$A$5:$A$315,$A207,$C$5:$C$315,$C207-1,$D$5:$D$315,$D207))-1)))</f>
        <v/>
      </c>
      <c r="V207" s="16">
        <f>IF(OR($A207="",L207="",$C207=""),"",IF(COUNTIFS($A$5:$A$315,$A207,$C$5:$C$315,$C207-1,$D$5:$D$315,$D207,L$5:L$315,"&lt;&gt;")=0,"",IF(OR(SUMIFS(L$5:L$315,$A$5:$A$315,$A207,$C$5:$C$315,$C207-1,$D$5:$D$315,$D207)=0,L207*SUMIFS(L$5:L$315,$A$5:$A$315,$A207,$C$5:$C$315,$C207-1,$D$5:$D$315,$D207)&lt;0),"n.s.",ABS(L207)/ABS(SUMIFS(L$5:L$315,$A$5:$A$315,$A207,$C$5:$C$315,$C207-1,$D$5:$D$315,$D207))-1)))</f>
        <v/>
      </c>
      <c r="W207" s="16">
        <f>IF(OR($A207="",M207="",$C207=""),"",IF(COUNTIFS($A$5:$A$315,$A207,$C$5:$C$315,$C207-1,$D$5:$D$315,$D207,M$5:M$315,"&lt;&gt;")=0,"",IF(OR(SUMIFS(M$5:M$315,$A$5:$A$315,$A207,$C$5:$C$315,$C207-1,$D$5:$D$315,$D207)=0,M207*SUMIFS(M$5:M$315,$A$5:$A$315,$A207,$C$5:$C$315,$C207-1,$D$5:$D$315,$D207)&lt;0),"n.s.",ABS(M207)/ABS(SUMIFS(M$5:M$315,$A$5:$A$315,$A207,$C$5:$C$315,$C207-1,$D$5:$D$315,$D207))-1)))</f>
        <v/>
      </c>
      <c r="X207" s="16">
        <f>IF(OR($A207="",N207="",$C207=""),"",IF(COUNTIFS($A$5:$A$315,$A207,$C$5:$C$315,$C207-1,$D$5:$D$315,$D207,N$5:N$315,"&lt;&gt;")=0,"",IF(OR(SUMIFS(N$5:N$315,$A$5:$A$315,$A207,$C$5:$C$315,$C207-1,$D$5:$D$315,$D207)=0,N207*SUMIFS(N$5:N$315,$A$5:$A$315,$A207,$C$5:$C$315,$C207-1,$D$5:$D$315,$D207)&lt;0),"n.s.",ABS(N207)/ABS(SUMIFS(N$5:N$315,$A$5:$A$315,$A207,$C$5:$C$315,$C207-1,$D$5:$D$315,$D207))-1)))</f>
        <v/>
      </c>
      <c r="Y207" s="16">
        <f>IF(OR($A207="",O207="",$C207=""),"",IF(COUNTIFS($A$5:$A$315,$A207,$C$5:$C$315,$C207-1,$D$5:$D$315,$D207,O$5:O$315,"&lt;&gt;")=0,"",IF(OR(SUMIFS(O$5:O$315,$A$5:$A$315,$A207,$C$5:$C$315,$C207-1,$D$5:$D$315,$D207)=0,O207*SUMIFS(O$5:O$315,$A$5:$A$315,$A207,$C$5:$C$315,$C207-1,$D$5:$D$315,$D207)&lt;0),"n.s.",ABS(O207)/ABS(SUMIFS(O$5:O$315,$A$5:$A$315,$A207,$C$5:$C$315,$C207-1,$D$5:$D$315,$D207))-1)))</f>
        <v/>
      </c>
    </row>
    <row r="208">
      <c r="A208" s="9" t="inlineStr">
        <is>
          <t>NSBC</t>
        </is>
      </c>
      <c r="B208" s="10">
        <f>IF(A208="","",IFERROR(VLOOKUP(A208,Titres!$A$2:$B$400,2,FALSE),"Ticker inconnu"))</f>
        <v/>
      </c>
      <c r="C208" s="11" t="n">
        <v>2022</v>
      </c>
      <c r="D208" s="11" t="inlineStr">
        <is>
          <t>T3</t>
        </is>
      </c>
      <c r="E208" s="9" t="n"/>
      <c r="F208" s="12" t="n"/>
      <c r="G208" s="9" t="n"/>
      <c r="H208" s="13" t="n"/>
      <c r="I208" s="13" t="n"/>
      <c r="J208" s="13" t="n"/>
      <c r="K208" s="13" t="n"/>
      <c r="L208" s="13" t="n"/>
      <c r="M208" s="13" t="n"/>
      <c r="N208" s="13" t="n"/>
      <c r="O208" s="13" t="n"/>
      <c r="P208" s="14">
        <f>IF(A208="","",COUNT(H208:O208)/8)</f>
        <v/>
      </c>
      <c r="Q208" s="15">
        <f>IF(COUNT(H208:O208)=0,"",IF(LEN(IF(COUNT(H208,I208,J208)=3,IF(ABS(H208+I208-J208)&lt;=MAX(1,0.02*ABS(J208)),"","RBE &lt;&gt; PNB + frais "),"")&amp;IF(COUNT(J208,K208,L208)=3,IF(ABS(J208+K208-L208)&lt;=MAX(1,0.03*ABS(L208)),"","RAI &lt;&gt; RBE + coût du risque "),"")&amp;IF(COUNT(H208,M208)=2,IF(ABS(M208)&gt;ABS(H208),"RN &gt; PNB ",""),""))=0,"OK",IF(COUNT(H208,I208,J208)=3,IF(ABS(H208+I208-J208)&lt;=MAX(1,0.02*ABS(J208)),"","RBE &lt;&gt; PNB + frais "),"")&amp;IF(COUNT(J208,K208,L208)=3,IF(ABS(J208+K208-L208)&lt;=MAX(1,0.03*ABS(L208)),"","RAI &lt;&gt; RBE + coût du risque "),"")&amp;IF(COUNT(H208,M208)=2,IF(ABS(M208)&gt;ABS(H208),"RN &gt; PNB ",""),"")))</f>
        <v/>
      </c>
      <c r="R208" s="16">
        <f>IF(OR($A208="",H208="",$C208=""),"",IF(COUNTIFS($A$5:$A$315,$A208,$C$5:$C$315,$C208-1,$D$5:$D$315,$D208,H$5:H$315,"&lt;&gt;")=0,"",IF(OR(SUMIFS(H$5:H$315,$A$5:$A$315,$A208,$C$5:$C$315,$C208-1,$D$5:$D$315,$D208)=0,H208*SUMIFS(H$5:H$315,$A$5:$A$315,$A208,$C$5:$C$315,$C208-1,$D$5:$D$315,$D208)&lt;0),"n.s.",ABS(H208)/ABS(SUMIFS(H$5:H$315,$A$5:$A$315,$A208,$C$5:$C$315,$C208-1,$D$5:$D$315,$D208))-1)))</f>
        <v/>
      </c>
      <c r="S208" s="16">
        <f>IF(OR($A208="",I208="",$C208=""),"",IF(COUNTIFS($A$5:$A$315,$A208,$C$5:$C$315,$C208-1,$D$5:$D$315,$D208,I$5:I$315,"&lt;&gt;")=0,"",IF(OR(SUMIFS(I$5:I$315,$A$5:$A$315,$A208,$C$5:$C$315,$C208-1,$D$5:$D$315,$D208)=0,I208*SUMIFS(I$5:I$315,$A$5:$A$315,$A208,$C$5:$C$315,$C208-1,$D$5:$D$315,$D208)&lt;0),"n.s.",ABS(I208)/ABS(SUMIFS(I$5:I$315,$A$5:$A$315,$A208,$C$5:$C$315,$C208-1,$D$5:$D$315,$D208))-1)))</f>
        <v/>
      </c>
      <c r="T208" s="16">
        <f>IF(OR($A208="",J208="",$C208=""),"",IF(COUNTIFS($A$5:$A$315,$A208,$C$5:$C$315,$C208-1,$D$5:$D$315,$D208,J$5:J$315,"&lt;&gt;")=0,"",IF(OR(SUMIFS(J$5:J$315,$A$5:$A$315,$A208,$C$5:$C$315,$C208-1,$D$5:$D$315,$D208)=0,J208*SUMIFS(J$5:J$315,$A$5:$A$315,$A208,$C$5:$C$315,$C208-1,$D$5:$D$315,$D208)&lt;0),"n.s.",ABS(J208)/ABS(SUMIFS(J$5:J$315,$A$5:$A$315,$A208,$C$5:$C$315,$C208-1,$D$5:$D$315,$D208))-1)))</f>
        <v/>
      </c>
      <c r="U208" s="16">
        <f>IF(OR($A208="",K208="",$C208=""),"",IF(COUNTIFS($A$5:$A$315,$A208,$C$5:$C$315,$C208-1,$D$5:$D$315,$D208,K$5:K$315,"&lt;&gt;")=0,"",IF(OR(SUMIFS(K$5:K$315,$A$5:$A$315,$A208,$C$5:$C$315,$C208-1,$D$5:$D$315,$D208)=0,K208*SUMIFS(K$5:K$315,$A$5:$A$315,$A208,$C$5:$C$315,$C208-1,$D$5:$D$315,$D208)&lt;0),"n.s.",ABS(K208)/ABS(SUMIFS(K$5:K$315,$A$5:$A$315,$A208,$C$5:$C$315,$C208-1,$D$5:$D$315,$D208))-1)))</f>
        <v/>
      </c>
      <c r="V208" s="16">
        <f>IF(OR($A208="",L208="",$C208=""),"",IF(COUNTIFS($A$5:$A$315,$A208,$C$5:$C$315,$C208-1,$D$5:$D$315,$D208,L$5:L$315,"&lt;&gt;")=0,"",IF(OR(SUMIFS(L$5:L$315,$A$5:$A$315,$A208,$C$5:$C$315,$C208-1,$D$5:$D$315,$D208)=0,L208*SUMIFS(L$5:L$315,$A$5:$A$315,$A208,$C$5:$C$315,$C208-1,$D$5:$D$315,$D208)&lt;0),"n.s.",ABS(L208)/ABS(SUMIFS(L$5:L$315,$A$5:$A$315,$A208,$C$5:$C$315,$C208-1,$D$5:$D$315,$D208))-1)))</f>
        <v/>
      </c>
      <c r="W208" s="16">
        <f>IF(OR($A208="",M208="",$C208=""),"",IF(COUNTIFS($A$5:$A$315,$A208,$C$5:$C$315,$C208-1,$D$5:$D$315,$D208,M$5:M$315,"&lt;&gt;")=0,"",IF(OR(SUMIFS(M$5:M$315,$A$5:$A$315,$A208,$C$5:$C$315,$C208-1,$D$5:$D$315,$D208)=0,M208*SUMIFS(M$5:M$315,$A$5:$A$315,$A208,$C$5:$C$315,$C208-1,$D$5:$D$315,$D208)&lt;0),"n.s.",ABS(M208)/ABS(SUMIFS(M$5:M$315,$A$5:$A$315,$A208,$C$5:$C$315,$C208-1,$D$5:$D$315,$D208))-1)))</f>
        <v/>
      </c>
      <c r="X208" s="16">
        <f>IF(OR($A208="",N208="",$C208=""),"",IF(COUNTIFS($A$5:$A$315,$A208,$C$5:$C$315,$C208-1,$D$5:$D$315,$D208,N$5:N$315,"&lt;&gt;")=0,"",IF(OR(SUMIFS(N$5:N$315,$A$5:$A$315,$A208,$C$5:$C$315,$C208-1,$D$5:$D$315,$D208)=0,N208*SUMIFS(N$5:N$315,$A$5:$A$315,$A208,$C$5:$C$315,$C208-1,$D$5:$D$315,$D208)&lt;0),"n.s.",ABS(N208)/ABS(SUMIFS(N$5:N$315,$A$5:$A$315,$A208,$C$5:$C$315,$C208-1,$D$5:$D$315,$D208))-1)))</f>
        <v/>
      </c>
      <c r="Y208" s="16">
        <f>IF(OR($A208="",O208="",$C208=""),"",IF(COUNTIFS($A$5:$A$315,$A208,$C$5:$C$315,$C208-1,$D$5:$D$315,$D208,O$5:O$315,"&lt;&gt;")=0,"",IF(OR(SUMIFS(O$5:O$315,$A$5:$A$315,$A208,$C$5:$C$315,$C208-1,$D$5:$D$315,$D208)=0,O208*SUMIFS(O$5:O$315,$A$5:$A$315,$A208,$C$5:$C$315,$C208-1,$D$5:$D$315,$D208)&lt;0),"n.s.",ABS(O208)/ABS(SUMIFS(O$5:O$315,$A$5:$A$315,$A208,$C$5:$C$315,$C208-1,$D$5:$D$315,$D208))-1)))</f>
        <v/>
      </c>
    </row>
    <row r="209">
      <c r="A209" s="9" t="inlineStr">
        <is>
          <t>NSBC</t>
        </is>
      </c>
      <c r="B209" s="10">
        <f>IF(A209="","",IFERROR(VLOOKUP(A209,Titres!$A$2:$B$400,2,FALSE),"Ticker inconnu"))</f>
        <v/>
      </c>
      <c r="C209" s="11" t="n">
        <v>2023</v>
      </c>
      <c r="D209" s="11" t="inlineStr">
        <is>
          <t>T1</t>
        </is>
      </c>
      <c r="E209" s="9" t="n"/>
      <c r="F209" s="12" t="n"/>
      <c r="G209" s="9" t="n"/>
      <c r="H209" s="13" t="n"/>
      <c r="I209" s="13" t="n"/>
      <c r="J209" s="13" t="n"/>
      <c r="K209" s="13" t="n"/>
      <c r="L209" s="13" t="n"/>
      <c r="M209" s="13" t="n"/>
      <c r="N209" s="13" t="n"/>
      <c r="O209" s="13" t="n"/>
      <c r="P209" s="14">
        <f>IF(A209="","",COUNT(H209:O209)/8)</f>
        <v/>
      </c>
      <c r="Q209" s="15">
        <f>IF(COUNT(H209:O209)=0,"",IF(LEN(IF(COUNT(H209,I209,J209)=3,IF(ABS(H209+I209-J209)&lt;=MAX(1,0.02*ABS(J209)),"","RBE &lt;&gt; PNB + frais "),"")&amp;IF(COUNT(J209,K209,L209)=3,IF(ABS(J209+K209-L209)&lt;=MAX(1,0.03*ABS(L209)),"","RAI &lt;&gt; RBE + coût du risque "),"")&amp;IF(COUNT(H209,M209)=2,IF(ABS(M209)&gt;ABS(H209),"RN &gt; PNB ",""),""))=0,"OK",IF(COUNT(H209,I209,J209)=3,IF(ABS(H209+I209-J209)&lt;=MAX(1,0.02*ABS(J209)),"","RBE &lt;&gt; PNB + frais "),"")&amp;IF(COUNT(J209,K209,L209)=3,IF(ABS(J209+K209-L209)&lt;=MAX(1,0.03*ABS(L209)),"","RAI &lt;&gt; RBE + coût du risque "),"")&amp;IF(COUNT(H209,M209)=2,IF(ABS(M209)&gt;ABS(H209),"RN &gt; PNB ",""),"")))</f>
        <v/>
      </c>
      <c r="R209" s="16">
        <f>IF(OR($A209="",H209="",$C209=""),"",IF(COUNTIFS($A$5:$A$315,$A209,$C$5:$C$315,$C209-1,$D$5:$D$315,$D209,H$5:H$315,"&lt;&gt;")=0,"",IF(OR(SUMIFS(H$5:H$315,$A$5:$A$315,$A209,$C$5:$C$315,$C209-1,$D$5:$D$315,$D209)=0,H209*SUMIFS(H$5:H$315,$A$5:$A$315,$A209,$C$5:$C$315,$C209-1,$D$5:$D$315,$D209)&lt;0),"n.s.",ABS(H209)/ABS(SUMIFS(H$5:H$315,$A$5:$A$315,$A209,$C$5:$C$315,$C209-1,$D$5:$D$315,$D209))-1)))</f>
        <v/>
      </c>
      <c r="S209" s="16">
        <f>IF(OR($A209="",I209="",$C209=""),"",IF(COUNTIFS($A$5:$A$315,$A209,$C$5:$C$315,$C209-1,$D$5:$D$315,$D209,I$5:I$315,"&lt;&gt;")=0,"",IF(OR(SUMIFS(I$5:I$315,$A$5:$A$315,$A209,$C$5:$C$315,$C209-1,$D$5:$D$315,$D209)=0,I209*SUMIFS(I$5:I$315,$A$5:$A$315,$A209,$C$5:$C$315,$C209-1,$D$5:$D$315,$D209)&lt;0),"n.s.",ABS(I209)/ABS(SUMIFS(I$5:I$315,$A$5:$A$315,$A209,$C$5:$C$315,$C209-1,$D$5:$D$315,$D209))-1)))</f>
        <v/>
      </c>
      <c r="T209" s="16">
        <f>IF(OR($A209="",J209="",$C209=""),"",IF(COUNTIFS($A$5:$A$315,$A209,$C$5:$C$315,$C209-1,$D$5:$D$315,$D209,J$5:J$315,"&lt;&gt;")=0,"",IF(OR(SUMIFS(J$5:J$315,$A$5:$A$315,$A209,$C$5:$C$315,$C209-1,$D$5:$D$315,$D209)=0,J209*SUMIFS(J$5:J$315,$A$5:$A$315,$A209,$C$5:$C$315,$C209-1,$D$5:$D$315,$D209)&lt;0),"n.s.",ABS(J209)/ABS(SUMIFS(J$5:J$315,$A$5:$A$315,$A209,$C$5:$C$315,$C209-1,$D$5:$D$315,$D209))-1)))</f>
        <v/>
      </c>
      <c r="U209" s="16">
        <f>IF(OR($A209="",K209="",$C209=""),"",IF(COUNTIFS($A$5:$A$315,$A209,$C$5:$C$315,$C209-1,$D$5:$D$315,$D209,K$5:K$315,"&lt;&gt;")=0,"",IF(OR(SUMIFS(K$5:K$315,$A$5:$A$315,$A209,$C$5:$C$315,$C209-1,$D$5:$D$315,$D209)=0,K209*SUMIFS(K$5:K$315,$A$5:$A$315,$A209,$C$5:$C$315,$C209-1,$D$5:$D$315,$D209)&lt;0),"n.s.",ABS(K209)/ABS(SUMIFS(K$5:K$315,$A$5:$A$315,$A209,$C$5:$C$315,$C209-1,$D$5:$D$315,$D209))-1)))</f>
        <v/>
      </c>
      <c r="V209" s="16">
        <f>IF(OR($A209="",L209="",$C209=""),"",IF(COUNTIFS($A$5:$A$315,$A209,$C$5:$C$315,$C209-1,$D$5:$D$315,$D209,L$5:L$315,"&lt;&gt;")=0,"",IF(OR(SUMIFS(L$5:L$315,$A$5:$A$315,$A209,$C$5:$C$315,$C209-1,$D$5:$D$315,$D209)=0,L209*SUMIFS(L$5:L$315,$A$5:$A$315,$A209,$C$5:$C$315,$C209-1,$D$5:$D$315,$D209)&lt;0),"n.s.",ABS(L209)/ABS(SUMIFS(L$5:L$315,$A$5:$A$315,$A209,$C$5:$C$315,$C209-1,$D$5:$D$315,$D209))-1)))</f>
        <v/>
      </c>
      <c r="W209" s="16">
        <f>IF(OR($A209="",M209="",$C209=""),"",IF(COUNTIFS($A$5:$A$315,$A209,$C$5:$C$315,$C209-1,$D$5:$D$315,$D209,M$5:M$315,"&lt;&gt;")=0,"",IF(OR(SUMIFS(M$5:M$315,$A$5:$A$315,$A209,$C$5:$C$315,$C209-1,$D$5:$D$315,$D209)=0,M209*SUMIFS(M$5:M$315,$A$5:$A$315,$A209,$C$5:$C$315,$C209-1,$D$5:$D$315,$D209)&lt;0),"n.s.",ABS(M209)/ABS(SUMIFS(M$5:M$315,$A$5:$A$315,$A209,$C$5:$C$315,$C209-1,$D$5:$D$315,$D209))-1)))</f>
        <v/>
      </c>
      <c r="X209" s="16">
        <f>IF(OR($A209="",N209="",$C209=""),"",IF(COUNTIFS($A$5:$A$315,$A209,$C$5:$C$315,$C209-1,$D$5:$D$315,$D209,N$5:N$315,"&lt;&gt;")=0,"",IF(OR(SUMIFS(N$5:N$315,$A$5:$A$315,$A209,$C$5:$C$315,$C209-1,$D$5:$D$315,$D209)=0,N209*SUMIFS(N$5:N$315,$A$5:$A$315,$A209,$C$5:$C$315,$C209-1,$D$5:$D$315,$D209)&lt;0),"n.s.",ABS(N209)/ABS(SUMIFS(N$5:N$315,$A$5:$A$315,$A209,$C$5:$C$315,$C209-1,$D$5:$D$315,$D209))-1)))</f>
        <v/>
      </c>
      <c r="Y209" s="16">
        <f>IF(OR($A209="",O209="",$C209=""),"",IF(COUNTIFS($A$5:$A$315,$A209,$C$5:$C$315,$C209-1,$D$5:$D$315,$D209,O$5:O$315,"&lt;&gt;")=0,"",IF(OR(SUMIFS(O$5:O$315,$A$5:$A$315,$A209,$C$5:$C$315,$C209-1,$D$5:$D$315,$D209)=0,O209*SUMIFS(O$5:O$315,$A$5:$A$315,$A209,$C$5:$C$315,$C209-1,$D$5:$D$315,$D209)&lt;0),"n.s.",ABS(O209)/ABS(SUMIFS(O$5:O$315,$A$5:$A$315,$A209,$C$5:$C$315,$C209-1,$D$5:$D$315,$D209))-1)))</f>
        <v/>
      </c>
    </row>
    <row r="210">
      <c r="A210" s="9" t="inlineStr">
        <is>
          <t>NSBC</t>
        </is>
      </c>
      <c r="B210" s="10">
        <f>IF(A210="","",IFERROR(VLOOKUP(A210,Titres!$A$2:$B$400,2,FALSE),"Ticker inconnu"))</f>
        <v/>
      </c>
      <c r="C210" s="11" t="n">
        <v>2023</v>
      </c>
      <c r="D210" s="11" t="inlineStr">
        <is>
          <t>S1</t>
        </is>
      </c>
      <c r="E210" s="9" t="n"/>
      <c r="F210" s="12" t="n"/>
      <c r="G210" s="9" t="n"/>
      <c r="H210" s="13" t="n"/>
      <c r="I210" s="13" t="n"/>
      <c r="J210" s="13" t="n"/>
      <c r="K210" s="13" t="n"/>
      <c r="L210" s="13" t="n"/>
      <c r="M210" s="13" t="n"/>
      <c r="N210" s="13" t="n"/>
      <c r="O210" s="13" t="n"/>
      <c r="P210" s="14">
        <f>IF(A210="","",COUNT(H210:O210)/8)</f>
        <v/>
      </c>
      <c r="Q210" s="15">
        <f>IF(COUNT(H210:O210)=0,"",IF(LEN(IF(COUNT(H210,I210,J210)=3,IF(ABS(H210+I210-J210)&lt;=MAX(1,0.02*ABS(J210)),"","RBE &lt;&gt; PNB + frais "),"")&amp;IF(COUNT(J210,K210,L210)=3,IF(ABS(J210+K210-L210)&lt;=MAX(1,0.03*ABS(L210)),"","RAI &lt;&gt; RBE + coût du risque "),"")&amp;IF(COUNT(H210,M210)=2,IF(ABS(M210)&gt;ABS(H210),"RN &gt; PNB ",""),""))=0,"OK",IF(COUNT(H210,I210,J210)=3,IF(ABS(H210+I210-J210)&lt;=MAX(1,0.02*ABS(J210)),"","RBE &lt;&gt; PNB + frais "),"")&amp;IF(COUNT(J210,K210,L210)=3,IF(ABS(J210+K210-L210)&lt;=MAX(1,0.03*ABS(L210)),"","RAI &lt;&gt; RBE + coût du risque "),"")&amp;IF(COUNT(H210,M210)=2,IF(ABS(M210)&gt;ABS(H210),"RN &gt; PNB ",""),"")))</f>
        <v/>
      </c>
      <c r="R210" s="16">
        <f>IF(OR($A210="",H210="",$C210=""),"",IF(COUNTIFS($A$5:$A$315,$A210,$C$5:$C$315,$C210-1,$D$5:$D$315,$D210,H$5:H$315,"&lt;&gt;")=0,"",IF(OR(SUMIFS(H$5:H$315,$A$5:$A$315,$A210,$C$5:$C$315,$C210-1,$D$5:$D$315,$D210)=0,H210*SUMIFS(H$5:H$315,$A$5:$A$315,$A210,$C$5:$C$315,$C210-1,$D$5:$D$315,$D210)&lt;0),"n.s.",ABS(H210)/ABS(SUMIFS(H$5:H$315,$A$5:$A$315,$A210,$C$5:$C$315,$C210-1,$D$5:$D$315,$D210))-1)))</f>
        <v/>
      </c>
      <c r="S210" s="16">
        <f>IF(OR($A210="",I210="",$C210=""),"",IF(COUNTIFS($A$5:$A$315,$A210,$C$5:$C$315,$C210-1,$D$5:$D$315,$D210,I$5:I$315,"&lt;&gt;")=0,"",IF(OR(SUMIFS(I$5:I$315,$A$5:$A$315,$A210,$C$5:$C$315,$C210-1,$D$5:$D$315,$D210)=0,I210*SUMIFS(I$5:I$315,$A$5:$A$315,$A210,$C$5:$C$315,$C210-1,$D$5:$D$315,$D210)&lt;0),"n.s.",ABS(I210)/ABS(SUMIFS(I$5:I$315,$A$5:$A$315,$A210,$C$5:$C$315,$C210-1,$D$5:$D$315,$D210))-1)))</f>
        <v/>
      </c>
      <c r="T210" s="16">
        <f>IF(OR($A210="",J210="",$C210=""),"",IF(COUNTIFS($A$5:$A$315,$A210,$C$5:$C$315,$C210-1,$D$5:$D$315,$D210,J$5:J$315,"&lt;&gt;")=0,"",IF(OR(SUMIFS(J$5:J$315,$A$5:$A$315,$A210,$C$5:$C$315,$C210-1,$D$5:$D$315,$D210)=0,J210*SUMIFS(J$5:J$315,$A$5:$A$315,$A210,$C$5:$C$315,$C210-1,$D$5:$D$315,$D210)&lt;0),"n.s.",ABS(J210)/ABS(SUMIFS(J$5:J$315,$A$5:$A$315,$A210,$C$5:$C$315,$C210-1,$D$5:$D$315,$D210))-1)))</f>
        <v/>
      </c>
      <c r="U210" s="16">
        <f>IF(OR($A210="",K210="",$C210=""),"",IF(COUNTIFS($A$5:$A$315,$A210,$C$5:$C$315,$C210-1,$D$5:$D$315,$D210,K$5:K$315,"&lt;&gt;")=0,"",IF(OR(SUMIFS(K$5:K$315,$A$5:$A$315,$A210,$C$5:$C$315,$C210-1,$D$5:$D$315,$D210)=0,K210*SUMIFS(K$5:K$315,$A$5:$A$315,$A210,$C$5:$C$315,$C210-1,$D$5:$D$315,$D210)&lt;0),"n.s.",ABS(K210)/ABS(SUMIFS(K$5:K$315,$A$5:$A$315,$A210,$C$5:$C$315,$C210-1,$D$5:$D$315,$D210))-1)))</f>
        <v/>
      </c>
      <c r="V210" s="16">
        <f>IF(OR($A210="",L210="",$C210=""),"",IF(COUNTIFS($A$5:$A$315,$A210,$C$5:$C$315,$C210-1,$D$5:$D$315,$D210,L$5:L$315,"&lt;&gt;")=0,"",IF(OR(SUMIFS(L$5:L$315,$A$5:$A$315,$A210,$C$5:$C$315,$C210-1,$D$5:$D$315,$D210)=0,L210*SUMIFS(L$5:L$315,$A$5:$A$315,$A210,$C$5:$C$315,$C210-1,$D$5:$D$315,$D210)&lt;0),"n.s.",ABS(L210)/ABS(SUMIFS(L$5:L$315,$A$5:$A$315,$A210,$C$5:$C$315,$C210-1,$D$5:$D$315,$D210))-1)))</f>
        <v/>
      </c>
      <c r="W210" s="16">
        <f>IF(OR($A210="",M210="",$C210=""),"",IF(COUNTIFS($A$5:$A$315,$A210,$C$5:$C$315,$C210-1,$D$5:$D$315,$D210,M$5:M$315,"&lt;&gt;")=0,"",IF(OR(SUMIFS(M$5:M$315,$A$5:$A$315,$A210,$C$5:$C$315,$C210-1,$D$5:$D$315,$D210)=0,M210*SUMIFS(M$5:M$315,$A$5:$A$315,$A210,$C$5:$C$315,$C210-1,$D$5:$D$315,$D210)&lt;0),"n.s.",ABS(M210)/ABS(SUMIFS(M$5:M$315,$A$5:$A$315,$A210,$C$5:$C$315,$C210-1,$D$5:$D$315,$D210))-1)))</f>
        <v/>
      </c>
      <c r="X210" s="16">
        <f>IF(OR($A210="",N210="",$C210=""),"",IF(COUNTIFS($A$5:$A$315,$A210,$C$5:$C$315,$C210-1,$D$5:$D$315,$D210,N$5:N$315,"&lt;&gt;")=0,"",IF(OR(SUMIFS(N$5:N$315,$A$5:$A$315,$A210,$C$5:$C$315,$C210-1,$D$5:$D$315,$D210)=0,N210*SUMIFS(N$5:N$315,$A$5:$A$315,$A210,$C$5:$C$315,$C210-1,$D$5:$D$315,$D210)&lt;0),"n.s.",ABS(N210)/ABS(SUMIFS(N$5:N$315,$A$5:$A$315,$A210,$C$5:$C$315,$C210-1,$D$5:$D$315,$D210))-1)))</f>
        <v/>
      </c>
      <c r="Y210" s="16">
        <f>IF(OR($A210="",O210="",$C210=""),"",IF(COUNTIFS($A$5:$A$315,$A210,$C$5:$C$315,$C210-1,$D$5:$D$315,$D210,O$5:O$315,"&lt;&gt;")=0,"",IF(OR(SUMIFS(O$5:O$315,$A$5:$A$315,$A210,$C$5:$C$315,$C210-1,$D$5:$D$315,$D210)=0,O210*SUMIFS(O$5:O$315,$A$5:$A$315,$A210,$C$5:$C$315,$C210-1,$D$5:$D$315,$D210)&lt;0),"n.s.",ABS(O210)/ABS(SUMIFS(O$5:O$315,$A$5:$A$315,$A210,$C$5:$C$315,$C210-1,$D$5:$D$315,$D210))-1)))</f>
        <v/>
      </c>
    </row>
    <row r="211">
      <c r="A211" s="9" t="inlineStr">
        <is>
          <t>NSBC</t>
        </is>
      </c>
      <c r="B211" s="10">
        <f>IF(A211="","",IFERROR(VLOOKUP(A211,Titres!$A$2:$B$400,2,FALSE),"Ticker inconnu"))</f>
        <v/>
      </c>
      <c r="C211" s="11" t="n">
        <v>2023</v>
      </c>
      <c r="D211" s="11" t="inlineStr">
        <is>
          <t>T3</t>
        </is>
      </c>
      <c r="E211" s="9" t="n"/>
      <c r="F211" s="12" t="n"/>
      <c r="G211" s="9" t="n"/>
      <c r="H211" s="13" t="n"/>
      <c r="I211" s="13" t="n"/>
      <c r="J211" s="13" t="n"/>
      <c r="K211" s="13" t="n"/>
      <c r="L211" s="13" t="n"/>
      <c r="M211" s="13" t="n"/>
      <c r="N211" s="13" t="n"/>
      <c r="O211" s="13" t="n"/>
      <c r="P211" s="14">
        <f>IF(A211="","",COUNT(H211:O211)/8)</f>
        <v/>
      </c>
      <c r="Q211" s="15">
        <f>IF(COUNT(H211:O211)=0,"",IF(LEN(IF(COUNT(H211,I211,J211)=3,IF(ABS(H211+I211-J211)&lt;=MAX(1,0.02*ABS(J211)),"","RBE &lt;&gt; PNB + frais "),"")&amp;IF(COUNT(J211,K211,L211)=3,IF(ABS(J211+K211-L211)&lt;=MAX(1,0.03*ABS(L211)),"","RAI &lt;&gt; RBE + coût du risque "),"")&amp;IF(COUNT(H211,M211)=2,IF(ABS(M211)&gt;ABS(H211),"RN &gt; PNB ",""),""))=0,"OK",IF(COUNT(H211,I211,J211)=3,IF(ABS(H211+I211-J211)&lt;=MAX(1,0.02*ABS(J211)),"","RBE &lt;&gt; PNB + frais "),"")&amp;IF(COUNT(J211,K211,L211)=3,IF(ABS(J211+K211-L211)&lt;=MAX(1,0.03*ABS(L211)),"","RAI &lt;&gt; RBE + coût du risque "),"")&amp;IF(COUNT(H211,M211)=2,IF(ABS(M211)&gt;ABS(H211),"RN &gt; PNB ",""),"")))</f>
        <v/>
      </c>
      <c r="R211" s="16">
        <f>IF(OR($A211="",H211="",$C211=""),"",IF(COUNTIFS($A$5:$A$315,$A211,$C$5:$C$315,$C211-1,$D$5:$D$315,$D211,H$5:H$315,"&lt;&gt;")=0,"",IF(OR(SUMIFS(H$5:H$315,$A$5:$A$315,$A211,$C$5:$C$315,$C211-1,$D$5:$D$315,$D211)=0,H211*SUMIFS(H$5:H$315,$A$5:$A$315,$A211,$C$5:$C$315,$C211-1,$D$5:$D$315,$D211)&lt;0),"n.s.",ABS(H211)/ABS(SUMIFS(H$5:H$315,$A$5:$A$315,$A211,$C$5:$C$315,$C211-1,$D$5:$D$315,$D211))-1)))</f>
        <v/>
      </c>
      <c r="S211" s="16">
        <f>IF(OR($A211="",I211="",$C211=""),"",IF(COUNTIFS($A$5:$A$315,$A211,$C$5:$C$315,$C211-1,$D$5:$D$315,$D211,I$5:I$315,"&lt;&gt;")=0,"",IF(OR(SUMIFS(I$5:I$315,$A$5:$A$315,$A211,$C$5:$C$315,$C211-1,$D$5:$D$315,$D211)=0,I211*SUMIFS(I$5:I$315,$A$5:$A$315,$A211,$C$5:$C$315,$C211-1,$D$5:$D$315,$D211)&lt;0),"n.s.",ABS(I211)/ABS(SUMIFS(I$5:I$315,$A$5:$A$315,$A211,$C$5:$C$315,$C211-1,$D$5:$D$315,$D211))-1)))</f>
        <v/>
      </c>
      <c r="T211" s="16">
        <f>IF(OR($A211="",J211="",$C211=""),"",IF(COUNTIFS($A$5:$A$315,$A211,$C$5:$C$315,$C211-1,$D$5:$D$315,$D211,J$5:J$315,"&lt;&gt;")=0,"",IF(OR(SUMIFS(J$5:J$315,$A$5:$A$315,$A211,$C$5:$C$315,$C211-1,$D$5:$D$315,$D211)=0,J211*SUMIFS(J$5:J$315,$A$5:$A$315,$A211,$C$5:$C$315,$C211-1,$D$5:$D$315,$D211)&lt;0),"n.s.",ABS(J211)/ABS(SUMIFS(J$5:J$315,$A$5:$A$315,$A211,$C$5:$C$315,$C211-1,$D$5:$D$315,$D211))-1)))</f>
        <v/>
      </c>
      <c r="U211" s="16">
        <f>IF(OR($A211="",K211="",$C211=""),"",IF(COUNTIFS($A$5:$A$315,$A211,$C$5:$C$315,$C211-1,$D$5:$D$315,$D211,K$5:K$315,"&lt;&gt;")=0,"",IF(OR(SUMIFS(K$5:K$315,$A$5:$A$315,$A211,$C$5:$C$315,$C211-1,$D$5:$D$315,$D211)=0,K211*SUMIFS(K$5:K$315,$A$5:$A$315,$A211,$C$5:$C$315,$C211-1,$D$5:$D$315,$D211)&lt;0),"n.s.",ABS(K211)/ABS(SUMIFS(K$5:K$315,$A$5:$A$315,$A211,$C$5:$C$315,$C211-1,$D$5:$D$315,$D211))-1)))</f>
        <v/>
      </c>
      <c r="V211" s="16">
        <f>IF(OR($A211="",L211="",$C211=""),"",IF(COUNTIFS($A$5:$A$315,$A211,$C$5:$C$315,$C211-1,$D$5:$D$315,$D211,L$5:L$315,"&lt;&gt;")=0,"",IF(OR(SUMIFS(L$5:L$315,$A$5:$A$315,$A211,$C$5:$C$315,$C211-1,$D$5:$D$315,$D211)=0,L211*SUMIFS(L$5:L$315,$A$5:$A$315,$A211,$C$5:$C$315,$C211-1,$D$5:$D$315,$D211)&lt;0),"n.s.",ABS(L211)/ABS(SUMIFS(L$5:L$315,$A$5:$A$315,$A211,$C$5:$C$315,$C211-1,$D$5:$D$315,$D211))-1)))</f>
        <v/>
      </c>
      <c r="W211" s="16">
        <f>IF(OR($A211="",M211="",$C211=""),"",IF(COUNTIFS($A$5:$A$315,$A211,$C$5:$C$315,$C211-1,$D$5:$D$315,$D211,M$5:M$315,"&lt;&gt;")=0,"",IF(OR(SUMIFS(M$5:M$315,$A$5:$A$315,$A211,$C$5:$C$315,$C211-1,$D$5:$D$315,$D211)=0,M211*SUMIFS(M$5:M$315,$A$5:$A$315,$A211,$C$5:$C$315,$C211-1,$D$5:$D$315,$D211)&lt;0),"n.s.",ABS(M211)/ABS(SUMIFS(M$5:M$315,$A$5:$A$315,$A211,$C$5:$C$315,$C211-1,$D$5:$D$315,$D211))-1)))</f>
        <v/>
      </c>
      <c r="X211" s="16">
        <f>IF(OR($A211="",N211="",$C211=""),"",IF(COUNTIFS($A$5:$A$315,$A211,$C$5:$C$315,$C211-1,$D$5:$D$315,$D211,N$5:N$315,"&lt;&gt;")=0,"",IF(OR(SUMIFS(N$5:N$315,$A$5:$A$315,$A211,$C$5:$C$315,$C211-1,$D$5:$D$315,$D211)=0,N211*SUMIFS(N$5:N$315,$A$5:$A$315,$A211,$C$5:$C$315,$C211-1,$D$5:$D$315,$D211)&lt;0),"n.s.",ABS(N211)/ABS(SUMIFS(N$5:N$315,$A$5:$A$315,$A211,$C$5:$C$315,$C211-1,$D$5:$D$315,$D211))-1)))</f>
        <v/>
      </c>
      <c r="Y211" s="16">
        <f>IF(OR($A211="",O211="",$C211=""),"",IF(COUNTIFS($A$5:$A$315,$A211,$C$5:$C$315,$C211-1,$D$5:$D$315,$D211,O$5:O$315,"&lt;&gt;")=0,"",IF(OR(SUMIFS(O$5:O$315,$A$5:$A$315,$A211,$C$5:$C$315,$C211-1,$D$5:$D$315,$D211)=0,O211*SUMIFS(O$5:O$315,$A$5:$A$315,$A211,$C$5:$C$315,$C211-1,$D$5:$D$315,$D211)&lt;0),"n.s.",ABS(O211)/ABS(SUMIFS(O$5:O$315,$A$5:$A$315,$A211,$C$5:$C$315,$C211-1,$D$5:$D$315,$D211))-1)))</f>
        <v/>
      </c>
    </row>
    <row r="212">
      <c r="A212" s="9" t="inlineStr">
        <is>
          <t>NSBC</t>
        </is>
      </c>
      <c r="B212" s="10">
        <f>IF(A212="","",IFERROR(VLOOKUP(A212,Titres!$A$2:$B$400,2,FALSE),"Ticker inconnu"))</f>
        <v/>
      </c>
      <c r="C212" s="11" t="n">
        <v>2024</v>
      </c>
      <c r="D212" s="11" t="inlineStr">
        <is>
          <t>T1</t>
        </is>
      </c>
      <c r="E212" s="9" t="n"/>
      <c r="F212" s="12" t="n"/>
      <c r="G212" s="9" t="n"/>
      <c r="H212" s="13" t="n"/>
      <c r="I212" s="13" t="n"/>
      <c r="J212" s="13" t="n"/>
      <c r="K212" s="13" t="n"/>
      <c r="L212" s="13" t="n"/>
      <c r="M212" s="13" t="n"/>
      <c r="N212" s="13" t="n"/>
      <c r="O212" s="13" t="n"/>
      <c r="P212" s="14">
        <f>IF(A212="","",COUNT(H212:O212)/8)</f>
        <v/>
      </c>
      <c r="Q212" s="15">
        <f>IF(COUNT(H212:O212)=0,"",IF(LEN(IF(COUNT(H212,I212,J212)=3,IF(ABS(H212+I212-J212)&lt;=MAX(1,0.02*ABS(J212)),"","RBE &lt;&gt; PNB + frais "),"")&amp;IF(COUNT(J212,K212,L212)=3,IF(ABS(J212+K212-L212)&lt;=MAX(1,0.03*ABS(L212)),"","RAI &lt;&gt; RBE + coût du risque "),"")&amp;IF(COUNT(H212,M212)=2,IF(ABS(M212)&gt;ABS(H212),"RN &gt; PNB ",""),""))=0,"OK",IF(COUNT(H212,I212,J212)=3,IF(ABS(H212+I212-J212)&lt;=MAX(1,0.02*ABS(J212)),"","RBE &lt;&gt; PNB + frais "),"")&amp;IF(COUNT(J212,K212,L212)=3,IF(ABS(J212+K212-L212)&lt;=MAX(1,0.03*ABS(L212)),"","RAI &lt;&gt; RBE + coût du risque "),"")&amp;IF(COUNT(H212,M212)=2,IF(ABS(M212)&gt;ABS(H212),"RN &gt; PNB ",""),"")))</f>
        <v/>
      </c>
      <c r="R212" s="16">
        <f>IF(OR($A212="",H212="",$C212=""),"",IF(COUNTIFS($A$5:$A$315,$A212,$C$5:$C$315,$C212-1,$D$5:$D$315,$D212,H$5:H$315,"&lt;&gt;")=0,"",IF(OR(SUMIFS(H$5:H$315,$A$5:$A$315,$A212,$C$5:$C$315,$C212-1,$D$5:$D$315,$D212)=0,H212*SUMIFS(H$5:H$315,$A$5:$A$315,$A212,$C$5:$C$315,$C212-1,$D$5:$D$315,$D212)&lt;0),"n.s.",ABS(H212)/ABS(SUMIFS(H$5:H$315,$A$5:$A$315,$A212,$C$5:$C$315,$C212-1,$D$5:$D$315,$D212))-1)))</f>
        <v/>
      </c>
      <c r="S212" s="16">
        <f>IF(OR($A212="",I212="",$C212=""),"",IF(COUNTIFS($A$5:$A$315,$A212,$C$5:$C$315,$C212-1,$D$5:$D$315,$D212,I$5:I$315,"&lt;&gt;")=0,"",IF(OR(SUMIFS(I$5:I$315,$A$5:$A$315,$A212,$C$5:$C$315,$C212-1,$D$5:$D$315,$D212)=0,I212*SUMIFS(I$5:I$315,$A$5:$A$315,$A212,$C$5:$C$315,$C212-1,$D$5:$D$315,$D212)&lt;0),"n.s.",ABS(I212)/ABS(SUMIFS(I$5:I$315,$A$5:$A$315,$A212,$C$5:$C$315,$C212-1,$D$5:$D$315,$D212))-1)))</f>
        <v/>
      </c>
      <c r="T212" s="16">
        <f>IF(OR($A212="",J212="",$C212=""),"",IF(COUNTIFS($A$5:$A$315,$A212,$C$5:$C$315,$C212-1,$D$5:$D$315,$D212,J$5:J$315,"&lt;&gt;")=0,"",IF(OR(SUMIFS(J$5:J$315,$A$5:$A$315,$A212,$C$5:$C$315,$C212-1,$D$5:$D$315,$D212)=0,J212*SUMIFS(J$5:J$315,$A$5:$A$315,$A212,$C$5:$C$315,$C212-1,$D$5:$D$315,$D212)&lt;0),"n.s.",ABS(J212)/ABS(SUMIFS(J$5:J$315,$A$5:$A$315,$A212,$C$5:$C$315,$C212-1,$D$5:$D$315,$D212))-1)))</f>
        <v/>
      </c>
      <c r="U212" s="16">
        <f>IF(OR($A212="",K212="",$C212=""),"",IF(COUNTIFS($A$5:$A$315,$A212,$C$5:$C$315,$C212-1,$D$5:$D$315,$D212,K$5:K$315,"&lt;&gt;")=0,"",IF(OR(SUMIFS(K$5:K$315,$A$5:$A$315,$A212,$C$5:$C$315,$C212-1,$D$5:$D$315,$D212)=0,K212*SUMIFS(K$5:K$315,$A$5:$A$315,$A212,$C$5:$C$315,$C212-1,$D$5:$D$315,$D212)&lt;0),"n.s.",ABS(K212)/ABS(SUMIFS(K$5:K$315,$A$5:$A$315,$A212,$C$5:$C$315,$C212-1,$D$5:$D$315,$D212))-1)))</f>
        <v/>
      </c>
      <c r="V212" s="16">
        <f>IF(OR($A212="",L212="",$C212=""),"",IF(COUNTIFS($A$5:$A$315,$A212,$C$5:$C$315,$C212-1,$D$5:$D$315,$D212,L$5:L$315,"&lt;&gt;")=0,"",IF(OR(SUMIFS(L$5:L$315,$A$5:$A$315,$A212,$C$5:$C$315,$C212-1,$D$5:$D$315,$D212)=0,L212*SUMIFS(L$5:L$315,$A$5:$A$315,$A212,$C$5:$C$315,$C212-1,$D$5:$D$315,$D212)&lt;0),"n.s.",ABS(L212)/ABS(SUMIFS(L$5:L$315,$A$5:$A$315,$A212,$C$5:$C$315,$C212-1,$D$5:$D$315,$D212))-1)))</f>
        <v/>
      </c>
      <c r="W212" s="16">
        <f>IF(OR($A212="",M212="",$C212=""),"",IF(COUNTIFS($A$5:$A$315,$A212,$C$5:$C$315,$C212-1,$D$5:$D$315,$D212,M$5:M$315,"&lt;&gt;")=0,"",IF(OR(SUMIFS(M$5:M$315,$A$5:$A$315,$A212,$C$5:$C$315,$C212-1,$D$5:$D$315,$D212)=0,M212*SUMIFS(M$5:M$315,$A$5:$A$315,$A212,$C$5:$C$315,$C212-1,$D$5:$D$315,$D212)&lt;0),"n.s.",ABS(M212)/ABS(SUMIFS(M$5:M$315,$A$5:$A$315,$A212,$C$5:$C$315,$C212-1,$D$5:$D$315,$D212))-1)))</f>
        <v/>
      </c>
      <c r="X212" s="16">
        <f>IF(OR($A212="",N212="",$C212=""),"",IF(COUNTIFS($A$5:$A$315,$A212,$C$5:$C$315,$C212-1,$D$5:$D$315,$D212,N$5:N$315,"&lt;&gt;")=0,"",IF(OR(SUMIFS(N$5:N$315,$A$5:$A$315,$A212,$C$5:$C$315,$C212-1,$D$5:$D$315,$D212)=0,N212*SUMIFS(N$5:N$315,$A$5:$A$315,$A212,$C$5:$C$315,$C212-1,$D$5:$D$315,$D212)&lt;0),"n.s.",ABS(N212)/ABS(SUMIFS(N$5:N$315,$A$5:$A$315,$A212,$C$5:$C$315,$C212-1,$D$5:$D$315,$D212))-1)))</f>
        <v/>
      </c>
      <c r="Y212" s="16">
        <f>IF(OR($A212="",O212="",$C212=""),"",IF(COUNTIFS($A$5:$A$315,$A212,$C$5:$C$315,$C212-1,$D$5:$D$315,$D212,O$5:O$315,"&lt;&gt;")=0,"",IF(OR(SUMIFS(O$5:O$315,$A$5:$A$315,$A212,$C$5:$C$315,$C212-1,$D$5:$D$315,$D212)=0,O212*SUMIFS(O$5:O$315,$A$5:$A$315,$A212,$C$5:$C$315,$C212-1,$D$5:$D$315,$D212)&lt;0),"n.s.",ABS(O212)/ABS(SUMIFS(O$5:O$315,$A$5:$A$315,$A212,$C$5:$C$315,$C212-1,$D$5:$D$315,$D212))-1)))</f>
        <v/>
      </c>
    </row>
    <row r="213">
      <c r="A213" s="9" t="inlineStr">
        <is>
          <t>NSBC</t>
        </is>
      </c>
      <c r="B213" s="10">
        <f>IF(A213="","",IFERROR(VLOOKUP(A213,Titres!$A$2:$B$400,2,FALSE),"Ticker inconnu"))</f>
        <v/>
      </c>
      <c r="C213" s="11" t="n">
        <v>2024</v>
      </c>
      <c r="D213" s="11" t="inlineStr">
        <is>
          <t>S1</t>
        </is>
      </c>
      <c r="E213" s="9" t="n"/>
      <c r="F213" s="12" t="n"/>
      <c r="G213" s="9" t="n"/>
      <c r="H213" s="13" t="n"/>
      <c r="I213" s="13" t="n"/>
      <c r="J213" s="13" t="n"/>
      <c r="K213" s="13" t="n"/>
      <c r="L213" s="13" t="n"/>
      <c r="M213" s="13" t="n"/>
      <c r="N213" s="13" t="n"/>
      <c r="O213" s="13" t="n"/>
      <c r="P213" s="14">
        <f>IF(A213="","",COUNT(H213:O213)/8)</f>
        <v/>
      </c>
      <c r="Q213" s="15">
        <f>IF(COUNT(H213:O213)=0,"",IF(LEN(IF(COUNT(H213,I213,J213)=3,IF(ABS(H213+I213-J213)&lt;=MAX(1,0.02*ABS(J213)),"","RBE &lt;&gt; PNB + frais "),"")&amp;IF(COUNT(J213,K213,L213)=3,IF(ABS(J213+K213-L213)&lt;=MAX(1,0.03*ABS(L213)),"","RAI &lt;&gt; RBE + coût du risque "),"")&amp;IF(COUNT(H213,M213)=2,IF(ABS(M213)&gt;ABS(H213),"RN &gt; PNB ",""),""))=0,"OK",IF(COUNT(H213,I213,J213)=3,IF(ABS(H213+I213-J213)&lt;=MAX(1,0.02*ABS(J213)),"","RBE &lt;&gt; PNB + frais "),"")&amp;IF(COUNT(J213,K213,L213)=3,IF(ABS(J213+K213-L213)&lt;=MAX(1,0.03*ABS(L213)),"","RAI &lt;&gt; RBE + coût du risque "),"")&amp;IF(COUNT(H213,M213)=2,IF(ABS(M213)&gt;ABS(H213),"RN &gt; PNB ",""),"")))</f>
        <v/>
      </c>
      <c r="R213" s="16">
        <f>IF(OR($A213="",H213="",$C213=""),"",IF(COUNTIFS($A$5:$A$315,$A213,$C$5:$C$315,$C213-1,$D$5:$D$315,$D213,H$5:H$315,"&lt;&gt;")=0,"",IF(OR(SUMIFS(H$5:H$315,$A$5:$A$315,$A213,$C$5:$C$315,$C213-1,$D$5:$D$315,$D213)=0,H213*SUMIFS(H$5:H$315,$A$5:$A$315,$A213,$C$5:$C$315,$C213-1,$D$5:$D$315,$D213)&lt;0),"n.s.",ABS(H213)/ABS(SUMIFS(H$5:H$315,$A$5:$A$315,$A213,$C$5:$C$315,$C213-1,$D$5:$D$315,$D213))-1)))</f>
        <v/>
      </c>
      <c r="S213" s="16">
        <f>IF(OR($A213="",I213="",$C213=""),"",IF(COUNTIFS($A$5:$A$315,$A213,$C$5:$C$315,$C213-1,$D$5:$D$315,$D213,I$5:I$315,"&lt;&gt;")=0,"",IF(OR(SUMIFS(I$5:I$315,$A$5:$A$315,$A213,$C$5:$C$315,$C213-1,$D$5:$D$315,$D213)=0,I213*SUMIFS(I$5:I$315,$A$5:$A$315,$A213,$C$5:$C$315,$C213-1,$D$5:$D$315,$D213)&lt;0),"n.s.",ABS(I213)/ABS(SUMIFS(I$5:I$315,$A$5:$A$315,$A213,$C$5:$C$315,$C213-1,$D$5:$D$315,$D213))-1)))</f>
        <v/>
      </c>
      <c r="T213" s="16">
        <f>IF(OR($A213="",J213="",$C213=""),"",IF(COUNTIFS($A$5:$A$315,$A213,$C$5:$C$315,$C213-1,$D$5:$D$315,$D213,J$5:J$315,"&lt;&gt;")=0,"",IF(OR(SUMIFS(J$5:J$315,$A$5:$A$315,$A213,$C$5:$C$315,$C213-1,$D$5:$D$315,$D213)=0,J213*SUMIFS(J$5:J$315,$A$5:$A$315,$A213,$C$5:$C$315,$C213-1,$D$5:$D$315,$D213)&lt;0),"n.s.",ABS(J213)/ABS(SUMIFS(J$5:J$315,$A$5:$A$315,$A213,$C$5:$C$315,$C213-1,$D$5:$D$315,$D213))-1)))</f>
        <v/>
      </c>
      <c r="U213" s="16">
        <f>IF(OR($A213="",K213="",$C213=""),"",IF(COUNTIFS($A$5:$A$315,$A213,$C$5:$C$315,$C213-1,$D$5:$D$315,$D213,K$5:K$315,"&lt;&gt;")=0,"",IF(OR(SUMIFS(K$5:K$315,$A$5:$A$315,$A213,$C$5:$C$315,$C213-1,$D$5:$D$315,$D213)=0,K213*SUMIFS(K$5:K$315,$A$5:$A$315,$A213,$C$5:$C$315,$C213-1,$D$5:$D$315,$D213)&lt;0),"n.s.",ABS(K213)/ABS(SUMIFS(K$5:K$315,$A$5:$A$315,$A213,$C$5:$C$315,$C213-1,$D$5:$D$315,$D213))-1)))</f>
        <v/>
      </c>
      <c r="V213" s="16">
        <f>IF(OR($A213="",L213="",$C213=""),"",IF(COUNTIFS($A$5:$A$315,$A213,$C$5:$C$315,$C213-1,$D$5:$D$315,$D213,L$5:L$315,"&lt;&gt;")=0,"",IF(OR(SUMIFS(L$5:L$315,$A$5:$A$315,$A213,$C$5:$C$315,$C213-1,$D$5:$D$315,$D213)=0,L213*SUMIFS(L$5:L$315,$A$5:$A$315,$A213,$C$5:$C$315,$C213-1,$D$5:$D$315,$D213)&lt;0),"n.s.",ABS(L213)/ABS(SUMIFS(L$5:L$315,$A$5:$A$315,$A213,$C$5:$C$315,$C213-1,$D$5:$D$315,$D213))-1)))</f>
        <v/>
      </c>
      <c r="W213" s="16">
        <f>IF(OR($A213="",M213="",$C213=""),"",IF(COUNTIFS($A$5:$A$315,$A213,$C$5:$C$315,$C213-1,$D$5:$D$315,$D213,M$5:M$315,"&lt;&gt;")=0,"",IF(OR(SUMIFS(M$5:M$315,$A$5:$A$315,$A213,$C$5:$C$315,$C213-1,$D$5:$D$315,$D213)=0,M213*SUMIFS(M$5:M$315,$A$5:$A$315,$A213,$C$5:$C$315,$C213-1,$D$5:$D$315,$D213)&lt;0),"n.s.",ABS(M213)/ABS(SUMIFS(M$5:M$315,$A$5:$A$315,$A213,$C$5:$C$315,$C213-1,$D$5:$D$315,$D213))-1)))</f>
        <v/>
      </c>
      <c r="X213" s="16">
        <f>IF(OR($A213="",N213="",$C213=""),"",IF(COUNTIFS($A$5:$A$315,$A213,$C$5:$C$315,$C213-1,$D$5:$D$315,$D213,N$5:N$315,"&lt;&gt;")=0,"",IF(OR(SUMIFS(N$5:N$315,$A$5:$A$315,$A213,$C$5:$C$315,$C213-1,$D$5:$D$315,$D213)=0,N213*SUMIFS(N$5:N$315,$A$5:$A$315,$A213,$C$5:$C$315,$C213-1,$D$5:$D$315,$D213)&lt;0),"n.s.",ABS(N213)/ABS(SUMIFS(N$5:N$315,$A$5:$A$315,$A213,$C$5:$C$315,$C213-1,$D$5:$D$315,$D213))-1)))</f>
        <v/>
      </c>
      <c r="Y213" s="16">
        <f>IF(OR($A213="",O213="",$C213=""),"",IF(COUNTIFS($A$5:$A$315,$A213,$C$5:$C$315,$C213-1,$D$5:$D$315,$D213,O$5:O$315,"&lt;&gt;")=0,"",IF(OR(SUMIFS(O$5:O$315,$A$5:$A$315,$A213,$C$5:$C$315,$C213-1,$D$5:$D$315,$D213)=0,O213*SUMIFS(O$5:O$315,$A$5:$A$315,$A213,$C$5:$C$315,$C213-1,$D$5:$D$315,$D213)&lt;0),"n.s.",ABS(O213)/ABS(SUMIFS(O$5:O$315,$A$5:$A$315,$A213,$C$5:$C$315,$C213-1,$D$5:$D$315,$D213))-1)))</f>
        <v/>
      </c>
    </row>
    <row r="214">
      <c r="A214" s="9" t="inlineStr">
        <is>
          <t>NSBC</t>
        </is>
      </c>
      <c r="B214" s="10">
        <f>IF(A214="","",IFERROR(VLOOKUP(A214,Titres!$A$2:$B$400,2,FALSE),"Ticker inconnu"))</f>
        <v/>
      </c>
      <c r="C214" s="11" t="n">
        <v>2024</v>
      </c>
      <c r="D214" s="11" t="inlineStr">
        <is>
          <t>T3</t>
        </is>
      </c>
      <c r="E214" s="9" t="n"/>
      <c r="F214" s="12" t="n"/>
      <c r="G214" s="9" t="n"/>
      <c r="H214" s="13" t="n"/>
      <c r="I214" s="13" t="n"/>
      <c r="J214" s="13" t="n"/>
      <c r="K214" s="13" t="n"/>
      <c r="L214" s="13" t="n"/>
      <c r="M214" s="13" t="n"/>
      <c r="N214" s="13" t="n"/>
      <c r="O214" s="13" t="n"/>
      <c r="P214" s="14">
        <f>IF(A214="","",COUNT(H214:O214)/8)</f>
        <v/>
      </c>
      <c r="Q214" s="15">
        <f>IF(COUNT(H214:O214)=0,"",IF(LEN(IF(COUNT(H214,I214,J214)=3,IF(ABS(H214+I214-J214)&lt;=MAX(1,0.02*ABS(J214)),"","RBE &lt;&gt; PNB + frais "),"")&amp;IF(COUNT(J214,K214,L214)=3,IF(ABS(J214+K214-L214)&lt;=MAX(1,0.03*ABS(L214)),"","RAI &lt;&gt; RBE + coût du risque "),"")&amp;IF(COUNT(H214,M214)=2,IF(ABS(M214)&gt;ABS(H214),"RN &gt; PNB ",""),""))=0,"OK",IF(COUNT(H214,I214,J214)=3,IF(ABS(H214+I214-J214)&lt;=MAX(1,0.02*ABS(J214)),"","RBE &lt;&gt; PNB + frais "),"")&amp;IF(COUNT(J214,K214,L214)=3,IF(ABS(J214+K214-L214)&lt;=MAX(1,0.03*ABS(L214)),"","RAI &lt;&gt; RBE + coût du risque "),"")&amp;IF(COUNT(H214,M214)=2,IF(ABS(M214)&gt;ABS(H214),"RN &gt; PNB ",""),"")))</f>
        <v/>
      </c>
      <c r="R214" s="16">
        <f>IF(OR($A214="",H214="",$C214=""),"",IF(COUNTIFS($A$5:$A$315,$A214,$C$5:$C$315,$C214-1,$D$5:$D$315,$D214,H$5:H$315,"&lt;&gt;")=0,"",IF(OR(SUMIFS(H$5:H$315,$A$5:$A$315,$A214,$C$5:$C$315,$C214-1,$D$5:$D$315,$D214)=0,H214*SUMIFS(H$5:H$315,$A$5:$A$315,$A214,$C$5:$C$315,$C214-1,$D$5:$D$315,$D214)&lt;0),"n.s.",ABS(H214)/ABS(SUMIFS(H$5:H$315,$A$5:$A$315,$A214,$C$5:$C$315,$C214-1,$D$5:$D$315,$D214))-1)))</f>
        <v/>
      </c>
      <c r="S214" s="16">
        <f>IF(OR($A214="",I214="",$C214=""),"",IF(COUNTIFS($A$5:$A$315,$A214,$C$5:$C$315,$C214-1,$D$5:$D$315,$D214,I$5:I$315,"&lt;&gt;")=0,"",IF(OR(SUMIFS(I$5:I$315,$A$5:$A$315,$A214,$C$5:$C$315,$C214-1,$D$5:$D$315,$D214)=0,I214*SUMIFS(I$5:I$315,$A$5:$A$315,$A214,$C$5:$C$315,$C214-1,$D$5:$D$315,$D214)&lt;0),"n.s.",ABS(I214)/ABS(SUMIFS(I$5:I$315,$A$5:$A$315,$A214,$C$5:$C$315,$C214-1,$D$5:$D$315,$D214))-1)))</f>
        <v/>
      </c>
      <c r="T214" s="16">
        <f>IF(OR($A214="",J214="",$C214=""),"",IF(COUNTIFS($A$5:$A$315,$A214,$C$5:$C$315,$C214-1,$D$5:$D$315,$D214,J$5:J$315,"&lt;&gt;")=0,"",IF(OR(SUMIFS(J$5:J$315,$A$5:$A$315,$A214,$C$5:$C$315,$C214-1,$D$5:$D$315,$D214)=0,J214*SUMIFS(J$5:J$315,$A$5:$A$315,$A214,$C$5:$C$315,$C214-1,$D$5:$D$315,$D214)&lt;0),"n.s.",ABS(J214)/ABS(SUMIFS(J$5:J$315,$A$5:$A$315,$A214,$C$5:$C$315,$C214-1,$D$5:$D$315,$D214))-1)))</f>
        <v/>
      </c>
      <c r="U214" s="16">
        <f>IF(OR($A214="",K214="",$C214=""),"",IF(COUNTIFS($A$5:$A$315,$A214,$C$5:$C$315,$C214-1,$D$5:$D$315,$D214,K$5:K$315,"&lt;&gt;")=0,"",IF(OR(SUMIFS(K$5:K$315,$A$5:$A$315,$A214,$C$5:$C$315,$C214-1,$D$5:$D$315,$D214)=0,K214*SUMIFS(K$5:K$315,$A$5:$A$315,$A214,$C$5:$C$315,$C214-1,$D$5:$D$315,$D214)&lt;0),"n.s.",ABS(K214)/ABS(SUMIFS(K$5:K$315,$A$5:$A$315,$A214,$C$5:$C$315,$C214-1,$D$5:$D$315,$D214))-1)))</f>
        <v/>
      </c>
      <c r="V214" s="16">
        <f>IF(OR($A214="",L214="",$C214=""),"",IF(COUNTIFS($A$5:$A$315,$A214,$C$5:$C$315,$C214-1,$D$5:$D$315,$D214,L$5:L$315,"&lt;&gt;")=0,"",IF(OR(SUMIFS(L$5:L$315,$A$5:$A$315,$A214,$C$5:$C$315,$C214-1,$D$5:$D$315,$D214)=0,L214*SUMIFS(L$5:L$315,$A$5:$A$315,$A214,$C$5:$C$315,$C214-1,$D$5:$D$315,$D214)&lt;0),"n.s.",ABS(L214)/ABS(SUMIFS(L$5:L$315,$A$5:$A$315,$A214,$C$5:$C$315,$C214-1,$D$5:$D$315,$D214))-1)))</f>
        <v/>
      </c>
      <c r="W214" s="16">
        <f>IF(OR($A214="",M214="",$C214=""),"",IF(COUNTIFS($A$5:$A$315,$A214,$C$5:$C$315,$C214-1,$D$5:$D$315,$D214,M$5:M$315,"&lt;&gt;")=0,"",IF(OR(SUMIFS(M$5:M$315,$A$5:$A$315,$A214,$C$5:$C$315,$C214-1,$D$5:$D$315,$D214)=0,M214*SUMIFS(M$5:M$315,$A$5:$A$315,$A214,$C$5:$C$315,$C214-1,$D$5:$D$315,$D214)&lt;0),"n.s.",ABS(M214)/ABS(SUMIFS(M$5:M$315,$A$5:$A$315,$A214,$C$5:$C$315,$C214-1,$D$5:$D$315,$D214))-1)))</f>
        <v/>
      </c>
      <c r="X214" s="16">
        <f>IF(OR($A214="",N214="",$C214=""),"",IF(COUNTIFS($A$5:$A$315,$A214,$C$5:$C$315,$C214-1,$D$5:$D$315,$D214,N$5:N$315,"&lt;&gt;")=0,"",IF(OR(SUMIFS(N$5:N$315,$A$5:$A$315,$A214,$C$5:$C$315,$C214-1,$D$5:$D$315,$D214)=0,N214*SUMIFS(N$5:N$315,$A$5:$A$315,$A214,$C$5:$C$315,$C214-1,$D$5:$D$315,$D214)&lt;0),"n.s.",ABS(N214)/ABS(SUMIFS(N$5:N$315,$A$5:$A$315,$A214,$C$5:$C$315,$C214-1,$D$5:$D$315,$D214))-1)))</f>
        <v/>
      </c>
      <c r="Y214" s="16">
        <f>IF(OR($A214="",O214="",$C214=""),"",IF(COUNTIFS($A$5:$A$315,$A214,$C$5:$C$315,$C214-1,$D$5:$D$315,$D214,O$5:O$315,"&lt;&gt;")=0,"",IF(OR(SUMIFS(O$5:O$315,$A$5:$A$315,$A214,$C$5:$C$315,$C214-1,$D$5:$D$315,$D214)=0,O214*SUMIFS(O$5:O$315,$A$5:$A$315,$A214,$C$5:$C$315,$C214-1,$D$5:$D$315,$D214)&lt;0),"n.s.",ABS(O214)/ABS(SUMIFS(O$5:O$315,$A$5:$A$315,$A214,$C$5:$C$315,$C214-1,$D$5:$D$315,$D214))-1)))</f>
        <v/>
      </c>
    </row>
    <row r="215">
      <c r="A215" s="9" t="inlineStr">
        <is>
          <t>NSBC</t>
        </is>
      </c>
      <c r="B215" s="10">
        <f>IF(A215="","",IFERROR(VLOOKUP(A215,Titres!$A$2:$B$400,2,FALSE),"Ticker inconnu"))</f>
        <v/>
      </c>
      <c r="C215" s="11" t="n">
        <v>2025</v>
      </c>
      <c r="D215" s="11" t="inlineStr">
        <is>
          <t>T1</t>
        </is>
      </c>
      <c r="E215" s="9" t="inlineStr">
        <is>
          <t>Publié</t>
        </is>
      </c>
      <c r="F215" s="12" t="n">
        <v>46142</v>
      </c>
      <c r="G215" s="9" t="inlineStr">
        <is>
          <t>https://www.richbourse.com/common/actualite/afficher-fichier/30-04-2026-nsia-banque-ci-rapport-dactivites-1er-trimestre-2026 (comparatif N-1)</t>
        </is>
      </c>
      <c r="H215" s="13" t="n">
        <v>22402</v>
      </c>
      <c r="I215" s="13" t="n"/>
      <c r="J215" s="13" t="n"/>
      <c r="K215" s="13" t="n"/>
      <c r="L215" s="13" t="n">
        <v>7940</v>
      </c>
      <c r="M215" s="13" t="n">
        <v>7138</v>
      </c>
      <c r="N215" s="13" t="n">
        <v>1573747</v>
      </c>
      <c r="O215" s="13" t="n">
        <v>1782582</v>
      </c>
      <c r="P215" s="14">
        <f>IF(A215="","",COUNT(H215:O215)/8)</f>
        <v/>
      </c>
      <c r="Q215" s="15">
        <f>IF(COUNT(H215:O215)=0,"",IF(LEN(IF(COUNT(H215,I215,J215)=3,IF(ABS(H215+I215-J215)&lt;=MAX(1,0.02*ABS(J215)),"","RBE &lt;&gt; PNB + frais "),"")&amp;IF(COUNT(J215,K215,L215)=3,IF(ABS(J215+K215-L215)&lt;=MAX(1,0.03*ABS(L215)),"","RAI &lt;&gt; RBE + coût du risque "),"")&amp;IF(COUNT(H215,M215)=2,IF(ABS(M215)&gt;ABS(H215),"RN &gt; PNB ",""),""))=0,"OK",IF(COUNT(H215,I215,J215)=3,IF(ABS(H215+I215-J215)&lt;=MAX(1,0.02*ABS(J215)),"","RBE &lt;&gt; PNB + frais "),"")&amp;IF(COUNT(J215,K215,L215)=3,IF(ABS(J215+K215-L215)&lt;=MAX(1,0.03*ABS(L215)),"","RAI &lt;&gt; RBE + coût du risque "),"")&amp;IF(COUNT(H215,M215)=2,IF(ABS(M215)&gt;ABS(H215),"RN &gt; PNB ",""),"")))</f>
        <v/>
      </c>
      <c r="R215" s="16">
        <f>IF(OR($A215="",H215="",$C215=""),"",IF(COUNTIFS($A$5:$A$315,$A215,$C$5:$C$315,$C215-1,$D$5:$D$315,$D215,H$5:H$315,"&lt;&gt;")=0,"",IF(OR(SUMIFS(H$5:H$315,$A$5:$A$315,$A215,$C$5:$C$315,$C215-1,$D$5:$D$315,$D215)=0,H215*SUMIFS(H$5:H$315,$A$5:$A$315,$A215,$C$5:$C$315,$C215-1,$D$5:$D$315,$D215)&lt;0),"n.s.",ABS(H215)/ABS(SUMIFS(H$5:H$315,$A$5:$A$315,$A215,$C$5:$C$315,$C215-1,$D$5:$D$315,$D215))-1)))</f>
        <v/>
      </c>
      <c r="S215" s="16">
        <f>IF(OR($A215="",I215="",$C215=""),"",IF(COUNTIFS($A$5:$A$315,$A215,$C$5:$C$315,$C215-1,$D$5:$D$315,$D215,I$5:I$315,"&lt;&gt;")=0,"",IF(OR(SUMIFS(I$5:I$315,$A$5:$A$315,$A215,$C$5:$C$315,$C215-1,$D$5:$D$315,$D215)=0,I215*SUMIFS(I$5:I$315,$A$5:$A$315,$A215,$C$5:$C$315,$C215-1,$D$5:$D$315,$D215)&lt;0),"n.s.",ABS(I215)/ABS(SUMIFS(I$5:I$315,$A$5:$A$315,$A215,$C$5:$C$315,$C215-1,$D$5:$D$315,$D215))-1)))</f>
        <v/>
      </c>
      <c r="T215" s="16">
        <f>IF(OR($A215="",J215="",$C215=""),"",IF(COUNTIFS($A$5:$A$315,$A215,$C$5:$C$315,$C215-1,$D$5:$D$315,$D215,J$5:J$315,"&lt;&gt;")=0,"",IF(OR(SUMIFS(J$5:J$315,$A$5:$A$315,$A215,$C$5:$C$315,$C215-1,$D$5:$D$315,$D215)=0,J215*SUMIFS(J$5:J$315,$A$5:$A$315,$A215,$C$5:$C$315,$C215-1,$D$5:$D$315,$D215)&lt;0),"n.s.",ABS(J215)/ABS(SUMIFS(J$5:J$315,$A$5:$A$315,$A215,$C$5:$C$315,$C215-1,$D$5:$D$315,$D215))-1)))</f>
        <v/>
      </c>
      <c r="U215" s="16">
        <f>IF(OR($A215="",K215="",$C215=""),"",IF(COUNTIFS($A$5:$A$315,$A215,$C$5:$C$315,$C215-1,$D$5:$D$315,$D215,K$5:K$315,"&lt;&gt;")=0,"",IF(OR(SUMIFS(K$5:K$315,$A$5:$A$315,$A215,$C$5:$C$315,$C215-1,$D$5:$D$315,$D215)=0,K215*SUMIFS(K$5:K$315,$A$5:$A$315,$A215,$C$5:$C$315,$C215-1,$D$5:$D$315,$D215)&lt;0),"n.s.",ABS(K215)/ABS(SUMIFS(K$5:K$315,$A$5:$A$315,$A215,$C$5:$C$315,$C215-1,$D$5:$D$315,$D215))-1)))</f>
        <v/>
      </c>
      <c r="V215" s="16">
        <f>IF(OR($A215="",L215="",$C215=""),"",IF(COUNTIFS($A$5:$A$315,$A215,$C$5:$C$315,$C215-1,$D$5:$D$315,$D215,L$5:L$315,"&lt;&gt;")=0,"",IF(OR(SUMIFS(L$5:L$315,$A$5:$A$315,$A215,$C$5:$C$315,$C215-1,$D$5:$D$315,$D215)=0,L215*SUMIFS(L$5:L$315,$A$5:$A$315,$A215,$C$5:$C$315,$C215-1,$D$5:$D$315,$D215)&lt;0),"n.s.",ABS(L215)/ABS(SUMIFS(L$5:L$315,$A$5:$A$315,$A215,$C$5:$C$315,$C215-1,$D$5:$D$315,$D215))-1)))</f>
        <v/>
      </c>
      <c r="W215" s="16">
        <f>IF(OR($A215="",M215="",$C215=""),"",IF(COUNTIFS($A$5:$A$315,$A215,$C$5:$C$315,$C215-1,$D$5:$D$315,$D215,M$5:M$315,"&lt;&gt;")=0,"",IF(OR(SUMIFS(M$5:M$315,$A$5:$A$315,$A215,$C$5:$C$315,$C215-1,$D$5:$D$315,$D215)=0,M215*SUMIFS(M$5:M$315,$A$5:$A$315,$A215,$C$5:$C$315,$C215-1,$D$5:$D$315,$D215)&lt;0),"n.s.",ABS(M215)/ABS(SUMIFS(M$5:M$315,$A$5:$A$315,$A215,$C$5:$C$315,$C215-1,$D$5:$D$315,$D215))-1)))</f>
        <v/>
      </c>
      <c r="X215" s="16">
        <f>IF(OR($A215="",N215="",$C215=""),"",IF(COUNTIFS($A$5:$A$315,$A215,$C$5:$C$315,$C215-1,$D$5:$D$315,$D215,N$5:N$315,"&lt;&gt;")=0,"",IF(OR(SUMIFS(N$5:N$315,$A$5:$A$315,$A215,$C$5:$C$315,$C215-1,$D$5:$D$315,$D215)=0,N215*SUMIFS(N$5:N$315,$A$5:$A$315,$A215,$C$5:$C$315,$C215-1,$D$5:$D$315,$D215)&lt;0),"n.s.",ABS(N215)/ABS(SUMIFS(N$5:N$315,$A$5:$A$315,$A215,$C$5:$C$315,$C215-1,$D$5:$D$315,$D215))-1)))</f>
        <v/>
      </c>
      <c r="Y215" s="16">
        <f>IF(OR($A215="",O215="",$C215=""),"",IF(COUNTIFS($A$5:$A$315,$A215,$C$5:$C$315,$C215-1,$D$5:$D$315,$D215,O$5:O$315,"&lt;&gt;")=0,"",IF(OR(SUMIFS(O$5:O$315,$A$5:$A$315,$A215,$C$5:$C$315,$C215-1,$D$5:$D$315,$D215)=0,O215*SUMIFS(O$5:O$315,$A$5:$A$315,$A215,$C$5:$C$315,$C215-1,$D$5:$D$315,$D215)&lt;0),"n.s.",ABS(O215)/ABS(SUMIFS(O$5:O$315,$A$5:$A$315,$A215,$C$5:$C$315,$C215-1,$D$5:$D$315,$D215))-1)))</f>
        <v/>
      </c>
    </row>
    <row r="216">
      <c r="A216" s="9" t="inlineStr">
        <is>
          <t>NSBC</t>
        </is>
      </c>
      <c r="B216" s="10">
        <f>IF(A216="","",IFERROR(VLOOKUP(A216,Titres!$A$2:$B$400,2,FALSE),"Ticker inconnu"))</f>
        <v/>
      </c>
      <c r="C216" s="11" t="n">
        <v>2025</v>
      </c>
      <c r="D216" s="11" t="inlineStr">
        <is>
          <t>S1</t>
        </is>
      </c>
      <c r="E216" s="9" t="n"/>
      <c r="F216" s="12" t="n"/>
      <c r="G216" s="9" t="n"/>
      <c r="H216" s="13" t="n"/>
      <c r="I216" s="13" t="n"/>
      <c r="J216" s="13" t="n"/>
      <c r="K216" s="13" t="n"/>
      <c r="L216" s="13" t="n"/>
      <c r="M216" s="13" t="n"/>
      <c r="N216" s="13" t="n"/>
      <c r="O216" s="13" t="n"/>
      <c r="P216" s="14">
        <f>IF(A216="","",COUNT(H216:O216)/8)</f>
        <v/>
      </c>
      <c r="Q216" s="15">
        <f>IF(COUNT(H216:O216)=0,"",IF(LEN(IF(COUNT(H216,I216,J216)=3,IF(ABS(H216+I216-J216)&lt;=MAX(1,0.02*ABS(J216)),"","RBE &lt;&gt; PNB + frais "),"")&amp;IF(COUNT(J216,K216,L216)=3,IF(ABS(J216+K216-L216)&lt;=MAX(1,0.03*ABS(L216)),"","RAI &lt;&gt; RBE + coût du risque "),"")&amp;IF(COUNT(H216,M216)=2,IF(ABS(M216)&gt;ABS(H216),"RN &gt; PNB ",""),""))=0,"OK",IF(COUNT(H216,I216,J216)=3,IF(ABS(H216+I216-J216)&lt;=MAX(1,0.02*ABS(J216)),"","RBE &lt;&gt; PNB + frais "),"")&amp;IF(COUNT(J216,K216,L216)=3,IF(ABS(J216+K216-L216)&lt;=MAX(1,0.03*ABS(L216)),"","RAI &lt;&gt; RBE + coût du risque "),"")&amp;IF(COUNT(H216,M216)=2,IF(ABS(M216)&gt;ABS(H216),"RN &gt; PNB ",""),"")))</f>
        <v/>
      </c>
      <c r="R216" s="16">
        <f>IF(OR($A216="",H216="",$C216=""),"",IF(COUNTIFS($A$5:$A$315,$A216,$C$5:$C$315,$C216-1,$D$5:$D$315,$D216,H$5:H$315,"&lt;&gt;")=0,"",IF(OR(SUMIFS(H$5:H$315,$A$5:$A$315,$A216,$C$5:$C$315,$C216-1,$D$5:$D$315,$D216)=0,H216*SUMIFS(H$5:H$315,$A$5:$A$315,$A216,$C$5:$C$315,$C216-1,$D$5:$D$315,$D216)&lt;0),"n.s.",ABS(H216)/ABS(SUMIFS(H$5:H$315,$A$5:$A$315,$A216,$C$5:$C$315,$C216-1,$D$5:$D$315,$D216))-1)))</f>
        <v/>
      </c>
      <c r="S216" s="16">
        <f>IF(OR($A216="",I216="",$C216=""),"",IF(COUNTIFS($A$5:$A$315,$A216,$C$5:$C$315,$C216-1,$D$5:$D$315,$D216,I$5:I$315,"&lt;&gt;")=0,"",IF(OR(SUMIFS(I$5:I$315,$A$5:$A$315,$A216,$C$5:$C$315,$C216-1,$D$5:$D$315,$D216)=0,I216*SUMIFS(I$5:I$315,$A$5:$A$315,$A216,$C$5:$C$315,$C216-1,$D$5:$D$315,$D216)&lt;0),"n.s.",ABS(I216)/ABS(SUMIFS(I$5:I$315,$A$5:$A$315,$A216,$C$5:$C$315,$C216-1,$D$5:$D$315,$D216))-1)))</f>
        <v/>
      </c>
      <c r="T216" s="16">
        <f>IF(OR($A216="",J216="",$C216=""),"",IF(COUNTIFS($A$5:$A$315,$A216,$C$5:$C$315,$C216-1,$D$5:$D$315,$D216,J$5:J$315,"&lt;&gt;")=0,"",IF(OR(SUMIFS(J$5:J$315,$A$5:$A$315,$A216,$C$5:$C$315,$C216-1,$D$5:$D$315,$D216)=0,J216*SUMIFS(J$5:J$315,$A$5:$A$315,$A216,$C$5:$C$315,$C216-1,$D$5:$D$315,$D216)&lt;0),"n.s.",ABS(J216)/ABS(SUMIFS(J$5:J$315,$A$5:$A$315,$A216,$C$5:$C$315,$C216-1,$D$5:$D$315,$D216))-1)))</f>
        <v/>
      </c>
      <c r="U216" s="16">
        <f>IF(OR($A216="",K216="",$C216=""),"",IF(COUNTIFS($A$5:$A$315,$A216,$C$5:$C$315,$C216-1,$D$5:$D$315,$D216,K$5:K$315,"&lt;&gt;")=0,"",IF(OR(SUMIFS(K$5:K$315,$A$5:$A$315,$A216,$C$5:$C$315,$C216-1,$D$5:$D$315,$D216)=0,K216*SUMIFS(K$5:K$315,$A$5:$A$315,$A216,$C$5:$C$315,$C216-1,$D$5:$D$315,$D216)&lt;0),"n.s.",ABS(K216)/ABS(SUMIFS(K$5:K$315,$A$5:$A$315,$A216,$C$5:$C$315,$C216-1,$D$5:$D$315,$D216))-1)))</f>
        <v/>
      </c>
      <c r="V216" s="16">
        <f>IF(OR($A216="",L216="",$C216=""),"",IF(COUNTIFS($A$5:$A$315,$A216,$C$5:$C$315,$C216-1,$D$5:$D$315,$D216,L$5:L$315,"&lt;&gt;")=0,"",IF(OR(SUMIFS(L$5:L$315,$A$5:$A$315,$A216,$C$5:$C$315,$C216-1,$D$5:$D$315,$D216)=0,L216*SUMIFS(L$5:L$315,$A$5:$A$315,$A216,$C$5:$C$315,$C216-1,$D$5:$D$315,$D216)&lt;0),"n.s.",ABS(L216)/ABS(SUMIFS(L$5:L$315,$A$5:$A$315,$A216,$C$5:$C$315,$C216-1,$D$5:$D$315,$D216))-1)))</f>
        <v/>
      </c>
      <c r="W216" s="16">
        <f>IF(OR($A216="",M216="",$C216=""),"",IF(COUNTIFS($A$5:$A$315,$A216,$C$5:$C$315,$C216-1,$D$5:$D$315,$D216,M$5:M$315,"&lt;&gt;")=0,"",IF(OR(SUMIFS(M$5:M$315,$A$5:$A$315,$A216,$C$5:$C$315,$C216-1,$D$5:$D$315,$D216)=0,M216*SUMIFS(M$5:M$315,$A$5:$A$315,$A216,$C$5:$C$315,$C216-1,$D$5:$D$315,$D216)&lt;0),"n.s.",ABS(M216)/ABS(SUMIFS(M$5:M$315,$A$5:$A$315,$A216,$C$5:$C$315,$C216-1,$D$5:$D$315,$D216))-1)))</f>
        <v/>
      </c>
      <c r="X216" s="16">
        <f>IF(OR($A216="",N216="",$C216=""),"",IF(COUNTIFS($A$5:$A$315,$A216,$C$5:$C$315,$C216-1,$D$5:$D$315,$D216,N$5:N$315,"&lt;&gt;")=0,"",IF(OR(SUMIFS(N$5:N$315,$A$5:$A$315,$A216,$C$5:$C$315,$C216-1,$D$5:$D$315,$D216)=0,N216*SUMIFS(N$5:N$315,$A$5:$A$315,$A216,$C$5:$C$315,$C216-1,$D$5:$D$315,$D216)&lt;0),"n.s.",ABS(N216)/ABS(SUMIFS(N$5:N$315,$A$5:$A$315,$A216,$C$5:$C$315,$C216-1,$D$5:$D$315,$D216))-1)))</f>
        <v/>
      </c>
      <c r="Y216" s="16">
        <f>IF(OR($A216="",O216="",$C216=""),"",IF(COUNTIFS($A$5:$A$315,$A216,$C$5:$C$315,$C216-1,$D$5:$D$315,$D216,O$5:O$315,"&lt;&gt;")=0,"",IF(OR(SUMIFS(O$5:O$315,$A$5:$A$315,$A216,$C$5:$C$315,$C216-1,$D$5:$D$315,$D216)=0,O216*SUMIFS(O$5:O$315,$A$5:$A$315,$A216,$C$5:$C$315,$C216-1,$D$5:$D$315,$D216)&lt;0),"n.s.",ABS(O216)/ABS(SUMIFS(O$5:O$315,$A$5:$A$315,$A216,$C$5:$C$315,$C216-1,$D$5:$D$315,$D216))-1)))</f>
        <v/>
      </c>
    </row>
    <row r="217">
      <c r="A217" s="9" t="inlineStr">
        <is>
          <t>NSBC</t>
        </is>
      </c>
      <c r="B217" s="10">
        <f>IF(A217="","",IFERROR(VLOOKUP(A217,Titres!$A$2:$B$400,2,FALSE),"Ticker inconnu"))</f>
        <v/>
      </c>
      <c r="C217" s="11" t="n">
        <v>2025</v>
      </c>
      <c r="D217" s="11" t="inlineStr">
        <is>
          <t>T3</t>
        </is>
      </c>
      <c r="E217" s="9" t="n"/>
      <c r="F217" s="12" t="n"/>
      <c r="G217" s="9" t="n"/>
      <c r="H217" s="13" t="n"/>
      <c r="I217" s="13" t="n"/>
      <c r="J217" s="13" t="n"/>
      <c r="K217" s="13" t="n"/>
      <c r="L217" s="13" t="n"/>
      <c r="M217" s="13" t="n"/>
      <c r="N217" s="13" t="n"/>
      <c r="O217" s="13" t="n"/>
      <c r="P217" s="14">
        <f>IF(A217="","",COUNT(H217:O217)/8)</f>
        <v/>
      </c>
      <c r="Q217" s="15">
        <f>IF(COUNT(H217:O217)=0,"",IF(LEN(IF(COUNT(H217,I217,J217)=3,IF(ABS(H217+I217-J217)&lt;=MAX(1,0.02*ABS(J217)),"","RBE &lt;&gt; PNB + frais "),"")&amp;IF(COUNT(J217,K217,L217)=3,IF(ABS(J217+K217-L217)&lt;=MAX(1,0.03*ABS(L217)),"","RAI &lt;&gt; RBE + coût du risque "),"")&amp;IF(COUNT(H217,M217)=2,IF(ABS(M217)&gt;ABS(H217),"RN &gt; PNB ",""),""))=0,"OK",IF(COUNT(H217,I217,J217)=3,IF(ABS(H217+I217-J217)&lt;=MAX(1,0.02*ABS(J217)),"","RBE &lt;&gt; PNB + frais "),"")&amp;IF(COUNT(J217,K217,L217)=3,IF(ABS(J217+K217-L217)&lt;=MAX(1,0.03*ABS(L217)),"","RAI &lt;&gt; RBE + coût du risque "),"")&amp;IF(COUNT(H217,M217)=2,IF(ABS(M217)&gt;ABS(H217),"RN &gt; PNB ",""),"")))</f>
        <v/>
      </c>
      <c r="R217" s="16">
        <f>IF(OR($A217="",H217="",$C217=""),"",IF(COUNTIFS($A$5:$A$315,$A217,$C$5:$C$315,$C217-1,$D$5:$D$315,$D217,H$5:H$315,"&lt;&gt;")=0,"",IF(OR(SUMIFS(H$5:H$315,$A$5:$A$315,$A217,$C$5:$C$315,$C217-1,$D$5:$D$315,$D217)=0,H217*SUMIFS(H$5:H$315,$A$5:$A$315,$A217,$C$5:$C$315,$C217-1,$D$5:$D$315,$D217)&lt;0),"n.s.",ABS(H217)/ABS(SUMIFS(H$5:H$315,$A$5:$A$315,$A217,$C$5:$C$315,$C217-1,$D$5:$D$315,$D217))-1)))</f>
        <v/>
      </c>
      <c r="S217" s="16">
        <f>IF(OR($A217="",I217="",$C217=""),"",IF(COUNTIFS($A$5:$A$315,$A217,$C$5:$C$315,$C217-1,$D$5:$D$315,$D217,I$5:I$315,"&lt;&gt;")=0,"",IF(OR(SUMIFS(I$5:I$315,$A$5:$A$315,$A217,$C$5:$C$315,$C217-1,$D$5:$D$315,$D217)=0,I217*SUMIFS(I$5:I$315,$A$5:$A$315,$A217,$C$5:$C$315,$C217-1,$D$5:$D$315,$D217)&lt;0),"n.s.",ABS(I217)/ABS(SUMIFS(I$5:I$315,$A$5:$A$315,$A217,$C$5:$C$315,$C217-1,$D$5:$D$315,$D217))-1)))</f>
        <v/>
      </c>
      <c r="T217" s="16">
        <f>IF(OR($A217="",J217="",$C217=""),"",IF(COUNTIFS($A$5:$A$315,$A217,$C$5:$C$315,$C217-1,$D$5:$D$315,$D217,J$5:J$315,"&lt;&gt;")=0,"",IF(OR(SUMIFS(J$5:J$315,$A$5:$A$315,$A217,$C$5:$C$315,$C217-1,$D$5:$D$315,$D217)=0,J217*SUMIFS(J$5:J$315,$A$5:$A$315,$A217,$C$5:$C$315,$C217-1,$D$5:$D$315,$D217)&lt;0),"n.s.",ABS(J217)/ABS(SUMIFS(J$5:J$315,$A$5:$A$315,$A217,$C$5:$C$315,$C217-1,$D$5:$D$315,$D217))-1)))</f>
        <v/>
      </c>
      <c r="U217" s="16">
        <f>IF(OR($A217="",K217="",$C217=""),"",IF(COUNTIFS($A$5:$A$315,$A217,$C$5:$C$315,$C217-1,$D$5:$D$315,$D217,K$5:K$315,"&lt;&gt;")=0,"",IF(OR(SUMIFS(K$5:K$315,$A$5:$A$315,$A217,$C$5:$C$315,$C217-1,$D$5:$D$315,$D217)=0,K217*SUMIFS(K$5:K$315,$A$5:$A$315,$A217,$C$5:$C$315,$C217-1,$D$5:$D$315,$D217)&lt;0),"n.s.",ABS(K217)/ABS(SUMIFS(K$5:K$315,$A$5:$A$315,$A217,$C$5:$C$315,$C217-1,$D$5:$D$315,$D217))-1)))</f>
        <v/>
      </c>
      <c r="V217" s="16">
        <f>IF(OR($A217="",L217="",$C217=""),"",IF(COUNTIFS($A$5:$A$315,$A217,$C$5:$C$315,$C217-1,$D$5:$D$315,$D217,L$5:L$315,"&lt;&gt;")=0,"",IF(OR(SUMIFS(L$5:L$315,$A$5:$A$315,$A217,$C$5:$C$315,$C217-1,$D$5:$D$315,$D217)=0,L217*SUMIFS(L$5:L$315,$A$5:$A$315,$A217,$C$5:$C$315,$C217-1,$D$5:$D$315,$D217)&lt;0),"n.s.",ABS(L217)/ABS(SUMIFS(L$5:L$315,$A$5:$A$315,$A217,$C$5:$C$315,$C217-1,$D$5:$D$315,$D217))-1)))</f>
        <v/>
      </c>
      <c r="W217" s="16">
        <f>IF(OR($A217="",M217="",$C217=""),"",IF(COUNTIFS($A$5:$A$315,$A217,$C$5:$C$315,$C217-1,$D$5:$D$315,$D217,M$5:M$315,"&lt;&gt;")=0,"",IF(OR(SUMIFS(M$5:M$315,$A$5:$A$315,$A217,$C$5:$C$315,$C217-1,$D$5:$D$315,$D217)=0,M217*SUMIFS(M$5:M$315,$A$5:$A$315,$A217,$C$5:$C$315,$C217-1,$D$5:$D$315,$D217)&lt;0),"n.s.",ABS(M217)/ABS(SUMIFS(M$5:M$315,$A$5:$A$315,$A217,$C$5:$C$315,$C217-1,$D$5:$D$315,$D217))-1)))</f>
        <v/>
      </c>
      <c r="X217" s="16">
        <f>IF(OR($A217="",N217="",$C217=""),"",IF(COUNTIFS($A$5:$A$315,$A217,$C$5:$C$315,$C217-1,$D$5:$D$315,$D217,N$5:N$315,"&lt;&gt;")=0,"",IF(OR(SUMIFS(N$5:N$315,$A$5:$A$315,$A217,$C$5:$C$315,$C217-1,$D$5:$D$315,$D217)=0,N217*SUMIFS(N$5:N$315,$A$5:$A$315,$A217,$C$5:$C$315,$C217-1,$D$5:$D$315,$D217)&lt;0),"n.s.",ABS(N217)/ABS(SUMIFS(N$5:N$315,$A$5:$A$315,$A217,$C$5:$C$315,$C217-1,$D$5:$D$315,$D217))-1)))</f>
        <v/>
      </c>
      <c r="Y217" s="16">
        <f>IF(OR($A217="",O217="",$C217=""),"",IF(COUNTIFS($A$5:$A$315,$A217,$C$5:$C$315,$C217-1,$D$5:$D$315,$D217,O$5:O$315,"&lt;&gt;")=0,"",IF(OR(SUMIFS(O$5:O$315,$A$5:$A$315,$A217,$C$5:$C$315,$C217-1,$D$5:$D$315,$D217)=0,O217*SUMIFS(O$5:O$315,$A$5:$A$315,$A217,$C$5:$C$315,$C217-1,$D$5:$D$315,$D217)&lt;0),"n.s.",ABS(O217)/ABS(SUMIFS(O$5:O$315,$A$5:$A$315,$A217,$C$5:$C$315,$C217-1,$D$5:$D$315,$D217))-1)))</f>
        <v/>
      </c>
    </row>
    <row r="218">
      <c r="A218" s="9" t="inlineStr">
        <is>
          <t>NSBC</t>
        </is>
      </c>
      <c r="B218" s="10">
        <f>IF(A218="","",IFERROR(VLOOKUP(A218,Titres!$A$2:$B$400,2,FALSE),"Ticker inconnu"))</f>
        <v/>
      </c>
      <c r="C218" s="11" t="n">
        <v>2026</v>
      </c>
      <c r="D218" s="11" t="inlineStr">
        <is>
          <t>T1</t>
        </is>
      </c>
      <c r="E218" s="9" t="inlineStr">
        <is>
          <t>Publié</t>
        </is>
      </c>
      <c r="F218" s="12" t="n">
        <v>46142</v>
      </c>
      <c r="G218" s="9" t="inlineStr">
        <is>
          <t>https://www.richbourse.com/common/actualite/afficher-fichier/30-04-2026-nsia-banque-ci-rapport-dactivites-1er-trimestre-2026</t>
        </is>
      </c>
      <c r="H218" s="13" t="n">
        <v>28615</v>
      </c>
      <c r="I218" s="13" t="n"/>
      <c r="J218" s="13" t="n"/>
      <c r="K218" s="13" t="n"/>
      <c r="L218" s="13" t="n">
        <v>11830</v>
      </c>
      <c r="M218" s="13" t="n">
        <v>10912</v>
      </c>
      <c r="N218" s="13" t="n">
        <v>1744337</v>
      </c>
      <c r="O218" s="13" t="n">
        <v>2162760</v>
      </c>
      <c r="P218" s="14">
        <f>IF(A218="","",COUNT(H218:O218)/8)</f>
        <v/>
      </c>
      <c r="Q218" s="15">
        <f>IF(COUNT(H218:O218)=0,"",IF(LEN(IF(COUNT(H218,I218,J218)=3,IF(ABS(H218+I218-J218)&lt;=MAX(1,0.02*ABS(J218)),"","RBE &lt;&gt; PNB + frais "),"")&amp;IF(COUNT(J218,K218,L218)=3,IF(ABS(J218+K218-L218)&lt;=MAX(1,0.03*ABS(L218)),"","RAI &lt;&gt; RBE + coût du risque "),"")&amp;IF(COUNT(H218,M218)=2,IF(ABS(M218)&gt;ABS(H218),"RN &gt; PNB ",""),""))=0,"OK",IF(COUNT(H218,I218,J218)=3,IF(ABS(H218+I218-J218)&lt;=MAX(1,0.02*ABS(J218)),"","RBE &lt;&gt; PNB + frais "),"")&amp;IF(COUNT(J218,K218,L218)=3,IF(ABS(J218+K218-L218)&lt;=MAX(1,0.03*ABS(L218)),"","RAI &lt;&gt; RBE + coût du risque "),"")&amp;IF(COUNT(H218,M218)=2,IF(ABS(M218)&gt;ABS(H218),"RN &gt; PNB ",""),"")))</f>
        <v/>
      </c>
      <c r="R218" s="16">
        <f>IF(OR($A218="",H218="",$C218=""),"",IF(COUNTIFS($A$5:$A$315,$A218,$C$5:$C$315,$C218-1,$D$5:$D$315,$D218,H$5:H$315,"&lt;&gt;")=0,"",IF(OR(SUMIFS(H$5:H$315,$A$5:$A$315,$A218,$C$5:$C$315,$C218-1,$D$5:$D$315,$D218)=0,H218*SUMIFS(H$5:H$315,$A$5:$A$315,$A218,$C$5:$C$315,$C218-1,$D$5:$D$315,$D218)&lt;0),"n.s.",ABS(H218)/ABS(SUMIFS(H$5:H$315,$A$5:$A$315,$A218,$C$5:$C$315,$C218-1,$D$5:$D$315,$D218))-1)))</f>
        <v/>
      </c>
      <c r="S218" s="16">
        <f>IF(OR($A218="",I218="",$C218=""),"",IF(COUNTIFS($A$5:$A$315,$A218,$C$5:$C$315,$C218-1,$D$5:$D$315,$D218,I$5:I$315,"&lt;&gt;")=0,"",IF(OR(SUMIFS(I$5:I$315,$A$5:$A$315,$A218,$C$5:$C$315,$C218-1,$D$5:$D$315,$D218)=0,I218*SUMIFS(I$5:I$315,$A$5:$A$315,$A218,$C$5:$C$315,$C218-1,$D$5:$D$315,$D218)&lt;0),"n.s.",ABS(I218)/ABS(SUMIFS(I$5:I$315,$A$5:$A$315,$A218,$C$5:$C$315,$C218-1,$D$5:$D$315,$D218))-1)))</f>
        <v/>
      </c>
      <c r="T218" s="16">
        <f>IF(OR($A218="",J218="",$C218=""),"",IF(COUNTIFS($A$5:$A$315,$A218,$C$5:$C$315,$C218-1,$D$5:$D$315,$D218,J$5:J$315,"&lt;&gt;")=0,"",IF(OR(SUMIFS(J$5:J$315,$A$5:$A$315,$A218,$C$5:$C$315,$C218-1,$D$5:$D$315,$D218)=0,J218*SUMIFS(J$5:J$315,$A$5:$A$315,$A218,$C$5:$C$315,$C218-1,$D$5:$D$315,$D218)&lt;0),"n.s.",ABS(J218)/ABS(SUMIFS(J$5:J$315,$A$5:$A$315,$A218,$C$5:$C$315,$C218-1,$D$5:$D$315,$D218))-1)))</f>
        <v/>
      </c>
      <c r="U218" s="16">
        <f>IF(OR($A218="",K218="",$C218=""),"",IF(COUNTIFS($A$5:$A$315,$A218,$C$5:$C$315,$C218-1,$D$5:$D$315,$D218,K$5:K$315,"&lt;&gt;")=0,"",IF(OR(SUMIFS(K$5:K$315,$A$5:$A$315,$A218,$C$5:$C$315,$C218-1,$D$5:$D$315,$D218)=0,K218*SUMIFS(K$5:K$315,$A$5:$A$315,$A218,$C$5:$C$315,$C218-1,$D$5:$D$315,$D218)&lt;0),"n.s.",ABS(K218)/ABS(SUMIFS(K$5:K$315,$A$5:$A$315,$A218,$C$5:$C$315,$C218-1,$D$5:$D$315,$D218))-1)))</f>
        <v/>
      </c>
      <c r="V218" s="16">
        <f>IF(OR($A218="",L218="",$C218=""),"",IF(COUNTIFS($A$5:$A$315,$A218,$C$5:$C$315,$C218-1,$D$5:$D$315,$D218,L$5:L$315,"&lt;&gt;")=0,"",IF(OR(SUMIFS(L$5:L$315,$A$5:$A$315,$A218,$C$5:$C$315,$C218-1,$D$5:$D$315,$D218)=0,L218*SUMIFS(L$5:L$315,$A$5:$A$315,$A218,$C$5:$C$315,$C218-1,$D$5:$D$315,$D218)&lt;0),"n.s.",ABS(L218)/ABS(SUMIFS(L$5:L$315,$A$5:$A$315,$A218,$C$5:$C$315,$C218-1,$D$5:$D$315,$D218))-1)))</f>
        <v/>
      </c>
      <c r="W218" s="16">
        <f>IF(OR($A218="",M218="",$C218=""),"",IF(COUNTIFS($A$5:$A$315,$A218,$C$5:$C$315,$C218-1,$D$5:$D$315,$D218,M$5:M$315,"&lt;&gt;")=0,"",IF(OR(SUMIFS(M$5:M$315,$A$5:$A$315,$A218,$C$5:$C$315,$C218-1,$D$5:$D$315,$D218)=0,M218*SUMIFS(M$5:M$315,$A$5:$A$315,$A218,$C$5:$C$315,$C218-1,$D$5:$D$315,$D218)&lt;0),"n.s.",ABS(M218)/ABS(SUMIFS(M$5:M$315,$A$5:$A$315,$A218,$C$5:$C$315,$C218-1,$D$5:$D$315,$D218))-1)))</f>
        <v/>
      </c>
      <c r="X218" s="16">
        <f>IF(OR($A218="",N218="",$C218=""),"",IF(COUNTIFS($A$5:$A$315,$A218,$C$5:$C$315,$C218-1,$D$5:$D$315,$D218,N$5:N$315,"&lt;&gt;")=0,"",IF(OR(SUMIFS(N$5:N$315,$A$5:$A$315,$A218,$C$5:$C$315,$C218-1,$D$5:$D$315,$D218)=0,N218*SUMIFS(N$5:N$315,$A$5:$A$315,$A218,$C$5:$C$315,$C218-1,$D$5:$D$315,$D218)&lt;0),"n.s.",ABS(N218)/ABS(SUMIFS(N$5:N$315,$A$5:$A$315,$A218,$C$5:$C$315,$C218-1,$D$5:$D$315,$D218))-1)))</f>
        <v/>
      </c>
      <c r="Y218" s="16">
        <f>IF(OR($A218="",O218="",$C218=""),"",IF(COUNTIFS($A$5:$A$315,$A218,$C$5:$C$315,$C218-1,$D$5:$D$315,$D218,O$5:O$315,"&lt;&gt;")=0,"",IF(OR(SUMIFS(O$5:O$315,$A$5:$A$315,$A218,$C$5:$C$315,$C218-1,$D$5:$D$315,$D218)=0,O218*SUMIFS(O$5:O$315,$A$5:$A$315,$A218,$C$5:$C$315,$C218-1,$D$5:$D$315,$D218)&lt;0),"n.s.",ABS(O218)/ABS(SUMIFS(O$5:O$315,$A$5:$A$315,$A218,$C$5:$C$315,$C218-1,$D$5:$D$315,$D218))-1)))</f>
        <v/>
      </c>
    </row>
    <row r="219">
      <c r="A219" s="9" t="inlineStr">
        <is>
          <t>NSBC</t>
        </is>
      </c>
      <c r="B219" s="10">
        <f>IF(A219="","",IFERROR(VLOOKUP(A219,Titres!$A$2:$B$400,2,FALSE),"Ticker inconnu"))</f>
        <v/>
      </c>
      <c r="C219" s="11" t="n">
        <v>2026</v>
      </c>
      <c r="D219" s="11" t="inlineStr">
        <is>
          <t>S1</t>
        </is>
      </c>
      <c r="E219" s="9" t="n"/>
      <c r="F219" s="12" t="n"/>
      <c r="G219" s="9" t="n"/>
      <c r="H219" s="13" t="n"/>
      <c r="I219" s="13" t="n"/>
      <c r="J219" s="13" t="n"/>
      <c r="K219" s="13" t="n"/>
      <c r="L219" s="13" t="n"/>
      <c r="M219" s="13" t="n"/>
      <c r="N219" s="13" t="n"/>
      <c r="O219" s="13" t="n"/>
      <c r="P219" s="14">
        <f>IF(A219="","",COUNT(H219:O219)/8)</f>
        <v/>
      </c>
      <c r="Q219" s="15">
        <f>IF(COUNT(H219:O219)=0,"",IF(LEN(IF(COUNT(H219,I219,J219)=3,IF(ABS(H219+I219-J219)&lt;=MAX(1,0.02*ABS(J219)),"","RBE &lt;&gt; PNB + frais "),"")&amp;IF(COUNT(J219,K219,L219)=3,IF(ABS(J219+K219-L219)&lt;=MAX(1,0.03*ABS(L219)),"","RAI &lt;&gt; RBE + coût du risque "),"")&amp;IF(COUNT(H219,M219)=2,IF(ABS(M219)&gt;ABS(H219),"RN &gt; PNB ",""),""))=0,"OK",IF(COUNT(H219,I219,J219)=3,IF(ABS(H219+I219-J219)&lt;=MAX(1,0.02*ABS(J219)),"","RBE &lt;&gt; PNB + frais "),"")&amp;IF(COUNT(J219,K219,L219)=3,IF(ABS(J219+K219-L219)&lt;=MAX(1,0.03*ABS(L219)),"","RAI &lt;&gt; RBE + coût du risque "),"")&amp;IF(COUNT(H219,M219)=2,IF(ABS(M219)&gt;ABS(H219),"RN &gt; PNB ",""),"")))</f>
        <v/>
      </c>
      <c r="R219" s="16">
        <f>IF(OR($A219="",H219="",$C219=""),"",IF(COUNTIFS($A$5:$A$315,$A219,$C$5:$C$315,$C219-1,$D$5:$D$315,$D219,H$5:H$315,"&lt;&gt;")=0,"",IF(OR(SUMIFS(H$5:H$315,$A$5:$A$315,$A219,$C$5:$C$315,$C219-1,$D$5:$D$315,$D219)=0,H219*SUMIFS(H$5:H$315,$A$5:$A$315,$A219,$C$5:$C$315,$C219-1,$D$5:$D$315,$D219)&lt;0),"n.s.",ABS(H219)/ABS(SUMIFS(H$5:H$315,$A$5:$A$315,$A219,$C$5:$C$315,$C219-1,$D$5:$D$315,$D219))-1)))</f>
        <v/>
      </c>
      <c r="S219" s="16">
        <f>IF(OR($A219="",I219="",$C219=""),"",IF(COUNTIFS($A$5:$A$315,$A219,$C$5:$C$315,$C219-1,$D$5:$D$315,$D219,I$5:I$315,"&lt;&gt;")=0,"",IF(OR(SUMIFS(I$5:I$315,$A$5:$A$315,$A219,$C$5:$C$315,$C219-1,$D$5:$D$315,$D219)=0,I219*SUMIFS(I$5:I$315,$A$5:$A$315,$A219,$C$5:$C$315,$C219-1,$D$5:$D$315,$D219)&lt;0),"n.s.",ABS(I219)/ABS(SUMIFS(I$5:I$315,$A$5:$A$315,$A219,$C$5:$C$315,$C219-1,$D$5:$D$315,$D219))-1)))</f>
        <v/>
      </c>
      <c r="T219" s="16">
        <f>IF(OR($A219="",J219="",$C219=""),"",IF(COUNTIFS($A$5:$A$315,$A219,$C$5:$C$315,$C219-1,$D$5:$D$315,$D219,J$5:J$315,"&lt;&gt;")=0,"",IF(OR(SUMIFS(J$5:J$315,$A$5:$A$315,$A219,$C$5:$C$315,$C219-1,$D$5:$D$315,$D219)=0,J219*SUMIFS(J$5:J$315,$A$5:$A$315,$A219,$C$5:$C$315,$C219-1,$D$5:$D$315,$D219)&lt;0),"n.s.",ABS(J219)/ABS(SUMIFS(J$5:J$315,$A$5:$A$315,$A219,$C$5:$C$315,$C219-1,$D$5:$D$315,$D219))-1)))</f>
        <v/>
      </c>
      <c r="U219" s="16">
        <f>IF(OR($A219="",K219="",$C219=""),"",IF(COUNTIFS($A$5:$A$315,$A219,$C$5:$C$315,$C219-1,$D$5:$D$315,$D219,K$5:K$315,"&lt;&gt;")=0,"",IF(OR(SUMIFS(K$5:K$315,$A$5:$A$315,$A219,$C$5:$C$315,$C219-1,$D$5:$D$315,$D219)=0,K219*SUMIFS(K$5:K$315,$A$5:$A$315,$A219,$C$5:$C$315,$C219-1,$D$5:$D$315,$D219)&lt;0),"n.s.",ABS(K219)/ABS(SUMIFS(K$5:K$315,$A$5:$A$315,$A219,$C$5:$C$315,$C219-1,$D$5:$D$315,$D219))-1)))</f>
        <v/>
      </c>
      <c r="V219" s="16">
        <f>IF(OR($A219="",L219="",$C219=""),"",IF(COUNTIFS($A$5:$A$315,$A219,$C$5:$C$315,$C219-1,$D$5:$D$315,$D219,L$5:L$315,"&lt;&gt;")=0,"",IF(OR(SUMIFS(L$5:L$315,$A$5:$A$315,$A219,$C$5:$C$315,$C219-1,$D$5:$D$315,$D219)=0,L219*SUMIFS(L$5:L$315,$A$5:$A$315,$A219,$C$5:$C$315,$C219-1,$D$5:$D$315,$D219)&lt;0),"n.s.",ABS(L219)/ABS(SUMIFS(L$5:L$315,$A$5:$A$315,$A219,$C$5:$C$315,$C219-1,$D$5:$D$315,$D219))-1)))</f>
        <v/>
      </c>
      <c r="W219" s="16">
        <f>IF(OR($A219="",M219="",$C219=""),"",IF(COUNTIFS($A$5:$A$315,$A219,$C$5:$C$315,$C219-1,$D$5:$D$315,$D219,M$5:M$315,"&lt;&gt;")=0,"",IF(OR(SUMIFS(M$5:M$315,$A$5:$A$315,$A219,$C$5:$C$315,$C219-1,$D$5:$D$315,$D219)=0,M219*SUMIFS(M$5:M$315,$A$5:$A$315,$A219,$C$5:$C$315,$C219-1,$D$5:$D$315,$D219)&lt;0),"n.s.",ABS(M219)/ABS(SUMIFS(M$5:M$315,$A$5:$A$315,$A219,$C$5:$C$315,$C219-1,$D$5:$D$315,$D219))-1)))</f>
        <v/>
      </c>
      <c r="X219" s="16">
        <f>IF(OR($A219="",N219="",$C219=""),"",IF(COUNTIFS($A$5:$A$315,$A219,$C$5:$C$315,$C219-1,$D$5:$D$315,$D219,N$5:N$315,"&lt;&gt;")=0,"",IF(OR(SUMIFS(N$5:N$315,$A$5:$A$315,$A219,$C$5:$C$315,$C219-1,$D$5:$D$315,$D219)=0,N219*SUMIFS(N$5:N$315,$A$5:$A$315,$A219,$C$5:$C$315,$C219-1,$D$5:$D$315,$D219)&lt;0),"n.s.",ABS(N219)/ABS(SUMIFS(N$5:N$315,$A$5:$A$315,$A219,$C$5:$C$315,$C219-1,$D$5:$D$315,$D219))-1)))</f>
        <v/>
      </c>
      <c r="Y219" s="16">
        <f>IF(OR($A219="",O219="",$C219=""),"",IF(COUNTIFS($A$5:$A$315,$A219,$C$5:$C$315,$C219-1,$D$5:$D$315,$D219,O$5:O$315,"&lt;&gt;")=0,"",IF(OR(SUMIFS(O$5:O$315,$A$5:$A$315,$A219,$C$5:$C$315,$C219-1,$D$5:$D$315,$D219)=0,O219*SUMIFS(O$5:O$315,$A$5:$A$315,$A219,$C$5:$C$315,$C219-1,$D$5:$D$315,$D219)&lt;0),"n.s.",ABS(O219)/ABS(SUMIFS(O$5:O$315,$A$5:$A$315,$A219,$C$5:$C$315,$C219-1,$D$5:$D$315,$D219))-1)))</f>
        <v/>
      </c>
    </row>
    <row r="220">
      <c r="A220" s="9" t="inlineStr">
        <is>
          <t>NSBC</t>
        </is>
      </c>
      <c r="B220" s="10">
        <f>IF(A220="","",IFERROR(VLOOKUP(A220,Titres!$A$2:$B$400,2,FALSE),"Ticker inconnu"))</f>
        <v/>
      </c>
      <c r="C220" s="11" t="n">
        <v>2026</v>
      </c>
      <c r="D220" s="11" t="inlineStr">
        <is>
          <t>T3</t>
        </is>
      </c>
      <c r="E220" s="9" t="n"/>
      <c r="F220" s="12" t="n"/>
      <c r="G220" s="9" t="n"/>
      <c r="H220" s="13" t="n"/>
      <c r="I220" s="13" t="n"/>
      <c r="J220" s="13" t="n"/>
      <c r="K220" s="13" t="n"/>
      <c r="L220" s="13" t="n"/>
      <c r="M220" s="13" t="n"/>
      <c r="N220" s="13" t="n"/>
      <c r="O220" s="13" t="n"/>
      <c r="P220" s="14">
        <f>IF(A220="","",COUNT(H220:O220)/8)</f>
        <v/>
      </c>
      <c r="Q220" s="15">
        <f>IF(COUNT(H220:O220)=0,"",IF(LEN(IF(COUNT(H220,I220,J220)=3,IF(ABS(H220+I220-J220)&lt;=MAX(1,0.02*ABS(J220)),"","RBE &lt;&gt; PNB + frais "),"")&amp;IF(COUNT(J220,K220,L220)=3,IF(ABS(J220+K220-L220)&lt;=MAX(1,0.03*ABS(L220)),"","RAI &lt;&gt; RBE + coût du risque "),"")&amp;IF(COUNT(H220,M220)=2,IF(ABS(M220)&gt;ABS(H220),"RN &gt; PNB ",""),""))=0,"OK",IF(COUNT(H220,I220,J220)=3,IF(ABS(H220+I220-J220)&lt;=MAX(1,0.02*ABS(J220)),"","RBE &lt;&gt; PNB + frais "),"")&amp;IF(COUNT(J220,K220,L220)=3,IF(ABS(J220+K220-L220)&lt;=MAX(1,0.03*ABS(L220)),"","RAI &lt;&gt; RBE + coût du risque "),"")&amp;IF(COUNT(H220,M220)=2,IF(ABS(M220)&gt;ABS(H220),"RN &gt; PNB ",""),"")))</f>
        <v/>
      </c>
      <c r="R220" s="16">
        <f>IF(OR($A220="",H220="",$C220=""),"",IF(COUNTIFS($A$5:$A$315,$A220,$C$5:$C$315,$C220-1,$D$5:$D$315,$D220,H$5:H$315,"&lt;&gt;")=0,"",IF(OR(SUMIFS(H$5:H$315,$A$5:$A$315,$A220,$C$5:$C$315,$C220-1,$D$5:$D$315,$D220)=0,H220*SUMIFS(H$5:H$315,$A$5:$A$315,$A220,$C$5:$C$315,$C220-1,$D$5:$D$315,$D220)&lt;0),"n.s.",ABS(H220)/ABS(SUMIFS(H$5:H$315,$A$5:$A$315,$A220,$C$5:$C$315,$C220-1,$D$5:$D$315,$D220))-1)))</f>
        <v/>
      </c>
      <c r="S220" s="16">
        <f>IF(OR($A220="",I220="",$C220=""),"",IF(COUNTIFS($A$5:$A$315,$A220,$C$5:$C$315,$C220-1,$D$5:$D$315,$D220,I$5:I$315,"&lt;&gt;")=0,"",IF(OR(SUMIFS(I$5:I$315,$A$5:$A$315,$A220,$C$5:$C$315,$C220-1,$D$5:$D$315,$D220)=0,I220*SUMIFS(I$5:I$315,$A$5:$A$315,$A220,$C$5:$C$315,$C220-1,$D$5:$D$315,$D220)&lt;0),"n.s.",ABS(I220)/ABS(SUMIFS(I$5:I$315,$A$5:$A$315,$A220,$C$5:$C$315,$C220-1,$D$5:$D$315,$D220))-1)))</f>
        <v/>
      </c>
      <c r="T220" s="16">
        <f>IF(OR($A220="",J220="",$C220=""),"",IF(COUNTIFS($A$5:$A$315,$A220,$C$5:$C$315,$C220-1,$D$5:$D$315,$D220,J$5:J$315,"&lt;&gt;")=0,"",IF(OR(SUMIFS(J$5:J$315,$A$5:$A$315,$A220,$C$5:$C$315,$C220-1,$D$5:$D$315,$D220)=0,J220*SUMIFS(J$5:J$315,$A$5:$A$315,$A220,$C$5:$C$315,$C220-1,$D$5:$D$315,$D220)&lt;0),"n.s.",ABS(J220)/ABS(SUMIFS(J$5:J$315,$A$5:$A$315,$A220,$C$5:$C$315,$C220-1,$D$5:$D$315,$D220))-1)))</f>
        <v/>
      </c>
      <c r="U220" s="16">
        <f>IF(OR($A220="",K220="",$C220=""),"",IF(COUNTIFS($A$5:$A$315,$A220,$C$5:$C$315,$C220-1,$D$5:$D$315,$D220,K$5:K$315,"&lt;&gt;")=0,"",IF(OR(SUMIFS(K$5:K$315,$A$5:$A$315,$A220,$C$5:$C$315,$C220-1,$D$5:$D$315,$D220)=0,K220*SUMIFS(K$5:K$315,$A$5:$A$315,$A220,$C$5:$C$315,$C220-1,$D$5:$D$315,$D220)&lt;0),"n.s.",ABS(K220)/ABS(SUMIFS(K$5:K$315,$A$5:$A$315,$A220,$C$5:$C$315,$C220-1,$D$5:$D$315,$D220))-1)))</f>
        <v/>
      </c>
      <c r="V220" s="16">
        <f>IF(OR($A220="",L220="",$C220=""),"",IF(COUNTIFS($A$5:$A$315,$A220,$C$5:$C$315,$C220-1,$D$5:$D$315,$D220,L$5:L$315,"&lt;&gt;")=0,"",IF(OR(SUMIFS(L$5:L$315,$A$5:$A$315,$A220,$C$5:$C$315,$C220-1,$D$5:$D$315,$D220)=0,L220*SUMIFS(L$5:L$315,$A$5:$A$315,$A220,$C$5:$C$315,$C220-1,$D$5:$D$315,$D220)&lt;0),"n.s.",ABS(L220)/ABS(SUMIFS(L$5:L$315,$A$5:$A$315,$A220,$C$5:$C$315,$C220-1,$D$5:$D$315,$D220))-1)))</f>
        <v/>
      </c>
      <c r="W220" s="16">
        <f>IF(OR($A220="",M220="",$C220=""),"",IF(COUNTIFS($A$5:$A$315,$A220,$C$5:$C$315,$C220-1,$D$5:$D$315,$D220,M$5:M$315,"&lt;&gt;")=0,"",IF(OR(SUMIFS(M$5:M$315,$A$5:$A$315,$A220,$C$5:$C$315,$C220-1,$D$5:$D$315,$D220)=0,M220*SUMIFS(M$5:M$315,$A$5:$A$315,$A220,$C$5:$C$315,$C220-1,$D$5:$D$315,$D220)&lt;0),"n.s.",ABS(M220)/ABS(SUMIFS(M$5:M$315,$A$5:$A$315,$A220,$C$5:$C$315,$C220-1,$D$5:$D$315,$D220))-1)))</f>
        <v/>
      </c>
      <c r="X220" s="16">
        <f>IF(OR($A220="",N220="",$C220=""),"",IF(COUNTIFS($A$5:$A$315,$A220,$C$5:$C$315,$C220-1,$D$5:$D$315,$D220,N$5:N$315,"&lt;&gt;")=0,"",IF(OR(SUMIFS(N$5:N$315,$A$5:$A$315,$A220,$C$5:$C$315,$C220-1,$D$5:$D$315,$D220)=0,N220*SUMIFS(N$5:N$315,$A$5:$A$315,$A220,$C$5:$C$315,$C220-1,$D$5:$D$315,$D220)&lt;0),"n.s.",ABS(N220)/ABS(SUMIFS(N$5:N$315,$A$5:$A$315,$A220,$C$5:$C$315,$C220-1,$D$5:$D$315,$D220))-1)))</f>
        <v/>
      </c>
      <c r="Y220" s="16">
        <f>IF(OR($A220="",O220="",$C220=""),"",IF(COUNTIFS($A$5:$A$315,$A220,$C$5:$C$315,$C220-1,$D$5:$D$315,$D220,O$5:O$315,"&lt;&gt;")=0,"",IF(OR(SUMIFS(O$5:O$315,$A$5:$A$315,$A220,$C$5:$C$315,$C220-1,$D$5:$D$315,$D220)=0,O220*SUMIFS(O$5:O$315,$A$5:$A$315,$A220,$C$5:$C$315,$C220-1,$D$5:$D$315,$D220)&lt;0),"n.s.",ABS(O220)/ABS(SUMIFS(O$5:O$315,$A$5:$A$315,$A220,$C$5:$C$315,$C220-1,$D$5:$D$315,$D220))-1)))</f>
        <v/>
      </c>
    </row>
    <row r="221">
      <c r="A221" s="9" t="inlineStr">
        <is>
          <t>SAFC</t>
        </is>
      </c>
      <c r="B221" s="10">
        <f>IF(A221="","",IFERROR(VLOOKUP(A221,Titres!$A$2:$B$400,2,FALSE),"Ticker inconnu"))</f>
        <v/>
      </c>
      <c r="C221" s="11" t="n">
        <v>2021</v>
      </c>
      <c r="D221" s="11" t="inlineStr">
        <is>
          <t>T1</t>
        </is>
      </c>
      <c r="E221" s="9" t="n"/>
      <c r="F221" s="12" t="n"/>
      <c r="G221" s="9" t="n"/>
      <c r="H221" s="13" t="n"/>
      <c r="I221" s="13" t="n"/>
      <c r="J221" s="13" t="n"/>
      <c r="K221" s="13" t="n"/>
      <c r="L221" s="13" t="n"/>
      <c r="M221" s="13" t="n"/>
      <c r="N221" s="13" t="n"/>
      <c r="O221" s="13" t="n"/>
      <c r="P221" s="14">
        <f>IF(A221="","",COUNT(H221:O221)/8)</f>
        <v/>
      </c>
      <c r="Q221" s="15">
        <f>IF(COUNT(H221:O221)=0,"",IF(LEN(IF(COUNT(H221,I221,J221)=3,IF(ABS(H221+I221-J221)&lt;=MAX(1,0.02*ABS(J221)),"","RBE &lt;&gt; PNB + frais "),"")&amp;IF(COUNT(J221,K221,L221)=3,IF(ABS(J221+K221-L221)&lt;=MAX(1,0.03*ABS(L221)),"","RAI &lt;&gt; RBE + coût du risque "),"")&amp;IF(COUNT(H221,M221)=2,IF(ABS(M221)&gt;ABS(H221),"RN &gt; PNB ",""),""))=0,"OK",IF(COUNT(H221,I221,J221)=3,IF(ABS(H221+I221-J221)&lt;=MAX(1,0.02*ABS(J221)),"","RBE &lt;&gt; PNB + frais "),"")&amp;IF(COUNT(J221,K221,L221)=3,IF(ABS(J221+K221-L221)&lt;=MAX(1,0.03*ABS(L221)),"","RAI &lt;&gt; RBE + coût du risque "),"")&amp;IF(COUNT(H221,M221)=2,IF(ABS(M221)&gt;ABS(H221),"RN &gt; PNB ",""),"")))</f>
        <v/>
      </c>
      <c r="R221" s="16">
        <f>IF(OR($A221="",H221="",$C221=""),"",IF(COUNTIFS($A$5:$A$315,$A221,$C$5:$C$315,$C221-1,$D$5:$D$315,$D221,H$5:H$315,"&lt;&gt;")=0,"",IF(OR(SUMIFS(H$5:H$315,$A$5:$A$315,$A221,$C$5:$C$315,$C221-1,$D$5:$D$315,$D221)=0,H221*SUMIFS(H$5:H$315,$A$5:$A$315,$A221,$C$5:$C$315,$C221-1,$D$5:$D$315,$D221)&lt;0),"n.s.",ABS(H221)/ABS(SUMIFS(H$5:H$315,$A$5:$A$315,$A221,$C$5:$C$315,$C221-1,$D$5:$D$315,$D221))-1)))</f>
        <v/>
      </c>
      <c r="S221" s="16">
        <f>IF(OR($A221="",I221="",$C221=""),"",IF(COUNTIFS($A$5:$A$315,$A221,$C$5:$C$315,$C221-1,$D$5:$D$315,$D221,I$5:I$315,"&lt;&gt;")=0,"",IF(OR(SUMIFS(I$5:I$315,$A$5:$A$315,$A221,$C$5:$C$315,$C221-1,$D$5:$D$315,$D221)=0,I221*SUMIFS(I$5:I$315,$A$5:$A$315,$A221,$C$5:$C$315,$C221-1,$D$5:$D$315,$D221)&lt;0),"n.s.",ABS(I221)/ABS(SUMIFS(I$5:I$315,$A$5:$A$315,$A221,$C$5:$C$315,$C221-1,$D$5:$D$315,$D221))-1)))</f>
        <v/>
      </c>
      <c r="T221" s="16">
        <f>IF(OR($A221="",J221="",$C221=""),"",IF(COUNTIFS($A$5:$A$315,$A221,$C$5:$C$315,$C221-1,$D$5:$D$315,$D221,J$5:J$315,"&lt;&gt;")=0,"",IF(OR(SUMIFS(J$5:J$315,$A$5:$A$315,$A221,$C$5:$C$315,$C221-1,$D$5:$D$315,$D221)=0,J221*SUMIFS(J$5:J$315,$A$5:$A$315,$A221,$C$5:$C$315,$C221-1,$D$5:$D$315,$D221)&lt;0),"n.s.",ABS(J221)/ABS(SUMIFS(J$5:J$315,$A$5:$A$315,$A221,$C$5:$C$315,$C221-1,$D$5:$D$315,$D221))-1)))</f>
        <v/>
      </c>
      <c r="U221" s="16">
        <f>IF(OR($A221="",K221="",$C221=""),"",IF(COUNTIFS($A$5:$A$315,$A221,$C$5:$C$315,$C221-1,$D$5:$D$315,$D221,K$5:K$315,"&lt;&gt;")=0,"",IF(OR(SUMIFS(K$5:K$315,$A$5:$A$315,$A221,$C$5:$C$315,$C221-1,$D$5:$D$315,$D221)=0,K221*SUMIFS(K$5:K$315,$A$5:$A$315,$A221,$C$5:$C$315,$C221-1,$D$5:$D$315,$D221)&lt;0),"n.s.",ABS(K221)/ABS(SUMIFS(K$5:K$315,$A$5:$A$315,$A221,$C$5:$C$315,$C221-1,$D$5:$D$315,$D221))-1)))</f>
        <v/>
      </c>
      <c r="V221" s="16">
        <f>IF(OR($A221="",L221="",$C221=""),"",IF(COUNTIFS($A$5:$A$315,$A221,$C$5:$C$315,$C221-1,$D$5:$D$315,$D221,L$5:L$315,"&lt;&gt;")=0,"",IF(OR(SUMIFS(L$5:L$315,$A$5:$A$315,$A221,$C$5:$C$315,$C221-1,$D$5:$D$315,$D221)=0,L221*SUMIFS(L$5:L$315,$A$5:$A$315,$A221,$C$5:$C$315,$C221-1,$D$5:$D$315,$D221)&lt;0),"n.s.",ABS(L221)/ABS(SUMIFS(L$5:L$315,$A$5:$A$315,$A221,$C$5:$C$315,$C221-1,$D$5:$D$315,$D221))-1)))</f>
        <v/>
      </c>
      <c r="W221" s="16">
        <f>IF(OR($A221="",M221="",$C221=""),"",IF(COUNTIFS($A$5:$A$315,$A221,$C$5:$C$315,$C221-1,$D$5:$D$315,$D221,M$5:M$315,"&lt;&gt;")=0,"",IF(OR(SUMIFS(M$5:M$315,$A$5:$A$315,$A221,$C$5:$C$315,$C221-1,$D$5:$D$315,$D221)=0,M221*SUMIFS(M$5:M$315,$A$5:$A$315,$A221,$C$5:$C$315,$C221-1,$D$5:$D$315,$D221)&lt;0),"n.s.",ABS(M221)/ABS(SUMIFS(M$5:M$315,$A$5:$A$315,$A221,$C$5:$C$315,$C221-1,$D$5:$D$315,$D221))-1)))</f>
        <v/>
      </c>
      <c r="X221" s="16">
        <f>IF(OR($A221="",N221="",$C221=""),"",IF(COUNTIFS($A$5:$A$315,$A221,$C$5:$C$315,$C221-1,$D$5:$D$315,$D221,N$5:N$315,"&lt;&gt;")=0,"",IF(OR(SUMIFS(N$5:N$315,$A$5:$A$315,$A221,$C$5:$C$315,$C221-1,$D$5:$D$315,$D221)=0,N221*SUMIFS(N$5:N$315,$A$5:$A$315,$A221,$C$5:$C$315,$C221-1,$D$5:$D$315,$D221)&lt;0),"n.s.",ABS(N221)/ABS(SUMIFS(N$5:N$315,$A$5:$A$315,$A221,$C$5:$C$315,$C221-1,$D$5:$D$315,$D221))-1)))</f>
        <v/>
      </c>
      <c r="Y221" s="16">
        <f>IF(OR($A221="",O221="",$C221=""),"",IF(COUNTIFS($A$5:$A$315,$A221,$C$5:$C$315,$C221-1,$D$5:$D$315,$D221,O$5:O$315,"&lt;&gt;")=0,"",IF(OR(SUMIFS(O$5:O$315,$A$5:$A$315,$A221,$C$5:$C$315,$C221-1,$D$5:$D$315,$D221)=0,O221*SUMIFS(O$5:O$315,$A$5:$A$315,$A221,$C$5:$C$315,$C221-1,$D$5:$D$315,$D221)&lt;0),"n.s.",ABS(O221)/ABS(SUMIFS(O$5:O$315,$A$5:$A$315,$A221,$C$5:$C$315,$C221-1,$D$5:$D$315,$D221))-1)))</f>
        <v/>
      </c>
    </row>
    <row r="222">
      <c r="A222" s="9" t="inlineStr">
        <is>
          <t>SAFC</t>
        </is>
      </c>
      <c r="B222" s="10">
        <f>IF(A222="","",IFERROR(VLOOKUP(A222,Titres!$A$2:$B$400,2,FALSE),"Ticker inconnu"))</f>
        <v/>
      </c>
      <c r="C222" s="11" t="n">
        <v>2021</v>
      </c>
      <c r="D222" s="11" t="inlineStr">
        <is>
          <t>S1</t>
        </is>
      </c>
      <c r="E222" s="9" t="n"/>
      <c r="F222" s="12" t="n"/>
      <c r="G222" s="9" t="n"/>
      <c r="H222" s="13" t="n"/>
      <c r="I222" s="13" t="n"/>
      <c r="J222" s="13" t="n"/>
      <c r="K222" s="13" t="n"/>
      <c r="L222" s="13" t="n"/>
      <c r="M222" s="13" t="n"/>
      <c r="N222" s="13" t="n"/>
      <c r="O222" s="13" t="n"/>
      <c r="P222" s="14">
        <f>IF(A222="","",COUNT(H222:O222)/8)</f>
        <v/>
      </c>
      <c r="Q222" s="15">
        <f>IF(COUNT(H222:O222)=0,"",IF(LEN(IF(COUNT(H222,I222,J222)=3,IF(ABS(H222+I222-J222)&lt;=MAX(1,0.02*ABS(J222)),"","RBE &lt;&gt; PNB + frais "),"")&amp;IF(COUNT(J222,K222,L222)=3,IF(ABS(J222+K222-L222)&lt;=MAX(1,0.03*ABS(L222)),"","RAI &lt;&gt; RBE + coût du risque "),"")&amp;IF(COUNT(H222,M222)=2,IF(ABS(M222)&gt;ABS(H222),"RN &gt; PNB ",""),""))=0,"OK",IF(COUNT(H222,I222,J222)=3,IF(ABS(H222+I222-J222)&lt;=MAX(1,0.02*ABS(J222)),"","RBE &lt;&gt; PNB + frais "),"")&amp;IF(COUNT(J222,K222,L222)=3,IF(ABS(J222+K222-L222)&lt;=MAX(1,0.03*ABS(L222)),"","RAI &lt;&gt; RBE + coût du risque "),"")&amp;IF(COUNT(H222,M222)=2,IF(ABS(M222)&gt;ABS(H222),"RN &gt; PNB ",""),"")))</f>
        <v/>
      </c>
      <c r="R222" s="16">
        <f>IF(OR($A222="",H222="",$C222=""),"",IF(COUNTIFS($A$5:$A$315,$A222,$C$5:$C$315,$C222-1,$D$5:$D$315,$D222,H$5:H$315,"&lt;&gt;")=0,"",IF(OR(SUMIFS(H$5:H$315,$A$5:$A$315,$A222,$C$5:$C$315,$C222-1,$D$5:$D$315,$D222)=0,H222*SUMIFS(H$5:H$315,$A$5:$A$315,$A222,$C$5:$C$315,$C222-1,$D$5:$D$315,$D222)&lt;0),"n.s.",ABS(H222)/ABS(SUMIFS(H$5:H$315,$A$5:$A$315,$A222,$C$5:$C$315,$C222-1,$D$5:$D$315,$D222))-1)))</f>
        <v/>
      </c>
      <c r="S222" s="16">
        <f>IF(OR($A222="",I222="",$C222=""),"",IF(COUNTIFS($A$5:$A$315,$A222,$C$5:$C$315,$C222-1,$D$5:$D$315,$D222,I$5:I$315,"&lt;&gt;")=0,"",IF(OR(SUMIFS(I$5:I$315,$A$5:$A$315,$A222,$C$5:$C$315,$C222-1,$D$5:$D$315,$D222)=0,I222*SUMIFS(I$5:I$315,$A$5:$A$315,$A222,$C$5:$C$315,$C222-1,$D$5:$D$315,$D222)&lt;0),"n.s.",ABS(I222)/ABS(SUMIFS(I$5:I$315,$A$5:$A$315,$A222,$C$5:$C$315,$C222-1,$D$5:$D$315,$D222))-1)))</f>
        <v/>
      </c>
      <c r="T222" s="16">
        <f>IF(OR($A222="",J222="",$C222=""),"",IF(COUNTIFS($A$5:$A$315,$A222,$C$5:$C$315,$C222-1,$D$5:$D$315,$D222,J$5:J$315,"&lt;&gt;")=0,"",IF(OR(SUMIFS(J$5:J$315,$A$5:$A$315,$A222,$C$5:$C$315,$C222-1,$D$5:$D$315,$D222)=0,J222*SUMIFS(J$5:J$315,$A$5:$A$315,$A222,$C$5:$C$315,$C222-1,$D$5:$D$315,$D222)&lt;0),"n.s.",ABS(J222)/ABS(SUMIFS(J$5:J$315,$A$5:$A$315,$A222,$C$5:$C$315,$C222-1,$D$5:$D$315,$D222))-1)))</f>
        <v/>
      </c>
      <c r="U222" s="16">
        <f>IF(OR($A222="",K222="",$C222=""),"",IF(COUNTIFS($A$5:$A$315,$A222,$C$5:$C$315,$C222-1,$D$5:$D$315,$D222,K$5:K$315,"&lt;&gt;")=0,"",IF(OR(SUMIFS(K$5:K$315,$A$5:$A$315,$A222,$C$5:$C$315,$C222-1,$D$5:$D$315,$D222)=0,K222*SUMIFS(K$5:K$315,$A$5:$A$315,$A222,$C$5:$C$315,$C222-1,$D$5:$D$315,$D222)&lt;0),"n.s.",ABS(K222)/ABS(SUMIFS(K$5:K$315,$A$5:$A$315,$A222,$C$5:$C$315,$C222-1,$D$5:$D$315,$D222))-1)))</f>
        <v/>
      </c>
      <c r="V222" s="16">
        <f>IF(OR($A222="",L222="",$C222=""),"",IF(COUNTIFS($A$5:$A$315,$A222,$C$5:$C$315,$C222-1,$D$5:$D$315,$D222,L$5:L$315,"&lt;&gt;")=0,"",IF(OR(SUMIFS(L$5:L$315,$A$5:$A$315,$A222,$C$5:$C$315,$C222-1,$D$5:$D$315,$D222)=0,L222*SUMIFS(L$5:L$315,$A$5:$A$315,$A222,$C$5:$C$315,$C222-1,$D$5:$D$315,$D222)&lt;0),"n.s.",ABS(L222)/ABS(SUMIFS(L$5:L$315,$A$5:$A$315,$A222,$C$5:$C$315,$C222-1,$D$5:$D$315,$D222))-1)))</f>
        <v/>
      </c>
      <c r="W222" s="16">
        <f>IF(OR($A222="",M222="",$C222=""),"",IF(COUNTIFS($A$5:$A$315,$A222,$C$5:$C$315,$C222-1,$D$5:$D$315,$D222,M$5:M$315,"&lt;&gt;")=0,"",IF(OR(SUMIFS(M$5:M$315,$A$5:$A$315,$A222,$C$5:$C$315,$C222-1,$D$5:$D$315,$D222)=0,M222*SUMIFS(M$5:M$315,$A$5:$A$315,$A222,$C$5:$C$315,$C222-1,$D$5:$D$315,$D222)&lt;0),"n.s.",ABS(M222)/ABS(SUMIFS(M$5:M$315,$A$5:$A$315,$A222,$C$5:$C$315,$C222-1,$D$5:$D$315,$D222))-1)))</f>
        <v/>
      </c>
      <c r="X222" s="16">
        <f>IF(OR($A222="",N222="",$C222=""),"",IF(COUNTIFS($A$5:$A$315,$A222,$C$5:$C$315,$C222-1,$D$5:$D$315,$D222,N$5:N$315,"&lt;&gt;")=0,"",IF(OR(SUMIFS(N$5:N$315,$A$5:$A$315,$A222,$C$5:$C$315,$C222-1,$D$5:$D$315,$D222)=0,N222*SUMIFS(N$5:N$315,$A$5:$A$315,$A222,$C$5:$C$315,$C222-1,$D$5:$D$315,$D222)&lt;0),"n.s.",ABS(N222)/ABS(SUMIFS(N$5:N$315,$A$5:$A$315,$A222,$C$5:$C$315,$C222-1,$D$5:$D$315,$D222))-1)))</f>
        <v/>
      </c>
      <c r="Y222" s="16">
        <f>IF(OR($A222="",O222="",$C222=""),"",IF(COUNTIFS($A$5:$A$315,$A222,$C$5:$C$315,$C222-1,$D$5:$D$315,$D222,O$5:O$315,"&lt;&gt;")=0,"",IF(OR(SUMIFS(O$5:O$315,$A$5:$A$315,$A222,$C$5:$C$315,$C222-1,$D$5:$D$315,$D222)=0,O222*SUMIFS(O$5:O$315,$A$5:$A$315,$A222,$C$5:$C$315,$C222-1,$D$5:$D$315,$D222)&lt;0),"n.s.",ABS(O222)/ABS(SUMIFS(O$5:O$315,$A$5:$A$315,$A222,$C$5:$C$315,$C222-1,$D$5:$D$315,$D222))-1)))</f>
        <v/>
      </c>
    </row>
    <row r="223">
      <c r="A223" s="9" t="inlineStr">
        <is>
          <t>SAFC</t>
        </is>
      </c>
      <c r="B223" s="10">
        <f>IF(A223="","",IFERROR(VLOOKUP(A223,Titres!$A$2:$B$400,2,FALSE),"Ticker inconnu"))</f>
        <v/>
      </c>
      <c r="C223" s="11" t="n">
        <v>2021</v>
      </c>
      <c r="D223" s="11" t="inlineStr">
        <is>
          <t>T3</t>
        </is>
      </c>
      <c r="E223" s="9" t="n"/>
      <c r="F223" s="12" t="n"/>
      <c r="G223" s="9" t="n"/>
      <c r="H223" s="13" t="n"/>
      <c r="I223" s="13" t="n"/>
      <c r="J223" s="13" t="n"/>
      <c r="K223" s="13" t="n"/>
      <c r="L223" s="13" t="n"/>
      <c r="M223" s="13" t="n"/>
      <c r="N223" s="13" t="n"/>
      <c r="O223" s="13" t="n"/>
      <c r="P223" s="14">
        <f>IF(A223="","",COUNT(H223:O223)/8)</f>
        <v/>
      </c>
      <c r="Q223" s="15">
        <f>IF(COUNT(H223:O223)=0,"",IF(LEN(IF(COUNT(H223,I223,J223)=3,IF(ABS(H223+I223-J223)&lt;=MAX(1,0.02*ABS(J223)),"","RBE &lt;&gt; PNB + frais "),"")&amp;IF(COUNT(J223,K223,L223)=3,IF(ABS(J223+K223-L223)&lt;=MAX(1,0.03*ABS(L223)),"","RAI &lt;&gt; RBE + coût du risque "),"")&amp;IF(COUNT(H223,M223)=2,IF(ABS(M223)&gt;ABS(H223),"RN &gt; PNB ",""),""))=0,"OK",IF(COUNT(H223,I223,J223)=3,IF(ABS(H223+I223-J223)&lt;=MAX(1,0.02*ABS(J223)),"","RBE &lt;&gt; PNB + frais "),"")&amp;IF(COUNT(J223,K223,L223)=3,IF(ABS(J223+K223-L223)&lt;=MAX(1,0.03*ABS(L223)),"","RAI &lt;&gt; RBE + coût du risque "),"")&amp;IF(COUNT(H223,M223)=2,IF(ABS(M223)&gt;ABS(H223),"RN &gt; PNB ",""),"")))</f>
        <v/>
      </c>
      <c r="R223" s="16">
        <f>IF(OR($A223="",H223="",$C223=""),"",IF(COUNTIFS($A$5:$A$315,$A223,$C$5:$C$315,$C223-1,$D$5:$D$315,$D223,H$5:H$315,"&lt;&gt;")=0,"",IF(OR(SUMIFS(H$5:H$315,$A$5:$A$315,$A223,$C$5:$C$315,$C223-1,$D$5:$D$315,$D223)=0,H223*SUMIFS(H$5:H$315,$A$5:$A$315,$A223,$C$5:$C$315,$C223-1,$D$5:$D$315,$D223)&lt;0),"n.s.",ABS(H223)/ABS(SUMIFS(H$5:H$315,$A$5:$A$315,$A223,$C$5:$C$315,$C223-1,$D$5:$D$315,$D223))-1)))</f>
        <v/>
      </c>
      <c r="S223" s="16">
        <f>IF(OR($A223="",I223="",$C223=""),"",IF(COUNTIFS($A$5:$A$315,$A223,$C$5:$C$315,$C223-1,$D$5:$D$315,$D223,I$5:I$315,"&lt;&gt;")=0,"",IF(OR(SUMIFS(I$5:I$315,$A$5:$A$315,$A223,$C$5:$C$315,$C223-1,$D$5:$D$315,$D223)=0,I223*SUMIFS(I$5:I$315,$A$5:$A$315,$A223,$C$5:$C$315,$C223-1,$D$5:$D$315,$D223)&lt;0),"n.s.",ABS(I223)/ABS(SUMIFS(I$5:I$315,$A$5:$A$315,$A223,$C$5:$C$315,$C223-1,$D$5:$D$315,$D223))-1)))</f>
        <v/>
      </c>
      <c r="T223" s="16">
        <f>IF(OR($A223="",J223="",$C223=""),"",IF(COUNTIFS($A$5:$A$315,$A223,$C$5:$C$315,$C223-1,$D$5:$D$315,$D223,J$5:J$315,"&lt;&gt;")=0,"",IF(OR(SUMIFS(J$5:J$315,$A$5:$A$315,$A223,$C$5:$C$315,$C223-1,$D$5:$D$315,$D223)=0,J223*SUMIFS(J$5:J$315,$A$5:$A$315,$A223,$C$5:$C$315,$C223-1,$D$5:$D$315,$D223)&lt;0),"n.s.",ABS(J223)/ABS(SUMIFS(J$5:J$315,$A$5:$A$315,$A223,$C$5:$C$315,$C223-1,$D$5:$D$315,$D223))-1)))</f>
        <v/>
      </c>
      <c r="U223" s="16">
        <f>IF(OR($A223="",K223="",$C223=""),"",IF(COUNTIFS($A$5:$A$315,$A223,$C$5:$C$315,$C223-1,$D$5:$D$315,$D223,K$5:K$315,"&lt;&gt;")=0,"",IF(OR(SUMIFS(K$5:K$315,$A$5:$A$315,$A223,$C$5:$C$315,$C223-1,$D$5:$D$315,$D223)=0,K223*SUMIFS(K$5:K$315,$A$5:$A$315,$A223,$C$5:$C$315,$C223-1,$D$5:$D$315,$D223)&lt;0),"n.s.",ABS(K223)/ABS(SUMIFS(K$5:K$315,$A$5:$A$315,$A223,$C$5:$C$315,$C223-1,$D$5:$D$315,$D223))-1)))</f>
        <v/>
      </c>
      <c r="V223" s="16">
        <f>IF(OR($A223="",L223="",$C223=""),"",IF(COUNTIFS($A$5:$A$315,$A223,$C$5:$C$315,$C223-1,$D$5:$D$315,$D223,L$5:L$315,"&lt;&gt;")=0,"",IF(OR(SUMIFS(L$5:L$315,$A$5:$A$315,$A223,$C$5:$C$315,$C223-1,$D$5:$D$315,$D223)=0,L223*SUMIFS(L$5:L$315,$A$5:$A$315,$A223,$C$5:$C$315,$C223-1,$D$5:$D$315,$D223)&lt;0),"n.s.",ABS(L223)/ABS(SUMIFS(L$5:L$315,$A$5:$A$315,$A223,$C$5:$C$315,$C223-1,$D$5:$D$315,$D223))-1)))</f>
        <v/>
      </c>
      <c r="W223" s="16">
        <f>IF(OR($A223="",M223="",$C223=""),"",IF(COUNTIFS($A$5:$A$315,$A223,$C$5:$C$315,$C223-1,$D$5:$D$315,$D223,M$5:M$315,"&lt;&gt;")=0,"",IF(OR(SUMIFS(M$5:M$315,$A$5:$A$315,$A223,$C$5:$C$315,$C223-1,$D$5:$D$315,$D223)=0,M223*SUMIFS(M$5:M$315,$A$5:$A$315,$A223,$C$5:$C$315,$C223-1,$D$5:$D$315,$D223)&lt;0),"n.s.",ABS(M223)/ABS(SUMIFS(M$5:M$315,$A$5:$A$315,$A223,$C$5:$C$315,$C223-1,$D$5:$D$315,$D223))-1)))</f>
        <v/>
      </c>
      <c r="X223" s="16">
        <f>IF(OR($A223="",N223="",$C223=""),"",IF(COUNTIFS($A$5:$A$315,$A223,$C$5:$C$315,$C223-1,$D$5:$D$315,$D223,N$5:N$315,"&lt;&gt;")=0,"",IF(OR(SUMIFS(N$5:N$315,$A$5:$A$315,$A223,$C$5:$C$315,$C223-1,$D$5:$D$315,$D223)=0,N223*SUMIFS(N$5:N$315,$A$5:$A$315,$A223,$C$5:$C$315,$C223-1,$D$5:$D$315,$D223)&lt;0),"n.s.",ABS(N223)/ABS(SUMIFS(N$5:N$315,$A$5:$A$315,$A223,$C$5:$C$315,$C223-1,$D$5:$D$315,$D223))-1)))</f>
        <v/>
      </c>
      <c r="Y223" s="16">
        <f>IF(OR($A223="",O223="",$C223=""),"",IF(COUNTIFS($A$5:$A$315,$A223,$C$5:$C$315,$C223-1,$D$5:$D$315,$D223,O$5:O$315,"&lt;&gt;")=0,"",IF(OR(SUMIFS(O$5:O$315,$A$5:$A$315,$A223,$C$5:$C$315,$C223-1,$D$5:$D$315,$D223)=0,O223*SUMIFS(O$5:O$315,$A$5:$A$315,$A223,$C$5:$C$315,$C223-1,$D$5:$D$315,$D223)&lt;0),"n.s.",ABS(O223)/ABS(SUMIFS(O$5:O$315,$A$5:$A$315,$A223,$C$5:$C$315,$C223-1,$D$5:$D$315,$D223))-1)))</f>
        <v/>
      </c>
    </row>
    <row r="224">
      <c r="A224" s="9" t="inlineStr">
        <is>
          <t>SAFC</t>
        </is>
      </c>
      <c r="B224" s="10">
        <f>IF(A224="","",IFERROR(VLOOKUP(A224,Titres!$A$2:$B$400,2,FALSE),"Ticker inconnu"))</f>
        <v/>
      </c>
      <c r="C224" s="11" t="n">
        <v>2022</v>
      </c>
      <c r="D224" s="11" t="inlineStr">
        <is>
          <t>T1</t>
        </is>
      </c>
      <c r="E224" s="9" t="n"/>
      <c r="F224" s="12" t="n"/>
      <c r="G224" s="9" t="n"/>
      <c r="H224" s="13" t="n"/>
      <c r="I224" s="13" t="n"/>
      <c r="J224" s="13" t="n"/>
      <c r="K224" s="13" t="n"/>
      <c r="L224" s="13" t="n"/>
      <c r="M224" s="13" t="n"/>
      <c r="N224" s="13" t="n"/>
      <c r="O224" s="13" t="n"/>
      <c r="P224" s="14">
        <f>IF(A224="","",COUNT(H224:O224)/8)</f>
        <v/>
      </c>
      <c r="Q224" s="15">
        <f>IF(COUNT(H224:O224)=0,"",IF(LEN(IF(COUNT(H224,I224,J224)=3,IF(ABS(H224+I224-J224)&lt;=MAX(1,0.02*ABS(J224)),"","RBE &lt;&gt; PNB + frais "),"")&amp;IF(COUNT(J224,K224,L224)=3,IF(ABS(J224+K224-L224)&lt;=MAX(1,0.03*ABS(L224)),"","RAI &lt;&gt; RBE + coût du risque "),"")&amp;IF(COUNT(H224,M224)=2,IF(ABS(M224)&gt;ABS(H224),"RN &gt; PNB ",""),""))=0,"OK",IF(COUNT(H224,I224,J224)=3,IF(ABS(H224+I224-J224)&lt;=MAX(1,0.02*ABS(J224)),"","RBE &lt;&gt; PNB + frais "),"")&amp;IF(COUNT(J224,K224,L224)=3,IF(ABS(J224+K224-L224)&lt;=MAX(1,0.03*ABS(L224)),"","RAI &lt;&gt; RBE + coût du risque "),"")&amp;IF(COUNT(H224,M224)=2,IF(ABS(M224)&gt;ABS(H224),"RN &gt; PNB ",""),"")))</f>
        <v/>
      </c>
      <c r="R224" s="16">
        <f>IF(OR($A224="",H224="",$C224=""),"",IF(COUNTIFS($A$5:$A$315,$A224,$C$5:$C$315,$C224-1,$D$5:$D$315,$D224,H$5:H$315,"&lt;&gt;")=0,"",IF(OR(SUMIFS(H$5:H$315,$A$5:$A$315,$A224,$C$5:$C$315,$C224-1,$D$5:$D$315,$D224)=0,H224*SUMIFS(H$5:H$315,$A$5:$A$315,$A224,$C$5:$C$315,$C224-1,$D$5:$D$315,$D224)&lt;0),"n.s.",ABS(H224)/ABS(SUMIFS(H$5:H$315,$A$5:$A$315,$A224,$C$5:$C$315,$C224-1,$D$5:$D$315,$D224))-1)))</f>
        <v/>
      </c>
      <c r="S224" s="16">
        <f>IF(OR($A224="",I224="",$C224=""),"",IF(COUNTIFS($A$5:$A$315,$A224,$C$5:$C$315,$C224-1,$D$5:$D$315,$D224,I$5:I$315,"&lt;&gt;")=0,"",IF(OR(SUMIFS(I$5:I$315,$A$5:$A$315,$A224,$C$5:$C$315,$C224-1,$D$5:$D$315,$D224)=0,I224*SUMIFS(I$5:I$315,$A$5:$A$315,$A224,$C$5:$C$315,$C224-1,$D$5:$D$315,$D224)&lt;0),"n.s.",ABS(I224)/ABS(SUMIFS(I$5:I$315,$A$5:$A$315,$A224,$C$5:$C$315,$C224-1,$D$5:$D$315,$D224))-1)))</f>
        <v/>
      </c>
      <c r="T224" s="16">
        <f>IF(OR($A224="",J224="",$C224=""),"",IF(COUNTIFS($A$5:$A$315,$A224,$C$5:$C$315,$C224-1,$D$5:$D$315,$D224,J$5:J$315,"&lt;&gt;")=0,"",IF(OR(SUMIFS(J$5:J$315,$A$5:$A$315,$A224,$C$5:$C$315,$C224-1,$D$5:$D$315,$D224)=0,J224*SUMIFS(J$5:J$315,$A$5:$A$315,$A224,$C$5:$C$315,$C224-1,$D$5:$D$315,$D224)&lt;0),"n.s.",ABS(J224)/ABS(SUMIFS(J$5:J$315,$A$5:$A$315,$A224,$C$5:$C$315,$C224-1,$D$5:$D$315,$D224))-1)))</f>
        <v/>
      </c>
      <c r="U224" s="16">
        <f>IF(OR($A224="",K224="",$C224=""),"",IF(COUNTIFS($A$5:$A$315,$A224,$C$5:$C$315,$C224-1,$D$5:$D$315,$D224,K$5:K$315,"&lt;&gt;")=0,"",IF(OR(SUMIFS(K$5:K$315,$A$5:$A$315,$A224,$C$5:$C$315,$C224-1,$D$5:$D$315,$D224)=0,K224*SUMIFS(K$5:K$315,$A$5:$A$315,$A224,$C$5:$C$315,$C224-1,$D$5:$D$315,$D224)&lt;0),"n.s.",ABS(K224)/ABS(SUMIFS(K$5:K$315,$A$5:$A$315,$A224,$C$5:$C$315,$C224-1,$D$5:$D$315,$D224))-1)))</f>
        <v/>
      </c>
      <c r="V224" s="16">
        <f>IF(OR($A224="",L224="",$C224=""),"",IF(COUNTIFS($A$5:$A$315,$A224,$C$5:$C$315,$C224-1,$D$5:$D$315,$D224,L$5:L$315,"&lt;&gt;")=0,"",IF(OR(SUMIFS(L$5:L$315,$A$5:$A$315,$A224,$C$5:$C$315,$C224-1,$D$5:$D$315,$D224)=0,L224*SUMIFS(L$5:L$315,$A$5:$A$315,$A224,$C$5:$C$315,$C224-1,$D$5:$D$315,$D224)&lt;0),"n.s.",ABS(L224)/ABS(SUMIFS(L$5:L$315,$A$5:$A$315,$A224,$C$5:$C$315,$C224-1,$D$5:$D$315,$D224))-1)))</f>
        <v/>
      </c>
      <c r="W224" s="16">
        <f>IF(OR($A224="",M224="",$C224=""),"",IF(COUNTIFS($A$5:$A$315,$A224,$C$5:$C$315,$C224-1,$D$5:$D$315,$D224,M$5:M$315,"&lt;&gt;")=0,"",IF(OR(SUMIFS(M$5:M$315,$A$5:$A$315,$A224,$C$5:$C$315,$C224-1,$D$5:$D$315,$D224)=0,M224*SUMIFS(M$5:M$315,$A$5:$A$315,$A224,$C$5:$C$315,$C224-1,$D$5:$D$315,$D224)&lt;0),"n.s.",ABS(M224)/ABS(SUMIFS(M$5:M$315,$A$5:$A$315,$A224,$C$5:$C$315,$C224-1,$D$5:$D$315,$D224))-1)))</f>
        <v/>
      </c>
      <c r="X224" s="16">
        <f>IF(OR($A224="",N224="",$C224=""),"",IF(COUNTIFS($A$5:$A$315,$A224,$C$5:$C$315,$C224-1,$D$5:$D$315,$D224,N$5:N$315,"&lt;&gt;")=0,"",IF(OR(SUMIFS(N$5:N$315,$A$5:$A$315,$A224,$C$5:$C$315,$C224-1,$D$5:$D$315,$D224)=0,N224*SUMIFS(N$5:N$315,$A$5:$A$315,$A224,$C$5:$C$315,$C224-1,$D$5:$D$315,$D224)&lt;0),"n.s.",ABS(N224)/ABS(SUMIFS(N$5:N$315,$A$5:$A$315,$A224,$C$5:$C$315,$C224-1,$D$5:$D$315,$D224))-1)))</f>
        <v/>
      </c>
      <c r="Y224" s="16">
        <f>IF(OR($A224="",O224="",$C224=""),"",IF(COUNTIFS($A$5:$A$315,$A224,$C$5:$C$315,$C224-1,$D$5:$D$315,$D224,O$5:O$315,"&lt;&gt;")=0,"",IF(OR(SUMIFS(O$5:O$315,$A$5:$A$315,$A224,$C$5:$C$315,$C224-1,$D$5:$D$315,$D224)=0,O224*SUMIFS(O$5:O$315,$A$5:$A$315,$A224,$C$5:$C$315,$C224-1,$D$5:$D$315,$D224)&lt;0),"n.s.",ABS(O224)/ABS(SUMIFS(O$5:O$315,$A$5:$A$315,$A224,$C$5:$C$315,$C224-1,$D$5:$D$315,$D224))-1)))</f>
        <v/>
      </c>
    </row>
    <row r="225">
      <c r="A225" s="9" t="inlineStr">
        <is>
          <t>SAFC</t>
        </is>
      </c>
      <c r="B225" s="10">
        <f>IF(A225="","",IFERROR(VLOOKUP(A225,Titres!$A$2:$B$400,2,FALSE),"Ticker inconnu"))</f>
        <v/>
      </c>
      <c r="C225" s="11" t="n">
        <v>2022</v>
      </c>
      <c r="D225" s="11" t="inlineStr">
        <is>
          <t>S1</t>
        </is>
      </c>
      <c r="E225" s="9" t="n"/>
      <c r="F225" s="12" t="n"/>
      <c r="G225" s="9" t="n"/>
      <c r="H225" s="13" t="n"/>
      <c r="I225" s="13" t="n"/>
      <c r="J225" s="13" t="n"/>
      <c r="K225" s="13" t="n"/>
      <c r="L225" s="13" t="n"/>
      <c r="M225" s="13" t="n"/>
      <c r="N225" s="13" t="n"/>
      <c r="O225" s="13" t="n"/>
      <c r="P225" s="14">
        <f>IF(A225="","",COUNT(H225:O225)/8)</f>
        <v/>
      </c>
      <c r="Q225" s="15">
        <f>IF(COUNT(H225:O225)=0,"",IF(LEN(IF(COUNT(H225,I225,J225)=3,IF(ABS(H225+I225-J225)&lt;=MAX(1,0.02*ABS(J225)),"","RBE &lt;&gt; PNB + frais "),"")&amp;IF(COUNT(J225,K225,L225)=3,IF(ABS(J225+K225-L225)&lt;=MAX(1,0.03*ABS(L225)),"","RAI &lt;&gt; RBE + coût du risque "),"")&amp;IF(COUNT(H225,M225)=2,IF(ABS(M225)&gt;ABS(H225),"RN &gt; PNB ",""),""))=0,"OK",IF(COUNT(H225,I225,J225)=3,IF(ABS(H225+I225-J225)&lt;=MAX(1,0.02*ABS(J225)),"","RBE &lt;&gt; PNB + frais "),"")&amp;IF(COUNT(J225,K225,L225)=3,IF(ABS(J225+K225-L225)&lt;=MAX(1,0.03*ABS(L225)),"","RAI &lt;&gt; RBE + coût du risque "),"")&amp;IF(COUNT(H225,M225)=2,IF(ABS(M225)&gt;ABS(H225),"RN &gt; PNB ",""),"")))</f>
        <v/>
      </c>
      <c r="R225" s="16">
        <f>IF(OR($A225="",H225="",$C225=""),"",IF(COUNTIFS($A$5:$A$315,$A225,$C$5:$C$315,$C225-1,$D$5:$D$315,$D225,H$5:H$315,"&lt;&gt;")=0,"",IF(OR(SUMIFS(H$5:H$315,$A$5:$A$315,$A225,$C$5:$C$315,$C225-1,$D$5:$D$315,$D225)=0,H225*SUMIFS(H$5:H$315,$A$5:$A$315,$A225,$C$5:$C$315,$C225-1,$D$5:$D$315,$D225)&lt;0),"n.s.",ABS(H225)/ABS(SUMIFS(H$5:H$315,$A$5:$A$315,$A225,$C$5:$C$315,$C225-1,$D$5:$D$315,$D225))-1)))</f>
        <v/>
      </c>
      <c r="S225" s="16">
        <f>IF(OR($A225="",I225="",$C225=""),"",IF(COUNTIFS($A$5:$A$315,$A225,$C$5:$C$315,$C225-1,$D$5:$D$315,$D225,I$5:I$315,"&lt;&gt;")=0,"",IF(OR(SUMIFS(I$5:I$315,$A$5:$A$315,$A225,$C$5:$C$315,$C225-1,$D$5:$D$315,$D225)=0,I225*SUMIFS(I$5:I$315,$A$5:$A$315,$A225,$C$5:$C$315,$C225-1,$D$5:$D$315,$D225)&lt;0),"n.s.",ABS(I225)/ABS(SUMIFS(I$5:I$315,$A$5:$A$315,$A225,$C$5:$C$315,$C225-1,$D$5:$D$315,$D225))-1)))</f>
        <v/>
      </c>
      <c r="T225" s="16">
        <f>IF(OR($A225="",J225="",$C225=""),"",IF(COUNTIFS($A$5:$A$315,$A225,$C$5:$C$315,$C225-1,$D$5:$D$315,$D225,J$5:J$315,"&lt;&gt;")=0,"",IF(OR(SUMIFS(J$5:J$315,$A$5:$A$315,$A225,$C$5:$C$315,$C225-1,$D$5:$D$315,$D225)=0,J225*SUMIFS(J$5:J$315,$A$5:$A$315,$A225,$C$5:$C$315,$C225-1,$D$5:$D$315,$D225)&lt;0),"n.s.",ABS(J225)/ABS(SUMIFS(J$5:J$315,$A$5:$A$315,$A225,$C$5:$C$315,$C225-1,$D$5:$D$315,$D225))-1)))</f>
        <v/>
      </c>
      <c r="U225" s="16">
        <f>IF(OR($A225="",K225="",$C225=""),"",IF(COUNTIFS($A$5:$A$315,$A225,$C$5:$C$315,$C225-1,$D$5:$D$315,$D225,K$5:K$315,"&lt;&gt;")=0,"",IF(OR(SUMIFS(K$5:K$315,$A$5:$A$315,$A225,$C$5:$C$315,$C225-1,$D$5:$D$315,$D225)=0,K225*SUMIFS(K$5:K$315,$A$5:$A$315,$A225,$C$5:$C$315,$C225-1,$D$5:$D$315,$D225)&lt;0),"n.s.",ABS(K225)/ABS(SUMIFS(K$5:K$315,$A$5:$A$315,$A225,$C$5:$C$315,$C225-1,$D$5:$D$315,$D225))-1)))</f>
        <v/>
      </c>
      <c r="V225" s="16">
        <f>IF(OR($A225="",L225="",$C225=""),"",IF(COUNTIFS($A$5:$A$315,$A225,$C$5:$C$315,$C225-1,$D$5:$D$315,$D225,L$5:L$315,"&lt;&gt;")=0,"",IF(OR(SUMIFS(L$5:L$315,$A$5:$A$315,$A225,$C$5:$C$315,$C225-1,$D$5:$D$315,$D225)=0,L225*SUMIFS(L$5:L$315,$A$5:$A$315,$A225,$C$5:$C$315,$C225-1,$D$5:$D$315,$D225)&lt;0),"n.s.",ABS(L225)/ABS(SUMIFS(L$5:L$315,$A$5:$A$315,$A225,$C$5:$C$315,$C225-1,$D$5:$D$315,$D225))-1)))</f>
        <v/>
      </c>
      <c r="W225" s="16">
        <f>IF(OR($A225="",M225="",$C225=""),"",IF(COUNTIFS($A$5:$A$315,$A225,$C$5:$C$315,$C225-1,$D$5:$D$315,$D225,M$5:M$315,"&lt;&gt;")=0,"",IF(OR(SUMIFS(M$5:M$315,$A$5:$A$315,$A225,$C$5:$C$315,$C225-1,$D$5:$D$315,$D225)=0,M225*SUMIFS(M$5:M$315,$A$5:$A$315,$A225,$C$5:$C$315,$C225-1,$D$5:$D$315,$D225)&lt;0),"n.s.",ABS(M225)/ABS(SUMIFS(M$5:M$315,$A$5:$A$315,$A225,$C$5:$C$315,$C225-1,$D$5:$D$315,$D225))-1)))</f>
        <v/>
      </c>
      <c r="X225" s="16">
        <f>IF(OR($A225="",N225="",$C225=""),"",IF(COUNTIFS($A$5:$A$315,$A225,$C$5:$C$315,$C225-1,$D$5:$D$315,$D225,N$5:N$315,"&lt;&gt;")=0,"",IF(OR(SUMIFS(N$5:N$315,$A$5:$A$315,$A225,$C$5:$C$315,$C225-1,$D$5:$D$315,$D225)=0,N225*SUMIFS(N$5:N$315,$A$5:$A$315,$A225,$C$5:$C$315,$C225-1,$D$5:$D$315,$D225)&lt;0),"n.s.",ABS(N225)/ABS(SUMIFS(N$5:N$315,$A$5:$A$315,$A225,$C$5:$C$315,$C225-1,$D$5:$D$315,$D225))-1)))</f>
        <v/>
      </c>
      <c r="Y225" s="16">
        <f>IF(OR($A225="",O225="",$C225=""),"",IF(COUNTIFS($A$5:$A$315,$A225,$C$5:$C$315,$C225-1,$D$5:$D$315,$D225,O$5:O$315,"&lt;&gt;")=0,"",IF(OR(SUMIFS(O$5:O$315,$A$5:$A$315,$A225,$C$5:$C$315,$C225-1,$D$5:$D$315,$D225)=0,O225*SUMIFS(O$5:O$315,$A$5:$A$315,$A225,$C$5:$C$315,$C225-1,$D$5:$D$315,$D225)&lt;0),"n.s.",ABS(O225)/ABS(SUMIFS(O$5:O$315,$A$5:$A$315,$A225,$C$5:$C$315,$C225-1,$D$5:$D$315,$D225))-1)))</f>
        <v/>
      </c>
    </row>
    <row r="226">
      <c r="A226" s="9" t="inlineStr">
        <is>
          <t>SAFC</t>
        </is>
      </c>
      <c r="B226" s="10">
        <f>IF(A226="","",IFERROR(VLOOKUP(A226,Titres!$A$2:$B$400,2,FALSE),"Ticker inconnu"))</f>
        <v/>
      </c>
      <c r="C226" s="11" t="n">
        <v>2022</v>
      </c>
      <c r="D226" s="11" t="inlineStr">
        <is>
          <t>T3</t>
        </is>
      </c>
      <c r="E226" s="9" t="n"/>
      <c r="F226" s="12" t="n"/>
      <c r="G226" s="9" t="n"/>
      <c r="H226" s="13" t="n"/>
      <c r="I226" s="13" t="n"/>
      <c r="J226" s="13" t="n"/>
      <c r="K226" s="13" t="n"/>
      <c r="L226" s="13" t="n"/>
      <c r="M226" s="13" t="n"/>
      <c r="N226" s="13" t="n"/>
      <c r="O226" s="13" t="n"/>
      <c r="P226" s="14">
        <f>IF(A226="","",COUNT(H226:O226)/8)</f>
        <v/>
      </c>
      <c r="Q226" s="15">
        <f>IF(COUNT(H226:O226)=0,"",IF(LEN(IF(COUNT(H226,I226,J226)=3,IF(ABS(H226+I226-J226)&lt;=MAX(1,0.02*ABS(J226)),"","RBE &lt;&gt; PNB + frais "),"")&amp;IF(COUNT(J226,K226,L226)=3,IF(ABS(J226+K226-L226)&lt;=MAX(1,0.03*ABS(L226)),"","RAI &lt;&gt; RBE + coût du risque "),"")&amp;IF(COUNT(H226,M226)=2,IF(ABS(M226)&gt;ABS(H226),"RN &gt; PNB ",""),""))=0,"OK",IF(COUNT(H226,I226,J226)=3,IF(ABS(H226+I226-J226)&lt;=MAX(1,0.02*ABS(J226)),"","RBE &lt;&gt; PNB + frais "),"")&amp;IF(COUNT(J226,K226,L226)=3,IF(ABS(J226+K226-L226)&lt;=MAX(1,0.03*ABS(L226)),"","RAI &lt;&gt; RBE + coût du risque "),"")&amp;IF(COUNT(H226,M226)=2,IF(ABS(M226)&gt;ABS(H226),"RN &gt; PNB ",""),"")))</f>
        <v/>
      </c>
      <c r="R226" s="16">
        <f>IF(OR($A226="",H226="",$C226=""),"",IF(COUNTIFS($A$5:$A$315,$A226,$C$5:$C$315,$C226-1,$D$5:$D$315,$D226,H$5:H$315,"&lt;&gt;")=0,"",IF(OR(SUMIFS(H$5:H$315,$A$5:$A$315,$A226,$C$5:$C$315,$C226-1,$D$5:$D$315,$D226)=0,H226*SUMIFS(H$5:H$315,$A$5:$A$315,$A226,$C$5:$C$315,$C226-1,$D$5:$D$315,$D226)&lt;0),"n.s.",ABS(H226)/ABS(SUMIFS(H$5:H$315,$A$5:$A$315,$A226,$C$5:$C$315,$C226-1,$D$5:$D$315,$D226))-1)))</f>
        <v/>
      </c>
      <c r="S226" s="16">
        <f>IF(OR($A226="",I226="",$C226=""),"",IF(COUNTIFS($A$5:$A$315,$A226,$C$5:$C$315,$C226-1,$D$5:$D$315,$D226,I$5:I$315,"&lt;&gt;")=0,"",IF(OR(SUMIFS(I$5:I$315,$A$5:$A$315,$A226,$C$5:$C$315,$C226-1,$D$5:$D$315,$D226)=0,I226*SUMIFS(I$5:I$315,$A$5:$A$315,$A226,$C$5:$C$315,$C226-1,$D$5:$D$315,$D226)&lt;0),"n.s.",ABS(I226)/ABS(SUMIFS(I$5:I$315,$A$5:$A$315,$A226,$C$5:$C$315,$C226-1,$D$5:$D$315,$D226))-1)))</f>
        <v/>
      </c>
      <c r="T226" s="16">
        <f>IF(OR($A226="",J226="",$C226=""),"",IF(COUNTIFS($A$5:$A$315,$A226,$C$5:$C$315,$C226-1,$D$5:$D$315,$D226,J$5:J$315,"&lt;&gt;")=0,"",IF(OR(SUMIFS(J$5:J$315,$A$5:$A$315,$A226,$C$5:$C$315,$C226-1,$D$5:$D$315,$D226)=0,J226*SUMIFS(J$5:J$315,$A$5:$A$315,$A226,$C$5:$C$315,$C226-1,$D$5:$D$315,$D226)&lt;0),"n.s.",ABS(J226)/ABS(SUMIFS(J$5:J$315,$A$5:$A$315,$A226,$C$5:$C$315,$C226-1,$D$5:$D$315,$D226))-1)))</f>
        <v/>
      </c>
      <c r="U226" s="16">
        <f>IF(OR($A226="",K226="",$C226=""),"",IF(COUNTIFS($A$5:$A$315,$A226,$C$5:$C$315,$C226-1,$D$5:$D$315,$D226,K$5:K$315,"&lt;&gt;")=0,"",IF(OR(SUMIFS(K$5:K$315,$A$5:$A$315,$A226,$C$5:$C$315,$C226-1,$D$5:$D$315,$D226)=0,K226*SUMIFS(K$5:K$315,$A$5:$A$315,$A226,$C$5:$C$315,$C226-1,$D$5:$D$315,$D226)&lt;0),"n.s.",ABS(K226)/ABS(SUMIFS(K$5:K$315,$A$5:$A$315,$A226,$C$5:$C$315,$C226-1,$D$5:$D$315,$D226))-1)))</f>
        <v/>
      </c>
      <c r="V226" s="16">
        <f>IF(OR($A226="",L226="",$C226=""),"",IF(COUNTIFS($A$5:$A$315,$A226,$C$5:$C$315,$C226-1,$D$5:$D$315,$D226,L$5:L$315,"&lt;&gt;")=0,"",IF(OR(SUMIFS(L$5:L$315,$A$5:$A$315,$A226,$C$5:$C$315,$C226-1,$D$5:$D$315,$D226)=0,L226*SUMIFS(L$5:L$315,$A$5:$A$315,$A226,$C$5:$C$315,$C226-1,$D$5:$D$315,$D226)&lt;0),"n.s.",ABS(L226)/ABS(SUMIFS(L$5:L$315,$A$5:$A$315,$A226,$C$5:$C$315,$C226-1,$D$5:$D$315,$D226))-1)))</f>
        <v/>
      </c>
      <c r="W226" s="16">
        <f>IF(OR($A226="",M226="",$C226=""),"",IF(COUNTIFS($A$5:$A$315,$A226,$C$5:$C$315,$C226-1,$D$5:$D$315,$D226,M$5:M$315,"&lt;&gt;")=0,"",IF(OR(SUMIFS(M$5:M$315,$A$5:$A$315,$A226,$C$5:$C$315,$C226-1,$D$5:$D$315,$D226)=0,M226*SUMIFS(M$5:M$315,$A$5:$A$315,$A226,$C$5:$C$315,$C226-1,$D$5:$D$315,$D226)&lt;0),"n.s.",ABS(M226)/ABS(SUMIFS(M$5:M$315,$A$5:$A$315,$A226,$C$5:$C$315,$C226-1,$D$5:$D$315,$D226))-1)))</f>
        <v/>
      </c>
      <c r="X226" s="16">
        <f>IF(OR($A226="",N226="",$C226=""),"",IF(COUNTIFS($A$5:$A$315,$A226,$C$5:$C$315,$C226-1,$D$5:$D$315,$D226,N$5:N$315,"&lt;&gt;")=0,"",IF(OR(SUMIFS(N$5:N$315,$A$5:$A$315,$A226,$C$5:$C$315,$C226-1,$D$5:$D$315,$D226)=0,N226*SUMIFS(N$5:N$315,$A$5:$A$315,$A226,$C$5:$C$315,$C226-1,$D$5:$D$315,$D226)&lt;0),"n.s.",ABS(N226)/ABS(SUMIFS(N$5:N$315,$A$5:$A$315,$A226,$C$5:$C$315,$C226-1,$D$5:$D$315,$D226))-1)))</f>
        <v/>
      </c>
      <c r="Y226" s="16">
        <f>IF(OR($A226="",O226="",$C226=""),"",IF(COUNTIFS($A$5:$A$315,$A226,$C$5:$C$315,$C226-1,$D$5:$D$315,$D226,O$5:O$315,"&lt;&gt;")=0,"",IF(OR(SUMIFS(O$5:O$315,$A$5:$A$315,$A226,$C$5:$C$315,$C226-1,$D$5:$D$315,$D226)=0,O226*SUMIFS(O$5:O$315,$A$5:$A$315,$A226,$C$5:$C$315,$C226-1,$D$5:$D$315,$D226)&lt;0),"n.s.",ABS(O226)/ABS(SUMIFS(O$5:O$315,$A$5:$A$315,$A226,$C$5:$C$315,$C226-1,$D$5:$D$315,$D226))-1)))</f>
        <v/>
      </c>
    </row>
    <row r="227">
      <c r="A227" s="9" t="inlineStr">
        <is>
          <t>SAFC</t>
        </is>
      </c>
      <c r="B227" s="10">
        <f>IF(A227="","",IFERROR(VLOOKUP(A227,Titres!$A$2:$B$400,2,FALSE),"Ticker inconnu"))</f>
        <v/>
      </c>
      <c r="C227" s="11" t="n">
        <v>2023</v>
      </c>
      <c r="D227" s="11" t="inlineStr">
        <is>
          <t>T1</t>
        </is>
      </c>
      <c r="E227" s="9" t="n"/>
      <c r="F227" s="12" t="n"/>
      <c r="G227" s="9" t="n"/>
      <c r="H227" s="13" t="n"/>
      <c r="I227" s="13" t="n"/>
      <c r="J227" s="13" t="n"/>
      <c r="K227" s="13" t="n"/>
      <c r="L227" s="13" t="n"/>
      <c r="M227" s="13" t="n"/>
      <c r="N227" s="13" t="n"/>
      <c r="O227" s="13" t="n"/>
      <c r="P227" s="14">
        <f>IF(A227="","",COUNT(H227:O227)/8)</f>
        <v/>
      </c>
      <c r="Q227" s="15">
        <f>IF(COUNT(H227:O227)=0,"",IF(LEN(IF(COUNT(H227,I227,J227)=3,IF(ABS(H227+I227-J227)&lt;=MAX(1,0.02*ABS(J227)),"","RBE &lt;&gt; PNB + frais "),"")&amp;IF(COUNT(J227,K227,L227)=3,IF(ABS(J227+K227-L227)&lt;=MAX(1,0.03*ABS(L227)),"","RAI &lt;&gt; RBE + coût du risque "),"")&amp;IF(COUNT(H227,M227)=2,IF(ABS(M227)&gt;ABS(H227),"RN &gt; PNB ",""),""))=0,"OK",IF(COUNT(H227,I227,J227)=3,IF(ABS(H227+I227-J227)&lt;=MAX(1,0.02*ABS(J227)),"","RBE &lt;&gt; PNB + frais "),"")&amp;IF(COUNT(J227,K227,L227)=3,IF(ABS(J227+K227-L227)&lt;=MAX(1,0.03*ABS(L227)),"","RAI &lt;&gt; RBE + coût du risque "),"")&amp;IF(COUNT(H227,M227)=2,IF(ABS(M227)&gt;ABS(H227),"RN &gt; PNB ",""),"")))</f>
        <v/>
      </c>
      <c r="R227" s="16">
        <f>IF(OR($A227="",H227="",$C227=""),"",IF(COUNTIFS($A$5:$A$315,$A227,$C$5:$C$315,$C227-1,$D$5:$D$315,$D227,H$5:H$315,"&lt;&gt;")=0,"",IF(OR(SUMIFS(H$5:H$315,$A$5:$A$315,$A227,$C$5:$C$315,$C227-1,$D$5:$D$315,$D227)=0,H227*SUMIFS(H$5:H$315,$A$5:$A$315,$A227,$C$5:$C$315,$C227-1,$D$5:$D$315,$D227)&lt;0),"n.s.",ABS(H227)/ABS(SUMIFS(H$5:H$315,$A$5:$A$315,$A227,$C$5:$C$315,$C227-1,$D$5:$D$315,$D227))-1)))</f>
        <v/>
      </c>
      <c r="S227" s="16">
        <f>IF(OR($A227="",I227="",$C227=""),"",IF(COUNTIFS($A$5:$A$315,$A227,$C$5:$C$315,$C227-1,$D$5:$D$315,$D227,I$5:I$315,"&lt;&gt;")=0,"",IF(OR(SUMIFS(I$5:I$315,$A$5:$A$315,$A227,$C$5:$C$315,$C227-1,$D$5:$D$315,$D227)=0,I227*SUMIFS(I$5:I$315,$A$5:$A$315,$A227,$C$5:$C$315,$C227-1,$D$5:$D$315,$D227)&lt;0),"n.s.",ABS(I227)/ABS(SUMIFS(I$5:I$315,$A$5:$A$315,$A227,$C$5:$C$315,$C227-1,$D$5:$D$315,$D227))-1)))</f>
        <v/>
      </c>
      <c r="T227" s="16">
        <f>IF(OR($A227="",J227="",$C227=""),"",IF(COUNTIFS($A$5:$A$315,$A227,$C$5:$C$315,$C227-1,$D$5:$D$315,$D227,J$5:J$315,"&lt;&gt;")=0,"",IF(OR(SUMIFS(J$5:J$315,$A$5:$A$315,$A227,$C$5:$C$315,$C227-1,$D$5:$D$315,$D227)=0,J227*SUMIFS(J$5:J$315,$A$5:$A$315,$A227,$C$5:$C$315,$C227-1,$D$5:$D$315,$D227)&lt;0),"n.s.",ABS(J227)/ABS(SUMIFS(J$5:J$315,$A$5:$A$315,$A227,$C$5:$C$315,$C227-1,$D$5:$D$315,$D227))-1)))</f>
        <v/>
      </c>
      <c r="U227" s="16">
        <f>IF(OR($A227="",K227="",$C227=""),"",IF(COUNTIFS($A$5:$A$315,$A227,$C$5:$C$315,$C227-1,$D$5:$D$315,$D227,K$5:K$315,"&lt;&gt;")=0,"",IF(OR(SUMIFS(K$5:K$315,$A$5:$A$315,$A227,$C$5:$C$315,$C227-1,$D$5:$D$315,$D227)=0,K227*SUMIFS(K$5:K$315,$A$5:$A$315,$A227,$C$5:$C$315,$C227-1,$D$5:$D$315,$D227)&lt;0),"n.s.",ABS(K227)/ABS(SUMIFS(K$5:K$315,$A$5:$A$315,$A227,$C$5:$C$315,$C227-1,$D$5:$D$315,$D227))-1)))</f>
        <v/>
      </c>
      <c r="V227" s="16">
        <f>IF(OR($A227="",L227="",$C227=""),"",IF(COUNTIFS($A$5:$A$315,$A227,$C$5:$C$315,$C227-1,$D$5:$D$315,$D227,L$5:L$315,"&lt;&gt;")=0,"",IF(OR(SUMIFS(L$5:L$315,$A$5:$A$315,$A227,$C$5:$C$315,$C227-1,$D$5:$D$315,$D227)=0,L227*SUMIFS(L$5:L$315,$A$5:$A$315,$A227,$C$5:$C$315,$C227-1,$D$5:$D$315,$D227)&lt;0),"n.s.",ABS(L227)/ABS(SUMIFS(L$5:L$315,$A$5:$A$315,$A227,$C$5:$C$315,$C227-1,$D$5:$D$315,$D227))-1)))</f>
        <v/>
      </c>
      <c r="W227" s="16">
        <f>IF(OR($A227="",M227="",$C227=""),"",IF(COUNTIFS($A$5:$A$315,$A227,$C$5:$C$315,$C227-1,$D$5:$D$315,$D227,M$5:M$315,"&lt;&gt;")=0,"",IF(OR(SUMIFS(M$5:M$315,$A$5:$A$315,$A227,$C$5:$C$315,$C227-1,$D$5:$D$315,$D227)=0,M227*SUMIFS(M$5:M$315,$A$5:$A$315,$A227,$C$5:$C$315,$C227-1,$D$5:$D$315,$D227)&lt;0),"n.s.",ABS(M227)/ABS(SUMIFS(M$5:M$315,$A$5:$A$315,$A227,$C$5:$C$315,$C227-1,$D$5:$D$315,$D227))-1)))</f>
        <v/>
      </c>
      <c r="X227" s="16">
        <f>IF(OR($A227="",N227="",$C227=""),"",IF(COUNTIFS($A$5:$A$315,$A227,$C$5:$C$315,$C227-1,$D$5:$D$315,$D227,N$5:N$315,"&lt;&gt;")=0,"",IF(OR(SUMIFS(N$5:N$315,$A$5:$A$315,$A227,$C$5:$C$315,$C227-1,$D$5:$D$315,$D227)=0,N227*SUMIFS(N$5:N$315,$A$5:$A$315,$A227,$C$5:$C$315,$C227-1,$D$5:$D$315,$D227)&lt;0),"n.s.",ABS(N227)/ABS(SUMIFS(N$5:N$315,$A$5:$A$315,$A227,$C$5:$C$315,$C227-1,$D$5:$D$315,$D227))-1)))</f>
        <v/>
      </c>
      <c r="Y227" s="16">
        <f>IF(OR($A227="",O227="",$C227=""),"",IF(COUNTIFS($A$5:$A$315,$A227,$C$5:$C$315,$C227-1,$D$5:$D$315,$D227,O$5:O$315,"&lt;&gt;")=0,"",IF(OR(SUMIFS(O$5:O$315,$A$5:$A$315,$A227,$C$5:$C$315,$C227-1,$D$5:$D$315,$D227)=0,O227*SUMIFS(O$5:O$315,$A$5:$A$315,$A227,$C$5:$C$315,$C227-1,$D$5:$D$315,$D227)&lt;0),"n.s.",ABS(O227)/ABS(SUMIFS(O$5:O$315,$A$5:$A$315,$A227,$C$5:$C$315,$C227-1,$D$5:$D$315,$D227))-1)))</f>
        <v/>
      </c>
    </row>
    <row r="228">
      <c r="A228" s="9" t="inlineStr">
        <is>
          <t>SAFC</t>
        </is>
      </c>
      <c r="B228" s="10">
        <f>IF(A228="","",IFERROR(VLOOKUP(A228,Titres!$A$2:$B$400,2,FALSE),"Ticker inconnu"))</f>
        <v/>
      </c>
      <c r="C228" s="11" t="n">
        <v>2023</v>
      </c>
      <c r="D228" s="11" t="inlineStr">
        <is>
          <t>S1</t>
        </is>
      </c>
      <c r="E228" s="9" t="n"/>
      <c r="F228" s="12" t="n"/>
      <c r="G228" s="9" t="n"/>
      <c r="H228" s="13" t="n"/>
      <c r="I228" s="13" t="n"/>
      <c r="J228" s="13" t="n"/>
      <c r="K228" s="13" t="n"/>
      <c r="L228" s="13" t="n"/>
      <c r="M228" s="13" t="n"/>
      <c r="N228" s="13" t="n"/>
      <c r="O228" s="13" t="n"/>
      <c r="P228" s="14">
        <f>IF(A228="","",COUNT(H228:O228)/8)</f>
        <v/>
      </c>
      <c r="Q228" s="15">
        <f>IF(COUNT(H228:O228)=0,"",IF(LEN(IF(COUNT(H228,I228,J228)=3,IF(ABS(H228+I228-J228)&lt;=MAX(1,0.02*ABS(J228)),"","RBE &lt;&gt; PNB + frais "),"")&amp;IF(COUNT(J228,K228,L228)=3,IF(ABS(J228+K228-L228)&lt;=MAX(1,0.03*ABS(L228)),"","RAI &lt;&gt; RBE + coût du risque "),"")&amp;IF(COUNT(H228,M228)=2,IF(ABS(M228)&gt;ABS(H228),"RN &gt; PNB ",""),""))=0,"OK",IF(COUNT(H228,I228,J228)=3,IF(ABS(H228+I228-J228)&lt;=MAX(1,0.02*ABS(J228)),"","RBE &lt;&gt; PNB + frais "),"")&amp;IF(COUNT(J228,K228,L228)=3,IF(ABS(J228+K228-L228)&lt;=MAX(1,0.03*ABS(L228)),"","RAI &lt;&gt; RBE + coût du risque "),"")&amp;IF(COUNT(H228,M228)=2,IF(ABS(M228)&gt;ABS(H228),"RN &gt; PNB ",""),"")))</f>
        <v/>
      </c>
      <c r="R228" s="16">
        <f>IF(OR($A228="",H228="",$C228=""),"",IF(COUNTIFS($A$5:$A$315,$A228,$C$5:$C$315,$C228-1,$D$5:$D$315,$D228,H$5:H$315,"&lt;&gt;")=0,"",IF(OR(SUMIFS(H$5:H$315,$A$5:$A$315,$A228,$C$5:$C$315,$C228-1,$D$5:$D$315,$D228)=0,H228*SUMIFS(H$5:H$315,$A$5:$A$315,$A228,$C$5:$C$315,$C228-1,$D$5:$D$315,$D228)&lt;0),"n.s.",ABS(H228)/ABS(SUMIFS(H$5:H$315,$A$5:$A$315,$A228,$C$5:$C$315,$C228-1,$D$5:$D$315,$D228))-1)))</f>
        <v/>
      </c>
      <c r="S228" s="16">
        <f>IF(OR($A228="",I228="",$C228=""),"",IF(COUNTIFS($A$5:$A$315,$A228,$C$5:$C$315,$C228-1,$D$5:$D$315,$D228,I$5:I$315,"&lt;&gt;")=0,"",IF(OR(SUMIFS(I$5:I$315,$A$5:$A$315,$A228,$C$5:$C$315,$C228-1,$D$5:$D$315,$D228)=0,I228*SUMIFS(I$5:I$315,$A$5:$A$315,$A228,$C$5:$C$315,$C228-1,$D$5:$D$315,$D228)&lt;0),"n.s.",ABS(I228)/ABS(SUMIFS(I$5:I$315,$A$5:$A$315,$A228,$C$5:$C$315,$C228-1,$D$5:$D$315,$D228))-1)))</f>
        <v/>
      </c>
      <c r="T228" s="16">
        <f>IF(OR($A228="",J228="",$C228=""),"",IF(COUNTIFS($A$5:$A$315,$A228,$C$5:$C$315,$C228-1,$D$5:$D$315,$D228,J$5:J$315,"&lt;&gt;")=0,"",IF(OR(SUMIFS(J$5:J$315,$A$5:$A$315,$A228,$C$5:$C$315,$C228-1,$D$5:$D$315,$D228)=0,J228*SUMIFS(J$5:J$315,$A$5:$A$315,$A228,$C$5:$C$315,$C228-1,$D$5:$D$315,$D228)&lt;0),"n.s.",ABS(J228)/ABS(SUMIFS(J$5:J$315,$A$5:$A$315,$A228,$C$5:$C$315,$C228-1,$D$5:$D$315,$D228))-1)))</f>
        <v/>
      </c>
      <c r="U228" s="16">
        <f>IF(OR($A228="",K228="",$C228=""),"",IF(COUNTIFS($A$5:$A$315,$A228,$C$5:$C$315,$C228-1,$D$5:$D$315,$D228,K$5:K$315,"&lt;&gt;")=0,"",IF(OR(SUMIFS(K$5:K$315,$A$5:$A$315,$A228,$C$5:$C$315,$C228-1,$D$5:$D$315,$D228)=0,K228*SUMIFS(K$5:K$315,$A$5:$A$315,$A228,$C$5:$C$315,$C228-1,$D$5:$D$315,$D228)&lt;0),"n.s.",ABS(K228)/ABS(SUMIFS(K$5:K$315,$A$5:$A$315,$A228,$C$5:$C$315,$C228-1,$D$5:$D$315,$D228))-1)))</f>
        <v/>
      </c>
      <c r="V228" s="16">
        <f>IF(OR($A228="",L228="",$C228=""),"",IF(COUNTIFS($A$5:$A$315,$A228,$C$5:$C$315,$C228-1,$D$5:$D$315,$D228,L$5:L$315,"&lt;&gt;")=0,"",IF(OR(SUMIFS(L$5:L$315,$A$5:$A$315,$A228,$C$5:$C$315,$C228-1,$D$5:$D$315,$D228)=0,L228*SUMIFS(L$5:L$315,$A$5:$A$315,$A228,$C$5:$C$315,$C228-1,$D$5:$D$315,$D228)&lt;0),"n.s.",ABS(L228)/ABS(SUMIFS(L$5:L$315,$A$5:$A$315,$A228,$C$5:$C$315,$C228-1,$D$5:$D$315,$D228))-1)))</f>
        <v/>
      </c>
      <c r="W228" s="16">
        <f>IF(OR($A228="",M228="",$C228=""),"",IF(COUNTIFS($A$5:$A$315,$A228,$C$5:$C$315,$C228-1,$D$5:$D$315,$D228,M$5:M$315,"&lt;&gt;")=0,"",IF(OR(SUMIFS(M$5:M$315,$A$5:$A$315,$A228,$C$5:$C$315,$C228-1,$D$5:$D$315,$D228)=0,M228*SUMIFS(M$5:M$315,$A$5:$A$315,$A228,$C$5:$C$315,$C228-1,$D$5:$D$315,$D228)&lt;0),"n.s.",ABS(M228)/ABS(SUMIFS(M$5:M$315,$A$5:$A$315,$A228,$C$5:$C$315,$C228-1,$D$5:$D$315,$D228))-1)))</f>
        <v/>
      </c>
      <c r="X228" s="16">
        <f>IF(OR($A228="",N228="",$C228=""),"",IF(COUNTIFS($A$5:$A$315,$A228,$C$5:$C$315,$C228-1,$D$5:$D$315,$D228,N$5:N$315,"&lt;&gt;")=0,"",IF(OR(SUMIFS(N$5:N$315,$A$5:$A$315,$A228,$C$5:$C$315,$C228-1,$D$5:$D$315,$D228)=0,N228*SUMIFS(N$5:N$315,$A$5:$A$315,$A228,$C$5:$C$315,$C228-1,$D$5:$D$315,$D228)&lt;0),"n.s.",ABS(N228)/ABS(SUMIFS(N$5:N$315,$A$5:$A$315,$A228,$C$5:$C$315,$C228-1,$D$5:$D$315,$D228))-1)))</f>
        <v/>
      </c>
      <c r="Y228" s="16">
        <f>IF(OR($A228="",O228="",$C228=""),"",IF(COUNTIFS($A$5:$A$315,$A228,$C$5:$C$315,$C228-1,$D$5:$D$315,$D228,O$5:O$315,"&lt;&gt;")=0,"",IF(OR(SUMIFS(O$5:O$315,$A$5:$A$315,$A228,$C$5:$C$315,$C228-1,$D$5:$D$315,$D228)=0,O228*SUMIFS(O$5:O$315,$A$5:$A$315,$A228,$C$5:$C$315,$C228-1,$D$5:$D$315,$D228)&lt;0),"n.s.",ABS(O228)/ABS(SUMIFS(O$5:O$315,$A$5:$A$315,$A228,$C$5:$C$315,$C228-1,$D$5:$D$315,$D228))-1)))</f>
        <v/>
      </c>
    </row>
    <row r="229">
      <c r="A229" s="9" t="inlineStr">
        <is>
          <t>SAFC</t>
        </is>
      </c>
      <c r="B229" s="10">
        <f>IF(A229="","",IFERROR(VLOOKUP(A229,Titres!$A$2:$B$400,2,FALSE),"Ticker inconnu"))</f>
        <v/>
      </c>
      <c r="C229" s="11" t="n">
        <v>2023</v>
      </c>
      <c r="D229" s="11" t="inlineStr">
        <is>
          <t>T3</t>
        </is>
      </c>
      <c r="E229" s="9" t="n"/>
      <c r="F229" s="12" t="n"/>
      <c r="G229" s="9" t="n"/>
      <c r="H229" s="13" t="n"/>
      <c r="I229" s="13" t="n"/>
      <c r="J229" s="13" t="n"/>
      <c r="K229" s="13" t="n"/>
      <c r="L229" s="13" t="n"/>
      <c r="M229" s="13" t="n"/>
      <c r="N229" s="13" t="n"/>
      <c r="O229" s="13" t="n"/>
      <c r="P229" s="14">
        <f>IF(A229="","",COUNT(H229:O229)/8)</f>
        <v/>
      </c>
      <c r="Q229" s="15">
        <f>IF(COUNT(H229:O229)=0,"",IF(LEN(IF(COUNT(H229,I229,J229)=3,IF(ABS(H229+I229-J229)&lt;=MAX(1,0.02*ABS(J229)),"","RBE &lt;&gt; PNB + frais "),"")&amp;IF(COUNT(J229,K229,L229)=3,IF(ABS(J229+K229-L229)&lt;=MAX(1,0.03*ABS(L229)),"","RAI &lt;&gt; RBE + coût du risque "),"")&amp;IF(COUNT(H229,M229)=2,IF(ABS(M229)&gt;ABS(H229),"RN &gt; PNB ",""),""))=0,"OK",IF(COUNT(H229,I229,J229)=3,IF(ABS(H229+I229-J229)&lt;=MAX(1,0.02*ABS(J229)),"","RBE &lt;&gt; PNB + frais "),"")&amp;IF(COUNT(J229,K229,L229)=3,IF(ABS(J229+K229-L229)&lt;=MAX(1,0.03*ABS(L229)),"","RAI &lt;&gt; RBE + coût du risque "),"")&amp;IF(COUNT(H229,M229)=2,IF(ABS(M229)&gt;ABS(H229),"RN &gt; PNB ",""),"")))</f>
        <v/>
      </c>
      <c r="R229" s="16">
        <f>IF(OR($A229="",H229="",$C229=""),"",IF(COUNTIFS($A$5:$A$315,$A229,$C$5:$C$315,$C229-1,$D$5:$D$315,$D229,H$5:H$315,"&lt;&gt;")=0,"",IF(OR(SUMIFS(H$5:H$315,$A$5:$A$315,$A229,$C$5:$C$315,$C229-1,$D$5:$D$315,$D229)=0,H229*SUMIFS(H$5:H$315,$A$5:$A$315,$A229,$C$5:$C$315,$C229-1,$D$5:$D$315,$D229)&lt;0),"n.s.",ABS(H229)/ABS(SUMIFS(H$5:H$315,$A$5:$A$315,$A229,$C$5:$C$315,$C229-1,$D$5:$D$315,$D229))-1)))</f>
        <v/>
      </c>
      <c r="S229" s="16">
        <f>IF(OR($A229="",I229="",$C229=""),"",IF(COUNTIFS($A$5:$A$315,$A229,$C$5:$C$315,$C229-1,$D$5:$D$315,$D229,I$5:I$315,"&lt;&gt;")=0,"",IF(OR(SUMIFS(I$5:I$315,$A$5:$A$315,$A229,$C$5:$C$315,$C229-1,$D$5:$D$315,$D229)=0,I229*SUMIFS(I$5:I$315,$A$5:$A$315,$A229,$C$5:$C$315,$C229-1,$D$5:$D$315,$D229)&lt;0),"n.s.",ABS(I229)/ABS(SUMIFS(I$5:I$315,$A$5:$A$315,$A229,$C$5:$C$315,$C229-1,$D$5:$D$315,$D229))-1)))</f>
        <v/>
      </c>
      <c r="T229" s="16">
        <f>IF(OR($A229="",J229="",$C229=""),"",IF(COUNTIFS($A$5:$A$315,$A229,$C$5:$C$315,$C229-1,$D$5:$D$315,$D229,J$5:J$315,"&lt;&gt;")=0,"",IF(OR(SUMIFS(J$5:J$315,$A$5:$A$315,$A229,$C$5:$C$315,$C229-1,$D$5:$D$315,$D229)=0,J229*SUMIFS(J$5:J$315,$A$5:$A$315,$A229,$C$5:$C$315,$C229-1,$D$5:$D$315,$D229)&lt;0),"n.s.",ABS(J229)/ABS(SUMIFS(J$5:J$315,$A$5:$A$315,$A229,$C$5:$C$315,$C229-1,$D$5:$D$315,$D229))-1)))</f>
        <v/>
      </c>
      <c r="U229" s="16">
        <f>IF(OR($A229="",K229="",$C229=""),"",IF(COUNTIFS($A$5:$A$315,$A229,$C$5:$C$315,$C229-1,$D$5:$D$315,$D229,K$5:K$315,"&lt;&gt;")=0,"",IF(OR(SUMIFS(K$5:K$315,$A$5:$A$315,$A229,$C$5:$C$315,$C229-1,$D$5:$D$315,$D229)=0,K229*SUMIFS(K$5:K$315,$A$5:$A$315,$A229,$C$5:$C$315,$C229-1,$D$5:$D$315,$D229)&lt;0),"n.s.",ABS(K229)/ABS(SUMIFS(K$5:K$315,$A$5:$A$315,$A229,$C$5:$C$315,$C229-1,$D$5:$D$315,$D229))-1)))</f>
        <v/>
      </c>
      <c r="V229" s="16">
        <f>IF(OR($A229="",L229="",$C229=""),"",IF(COUNTIFS($A$5:$A$315,$A229,$C$5:$C$315,$C229-1,$D$5:$D$315,$D229,L$5:L$315,"&lt;&gt;")=0,"",IF(OR(SUMIFS(L$5:L$315,$A$5:$A$315,$A229,$C$5:$C$315,$C229-1,$D$5:$D$315,$D229)=0,L229*SUMIFS(L$5:L$315,$A$5:$A$315,$A229,$C$5:$C$315,$C229-1,$D$5:$D$315,$D229)&lt;0),"n.s.",ABS(L229)/ABS(SUMIFS(L$5:L$315,$A$5:$A$315,$A229,$C$5:$C$315,$C229-1,$D$5:$D$315,$D229))-1)))</f>
        <v/>
      </c>
      <c r="W229" s="16">
        <f>IF(OR($A229="",M229="",$C229=""),"",IF(COUNTIFS($A$5:$A$315,$A229,$C$5:$C$315,$C229-1,$D$5:$D$315,$D229,M$5:M$315,"&lt;&gt;")=0,"",IF(OR(SUMIFS(M$5:M$315,$A$5:$A$315,$A229,$C$5:$C$315,$C229-1,$D$5:$D$315,$D229)=0,M229*SUMIFS(M$5:M$315,$A$5:$A$315,$A229,$C$5:$C$315,$C229-1,$D$5:$D$315,$D229)&lt;0),"n.s.",ABS(M229)/ABS(SUMIFS(M$5:M$315,$A$5:$A$315,$A229,$C$5:$C$315,$C229-1,$D$5:$D$315,$D229))-1)))</f>
        <v/>
      </c>
      <c r="X229" s="16">
        <f>IF(OR($A229="",N229="",$C229=""),"",IF(COUNTIFS($A$5:$A$315,$A229,$C$5:$C$315,$C229-1,$D$5:$D$315,$D229,N$5:N$315,"&lt;&gt;")=0,"",IF(OR(SUMIFS(N$5:N$315,$A$5:$A$315,$A229,$C$5:$C$315,$C229-1,$D$5:$D$315,$D229)=0,N229*SUMIFS(N$5:N$315,$A$5:$A$315,$A229,$C$5:$C$315,$C229-1,$D$5:$D$315,$D229)&lt;0),"n.s.",ABS(N229)/ABS(SUMIFS(N$5:N$315,$A$5:$A$315,$A229,$C$5:$C$315,$C229-1,$D$5:$D$315,$D229))-1)))</f>
        <v/>
      </c>
      <c r="Y229" s="16">
        <f>IF(OR($A229="",O229="",$C229=""),"",IF(COUNTIFS($A$5:$A$315,$A229,$C$5:$C$315,$C229-1,$D$5:$D$315,$D229,O$5:O$315,"&lt;&gt;")=0,"",IF(OR(SUMIFS(O$5:O$315,$A$5:$A$315,$A229,$C$5:$C$315,$C229-1,$D$5:$D$315,$D229)=0,O229*SUMIFS(O$5:O$315,$A$5:$A$315,$A229,$C$5:$C$315,$C229-1,$D$5:$D$315,$D229)&lt;0),"n.s.",ABS(O229)/ABS(SUMIFS(O$5:O$315,$A$5:$A$315,$A229,$C$5:$C$315,$C229-1,$D$5:$D$315,$D229))-1)))</f>
        <v/>
      </c>
    </row>
    <row r="230">
      <c r="A230" s="9" t="inlineStr">
        <is>
          <t>SAFC</t>
        </is>
      </c>
      <c r="B230" s="10">
        <f>IF(A230="","",IFERROR(VLOOKUP(A230,Titres!$A$2:$B$400,2,FALSE),"Ticker inconnu"))</f>
        <v/>
      </c>
      <c r="C230" s="11" t="n">
        <v>2024</v>
      </c>
      <c r="D230" s="11" t="inlineStr">
        <is>
          <t>T1</t>
        </is>
      </c>
      <c r="E230" s="9" t="n"/>
      <c r="F230" s="12" t="n"/>
      <c r="G230" s="9" t="n"/>
      <c r="H230" s="13" t="n"/>
      <c r="I230" s="13" t="n"/>
      <c r="J230" s="13" t="n"/>
      <c r="K230" s="13" t="n"/>
      <c r="L230" s="13" t="n"/>
      <c r="M230" s="13" t="n"/>
      <c r="N230" s="13" t="n"/>
      <c r="O230" s="13" t="n"/>
      <c r="P230" s="14">
        <f>IF(A230="","",COUNT(H230:O230)/8)</f>
        <v/>
      </c>
      <c r="Q230" s="15">
        <f>IF(COUNT(H230:O230)=0,"",IF(LEN(IF(COUNT(H230,I230,J230)=3,IF(ABS(H230+I230-J230)&lt;=MAX(1,0.02*ABS(J230)),"","RBE &lt;&gt; PNB + frais "),"")&amp;IF(COUNT(J230,K230,L230)=3,IF(ABS(J230+K230-L230)&lt;=MAX(1,0.03*ABS(L230)),"","RAI &lt;&gt; RBE + coût du risque "),"")&amp;IF(COUNT(H230,M230)=2,IF(ABS(M230)&gt;ABS(H230),"RN &gt; PNB ",""),""))=0,"OK",IF(COUNT(H230,I230,J230)=3,IF(ABS(H230+I230-J230)&lt;=MAX(1,0.02*ABS(J230)),"","RBE &lt;&gt; PNB + frais "),"")&amp;IF(COUNT(J230,K230,L230)=3,IF(ABS(J230+K230-L230)&lt;=MAX(1,0.03*ABS(L230)),"","RAI &lt;&gt; RBE + coût du risque "),"")&amp;IF(COUNT(H230,M230)=2,IF(ABS(M230)&gt;ABS(H230),"RN &gt; PNB ",""),"")))</f>
        <v/>
      </c>
      <c r="R230" s="16">
        <f>IF(OR($A230="",H230="",$C230=""),"",IF(COUNTIFS($A$5:$A$315,$A230,$C$5:$C$315,$C230-1,$D$5:$D$315,$D230,H$5:H$315,"&lt;&gt;")=0,"",IF(OR(SUMIFS(H$5:H$315,$A$5:$A$315,$A230,$C$5:$C$315,$C230-1,$D$5:$D$315,$D230)=0,H230*SUMIFS(H$5:H$315,$A$5:$A$315,$A230,$C$5:$C$315,$C230-1,$D$5:$D$315,$D230)&lt;0),"n.s.",ABS(H230)/ABS(SUMIFS(H$5:H$315,$A$5:$A$315,$A230,$C$5:$C$315,$C230-1,$D$5:$D$315,$D230))-1)))</f>
        <v/>
      </c>
      <c r="S230" s="16">
        <f>IF(OR($A230="",I230="",$C230=""),"",IF(COUNTIFS($A$5:$A$315,$A230,$C$5:$C$315,$C230-1,$D$5:$D$315,$D230,I$5:I$315,"&lt;&gt;")=0,"",IF(OR(SUMIFS(I$5:I$315,$A$5:$A$315,$A230,$C$5:$C$315,$C230-1,$D$5:$D$315,$D230)=0,I230*SUMIFS(I$5:I$315,$A$5:$A$315,$A230,$C$5:$C$315,$C230-1,$D$5:$D$315,$D230)&lt;0),"n.s.",ABS(I230)/ABS(SUMIFS(I$5:I$315,$A$5:$A$315,$A230,$C$5:$C$315,$C230-1,$D$5:$D$315,$D230))-1)))</f>
        <v/>
      </c>
      <c r="T230" s="16">
        <f>IF(OR($A230="",J230="",$C230=""),"",IF(COUNTIFS($A$5:$A$315,$A230,$C$5:$C$315,$C230-1,$D$5:$D$315,$D230,J$5:J$315,"&lt;&gt;")=0,"",IF(OR(SUMIFS(J$5:J$315,$A$5:$A$315,$A230,$C$5:$C$315,$C230-1,$D$5:$D$315,$D230)=0,J230*SUMIFS(J$5:J$315,$A$5:$A$315,$A230,$C$5:$C$315,$C230-1,$D$5:$D$315,$D230)&lt;0),"n.s.",ABS(J230)/ABS(SUMIFS(J$5:J$315,$A$5:$A$315,$A230,$C$5:$C$315,$C230-1,$D$5:$D$315,$D230))-1)))</f>
        <v/>
      </c>
      <c r="U230" s="16">
        <f>IF(OR($A230="",K230="",$C230=""),"",IF(COUNTIFS($A$5:$A$315,$A230,$C$5:$C$315,$C230-1,$D$5:$D$315,$D230,K$5:K$315,"&lt;&gt;")=0,"",IF(OR(SUMIFS(K$5:K$315,$A$5:$A$315,$A230,$C$5:$C$315,$C230-1,$D$5:$D$315,$D230)=0,K230*SUMIFS(K$5:K$315,$A$5:$A$315,$A230,$C$5:$C$315,$C230-1,$D$5:$D$315,$D230)&lt;0),"n.s.",ABS(K230)/ABS(SUMIFS(K$5:K$315,$A$5:$A$315,$A230,$C$5:$C$315,$C230-1,$D$5:$D$315,$D230))-1)))</f>
        <v/>
      </c>
      <c r="V230" s="16">
        <f>IF(OR($A230="",L230="",$C230=""),"",IF(COUNTIFS($A$5:$A$315,$A230,$C$5:$C$315,$C230-1,$D$5:$D$315,$D230,L$5:L$315,"&lt;&gt;")=0,"",IF(OR(SUMIFS(L$5:L$315,$A$5:$A$315,$A230,$C$5:$C$315,$C230-1,$D$5:$D$315,$D230)=0,L230*SUMIFS(L$5:L$315,$A$5:$A$315,$A230,$C$5:$C$315,$C230-1,$D$5:$D$315,$D230)&lt;0),"n.s.",ABS(L230)/ABS(SUMIFS(L$5:L$315,$A$5:$A$315,$A230,$C$5:$C$315,$C230-1,$D$5:$D$315,$D230))-1)))</f>
        <v/>
      </c>
      <c r="W230" s="16">
        <f>IF(OR($A230="",M230="",$C230=""),"",IF(COUNTIFS($A$5:$A$315,$A230,$C$5:$C$315,$C230-1,$D$5:$D$315,$D230,M$5:M$315,"&lt;&gt;")=0,"",IF(OR(SUMIFS(M$5:M$315,$A$5:$A$315,$A230,$C$5:$C$315,$C230-1,$D$5:$D$315,$D230)=0,M230*SUMIFS(M$5:M$315,$A$5:$A$315,$A230,$C$5:$C$315,$C230-1,$D$5:$D$315,$D230)&lt;0),"n.s.",ABS(M230)/ABS(SUMIFS(M$5:M$315,$A$5:$A$315,$A230,$C$5:$C$315,$C230-1,$D$5:$D$315,$D230))-1)))</f>
        <v/>
      </c>
      <c r="X230" s="16">
        <f>IF(OR($A230="",N230="",$C230=""),"",IF(COUNTIFS($A$5:$A$315,$A230,$C$5:$C$315,$C230-1,$D$5:$D$315,$D230,N$5:N$315,"&lt;&gt;")=0,"",IF(OR(SUMIFS(N$5:N$315,$A$5:$A$315,$A230,$C$5:$C$315,$C230-1,$D$5:$D$315,$D230)=0,N230*SUMIFS(N$5:N$315,$A$5:$A$315,$A230,$C$5:$C$315,$C230-1,$D$5:$D$315,$D230)&lt;0),"n.s.",ABS(N230)/ABS(SUMIFS(N$5:N$315,$A$5:$A$315,$A230,$C$5:$C$315,$C230-1,$D$5:$D$315,$D230))-1)))</f>
        <v/>
      </c>
      <c r="Y230" s="16">
        <f>IF(OR($A230="",O230="",$C230=""),"",IF(COUNTIFS($A$5:$A$315,$A230,$C$5:$C$315,$C230-1,$D$5:$D$315,$D230,O$5:O$315,"&lt;&gt;")=0,"",IF(OR(SUMIFS(O$5:O$315,$A$5:$A$315,$A230,$C$5:$C$315,$C230-1,$D$5:$D$315,$D230)=0,O230*SUMIFS(O$5:O$315,$A$5:$A$315,$A230,$C$5:$C$315,$C230-1,$D$5:$D$315,$D230)&lt;0),"n.s.",ABS(O230)/ABS(SUMIFS(O$5:O$315,$A$5:$A$315,$A230,$C$5:$C$315,$C230-1,$D$5:$D$315,$D230))-1)))</f>
        <v/>
      </c>
    </row>
    <row r="231">
      <c r="A231" s="9" t="inlineStr">
        <is>
          <t>SAFC</t>
        </is>
      </c>
      <c r="B231" s="10">
        <f>IF(A231="","",IFERROR(VLOOKUP(A231,Titres!$A$2:$B$400,2,FALSE),"Ticker inconnu"))</f>
        <v/>
      </c>
      <c r="C231" s="11" t="n">
        <v>2024</v>
      </c>
      <c r="D231" s="11" t="inlineStr">
        <is>
          <t>S1</t>
        </is>
      </c>
      <c r="E231" s="9" t="n"/>
      <c r="F231" s="12" t="n"/>
      <c r="G231" s="9" t="n"/>
      <c r="H231" s="13" t="n"/>
      <c r="I231" s="13" t="n"/>
      <c r="J231" s="13" t="n"/>
      <c r="K231" s="13" t="n"/>
      <c r="L231" s="13" t="n"/>
      <c r="M231" s="13" t="n"/>
      <c r="N231" s="13" t="n"/>
      <c r="O231" s="13" t="n"/>
      <c r="P231" s="14">
        <f>IF(A231="","",COUNT(H231:O231)/8)</f>
        <v/>
      </c>
      <c r="Q231" s="15">
        <f>IF(COUNT(H231:O231)=0,"",IF(LEN(IF(COUNT(H231,I231,J231)=3,IF(ABS(H231+I231-J231)&lt;=MAX(1,0.02*ABS(J231)),"","RBE &lt;&gt; PNB + frais "),"")&amp;IF(COUNT(J231,K231,L231)=3,IF(ABS(J231+K231-L231)&lt;=MAX(1,0.03*ABS(L231)),"","RAI &lt;&gt; RBE + coût du risque "),"")&amp;IF(COUNT(H231,M231)=2,IF(ABS(M231)&gt;ABS(H231),"RN &gt; PNB ",""),""))=0,"OK",IF(COUNT(H231,I231,J231)=3,IF(ABS(H231+I231-J231)&lt;=MAX(1,0.02*ABS(J231)),"","RBE &lt;&gt; PNB + frais "),"")&amp;IF(COUNT(J231,K231,L231)=3,IF(ABS(J231+K231-L231)&lt;=MAX(1,0.03*ABS(L231)),"","RAI &lt;&gt; RBE + coût du risque "),"")&amp;IF(COUNT(H231,M231)=2,IF(ABS(M231)&gt;ABS(H231),"RN &gt; PNB ",""),"")))</f>
        <v/>
      </c>
      <c r="R231" s="16">
        <f>IF(OR($A231="",H231="",$C231=""),"",IF(COUNTIFS($A$5:$A$315,$A231,$C$5:$C$315,$C231-1,$D$5:$D$315,$D231,H$5:H$315,"&lt;&gt;")=0,"",IF(OR(SUMIFS(H$5:H$315,$A$5:$A$315,$A231,$C$5:$C$315,$C231-1,$D$5:$D$315,$D231)=0,H231*SUMIFS(H$5:H$315,$A$5:$A$315,$A231,$C$5:$C$315,$C231-1,$D$5:$D$315,$D231)&lt;0),"n.s.",ABS(H231)/ABS(SUMIFS(H$5:H$315,$A$5:$A$315,$A231,$C$5:$C$315,$C231-1,$D$5:$D$315,$D231))-1)))</f>
        <v/>
      </c>
      <c r="S231" s="16">
        <f>IF(OR($A231="",I231="",$C231=""),"",IF(COUNTIFS($A$5:$A$315,$A231,$C$5:$C$315,$C231-1,$D$5:$D$315,$D231,I$5:I$315,"&lt;&gt;")=0,"",IF(OR(SUMIFS(I$5:I$315,$A$5:$A$315,$A231,$C$5:$C$315,$C231-1,$D$5:$D$315,$D231)=0,I231*SUMIFS(I$5:I$315,$A$5:$A$315,$A231,$C$5:$C$315,$C231-1,$D$5:$D$315,$D231)&lt;0),"n.s.",ABS(I231)/ABS(SUMIFS(I$5:I$315,$A$5:$A$315,$A231,$C$5:$C$315,$C231-1,$D$5:$D$315,$D231))-1)))</f>
        <v/>
      </c>
      <c r="T231" s="16">
        <f>IF(OR($A231="",J231="",$C231=""),"",IF(COUNTIFS($A$5:$A$315,$A231,$C$5:$C$315,$C231-1,$D$5:$D$315,$D231,J$5:J$315,"&lt;&gt;")=0,"",IF(OR(SUMIFS(J$5:J$315,$A$5:$A$315,$A231,$C$5:$C$315,$C231-1,$D$5:$D$315,$D231)=0,J231*SUMIFS(J$5:J$315,$A$5:$A$315,$A231,$C$5:$C$315,$C231-1,$D$5:$D$315,$D231)&lt;0),"n.s.",ABS(J231)/ABS(SUMIFS(J$5:J$315,$A$5:$A$315,$A231,$C$5:$C$315,$C231-1,$D$5:$D$315,$D231))-1)))</f>
        <v/>
      </c>
      <c r="U231" s="16">
        <f>IF(OR($A231="",K231="",$C231=""),"",IF(COUNTIFS($A$5:$A$315,$A231,$C$5:$C$315,$C231-1,$D$5:$D$315,$D231,K$5:K$315,"&lt;&gt;")=0,"",IF(OR(SUMIFS(K$5:K$315,$A$5:$A$315,$A231,$C$5:$C$315,$C231-1,$D$5:$D$315,$D231)=0,K231*SUMIFS(K$5:K$315,$A$5:$A$315,$A231,$C$5:$C$315,$C231-1,$D$5:$D$315,$D231)&lt;0),"n.s.",ABS(K231)/ABS(SUMIFS(K$5:K$315,$A$5:$A$315,$A231,$C$5:$C$315,$C231-1,$D$5:$D$315,$D231))-1)))</f>
        <v/>
      </c>
      <c r="V231" s="16">
        <f>IF(OR($A231="",L231="",$C231=""),"",IF(COUNTIFS($A$5:$A$315,$A231,$C$5:$C$315,$C231-1,$D$5:$D$315,$D231,L$5:L$315,"&lt;&gt;")=0,"",IF(OR(SUMIFS(L$5:L$315,$A$5:$A$315,$A231,$C$5:$C$315,$C231-1,$D$5:$D$315,$D231)=0,L231*SUMIFS(L$5:L$315,$A$5:$A$315,$A231,$C$5:$C$315,$C231-1,$D$5:$D$315,$D231)&lt;0),"n.s.",ABS(L231)/ABS(SUMIFS(L$5:L$315,$A$5:$A$315,$A231,$C$5:$C$315,$C231-1,$D$5:$D$315,$D231))-1)))</f>
        <v/>
      </c>
      <c r="W231" s="16">
        <f>IF(OR($A231="",M231="",$C231=""),"",IF(COUNTIFS($A$5:$A$315,$A231,$C$5:$C$315,$C231-1,$D$5:$D$315,$D231,M$5:M$315,"&lt;&gt;")=0,"",IF(OR(SUMIFS(M$5:M$315,$A$5:$A$315,$A231,$C$5:$C$315,$C231-1,$D$5:$D$315,$D231)=0,M231*SUMIFS(M$5:M$315,$A$5:$A$315,$A231,$C$5:$C$315,$C231-1,$D$5:$D$315,$D231)&lt;0),"n.s.",ABS(M231)/ABS(SUMIFS(M$5:M$315,$A$5:$A$315,$A231,$C$5:$C$315,$C231-1,$D$5:$D$315,$D231))-1)))</f>
        <v/>
      </c>
      <c r="X231" s="16">
        <f>IF(OR($A231="",N231="",$C231=""),"",IF(COUNTIFS($A$5:$A$315,$A231,$C$5:$C$315,$C231-1,$D$5:$D$315,$D231,N$5:N$315,"&lt;&gt;")=0,"",IF(OR(SUMIFS(N$5:N$315,$A$5:$A$315,$A231,$C$5:$C$315,$C231-1,$D$5:$D$315,$D231)=0,N231*SUMIFS(N$5:N$315,$A$5:$A$315,$A231,$C$5:$C$315,$C231-1,$D$5:$D$315,$D231)&lt;0),"n.s.",ABS(N231)/ABS(SUMIFS(N$5:N$315,$A$5:$A$315,$A231,$C$5:$C$315,$C231-1,$D$5:$D$315,$D231))-1)))</f>
        <v/>
      </c>
      <c r="Y231" s="16">
        <f>IF(OR($A231="",O231="",$C231=""),"",IF(COUNTIFS($A$5:$A$315,$A231,$C$5:$C$315,$C231-1,$D$5:$D$315,$D231,O$5:O$315,"&lt;&gt;")=0,"",IF(OR(SUMIFS(O$5:O$315,$A$5:$A$315,$A231,$C$5:$C$315,$C231-1,$D$5:$D$315,$D231)=0,O231*SUMIFS(O$5:O$315,$A$5:$A$315,$A231,$C$5:$C$315,$C231-1,$D$5:$D$315,$D231)&lt;0),"n.s.",ABS(O231)/ABS(SUMIFS(O$5:O$315,$A$5:$A$315,$A231,$C$5:$C$315,$C231-1,$D$5:$D$315,$D231))-1)))</f>
        <v/>
      </c>
    </row>
    <row r="232">
      <c r="A232" s="9" t="inlineStr">
        <is>
          <t>SAFC</t>
        </is>
      </c>
      <c r="B232" s="10">
        <f>IF(A232="","",IFERROR(VLOOKUP(A232,Titres!$A$2:$B$400,2,FALSE),"Ticker inconnu"))</f>
        <v/>
      </c>
      <c r="C232" s="11" t="n">
        <v>2024</v>
      </c>
      <c r="D232" s="11" t="inlineStr">
        <is>
          <t>T3</t>
        </is>
      </c>
      <c r="E232" s="9" t="n"/>
      <c r="F232" s="12" t="n"/>
      <c r="G232" s="9" t="n"/>
      <c r="H232" s="13" t="n"/>
      <c r="I232" s="13" t="n"/>
      <c r="J232" s="13" t="n"/>
      <c r="K232" s="13" t="n"/>
      <c r="L232" s="13" t="n"/>
      <c r="M232" s="13" t="n"/>
      <c r="N232" s="13" t="n"/>
      <c r="O232" s="13" t="n"/>
      <c r="P232" s="14">
        <f>IF(A232="","",COUNT(H232:O232)/8)</f>
        <v/>
      </c>
      <c r="Q232" s="15">
        <f>IF(COUNT(H232:O232)=0,"",IF(LEN(IF(COUNT(H232,I232,J232)=3,IF(ABS(H232+I232-J232)&lt;=MAX(1,0.02*ABS(J232)),"","RBE &lt;&gt; PNB + frais "),"")&amp;IF(COUNT(J232,K232,L232)=3,IF(ABS(J232+K232-L232)&lt;=MAX(1,0.03*ABS(L232)),"","RAI &lt;&gt; RBE + coût du risque "),"")&amp;IF(COUNT(H232,M232)=2,IF(ABS(M232)&gt;ABS(H232),"RN &gt; PNB ",""),""))=0,"OK",IF(COUNT(H232,I232,J232)=3,IF(ABS(H232+I232-J232)&lt;=MAX(1,0.02*ABS(J232)),"","RBE &lt;&gt; PNB + frais "),"")&amp;IF(COUNT(J232,K232,L232)=3,IF(ABS(J232+K232-L232)&lt;=MAX(1,0.03*ABS(L232)),"","RAI &lt;&gt; RBE + coût du risque "),"")&amp;IF(COUNT(H232,M232)=2,IF(ABS(M232)&gt;ABS(H232),"RN &gt; PNB ",""),"")))</f>
        <v/>
      </c>
      <c r="R232" s="16">
        <f>IF(OR($A232="",H232="",$C232=""),"",IF(COUNTIFS($A$5:$A$315,$A232,$C$5:$C$315,$C232-1,$D$5:$D$315,$D232,H$5:H$315,"&lt;&gt;")=0,"",IF(OR(SUMIFS(H$5:H$315,$A$5:$A$315,$A232,$C$5:$C$315,$C232-1,$D$5:$D$315,$D232)=0,H232*SUMIFS(H$5:H$315,$A$5:$A$315,$A232,$C$5:$C$315,$C232-1,$D$5:$D$315,$D232)&lt;0),"n.s.",ABS(H232)/ABS(SUMIFS(H$5:H$315,$A$5:$A$315,$A232,$C$5:$C$315,$C232-1,$D$5:$D$315,$D232))-1)))</f>
        <v/>
      </c>
      <c r="S232" s="16">
        <f>IF(OR($A232="",I232="",$C232=""),"",IF(COUNTIFS($A$5:$A$315,$A232,$C$5:$C$315,$C232-1,$D$5:$D$315,$D232,I$5:I$315,"&lt;&gt;")=0,"",IF(OR(SUMIFS(I$5:I$315,$A$5:$A$315,$A232,$C$5:$C$315,$C232-1,$D$5:$D$315,$D232)=0,I232*SUMIFS(I$5:I$315,$A$5:$A$315,$A232,$C$5:$C$315,$C232-1,$D$5:$D$315,$D232)&lt;0),"n.s.",ABS(I232)/ABS(SUMIFS(I$5:I$315,$A$5:$A$315,$A232,$C$5:$C$315,$C232-1,$D$5:$D$315,$D232))-1)))</f>
        <v/>
      </c>
      <c r="T232" s="16">
        <f>IF(OR($A232="",J232="",$C232=""),"",IF(COUNTIFS($A$5:$A$315,$A232,$C$5:$C$315,$C232-1,$D$5:$D$315,$D232,J$5:J$315,"&lt;&gt;")=0,"",IF(OR(SUMIFS(J$5:J$315,$A$5:$A$315,$A232,$C$5:$C$315,$C232-1,$D$5:$D$315,$D232)=0,J232*SUMIFS(J$5:J$315,$A$5:$A$315,$A232,$C$5:$C$315,$C232-1,$D$5:$D$315,$D232)&lt;0),"n.s.",ABS(J232)/ABS(SUMIFS(J$5:J$315,$A$5:$A$315,$A232,$C$5:$C$315,$C232-1,$D$5:$D$315,$D232))-1)))</f>
        <v/>
      </c>
      <c r="U232" s="16">
        <f>IF(OR($A232="",K232="",$C232=""),"",IF(COUNTIFS($A$5:$A$315,$A232,$C$5:$C$315,$C232-1,$D$5:$D$315,$D232,K$5:K$315,"&lt;&gt;")=0,"",IF(OR(SUMIFS(K$5:K$315,$A$5:$A$315,$A232,$C$5:$C$315,$C232-1,$D$5:$D$315,$D232)=0,K232*SUMIFS(K$5:K$315,$A$5:$A$315,$A232,$C$5:$C$315,$C232-1,$D$5:$D$315,$D232)&lt;0),"n.s.",ABS(K232)/ABS(SUMIFS(K$5:K$315,$A$5:$A$315,$A232,$C$5:$C$315,$C232-1,$D$5:$D$315,$D232))-1)))</f>
        <v/>
      </c>
      <c r="V232" s="16">
        <f>IF(OR($A232="",L232="",$C232=""),"",IF(COUNTIFS($A$5:$A$315,$A232,$C$5:$C$315,$C232-1,$D$5:$D$315,$D232,L$5:L$315,"&lt;&gt;")=0,"",IF(OR(SUMIFS(L$5:L$315,$A$5:$A$315,$A232,$C$5:$C$315,$C232-1,$D$5:$D$315,$D232)=0,L232*SUMIFS(L$5:L$315,$A$5:$A$315,$A232,$C$5:$C$315,$C232-1,$D$5:$D$315,$D232)&lt;0),"n.s.",ABS(L232)/ABS(SUMIFS(L$5:L$315,$A$5:$A$315,$A232,$C$5:$C$315,$C232-1,$D$5:$D$315,$D232))-1)))</f>
        <v/>
      </c>
      <c r="W232" s="16">
        <f>IF(OR($A232="",M232="",$C232=""),"",IF(COUNTIFS($A$5:$A$315,$A232,$C$5:$C$315,$C232-1,$D$5:$D$315,$D232,M$5:M$315,"&lt;&gt;")=0,"",IF(OR(SUMIFS(M$5:M$315,$A$5:$A$315,$A232,$C$5:$C$315,$C232-1,$D$5:$D$315,$D232)=0,M232*SUMIFS(M$5:M$315,$A$5:$A$315,$A232,$C$5:$C$315,$C232-1,$D$5:$D$315,$D232)&lt;0),"n.s.",ABS(M232)/ABS(SUMIFS(M$5:M$315,$A$5:$A$315,$A232,$C$5:$C$315,$C232-1,$D$5:$D$315,$D232))-1)))</f>
        <v/>
      </c>
      <c r="X232" s="16">
        <f>IF(OR($A232="",N232="",$C232=""),"",IF(COUNTIFS($A$5:$A$315,$A232,$C$5:$C$315,$C232-1,$D$5:$D$315,$D232,N$5:N$315,"&lt;&gt;")=0,"",IF(OR(SUMIFS(N$5:N$315,$A$5:$A$315,$A232,$C$5:$C$315,$C232-1,$D$5:$D$315,$D232)=0,N232*SUMIFS(N$5:N$315,$A$5:$A$315,$A232,$C$5:$C$315,$C232-1,$D$5:$D$315,$D232)&lt;0),"n.s.",ABS(N232)/ABS(SUMIFS(N$5:N$315,$A$5:$A$315,$A232,$C$5:$C$315,$C232-1,$D$5:$D$315,$D232))-1)))</f>
        <v/>
      </c>
      <c r="Y232" s="16">
        <f>IF(OR($A232="",O232="",$C232=""),"",IF(COUNTIFS($A$5:$A$315,$A232,$C$5:$C$315,$C232-1,$D$5:$D$315,$D232,O$5:O$315,"&lt;&gt;")=0,"",IF(OR(SUMIFS(O$5:O$315,$A$5:$A$315,$A232,$C$5:$C$315,$C232-1,$D$5:$D$315,$D232)=0,O232*SUMIFS(O$5:O$315,$A$5:$A$315,$A232,$C$5:$C$315,$C232-1,$D$5:$D$315,$D232)&lt;0),"n.s.",ABS(O232)/ABS(SUMIFS(O$5:O$315,$A$5:$A$315,$A232,$C$5:$C$315,$C232-1,$D$5:$D$315,$D232))-1)))</f>
        <v/>
      </c>
    </row>
    <row r="233">
      <c r="A233" s="9" t="inlineStr">
        <is>
          <t>SAFC</t>
        </is>
      </c>
      <c r="B233" s="10">
        <f>IF(A233="","",IFERROR(VLOOKUP(A233,Titres!$A$2:$B$400,2,FALSE),"Ticker inconnu"))</f>
        <v/>
      </c>
      <c r="C233" s="11" t="n">
        <v>2025</v>
      </c>
      <c r="D233" s="11" t="inlineStr">
        <is>
          <t>T1</t>
        </is>
      </c>
      <c r="E233" s="9" t="inlineStr">
        <is>
          <t>Publié</t>
        </is>
      </c>
      <c r="F233" s="12" t="n">
        <v>46153</v>
      </c>
      <c r="G233" s="9" t="inlineStr">
        <is>
          <t>https://www.richbourse.com/common/actualite/afficher-fichier/11-05-2026-safca-ci-rapport-dactivites-1er-trimestre-2026 (comparatif N-1)</t>
        </is>
      </c>
      <c r="H233" s="13" t="n">
        <v>1080</v>
      </c>
      <c r="I233" s="13" t="n"/>
      <c r="J233" s="13" t="n"/>
      <c r="K233" s="13" t="n">
        <v>-89</v>
      </c>
      <c r="L233" s="13" t="n"/>
      <c r="M233" s="13" t="n"/>
      <c r="N233" s="13" t="n"/>
      <c r="O233" s="13" t="n"/>
      <c r="P233" s="14">
        <f>IF(A233="","",COUNT(H233:O233)/8)</f>
        <v/>
      </c>
      <c r="Q233" s="15">
        <f>IF(COUNT(H233:O233)=0,"",IF(LEN(IF(COUNT(H233,I233,J233)=3,IF(ABS(H233+I233-J233)&lt;=MAX(1,0.02*ABS(J233)),"","RBE &lt;&gt; PNB + frais "),"")&amp;IF(COUNT(J233,K233,L233)=3,IF(ABS(J233+K233-L233)&lt;=MAX(1,0.03*ABS(L233)),"","RAI &lt;&gt; RBE + coût du risque "),"")&amp;IF(COUNT(H233,M233)=2,IF(ABS(M233)&gt;ABS(H233),"RN &gt; PNB ",""),""))=0,"OK",IF(COUNT(H233,I233,J233)=3,IF(ABS(H233+I233-J233)&lt;=MAX(1,0.02*ABS(J233)),"","RBE &lt;&gt; PNB + frais "),"")&amp;IF(COUNT(J233,K233,L233)=3,IF(ABS(J233+K233-L233)&lt;=MAX(1,0.03*ABS(L233)),"","RAI &lt;&gt; RBE + coût du risque "),"")&amp;IF(COUNT(H233,M233)=2,IF(ABS(M233)&gt;ABS(H233),"RN &gt; PNB ",""),"")))</f>
        <v/>
      </c>
      <c r="R233" s="16">
        <f>IF(OR($A233="",H233="",$C233=""),"",IF(COUNTIFS($A$5:$A$315,$A233,$C$5:$C$315,$C233-1,$D$5:$D$315,$D233,H$5:H$315,"&lt;&gt;")=0,"",IF(OR(SUMIFS(H$5:H$315,$A$5:$A$315,$A233,$C$5:$C$315,$C233-1,$D$5:$D$315,$D233)=0,H233*SUMIFS(H$5:H$315,$A$5:$A$315,$A233,$C$5:$C$315,$C233-1,$D$5:$D$315,$D233)&lt;0),"n.s.",ABS(H233)/ABS(SUMIFS(H$5:H$315,$A$5:$A$315,$A233,$C$5:$C$315,$C233-1,$D$5:$D$315,$D233))-1)))</f>
        <v/>
      </c>
      <c r="S233" s="16">
        <f>IF(OR($A233="",I233="",$C233=""),"",IF(COUNTIFS($A$5:$A$315,$A233,$C$5:$C$315,$C233-1,$D$5:$D$315,$D233,I$5:I$315,"&lt;&gt;")=0,"",IF(OR(SUMIFS(I$5:I$315,$A$5:$A$315,$A233,$C$5:$C$315,$C233-1,$D$5:$D$315,$D233)=0,I233*SUMIFS(I$5:I$315,$A$5:$A$315,$A233,$C$5:$C$315,$C233-1,$D$5:$D$315,$D233)&lt;0),"n.s.",ABS(I233)/ABS(SUMIFS(I$5:I$315,$A$5:$A$315,$A233,$C$5:$C$315,$C233-1,$D$5:$D$315,$D233))-1)))</f>
        <v/>
      </c>
      <c r="T233" s="16">
        <f>IF(OR($A233="",J233="",$C233=""),"",IF(COUNTIFS($A$5:$A$315,$A233,$C$5:$C$315,$C233-1,$D$5:$D$315,$D233,J$5:J$315,"&lt;&gt;")=0,"",IF(OR(SUMIFS(J$5:J$315,$A$5:$A$315,$A233,$C$5:$C$315,$C233-1,$D$5:$D$315,$D233)=0,J233*SUMIFS(J$5:J$315,$A$5:$A$315,$A233,$C$5:$C$315,$C233-1,$D$5:$D$315,$D233)&lt;0),"n.s.",ABS(J233)/ABS(SUMIFS(J$5:J$315,$A$5:$A$315,$A233,$C$5:$C$315,$C233-1,$D$5:$D$315,$D233))-1)))</f>
        <v/>
      </c>
      <c r="U233" s="16">
        <f>IF(OR($A233="",K233="",$C233=""),"",IF(COUNTIFS($A$5:$A$315,$A233,$C$5:$C$315,$C233-1,$D$5:$D$315,$D233,K$5:K$315,"&lt;&gt;")=0,"",IF(OR(SUMIFS(K$5:K$315,$A$5:$A$315,$A233,$C$5:$C$315,$C233-1,$D$5:$D$315,$D233)=0,K233*SUMIFS(K$5:K$315,$A$5:$A$315,$A233,$C$5:$C$315,$C233-1,$D$5:$D$315,$D233)&lt;0),"n.s.",ABS(K233)/ABS(SUMIFS(K$5:K$315,$A$5:$A$315,$A233,$C$5:$C$315,$C233-1,$D$5:$D$315,$D233))-1)))</f>
        <v/>
      </c>
      <c r="V233" s="16">
        <f>IF(OR($A233="",L233="",$C233=""),"",IF(COUNTIFS($A$5:$A$315,$A233,$C$5:$C$315,$C233-1,$D$5:$D$315,$D233,L$5:L$315,"&lt;&gt;")=0,"",IF(OR(SUMIFS(L$5:L$315,$A$5:$A$315,$A233,$C$5:$C$315,$C233-1,$D$5:$D$315,$D233)=0,L233*SUMIFS(L$5:L$315,$A$5:$A$315,$A233,$C$5:$C$315,$C233-1,$D$5:$D$315,$D233)&lt;0),"n.s.",ABS(L233)/ABS(SUMIFS(L$5:L$315,$A$5:$A$315,$A233,$C$5:$C$315,$C233-1,$D$5:$D$315,$D233))-1)))</f>
        <v/>
      </c>
      <c r="W233" s="16">
        <f>IF(OR($A233="",M233="",$C233=""),"",IF(COUNTIFS($A$5:$A$315,$A233,$C$5:$C$315,$C233-1,$D$5:$D$315,$D233,M$5:M$315,"&lt;&gt;")=0,"",IF(OR(SUMIFS(M$5:M$315,$A$5:$A$315,$A233,$C$5:$C$315,$C233-1,$D$5:$D$315,$D233)=0,M233*SUMIFS(M$5:M$315,$A$5:$A$315,$A233,$C$5:$C$315,$C233-1,$D$5:$D$315,$D233)&lt;0),"n.s.",ABS(M233)/ABS(SUMIFS(M$5:M$315,$A$5:$A$315,$A233,$C$5:$C$315,$C233-1,$D$5:$D$315,$D233))-1)))</f>
        <v/>
      </c>
      <c r="X233" s="16">
        <f>IF(OR($A233="",N233="",$C233=""),"",IF(COUNTIFS($A$5:$A$315,$A233,$C$5:$C$315,$C233-1,$D$5:$D$315,$D233,N$5:N$315,"&lt;&gt;")=0,"",IF(OR(SUMIFS(N$5:N$315,$A$5:$A$315,$A233,$C$5:$C$315,$C233-1,$D$5:$D$315,$D233)=0,N233*SUMIFS(N$5:N$315,$A$5:$A$315,$A233,$C$5:$C$315,$C233-1,$D$5:$D$315,$D233)&lt;0),"n.s.",ABS(N233)/ABS(SUMIFS(N$5:N$315,$A$5:$A$315,$A233,$C$5:$C$315,$C233-1,$D$5:$D$315,$D233))-1)))</f>
        <v/>
      </c>
      <c r="Y233" s="16">
        <f>IF(OR($A233="",O233="",$C233=""),"",IF(COUNTIFS($A$5:$A$315,$A233,$C$5:$C$315,$C233-1,$D$5:$D$315,$D233,O$5:O$315,"&lt;&gt;")=0,"",IF(OR(SUMIFS(O$5:O$315,$A$5:$A$315,$A233,$C$5:$C$315,$C233-1,$D$5:$D$315,$D233)=0,O233*SUMIFS(O$5:O$315,$A$5:$A$315,$A233,$C$5:$C$315,$C233-1,$D$5:$D$315,$D233)&lt;0),"n.s.",ABS(O233)/ABS(SUMIFS(O$5:O$315,$A$5:$A$315,$A233,$C$5:$C$315,$C233-1,$D$5:$D$315,$D233))-1)))</f>
        <v/>
      </c>
    </row>
    <row r="234">
      <c r="A234" s="9" t="inlineStr">
        <is>
          <t>SAFC</t>
        </is>
      </c>
      <c r="B234" s="10">
        <f>IF(A234="","",IFERROR(VLOOKUP(A234,Titres!$A$2:$B$400,2,FALSE),"Ticker inconnu"))</f>
        <v/>
      </c>
      <c r="C234" s="11" t="n">
        <v>2025</v>
      </c>
      <c r="D234" s="11" t="inlineStr">
        <is>
          <t>S1</t>
        </is>
      </c>
      <c r="E234" s="9" t="n"/>
      <c r="F234" s="12" t="n"/>
      <c r="G234" s="9" t="n"/>
      <c r="H234" s="13" t="n"/>
      <c r="I234" s="13" t="n"/>
      <c r="J234" s="13" t="n"/>
      <c r="K234" s="13" t="n"/>
      <c r="L234" s="13" t="n"/>
      <c r="M234" s="13" t="n"/>
      <c r="N234" s="13" t="n"/>
      <c r="O234" s="13" t="n"/>
      <c r="P234" s="14">
        <f>IF(A234="","",COUNT(H234:O234)/8)</f>
        <v/>
      </c>
      <c r="Q234" s="15">
        <f>IF(COUNT(H234:O234)=0,"",IF(LEN(IF(COUNT(H234,I234,J234)=3,IF(ABS(H234+I234-J234)&lt;=MAX(1,0.02*ABS(J234)),"","RBE &lt;&gt; PNB + frais "),"")&amp;IF(COUNT(J234,K234,L234)=3,IF(ABS(J234+K234-L234)&lt;=MAX(1,0.03*ABS(L234)),"","RAI &lt;&gt; RBE + coût du risque "),"")&amp;IF(COUNT(H234,M234)=2,IF(ABS(M234)&gt;ABS(H234),"RN &gt; PNB ",""),""))=0,"OK",IF(COUNT(H234,I234,J234)=3,IF(ABS(H234+I234-J234)&lt;=MAX(1,0.02*ABS(J234)),"","RBE &lt;&gt; PNB + frais "),"")&amp;IF(COUNT(J234,K234,L234)=3,IF(ABS(J234+K234-L234)&lt;=MAX(1,0.03*ABS(L234)),"","RAI &lt;&gt; RBE + coût du risque "),"")&amp;IF(COUNT(H234,M234)=2,IF(ABS(M234)&gt;ABS(H234),"RN &gt; PNB ",""),"")))</f>
        <v/>
      </c>
      <c r="R234" s="16">
        <f>IF(OR($A234="",H234="",$C234=""),"",IF(COUNTIFS($A$5:$A$315,$A234,$C$5:$C$315,$C234-1,$D$5:$D$315,$D234,H$5:H$315,"&lt;&gt;")=0,"",IF(OR(SUMIFS(H$5:H$315,$A$5:$A$315,$A234,$C$5:$C$315,$C234-1,$D$5:$D$315,$D234)=0,H234*SUMIFS(H$5:H$315,$A$5:$A$315,$A234,$C$5:$C$315,$C234-1,$D$5:$D$315,$D234)&lt;0),"n.s.",ABS(H234)/ABS(SUMIFS(H$5:H$315,$A$5:$A$315,$A234,$C$5:$C$315,$C234-1,$D$5:$D$315,$D234))-1)))</f>
        <v/>
      </c>
      <c r="S234" s="16">
        <f>IF(OR($A234="",I234="",$C234=""),"",IF(COUNTIFS($A$5:$A$315,$A234,$C$5:$C$315,$C234-1,$D$5:$D$315,$D234,I$5:I$315,"&lt;&gt;")=0,"",IF(OR(SUMIFS(I$5:I$315,$A$5:$A$315,$A234,$C$5:$C$315,$C234-1,$D$5:$D$315,$D234)=0,I234*SUMIFS(I$5:I$315,$A$5:$A$315,$A234,$C$5:$C$315,$C234-1,$D$5:$D$315,$D234)&lt;0),"n.s.",ABS(I234)/ABS(SUMIFS(I$5:I$315,$A$5:$A$315,$A234,$C$5:$C$315,$C234-1,$D$5:$D$315,$D234))-1)))</f>
        <v/>
      </c>
      <c r="T234" s="16">
        <f>IF(OR($A234="",J234="",$C234=""),"",IF(COUNTIFS($A$5:$A$315,$A234,$C$5:$C$315,$C234-1,$D$5:$D$315,$D234,J$5:J$315,"&lt;&gt;")=0,"",IF(OR(SUMIFS(J$5:J$315,$A$5:$A$315,$A234,$C$5:$C$315,$C234-1,$D$5:$D$315,$D234)=0,J234*SUMIFS(J$5:J$315,$A$5:$A$315,$A234,$C$5:$C$315,$C234-1,$D$5:$D$315,$D234)&lt;0),"n.s.",ABS(J234)/ABS(SUMIFS(J$5:J$315,$A$5:$A$315,$A234,$C$5:$C$315,$C234-1,$D$5:$D$315,$D234))-1)))</f>
        <v/>
      </c>
      <c r="U234" s="16">
        <f>IF(OR($A234="",K234="",$C234=""),"",IF(COUNTIFS($A$5:$A$315,$A234,$C$5:$C$315,$C234-1,$D$5:$D$315,$D234,K$5:K$315,"&lt;&gt;")=0,"",IF(OR(SUMIFS(K$5:K$315,$A$5:$A$315,$A234,$C$5:$C$315,$C234-1,$D$5:$D$315,$D234)=0,K234*SUMIFS(K$5:K$315,$A$5:$A$315,$A234,$C$5:$C$315,$C234-1,$D$5:$D$315,$D234)&lt;0),"n.s.",ABS(K234)/ABS(SUMIFS(K$5:K$315,$A$5:$A$315,$A234,$C$5:$C$315,$C234-1,$D$5:$D$315,$D234))-1)))</f>
        <v/>
      </c>
      <c r="V234" s="16">
        <f>IF(OR($A234="",L234="",$C234=""),"",IF(COUNTIFS($A$5:$A$315,$A234,$C$5:$C$315,$C234-1,$D$5:$D$315,$D234,L$5:L$315,"&lt;&gt;")=0,"",IF(OR(SUMIFS(L$5:L$315,$A$5:$A$315,$A234,$C$5:$C$315,$C234-1,$D$5:$D$315,$D234)=0,L234*SUMIFS(L$5:L$315,$A$5:$A$315,$A234,$C$5:$C$315,$C234-1,$D$5:$D$315,$D234)&lt;0),"n.s.",ABS(L234)/ABS(SUMIFS(L$5:L$315,$A$5:$A$315,$A234,$C$5:$C$315,$C234-1,$D$5:$D$315,$D234))-1)))</f>
        <v/>
      </c>
      <c r="W234" s="16">
        <f>IF(OR($A234="",M234="",$C234=""),"",IF(COUNTIFS($A$5:$A$315,$A234,$C$5:$C$315,$C234-1,$D$5:$D$315,$D234,M$5:M$315,"&lt;&gt;")=0,"",IF(OR(SUMIFS(M$5:M$315,$A$5:$A$315,$A234,$C$5:$C$315,$C234-1,$D$5:$D$315,$D234)=0,M234*SUMIFS(M$5:M$315,$A$5:$A$315,$A234,$C$5:$C$315,$C234-1,$D$5:$D$315,$D234)&lt;0),"n.s.",ABS(M234)/ABS(SUMIFS(M$5:M$315,$A$5:$A$315,$A234,$C$5:$C$315,$C234-1,$D$5:$D$315,$D234))-1)))</f>
        <v/>
      </c>
      <c r="X234" s="16">
        <f>IF(OR($A234="",N234="",$C234=""),"",IF(COUNTIFS($A$5:$A$315,$A234,$C$5:$C$315,$C234-1,$D$5:$D$315,$D234,N$5:N$315,"&lt;&gt;")=0,"",IF(OR(SUMIFS(N$5:N$315,$A$5:$A$315,$A234,$C$5:$C$315,$C234-1,$D$5:$D$315,$D234)=0,N234*SUMIFS(N$5:N$315,$A$5:$A$315,$A234,$C$5:$C$315,$C234-1,$D$5:$D$315,$D234)&lt;0),"n.s.",ABS(N234)/ABS(SUMIFS(N$5:N$315,$A$5:$A$315,$A234,$C$5:$C$315,$C234-1,$D$5:$D$315,$D234))-1)))</f>
        <v/>
      </c>
      <c r="Y234" s="16">
        <f>IF(OR($A234="",O234="",$C234=""),"",IF(COUNTIFS($A$5:$A$315,$A234,$C$5:$C$315,$C234-1,$D$5:$D$315,$D234,O$5:O$315,"&lt;&gt;")=0,"",IF(OR(SUMIFS(O$5:O$315,$A$5:$A$315,$A234,$C$5:$C$315,$C234-1,$D$5:$D$315,$D234)=0,O234*SUMIFS(O$5:O$315,$A$5:$A$315,$A234,$C$5:$C$315,$C234-1,$D$5:$D$315,$D234)&lt;0),"n.s.",ABS(O234)/ABS(SUMIFS(O$5:O$315,$A$5:$A$315,$A234,$C$5:$C$315,$C234-1,$D$5:$D$315,$D234))-1)))</f>
        <v/>
      </c>
    </row>
    <row r="235">
      <c r="A235" s="9" t="inlineStr">
        <is>
          <t>SAFC</t>
        </is>
      </c>
      <c r="B235" s="10">
        <f>IF(A235="","",IFERROR(VLOOKUP(A235,Titres!$A$2:$B$400,2,FALSE),"Ticker inconnu"))</f>
        <v/>
      </c>
      <c r="C235" s="11" t="n">
        <v>2025</v>
      </c>
      <c r="D235" s="11" t="inlineStr">
        <is>
          <t>T3</t>
        </is>
      </c>
      <c r="E235" s="9" t="n"/>
      <c r="F235" s="12" t="n"/>
      <c r="G235" s="9" t="n"/>
      <c r="H235" s="13" t="n"/>
      <c r="I235" s="13" t="n"/>
      <c r="J235" s="13" t="n"/>
      <c r="K235" s="13" t="n"/>
      <c r="L235" s="13" t="n"/>
      <c r="M235" s="13" t="n"/>
      <c r="N235" s="13" t="n"/>
      <c r="O235" s="13" t="n"/>
      <c r="P235" s="14">
        <f>IF(A235="","",COUNT(H235:O235)/8)</f>
        <v/>
      </c>
      <c r="Q235" s="15">
        <f>IF(COUNT(H235:O235)=0,"",IF(LEN(IF(COUNT(H235,I235,J235)=3,IF(ABS(H235+I235-J235)&lt;=MAX(1,0.02*ABS(J235)),"","RBE &lt;&gt; PNB + frais "),"")&amp;IF(COUNT(J235,K235,L235)=3,IF(ABS(J235+K235-L235)&lt;=MAX(1,0.03*ABS(L235)),"","RAI &lt;&gt; RBE + coût du risque "),"")&amp;IF(COUNT(H235,M235)=2,IF(ABS(M235)&gt;ABS(H235),"RN &gt; PNB ",""),""))=0,"OK",IF(COUNT(H235,I235,J235)=3,IF(ABS(H235+I235-J235)&lt;=MAX(1,0.02*ABS(J235)),"","RBE &lt;&gt; PNB + frais "),"")&amp;IF(COUNT(J235,K235,L235)=3,IF(ABS(J235+K235-L235)&lt;=MAX(1,0.03*ABS(L235)),"","RAI &lt;&gt; RBE + coût du risque "),"")&amp;IF(COUNT(H235,M235)=2,IF(ABS(M235)&gt;ABS(H235),"RN &gt; PNB ",""),"")))</f>
        <v/>
      </c>
      <c r="R235" s="16">
        <f>IF(OR($A235="",H235="",$C235=""),"",IF(COUNTIFS($A$5:$A$315,$A235,$C$5:$C$315,$C235-1,$D$5:$D$315,$D235,H$5:H$315,"&lt;&gt;")=0,"",IF(OR(SUMIFS(H$5:H$315,$A$5:$A$315,$A235,$C$5:$C$315,$C235-1,$D$5:$D$315,$D235)=0,H235*SUMIFS(H$5:H$315,$A$5:$A$315,$A235,$C$5:$C$315,$C235-1,$D$5:$D$315,$D235)&lt;0),"n.s.",ABS(H235)/ABS(SUMIFS(H$5:H$315,$A$5:$A$315,$A235,$C$5:$C$315,$C235-1,$D$5:$D$315,$D235))-1)))</f>
        <v/>
      </c>
      <c r="S235" s="16">
        <f>IF(OR($A235="",I235="",$C235=""),"",IF(COUNTIFS($A$5:$A$315,$A235,$C$5:$C$315,$C235-1,$D$5:$D$315,$D235,I$5:I$315,"&lt;&gt;")=0,"",IF(OR(SUMIFS(I$5:I$315,$A$5:$A$315,$A235,$C$5:$C$315,$C235-1,$D$5:$D$315,$D235)=0,I235*SUMIFS(I$5:I$315,$A$5:$A$315,$A235,$C$5:$C$315,$C235-1,$D$5:$D$315,$D235)&lt;0),"n.s.",ABS(I235)/ABS(SUMIFS(I$5:I$315,$A$5:$A$315,$A235,$C$5:$C$315,$C235-1,$D$5:$D$315,$D235))-1)))</f>
        <v/>
      </c>
      <c r="T235" s="16">
        <f>IF(OR($A235="",J235="",$C235=""),"",IF(COUNTIFS($A$5:$A$315,$A235,$C$5:$C$315,$C235-1,$D$5:$D$315,$D235,J$5:J$315,"&lt;&gt;")=0,"",IF(OR(SUMIFS(J$5:J$315,$A$5:$A$315,$A235,$C$5:$C$315,$C235-1,$D$5:$D$315,$D235)=0,J235*SUMIFS(J$5:J$315,$A$5:$A$315,$A235,$C$5:$C$315,$C235-1,$D$5:$D$315,$D235)&lt;0),"n.s.",ABS(J235)/ABS(SUMIFS(J$5:J$315,$A$5:$A$315,$A235,$C$5:$C$315,$C235-1,$D$5:$D$315,$D235))-1)))</f>
        <v/>
      </c>
      <c r="U235" s="16">
        <f>IF(OR($A235="",K235="",$C235=""),"",IF(COUNTIFS($A$5:$A$315,$A235,$C$5:$C$315,$C235-1,$D$5:$D$315,$D235,K$5:K$315,"&lt;&gt;")=0,"",IF(OR(SUMIFS(K$5:K$315,$A$5:$A$315,$A235,$C$5:$C$315,$C235-1,$D$5:$D$315,$D235)=0,K235*SUMIFS(K$5:K$315,$A$5:$A$315,$A235,$C$5:$C$315,$C235-1,$D$5:$D$315,$D235)&lt;0),"n.s.",ABS(K235)/ABS(SUMIFS(K$5:K$315,$A$5:$A$315,$A235,$C$5:$C$315,$C235-1,$D$5:$D$315,$D235))-1)))</f>
        <v/>
      </c>
      <c r="V235" s="16">
        <f>IF(OR($A235="",L235="",$C235=""),"",IF(COUNTIFS($A$5:$A$315,$A235,$C$5:$C$315,$C235-1,$D$5:$D$315,$D235,L$5:L$315,"&lt;&gt;")=0,"",IF(OR(SUMIFS(L$5:L$315,$A$5:$A$315,$A235,$C$5:$C$315,$C235-1,$D$5:$D$315,$D235)=0,L235*SUMIFS(L$5:L$315,$A$5:$A$315,$A235,$C$5:$C$315,$C235-1,$D$5:$D$315,$D235)&lt;0),"n.s.",ABS(L235)/ABS(SUMIFS(L$5:L$315,$A$5:$A$315,$A235,$C$5:$C$315,$C235-1,$D$5:$D$315,$D235))-1)))</f>
        <v/>
      </c>
      <c r="W235" s="16">
        <f>IF(OR($A235="",M235="",$C235=""),"",IF(COUNTIFS($A$5:$A$315,$A235,$C$5:$C$315,$C235-1,$D$5:$D$315,$D235,M$5:M$315,"&lt;&gt;")=0,"",IF(OR(SUMIFS(M$5:M$315,$A$5:$A$315,$A235,$C$5:$C$315,$C235-1,$D$5:$D$315,$D235)=0,M235*SUMIFS(M$5:M$315,$A$5:$A$315,$A235,$C$5:$C$315,$C235-1,$D$5:$D$315,$D235)&lt;0),"n.s.",ABS(M235)/ABS(SUMIFS(M$5:M$315,$A$5:$A$315,$A235,$C$5:$C$315,$C235-1,$D$5:$D$315,$D235))-1)))</f>
        <v/>
      </c>
      <c r="X235" s="16">
        <f>IF(OR($A235="",N235="",$C235=""),"",IF(COUNTIFS($A$5:$A$315,$A235,$C$5:$C$315,$C235-1,$D$5:$D$315,$D235,N$5:N$315,"&lt;&gt;")=0,"",IF(OR(SUMIFS(N$5:N$315,$A$5:$A$315,$A235,$C$5:$C$315,$C235-1,$D$5:$D$315,$D235)=0,N235*SUMIFS(N$5:N$315,$A$5:$A$315,$A235,$C$5:$C$315,$C235-1,$D$5:$D$315,$D235)&lt;0),"n.s.",ABS(N235)/ABS(SUMIFS(N$5:N$315,$A$5:$A$315,$A235,$C$5:$C$315,$C235-1,$D$5:$D$315,$D235))-1)))</f>
        <v/>
      </c>
      <c r="Y235" s="16">
        <f>IF(OR($A235="",O235="",$C235=""),"",IF(COUNTIFS($A$5:$A$315,$A235,$C$5:$C$315,$C235-1,$D$5:$D$315,$D235,O$5:O$315,"&lt;&gt;")=0,"",IF(OR(SUMIFS(O$5:O$315,$A$5:$A$315,$A235,$C$5:$C$315,$C235-1,$D$5:$D$315,$D235)=0,O235*SUMIFS(O$5:O$315,$A$5:$A$315,$A235,$C$5:$C$315,$C235-1,$D$5:$D$315,$D235)&lt;0),"n.s.",ABS(O235)/ABS(SUMIFS(O$5:O$315,$A$5:$A$315,$A235,$C$5:$C$315,$C235-1,$D$5:$D$315,$D235))-1)))</f>
        <v/>
      </c>
    </row>
    <row r="236">
      <c r="A236" s="9" t="inlineStr">
        <is>
          <t>SAFC</t>
        </is>
      </c>
      <c r="B236" s="10">
        <f>IF(A236="","",IFERROR(VLOOKUP(A236,Titres!$A$2:$B$400,2,FALSE),"Ticker inconnu"))</f>
        <v/>
      </c>
      <c r="C236" s="11" t="n">
        <v>2026</v>
      </c>
      <c r="D236" s="11" t="inlineStr">
        <is>
          <t>T1</t>
        </is>
      </c>
      <c r="E236" s="9" t="inlineStr">
        <is>
          <t>Publié</t>
        </is>
      </c>
      <c r="F236" s="12" t="n">
        <v>46153</v>
      </c>
      <c r="G236" s="9" t="inlineStr">
        <is>
          <t>https://www.richbourse.com/common/actualite/afficher-fichier/11-05-2026-safca-ci-rapport-dactivites-1er-trimestre-2026</t>
        </is>
      </c>
      <c r="H236" s="13" t="n">
        <v>1395</v>
      </c>
      <c r="I236" s="13" t="n"/>
      <c r="J236" s="13" t="n"/>
      <c r="K236" s="13" t="n">
        <v>-22</v>
      </c>
      <c r="L236" s="13" t="n"/>
      <c r="M236" s="13" t="n"/>
      <c r="N236" s="13" t="n"/>
      <c r="O236" s="13" t="n"/>
      <c r="P236" s="14">
        <f>IF(A236="","",COUNT(H236:O236)/8)</f>
        <v/>
      </c>
      <c r="Q236" s="15">
        <f>IF(COUNT(H236:O236)=0,"",IF(LEN(IF(COUNT(H236,I236,J236)=3,IF(ABS(H236+I236-J236)&lt;=MAX(1,0.02*ABS(J236)),"","RBE &lt;&gt; PNB + frais "),"")&amp;IF(COUNT(J236,K236,L236)=3,IF(ABS(J236+K236-L236)&lt;=MAX(1,0.03*ABS(L236)),"","RAI &lt;&gt; RBE + coût du risque "),"")&amp;IF(COUNT(H236,M236)=2,IF(ABS(M236)&gt;ABS(H236),"RN &gt; PNB ",""),""))=0,"OK",IF(COUNT(H236,I236,J236)=3,IF(ABS(H236+I236-J236)&lt;=MAX(1,0.02*ABS(J236)),"","RBE &lt;&gt; PNB + frais "),"")&amp;IF(COUNT(J236,K236,L236)=3,IF(ABS(J236+K236-L236)&lt;=MAX(1,0.03*ABS(L236)),"","RAI &lt;&gt; RBE + coût du risque "),"")&amp;IF(COUNT(H236,M236)=2,IF(ABS(M236)&gt;ABS(H236),"RN &gt; PNB ",""),"")))</f>
        <v/>
      </c>
      <c r="R236" s="16">
        <f>IF(OR($A236="",H236="",$C236=""),"",IF(COUNTIFS($A$5:$A$315,$A236,$C$5:$C$315,$C236-1,$D$5:$D$315,$D236,H$5:H$315,"&lt;&gt;")=0,"",IF(OR(SUMIFS(H$5:H$315,$A$5:$A$315,$A236,$C$5:$C$315,$C236-1,$D$5:$D$315,$D236)=0,H236*SUMIFS(H$5:H$315,$A$5:$A$315,$A236,$C$5:$C$315,$C236-1,$D$5:$D$315,$D236)&lt;0),"n.s.",ABS(H236)/ABS(SUMIFS(H$5:H$315,$A$5:$A$315,$A236,$C$5:$C$315,$C236-1,$D$5:$D$315,$D236))-1)))</f>
        <v/>
      </c>
      <c r="S236" s="16">
        <f>IF(OR($A236="",I236="",$C236=""),"",IF(COUNTIFS($A$5:$A$315,$A236,$C$5:$C$315,$C236-1,$D$5:$D$315,$D236,I$5:I$315,"&lt;&gt;")=0,"",IF(OR(SUMIFS(I$5:I$315,$A$5:$A$315,$A236,$C$5:$C$315,$C236-1,$D$5:$D$315,$D236)=0,I236*SUMIFS(I$5:I$315,$A$5:$A$315,$A236,$C$5:$C$315,$C236-1,$D$5:$D$315,$D236)&lt;0),"n.s.",ABS(I236)/ABS(SUMIFS(I$5:I$315,$A$5:$A$315,$A236,$C$5:$C$315,$C236-1,$D$5:$D$315,$D236))-1)))</f>
        <v/>
      </c>
      <c r="T236" s="16">
        <f>IF(OR($A236="",J236="",$C236=""),"",IF(COUNTIFS($A$5:$A$315,$A236,$C$5:$C$315,$C236-1,$D$5:$D$315,$D236,J$5:J$315,"&lt;&gt;")=0,"",IF(OR(SUMIFS(J$5:J$315,$A$5:$A$315,$A236,$C$5:$C$315,$C236-1,$D$5:$D$315,$D236)=0,J236*SUMIFS(J$5:J$315,$A$5:$A$315,$A236,$C$5:$C$315,$C236-1,$D$5:$D$315,$D236)&lt;0),"n.s.",ABS(J236)/ABS(SUMIFS(J$5:J$315,$A$5:$A$315,$A236,$C$5:$C$315,$C236-1,$D$5:$D$315,$D236))-1)))</f>
        <v/>
      </c>
      <c r="U236" s="16">
        <f>IF(OR($A236="",K236="",$C236=""),"",IF(COUNTIFS($A$5:$A$315,$A236,$C$5:$C$315,$C236-1,$D$5:$D$315,$D236,K$5:K$315,"&lt;&gt;")=0,"",IF(OR(SUMIFS(K$5:K$315,$A$5:$A$315,$A236,$C$5:$C$315,$C236-1,$D$5:$D$315,$D236)=0,K236*SUMIFS(K$5:K$315,$A$5:$A$315,$A236,$C$5:$C$315,$C236-1,$D$5:$D$315,$D236)&lt;0),"n.s.",ABS(K236)/ABS(SUMIFS(K$5:K$315,$A$5:$A$315,$A236,$C$5:$C$315,$C236-1,$D$5:$D$315,$D236))-1)))</f>
        <v/>
      </c>
      <c r="V236" s="16">
        <f>IF(OR($A236="",L236="",$C236=""),"",IF(COUNTIFS($A$5:$A$315,$A236,$C$5:$C$315,$C236-1,$D$5:$D$315,$D236,L$5:L$315,"&lt;&gt;")=0,"",IF(OR(SUMIFS(L$5:L$315,$A$5:$A$315,$A236,$C$5:$C$315,$C236-1,$D$5:$D$315,$D236)=0,L236*SUMIFS(L$5:L$315,$A$5:$A$315,$A236,$C$5:$C$315,$C236-1,$D$5:$D$315,$D236)&lt;0),"n.s.",ABS(L236)/ABS(SUMIFS(L$5:L$315,$A$5:$A$315,$A236,$C$5:$C$315,$C236-1,$D$5:$D$315,$D236))-1)))</f>
        <v/>
      </c>
      <c r="W236" s="16">
        <f>IF(OR($A236="",M236="",$C236=""),"",IF(COUNTIFS($A$5:$A$315,$A236,$C$5:$C$315,$C236-1,$D$5:$D$315,$D236,M$5:M$315,"&lt;&gt;")=0,"",IF(OR(SUMIFS(M$5:M$315,$A$5:$A$315,$A236,$C$5:$C$315,$C236-1,$D$5:$D$315,$D236)=0,M236*SUMIFS(M$5:M$315,$A$5:$A$315,$A236,$C$5:$C$315,$C236-1,$D$5:$D$315,$D236)&lt;0),"n.s.",ABS(M236)/ABS(SUMIFS(M$5:M$315,$A$5:$A$315,$A236,$C$5:$C$315,$C236-1,$D$5:$D$315,$D236))-1)))</f>
        <v/>
      </c>
      <c r="X236" s="16">
        <f>IF(OR($A236="",N236="",$C236=""),"",IF(COUNTIFS($A$5:$A$315,$A236,$C$5:$C$315,$C236-1,$D$5:$D$315,$D236,N$5:N$315,"&lt;&gt;")=0,"",IF(OR(SUMIFS(N$5:N$315,$A$5:$A$315,$A236,$C$5:$C$315,$C236-1,$D$5:$D$315,$D236)=0,N236*SUMIFS(N$5:N$315,$A$5:$A$315,$A236,$C$5:$C$315,$C236-1,$D$5:$D$315,$D236)&lt;0),"n.s.",ABS(N236)/ABS(SUMIFS(N$5:N$315,$A$5:$A$315,$A236,$C$5:$C$315,$C236-1,$D$5:$D$315,$D236))-1)))</f>
        <v/>
      </c>
      <c r="Y236" s="16">
        <f>IF(OR($A236="",O236="",$C236=""),"",IF(COUNTIFS($A$5:$A$315,$A236,$C$5:$C$315,$C236-1,$D$5:$D$315,$D236,O$5:O$315,"&lt;&gt;")=0,"",IF(OR(SUMIFS(O$5:O$315,$A$5:$A$315,$A236,$C$5:$C$315,$C236-1,$D$5:$D$315,$D236)=0,O236*SUMIFS(O$5:O$315,$A$5:$A$315,$A236,$C$5:$C$315,$C236-1,$D$5:$D$315,$D236)&lt;0),"n.s.",ABS(O236)/ABS(SUMIFS(O$5:O$315,$A$5:$A$315,$A236,$C$5:$C$315,$C236-1,$D$5:$D$315,$D236))-1)))</f>
        <v/>
      </c>
    </row>
    <row r="237">
      <c r="A237" s="9" t="inlineStr">
        <is>
          <t>SAFC</t>
        </is>
      </c>
      <c r="B237" s="10">
        <f>IF(A237="","",IFERROR(VLOOKUP(A237,Titres!$A$2:$B$400,2,FALSE),"Ticker inconnu"))</f>
        <v/>
      </c>
      <c r="C237" s="11" t="n">
        <v>2026</v>
      </c>
      <c r="D237" s="11" t="inlineStr">
        <is>
          <t>S1</t>
        </is>
      </c>
      <c r="E237" s="9" t="n"/>
      <c r="F237" s="12" t="n"/>
      <c r="G237" s="9" t="n"/>
      <c r="H237" s="13" t="n"/>
      <c r="I237" s="13" t="n"/>
      <c r="J237" s="13" t="n"/>
      <c r="K237" s="13" t="n"/>
      <c r="L237" s="13" t="n"/>
      <c r="M237" s="13" t="n"/>
      <c r="N237" s="13" t="n"/>
      <c r="O237" s="13" t="n"/>
      <c r="P237" s="14">
        <f>IF(A237="","",COUNT(H237:O237)/8)</f>
        <v/>
      </c>
      <c r="Q237" s="15">
        <f>IF(COUNT(H237:O237)=0,"",IF(LEN(IF(COUNT(H237,I237,J237)=3,IF(ABS(H237+I237-J237)&lt;=MAX(1,0.02*ABS(J237)),"","RBE &lt;&gt; PNB + frais "),"")&amp;IF(COUNT(J237,K237,L237)=3,IF(ABS(J237+K237-L237)&lt;=MAX(1,0.03*ABS(L237)),"","RAI &lt;&gt; RBE + coût du risque "),"")&amp;IF(COUNT(H237,M237)=2,IF(ABS(M237)&gt;ABS(H237),"RN &gt; PNB ",""),""))=0,"OK",IF(COUNT(H237,I237,J237)=3,IF(ABS(H237+I237-J237)&lt;=MAX(1,0.02*ABS(J237)),"","RBE &lt;&gt; PNB + frais "),"")&amp;IF(COUNT(J237,K237,L237)=3,IF(ABS(J237+K237-L237)&lt;=MAX(1,0.03*ABS(L237)),"","RAI &lt;&gt; RBE + coût du risque "),"")&amp;IF(COUNT(H237,M237)=2,IF(ABS(M237)&gt;ABS(H237),"RN &gt; PNB ",""),"")))</f>
        <v/>
      </c>
      <c r="R237" s="16">
        <f>IF(OR($A237="",H237="",$C237=""),"",IF(COUNTIFS($A$5:$A$315,$A237,$C$5:$C$315,$C237-1,$D$5:$D$315,$D237,H$5:H$315,"&lt;&gt;")=0,"",IF(OR(SUMIFS(H$5:H$315,$A$5:$A$315,$A237,$C$5:$C$315,$C237-1,$D$5:$D$315,$D237)=0,H237*SUMIFS(H$5:H$315,$A$5:$A$315,$A237,$C$5:$C$315,$C237-1,$D$5:$D$315,$D237)&lt;0),"n.s.",ABS(H237)/ABS(SUMIFS(H$5:H$315,$A$5:$A$315,$A237,$C$5:$C$315,$C237-1,$D$5:$D$315,$D237))-1)))</f>
        <v/>
      </c>
      <c r="S237" s="16">
        <f>IF(OR($A237="",I237="",$C237=""),"",IF(COUNTIFS($A$5:$A$315,$A237,$C$5:$C$315,$C237-1,$D$5:$D$315,$D237,I$5:I$315,"&lt;&gt;")=0,"",IF(OR(SUMIFS(I$5:I$315,$A$5:$A$315,$A237,$C$5:$C$315,$C237-1,$D$5:$D$315,$D237)=0,I237*SUMIFS(I$5:I$315,$A$5:$A$315,$A237,$C$5:$C$315,$C237-1,$D$5:$D$315,$D237)&lt;0),"n.s.",ABS(I237)/ABS(SUMIFS(I$5:I$315,$A$5:$A$315,$A237,$C$5:$C$315,$C237-1,$D$5:$D$315,$D237))-1)))</f>
        <v/>
      </c>
      <c r="T237" s="16">
        <f>IF(OR($A237="",J237="",$C237=""),"",IF(COUNTIFS($A$5:$A$315,$A237,$C$5:$C$315,$C237-1,$D$5:$D$315,$D237,J$5:J$315,"&lt;&gt;")=0,"",IF(OR(SUMIFS(J$5:J$315,$A$5:$A$315,$A237,$C$5:$C$315,$C237-1,$D$5:$D$315,$D237)=0,J237*SUMIFS(J$5:J$315,$A$5:$A$315,$A237,$C$5:$C$315,$C237-1,$D$5:$D$315,$D237)&lt;0),"n.s.",ABS(J237)/ABS(SUMIFS(J$5:J$315,$A$5:$A$315,$A237,$C$5:$C$315,$C237-1,$D$5:$D$315,$D237))-1)))</f>
        <v/>
      </c>
      <c r="U237" s="16">
        <f>IF(OR($A237="",K237="",$C237=""),"",IF(COUNTIFS($A$5:$A$315,$A237,$C$5:$C$315,$C237-1,$D$5:$D$315,$D237,K$5:K$315,"&lt;&gt;")=0,"",IF(OR(SUMIFS(K$5:K$315,$A$5:$A$315,$A237,$C$5:$C$315,$C237-1,$D$5:$D$315,$D237)=0,K237*SUMIFS(K$5:K$315,$A$5:$A$315,$A237,$C$5:$C$315,$C237-1,$D$5:$D$315,$D237)&lt;0),"n.s.",ABS(K237)/ABS(SUMIFS(K$5:K$315,$A$5:$A$315,$A237,$C$5:$C$315,$C237-1,$D$5:$D$315,$D237))-1)))</f>
        <v/>
      </c>
      <c r="V237" s="16">
        <f>IF(OR($A237="",L237="",$C237=""),"",IF(COUNTIFS($A$5:$A$315,$A237,$C$5:$C$315,$C237-1,$D$5:$D$315,$D237,L$5:L$315,"&lt;&gt;")=0,"",IF(OR(SUMIFS(L$5:L$315,$A$5:$A$315,$A237,$C$5:$C$315,$C237-1,$D$5:$D$315,$D237)=0,L237*SUMIFS(L$5:L$315,$A$5:$A$315,$A237,$C$5:$C$315,$C237-1,$D$5:$D$315,$D237)&lt;0),"n.s.",ABS(L237)/ABS(SUMIFS(L$5:L$315,$A$5:$A$315,$A237,$C$5:$C$315,$C237-1,$D$5:$D$315,$D237))-1)))</f>
        <v/>
      </c>
      <c r="W237" s="16">
        <f>IF(OR($A237="",M237="",$C237=""),"",IF(COUNTIFS($A$5:$A$315,$A237,$C$5:$C$315,$C237-1,$D$5:$D$315,$D237,M$5:M$315,"&lt;&gt;")=0,"",IF(OR(SUMIFS(M$5:M$315,$A$5:$A$315,$A237,$C$5:$C$315,$C237-1,$D$5:$D$315,$D237)=0,M237*SUMIFS(M$5:M$315,$A$5:$A$315,$A237,$C$5:$C$315,$C237-1,$D$5:$D$315,$D237)&lt;0),"n.s.",ABS(M237)/ABS(SUMIFS(M$5:M$315,$A$5:$A$315,$A237,$C$5:$C$315,$C237-1,$D$5:$D$315,$D237))-1)))</f>
        <v/>
      </c>
      <c r="X237" s="16">
        <f>IF(OR($A237="",N237="",$C237=""),"",IF(COUNTIFS($A$5:$A$315,$A237,$C$5:$C$315,$C237-1,$D$5:$D$315,$D237,N$5:N$315,"&lt;&gt;")=0,"",IF(OR(SUMIFS(N$5:N$315,$A$5:$A$315,$A237,$C$5:$C$315,$C237-1,$D$5:$D$315,$D237)=0,N237*SUMIFS(N$5:N$315,$A$5:$A$315,$A237,$C$5:$C$315,$C237-1,$D$5:$D$315,$D237)&lt;0),"n.s.",ABS(N237)/ABS(SUMIFS(N$5:N$315,$A$5:$A$315,$A237,$C$5:$C$315,$C237-1,$D$5:$D$315,$D237))-1)))</f>
        <v/>
      </c>
      <c r="Y237" s="16">
        <f>IF(OR($A237="",O237="",$C237=""),"",IF(COUNTIFS($A$5:$A$315,$A237,$C$5:$C$315,$C237-1,$D$5:$D$315,$D237,O$5:O$315,"&lt;&gt;")=0,"",IF(OR(SUMIFS(O$5:O$315,$A$5:$A$315,$A237,$C$5:$C$315,$C237-1,$D$5:$D$315,$D237)=0,O237*SUMIFS(O$5:O$315,$A$5:$A$315,$A237,$C$5:$C$315,$C237-1,$D$5:$D$315,$D237)&lt;0),"n.s.",ABS(O237)/ABS(SUMIFS(O$5:O$315,$A$5:$A$315,$A237,$C$5:$C$315,$C237-1,$D$5:$D$315,$D237))-1)))</f>
        <v/>
      </c>
    </row>
    <row r="238">
      <c r="A238" s="9" t="inlineStr">
        <is>
          <t>SAFC</t>
        </is>
      </c>
      <c r="B238" s="10">
        <f>IF(A238="","",IFERROR(VLOOKUP(A238,Titres!$A$2:$B$400,2,FALSE),"Ticker inconnu"))</f>
        <v/>
      </c>
      <c r="C238" s="11" t="n">
        <v>2026</v>
      </c>
      <c r="D238" s="11" t="inlineStr">
        <is>
          <t>T3</t>
        </is>
      </c>
      <c r="E238" s="9" t="n"/>
      <c r="F238" s="12" t="n"/>
      <c r="G238" s="9" t="n"/>
      <c r="H238" s="13" t="n"/>
      <c r="I238" s="13" t="n"/>
      <c r="J238" s="13" t="n"/>
      <c r="K238" s="13" t="n"/>
      <c r="L238" s="13" t="n"/>
      <c r="M238" s="13" t="n"/>
      <c r="N238" s="13" t="n"/>
      <c r="O238" s="13" t="n"/>
      <c r="P238" s="14">
        <f>IF(A238="","",COUNT(H238:O238)/8)</f>
        <v/>
      </c>
      <c r="Q238" s="15">
        <f>IF(COUNT(H238:O238)=0,"",IF(LEN(IF(COUNT(H238,I238,J238)=3,IF(ABS(H238+I238-J238)&lt;=MAX(1,0.02*ABS(J238)),"","RBE &lt;&gt; PNB + frais "),"")&amp;IF(COUNT(J238,K238,L238)=3,IF(ABS(J238+K238-L238)&lt;=MAX(1,0.03*ABS(L238)),"","RAI &lt;&gt; RBE + coût du risque "),"")&amp;IF(COUNT(H238,M238)=2,IF(ABS(M238)&gt;ABS(H238),"RN &gt; PNB ",""),""))=0,"OK",IF(COUNT(H238,I238,J238)=3,IF(ABS(H238+I238-J238)&lt;=MAX(1,0.02*ABS(J238)),"","RBE &lt;&gt; PNB + frais "),"")&amp;IF(COUNT(J238,K238,L238)=3,IF(ABS(J238+K238-L238)&lt;=MAX(1,0.03*ABS(L238)),"","RAI &lt;&gt; RBE + coût du risque "),"")&amp;IF(COUNT(H238,M238)=2,IF(ABS(M238)&gt;ABS(H238),"RN &gt; PNB ",""),"")))</f>
        <v/>
      </c>
      <c r="R238" s="16">
        <f>IF(OR($A238="",H238="",$C238=""),"",IF(COUNTIFS($A$5:$A$315,$A238,$C$5:$C$315,$C238-1,$D$5:$D$315,$D238,H$5:H$315,"&lt;&gt;")=0,"",IF(OR(SUMIFS(H$5:H$315,$A$5:$A$315,$A238,$C$5:$C$315,$C238-1,$D$5:$D$315,$D238)=0,H238*SUMIFS(H$5:H$315,$A$5:$A$315,$A238,$C$5:$C$315,$C238-1,$D$5:$D$315,$D238)&lt;0),"n.s.",ABS(H238)/ABS(SUMIFS(H$5:H$315,$A$5:$A$315,$A238,$C$5:$C$315,$C238-1,$D$5:$D$315,$D238))-1)))</f>
        <v/>
      </c>
      <c r="S238" s="16">
        <f>IF(OR($A238="",I238="",$C238=""),"",IF(COUNTIFS($A$5:$A$315,$A238,$C$5:$C$315,$C238-1,$D$5:$D$315,$D238,I$5:I$315,"&lt;&gt;")=0,"",IF(OR(SUMIFS(I$5:I$315,$A$5:$A$315,$A238,$C$5:$C$315,$C238-1,$D$5:$D$315,$D238)=0,I238*SUMIFS(I$5:I$315,$A$5:$A$315,$A238,$C$5:$C$315,$C238-1,$D$5:$D$315,$D238)&lt;0),"n.s.",ABS(I238)/ABS(SUMIFS(I$5:I$315,$A$5:$A$315,$A238,$C$5:$C$315,$C238-1,$D$5:$D$315,$D238))-1)))</f>
        <v/>
      </c>
      <c r="T238" s="16">
        <f>IF(OR($A238="",J238="",$C238=""),"",IF(COUNTIFS($A$5:$A$315,$A238,$C$5:$C$315,$C238-1,$D$5:$D$315,$D238,J$5:J$315,"&lt;&gt;")=0,"",IF(OR(SUMIFS(J$5:J$315,$A$5:$A$315,$A238,$C$5:$C$315,$C238-1,$D$5:$D$315,$D238)=0,J238*SUMIFS(J$5:J$315,$A$5:$A$315,$A238,$C$5:$C$315,$C238-1,$D$5:$D$315,$D238)&lt;0),"n.s.",ABS(J238)/ABS(SUMIFS(J$5:J$315,$A$5:$A$315,$A238,$C$5:$C$315,$C238-1,$D$5:$D$315,$D238))-1)))</f>
        <v/>
      </c>
      <c r="U238" s="16">
        <f>IF(OR($A238="",K238="",$C238=""),"",IF(COUNTIFS($A$5:$A$315,$A238,$C$5:$C$315,$C238-1,$D$5:$D$315,$D238,K$5:K$315,"&lt;&gt;")=0,"",IF(OR(SUMIFS(K$5:K$315,$A$5:$A$315,$A238,$C$5:$C$315,$C238-1,$D$5:$D$315,$D238)=0,K238*SUMIFS(K$5:K$315,$A$5:$A$315,$A238,$C$5:$C$315,$C238-1,$D$5:$D$315,$D238)&lt;0),"n.s.",ABS(K238)/ABS(SUMIFS(K$5:K$315,$A$5:$A$315,$A238,$C$5:$C$315,$C238-1,$D$5:$D$315,$D238))-1)))</f>
        <v/>
      </c>
      <c r="V238" s="16">
        <f>IF(OR($A238="",L238="",$C238=""),"",IF(COUNTIFS($A$5:$A$315,$A238,$C$5:$C$315,$C238-1,$D$5:$D$315,$D238,L$5:L$315,"&lt;&gt;")=0,"",IF(OR(SUMIFS(L$5:L$315,$A$5:$A$315,$A238,$C$5:$C$315,$C238-1,$D$5:$D$315,$D238)=0,L238*SUMIFS(L$5:L$315,$A$5:$A$315,$A238,$C$5:$C$315,$C238-1,$D$5:$D$315,$D238)&lt;0),"n.s.",ABS(L238)/ABS(SUMIFS(L$5:L$315,$A$5:$A$315,$A238,$C$5:$C$315,$C238-1,$D$5:$D$315,$D238))-1)))</f>
        <v/>
      </c>
      <c r="W238" s="16">
        <f>IF(OR($A238="",M238="",$C238=""),"",IF(COUNTIFS($A$5:$A$315,$A238,$C$5:$C$315,$C238-1,$D$5:$D$315,$D238,M$5:M$315,"&lt;&gt;")=0,"",IF(OR(SUMIFS(M$5:M$315,$A$5:$A$315,$A238,$C$5:$C$315,$C238-1,$D$5:$D$315,$D238)=0,M238*SUMIFS(M$5:M$315,$A$5:$A$315,$A238,$C$5:$C$315,$C238-1,$D$5:$D$315,$D238)&lt;0),"n.s.",ABS(M238)/ABS(SUMIFS(M$5:M$315,$A$5:$A$315,$A238,$C$5:$C$315,$C238-1,$D$5:$D$315,$D238))-1)))</f>
        <v/>
      </c>
      <c r="X238" s="16">
        <f>IF(OR($A238="",N238="",$C238=""),"",IF(COUNTIFS($A$5:$A$315,$A238,$C$5:$C$315,$C238-1,$D$5:$D$315,$D238,N$5:N$315,"&lt;&gt;")=0,"",IF(OR(SUMIFS(N$5:N$315,$A$5:$A$315,$A238,$C$5:$C$315,$C238-1,$D$5:$D$315,$D238)=0,N238*SUMIFS(N$5:N$315,$A$5:$A$315,$A238,$C$5:$C$315,$C238-1,$D$5:$D$315,$D238)&lt;0),"n.s.",ABS(N238)/ABS(SUMIFS(N$5:N$315,$A$5:$A$315,$A238,$C$5:$C$315,$C238-1,$D$5:$D$315,$D238))-1)))</f>
        <v/>
      </c>
      <c r="Y238" s="16">
        <f>IF(OR($A238="",O238="",$C238=""),"",IF(COUNTIFS($A$5:$A$315,$A238,$C$5:$C$315,$C238-1,$D$5:$D$315,$D238,O$5:O$315,"&lt;&gt;")=0,"",IF(OR(SUMIFS(O$5:O$315,$A$5:$A$315,$A238,$C$5:$C$315,$C238-1,$D$5:$D$315,$D238)=0,O238*SUMIFS(O$5:O$315,$A$5:$A$315,$A238,$C$5:$C$315,$C238-1,$D$5:$D$315,$D238)&lt;0),"n.s.",ABS(O238)/ABS(SUMIFS(O$5:O$315,$A$5:$A$315,$A238,$C$5:$C$315,$C238-1,$D$5:$D$315,$D238))-1)))</f>
        <v/>
      </c>
    </row>
    <row r="239">
      <c r="A239" s="9" t="inlineStr">
        <is>
          <t>SGBC</t>
        </is>
      </c>
      <c r="B239" s="10">
        <f>IF(A239="","",IFERROR(VLOOKUP(A239,Titres!$A$2:$B$400,2,FALSE),"Ticker inconnu"))</f>
        <v/>
      </c>
      <c r="C239" s="11" t="n">
        <v>2021</v>
      </c>
      <c r="D239" s="11" t="inlineStr">
        <is>
          <t>T1</t>
        </is>
      </c>
      <c r="E239" s="9" t="n"/>
      <c r="F239" s="12" t="n"/>
      <c r="G239" s="9" t="n"/>
      <c r="H239" s="13" t="n"/>
      <c r="I239" s="13" t="n"/>
      <c r="J239" s="13" t="n"/>
      <c r="K239" s="13" t="n"/>
      <c r="L239" s="13" t="n"/>
      <c r="M239" s="13" t="n"/>
      <c r="N239" s="13" t="n"/>
      <c r="O239" s="13" t="n"/>
      <c r="P239" s="14">
        <f>IF(A239="","",COUNT(H239:O239)/8)</f>
        <v/>
      </c>
      <c r="Q239" s="15">
        <f>IF(COUNT(H239:O239)=0,"",IF(LEN(IF(COUNT(H239,I239,J239)=3,IF(ABS(H239+I239-J239)&lt;=MAX(1,0.02*ABS(J239)),"","RBE &lt;&gt; PNB + frais "),"")&amp;IF(COUNT(J239,K239,L239)=3,IF(ABS(J239+K239-L239)&lt;=MAX(1,0.03*ABS(L239)),"","RAI &lt;&gt; RBE + coût du risque "),"")&amp;IF(COUNT(H239,M239)=2,IF(ABS(M239)&gt;ABS(H239),"RN &gt; PNB ",""),""))=0,"OK",IF(COUNT(H239,I239,J239)=3,IF(ABS(H239+I239-J239)&lt;=MAX(1,0.02*ABS(J239)),"","RBE &lt;&gt; PNB + frais "),"")&amp;IF(COUNT(J239,K239,L239)=3,IF(ABS(J239+K239-L239)&lt;=MAX(1,0.03*ABS(L239)),"","RAI &lt;&gt; RBE + coût du risque "),"")&amp;IF(COUNT(H239,M239)=2,IF(ABS(M239)&gt;ABS(H239),"RN &gt; PNB ",""),"")))</f>
        <v/>
      </c>
      <c r="R239" s="16">
        <f>IF(OR($A239="",H239="",$C239=""),"",IF(COUNTIFS($A$5:$A$315,$A239,$C$5:$C$315,$C239-1,$D$5:$D$315,$D239,H$5:H$315,"&lt;&gt;")=0,"",IF(OR(SUMIFS(H$5:H$315,$A$5:$A$315,$A239,$C$5:$C$315,$C239-1,$D$5:$D$315,$D239)=0,H239*SUMIFS(H$5:H$315,$A$5:$A$315,$A239,$C$5:$C$315,$C239-1,$D$5:$D$315,$D239)&lt;0),"n.s.",ABS(H239)/ABS(SUMIFS(H$5:H$315,$A$5:$A$315,$A239,$C$5:$C$315,$C239-1,$D$5:$D$315,$D239))-1)))</f>
        <v/>
      </c>
      <c r="S239" s="16">
        <f>IF(OR($A239="",I239="",$C239=""),"",IF(COUNTIFS($A$5:$A$315,$A239,$C$5:$C$315,$C239-1,$D$5:$D$315,$D239,I$5:I$315,"&lt;&gt;")=0,"",IF(OR(SUMIFS(I$5:I$315,$A$5:$A$315,$A239,$C$5:$C$315,$C239-1,$D$5:$D$315,$D239)=0,I239*SUMIFS(I$5:I$315,$A$5:$A$315,$A239,$C$5:$C$315,$C239-1,$D$5:$D$315,$D239)&lt;0),"n.s.",ABS(I239)/ABS(SUMIFS(I$5:I$315,$A$5:$A$315,$A239,$C$5:$C$315,$C239-1,$D$5:$D$315,$D239))-1)))</f>
        <v/>
      </c>
      <c r="T239" s="16">
        <f>IF(OR($A239="",J239="",$C239=""),"",IF(COUNTIFS($A$5:$A$315,$A239,$C$5:$C$315,$C239-1,$D$5:$D$315,$D239,J$5:J$315,"&lt;&gt;")=0,"",IF(OR(SUMIFS(J$5:J$315,$A$5:$A$315,$A239,$C$5:$C$315,$C239-1,$D$5:$D$315,$D239)=0,J239*SUMIFS(J$5:J$315,$A$5:$A$315,$A239,$C$5:$C$315,$C239-1,$D$5:$D$315,$D239)&lt;0),"n.s.",ABS(J239)/ABS(SUMIFS(J$5:J$315,$A$5:$A$315,$A239,$C$5:$C$315,$C239-1,$D$5:$D$315,$D239))-1)))</f>
        <v/>
      </c>
      <c r="U239" s="16">
        <f>IF(OR($A239="",K239="",$C239=""),"",IF(COUNTIFS($A$5:$A$315,$A239,$C$5:$C$315,$C239-1,$D$5:$D$315,$D239,K$5:K$315,"&lt;&gt;")=0,"",IF(OR(SUMIFS(K$5:K$315,$A$5:$A$315,$A239,$C$5:$C$315,$C239-1,$D$5:$D$315,$D239)=0,K239*SUMIFS(K$5:K$315,$A$5:$A$315,$A239,$C$5:$C$315,$C239-1,$D$5:$D$315,$D239)&lt;0),"n.s.",ABS(K239)/ABS(SUMIFS(K$5:K$315,$A$5:$A$315,$A239,$C$5:$C$315,$C239-1,$D$5:$D$315,$D239))-1)))</f>
        <v/>
      </c>
      <c r="V239" s="16">
        <f>IF(OR($A239="",L239="",$C239=""),"",IF(COUNTIFS($A$5:$A$315,$A239,$C$5:$C$315,$C239-1,$D$5:$D$315,$D239,L$5:L$315,"&lt;&gt;")=0,"",IF(OR(SUMIFS(L$5:L$315,$A$5:$A$315,$A239,$C$5:$C$315,$C239-1,$D$5:$D$315,$D239)=0,L239*SUMIFS(L$5:L$315,$A$5:$A$315,$A239,$C$5:$C$315,$C239-1,$D$5:$D$315,$D239)&lt;0),"n.s.",ABS(L239)/ABS(SUMIFS(L$5:L$315,$A$5:$A$315,$A239,$C$5:$C$315,$C239-1,$D$5:$D$315,$D239))-1)))</f>
        <v/>
      </c>
      <c r="W239" s="16">
        <f>IF(OR($A239="",M239="",$C239=""),"",IF(COUNTIFS($A$5:$A$315,$A239,$C$5:$C$315,$C239-1,$D$5:$D$315,$D239,M$5:M$315,"&lt;&gt;")=0,"",IF(OR(SUMIFS(M$5:M$315,$A$5:$A$315,$A239,$C$5:$C$315,$C239-1,$D$5:$D$315,$D239)=0,M239*SUMIFS(M$5:M$315,$A$5:$A$315,$A239,$C$5:$C$315,$C239-1,$D$5:$D$315,$D239)&lt;0),"n.s.",ABS(M239)/ABS(SUMIFS(M$5:M$315,$A$5:$A$315,$A239,$C$5:$C$315,$C239-1,$D$5:$D$315,$D239))-1)))</f>
        <v/>
      </c>
      <c r="X239" s="16">
        <f>IF(OR($A239="",N239="",$C239=""),"",IF(COUNTIFS($A$5:$A$315,$A239,$C$5:$C$315,$C239-1,$D$5:$D$315,$D239,N$5:N$315,"&lt;&gt;")=0,"",IF(OR(SUMIFS(N$5:N$315,$A$5:$A$315,$A239,$C$5:$C$315,$C239-1,$D$5:$D$315,$D239)=0,N239*SUMIFS(N$5:N$315,$A$5:$A$315,$A239,$C$5:$C$315,$C239-1,$D$5:$D$315,$D239)&lt;0),"n.s.",ABS(N239)/ABS(SUMIFS(N$5:N$315,$A$5:$A$315,$A239,$C$5:$C$315,$C239-1,$D$5:$D$315,$D239))-1)))</f>
        <v/>
      </c>
      <c r="Y239" s="16">
        <f>IF(OR($A239="",O239="",$C239=""),"",IF(COUNTIFS($A$5:$A$315,$A239,$C$5:$C$315,$C239-1,$D$5:$D$315,$D239,O$5:O$315,"&lt;&gt;")=0,"",IF(OR(SUMIFS(O$5:O$315,$A$5:$A$315,$A239,$C$5:$C$315,$C239-1,$D$5:$D$315,$D239)=0,O239*SUMIFS(O$5:O$315,$A$5:$A$315,$A239,$C$5:$C$315,$C239-1,$D$5:$D$315,$D239)&lt;0),"n.s.",ABS(O239)/ABS(SUMIFS(O$5:O$315,$A$5:$A$315,$A239,$C$5:$C$315,$C239-1,$D$5:$D$315,$D239))-1)))</f>
        <v/>
      </c>
    </row>
    <row r="240">
      <c r="A240" s="9" t="inlineStr">
        <is>
          <t>SGBC</t>
        </is>
      </c>
      <c r="B240" s="10">
        <f>IF(A240="","",IFERROR(VLOOKUP(A240,Titres!$A$2:$B$400,2,FALSE),"Ticker inconnu"))</f>
        <v/>
      </c>
      <c r="C240" s="11" t="n">
        <v>2021</v>
      </c>
      <c r="D240" s="11" t="inlineStr">
        <is>
          <t>S1</t>
        </is>
      </c>
      <c r="E240" s="9" t="n"/>
      <c r="F240" s="12" t="n"/>
      <c r="G240" s="9" t="n"/>
      <c r="H240" s="13" t="n"/>
      <c r="I240" s="13" t="n"/>
      <c r="J240" s="13" t="n"/>
      <c r="K240" s="13" t="n"/>
      <c r="L240" s="13" t="n"/>
      <c r="M240" s="13" t="n"/>
      <c r="N240" s="13" t="n"/>
      <c r="O240" s="13" t="n"/>
      <c r="P240" s="14">
        <f>IF(A240="","",COUNT(H240:O240)/8)</f>
        <v/>
      </c>
      <c r="Q240" s="15">
        <f>IF(COUNT(H240:O240)=0,"",IF(LEN(IF(COUNT(H240,I240,J240)=3,IF(ABS(H240+I240-J240)&lt;=MAX(1,0.02*ABS(J240)),"","RBE &lt;&gt; PNB + frais "),"")&amp;IF(COUNT(J240,K240,L240)=3,IF(ABS(J240+K240-L240)&lt;=MAX(1,0.03*ABS(L240)),"","RAI &lt;&gt; RBE + coût du risque "),"")&amp;IF(COUNT(H240,M240)=2,IF(ABS(M240)&gt;ABS(H240),"RN &gt; PNB ",""),""))=0,"OK",IF(COUNT(H240,I240,J240)=3,IF(ABS(H240+I240-J240)&lt;=MAX(1,0.02*ABS(J240)),"","RBE &lt;&gt; PNB + frais "),"")&amp;IF(COUNT(J240,K240,L240)=3,IF(ABS(J240+K240-L240)&lt;=MAX(1,0.03*ABS(L240)),"","RAI &lt;&gt; RBE + coût du risque "),"")&amp;IF(COUNT(H240,M240)=2,IF(ABS(M240)&gt;ABS(H240),"RN &gt; PNB ",""),"")))</f>
        <v/>
      </c>
      <c r="R240" s="16">
        <f>IF(OR($A240="",H240="",$C240=""),"",IF(COUNTIFS($A$5:$A$315,$A240,$C$5:$C$315,$C240-1,$D$5:$D$315,$D240,H$5:H$315,"&lt;&gt;")=0,"",IF(OR(SUMIFS(H$5:H$315,$A$5:$A$315,$A240,$C$5:$C$315,$C240-1,$D$5:$D$315,$D240)=0,H240*SUMIFS(H$5:H$315,$A$5:$A$315,$A240,$C$5:$C$315,$C240-1,$D$5:$D$315,$D240)&lt;0),"n.s.",ABS(H240)/ABS(SUMIFS(H$5:H$315,$A$5:$A$315,$A240,$C$5:$C$315,$C240-1,$D$5:$D$315,$D240))-1)))</f>
        <v/>
      </c>
      <c r="S240" s="16">
        <f>IF(OR($A240="",I240="",$C240=""),"",IF(COUNTIFS($A$5:$A$315,$A240,$C$5:$C$315,$C240-1,$D$5:$D$315,$D240,I$5:I$315,"&lt;&gt;")=0,"",IF(OR(SUMIFS(I$5:I$315,$A$5:$A$315,$A240,$C$5:$C$315,$C240-1,$D$5:$D$315,$D240)=0,I240*SUMIFS(I$5:I$315,$A$5:$A$315,$A240,$C$5:$C$315,$C240-1,$D$5:$D$315,$D240)&lt;0),"n.s.",ABS(I240)/ABS(SUMIFS(I$5:I$315,$A$5:$A$315,$A240,$C$5:$C$315,$C240-1,$D$5:$D$315,$D240))-1)))</f>
        <v/>
      </c>
      <c r="T240" s="16">
        <f>IF(OR($A240="",J240="",$C240=""),"",IF(COUNTIFS($A$5:$A$315,$A240,$C$5:$C$315,$C240-1,$D$5:$D$315,$D240,J$5:J$315,"&lt;&gt;")=0,"",IF(OR(SUMIFS(J$5:J$315,$A$5:$A$315,$A240,$C$5:$C$315,$C240-1,$D$5:$D$315,$D240)=0,J240*SUMIFS(J$5:J$315,$A$5:$A$315,$A240,$C$5:$C$315,$C240-1,$D$5:$D$315,$D240)&lt;0),"n.s.",ABS(J240)/ABS(SUMIFS(J$5:J$315,$A$5:$A$315,$A240,$C$5:$C$315,$C240-1,$D$5:$D$315,$D240))-1)))</f>
        <v/>
      </c>
      <c r="U240" s="16">
        <f>IF(OR($A240="",K240="",$C240=""),"",IF(COUNTIFS($A$5:$A$315,$A240,$C$5:$C$315,$C240-1,$D$5:$D$315,$D240,K$5:K$315,"&lt;&gt;")=0,"",IF(OR(SUMIFS(K$5:K$315,$A$5:$A$315,$A240,$C$5:$C$315,$C240-1,$D$5:$D$315,$D240)=0,K240*SUMIFS(K$5:K$315,$A$5:$A$315,$A240,$C$5:$C$315,$C240-1,$D$5:$D$315,$D240)&lt;0),"n.s.",ABS(K240)/ABS(SUMIFS(K$5:K$315,$A$5:$A$315,$A240,$C$5:$C$315,$C240-1,$D$5:$D$315,$D240))-1)))</f>
        <v/>
      </c>
      <c r="V240" s="16">
        <f>IF(OR($A240="",L240="",$C240=""),"",IF(COUNTIFS($A$5:$A$315,$A240,$C$5:$C$315,$C240-1,$D$5:$D$315,$D240,L$5:L$315,"&lt;&gt;")=0,"",IF(OR(SUMIFS(L$5:L$315,$A$5:$A$315,$A240,$C$5:$C$315,$C240-1,$D$5:$D$315,$D240)=0,L240*SUMIFS(L$5:L$315,$A$5:$A$315,$A240,$C$5:$C$315,$C240-1,$D$5:$D$315,$D240)&lt;0),"n.s.",ABS(L240)/ABS(SUMIFS(L$5:L$315,$A$5:$A$315,$A240,$C$5:$C$315,$C240-1,$D$5:$D$315,$D240))-1)))</f>
        <v/>
      </c>
      <c r="W240" s="16">
        <f>IF(OR($A240="",M240="",$C240=""),"",IF(COUNTIFS($A$5:$A$315,$A240,$C$5:$C$315,$C240-1,$D$5:$D$315,$D240,M$5:M$315,"&lt;&gt;")=0,"",IF(OR(SUMIFS(M$5:M$315,$A$5:$A$315,$A240,$C$5:$C$315,$C240-1,$D$5:$D$315,$D240)=0,M240*SUMIFS(M$5:M$315,$A$5:$A$315,$A240,$C$5:$C$315,$C240-1,$D$5:$D$315,$D240)&lt;0),"n.s.",ABS(M240)/ABS(SUMIFS(M$5:M$315,$A$5:$A$315,$A240,$C$5:$C$315,$C240-1,$D$5:$D$315,$D240))-1)))</f>
        <v/>
      </c>
      <c r="X240" s="16">
        <f>IF(OR($A240="",N240="",$C240=""),"",IF(COUNTIFS($A$5:$A$315,$A240,$C$5:$C$315,$C240-1,$D$5:$D$315,$D240,N$5:N$315,"&lt;&gt;")=0,"",IF(OR(SUMIFS(N$5:N$315,$A$5:$A$315,$A240,$C$5:$C$315,$C240-1,$D$5:$D$315,$D240)=0,N240*SUMIFS(N$5:N$315,$A$5:$A$315,$A240,$C$5:$C$315,$C240-1,$D$5:$D$315,$D240)&lt;0),"n.s.",ABS(N240)/ABS(SUMIFS(N$5:N$315,$A$5:$A$315,$A240,$C$5:$C$315,$C240-1,$D$5:$D$315,$D240))-1)))</f>
        <v/>
      </c>
      <c r="Y240" s="16">
        <f>IF(OR($A240="",O240="",$C240=""),"",IF(COUNTIFS($A$5:$A$315,$A240,$C$5:$C$315,$C240-1,$D$5:$D$315,$D240,O$5:O$315,"&lt;&gt;")=0,"",IF(OR(SUMIFS(O$5:O$315,$A$5:$A$315,$A240,$C$5:$C$315,$C240-1,$D$5:$D$315,$D240)=0,O240*SUMIFS(O$5:O$315,$A$5:$A$315,$A240,$C$5:$C$315,$C240-1,$D$5:$D$315,$D240)&lt;0),"n.s.",ABS(O240)/ABS(SUMIFS(O$5:O$315,$A$5:$A$315,$A240,$C$5:$C$315,$C240-1,$D$5:$D$315,$D240))-1)))</f>
        <v/>
      </c>
    </row>
    <row r="241">
      <c r="A241" s="9" t="inlineStr">
        <is>
          <t>SGBC</t>
        </is>
      </c>
      <c r="B241" s="10">
        <f>IF(A241="","",IFERROR(VLOOKUP(A241,Titres!$A$2:$B$400,2,FALSE),"Ticker inconnu"))</f>
        <v/>
      </c>
      <c r="C241" s="11" t="n">
        <v>2021</v>
      </c>
      <c r="D241" s="11" t="inlineStr">
        <is>
          <t>T3</t>
        </is>
      </c>
      <c r="E241" s="9" t="n"/>
      <c r="F241" s="12" t="n"/>
      <c r="G241" s="9" t="n"/>
      <c r="H241" s="13" t="n"/>
      <c r="I241" s="13" t="n"/>
      <c r="J241" s="13" t="n"/>
      <c r="K241" s="13" t="n"/>
      <c r="L241" s="13" t="n"/>
      <c r="M241" s="13" t="n"/>
      <c r="N241" s="13" t="n"/>
      <c r="O241" s="13" t="n"/>
      <c r="P241" s="14">
        <f>IF(A241="","",COUNT(H241:O241)/8)</f>
        <v/>
      </c>
      <c r="Q241" s="15">
        <f>IF(COUNT(H241:O241)=0,"",IF(LEN(IF(COUNT(H241,I241,J241)=3,IF(ABS(H241+I241-J241)&lt;=MAX(1,0.02*ABS(J241)),"","RBE &lt;&gt; PNB + frais "),"")&amp;IF(COUNT(J241,K241,L241)=3,IF(ABS(J241+K241-L241)&lt;=MAX(1,0.03*ABS(L241)),"","RAI &lt;&gt; RBE + coût du risque "),"")&amp;IF(COUNT(H241,M241)=2,IF(ABS(M241)&gt;ABS(H241),"RN &gt; PNB ",""),""))=0,"OK",IF(COUNT(H241,I241,J241)=3,IF(ABS(H241+I241-J241)&lt;=MAX(1,0.02*ABS(J241)),"","RBE &lt;&gt; PNB + frais "),"")&amp;IF(COUNT(J241,K241,L241)=3,IF(ABS(J241+K241-L241)&lt;=MAX(1,0.03*ABS(L241)),"","RAI &lt;&gt; RBE + coût du risque "),"")&amp;IF(COUNT(H241,M241)=2,IF(ABS(M241)&gt;ABS(H241),"RN &gt; PNB ",""),"")))</f>
        <v/>
      </c>
      <c r="R241" s="16">
        <f>IF(OR($A241="",H241="",$C241=""),"",IF(COUNTIFS($A$5:$A$315,$A241,$C$5:$C$315,$C241-1,$D$5:$D$315,$D241,H$5:H$315,"&lt;&gt;")=0,"",IF(OR(SUMIFS(H$5:H$315,$A$5:$A$315,$A241,$C$5:$C$315,$C241-1,$D$5:$D$315,$D241)=0,H241*SUMIFS(H$5:H$315,$A$5:$A$315,$A241,$C$5:$C$315,$C241-1,$D$5:$D$315,$D241)&lt;0),"n.s.",ABS(H241)/ABS(SUMIFS(H$5:H$315,$A$5:$A$315,$A241,$C$5:$C$315,$C241-1,$D$5:$D$315,$D241))-1)))</f>
        <v/>
      </c>
      <c r="S241" s="16">
        <f>IF(OR($A241="",I241="",$C241=""),"",IF(COUNTIFS($A$5:$A$315,$A241,$C$5:$C$315,$C241-1,$D$5:$D$315,$D241,I$5:I$315,"&lt;&gt;")=0,"",IF(OR(SUMIFS(I$5:I$315,$A$5:$A$315,$A241,$C$5:$C$315,$C241-1,$D$5:$D$315,$D241)=0,I241*SUMIFS(I$5:I$315,$A$5:$A$315,$A241,$C$5:$C$315,$C241-1,$D$5:$D$315,$D241)&lt;0),"n.s.",ABS(I241)/ABS(SUMIFS(I$5:I$315,$A$5:$A$315,$A241,$C$5:$C$315,$C241-1,$D$5:$D$315,$D241))-1)))</f>
        <v/>
      </c>
      <c r="T241" s="16">
        <f>IF(OR($A241="",J241="",$C241=""),"",IF(COUNTIFS($A$5:$A$315,$A241,$C$5:$C$315,$C241-1,$D$5:$D$315,$D241,J$5:J$315,"&lt;&gt;")=0,"",IF(OR(SUMIFS(J$5:J$315,$A$5:$A$315,$A241,$C$5:$C$315,$C241-1,$D$5:$D$315,$D241)=0,J241*SUMIFS(J$5:J$315,$A$5:$A$315,$A241,$C$5:$C$315,$C241-1,$D$5:$D$315,$D241)&lt;0),"n.s.",ABS(J241)/ABS(SUMIFS(J$5:J$315,$A$5:$A$315,$A241,$C$5:$C$315,$C241-1,$D$5:$D$315,$D241))-1)))</f>
        <v/>
      </c>
      <c r="U241" s="16">
        <f>IF(OR($A241="",K241="",$C241=""),"",IF(COUNTIFS($A$5:$A$315,$A241,$C$5:$C$315,$C241-1,$D$5:$D$315,$D241,K$5:K$315,"&lt;&gt;")=0,"",IF(OR(SUMIFS(K$5:K$315,$A$5:$A$315,$A241,$C$5:$C$315,$C241-1,$D$5:$D$315,$D241)=0,K241*SUMIFS(K$5:K$315,$A$5:$A$315,$A241,$C$5:$C$315,$C241-1,$D$5:$D$315,$D241)&lt;0),"n.s.",ABS(K241)/ABS(SUMIFS(K$5:K$315,$A$5:$A$315,$A241,$C$5:$C$315,$C241-1,$D$5:$D$315,$D241))-1)))</f>
        <v/>
      </c>
      <c r="V241" s="16">
        <f>IF(OR($A241="",L241="",$C241=""),"",IF(COUNTIFS($A$5:$A$315,$A241,$C$5:$C$315,$C241-1,$D$5:$D$315,$D241,L$5:L$315,"&lt;&gt;")=0,"",IF(OR(SUMIFS(L$5:L$315,$A$5:$A$315,$A241,$C$5:$C$315,$C241-1,$D$5:$D$315,$D241)=0,L241*SUMIFS(L$5:L$315,$A$5:$A$315,$A241,$C$5:$C$315,$C241-1,$D$5:$D$315,$D241)&lt;0),"n.s.",ABS(L241)/ABS(SUMIFS(L$5:L$315,$A$5:$A$315,$A241,$C$5:$C$315,$C241-1,$D$5:$D$315,$D241))-1)))</f>
        <v/>
      </c>
      <c r="W241" s="16">
        <f>IF(OR($A241="",M241="",$C241=""),"",IF(COUNTIFS($A$5:$A$315,$A241,$C$5:$C$315,$C241-1,$D$5:$D$315,$D241,M$5:M$315,"&lt;&gt;")=0,"",IF(OR(SUMIFS(M$5:M$315,$A$5:$A$315,$A241,$C$5:$C$315,$C241-1,$D$5:$D$315,$D241)=0,M241*SUMIFS(M$5:M$315,$A$5:$A$315,$A241,$C$5:$C$315,$C241-1,$D$5:$D$315,$D241)&lt;0),"n.s.",ABS(M241)/ABS(SUMIFS(M$5:M$315,$A$5:$A$315,$A241,$C$5:$C$315,$C241-1,$D$5:$D$315,$D241))-1)))</f>
        <v/>
      </c>
      <c r="X241" s="16">
        <f>IF(OR($A241="",N241="",$C241=""),"",IF(COUNTIFS($A$5:$A$315,$A241,$C$5:$C$315,$C241-1,$D$5:$D$315,$D241,N$5:N$315,"&lt;&gt;")=0,"",IF(OR(SUMIFS(N$5:N$315,$A$5:$A$315,$A241,$C$5:$C$315,$C241-1,$D$5:$D$315,$D241)=0,N241*SUMIFS(N$5:N$315,$A$5:$A$315,$A241,$C$5:$C$315,$C241-1,$D$5:$D$315,$D241)&lt;0),"n.s.",ABS(N241)/ABS(SUMIFS(N$5:N$315,$A$5:$A$315,$A241,$C$5:$C$315,$C241-1,$D$5:$D$315,$D241))-1)))</f>
        <v/>
      </c>
      <c r="Y241" s="16">
        <f>IF(OR($A241="",O241="",$C241=""),"",IF(COUNTIFS($A$5:$A$315,$A241,$C$5:$C$315,$C241-1,$D$5:$D$315,$D241,O$5:O$315,"&lt;&gt;")=0,"",IF(OR(SUMIFS(O$5:O$315,$A$5:$A$315,$A241,$C$5:$C$315,$C241-1,$D$5:$D$315,$D241)=0,O241*SUMIFS(O$5:O$315,$A$5:$A$315,$A241,$C$5:$C$315,$C241-1,$D$5:$D$315,$D241)&lt;0),"n.s.",ABS(O241)/ABS(SUMIFS(O$5:O$315,$A$5:$A$315,$A241,$C$5:$C$315,$C241-1,$D$5:$D$315,$D241))-1)))</f>
        <v/>
      </c>
    </row>
    <row r="242">
      <c r="A242" s="9" t="inlineStr">
        <is>
          <t>SGBC</t>
        </is>
      </c>
      <c r="B242" s="10">
        <f>IF(A242="","",IFERROR(VLOOKUP(A242,Titres!$A$2:$B$400,2,FALSE),"Ticker inconnu"))</f>
        <v/>
      </c>
      <c r="C242" s="11" t="n">
        <v>2022</v>
      </c>
      <c r="D242" s="11" t="inlineStr">
        <is>
          <t>T1</t>
        </is>
      </c>
      <c r="E242" s="9" t="n"/>
      <c r="F242" s="12" t="n"/>
      <c r="G242" s="9" t="n"/>
      <c r="H242" s="13" t="n"/>
      <c r="I242" s="13" t="n"/>
      <c r="J242" s="13" t="n"/>
      <c r="K242" s="13" t="n"/>
      <c r="L242" s="13" t="n"/>
      <c r="M242" s="13" t="n"/>
      <c r="N242" s="13" t="n"/>
      <c r="O242" s="13" t="n"/>
      <c r="P242" s="14">
        <f>IF(A242="","",COUNT(H242:O242)/8)</f>
        <v/>
      </c>
      <c r="Q242" s="15">
        <f>IF(COUNT(H242:O242)=0,"",IF(LEN(IF(COUNT(H242,I242,J242)=3,IF(ABS(H242+I242-J242)&lt;=MAX(1,0.02*ABS(J242)),"","RBE &lt;&gt; PNB + frais "),"")&amp;IF(COUNT(J242,K242,L242)=3,IF(ABS(J242+K242-L242)&lt;=MAX(1,0.03*ABS(L242)),"","RAI &lt;&gt; RBE + coût du risque "),"")&amp;IF(COUNT(H242,M242)=2,IF(ABS(M242)&gt;ABS(H242),"RN &gt; PNB ",""),""))=0,"OK",IF(COUNT(H242,I242,J242)=3,IF(ABS(H242+I242-J242)&lt;=MAX(1,0.02*ABS(J242)),"","RBE &lt;&gt; PNB + frais "),"")&amp;IF(COUNT(J242,K242,L242)=3,IF(ABS(J242+K242-L242)&lt;=MAX(1,0.03*ABS(L242)),"","RAI &lt;&gt; RBE + coût du risque "),"")&amp;IF(COUNT(H242,M242)=2,IF(ABS(M242)&gt;ABS(H242),"RN &gt; PNB ",""),"")))</f>
        <v/>
      </c>
      <c r="R242" s="16">
        <f>IF(OR($A242="",H242="",$C242=""),"",IF(COUNTIFS($A$5:$A$315,$A242,$C$5:$C$315,$C242-1,$D$5:$D$315,$D242,H$5:H$315,"&lt;&gt;")=0,"",IF(OR(SUMIFS(H$5:H$315,$A$5:$A$315,$A242,$C$5:$C$315,$C242-1,$D$5:$D$315,$D242)=0,H242*SUMIFS(H$5:H$315,$A$5:$A$315,$A242,$C$5:$C$315,$C242-1,$D$5:$D$315,$D242)&lt;0),"n.s.",ABS(H242)/ABS(SUMIFS(H$5:H$315,$A$5:$A$315,$A242,$C$5:$C$315,$C242-1,$D$5:$D$315,$D242))-1)))</f>
        <v/>
      </c>
      <c r="S242" s="16">
        <f>IF(OR($A242="",I242="",$C242=""),"",IF(COUNTIFS($A$5:$A$315,$A242,$C$5:$C$315,$C242-1,$D$5:$D$315,$D242,I$5:I$315,"&lt;&gt;")=0,"",IF(OR(SUMIFS(I$5:I$315,$A$5:$A$315,$A242,$C$5:$C$315,$C242-1,$D$5:$D$315,$D242)=0,I242*SUMIFS(I$5:I$315,$A$5:$A$315,$A242,$C$5:$C$315,$C242-1,$D$5:$D$315,$D242)&lt;0),"n.s.",ABS(I242)/ABS(SUMIFS(I$5:I$315,$A$5:$A$315,$A242,$C$5:$C$315,$C242-1,$D$5:$D$315,$D242))-1)))</f>
        <v/>
      </c>
      <c r="T242" s="16">
        <f>IF(OR($A242="",J242="",$C242=""),"",IF(COUNTIFS($A$5:$A$315,$A242,$C$5:$C$315,$C242-1,$D$5:$D$315,$D242,J$5:J$315,"&lt;&gt;")=0,"",IF(OR(SUMIFS(J$5:J$315,$A$5:$A$315,$A242,$C$5:$C$315,$C242-1,$D$5:$D$315,$D242)=0,J242*SUMIFS(J$5:J$315,$A$5:$A$315,$A242,$C$5:$C$315,$C242-1,$D$5:$D$315,$D242)&lt;0),"n.s.",ABS(J242)/ABS(SUMIFS(J$5:J$315,$A$5:$A$315,$A242,$C$5:$C$315,$C242-1,$D$5:$D$315,$D242))-1)))</f>
        <v/>
      </c>
      <c r="U242" s="16">
        <f>IF(OR($A242="",K242="",$C242=""),"",IF(COUNTIFS($A$5:$A$315,$A242,$C$5:$C$315,$C242-1,$D$5:$D$315,$D242,K$5:K$315,"&lt;&gt;")=0,"",IF(OR(SUMIFS(K$5:K$315,$A$5:$A$315,$A242,$C$5:$C$315,$C242-1,$D$5:$D$315,$D242)=0,K242*SUMIFS(K$5:K$315,$A$5:$A$315,$A242,$C$5:$C$315,$C242-1,$D$5:$D$315,$D242)&lt;0),"n.s.",ABS(K242)/ABS(SUMIFS(K$5:K$315,$A$5:$A$315,$A242,$C$5:$C$315,$C242-1,$D$5:$D$315,$D242))-1)))</f>
        <v/>
      </c>
      <c r="V242" s="16">
        <f>IF(OR($A242="",L242="",$C242=""),"",IF(COUNTIFS($A$5:$A$315,$A242,$C$5:$C$315,$C242-1,$D$5:$D$315,$D242,L$5:L$315,"&lt;&gt;")=0,"",IF(OR(SUMIFS(L$5:L$315,$A$5:$A$315,$A242,$C$5:$C$315,$C242-1,$D$5:$D$315,$D242)=0,L242*SUMIFS(L$5:L$315,$A$5:$A$315,$A242,$C$5:$C$315,$C242-1,$D$5:$D$315,$D242)&lt;0),"n.s.",ABS(L242)/ABS(SUMIFS(L$5:L$315,$A$5:$A$315,$A242,$C$5:$C$315,$C242-1,$D$5:$D$315,$D242))-1)))</f>
        <v/>
      </c>
      <c r="W242" s="16">
        <f>IF(OR($A242="",M242="",$C242=""),"",IF(COUNTIFS($A$5:$A$315,$A242,$C$5:$C$315,$C242-1,$D$5:$D$315,$D242,M$5:M$315,"&lt;&gt;")=0,"",IF(OR(SUMIFS(M$5:M$315,$A$5:$A$315,$A242,$C$5:$C$315,$C242-1,$D$5:$D$315,$D242)=0,M242*SUMIFS(M$5:M$315,$A$5:$A$315,$A242,$C$5:$C$315,$C242-1,$D$5:$D$315,$D242)&lt;0),"n.s.",ABS(M242)/ABS(SUMIFS(M$5:M$315,$A$5:$A$315,$A242,$C$5:$C$315,$C242-1,$D$5:$D$315,$D242))-1)))</f>
        <v/>
      </c>
      <c r="X242" s="16">
        <f>IF(OR($A242="",N242="",$C242=""),"",IF(COUNTIFS($A$5:$A$315,$A242,$C$5:$C$315,$C242-1,$D$5:$D$315,$D242,N$5:N$315,"&lt;&gt;")=0,"",IF(OR(SUMIFS(N$5:N$315,$A$5:$A$315,$A242,$C$5:$C$315,$C242-1,$D$5:$D$315,$D242)=0,N242*SUMIFS(N$5:N$315,$A$5:$A$315,$A242,$C$5:$C$315,$C242-1,$D$5:$D$315,$D242)&lt;0),"n.s.",ABS(N242)/ABS(SUMIFS(N$5:N$315,$A$5:$A$315,$A242,$C$5:$C$315,$C242-1,$D$5:$D$315,$D242))-1)))</f>
        <v/>
      </c>
      <c r="Y242" s="16">
        <f>IF(OR($A242="",O242="",$C242=""),"",IF(COUNTIFS($A$5:$A$315,$A242,$C$5:$C$315,$C242-1,$D$5:$D$315,$D242,O$5:O$315,"&lt;&gt;")=0,"",IF(OR(SUMIFS(O$5:O$315,$A$5:$A$315,$A242,$C$5:$C$315,$C242-1,$D$5:$D$315,$D242)=0,O242*SUMIFS(O$5:O$315,$A$5:$A$315,$A242,$C$5:$C$315,$C242-1,$D$5:$D$315,$D242)&lt;0),"n.s.",ABS(O242)/ABS(SUMIFS(O$5:O$315,$A$5:$A$315,$A242,$C$5:$C$315,$C242-1,$D$5:$D$315,$D242))-1)))</f>
        <v/>
      </c>
    </row>
    <row r="243">
      <c r="A243" s="9" t="inlineStr">
        <is>
          <t>SGBC</t>
        </is>
      </c>
      <c r="B243" s="10">
        <f>IF(A243="","",IFERROR(VLOOKUP(A243,Titres!$A$2:$B$400,2,FALSE),"Ticker inconnu"))</f>
        <v/>
      </c>
      <c r="C243" s="11" t="n">
        <v>2022</v>
      </c>
      <c r="D243" s="11" t="inlineStr">
        <is>
          <t>S1</t>
        </is>
      </c>
      <c r="E243" s="9" t="n"/>
      <c r="F243" s="12" t="n"/>
      <c r="G243" s="9" t="n"/>
      <c r="H243" s="13" t="n"/>
      <c r="I243" s="13" t="n"/>
      <c r="J243" s="13" t="n"/>
      <c r="K243" s="13" t="n"/>
      <c r="L243" s="13" t="n"/>
      <c r="M243" s="13" t="n"/>
      <c r="N243" s="13" t="n"/>
      <c r="O243" s="13" t="n"/>
      <c r="P243" s="14">
        <f>IF(A243="","",COUNT(H243:O243)/8)</f>
        <v/>
      </c>
      <c r="Q243" s="15">
        <f>IF(COUNT(H243:O243)=0,"",IF(LEN(IF(COUNT(H243,I243,J243)=3,IF(ABS(H243+I243-J243)&lt;=MAX(1,0.02*ABS(J243)),"","RBE &lt;&gt; PNB + frais "),"")&amp;IF(COUNT(J243,K243,L243)=3,IF(ABS(J243+K243-L243)&lt;=MAX(1,0.03*ABS(L243)),"","RAI &lt;&gt; RBE + coût du risque "),"")&amp;IF(COUNT(H243,M243)=2,IF(ABS(M243)&gt;ABS(H243),"RN &gt; PNB ",""),""))=0,"OK",IF(COUNT(H243,I243,J243)=3,IF(ABS(H243+I243-J243)&lt;=MAX(1,0.02*ABS(J243)),"","RBE &lt;&gt; PNB + frais "),"")&amp;IF(COUNT(J243,K243,L243)=3,IF(ABS(J243+K243-L243)&lt;=MAX(1,0.03*ABS(L243)),"","RAI &lt;&gt; RBE + coût du risque "),"")&amp;IF(COUNT(H243,M243)=2,IF(ABS(M243)&gt;ABS(H243),"RN &gt; PNB ",""),"")))</f>
        <v/>
      </c>
      <c r="R243" s="16">
        <f>IF(OR($A243="",H243="",$C243=""),"",IF(COUNTIFS($A$5:$A$315,$A243,$C$5:$C$315,$C243-1,$D$5:$D$315,$D243,H$5:H$315,"&lt;&gt;")=0,"",IF(OR(SUMIFS(H$5:H$315,$A$5:$A$315,$A243,$C$5:$C$315,$C243-1,$D$5:$D$315,$D243)=0,H243*SUMIFS(H$5:H$315,$A$5:$A$315,$A243,$C$5:$C$315,$C243-1,$D$5:$D$315,$D243)&lt;0),"n.s.",ABS(H243)/ABS(SUMIFS(H$5:H$315,$A$5:$A$315,$A243,$C$5:$C$315,$C243-1,$D$5:$D$315,$D243))-1)))</f>
        <v/>
      </c>
      <c r="S243" s="16">
        <f>IF(OR($A243="",I243="",$C243=""),"",IF(COUNTIFS($A$5:$A$315,$A243,$C$5:$C$315,$C243-1,$D$5:$D$315,$D243,I$5:I$315,"&lt;&gt;")=0,"",IF(OR(SUMIFS(I$5:I$315,$A$5:$A$315,$A243,$C$5:$C$315,$C243-1,$D$5:$D$315,$D243)=0,I243*SUMIFS(I$5:I$315,$A$5:$A$315,$A243,$C$5:$C$315,$C243-1,$D$5:$D$315,$D243)&lt;0),"n.s.",ABS(I243)/ABS(SUMIFS(I$5:I$315,$A$5:$A$315,$A243,$C$5:$C$315,$C243-1,$D$5:$D$315,$D243))-1)))</f>
        <v/>
      </c>
      <c r="T243" s="16">
        <f>IF(OR($A243="",J243="",$C243=""),"",IF(COUNTIFS($A$5:$A$315,$A243,$C$5:$C$315,$C243-1,$D$5:$D$315,$D243,J$5:J$315,"&lt;&gt;")=0,"",IF(OR(SUMIFS(J$5:J$315,$A$5:$A$315,$A243,$C$5:$C$315,$C243-1,$D$5:$D$315,$D243)=0,J243*SUMIFS(J$5:J$315,$A$5:$A$315,$A243,$C$5:$C$315,$C243-1,$D$5:$D$315,$D243)&lt;0),"n.s.",ABS(J243)/ABS(SUMIFS(J$5:J$315,$A$5:$A$315,$A243,$C$5:$C$315,$C243-1,$D$5:$D$315,$D243))-1)))</f>
        <v/>
      </c>
      <c r="U243" s="16">
        <f>IF(OR($A243="",K243="",$C243=""),"",IF(COUNTIFS($A$5:$A$315,$A243,$C$5:$C$315,$C243-1,$D$5:$D$315,$D243,K$5:K$315,"&lt;&gt;")=0,"",IF(OR(SUMIFS(K$5:K$315,$A$5:$A$315,$A243,$C$5:$C$315,$C243-1,$D$5:$D$315,$D243)=0,K243*SUMIFS(K$5:K$315,$A$5:$A$315,$A243,$C$5:$C$315,$C243-1,$D$5:$D$315,$D243)&lt;0),"n.s.",ABS(K243)/ABS(SUMIFS(K$5:K$315,$A$5:$A$315,$A243,$C$5:$C$315,$C243-1,$D$5:$D$315,$D243))-1)))</f>
        <v/>
      </c>
      <c r="V243" s="16">
        <f>IF(OR($A243="",L243="",$C243=""),"",IF(COUNTIFS($A$5:$A$315,$A243,$C$5:$C$315,$C243-1,$D$5:$D$315,$D243,L$5:L$315,"&lt;&gt;")=0,"",IF(OR(SUMIFS(L$5:L$315,$A$5:$A$315,$A243,$C$5:$C$315,$C243-1,$D$5:$D$315,$D243)=0,L243*SUMIFS(L$5:L$315,$A$5:$A$315,$A243,$C$5:$C$315,$C243-1,$D$5:$D$315,$D243)&lt;0),"n.s.",ABS(L243)/ABS(SUMIFS(L$5:L$315,$A$5:$A$315,$A243,$C$5:$C$315,$C243-1,$D$5:$D$315,$D243))-1)))</f>
        <v/>
      </c>
      <c r="W243" s="16">
        <f>IF(OR($A243="",M243="",$C243=""),"",IF(COUNTIFS($A$5:$A$315,$A243,$C$5:$C$315,$C243-1,$D$5:$D$315,$D243,M$5:M$315,"&lt;&gt;")=0,"",IF(OR(SUMIFS(M$5:M$315,$A$5:$A$315,$A243,$C$5:$C$315,$C243-1,$D$5:$D$315,$D243)=0,M243*SUMIFS(M$5:M$315,$A$5:$A$315,$A243,$C$5:$C$315,$C243-1,$D$5:$D$315,$D243)&lt;0),"n.s.",ABS(M243)/ABS(SUMIFS(M$5:M$315,$A$5:$A$315,$A243,$C$5:$C$315,$C243-1,$D$5:$D$315,$D243))-1)))</f>
        <v/>
      </c>
      <c r="X243" s="16">
        <f>IF(OR($A243="",N243="",$C243=""),"",IF(COUNTIFS($A$5:$A$315,$A243,$C$5:$C$315,$C243-1,$D$5:$D$315,$D243,N$5:N$315,"&lt;&gt;")=0,"",IF(OR(SUMIFS(N$5:N$315,$A$5:$A$315,$A243,$C$5:$C$315,$C243-1,$D$5:$D$315,$D243)=0,N243*SUMIFS(N$5:N$315,$A$5:$A$315,$A243,$C$5:$C$315,$C243-1,$D$5:$D$315,$D243)&lt;0),"n.s.",ABS(N243)/ABS(SUMIFS(N$5:N$315,$A$5:$A$315,$A243,$C$5:$C$315,$C243-1,$D$5:$D$315,$D243))-1)))</f>
        <v/>
      </c>
      <c r="Y243" s="16">
        <f>IF(OR($A243="",O243="",$C243=""),"",IF(COUNTIFS($A$5:$A$315,$A243,$C$5:$C$315,$C243-1,$D$5:$D$315,$D243,O$5:O$315,"&lt;&gt;")=0,"",IF(OR(SUMIFS(O$5:O$315,$A$5:$A$315,$A243,$C$5:$C$315,$C243-1,$D$5:$D$315,$D243)=0,O243*SUMIFS(O$5:O$315,$A$5:$A$315,$A243,$C$5:$C$315,$C243-1,$D$5:$D$315,$D243)&lt;0),"n.s.",ABS(O243)/ABS(SUMIFS(O$5:O$315,$A$5:$A$315,$A243,$C$5:$C$315,$C243-1,$D$5:$D$315,$D243))-1)))</f>
        <v/>
      </c>
    </row>
    <row r="244">
      <c r="A244" s="9" t="inlineStr">
        <is>
          <t>SGBC</t>
        </is>
      </c>
      <c r="B244" s="10">
        <f>IF(A244="","",IFERROR(VLOOKUP(A244,Titres!$A$2:$B$400,2,FALSE),"Ticker inconnu"))</f>
        <v/>
      </c>
      <c r="C244" s="11" t="n">
        <v>2022</v>
      </c>
      <c r="D244" s="11" t="inlineStr">
        <is>
          <t>T3</t>
        </is>
      </c>
      <c r="E244" s="9" t="n"/>
      <c r="F244" s="12" t="n"/>
      <c r="G244" s="9" t="n"/>
      <c r="H244" s="13" t="n"/>
      <c r="I244" s="13" t="n"/>
      <c r="J244" s="13" t="n"/>
      <c r="K244" s="13" t="n"/>
      <c r="L244" s="13" t="n"/>
      <c r="M244" s="13" t="n"/>
      <c r="N244" s="13" t="n"/>
      <c r="O244" s="13" t="n"/>
      <c r="P244" s="14">
        <f>IF(A244="","",COUNT(H244:O244)/8)</f>
        <v/>
      </c>
      <c r="Q244" s="15">
        <f>IF(COUNT(H244:O244)=0,"",IF(LEN(IF(COUNT(H244,I244,J244)=3,IF(ABS(H244+I244-J244)&lt;=MAX(1,0.02*ABS(J244)),"","RBE &lt;&gt; PNB + frais "),"")&amp;IF(COUNT(J244,K244,L244)=3,IF(ABS(J244+K244-L244)&lt;=MAX(1,0.03*ABS(L244)),"","RAI &lt;&gt; RBE + coût du risque "),"")&amp;IF(COUNT(H244,M244)=2,IF(ABS(M244)&gt;ABS(H244),"RN &gt; PNB ",""),""))=0,"OK",IF(COUNT(H244,I244,J244)=3,IF(ABS(H244+I244-J244)&lt;=MAX(1,0.02*ABS(J244)),"","RBE &lt;&gt; PNB + frais "),"")&amp;IF(COUNT(J244,K244,L244)=3,IF(ABS(J244+K244-L244)&lt;=MAX(1,0.03*ABS(L244)),"","RAI &lt;&gt; RBE + coût du risque "),"")&amp;IF(COUNT(H244,M244)=2,IF(ABS(M244)&gt;ABS(H244),"RN &gt; PNB ",""),"")))</f>
        <v/>
      </c>
      <c r="R244" s="16">
        <f>IF(OR($A244="",H244="",$C244=""),"",IF(COUNTIFS($A$5:$A$315,$A244,$C$5:$C$315,$C244-1,$D$5:$D$315,$D244,H$5:H$315,"&lt;&gt;")=0,"",IF(OR(SUMIFS(H$5:H$315,$A$5:$A$315,$A244,$C$5:$C$315,$C244-1,$D$5:$D$315,$D244)=0,H244*SUMIFS(H$5:H$315,$A$5:$A$315,$A244,$C$5:$C$315,$C244-1,$D$5:$D$315,$D244)&lt;0),"n.s.",ABS(H244)/ABS(SUMIFS(H$5:H$315,$A$5:$A$315,$A244,$C$5:$C$315,$C244-1,$D$5:$D$315,$D244))-1)))</f>
        <v/>
      </c>
      <c r="S244" s="16">
        <f>IF(OR($A244="",I244="",$C244=""),"",IF(COUNTIFS($A$5:$A$315,$A244,$C$5:$C$315,$C244-1,$D$5:$D$315,$D244,I$5:I$315,"&lt;&gt;")=0,"",IF(OR(SUMIFS(I$5:I$315,$A$5:$A$315,$A244,$C$5:$C$315,$C244-1,$D$5:$D$315,$D244)=0,I244*SUMIFS(I$5:I$315,$A$5:$A$315,$A244,$C$5:$C$315,$C244-1,$D$5:$D$315,$D244)&lt;0),"n.s.",ABS(I244)/ABS(SUMIFS(I$5:I$315,$A$5:$A$315,$A244,$C$5:$C$315,$C244-1,$D$5:$D$315,$D244))-1)))</f>
        <v/>
      </c>
      <c r="T244" s="16">
        <f>IF(OR($A244="",J244="",$C244=""),"",IF(COUNTIFS($A$5:$A$315,$A244,$C$5:$C$315,$C244-1,$D$5:$D$315,$D244,J$5:J$315,"&lt;&gt;")=0,"",IF(OR(SUMIFS(J$5:J$315,$A$5:$A$315,$A244,$C$5:$C$315,$C244-1,$D$5:$D$315,$D244)=0,J244*SUMIFS(J$5:J$315,$A$5:$A$315,$A244,$C$5:$C$315,$C244-1,$D$5:$D$315,$D244)&lt;0),"n.s.",ABS(J244)/ABS(SUMIFS(J$5:J$315,$A$5:$A$315,$A244,$C$5:$C$315,$C244-1,$D$5:$D$315,$D244))-1)))</f>
        <v/>
      </c>
      <c r="U244" s="16">
        <f>IF(OR($A244="",K244="",$C244=""),"",IF(COUNTIFS($A$5:$A$315,$A244,$C$5:$C$315,$C244-1,$D$5:$D$315,$D244,K$5:K$315,"&lt;&gt;")=0,"",IF(OR(SUMIFS(K$5:K$315,$A$5:$A$315,$A244,$C$5:$C$315,$C244-1,$D$5:$D$315,$D244)=0,K244*SUMIFS(K$5:K$315,$A$5:$A$315,$A244,$C$5:$C$315,$C244-1,$D$5:$D$315,$D244)&lt;0),"n.s.",ABS(K244)/ABS(SUMIFS(K$5:K$315,$A$5:$A$315,$A244,$C$5:$C$315,$C244-1,$D$5:$D$315,$D244))-1)))</f>
        <v/>
      </c>
      <c r="V244" s="16">
        <f>IF(OR($A244="",L244="",$C244=""),"",IF(COUNTIFS($A$5:$A$315,$A244,$C$5:$C$315,$C244-1,$D$5:$D$315,$D244,L$5:L$315,"&lt;&gt;")=0,"",IF(OR(SUMIFS(L$5:L$315,$A$5:$A$315,$A244,$C$5:$C$315,$C244-1,$D$5:$D$315,$D244)=0,L244*SUMIFS(L$5:L$315,$A$5:$A$315,$A244,$C$5:$C$315,$C244-1,$D$5:$D$315,$D244)&lt;0),"n.s.",ABS(L244)/ABS(SUMIFS(L$5:L$315,$A$5:$A$315,$A244,$C$5:$C$315,$C244-1,$D$5:$D$315,$D244))-1)))</f>
        <v/>
      </c>
      <c r="W244" s="16">
        <f>IF(OR($A244="",M244="",$C244=""),"",IF(COUNTIFS($A$5:$A$315,$A244,$C$5:$C$315,$C244-1,$D$5:$D$315,$D244,M$5:M$315,"&lt;&gt;")=0,"",IF(OR(SUMIFS(M$5:M$315,$A$5:$A$315,$A244,$C$5:$C$315,$C244-1,$D$5:$D$315,$D244)=0,M244*SUMIFS(M$5:M$315,$A$5:$A$315,$A244,$C$5:$C$315,$C244-1,$D$5:$D$315,$D244)&lt;0),"n.s.",ABS(M244)/ABS(SUMIFS(M$5:M$315,$A$5:$A$315,$A244,$C$5:$C$315,$C244-1,$D$5:$D$315,$D244))-1)))</f>
        <v/>
      </c>
      <c r="X244" s="16">
        <f>IF(OR($A244="",N244="",$C244=""),"",IF(COUNTIFS($A$5:$A$315,$A244,$C$5:$C$315,$C244-1,$D$5:$D$315,$D244,N$5:N$315,"&lt;&gt;")=0,"",IF(OR(SUMIFS(N$5:N$315,$A$5:$A$315,$A244,$C$5:$C$315,$C244-1,$D$5:$D$315,$D244)=0,N244*SUMIFS(N$5:N$315,$A$5:$A$315,$A244,$C$5:$C$315,$C244-1,$D$5:$D$315,$D244)&lt;0),"n.s.",ABS(N244)/ABS(SUMIFS(N$5:N$315,$A$5:$A$315,$A244,$C$5:$C$315,$C244-1,$D$5:$D$315,$D244))-1)))</f>
        <v/>
      </c>
      <c r="Y244" s="16">
        <f>IF(OR($A244="",O244="",$C244=""),"",IF(COUNTIFS($A$5:$A$315,$A244,$C$5:$C$315,$C244-1,$D$5:$D$315,$D244,O$5:O$315,"&lt;&gt;")=0,"",IF(OR(SUMIFS(O$5:O$315,$A$5:$A$315,$A244,$C$5:$C$315,$C244-1,$D$5:$D$315,$D244)=0,O244*SUMIFS(O$5:O$315,$A$5:$A$315,$A244,$C$5:$C$315,$C244-1,$D$5:$D$315,$D244)&lt;0),"n.s.",ABS(O244)/ABS(SUMIFS(O$5:O$315,$A$5:$A$315,$A244,$C$5:$C$315,$C244-1,$D$5:$D$315,$D244))-1)))</f>
        <v/>
      </c>
    </row>
    <row r="245">
      <c r="A245" s="9" t="inlineStr">
        <is>
          <t>SGBC</t>
        </is>
      </c>
      <c r="B245" s="10">
        <f>IF(A245="","",IFERROR(VLOOKUP(A245,Titres!$A$2:$B$400,2,FALSE),"Ticker inconnu"))</f>
        <v/>
      </c>
      <c r="C245" s="11" t="n">
        <v>2023</v>
      </c>
      <c r="D245" s="11" t="inlineStr">
        <is>
          <t>T1</t>
        </is>
      </c>
      <c r="E245" s="9" t="n"/>
      <c r="F245" s="12" t="n"/>
      <c r="G245" s="9" t="n"/>
      <c r="H245" s="13" t="n"/>
      <c r="I245" s="13" t="n"/>
      <c r="J245" s="13" t="n"/>
      <c r="K245" s="13" t="n"/>
      <c r="L245" s="13" t="n"/>
      <c r="M245" s="13" t="n"/>
      <c r="N245" s="13" t="n"/>
      <c r="O245" s="13" t="n"/>
      <c r="P245" s="14">
        <f>IF(A245="","",COUNT(H245:O245)/8)</f>
        <v/>
      </c>
      <c r="Q245" s="15">
        <f>IF(COUNT(H245:O245)=0,"",IF(LEN(IF(COUNT(H245,I245,J245)=3,IF(ABS(H245+I245-J245)&lt;=MAX(1,0.02*ABS(J245)),"","RBE &lt;&gt; PNB + frais "),"")&amp;IF(COUNT(J245,K245,L245)=3,IF(ABS(J245+K245-L245)&lt;=MAX(1,0.03*ABS(L245)),"","RAI &lt;&gt; RBE + coût du risque "),"")&amp;IF(COUNT(H245,M245)=2,IF(ABS(M245)&gt;ABS(H245),"RN &gt; PNB ",""),""))=0,"OK",IF(COUNT(H245,I245,J245)=3,IF(ABS(H245+I245-J245)&lt;=MAX(1,0.02*ABS(J245)),"","RBE &lt;&gt; PNB + frais "),"")&amp;IF(COUNT(J245,K245,L245)=3,IF(ABS(J245+K245-L245)&lt;=MAX(1,0.03*ABS(L245)),"","RAI &lt;&gt; RBE + coût du risque "),"")&amp;IF(COUNT(H245,M245)=2,IF(ABS(M245)&gt;ABS(H245),"RN &gt; PNB ",""),"")))</f>
        <v/>
      </c>
      <c r="R245" s="16">
        <f>IF(OR($A245="",H245="",$C245=""),"",IF(COUNTIFS($A$5:$A$315,$A245,$C$5:$C$315,$C245-1,$D$5:$D$315,$D245,H$5:H$315,"&lt;&gt;")=0,"",IF(OR(SUMIFS(H$5:H$315,$A$5:$A$315,$A245,$C$5:$C$315,$C245-1,$D$5:$D$315,$D245)=0,H245*SUMIFS(H$5:H$315,$A$5:$A$315,$A245,$C$5:$C$315,$C245-1,$D$5:$D$315,$D245)&lt;0),"n.s.",ABS(H245)/ABS(SUMIFS(H$5:H$315,$A$5:$A$315,$A245,$C$5:$C$315,$C245-1,$D$5:$D$315,$D245))-1)))</f>
        <v/>
      </c>
      <c r="S245" s="16">
        <f>IF(OR($A245="",I245="",$C245=""),"",IF(COUNTIFS($A$5:$A$315,$A245,$C$5:$C$315,$C245-1,$D$5:$D$315,$D245,I$5:I$315,"&lt;&gt;")=0,"",IF(OR(SUMIFS(I$5:I$315,$A$5:$A$315,$A245,$C$5:$C$315,$C245-1,$D$5:$D$315,$D245)=0,I245*SUMIFS(I$5:I$315,$A$5:$A$315,$A245,$C$5:$C$315,$C245-1,$D$5:$D$315,$D245)&lt;0),"n.s.",ABS(I245)/ABS(SUMIFS(I$5:I$315,$A$5:$A$315,$A245,$C$5:$C$315,$C245-1,$D$5:$D$315,$D245))-1)))</f>
        <v/>
      </c>
      <c r="T245" s="16">
        <f>IF(OR($A245="",J245="",$C245=""),"",IF(COUNTIFS($A$5:$A$315,$A245,$C$5:$C$315,$C245-1,$D$5:$D$315,$D245,J$5:J$315,"&lt;&gt;")=0,"",IF(OR(SUMIFS(J$5:J$315,$A$5:$A$315,$A245,$C$5:$C$315,$C245-1,$D$5:$D$315,$D245)=0,J245*SUMIFS(J$5:J$315,$A$5:$A$315,$A245,$C$5:$C$315,$C245-1,$D$5:$D$315,$D245)&lt;0),"n.s.",ABS(J245)/ABS(SUMIFS(J$5:J$315,$A$5:$A$315,$A245,$C$5:$C$315,$C245-1,$D$5:$D$315,$D245))-1)))</f>
        <v/>
      </c>
      <c r="U245" s="16">
        <f>IF(OR($A245="",K245="",$C245=""),"",IF(COUNTIFS($A$5:$A$315,$A245,$C$5:$C$315,$C245-1,$D$5:$D$315,$D245,K$5:K$315,"&lt;&gt;")=0,"",IF(OR(SUMIFS(K$5:K$315,$A$5:$A$315,$A245,$C$5:$C$315,$C245-1,$D$5:$D$315,$D245)=0,K245*SUMIFS(K$5:K$315,$A$5:$A$315,$A245,$C$5:$C$315,$C245-1,$D$5:$D$315,$D245)&lt;0),"n.s.",ABS(K245)/ABS(SUMIFS(K$5:K$315,$A$5:$A$315,$A245,$C$5:$C$315,$C245-1,$D$5:$D$315,$D245))-1)))</f>
        <v/>
      </c>
      <c r="V245" s="16">
        <f>IF(OR($A245="",L245="",$C245=""),"",IF(COUNTIFS($A$5:$A$315,$A245,$C$5:$C$315,$C245-1,$D$5:$D$315,$D245,L$5:L$315,"&lt;&gt;")=0,"",IF(OR(SUMIFS(L$5:L$315,$A$5:$A$315,$A245,$C$5:$C$315,$C245-1,$D$5:$D$315,$D245)=0,L245*SUMIFS(L$5:L$315,$A$5:$A$315,$A245,$C$5:$C$315,$C245-1,$D$5:$D$315,$D245)&lt;0),"n.s.",ABS(L245)/ABS(SUMIFS(L$5:L$315,$A$5:$A$315,$A245,$C$5:$C$315,$C245-1,$D$5:$D$315,$D245))-1)))</f>
        <v/>
      </c>
      <c r="W245" s="16">
        <f>IF(OR($A245="",M245="",$C245=""),"",IF(COUNTIFS($A$5:$A$315,$A245,$C$5:$C$315,$C245-1,$D$5:$D$315,$D245,M$5:M$315,"&lt;&gt;")=0,"",IF(OR(SUMIFS(M$5:M$315,$A$5:$A$315,$A245,$C$5:$C$315,$C245-1,$D$5:$D$315,$D245)=0,M245*SUMIFS(M$5:M$315,$A$5:$A$315,$A245,$C$5:$C$315,$C245-1,$D$5:$D$315,$D245)&lt;0),"n.s.",ABS(M245)/ABS(SUMIFS(M$5:M$315,$A$5:$A$315,$A245,$C$5:$C$315,$C245-1,$D$5:$D$315,$D245))-1)))</f>
        <v/>
      </c>
      <c r="X245" s="16">
        <f>IF(OR($A245="",N245="",$C245=""),"",IF(COUNTIFS($A$5:$A$315,$A245,$C$5:$C$315,$C245-1,$D$5:$D$315,$D245,N$5:N$315,"&lt;&gt;")=0,"",IF(OR(SUMIFS(N$5:N$315,$A$5:$A$315,$A245,$C$5:$C$315,$C245-1,$D$5:$D$315,$D245)=0,N245*SUMIFS(N$5:N$315,$A$5:$A$315,$A245,$C$5:$C$315,$C245-1,$D$5:$D$315,$D245)&lt;0),"n.s.",ABS(N245)/ABS(SUMIFS(N$5:N$315,$A$5:$A$315,$A245,$C$5:$C$315,$C245-1,$D$5:$D$315,$D245))-1)))</f>
        <v/>
      </c>
      <c r="Y245" s="16">
        <f>IF(OR($A245="",O245="",$C245=""),"",IF(COUNTIFS($A$5:$A$315,$A245,$C$5:$C$315,$C245-1,$D$5:$D$315,$D245,O$5:O$315,"&lt;&gt;")=0,"",IF(OR(SUMIFS(O$5:O$315,$A$5:$A$315,$A245,$C$5:$C$315,$C245-1,$D$5:$D$315,$D245)=0,O245*SUMIFS(O$5:O$315,$A$5:$A$315,$A245,$C$5:$C$315,$C245-1,$D$5:$D$315,$D245)&lt;0),"n.s.",ABS(O245)/ABS(SUMIFS(O$5:O$315,$A$5:$A$315,$A245,$C$5:$C$315,$C245-1,$D$5:$D$315,$D245))-1)))</f>
        <v/>
      </c>
    </row>
    <row r="246">
      <c r="A246" s="9" t="inlineStr">
        <is>
          <t>SGBC</t>
        </is>
      </c>
      <c r="B246" s="10">
        <f>IF(A246="","",IFERROR(VLOOKUP(A246,Titres!$A$2:$B$400,2,FALSE),"Ticker inconnu"))</f>
        <v/>
      </c>
      <c r="C246" s="11" t="n">
        <v>2023</v>
      </c>
      <c r="D246" s="11" t="inlineStr">
        <is>
          <t>S1</t>
        </is>
      </c>
      <c r="E246" s="9" t="n"/>
      <c r="F246" s="12" t="n"/>
      <c r="G246" s="9" t="n"/>
      <c r="H246" s="13" t="n"/>
      <c r="I246" s="13" t="n"/>
      <c r="J246" s="13" t="n"/>
      <c r="K246" s="13" t="n"/>
      <c r="L246" s="13" t="n"/>
      <c r="M246" s="13" t="n"/>
      <c r="N246" s="13" t="n"/>
      <c r="O246" s="13" t="n"/>
      <c r="P246" s="14">
        <f>IF(A246="","",COUNT(H246:O246)/8)</f>
        <v/>
      </c>
      <c r="Q246" s="15">
        <f>IF(COUNT(H246:O246)=0,"",IF(LEN(IF(COUNT(H246,I246,J246)=3,IF(ABS(H246+I246-J246)&lt;=MAX(1,0.02*ABS(J246)),"","RBE &lt;&gt; PNB + frais "),"")&amp;IF(COUNT(J246,K246,L246)=3,IF(ABS(J246+K246-L246)&lt;=MAX(1,0.03*ABS(L246)),"","RAI &lt;&gt; RBE + coût du risque "),"")&amp;IF(COUNT(H246,M246)=2,IF(ABS(M246)&gt;ABS(H246),"RN &gt; PNB ",""),""))=0,"OK",IF(COUNT(H246,I246,J246)=3,IF(ABS(H246+I246-J246)&lt;=MAX(1,0.02*ABS(J246)),"","RBE &lt;&gt; PNB + frais "),"")&amp;IF(COUNT(J246,K246,L246)=3,IF(ABS(J246+K246-L246)&lt;=MAX(1,0.03*ABS(L246)),"","RAI &lt;&gt; RBE + coût du risque "),"")&amp;IF(COUNT(H246,M246)=2,IF(ABS(M246)&gt;ABS(H246),"RN &gt; PNB ",""),"")))</f>
        <v/>
      </c>
      <c r="R246" s="16">
        <f>IF(OR($A246="",H246="",$C246=""),"",IF(COUNTIFS($A$5:$A$315,$A246,$C$5:$C$315,$C246-1,$D$5:$D$315,$D246,H$5:H$315,"&lt;&gt;")=0,"",IF(OR(SUMIFS(H$5:H$315,$A$5:$A$315,$A246,$C$5:$C$315,$C246-1,$D$5:$D$315,$D246)=0,H246*SUMIFS(H$5:H$315,$A$5:$A$315,$A246,$C$5:$C$315,$C246-1,$D$5:$D$315,$D246)&lt;0),"n.s.",ABS(H246)/ABS(SUMIFS(H$5:H$315,$A$5:$A$315,$A246,$C$5:$C$315,$C246-1,$D$5:$D$315,$D246))-1)))</f>
        <v/>
      </c>
      <c r="S246" s="16">
        <f>IF(OR($A246="",I246="",$C246=""),"",IF(COUNTIFS($A$5:$A$315,$A246,$C$5:$C$315,$C246-1,$D$5:$D$315,$D246,I$5:I$315,"&lt;&gt;")=0,"",IF(OR(SUMIFS(I$5:I$315,$A$5:$A$315,$A246,$C$5:$C$315,$C246-1,$D$5:$D$315,$D246)=0,I246*SUMIFS(I$5:I$315,$A$5:$A$315,$A246,$C$5:$C$315,$C246-1,$D$5:$D$315,$D246)&lt;0),"n.s.",ABS(I246)/ABS(SUMIFS(I$5:I$315,$A$5:$A$315,$A246,$C$5:$C$315,$C246-1,$D$5:$D$315,$D246))-1)))</f>
        <v/>
      </c>
      <c r="T246" s="16">
        <f>IF(OR($A246="",J246="",$C246=""),"",IF(COUNTIFS($A$5:$A$315,$A246,$C$5:$C$315,$C246-1,$D$5:$D$315,$D246,J$5:J$315,"&lt;&gt;")=0,"",IF(OR(SUMIFS(J$5:J$315,$A$5:$A$315,$A246,$C$5:$C$315,$C246-1,$D$5:$D$315,$D246)=0,J246*SUMIFS(J$5:J$315,$A$5:$A$315,$A246,$C$5:$C$315,$C246-1,$D$5:$D$315,$D246)&lt;0),"n.s.",ABS(J246)/ABS(SUMIFS(J$5:J$315,$A$5:$A$315,$A246,$C$5:$C$315,$C246-1,$D$5:$D$315,$D246))-1)))</f>
        <v/>
      </c>
      <c r="U246" s="16">
        <f>IF(OR($A246="",K246="",$C246=""),"",IF(COUNTIFS($A$5:$A$315,$A246,$C$5:$C$315,$C246-1,$D$5:$D$315,$D246,K$5:K$315,"&lt;&gt;")=0,"",IF(OR(SUMIFS(K$5:K$315,$A$5:$A$315,$A246,$C$5:$C$315,$C246-1,$D$5:$D$315,$D246)=0,K246*SUMIFS(K$5:K$315,$A$5:$A$315,$A246,$C$5:$C$315,$C246-1,$D$5:$D$315,$D246)&lt;0),"n.s.",ABS(K246)/ABS(SUMIFS(K$5:K$315,$A$5:$A$315,$A246,$C$5:$C$315,$C246-1,$D$5:$D$315,$D246))-1)))</f>
        <v/>
      </c>
      <c r="V246" s="16">
        <f>IF(OR($A246="",L246="",$C246=""),"",IF(COUNTIFS($A$5:$A$315,$A246,$C$5:$C$315,$C246-1,$D$5:$D$315,$D246,L$5:L$315,"&lt;&gt;")=0,"",IF(OR(SUMIFS(L$5:L$315,$A$5:$A$315,$A246,$C$5:$C$315,$C246-1,$D$5:$D$315,$D246)=0,L246*SUMIFS(L$5:L$315,$A$5:$A$315,$A246,$C$5:$C$315,$C246-1,$D$5:$D$315,$D246)&lt;0),"n.s.",ABS(L246)/ABS(SUMIFS(L$5:L$315,$A$5:$A$315,$A246,$C$5:$C$315,$C246-1,$D$5:$D$315,$D246))-1)))</f>
        <v/>
      </c>
      <c r="W246" s="16">
        <f>IF(OR($A246="",M246="",$C246=""),"",IF(COUNTIFS($A$5:$A$315,$A246,$C$5:$C$315,$C246-1,$D$5:$D$315,$D246,M$5:M$315,"&lt;&gt;")=0,"",IF(OR(SUMIFS(M$5:M$315,$A$5:$A$315,$A246,$C$5:$C$315,$C246-1,$D$5:$D$315,$D246)=0,M246*SUMIFS(M$5:M$315,$A$5:$A$315,$A246,$C$5:$C$315,$C246-1,$D$5:$D$315,$D246)&lt;0),"n.s.",ABS(M246)/ABS(SUMIFS(M$5:M$315,$A$5:$A$315,$A246,$C$5:$C$315,$C246-1,$D$5:$D$315,$D246))-1)))</f>
        <v/>
      </c>
      <c r="X246" s="16">
        <f>IF(OR($A246="",N246="",$C246=""),"",IF(COUNTIFS($A$5:$A$315,$A246,$C$5:$C$315,$C246-1,$D$5:$D$315,$D246,N$5:N$315,"&lt;&gt;")=0,"",IF(OR(SUMIFS(N$5:N$315,$A$5:$A$315,$A246,$C$5:$C$315,$C246-1,$D$5:$D$315,$D246)=0,N246*SUMIFS(N$5:N$315,$A$5:$A$315,$A246,$C$5:$C$315,$C246-1,$D$5:$D$315,$D246)&lt;0),"n.s.",ABS(N246)/ABS(SUMIFS(N$5:N$315,$A$5:$A$315,$A246,$C$5:$C$315,$C246-1,$D$5:$D$315,$D246))-1)))</f>
        <v/>
      </c>
      <c r="Y246" s="16">
        <f>IF(OR($A246="",O246="",$C246=""),"",IF(COUNTIFS($A$5:$A$315,$A246,$C$5:$C$315,$C246-1,$D$5:$D$315,$D246,O$5:O$315,"&lt;&gt;")=0,"",IF(OR(SUMIFS(O$5:O$315,$A$5:$A$315,$A246,$C$5:$C$315,$C246-1,$D$5:$D$315,$D246)=0,O246*SUMIFS(O$5:O$315,$A$5:$A$315,$A246,$C$5:$C$315,$C246-1,$D$5:$D$315,$D246)&lt;0),"n.s.",ABS(O246)/ABS(SUMIFS(O$5:O$315,$A$5:$A$315,$A246,$C$5:$C$315,$C246-1,$D$5:$D$315,$D246))-1)))</f>
        <v/>
      </c>
    </row>
    <row r="247">
      <c r="A247" s="9" t="inlineStr">
        <is>
          <t>SGBC</t>
        </is>
      </c>
      <c r="B247" s="10">
        <f>IF(A247="","",IFERROR(VLOOKUP(A247,Titres!$A$2:$B$400,2,FALSE),"Ticker inconnu"))</f>
        <v/>
      </c>
      <c r="C247" s="11" t="n">
        <v>2023</v>
      </c>
      <c r="D247" s="11" t="inlineStr">
        <is>
          <t>T3</t>
        </is>
      </c>
      <c r="E247" s="9" t="n"/>
      <c r="F247" s="12" t="n"/>
      <c r="G247" s="9" t="n"/>
      <c r="H247" s="13" t="n"/>
      <c r="I247" s="13" t="n"/>
      <c r="J247" s="13" t="n"/>
      <c r="K247" s="13" t="n"/>
      <c r="L247" s="13" t="n"/>
      <c r="M247" s="13" t="n"/>
      <c r="N247" s="13" t="n"/>
      <c r="O247" s="13" t="n"/>
      <c r="P247" s="14">
        <f>IF(A247="","",COUNT(H247:O247)/8)</f>
        <v/>
      </c>
      <c r="Q247" s="15">
        <f>IF(COUNT(H247:O247)=0,"",IF(LEN(IF(COUNT(H247,I247,J247)=3,IF(ABS(H247+I247-J247)&lt;=MAX(1,0.02*ABS(J247)),"","RBE &lt;&gt; PNB + frais "),"")&amp;IF(COUNT(J247,K247,L247)=3,IF(ABS(J247+K247-L247)&lt;=MAX(1,0.03*ABS(L247)),"","RAI &lt;&gt; RBE + coût du risque "),"")&amp;IF(COUNT(H247,M247)=2,IF(ABS(M247)&gt;ABS(H247),"RN &gt; PNB ",""),""))=0,"OK",IF(COUNT(H247,I247,J247)=3,IF(ABS(H247+I247-J247)&lt;=MAX(1,0.02*ABS(J247)),"","RBE &lt;&gt; PNB + frais "),"")&amp;IF(COUNT(J247,K247,L247)=3,IF(ABS(J247+K247-L247)&lt;=MAX(1,0.03*ABS(L247)),"","RAI &lt;&gt; RBE + coût du risque "),"")&amp;IF(COUNT(H247,M247)=2,IF(ABS(M247)&gt;ABS(H247),"RN &gt; PNB ",""),"")))</f>
        <v/>
      </c>
      <c r="R247" s="16">
        <f>IF(OR($A247="",H247="",$C247=""),"",IF(COUNTIFS($A$5:$A$315,$A247,$C$5:$C$315,$C247-1,$D$5:$D$315,$D247,H$5:H$315,"&lt;&gt;")=0,"",IF(OR(SUMIFS(H$5:H$315,$A$5:$A$315,$A247,$C$5:$C$315,$C247-1,$D$5:$D$315,$D247)=0,H247*SUMIFS(H$5:H$315,$A$5:$A$315,$A247,$C$5:$C$315,$C247-1,$D$5:$D$315,$D247)&lt;0),"n.s.",ABS(H247)/ABS(SUMIFS(H$5:H$315,$A$5:$A$315,$A247,$C$5:$C$315,$C247-1,$D$5:$D$315,$D247))-1)))</f>
        <v/>
      </c>
      <c r="S247" s="16">
        <f>IF(OR($A247="",I247="",$C247=""),"",IF(COUNTIFS($A$5:$A$315,$A247,$C$5:$C$315,$C247-1,$D$5:$D$315,$D247,I$5:I$315,"&lt;&gt;")=0,"",IF(OR(SUMIFS(I$5:I$315,$A$5:$A$315,$A247,$C$5:$C$315,$C247-1,$D$5:$D$315,$D247)=0,I247*SUMIFS(I$5:I$315,$A$5:$A$315,$A247,$C$5:$C$315,$C247-1,$D$5:$D$315,$D247)&lt;0),"n.s.",ABS(I247)/ABS(SUMIFS(I$5:I$315,$A$5:$A$315,$A247,$C$5:$C$315,$C247-1,$D$5:$D$315,$D247))-1)))</f>
        <v/>
      </c>
      <c r="T247" s="16">
        <f>IF(OR($A247="",J247="",$C247=""),"",IF(COUNTIFS($A$5:$A$315,$A247,$C$5:$C$315,$C247-1,$D$5:$D$315,$D247,J$5:J$315,"&lt;&gt;")=0,"",IF(OR(SUMIFS(J$5:J$315,$A$5:$A$315,$A247,$C$5:$C$315,$C247-1,$D$5:$D$315,$D247)=0,J247*SUMIFS(J$5:J$315,$A$5:$A$315,$A247,$C$5:$C$315,$C247-1,$D$5:$D$315,$D247)&lt;0),"n.s.",ABS(J247)/ABS(SUMIFS(J$5:J$315,$A$5:$A$315,$A247,$C$5:$C$315,$C247-1,$D$5:$D$315,$D247))-1)))</f>
        <v/>
      </c>
      <c r="U247" s="16">
        <f>IF(OR($A247="",K247="",$C247=""),"",IF(COUNTIFS($A$5:$A$315,$A247,$C$5:$C$315,$C247-1,$D$5:$D$315,$D247,K$5:K$315,"&lt;&gt;")=0,"",IF(OR(SUMIFS(K$5:K$315,$A$5:$A$315,$A247,$C$5:$C$315,$C247-1,$D$5:$D$315,$D247)=0,K247*SUMIFS(K$5:K$315,$A$5:$A$315,$A247,$C$5:$C$315,$C247-1,$D$5:$D$315,$D247)&lt;0),"n.s.",ABS(K247)/ABS(SUMIFS(K$5:K$315,$A$5:$A$315,$A247,$C$5:$C$315,$C247-1,$D$5:$D$315,$D247))-1)))</f>
        <v/>
      </c>
      <c r="V247" s="16">
        <f>IF(OR($A247="",L247="",$C247=""),"",IF(COUNTIFS($A$5:$A$315,$A247,$C$5:$C$315,$C247-1,$D$5:$D$315,$D247,L$5:L$315,"&lt;&gt;")=0,"",IF(OR(SUMIFS(L$5:L$315,$A$5:$A$315,$A247,$C$5:$C$315,$C247-1,$D$5:$D$315,$D247)=0,L247*SUMIFS(L$5:L$315,$A$5:$A$315,$A247,$C$5:$C$315,$C247-1,$D$5:$D$315,$D247)&lt;0),"n.s.",ABS(L247)/ABS(SUMIFS(L$5:L$315,$A$5:$A$315,$A247,$C$5:$C$315,$C247-1,$D$5:$D$315,$D247))-1)))</f>
        <v/>
      </c>
      <c r="W247" s="16">
        <f>IF(OR($A247="",M247="",$C247=""),"",IF(COUNTIFS($A$5:$A$315,$A247,$C$5:$C$315,$C247-1,$D$5:$D$315,$D247,M$5:M$315,"&lt;&gt;")=0,"",IF(OR(SUMIFS(M$5:M$315,$A$5:$A$315,$A247,$C$5:$C$315,$C247-1,$D$5:$D$315,$D247)=0,M247*SUMIFS(M$5:M$315,$A$5:$A$315,$A247,$C$5:$C$315,$C247-1,$D$5:$D$315,$D247)&lt;0),"n.s.",ABS(M247)/ABS(SUMIFS(M$5:M$315,$A$5:$A$315,$A247,$C$5:$C$315,$C247-1,$D$5:$D$315,$D247))-1)))</f>
        <v/>
      </c>
      <c r="X247" s="16">
        <f>IF(OR($A247="",N247="",$C247=""),"",IF(COUNTIFS($A$5:$A$315,$A247,$C$5:$C$315,$C247-1,$D$5:$D$315,$D247,N$5:N$315,"&lt;&gt;")=0,"",IF(OR(SUMIFS(N$5:N$315,$A$5:$A$315,$A247,$C$5:$C$315,$C247-1,$D$5:$D$315,$D247)=0,N247*SUMIFS(N$5:N$315,$A$5:$A$315,$A247,$C$5:$C$315,$C247-1,$D$5:$D$315,$D247)&lt;0),"n.s.",ABS(N247)/ABS(SUMIFS(N$5:N$315,$A$5:$A$315,$A247,$C$5:$C$315,$C247-1,$D$5:$D$315,$D247))-1)))</f>
        <v/>
      </c>
      <c r="Y247" s="16">
        <f>IF(OR($A247="",O247="",$C247=""),"",IF(COUNTIFS($A$5:$A$315,$A247,$C$5:$C$315,$C247-1,$D$5:$D$315,$D247,O$5:O$315,"&lt;&gt;")=0,"",IF(OR(SUMIFS(O$5:O$315,$A$5:$A$315,$A247,$C$5:$C$315,$C247-1,$D$5:$D$315,$D247)=0,O247*SUMIFS(O$5:O$315,$A$5:$A$315,$A247,$C$5:$C$315,$C247-1,$D$5:$D$315,$D247)&lt;0),"n.s.",ABS(O247)/ABS(SUMIFS(O$5:O$315,$A$5:$A$315,$A247,$C$5:$C$315,$C247-1,$D$5:$D$315,$D247))-1)))</f>
        <v/>
      </c>
    </row>
    <row r="248">
      <c r="A248" s="9" t="inlineStr">
        <is>
          <t>SGBC</t>
        </is>
      </c>
      <c r="B248" s="10">
        <f>IF(A248="","",IFERROR(VLOOKUP(A248,Titres!$A$2:$B$400,2,FALSE),"Ticker inconnu"))</f>
        <v/>
      </c>
      <c r="C248" s="11" t="n">
        <v>2024</v>
      </c>
      <c r="D248" s="11" t="inlineStr">
        <is>
          <t>T1</t>
        </is>
      </c>
      <c r="E248" s="9" t="n"/>
      <c r="F248" s="12" t="n"/>
      <c r="G248" s="9" t="n"/>
      <c r="H248" s="13" t="n"/>
      <c r="I248" s="13" t="n"/>
      <c r="J248" s="13" t="n"/>
      <c r="K248" s="13" t="n"/>
      <c r="L248" s="13" t="n"/>
      <c r="M248" s="13" t="n"/>
      <c r="N248" s="13" t="n"/>
      <c r="O248" s="13" t="n"/>
      <c r="P248" s="14">
        <f>IF(A248="","",COUNT(H248:O248)/8)</f>
        <v/>
      </c>
      <c r="Q248" s="15">
        <f>IF(COUNT(H248:O248)=0,"",IF(LEN(IF(COUNT(H248,I248,J248)=3,IF(ABS(H248+I248-J248)&lt;=MAX(1,0.02*ABS(J248)),"","RBE &lt;&gt; PNB + frais "),"")&amp;IF(COUNT(J248,K248,L248)=3,IF(ABS(J248+K248-L248)&lt;=MAX(1,0.03*ABS(L248)),"","RAI &lt;&gt; RBE + coût du risque "),"")&amp;IF(COUNT(H248,M248)=2,IF(ABS(M248)&gt;ABS(H248),"RN &gt; PNB ",""),""))=0,"OK",IF(COUNT(H248,I248,J248)=3,IF(ABS(H248+I248-J248)&lt;=MAX(1,0.02*ABS(J248)),"","RBE &lt;&gt; PNB + frais "),"")&amp;IF(COUNT(J248,K248,L248)=3,IF(ABS(J248+K248-L248)&lt;=MAX(1,0.03*ABS(L248)),"","RAI &lt;&gt; RBE + coût du risque "),"")&amp;IF(COUNT(H248,M248)=2,IF(ABS(M248)&gt;ABS(H248),"RN &gt; PNB ",""),"")))</f>
        <v/>
      </c>
      <c r="R248" s="16">
        <f>IF(OR($A248="",H248="",$C248=""),"",IF(COUNTIFS($A$5:$A$315,$A248,$C$5:$C$315,$C248-1,$D$5:$D$315,$D248,H$5:H$315,"&lt;&gt;")=0,"",IF(OR(SUMIFS(H$5:H$315,$A$5:$A$315,$A248,$C$5:$C$315,$C248-1,$D$5:$D$315,$D248)=0,H248*SUMIFS(H$5:H$315,$A$5:$A$315,$A248,$C$5:$C$315,$C248-1,$D$5:$D$315,$D248)&lt;0),"n.s.",ABS(H248)/ABS(SUMIFS(H$5:H$315,$A$5:$A$315,$A248,$C$5:$C$315,$C248-1,$D$5:$D$315,$D248))-1)))</f>
        <v/>
      </c>
      <c r="S248" s="16">
        <f>IF(OR($A248="",I248="",$C248=""),"",IF(COUNTIFS($A$5:$A$315,$A248,$C$5:$C$315,$C248-1,$D$5:$D$315,$D248,I$5:I$315,"&lt;&gt;")=0,"",IF(OR(SUMIFS(I$5:I$315,$A$5:$A$315,$A248,$C$5:$C$315,$C248-1,$D$5:$D$315,$D248)=0,I248*SUMIFS(I$5:I$315,$A$5:$A$315,$A248,$C$5:$C$315,$C248-1,$D$5:$D$315,$D248)&lt;0),"n.s.",ABS(I248)/ABS(SUMIFS(I$5:I$315,$A$5:$A$315,$A248,$C$5:$C$315,$C248-1,$D$5:$D$315,$D248))-1)))</f>
        <v/>
      </c>
      <c r="T248" s="16">
        <f>IF(OR($A248="",J248="",$C248=""),"",IF(COUNTIFS($A$5:$A$315,$A248,$C$5:$C$315,$C248-1,$D$5:$D$315,$D248,J$5:J$315,"&lt;&gt;")=0,"",IF(OR(SUMIFS(J$5:J$315,$A$5:$A$315,$A248,$C$5:$C$315,$C248-1,$D$5:$D$315,$D248)=0,J248*SUMIFS(J$5:J$315,$A$5:$A$315,$A248,$C$5:$C$315,$C248-1,$D$5:$D$315,$D248)&lt;0),"n.s.",ABS(J248)/ABS(SUMIFS(J$5:J$315,$A$5:$A$315,$A248,$C$5:$C$315,$C248-1,$D$5:$D$315,$D248))-1)))</f>
        <v/>
      </c>
      <c r="U248" s="16">
        <f>IF(OR($A248="",K248="",$C248=""),"",IF(COUNTIFS($A$5:$A$315,$A248,$C$5:$C$315,$C248-1,$D$5:$D$315,$D248,K$5:K$315,"&lt;&gt;")=0,"",IF(OR(SUMIFS(K$5:K$315,$A$5:$A$315,$A248,$C$5:$C$315,$C248-1,$D$5:$D$315,$D248)=0,K248*SUMIFS(K$5:K$315,$A$5:$A$315,$A248,$C$5:$C$315,$C248-1,$D$5:$D$315,$D248)&lt;0),"n.s.",ABS(K248)/ABS(SUMIFS(K$5:K$315,$A$5:$A$315,$A248,$C$5:$C$315,$C248-1,$D$5:$D$315,$D248))-1)))</f>
        <v/>
      </c>
      <c r="V248" s="16">
        <f>IF(OR($A248="",L248="",$C248=""),"",IF(COUNTIFS($A$5:$A$315,$A248,$C$5:$C$315,$C248-1,$D$5:$D$315,$D248,L$5:L$315,"&lt;&gt;")=0,"",IF(OR(SUMIFS(L$5:L$315,$A$5:$A$315,$A248,$C$5:$C$315,$C248-1,$D$5:$D$315,$D248)=0,L248*SUMIFS(L$5:L$315,$A$5:$A$315,$A248,$C$5:$C$315,$C248-1,$D$5:$D$315,$D248)&lt;0),"n.s.",ABS(L248)/ABS(SUMIFS(L$5:L$315,$A$5:$A$315,$A248,$C$5:$C$315,$C248-1,$D$5:$D$315,$D248))-1)))</f>
        <v/>
      </c>
      <c r="W248" s="16">
        <f>IF(OR($A248="",M248="",$C248=""),"",IF(COUNTIFS($A$5:$A$315,$A248,$C$5:$C$315,$C248-1,$D$5:$D$315,$D248,M$5:M$315,"&lt;&gt;")=0,"",IF(OR(SUMIFS(M$5:M$315,$A$5:$A$315,$A248,$C$5:$C$315,$C248-1,$D$5:$D$315,$D248)=0,M248*SUMIFS(M$5:M$315,$A$5:$A$315,$A248,$C$5:$C$315,$C248-1,$D$5:$D$315,$D248)&lt;0),"n.s.",ABS(M248)/ABS(SUMIFS(M$5:M$315,$A$5:$A$315,$A248,$C$5:$C$315,$C248-1,$D$5:$D$315,$D248))-1)))</f>
        <v/>
      </c>
      <c r="X248" s="16">
        <f>IF(OR($A248="",N248="",$C248=""),"",IF(COUNTIFS($A$5:$A$315,$A248,$C$5:$C$315,$C248-1,$D$5:$D$315,$D248,N$5:N$315,"&lt;&gt;")=0,"",IF(OR(SUMIFS(N$5:N$315,$A$5:$A$315,$A248,$C$5:$C$315,$C248-1,$D$5:$D$315,$D248)=0,N248*SUMIFS(N$5:N$315,$A$5:$A$315,$A248,$C$5:$C$315,$C248-1,$D$5:$D$315,$D248)&lt;0),"n.s.",ABS(N248)/ABS(SUMIFS(N$5:N$315,$A$5:$A$315,$A248,$C$5:$C$315,$C248-1,$D$5:$D$315,$D248))-1)))</f>
        <v/>
      </c>
      <c r="Y248" s="16">
        <f>IF(OR($A248="",O248="",$C248=""),"",IF(COUNTIFS($A$5:$A$315,$A248,$C$5:$C$315,$C248-1,$D$5:$D$315,$D248,O$5:O$315,"&lt;&gt;")=0,"",IF(OR(SUMIFS(O$5:O$315,$A$5:$A$315,$A248,$C$5:$C$315,$C248-1,$D$5:$D$315,$D248)=0,O248*SUMIFS(O$5:O$315,$A$5:$A$315,$A248,$C$5:$C$315,$C248-1,$D$5:$D$315,$D248)&lt;0),"n.s.",ABS(O248)/ABS(SUMIFS(O$5:O$315,$A$5:$A$315,$A248,$C$5:$C$315,$C248-1,$D$5:$D$315,$D248))-1)))</f>
        <v/>
      </c>
    </row>
    <row r="249">
      <c r="A249" s="9" t="inlineStr">
        <is>
          <t>SGBC</t>
        </is>
      </c>
      <c r="B249" s="10">
        <f>IF(A249="","",IFERROR(VLOOKUP(A249,Titres!$A$2:$B$400,2,FALSE),"Ticker inconnu"))</f>
        <v/>
      </c>
      <c r="C249" s="11" t="n">
        <v>2024</v>
      </c>
      <c r="D249" s="11" t="inlineStr">
        <is>
          <t>S1</t>
        </is>
      </c>
      <c r="E249" s="9" t="n"/>
      <c r="F249" s="12" t="n"/>
      <c r="G249" s="9" t="n"/>
      <c r="H249" s="13" t="n"/>
      <c r="I249" s="13" t="n"/>
      <c r="J249" s="13" t="n"/>
      <c r="K249" s="13" t="n"/>
      <c r="L249" s="13" t="n"/>
      <c r="M249" s="13" t="n"/>
      <c r="N249" s="13" t="n"/>
      <c r="O249" s="13" t="n"/>
      <c r="P249" s="14">
        <f>IF(A249="","",COUNT(H249:O249)/8)</f>
        <v/>
      </c>
      <c r="Q249" s="15">
        <f>IF(COUNT(H249:O249)=0,"",IF(LEN(IF(COUNT(H249,I249,J249)=3,IF(ABS(H249+I249-J249)&lt;=MAX(1,0.02*ABS(J249)),"","RBE &lt;&gt; PNB + frais "),"")&amp;IF(COUNT(J249,K249,L249)=3,IF(ABS(J249+K249-L249)&lt;=MAX(1,0.03*ABS(L249)),"","RAI &lt;&gt; RBE + coût du risque "),"")&amp;IF(COUNT(H249,M249)=2,IF(ABS(M249)&gt;ABS(H249),"RN &gt; PNB ",""),""))=0,"OK",IF(COUNT(H249,I249,J249)=3,IF(ABS(H249+I249-J249)&lt;=MAX(1,0.02*ABS(J249)),"","RBE &lt;&gt; PNB + frais "),"")&amp;IF(COUNT(J249,K249,L249)=3,IF(ABS(J249+K249-L249)&lt;=MAX(1,0.03*ABS(L249)),"","RAI &lt;&gt; RBE + coût du risque "),"")&amp;IF(COUNT(H249,M249)=2,IF(ABS(M249)&gt;ABS(H249),"RN &gt; PNB ",""),"")))</f>
        <v/>
      </c>
      <c r="R249" s="16">
        <f>IF(OR($A249="",H249="",$C249=""),"",IF(COUNTIFS($A$5:$A$315,$A249,$C$5:$C$315,$C249-1,$D$5:$D$315,$D249,H$5:H$315,"&lt;&gt;")=0,"",IF(OR(SUMIFS(H$5:H$315,$A$5:$A$315,$A249,$C$5:$C$315,$C249-1,$D$5:$D$315,$D249)=0,H249*SUMIFS(H$5:H$315,$A$5:$A$315,$A249,$C$5:$C$315,$C249-1,$D$5:$D$315,$D249)&lt;0),"n.s.",ABS(H249)/ABS(SUMIFS(H$5:H$315,$A$5:$A$315,$A249,$C$5:$C$315,$C249-1,$D$5:$D$315,$D249))-1)))</f>
        <v/>
      </c>
      <c r="S249" s="16">
        <f>IF(OR($A249="",I249="",$C249=""),"",IF(COUNTIFS($A$5:$A$315,$A249,$C$5:$C$315,$C249-1,$D$5:$D$315,$D249,I$5:I$315,"&lt;&gt;")=0,"",IF(OR(SUMIFS(I$5:I$315,$A$5:$A$315,$A249,$C$5:$C$315,$C249-1,$D$5:$D$315,$D249)=0,I249*SUMIFS(I$5:I$315,$A$5:$A$315,$A249,$C$5:$C$315,$C249-1,$D$5:$D$315,$D249)&lt;0),"n.s.",ABS(I249)/ABS(SUMIFS(I$5:I$315,$A$5:$A$315,$A249,$C$5:$C$315,$C249-1,$D$5:$D$315,$D249))-1)))</f>
        <v/>
      </c>
      <c r="T249" s="16">
        <f>IF(OR($A249="",J249="",$C249=""),"",IF(COUNTIFS($A$5:$A$315,$A249,$C$5:$C$315,$C249-1,$D$5:$D$315,$D249,J$5:J$315,"&lt;&gt;")=0,"",IF(OR(SUMIFS(J$5:J$315,$A$5:$A$315,$A249,$C$5:$C$315,$C249-1,$D$5:$D$315,$D249)=0,J249*SUMIFS(J$5:J$315,$A$5:$A$315,$A249,$C$5:$C$315,$C249-1,$D$5:$D$315,$D249)&lt;0),"n.s.",ABS(J249)/ABS(SUMIFS(J$5:J$315,$A$5:$A$315,$A249,$C$5:$C$315,$C249-1,$D$5:$D$315,$D249))-1)))</f>
        <v/>
      </c>
      <c r="U249" s="16">
        <f>IF(OR($A249="",K249="",$C249=""),"",IF(COUNTIFS($A$5:$A$315,$A249,$C$5:$C$315,$C249-1,$D$5:$D$315,$D249,K$5:K$315,"&lt;&gt;")=0,"",IF(OR(SUMIFS(K$5:K$315,$A$5:$A$315,$A249,$C$5:$C$315,$C249-1,$D$5:$D$315,$D249)=0,K249*SUMIFS(K$5:K$315,$A$5:$A$315,$A249,$C$5:$C$315,$C249-1,$D$5:$D$315,$D249)&lt;0),"n.s.",ABS(K249)/ABS(SUMIFS(K$5:K$315,$A$5:$A$315,$A249,$C$5:$C$315,$C249-1,$D$5:$D$315,$D249))-1)))</f>
        <v/>
      </c>
      <c r="V249" s="16">
        <f>IF(OR($A249="",L249="",$C249=""),"",IF(COUNTIFS($A$5:$A$315,$A249,$C$5:$C$315,$C249-1,$D$5:$D$315,$D249,L$5:L$315,"&lt;&gt;")=0,"",IF(OR(SUMIFS(L$5:L$315,$A$5:$A$315,$A249,$C$5:$C$315,$C249-1,$D$5:$D$315,$D249)=0,L249*SUMIFS(L$5:L$315,$A$5:$A$315,$A249,$C$5:$C$315,$C249-1,$D$5:$D$315,$D249)&lt;0),"n.s.",ABS(L249)/ABS(SUMIFS(L$5:L$315,$A$5:$A$315,$A249,$C$5:$C$315,$C249-1,$D$5:$D$315,$D249))-1)))</f>
        <v/>
      </c>
      <c r="W249" s="16">
        <f>IF(OR($A249="",M249="",$C249=""),"",IF(COUNTIFS($A$5:$A$315,$A249,$C$5:$C$315,$C249-1,$D$5:$D$315,$D249,M$5:M$315,"&lt;&gt;")=0,"",IF(OR(SUMIFS(M$5:M$315,$A$5:$A$315,$A249,$C$5:$C$315,$C249-1,$D$5:$D$315,$D249)=0,M249*SUMIFS(M$5:M$315,$A$5:$A$315,$A249,$C$5:$C$315,$C249-1,$D$5:$D$315,$D249)&lt;0),"n.s.",ABS(M249)/ABS(SUMIFS(M$5:M$315,$A$5:$A$315,$A249,$C$5:$C$315,$C249-1,$D$5:$D$315,$D249))-1)))</f>
        <v/>
      </c>
      <c r="X249" s="16">
        <f>IF(OR($A249="",N249="",$C249=""),"",IF(COUNTIFS($A$5:$A$315,$A249,$C$5:$C$315,$C249-1,$D$5:$D$315,$D249,N$5:N$315,"&lt;&gt;")=0,"",IF(OR(SUMIFS(N$5:N$315,$A$5:$A$315,$A249,$C$5:$C$315,$C249-1,$D$5:$D$315,$D249)=0,N249*SUMIFS(N$5:N$315,$A$5:$A$315,$A249,$C$5:$C$315,$C249-1,$D$5:$D$315,$D249)&lt;0),"n.s.",ABS(N249)/ABS(SUMIFS(N$5:N$315,$A$5:$A$315,$A249,$C$5:$C$315,$C249-1,$D$5:$D$315,$D249))-1)))</f>
        <v/>
      </c>
      <c r="Y249" s="16">
        <f>IF(OR($A249="",O249="",$C249=""),"",IF(COUNTIFS($A$5:$A$315,$A249,$C$5:$C$315,$C249-1,$D$5:$D$315,$D249,O$5:O$315,"&lt;&gt;")=0,"",IF(OR(SUMIFS(O$5:O$315,$A$5:$A$315,$A249,$C$5:$C$315,$C249-1,$D$5:$D$315,$D249)=0,O249*SUMIFS(O$5:O$315,$A$5:$A$315,$A249,$C$5:$C$315,$C249-1,$D$5:$D$315,$D249)&lt;0),"n.s.",ABS(O249)/ABS(SUMIFS(O$5:O$315,$A$5:$A$315,$A249,$C$5:$C$315,$C249-1,$D$5:$D$315,$D249))-1)))</f>
        <v/>
      </c>
    </row>
    <row r="250">
      <c r="A250" s="9" t="inlineStr">
        <is>
          <t>SGBC</t>
        </is>
      </c>
      <c r="B250" s="10">
        <f>IF(A250="","",IFERROR(VLOOKUP(A250,Titres!$A$2:$B$400,2,FALSE),"Ticker inconnu"))</f>
        <v/>
      </c>
      <c r="C250" s="11" t="n">
        <v>2024</v>
      </c>
      <c r="D250" s="11" t="inlineStr">
        <is>
          <t>T3</t>
        </is>
      </c>
      <c r="E250" s="9" t="n"/>
      <c r="F250" s="12" t="n"/>
      <c r="G250" s="9" t="n"/>
      <c r="H250" s="13" t="n"/>
      <c r="I250" s="13" t="n"/>
      <c r="J250" s="13" t="n"/>
      <c r="K250" s="13" t="n"/>
      <c r="L250" s="13" t="n"/>
      <c r="M250" s="13" t="n"/>
      <c r="N250" s="13" t="n"/>
      <c r="O250" s="13" t="n"/>
      <c r="P250" s="14">
        <f>IF(A250="","",COUNT(H250:O250)/8)</f>
        <v/>
      </c>
      <c r="Q250" s="15">
        <f>IF(COUNT(H250:O250)=0,"",IF(LEN(IF(COUNT(H250,I250,J250)=3,IF(ABS(H250+I250-J250)&lt;=MAX(1,0.02*ABS(J250)),"","RBE &lt;&gt; PNB + frais "),"")&amp;IF(COUNT(J250,K250,L250)=3,IF(ABS(J250+K250-L250)&lt;=MAX(1,0.03*ABS(L250)),"","RAI &lt;&gt; RBE + coût du risque "),"")&amp;IF(COUNT(H250,M250)=2,IF(ABS(M250)&gt;ABS(H250),"RN &gt; PNB ",""),""))=0,"OK",IF(COUNT(H250,I250,J250)=3,IF(ABS(H250+I250-J250)&lt;=MAX(1,0.02*ABS(J250)),"","RBE &lt;&gt; PNB + frais "),"")&amp;IF(COUNT(J250,K250,L250)=3,IF(ABS(J250+K250-L250)&lt;=MAX(1,0.03*ABS(L250)),"","RAI &lt;&gt; RBE + coût du risque "),"")&amp;IF(COUNT(H250,M250)=2,IF(ABS(M250)&gt;ABS(H250),"RN &gt; PNB ",""),"")))</f>
        <v/>
      </c>
      <c r="R250" s="16">
        <f>IF(OR($A250="",H250="",$C250=""),"",IF(COUNTIFS($A$5:$A$315,$A250,$C$5:$C$315,$C250-1,$D$5:$D$315,$D250,H$5:H$315,"&lt;&gt;")=0,"",IF(OR(SUMIFS(H$5:H$315,$A$5:$A$315,$A250,$C$5:$C$315,$C250-1,$D$5:$D$315,$D250)=0,H250*SUMIFS(H$5:H$315,$A$5:$A$315,$A250,$C$5:$C$315,$C250-1,$D$5:$D$315,$D250)&lt;0),"n.s.",ABS(H250)/ABS(SUMIFS(H$5:H$315,$A$5:$A$315,$A250,$C$5:$C$315,$C250-1,$D$5:$D$315,$D250))-1)))</f>
        <v/>
      </c>
      <c r="S250" s="16">
        <f>IF(OR($A250="",I250="",$C250=""),"",IF(COUNTIFS($A$5:$A$315,$A250,$C$5:$C$315,$C250-1,$D$5:$D$315,$D250,I$5:I$315,"&lt;&gt;")=0,"",IF(OR(SUMIFS(I$5:I$315,$A$5:$A$315,$A250,$C$5:$C$315,$C250-1,$D$5:$D$315,$D250)=0,I250*SUMIFS(I$5:I$315,$A$5:$A$315,$A250,$C$5:$C$315,$C250-1,$D$5:$D$315,$D250)&lt;0),"n.s.",ABS(I250)/ABS(SUMIFS(I$5:I$315,$A$5:$A$315,$A250,$C$5:$C$315,$C250-1,$D$5:$D$315,$D250))-1)))</f>
        <v/>
      </c>
      <c r="T250" s="16">
        <f>IF(OR($A250="",J250="",$C250=""),"",IF(COUNTIFS($A$5:$A$315,$A250,$C$5:$C$315,$C250-1,$D$5:$D$315,$D250,J$5:J$315,"&lt;&gt;")=0,"",IF(OR(SUMIFS(J$5:J$315,$A$5:$A$315,$A250,$C$5:$C$315,$C250-1,$D$5:$D$315,$D250)=0,J250*SUMIFS(J$5:J$315,$A$5:$A$315,$A250,$C$5:$C$315,$C250-1,$D$5:$D$315,$D250)&lt;0),"n.s.",ABS(J250)/ABS(SUMIFS(J$5:J$315,$A$5:$A$315,$A250,$C$5:$C$315,$C250-1,$D$5:$D$315,$D250))-1)))</f>
        <v/>
      </c>
      <c r="U250" s="16">
        <f>IF(OR($A250="",K250="",$C250=""),"",IF(COUNTIFS($A$5:$A$315,$A250,$C$5:$C$315,$C250-1,$D$5:$D$315,$D250,K$5:K$315,"&lt;&gt;")=0,"",IF(OR(SUMIFS(K$5:K$315,$A$5:$A$315,$A250,$C$5:$C$315,$C250-1,$D$5:$D$315,$D250)=0,K250*SUMIFS(K$5:K$315,$A$5:$A$315,$A250,$C$5:$C$315,$C250-1,$D$5:$D$315,$D250)&lt;0),"n.s.",ABS(K250)/ABS(SUMIFS(K$5:K$315,$A$5:$A$315,$A250,$C$5:$C$315,$C250-1,$D$5:$D$315,$D250))-1)))</f>
        <v/>
      </c>
      <c r="V250" s="16">
        <f>IF(OR($A250="",L250="",$C250=""),"",IF(COUNTIFS($A$5:$A$315,$A250,$C$5:$C$315,$C250-1,$D$5:$D$315,$D250,L$5:L$315,"&lt;&gt;")=0,"",IF(OR(SUMIFS(L$5:L$315,$A$5:$A$315,$A250,$C$5:$C$315,$C250-1,$D$5:$D$315,$D250)=0,L250*SUMIFS(L$5:L$315,$A$5:$A$315,$A250,$C$5:$C$315,$C250-1,$D$5:$D$315,$D250)&lt;0),"n.s.",ABS(L250)/ABS(SUMIFS(L$5:L$315,$A$5:$A$315,$A250,$C$5:$C$315,$C250-1,$D$5:$D$315,$D250))-1)))</f>
        <v/>
      </c>
      <c r="W250" s="16">
        <f>IF(OR($A250="",M250="",$C250=""),"",IF(COUNTIFS($A$5:$A$315,$A250,$C$5:$C$315,$C250-1,$D$5:$D$315,$D250,M$5:M$315,"&lt;&gt;")=0,"",IF(OR(SUMIFS(M$5:M$315,$A$5:$A$315,$A250,$C$5:$C$315,$C250-1,$D$5:$D$315,$D250)=0,M250*SUMIFS(M$5:M$315,$A$5:$A$315,$A250,$C$5:$C$315,$C250-1,$D$5:$D$315,$D250)&lt;0),"n.s.",ABS(M250)/ABS(SUMIFS(M$5:M$315,$A$5:$A$315,$A250,$C$5:$C$315,$C250-1,$D$5:$D$315,$D250))-1)))</f>
        <v/>
      </c>
      <c r="X250" s="16">
        <f>IF(OR($A250="",N250="",$C250=""),"",IF(COUNTIFS($A$5:$A$315,$A250,$C$5:$C$315,$C250-1,$D$5:$D$315,$D250,N$5:N$315,"&lt;&gt;")=0,"",IF(OR(SUMIFS(N$5:N$315,$A$5:$A$315,$A250,$C$5:$C$315,$C250-1,$D$5:$D$315,$D250)=0,N250*SUMIFS(N$5:N$315,$A$5:$A$315,$A250,$C$5:$C$315,$C250-1,$D$5:$D$315,$D250)&lt;0),"n.s.",ABS(N250)/ABS(SUMIFS(N$5:N$315,$A$5:$A$315,$A250,$C$5:$C$315,$C250-1,$D$5:$D$315,$D250))-1)))</f>
        <v/>
      </c>
      <c r="Y250" s="16">
        <f>IF(OR($A250="",O250="",$C250=""),"",IF(COUNTIFS($A$5:$A$315,$A250,$C$5:$C$315,$C250-1,$D$5:$D$315,$D250,O$5:O$315,"&lt;&gt;")=0,"",IF(OR(SUMIFS(O$5:O$315,$A$5:$A$315,$A250,$C$5:$C$315,$C250-1,$D$5:$D$315,$D250)=0,O250*SUMIFS(O$5:O$315,$A$5:$A$315,$A250,$C$5:$C$315,$C250-1,$D$5:$D$315,$D250)&lt;0),"n.s.",ABS(O250)/ABS(SUMIFS(O$5:O$315,$A$5:$A$315,$A250,$C$5:$C$315,$C250-1,$D$5:$D$315,$D250))-1)))</f>
        <v/>
      </c>
    </row>
    <row r="251">
      <c r="A251" s="9" t="inlineStr">
        <is>
          <t>SGBC</t>
        </is>
      </c>
      <c r="B251" s="10">
        <f>IF(A251="","",IFERROR(VLOOKUP(A251,Titres!$A$2:$B$400,2,FALSE),"Ticker inconnu"))</f>
        <v/>
      </c>
      <c r="C251" s="11" t="n">
        <v>2025</v>
      </c>
      <c r="D251" s="11" t="inlineStr">
        <is>
          <t>T1</t>
        </is>
      </c>
      <c r="E251" s="9" t="n"/>
      <c r="F251" s="12" t="n"/>
      <c r="G251" s="9" t="n"/>
      <c r="H251" s="13" t="n"/>
      <c r="I251" s="13" t="n"/>
      <c r="J251" s="13" t="n"/>
      <c r="K251" s="13" t="n"/>
      <c r="L251" s="13" t="n"/>
      <c r="M251" s="13" t="n"/>
      <c r="N251" s="13" t="n"/>
      <c r="O251" s="13" t="n"/>
      <c r="P251" s="14">
        <f>IF(A251="","",COUNT(H251:O251)/8)</f>
        <v/>
      </c>
      <c r="Q251" s="15">
        <f>IF(COUNT(H251:O251)=0,"",IF(LEN(IF(COUNT(H251,I251,J251)=3,IF(ABS(H251+I251-J251)&lt;=MAX(1,0.02*ABS(J251)),"","RBE &lt;&gt; PNB + frais "),"")&amp;IF(COUNT(J251,K251,L251)=3,IF(ABS(J251+K251-L251)&lt;=MAX(1,0.03*ABS(L251)),"","RAI &lt;&gt; RBE + coût du risque "),"")&amp;IF(COUNT(H251,M251)=2,IF(ABS(M251)&gt;ABS(H251),"RN &gt; PNB ",""),""))=0,"OK",IF(COUNT(H251,I251,J251)=3,IF(ABS(H251+I251-J251)&lt;=MAX(1,0.02*ABS(J251)),"","RBE &lt;&gt; PNB + frais "),"")&amp;IF(COUNT(J251,K251,L251)=3,IF(ABS(J251+K251-L251)&lt;=MAX(1,0.03*ABS(L251)),"","RAI &lt;&gt; RBE + coût du risque "),"")&amp;IF(COUNT(H251,M251)=2,IF(ABS(M251)&gt;ABS(H251),"RN &gt; PNB ",""),"")))</f>
        <v/>
      </c>
      <c r="R251" s="16">
        <f>IF(OR($A251="",H251="",$C251=""),"",IF(COUNTIFS($A$5:$A$315,$A251,$C$5:$C$315,$C251-1,$D$5:$D$315,$D251,H$5:H$315,"&lt;&gt;")=0,"",IF(OR(SUMIFS(H$5:H$315,$A$5:$A$315,$A251,$C$5:$C$315,$C251-1,$D$5:$D$315,$D251)=0,H251*SUMIFS(H$5:H$315,$A$5:$A$315,$A251,$C$5:$C$315,$C251-1,$D$5:$D$315,$D251)&lt;0),"n.s.",ABS(H251)/ABS(SUMIFS(H$5:H$315,$A$5:$A$315,$A251,$C$5:$C$315,$C251-1,$D$5:$D$315,$D251))-1)))</f>
        <v/>
      </c>
      <c r="S251" s="16">
        <f>IF(OR($A251="",I251="",$C251=""),"",IF(COUNTIFS($A$5:$A$315,$A251,$C$5:$C$315,$C251-1,$D$5:$D$315,$D251,I$5:I$315,"&lt;&gt;")=0,"",IF(OR(SUMIFS(I$5:I$315,$A$5:$A$315,$A251,$C$5:$C$315,$C251-1,$D$5:$D$315,$D251)=0,I251*SUMIFS(I$5:I$315,$A$5:$A$315,$A251,$C$5:$C$315,$C251-1,$D$5:$D$315,$D251)&lt;0),"n.s.",ABS(I251)/ABS(SUMIFS(I$5:I$315,$A$5:$A$315,$A251,$C$5:$C$315,$C251-1,$D$5:$D$315,$D251))-1)))</f>
        <v/>
      </c>
      <c r="T251" s="16">
        <f>IF(OR($A251="",J251="",$C251=""),"",IF(COUNTIFS($A$5:$A$315,$A251,$C$5:$C$315,$C251-1,$D$5:$D$315,$D251,J$5:J$315,"&lt;&gt;")=0,"",IF(OR(SUMIFS(J$5:J$315,$A$5:$A$315,$A251,$C$5:$C$315,$C251-1,$D$5:$D$315,$D251)=0,J251*SUMIFS(J$5:J$315,$A$5:$A$315,$A251,$C$5:$C$315,$C251-1,$D$5:$D$315,$D251)&lt;0),"n.s.",ABS(J251)/ABS(SUMIFS(J$5:J$315,$A$5:$A$315,$A251,$C$5:$C$315,$C251-1,$D$5:$D$315,$D251))-1)))</f>
        <v/>
      </c>
      <c r="U251" s="16">
        <f>IF(OR($A251="",K251="",$C251=""),"",IF(COUNTIFS($A$5:$A$315,$A251,$C$5:$C$315,$C251-1,$D$5:$D$315,$D251,K$5:K$315,"&lt;&gt;")=0,"",IF(OR(SUMIFS(K$5:K$315,$A$5:$A$315,$A251,$C$5:$C$315,$C251-1,$D$5:$D$315,$D251)=0,K251*SUMIFS(K$5:K$315,$A$5:$A$315,$A251,$C$5:$C$315,$C251-1,$D$5:$D$315,$D251)&lt;0),"n.s.",ABS(K251)/ABS(SUMIFS(K$5:K$315,$A$5:$A$315,$A251,$C$5:$C$315,$C251-1,$D$5:$D$315,$D251))-1)))</f>
        <v/>
      </c>
      <c r="V251" s="16">
        <f>IF(OR($A251="",L251="",$C251=""),"",IF(COUNTIFS($A$5:$A$315,$A251,$C$5:$C$315,$C251-1,$D$5:$D$315,$D251,L$5:L$315,"&lt;&gt;")=0,"",IF(OR(SUMIFS(L$5:L$315,$A$5:$A$315,$A251,$C$5:$C$315,$C251-1,$D$5:$D$315,$D251)=0,L251*SUMIFS(L$5:L$315,$A$5:$A$315,$A251,$C$5:$C$315,$C251-1,$D$5:$D$315,$D251)&lt;0),"n.s.",ABS(L251)/ABS(SUMIFS(L$5:L$315,$A$5:$A$315,$A251,$C$5:$C$315,$C251-1,$D$5:$D$315,$D251))-1)))</f>
        <v/>
      </c>
      <c r="W251" s="16">
        <f>IF(OR($A251="",M251="",$C251=""),"",IF(COUNTIFS($A$5:$A$315,$A251,$C$5:$C$315,$C251-1,$D$5:$D$315,$D251,M$5:M$315,"&lt;&gt;")=0,"",IF(OR(SUMIFS(M$5:M$315,$A$5:$A$315,$A251,$C$5:$C$315,$C251-1,$D$5:$D$315,$D251)=0,M251*SUMIFS(M$5:M$315,$A$5:$A$315,$A251,$C$5:$C$315,$C251-1,$D$5:$D$315,$D251)&lt;0),"n.s.",ABS(M251)/ABS(SUMIFS(M$5:M$315,$A$5:$A$315,$A251,$C$5:$C$315,$C251-1,$D$5:$D$315,$D251))-1)))</f>
        <v/>
      </c>
      <c r="X251" s="16">
        <f>IF(OR($A251="",N251="",$C251=""),"",IF(COUNTIFS($A$5:$A$315,$A251,$C$5:$C$315,$C251-1,$D$5:$D$315,$D251,N$5:N$315,"&lt;&gt;")=0,"",IF(OR(SUMIFS(N$5:N$315,$A$5:$A$315,$A251,$C$5:$C$315,$C251-1,$D$5:$D$315,$D251)=0,N251*SUMIFS(N$5:N$315,$A$5:$A$315,$A251,$C$5:$C$315,$C251-1,$D$5:$D$315,$D251)&lt;0),"n.s.",ABS(N251)/ABS(SUMIFS(N$5:N$315,$A$5:$A$315,$A251,$C$5:$C$315,$C251-1,$D$5:$D$315,$D251))-1)))</f>
        <v/>
      </c>
      <c r="Y251" s="16">
        <f>IF(OR($A251="",O251="",$C251=""),"",IF(COUNTIFS($A$5:$A$315,$A251,$C$5:$C$315,$C251-1,$D$5:$D$315,$D251,O$5:O$315,"&lt;&gt;")=0,"",IF(OR(SUMIFS(O$5:O$315,$A$5:$A$315,$A251,$C$5:$C$315,$C251-1,$D$5:$D$315,$D251)=0,O251*SUMIFS(O$5:O$315,$A$5:$A$315,$A251,$C$5:$C$315,$C251-1,$D$5:$D$315,$D251)&lt;0),"n.s.",ABS(O251)/ABS(SUMIFS(O$5:O$315,$A$5:$A$315,$A251,$C$5:$C$315,$C251-1,$D$5:$D$315,$D251))-1)))</f>
        <v/>
      </c>
    </row>
    <row r="252">
      <c r="A252" s="9" t="inlineStr">
        <is>
          <t>SGBC</t>
        </is>
      </c>
      <c r="B252" s="10">
        <f>IF(A252="","",IFERROR(VLOOKUP(A252,Titres!$A$2:$B$400,2,FALSE),"Ticker inconnu"))</f>
        <v/>
      </c>
      <c r="C252" s="11" t="n">
        <v>2025</v>
      </c>
      <c r="D252" s="11" t="inlineStr">
        <is>
          <t>S1</t>
        </is>
      </c>
      <c r="E252" s="9" t="inlineStr">
        <is>
          <t>Publié</t>
        </is>
      </c>
      <c r="F252" s="12" t="n">
        <v>46265</v>
      </c>
      <c r="G252" s="9" t="inlineStr">
        <is>
          <t>https://www.richbourse.com/common/actualite/afficher-fichier/31-08-2026-societe-generale-ci-rapport-d-activites-1er-semestre-2026 (comparatif N-1)</t>
        </is>
      </c>
      <c r="H252" s="13" t="n">
        <v>132011</v>
      </c>
      <c r="I252" s="13" t="n">
        <v>-51391</v>
      </c>
      <c r="J252" s="13" t="n">
        <v>80620</v>
      </c>
      <c r="K252" s="13" t="n">
        <v>-18359</v>
      </c>
      <c r="L252" s="13" t="n">
        <v>65712</v>
      </c>
      <c r="M252" s="13" t="n">
        <v>53077</v>
      </c>
      <c r="N252" s="13" t="n">
        <v>2417505</v>
      </c>
      <c r="O252" s="13" t="n">
        <v>2934739</v>
      </c>
      <c r="P252" s="14">
        <f>IF(A252="","",COUNT(H252:O252)/8)</f>
        <v/>
      </c>
      <c r="Q252" s="15">
        <f>IF(COUNT(H252:O252)=0,"",IF(LEN(IF(COUNT(H252,I252,J252)=3,IF(ABS(H252+I252-J252)&lt;=MAX(1,0.02*ABS(J252)),"","RBE &lt;&gt; PNB + frais "),"")&amp;IF(COUNT(J252,K252,L252)=3,IF(ABS(J252+K252-L252)&lt;=MAX(1,0.03*ABS(L252)),"","RAI &lt;&gt; RBE + coût du risque "),"")&amp;IF(COUNT(H252,M252)=2,IF(ABS(M252)&gt;ABS(H252),"RN &gt; PNB ",""),""))=0,"OK",IF(COUNT(H252,I252,J252)=3,IF(ABS(H252+I252-J252)&lt;=MAX(1,0.02*ABS(J252)),"","RBE &lt;&gt; PNB + frais "),"")&amp;IF(COUNT(J252,K252,L252)=3,IF(ABS(J252+K252-L252)&lt;=MAX(1,0.03*ABS(L252)),"","RAI &lt;&gt; RBE + coût du risque "),"")&amp;IF(COUNT(H252,M252)=2,IF(ABS(M252)&gt;ABS(H252),"RN &gt; PNB ",""),"")))</f>
        <v/>
      </c>
      <c r="R252" s="16">
        <f>IF(OR($A252="",H252="",$C252=""),"",IF(COUNTIFS($A$5:$A$315,$A252,$C$5:$C$315,$C252-1,$D$5:$D$315,$D252,H$5:H$315,"&lt;&gt;")=0,"",IF(OR(SUMIFS(H$5:H$315,$A$5:$A$315,$A252,$C$5:$C$315,$C252-1,$D$5:$D$315,$D252)=0,H252*SUMIFS(H$5:H$315,$A$5:$A$315,$A252,$C$5:$C$315,$C252-1,$D$5:$D$315,$D252)&lt;0),"n.s.",ABS(H252)/ABS(SUMIFS(H$5:H$315,$A$5:$A$315,$A252,$C$5:$C$315,$C252-1,$D$5:$D$315,$D252))-1)))</f>
        <v/>
      </c>
      <c r="S252" s="16">
        <f>IF(OR($A252="",I252="",$C252=""),"",IF(COUNTIFS($A$5:$A$315,$A252,$C$5:$C$315,$C252-1,$D$5:$D$315,$D252,I$5:I$315,"&lt;&gt;")=0,"",IF(OR(SUMIFS(I$5:I$315,$A$5:$A$315,$A252,$C$5:$C$315,$C252-1,$D$5:$D$315,$D252)=0,I252*SUMIFS(I$5:I$315,$A$5:$A$315,$A252,$C$5:$C$315,$C252-1,$D$5:$D$315,$D252)&lt;0),"n.s.",ABS(I252)/ABS(SUMIFS(I$5:I$315,$A$5:$A$315,$A252,$C$5:$C$315,$C252-1,$D$5:$D$315,$D252))-1)))</f>
        <v/>
      </c>
      <c r="T252" s="16">
        <f>IF(OR($A252="",J252="",$C252=""),"",IF(COUNTIFS($A$5:$A$315,$A252,$C$5:$C$315,$C252-1,$D$5:$D$315,$D252,J$5:J$315,"&lt;&gt;")=0,"",IF(OR(SUMIFS(J$5:J$315,$A$5:$A$315,$A252,$C$5:$C$315,$C252-1,$D$5:$D$315,$D252)=0,J252*SUMIFS(J$5:J$315,$A$5:$A$315,$A252,$C$5:$C$315,$C252-1,$D$5:$D$315,$D252)&lt;0),"n.s.",ABS(J252)/ABS(SUMIFS(J$5:J$315,$A$5:$A$315,$A252,$C$5:$C$315,$C252-1,$D$5:$D$315,$D252))-1)))</f>
        <v/>
      </c>
      <c r="U252" s="16">
        <f>IF(OR($A252="",K252="",$C252=""),"",IF(COUNTIFS($A$5:$A$315,$A252,$C$5:$C$315,$C252-1,$D$5:$D$315,$D252,K$5:K$315,"&lt;&gt;")=0,"",IF(OR(SUMIFS(K$5:K$315,$A$5:$A$315,$A252,$C$5:$C$315,$C252-1,$D$5:$D$315,$D252)=0,K252*SUMIFS(K$5:K$315,$A$5:$A$315,$A252,$C$5:$C$315,$C252-1,$D$5:$D$315,$D252)&lt;0),"n.s.",ABS(K252)/ABS(SUMIFS(K$5:K$315,$A$5:$A$315,$A252,$C$5:$C$315,$C252-1,$D$5:$D$315,$D252))-1)))</f>
        <v/>
      </c>
      <c r="V252" s="16">
        <f>IF(OR($A252="",L252="",$C252=""),"",IF(COUNTIFS($A$5:$A$315,$A252,$C$5:$C$315,$C252-1,$D$5:$D$315,$D252,L$5:L$315,"&lt;&gt;")=0,"",IF(OR(SUMIFS(L$5:L$315,$A$5:$A$315,$A252,$C$5:$C$315,$C252-1,$D$5:$D$315,$D252)=0,L252*SUMIFS(L$5:L$315,$A$5:$A$315,$A252,$C$5:$C$315,$C252-1,$D$5:$D$315,$D252)&lt;0),"n.s.",ABS(L252)/ABS(SUMIFS(L$5:L$315,$A$5:$A$315,$A252,$C$5:$C$315,$C252-1,$D$5:$D$315,$D252))-1)))</f>
        <v/>
      </c>
      <c r="W252" s="16">
        <f>IF(OR($A252="",M252="",$C252=""),"",IF(COUNTIFS($A$5:$A$315,$A252,$C$5:$C$315,$C252-1,$D$5:$D$315,$D252,M$5:M$315,"&lt;&gt;")=0,"",IF(OR(SUMIFS(M$5:M$315,$A$5:$A$315,$A252,$C$5:$C$315,$C252-1,$D$5:$D$315,$D252)=0,M252*SUMIFS(M$5:M$315,$A$5:$A$315,$A252,$C$5:$C$315,$C252-1,$D$5:$D$315,$D252)&lt;0),"n.s.",ABS(M252)/ABS(SUMIFS(M$5:M$315,$A$5:$A$315,$A252,$C$5:$C$315,$C252-1,$D$5:$D$315,$D252))-1)))</f>
        <v/>
      </c>
      <c r="X252" s="16">
        <f>IF(OR($A252="",N252="",$C252=""),"",IF(COUNTIFS($A$5:$A$315,$A252,$C$5:$C$315,$C252-1,$D$5:$D$315,$D252,N$5:N$315,"&lt;&gt;")=0,"",IF(OR(SUMIFS(N$5:N$315,$A$5:$A$315,$A252,$C$5:$C$315,$C252-1,$D$5:$D$315,$D252)=0,N252*SUMIFS(N$5:N$315,$A$5:$A$315,$A252,$C$5:$C$315,$C252-1,$D$5:$D$315,$D252)&lt;0),"n.s.",ABS(N252)/ABS(SUMIFS(N$5:N$315,$A$5:$A$315,$A252,$C$5:$C$315,$C252-1,$D$5:$D$315,$D252))-1)))</f>
        <v/>
      </c>
      <c r="Y252" s="16">
        <f>IF(OR($A252="",O252="",$C252=""),"",IF(COUNTIFS($A$5:$A$315,$A252,$C$5:$C$315,$C252-1,$D$5:$D$315,$D252,O$5:O$315,"&lt;&gt;")=0,"",IF(OR(SUMIFS(O$5:O$315,$A$5:$A$315,$A252,$C$5:$C$315,$C252-1,$D$5:$D$315,$D252)=0,O252*SUMIFS(O$5:O$315,$A$5:$A$315,$A252,$C$5:$C$315,$C252-1,$D$5:$D$315,$D252)&lt;0),"n.s.",ABS(O252)/ABS(SUMIFS(O$5:O$315,$A$5:$A$315,$A252,$C$5:$C$315,$C252-1,$D$5:$D$315,$D252))-1)))</f>
        <v/>
      </c>
    </row>
    <row r="253">
      <c r="A253" s="9" t="inlineStr">
        <is>
          <t>SGBC</t>
        </is>
      </c>
      <c r="B253" s="10">
        <f>IF(A253="","",IFERROR(VLOOKUP(A253,Titres!$A$2:$B$400,2,FALSE),"Ticker inconnu"))</f>
        <v/>
      </c>
      <c r="C253" s="11" t="n">
        <v>2025</v>
      </c>
      <c r="D253" s="11" t="inlineStr">
        <is>
          <t>T3</t>
        </is>
      </c>
      <c r="E253" s="9" t="n"/>
      <c r="F253" s="12" t="n"/>
      <c r="G253" s="9" t="n"/>
      <c r="H253" s="13" t="n"/>
      <c r="I253" s="13" t="n"/>
      <c r="J253" s="13" t="n"/>
      <c r="K253" s="13" t="n"/>
      <c r="L253" s="13" t="n"/>
      <c r="M253" s="13" t="n"/>
      <c r="N253" s="13" t="n"/>
      <c r="O253" s="13" t="n"/>
      <c r="P253" s="14">
        <f>IF(A253="","",COUNT(H253:O253)/8)</f>
        <v/>
      </c>
      <c r="Q253" s="15">
        <f>IF(COUNT(H253:O253)=0,"",IF(LEN(IF(COUNT(H253,I253,J253)=3,IF(ABS(H253+I253-J253)&lt;=MAX(1,0.02*ABS(J253)),"","RBE &lt;&gt; PNB + frais "),"")&amp;IF(COUNT(J253,K253,L253)=3,IF(ABS(J253+K253-L253)&lt;=MAX(1,0.03*ABS(L253)),"","RAI &lt;&gt; RBE + coût du risque "),"")&amp;IF(COUNT(H253,M253)=2,IF(ABS(M253)&gt;ABS(H253),"RN &gt; PNB ",""),""))=0,"OK",IF(COUNT(H253,I253,J253)=3,IF(ABS(H253+I253-J253)&lt;=MAX(1,0.02*ABS(J253)),"","RBE &lt;&gt; PNB + frais "),"")&amp;IF(COUNT(J253,K253,L253)=3,IF(ABS(J253+K253-L253)&lt;=MAX(1,0.03*ABS(L253)),"","RAI &lt;&gt; RBE + coût du risque "),"")&amp;IF(COUNT(H253,M253)=2,IF(ABS(M253)&gt;ABS(H253),"RN &gt; PNB ",""),"")))</f>
        <v/>
      </c>
      <c r="R253" s="16">
        <f>IF(OR($A253="",H253="",$C253=""),"",IF(COUNTIFS($A$5:$A$315,$A253,$C$5:$C$315,$C253-1,$D$5:$D$315,$D253,H$5:H$315,"&lt;&gt;")=0,"",IF(OR(SUMIFS(H$5:H$315,$A$5:$A$315,$A253,$C$5:$C$315,$C253-1,$D$5:$D$315,$D253)=0,H253*SUMIFS(H$5:H$315,$A$5:$A$315,$A253,$C$5:$C$315,$C253-1,$D$5:$D$315,$D253)&lt;0),"n.s.",ABS(H253)/ABS(SUMIFS(H$5:H$315,$A$5:$A$315,$A253,$C$5:$C$315,$C253-1,$D$5:$D$315,$D253))-1)))</f>
        <v/>
      </c>
      <c r="S253" s="16">
        <f>IF(OR($A253="",I253="",$C253=""),"",IF(COUNTIFS($A$5:$A$315,$A253,$C$5:$C$315,$C253-1,$D$5:$D$315,$D253,I$5:I$315,"&lt;&gt;")=0,"",IF(OR(SUMIFS(I$5:I$315,$A$5:$A$315,$A253,$C$5:$C$315,$C253-1,$D$5:$D$315,$D253)=0,I253*SUMIFS(I$5:I$315,$A$5:$A$315,$A253,$C$5:$C$315,$C253-1,$D$5:$D$315,$D253)&lt;0),"n.s.",ABS(I253)/ABS(SUMIFS(I$5:I$315,$A$5:$A$315,$A253,$C$5:$C$315,$C253-1,$D$5:$D$315,$D253))-1)))</f>
        <v/>
      </c>
      <c r="T253" s="16">
        <f>IF(OR($A253="",J253="",$C253=""),"",IF(COUNTIFS($A$5:$A$315,$A253,$C$5:$C$315,$C253-1,$D$5:$D$315,$D253,J$5:J$315,"&lt;&gt;")=0,"",IF(OR(SUMIFS(J$5:J$315,$A$5:$A$315,$A253,$C$5:$C$315,$C253-1,$D$5:$D$315,$D253)=0,J253*SUMIFS(J$5:J$315,$A$5:$A$315,$A253,$C$5:$C$315,$C253-1,$D$5:$D$315,$D253)&lt;0),"n.s.",ABS(J253)/ABS(SUMIFS(J$5:J$315,$A$5:$A$315,$A253,$C$5:$C$315,$C253-1,$D$5:$D$315,$D253))-1)))</f>
        <v/>
      </c>
      <c r="U253" s="16">
        <f>IF(OR($A253="",K253="",$C253=""),"",IF(COUNTIFS($A$5:$A$315,$A253,$C$5:$C$315,$C253-1,$D$5:$D$315,$D253,K$5:K$315,"&lt;&gt;")=0,"",IF(OR(SUMIFS(K$5:K$315,$A$5:$A$315,$A253,$C$5:$C$315,$C253-1,$D$5:$D$315,$D253)=0,K253*SUMIFS(K$5:K$315,$A$5:$A$315,$A253,$C$5:$C$315,$C253-1,$D$5:$D$315,$D253)&lt;0),"n.s.",ABS(K253)/ABS(SUMIFS(K$5:K$315,$A$5:$A$315,$A253,$C$5:$C$315,$C253-1,$D$5:$D$315,$D253))-1)))</f>
        <v/>
      </c>
      <c r="V253" s="16">
        <f>IF(OR($A253="",L253="",$C253=""),"",IF(COUNTIFS($A$5:$A$315,$A253,$C$5:$C$315,$C253-1,$D$5:$D$315,$D253,L$5:L$315,"&lt;&gt;")=0,"",IF(OR(SUMIFS(L$5:L$315,$A$5:$A$315,$A253,$C$5:$C$315,$C253-1,$D$5:$D$315,$D253)=0,L253*SUMIFS(L$5:L$315,$A$5:$A$315,$A253,$C$5:$C$315,$C253-1,$D$5:$D$315,$D253)&lt;0),"n.s.",ABS(L253)/ABS(SUMIFS(L$5:L$315,$A$5:$A$315,$A253,$C$5:$C$315,$C253-1,$D$5:$D$315,$D253))-1)))</f>
        <v/>
      </c>
      <c r="W253" s="16">
        <f>IF(OR($A253="",M253="",$C253=""),"",IF(COUNTIFS($A$5:$A$315,$A253,$C$5:$C$315,$C253-1,$D$5:$D$315,$D253,M$5:M$315,"&lt;&gt;")=0,"",IF(OR(SUMIFS(M$5:M$315,$A$5:$A$315,$A253,$C$5:$C$315,$C253-1,$D$5:$D$315,$D253)=0,M253*SUMIFS(M$5:M$315,$A$5:$A$315,$A253,$C$5:$C$315,$C253-1,$D$5:$D$315,$D253)&lt;0),"n.s.",ABS(M253)/ABS(SUMIFS(M$5:M$315,$A$5:$A$315,$A253,$C$5:$C$315,$C253-1,$D$5:$D$315,$D253))-1)))</f>
        <v/>
      </c>
      <c r="X253" s="16">
        <f>IF(OR($A253="",N253="",$C253=""),"",IF(COUNTIFS($A$5:$A$315,$A253,$C$5:$C$315,$C253-1,$D$5:$D$315,$D253,N$5:N$315,"&lt;&gt;")=0,"",IF(OR(SUMIFS(N$5:N$315,$A$5:$A$315,$A253,$C$5:$C$315,$C253-1,$D$5:$D$315,$D253)=0,N253*SUMIFS(N$5:N$315,$A$5:$A$315,$A253,$C$5:$C$315,$C253-1,$D$5:$D$315,$D253)&lt;0),"n.s.",ABS(N253)/ABS(SUMIFS(N$5:N$315,$A$5:$A$315,$A253,$C$5:$C$315,$C253-1,$D$5:$D$315,$D253))-1)))</f>
        <v/>
      </c>
      <c r="Y253" s="16">
        <f>IF(OR($A253="",O253="",$C253=""),"",IF(COUNTIFS($A$5:$A$315,$A253,$C$5:$C$315,$C253-1,$D$5:$D$315,$D253,O$5:O$315,"&lt;&gt;")=0,"",IF(OR(SUMIFS(O$5:O$315,$A$5:$A$315,$A253,$C$5:$C$315,$C253-1,$D$5:$D$315,$D253)=0,O253*SUMIFS(O$5:O$315,$A$5:$A$315,$A253,$C$5:$C$315,$C253-1,$D$5:$D$315,$D253)&lt;0),"n.s.",ABS(O253)/ABS(SUMIFS(O$5:O$315,$A$5:$A$315,$A253,$C$5:$C$315,$C253-1,$D$5:$D$315,$D253))-1)))</f>
        <v/>
      </c>
    </row>
    <row r="254">
      <c r="A254" s="9" t="inlineStr">
        <is>
          <t>SGBC</t>
        </is>
      </c>
      <c r="B254" s="10">
        <f>IF(A254="","",IFERROR(VLOOKUP(A254,Titres!$A$2:$B$400,2,FALSE),"Ticker inconnu"))</f>
        <v/>
      </c>
      <c r="C254" s="11" t="n">
        <v>2026</v>
      </c>
      <c r="D254" s="11" t="inlineStr">
        <is>
          <t>T1</t>
        </is>
      </c>
      <c r="E254" s="9" t="n"/>
      <c r="F254" s="12" t="n"/>
      <c r="G254" s="9" t="n"/>
      <c r="H254" s="13" t="n"/>
      <c r="I254" s="13" t="n"/>
      <c r="J254" s="13" t="n"/>
      <c r="K254" s="13" t="n"/>
      <c r="L254" s="13" t="n"/>
      <c r="M254" s="13" t="n"/>
      <c r="N254" s="13" t="n"/>
      <c r="O254" s="13" t="n"/>
      <c r="P254" s="14">
        <f>IF(A254="","",COUNT(H254:O254)/8)</f>
        <v/>
      </c>
      <c r="Q254" s="15">
        <f>IF(COUNT(H254:O254)=0,"",IF(LEN(IF(COUNT(H254,I254,J254)=3,IF(ABS(H254+I254-J254)&lt;=MAX(1,0.02*ABS(J254)),"","RBE &lt;&gt; PNB + frais "),"")&amp;IF(COUNT(J254,K254,L254)=3,IF(ABS(J254+K254-L254)&lt;=MAX(1,0.03*ABS(L254)),"","RAI &lt;&gt; RBE + coût du risque "),"")&amp;IF(COUNT(H254,M254)=2,IF(ABS(M254)&gt;ABS(H254),"RN &gt; PNB ",""),""))=0,"OK",IF(COUNT(H254,I254,J254)=3,IF(ABS(H254+I254-J254)&lt;=MAX(1,0.02*ABS(J254)),"","RBE &lt;&gt; PNB + frais "),"")&amp;IF(COUNT(J254,K254,L254)=3,IF(ABS(J254+K254-L254)&lt;=MAX(1,0.03*ABS(L254)),"","RAI &lt;&gt; RBE + coût du risque "),"")&amp;IF(COUNT(H254,M254)=2,IF(ABS(M254)&gt;ABS(H254),"RN &gt; PNB ",""),"")))</f>
        <v/>
      </c>
      <c r="R254" s="16">
        <f>IF(OR($A254="",H254="",$C254=""),"",IF(COUNTIFS($A$5:$A$315,$A254,$C$5:$C$315,$C254-1,$D$5:$D$315,$D254,H$5:H$315,"&lt;&gt;")=0,"",IF(OR(SUMIFS(H$5:H$315,$A$5:$A$315,$A254,$C$5:$C$315,$C254-1,$D$5:$D$315,$D254)=0,H254*SUMIFS(H$5:H$315,$A$5:$A$315,$A254,$C$5:$C$315,$C254-1,$D$5:$D$315,$D254)&lt;0),"n.s.",ABS(H254)/ABS(SUMIFS(H$5:H$315,$A$5:$A$315,$A254,$C$5:$C$315,$C254-1,$D$5:$D$315,$D254))-1)))</f>
        <v/>
      </c>
      <c r="S254" s="16">
        <f>IF(OR($A254="",I254="",$C254=""),"",IF(COUNTIFS($A$5:$A$315,$A254,$C$5:$C$315,$C254-1,$D$5:$D$315,$D254,I$5:I$315,"&lt;&gt;")=0,"",IF(OR(SUMIFS(I$5:I$315,$A$5:$A$315,$A254,$C$5:$C$315,$C254-1,$D$5:$D$315,$D254)=0,I254*SUMIFS(I$5:I$315,$A$5:$A$315,$A254,$C$5:$C$315,$C254-1,$D$5:$D$315,$D254)&lt;0),"n.s.",ABS(I254)/ABS(SUMIFS(I$5:I$315,$A$5:$A$315,$A254,$C$5:$C$315,$C254-1,$D$5:$D$315,$D254))-1)))</f>
        <v/>
      </c>
      <c r="T254" s="16">
        <f>IF(OR($A254="",J254="",$C254=""),"",IF(COUNTIFS($A$5:$A$315,$A254,$C$5:$C$315,$C254-1,$D$5:$D$315,$D254,J$5:J$315,"&lt;&gt;")=0,"",IF(OR(SUMIFS(J$5:J$315,$A$5:$A$315,$A254,$C$5:$C$315,$C254-1,$D$5:$D$315,$D254)=0,J254*SUMIFS(J$5:J$315,$A$5:$A$315,$A254,$C$5:$C$315,$C254-1,$D$5:$D$315,$D254)&lt;0),"n.s.",ABS(J254)/ABS(SUMIFS(J$5:J$315,$A$5:$A$315,$A254,$C$5:$C$315,$C254-1,$D$5:$D$315,$D254))-1)))</f>
        <v/>
      </c>
      <c r="U254" s="16">
        <f>IF(OR($A254="",K254="",$C254=""),"",IF(COUNTIFS($A$5:$A$315,$A254,$C$5:$C$315,$C254-1,$D$5:$D$315,$D254,K$5:K$315,"&lt;&gt;")=0,"",IF(OR(SUMIFS(K$5:K$315,$A$5:$A$315,$A254,$C$5:$C$315,$C254-1,$D$5:$D$315,$D254)=0,K254*SUMIFS(K$5:K$315,$A$5:$A$315,$A254,$C$5:$C$315,$C254-1,$D$5:$D$315,$D254)&lt;0),"n.s.",ABS(K254)/ABS(SUMIFS(K$5:K$315,$A$5:$A$315,$A254,$C$5:$C$315,$C254-1,$D$5:$D$315,$D254))-1)))</f>
        <v/>
      </c>
      <c r="V254" s="16">
        <f>IF(OR($A254="",L254="",$C254=""),"",IF(COUNTIFS($A$5:$A$315,$A254,$C$5:$C$315,$C254-1,$D$5:$D$315,$D254,L$5:L$315,"&lt;&gt;")=0,"",IF(OR(SUMIFS(L$5:L$315,$A$5:$A$315,$A254,$C$5:$C$315,$C254-1,$D$5:$D$315,$D254)=0,L254*SUMIFS(L$5:L$315,$A$5:$A$315,$A254,$C$5:$C$315,$C254-1,$D$5:$D$315,$D254)&lt;0),"n.s.",ABS(L254)/ABS(SUMIFS(L$5:L$315,$A$5:$A$315,$A254,$C$5:$C$315,$C254-1,$D$5:$D$315,$D254))-1)))</f>
        <v/>
      </c>
      <c r="W254" s="16">
        <f>IF(OR($A254="",M254="",$C254=""),"",IF(COUNTIFS($A$5:$A$315,$A254,$C$5:$C$315,$C254-1,$D$5:$D$315,$D254,M$5:M$315,"&lt;&gt;")=0,"",IF(OR(SUMIFS(M$5:M$315,$A$5:$A$315,$A254,$C$5:$C$315,$C254-1,$D$5:$D$315,$D254)=0,M254*SUMIFS(M$5:M$315,$A$5:$A$315,$A254,$C$5:$C$315,$C254-1,$D$5:$D$315,$D254)&lt;0),"n.s.",ABS(M254)/ABS(SUMIFS(M$5:M$315,$A$5:$A$315,$A254,$C$5:$C$315,$C254-1,$D$5:$D$315,$D254))-1)))</f>
        <v/>
      </c>
      <c r="X254" s="16">
        <f>IF(OR($A254="",N254="",$C254=""),"",IF(COUNTIFS($A$5:$A$315,$A254,$C$5:$C$315,$C254-1,$D$5:$D$315,$D254,N$5:N$315,"&lt;&gt;")=0,"",IF(OR(SUMIFS(N$5:N$315,$A$5:$A$315,$A254,$C$5:$C$315,$C254-1,$D$5:$D$315,$D254)=0,N254*SUMIFS(N$5:N$315,$A$5:$A$315,$A254,$C$5:$C$315,$C254-1,$D$5:$D$315,$D254)&lt;0),"n.s.",ABS(N254)/ABS(SUMIFS(N$5:N$315,$A$5:$A$315,$A254,$C$5:$C$315,$C254-1,$D$5:$D$315,$D254))-1)))</f>
        <v/>
      </c>
      <c r="Y254" s="16">
        <f>IF(OR($A254="",O254="",$C254=""),"",IF(COUNTIFS($A$5:$A$315,$A254,$C$5:$C$315,$C254-1,$D$5:$D$315,$D254,O$5:O$315,"&lt;&gt;")=0,"",IF(OR(SUMIFS(O$5:O$315,$A$5:$A$315,$A254,$C$5:$C$315,$C254-1,$D$5:$D$315,$D254)=0,O254*SUMIFS(O$5:O$315,$A$5:$A$315,$A254,$C$5:$C$315,$C254-1,$D$5:$D$315,$D254)&lt;0),"n.s.",ABS(O254)/ABS(SUMIFS(O$5:O$315,$A$5:$A$315,$A254,$C$5:$C$315,$C254-1,$D$5:$D$315,$D254))-1)))</f>
        <v/>
      </c>
    </row>
    <row r="255">
      <c r="A255" s="9" t="inlineStr">
        <is>
          <t>SGBC</t>
        </is>
      </c>
      <c r="B255" s="10">
        <f>IF(A255="","",IFERROR(VLOOKUP(A255,Titres!$A$2:$B$400,2,FALSE),"Ticker inconnu"))</f>
        <v/>
      </c>
      <c r="C255" s="11" t="n">
        <v>2026</v>
      </c>
      <c r="D255" s="11" t="inlineStr">
        <is>
          <t>S1</t>
        </is>
      </c>
      <c r="E255" s="9" t="inlineStr">
        <is>
          <t>Publié</t>
        </is>
      </c>
      <c r="F255" s="12" t="n">
        <v>46265</v>
      </c>
      <c r="G255" s="9" t="inlineStr">
        <is>
          <t>https://www.richbourse.com/common/actualite/afficher-fichier/31-08-2026-societe-generale-ci-rapport-d-activites-1er-semestre-2026</t>
        </is>
      </c>
      <c r="H255" s="13" t="n">
        <v>134059</v>
      </c>
      <c r="I255" s="13" t="n">
        <v>-49137</v>
      </c>
      <c r="J255" s="13" t="n">
        <v>84922</v>
      </c>
      <c r="K255" s="13" t="n">
        <v>-20030</v>
      </c>
      <c r="L255" s="13" t="n">
        <v>66306</v>
      </c>
      <c r="M255" s="13" t="n">
        <v>53350</v>
      </c>
      <c r="N255" s="13" t="n">
        <v>2581361</v>
      </c>
      <c r="O255" s="13" t="n">
        <v>3066575</v>
      </c>
      <c r="P255" s="14">
        <f>IF(A255="","",COUNT(H255:O255)/8)</f>
        <v/>
      </c>
      <c r="Q255" s="15">
        <f>IF(COUNT(H255:O255)=0,"",IF(LEN(IF(COUNT(H255,I255,J255)=3,IF(ABS(H255+I255-J255)&lt;=MAX(1,0.02*ABS(J255)),"","RBE &lt;&gt; PNB + frais "),"")&amp;IF(COUNT(J255,K255,L255)=3,IF(ABS(J255+K255-L255)&lt;=MAX(1,0.03*ABS(L255)),"","RAI &lt;&gt; RBE + coût du risque "),"")&amp;IF(COUNT(H255,M255)=2,IF(ABS(M255)&gt;ABS(H255),"RN &gt; PNB ",""),""))=0,"OK",IF(COUNT(H255,I255,J255)=3,IF(ABS(H255+I255-J255)&lt;=MAX(1,0.02*ABS(J255)),"","RBE &lt;&gt; PNB + frais "),"")&amp;IF(COUNT(J255,K255,L255)=3,IF(ABS(J255+K255-L255)&lt;=MAX(1,0.03*ABS(L255)),"","RAI &lt;&gt; RBE + coût du risque "),"")&amp;IF(COUNT(H255,M255)=2,IF(ABS(M255)&gt;ABS(H255),"RN &gt; PNB ",""),"")))</f>
        <v/>
      </c>
      <c r="R255" s="16">
        <f>IF(OR($A255="",H255="",$C255=""),"",IF(COUNTIFS($A$5:$A$315,$A255,$C$5:$C$315,$C255-1,$D$5:$D$315,$D255,H$5:H$315,"&lt;&gt;")=0,"",IF(OR(SUMIFS(H$5:H$315,$A$5:$A$315,$A255,$C$5:$C$315,$C255-1,$D$5:$D$315,$D255)=0,H255*SUMIFS(H$5:H$315,$A$5:$A$315,$A255,$C$5:$C$315,$C255-1,$D$5:$D$315,$D255)&lt;0),"n.s.",ABS(H255)/ABS(SUMIFS(H$5:H$315,$A$5:$A$315,$A255,$C$5:$C$315,$C255-1,$D$5:$D$315,$D255))-1)))</f>
        <v/>
      </c>
      <c r="S255" s="16">
        <f>IF(OR($A255="",I255="",$C255=""),"",IF(COUNTIFS($A$5:$A$315,$A255,$C$5:$C$315,$C255-1,$D$5:$D$315,$D255,I$5:I$315,"&lt;&gt;")=0,"",IF(OR(SUMIFS(I$5:I$315,$A$5:$A$315,$A255,$C$5:$C$315,$C255-1,$D$5:$D$315,$D255)=0,I255*SUMIFS(I$5:I$315,$A$5:$A$315,$A255,$C$5:$C$315,$C255-1,$D$5:$D$315,$D255)&lt;0),"n.s.",ABS(I255)/ABS(SUMIFS(I$5:I$315,$A$5:$A$315,$A255,$C$5:$C$315,$C255-1,$D$5:$D$315,$D255))-1)))</f>
        <v/>
      </c>
      <c r="T255" s="16">
        <f>IF(OR($A255="",J255="",$C255=""),"",IF(COUNTIFS($A$5:$A$315,$A255,$C$5:$C$315,$C255-1,$D$5:$D$315,$D255,J$5:J$315,"&lt;&gt;")=0,"",IF(OR(SUMIFS(J$5:J$315,$A$5:$A$315,$A255,$C$5:$C$315,$C255-1,$D$5:$D$315,$D255)=0,J255*SUMIFS(J$5:J$315,$A$5:$A$315,$A255,$C$5:$C$315,$C255-1,$D$5:$D$315,$D255)&lt;0),"n.s.",ABS(J255)/ABS(SUMIFS(J$5:J$315,$A$5:$A$315,$A255,$C$5:$C$315,$C255-1,$D$5:$D$315,$D255))-1)))</f>
        <v/>
      </c>
      <c r="U255" s="16">
        <f>IF(OR($A255="",K255="",$C255=""),"",IF(COUNTIFS($A$5:$A$315,$A255,$C$5:$C$315,$C255-1,$D$5:$D$315,$D255,K$5:K$315,"&lt;&gt;")=0,"",IF(OR(SUMIFS(K$5:K$315,$A$5:$A$315,$A255,$C$5:$C$315,$C255-1,$D$5:$D$315,$D255)=0,K255*SUMIFS(K$5:K$315,$A$5:$A$315,$A255,$C$5:$C$315,$C255-1,$D$5:$D$315,$D255)&lt;0),"n.s.",ABS(K255)/ABS(SUMIFS(K$5:K$315,$A$5:$A$315,$A255,$C$5:$C$315,$C255-1,$D$5:$D$315,$D255))-1)))</f>
        <v/>
      </c>
      <c r="V255" s="16">
        <f>IF(OR($A255="",L255="",$C255=""),"",IF(COUNTIFS($A$5:$A$315,$A255,$C$5:$C$315,$C255-1,$D$5:$D$315,$D255,L$5:L$315,"&lt;&gt;")=0,"",IF(OR(SUMIFS(L$5:L$315,$A$5:$A$315,$A255,$C$5:$C$315,$C255-1,$D$5:$D$315,$D255)=0,L255*SUMIFS(L$5:L$315,$A$5:$A$315,$A255,$C$5:$C$315,$C255-1,$D$5:$D$315,$D255)&lt;0),"n.s.",ABS(L255)/ABS(SUMIFS(L$5:L$315,$A$5:$A$315,$A255,$C$5:$C$315,$C255-1,$D$5:$D$315,$D255))-1)))</f>
        <v/>
      </c>
      <c r="W255" s="16">
        <f>IF(OR($A255="",M255="",$C255=""),"",IF(COUNTIFS($A$5:$A$315,$A255,$C$5:$C$315,$C255-1,$D$5:$D$315,$D255,M$5:M$315,"&lt;&gt;")=0,"",IF(OR(SUMIFS(M$5:M$315,$A$5:$A$315,$A255,$C$5:$C$315,$C255-1,$D$5:$D$315,$D255)=0,M255*SUMIFS(M$5:M$315,$A$5:$A$315,$A255,$C$5:$C$315,$C255-1,$D$5:$D$315,$D255)&lt;0),"n.s.",ABS(M255)/ABS(SUMIFS(M$5:M$315,$A$5:$A$315,$A255,$C$5:$C$315,$C255-1,$D$5:$D$315,$D255))-1)))</f>
        <v/>
      </c>
      <c r="X255" s="16">
        <f>IF(OR($A255="",N255="",$C255=""),"",IF(COUNTIFS($A$5:$A$315,$A255,$C$5:$C$315,$C255-1,$D$5:$D$315,$D255,N$5:N$315,"&lt;&gt;")=0,"",IF(OR(SUMIFS(N$5:N$315,$A$5:$A$315,$A255,$C$5:$C$315,$C255-1,$D$5:$D$315,$D255)=0,N255*SUMIFS(N$5:N$315,$A$5:$A$315,$A255,$C$5:$C$315,$C255-1,$D$5:$D$315,$D255)&lt;0),"n.s.",ABS(N255)/ABS(SUMIFS(N$5:N$315,$A$5:$A$315,$A255,$C$5:$C$315,$C255-1,$D$5:$D$315,$D255))-1)))</f>
        <v/>
      </c>
      <c r="Y255" s="16">
        <f>IF(OR($A255="",O255="",$C255=""),"",IF(COUNTIFS($A$5:$A$315,$A255,$C$5:$C$315,$C255-1,$D$5:$D$315,$D255,O$5:O$315,"&lt;&gt;")=0,"",IF(OR(SUMIFS(O$5:O$315,$A$5:$A$315,$A255,$C$5:$C$315,$C255-1,$D$5:$D$315,$D255)=0,O255*SUMIFS(O$5:O$315,$A$5:$A$315,$A255,$C$5:$C$315,$C255-1,$D$5:$D$315,$D255)&lt;0),"n.s.",ABS(O255)/ABS(SUMIFS(O$5:O$315,$A$5:$A$315,$A255,$C$5:$C$315,$C255-1,$D$5:$D$315,$D255))-1)))</f>
        <v/>
      </c>
    </row>
    <row r="256">
      <c r="A256" s="9" t="inlineStr">
        <is>
          <t>SGBC</t>
        </is>
      </c>
      <c r="B256" s="10">
        <f>IF(A256="","",IFERROR(VLOOKUP(A256,Titres!$A$2:$B$400,2,FALSE),"Ticker inconnu"))</f>
        <v/>
      </c>
      <c r="C256" s="11" t="n">
        <v>2026</v>
      </c>
      <c r="D256" s="11" t="inlineStr">
        <is>
          <t>T3</t>
        </is>
      </c>
      <c r="E256" s="9" t="n"/>
      <c r="F256" s="12" t="n"/>
      <c r="G256" s="9" t="n"/>
      <c r="H256" s="13" t="n"/>
      <c r="I256" s="13" t="n"/>
      <c r="J256" s="13" t="n"/>
      <c r="K256" s="13" t="n"/>
      <c r="L256" s="13" t="n"/>
      <c r="M256" s="13" t="n"/>
      <c r="N256" s="13" t="n"/>
      <c r="O256" s="13" t="n"/>
      <c r="P256" s="14">
        <f>IF(A256="","",COUNT(H256:O256)/8)</f>
        <v/>
      </c>
      <c r="Q256" s="15">
        <f>IF(COUNT(H256:O256)=0,"",IF(LEN(IF(COUNT(H256,I256,J256)=3,IF(ABS(H256+I256-J256)&lt;=MAX(1,0.02*ABS(J256)),"","RBE &lt;&gt; PNB + frais "),"")&amp;IF(COUNT(J256,K256,L256)=3,IF(ABS(J256+K256-L256)&lt;=MAX(1,0.03*ABS(L256)),"","RAI &lt;&gt; RBE + coût du risque "),"")&amp;IF(COUNT(H256,M256)=2,IF(ABS(M256)&gt;ABS(H256),"RN &gt; PNB ",""),""))=0,"OK",IF(COUNT(H256,I256,J256)=3,IF(ABS(H256+I256-J256)&lt;=MAX(1,0.02*ABS(J256)),"","RBE &lt;&gt; PNB + frais "),"")&amp;IF(COUNT(J256,K256,L256)=3,IF(ABS(J256+K256-L256)&lt;=MAX(1,0.03*ABS(L256)),"","RAI &lt;&gt; RBE + coût du risque "),"")&amp;IF(COUNT(H256,M256)=2,IF(ABS(M256)&gt;ABS(H256),"RN &gt; PNB ",""),"")))</f>
        <v/>
      </c>
      <c r="R256" s="16">
        <f>IF(OR($A256="",H256="",$C256=""),"",IF(COUNTIFS($A$5:$A$315,$A256,$C$5:$C$315,$C256-1,$D$5:$D$315,$D256,H$5:H$315,"&lt;&gt;")=0,"",IF(OR(SUMIFS(H$5:H$315,$A$5:$A$315,$A256,$C$5:$C$315,$C256-1,$D$5:$D$315,$D256)=0,H256*SUMIFS(H$5:H$315,$A$5:$A$315,$A256,$C$5:$C$315,$C256-1,$D$5:$D$315,$D256)&lt;0),"n.s.",ABS(H256)/ABS(SUMIFS(H$5:H$315,$A$5:$A$315,$A256,$C$5:$C$315,$C256-1,$D$5:$D$315,$D256))-1)))</f>
        <v/>
      </c>
      <c r="S256" s="16">
        <f>IF(OR($A256="",I256="",$C256=""),"",IF(COUNTIFS($A$5:$A$315,$A256,$C$5:$C$315,$C256-1,$D$5:$D$315,$D256,I$5:I$315,"&lt;&gt;")=0,"",IF(OR(SUMIFS(I$5:I$315,$A$5:$A$315,$A256,$C$5:$C$315,$C256-1,$D$5:$D$315,$D256)=0,I256*SUMIFS(I$5:I$315,$A$5:$A$315,$A256,$C$5:$C$315,$C256-1,$D$5:$D$315,$D256)&lt;0),"n.s.",ABS(I256)/ABS(SUMIFS(I$5:I$315,$A$5:$A$315,$A256,$C$5:$C$315,$C256-1,$D$5:$D$315,$D256))-1)))</f>
        <v/>
      </c>
      <c r="T256" s="16">
        <f>IF(OR($A256="",J256="",$C256=""),"",IF(COUNTIFS($A$5:$A$315,$A256,$C$5:$C$315,$C256-1,$D$5:$D$315,$D256,J$5:J$315,"&lt;&gt;")=0,"",IF(OR(SUMIFS(J$5:J$315,$A$5:$A$315,$A256,$C$5:$C$315,$C256-1,$D$5:$D$315,$D256)=0,J256*SUMIFS(J$5:J$315,$A$5:$A$315,$A256,$C$5:$C$315,$C256-1,$D$5:$D$315,$D256)&lt;0),"n.s.",ABS(J256)/ABS(SUMIFS(J$5:J$315,$A$5:$A$315,$A256,$C$5:$C$315,$C256-1,$D$5:$D$315,$D256))-1)))</f>
        <v/>
      </c>
      <c r="U256" s="16">
        <f>IF(OR($A256="",K256="",$C256=""),"",IF(COUNTIFS($A$5:$A$315,$A256,$C$5:$C$315,$C256-1,$D$5:$D$315,$D256,K$5:K$315,"&lt;&gt;")=0,"",IF(OR(SUMIFS(K$5:K$315,$A$5:$A$315,$A256,$C$5:$C$315,$C256-1,$D$5:$D$315,$D256)=0,K256*SUMIFS(K$5:K$315,$A$5:$A$315,$A256,$C$5:$C$315,$C256-1,$D$5:$D$315,$D256)&lt;0),"n.s.",ABS(K256)/ABS(SUMIFS(K$5:K$315,$A$5:$A$315,$A256,$C$5:$C$315,$C256-1,$D$5:$D$315,$D256))-1)))</f>
        <v/>
      </c>
      <c r="V256" s="16">
        <f>IF(OR($A256="",L256="",$C256=""),"",IF(COUNTIFS($A$5:$A$315,$A256,$C$5:$C$315,$C256-1,$D$5:$D$315,$D256,L$5:L$315,"&lt;&gt;")=0,"",IF(OR(SUMIFS(L$5:L$315,$A$5:$A$315,$A256,$C$5:$C$315,$C256-1,$D$5:$D$315,$D256)=0,L256*SUMIFS(L$5:L$315,$A$5:$A$315,$A256,$C$5:$C$315,$C256-1,$D$5:$D$315,$D256)&lt;0),"n.s.",ABS(L256)/ABS(SUMIFS(L$5:L$315,$A$5:$A$315,$A256,$C$5:$C$315,$C256-1,$D$5:$D$315,$D256))-1)))</f>
        <v/>
      </c>
      <c r="W256" s="16">
        <f>IF(OR($A256="",M256="",$C256=""),"",IF(COUNTIFS($A$5:$A$315,$A256,$C$5:$C$315,$C256-1,$D$5:$D$315,$D256,M$5:M$315,"&lt;&gt;")=0,"",IF(OR(SUMIFS(M$5:M$315,$A$5:$A$315,$A256,$C$5:$C$315,$C256-1,$D$5:$D$315,$D256)=0,M256*SUMIFS(M$5:M$315,$A$5:$A$315,$A256,$C$5:$C$315,$C256-1,$D$5:$D$315,$D256)&lt;0),"n.s.",ABS(M256)/ABS(SUMIFS(M$5:M$315,$A$5:$A$315,$A256,$C$5:$C$315,$C256-1,$D$5:$D$315,$D256))-1)))</f>
        <v/>
      </c>
      <c r="X256" s="16">
        <f>IF(OR($A256="",N256="",$C256=""),"",IF(COUNTIFS($A$5:$A$315,$A256,$C$5:$C$315,$C256-1,$D$5:$D$315,$D256,N$5:N$315,"&lt;&gt;")=0,"",IF(OR(SUMIFS(N$5:N$315,$A$5:$A$315,$A256,$C$5:$C$315,$C256-1,$D$5:$D$315,$D256)=0,N256*SUMIFS(N$5:N$315,$A$5:$A$315,$A256,$C$5:$C$315,$C256-1,$D$5:$D$315,$D256)&lt;0),"n.s.",ABS(N256)/ABS(SUMIFS(N$5:N$315,$A$5:$A$315,$A256,$C$5:$C$315,$C256-1,$D$5:$D$315,$D256))-1)))</f>
        <v/>
      </c>
      <c r="Y256" s="16">
        <f>IF(OR($A256="",O256="",$C256=""),"",IF(COUNTIFS($A$5:$A$315,$A256,$C$5:$C$315,$C256-1,$D$5:$D$315,$D256,O$5:O$315,"&lt;&gt;")=0,"",IF(OR(SUMIFS(O$5:O$315,$A$5:$A$315,$A256,$C$5:$C$315,$C256-1,$D$5:$D$315,$D256)=0,O256*SUMIFS(O$5:O$315,$A$5:$A$315,$A256,$C$5:$C$315,$C256-1,$D$5:$D$315,$D256)&lt;0),"n.s.",ABS(O256)/ABS(SUMIFS(O$5:O$315,$A$5:$A$315,$A256,$C$5:$C$315,$C256-1,$D$5:$D$315,$D256))-1)))</f>
        <v/>
      </c>
    </row>
    <row r="257">
      <c r="A257" s="9" t="inlineStr">
        <is>
          <t>SIBC</t>
        </is>
      </c>
      <c r="B257" s="10">
        <f>IF(A257="","",IFERROR(VLOOKUP(A257,Titres!$A$2:$B$400,2,FALSE),"Ticker inconnu"))</f>
        <v/>
      </c>
      <c r="C257" s="11" t="n">
        <v>2021</v>
      </c>
      <c r="D257" s="11" t="inlineStr">
        <is>
          <t>T1</t>
        </is>
      </c>
      <c r="E257" s="9" t="n"/>
      <c r="F257" s="12" t="n"/>
      <c r="G257" s="9" t="n"/>
      <c r="H257" s="13" t="n"/>
      <c r="I257" s="13" t="n"/>
      <c r="J257" s="13" t="n"/>
      <c r="K257" s="13" t="n"/>
      <c r="L257" s="13" t="n"/>
      <c r="M257" s="13" t="n"/>
      <c r="N257" s="13" t="n"/>
      <c r="O257" s="13" t="n"/>
      <c r="P257" s="14">
        <f>IF(A257="","",COUNT(H257:O257)/8)</f>
        <v/>
      </c>
      <c r="Q257" s="15">
        <f>IF(COUNT(H257:O257)=0,"",IF(LEN(IF(COUNT(H257,I257,J257)=3,IF(ABS(H257+I257-J257)&lt;=MAX(1,0.02*ABS(J257)),"","RBE &lt;&gt; PNB + frais "),"")&amp;IF(COUNT(J257,K257,L257)=3,IF(ABS(J257+K257-L257)&lt;=MAX(1,0.03*ABS(L257)),"","RAI &lt;&gt; RBE + coût du risque "),"")&amp;IF(COUNT(H257,M257)=2,IF(ABS(M257)&gt;ABS(H257),"RN &gt; PNB ",""),""))=0,"OK",IF(COUNT(H257,I257,J257)=3,IF(ABS(H257+I257-J257)&lt;=MAX(1,0.02*ABS(J257)),"","RBE &lt;&gt; PNB + frais "),"")&amp;IF(COUNT(J257,K257,L257)=3,IF(ABS(J257+K257-L257)&lt;=MAX(1,0.03*ABS(L257)),"","RAI &lt;&gt; RBE + coût du risque "),"")&amp;IF(COUNT(H257,M257)=2,IF(ABS(M257)&gt;ABS(H257),"RN &gt; PNB ",""),"")))</f>
        <v/>
      </c>
      <c r="R257" s="16">
        <f>IF(OR($A257="",H257="",$C257=""),"",IF(COUNTIFS($A$5:$A$315,$A257,$C$5:$C$315,$C257-1,$D$5:$D$315,$D257,H$5:H$315,"&lt;&gt;")=0,"",IF(OR(SUMIFS(H$5:H$315,$A$5:$A$315,$A257,$C$5:$C$315,$C257-1,$D$5:$D$315,$D257)=0,H257*SUMIFS(H$5:H$315,$A$5:$A$315,$A257,$C$5:$C$315,$C257-1,$D$5:$D$315,$D257)&lt;0),"n.s.",ABS(H257)/ABS(SUMIFS(H$5:H$315,$A$5:$A$315,$A257,$C$5:$C$315,$C257-1,$D$5:$D$315,$D257))-1)))</f>
        <v/>
      </c>
      <c r="S257" s="16">
        <f>IF(OR($A257="",I257="",$C257=""),"",IF(COUNTIFS($A$5:$A$315,$A257,$C$5:$C$315,$C257-1,$D$5:$D$315,$D257,I$5:I$315,"&lt;&gt;")=0,"",IF(OR(SUMIFS(I$5:I$315,$A$5:$A$315,$A257,$C$5:$C$315,$C257-1,$D$5:$D$315,$D257)=0,I257*SUMIFS(I$5:I$315,$A$5:$A$315,$A257,$C$5:$C$315,$C257-1,$D$5:$D$315,$D257)&lt;0),"n.s.",ABS(I257)/ABS(SUMIFS(I$5:I$315,$A$5:$A$315,$A257,$C$5:$C$315,$C257-1,$D$5:$D$315,$D257))-1)))</f>
        <v/>
      </c>
      <c r="T257" s="16">
        <f>IF(OR($A257="",J257="",$C257=""),"",IF(COUNTIFS($A$5:$A$315,$A257,$C$5:$C$315,$C257-1,$D$5:$D$315,$D257,J$5:J$315,"&lt;&gt;")=0,"",IF(OR(SUMIFS(J$5:J$315,$A$5:$A$315,$A257,$C$5:$C$315,$C257-1,$D$5:$D$315,$D257)=0,J257*SUMIFS(J$5:J$315,$A$5:$A$315,$A257,$C$5:$C$315,$C257-1,$D$5:$D$315,$D257)&lt;0),"n.s.",ABS(J257)/ABS(SUMIFS(J$5:J$315,$A$5:$A$315,$A257,$C$5:$C$315,$C257-1,$D$5:$D$315,$D257))-1)))</f>
        <v/>
      </c>
      <c r="U257" s="16">
        <f>IF(OR($A257="",K257="",$C257=""),"",IF(COUNTIFS($A$5:$A$315,$A257,$C$5:$C$315,$C257-1,$D$5:$D$315,$D257,K$5:K$315,"&lt;&gt;")=0,"",IF(OR(SUMIFS(K$5:K$315,$A$5:$A$315,$A257,$C$5:$C$315,$C257-1,$D$5:$D$315,$D257)=0,K257*SUMIFS(K$5:K$315,$A$5:$A$315,$A257,$C$5:$C$315,$C257-1,$D$5:$D$315,$D257)&lt;0),"n.s.",ABS(K257)/ABS(SUMIFS(K$5:K$315,$A$5:$A$315,$A257,$C$5:$C$315,$C257-1,$D$5:$D$315,$D257))-1)))</f>
        <v/>
      </c>
      <c r="V257" s="16">
        <f>IF(OR($A257="",L257="",$C257=""),"",IF(COUNTIFS($A$5:$A$315,$A257,$C$5:$C$315,$C257-1,$D$5:$D$315,$D257,L$5:L$315,"&lt;&gt;")=0,"",IF(OR(SUMIFS(L$5:L$315,$A$5:$A$315,$A257,$C$5:$C$315,$C257-1,$D$5:$D$315,$D257)=0,L257*SUMIFS(L$5:L$315,$A$5:$A$315,$A257,$C$5:$C$315,$C257-1,$D$5:$D$315,$D257)&lt;0),"n.s.",ABS(L257)/ABS(SUMIFS(L$5:L$315,$A$5:$A$315,$A257,$C$5:$C$315,$C257-1,$D$5:$D$315,$D257))-1)))</f>
        <v/>
      </c>
      <c r="W257" s="16">
        <f>IF(OR($A257="",M257="",$C257=""),"",IF(COUNTIFS($A$5:$A$315,$A257,$C$5:$C$315,$C257-1,$D$5:$D$315,$D257,M$5:M$315,"&lt;&gt;")=0,"",IF(OR(SUMIFS(M$5:M$315,$A$5:$A$315,$A257,$C$5:$C$315,$C257-1,$D$5:$D$315,$D257)=0,M257*SUMIFS(M$5:M$315,$A$5:$A$315,$A257,$C$5:$C$315,$C257-1,$D$5:$D$315,$D257)&lt;0),"n.s.",ABS(M257)/ABS(SUMIFS(M$5:M$315,$A$5:$A$315,$A257,$C$5:$C$315,$C257-1,$D$5:$D$315,$D257))-1)))</f>
        <v/>
      </c>
      <c r="X257" s="16">
        <f>IF(OR($A257="",N257="",$C257=""),"",IF(COUNTIFS($A$5:$A$315,$A257,$C$5:$C$315,$C257-1,$D$5:$D$315,$D257,N$5:N$315,"&lt;&gt;")=0,"",IF(OR(SUMIFS(N$5:N$315,$A$5:$A$315,$A257,$C$5:$C$315,$C257-1,$D$5:$D$315,$D257)=0,N257*SUMIFS(N$5:N$315,$A$5:$A$315,$A257,$C$5:$C$315,$C257-1,$D$5:$D$315,$D257)&lt;0),"n.s.",ABS(N257)/ABS(SUMIFS(N$5:N$315,$A$5:$A$315,$A257,$C$5:$C$315,$C257-1,$D$5:$D$315,$D257))-1)))</f>
        <v/>
      </c>
      <c r="Y257" s="16">
        <f>IF(OR($A257="",O257="",$C257=""),"",IF(COUNTIFS($A$5:$A$315,$A257,$C$5:$C$315,$C257-1,$D$5:$D$315,$D257,O$5:O$315,"&lt;&gt;")=0,"",IF(OR(SUMIFS(O$5:O$315,$A$5:$A$315,$A257,$C$5:$C$315,$C257-1,$D$5:$D$315,$D257)=0,O257*SUMIFS(O$5:O$315,$A$5:$A$315,$A257,$C$5:$C$315,$C257-1,$D$5:$D$315,$D257)&lt;0),"n.s.",ABS(O257)/ABS(SUMIFS(O$5:O$315,$A$5:$A$315,$A257,$C$5:$C$315,$C257-1,$D$5:$D$315,$D257))-1)))</f>
        <v/>
      </c>
    </row>
    <row r="258">
      <c r="A258" s="9" t="inlineStr">
        <is>
          <t>SIBC</t>
        </is>
      </c>
      <c r="B258" s="10">
        <f>IF(A258="","",IFERROR(VLOOKUP(A258,Titres!$A$2:$B$400,2,FALSE),"Ticker inconnu"))</f>
        <v/>
      </c>
      <c r="C258" s="11" t="n">
        <v>2021</v>
      </c>
      <c r="D258" s="11" t="inlineStr">
        <is>
          <t>S1</t>
        </is>
      </c>
      <c r="E258" s="9" t="n"/>
      <c r="F258" s="12" t="n"/>
      <c r="G258" s="9" t="n"/>
      <c r="H258" s="13" t="n"/>
      <c r="I258" s="13" t="n"/>
      <c r="J258" s="13" t="n"/>
      <c r="K258" s="13" t="n"/>
      <c r="L258" s="13" t="n"/>
      <c r="M258" s="13" t="n"/>
      <c r="N258" s="13" t="n"/>
      <c r="O258" s="13" t="n"/>
      <c r="P258" s="14">
        <f>IF(A258="","",COUNT(H258:O258)/8)</f>
        <v/>
      </c>
      <c r="Q258" s="15">
        <f>IF(COUNT(H258:O258)=0,"",IF(LEN(IF(COUNT(H258,I258,J258)=3,IF(ABS(H258+I258-J258)&lt;=MAX(1,0.02*ABS(J258)),"","RBE &lt;&gt; PNB + frais "),"")&amp;IF(COUNT(J258,K258,L258)=3,IF(ABS(J258+K258-L258)&lt;=MAX(1,0.03*ABS(L258)),"","RAI &lt;&gt; RBE + coût du risque "),"")&amp;IF(COUNT(H258,M258)=2,IF(ABS(M258)&gt;ABS(H258),"RN &gt; PNB ",""),""))=0,"OK",IF(COUNT(H258,I258,J258)=3,IF(ABS(H258+I258-J258)&lt;=MAX(1,0.02*ABS(J258)),"","RBE &lt;&gt; PNB + frais "),"")&amp;IF(COUNT(J258,K258,L258)=3,IF(ABS(J258+K258-L258)&lt;=MAX(1,0.03*ABS(L258)),"","RAI &lt;&gt; RBE + coût du risque "),"")&amp;IF(COUNT(H258,M258)=2,IF(ABS(M258)&gt;ABS(H258),"RN &gt; PNB ",""),"")))</f>
        <v/>
      </c>
      <c r="R258" s="16">
        <f>IF(OR($A258="",H258="",$C258=""),"",IF(COUNTIFS($A$5:$A$315,$A258,$C$5:$C$315,$C258-1,$D$5:$D$315,$D258,H$5:H$315,"&lt;&gt;")=0,"",IF(OR(SUMIFS(H$5:H$315,$A$5:$A$315,$A258,$C$5:$C$315,$C258-1,$D$5:$D$315,$D258)=0,H258*SUMIFS(H$5:H$315,$A$5:$A$315,$A258,$C$5:$C$315,$C258-1,$D$5:$D$315,$D258)&lt;0),"n.s.",ABS(H258)/ABS(SUMIFS(H$5:H$315,$A$5:$A$315,$A258,$C$5:$C$315,$C258-1,$D$5:$D$315,$D258))-1)))</f>
        <v/>
      </c>
      <c r="S258" s="16">
        <f>IF(OR($A258="",I258="",$C258=""),"",IF(COUNTIFS($A$5:$A$315,$A258,$C$5:$C$315,$C258-1,$D$5:$D$315,$D258,I$5:I$315,"&lt;&gt;")=0,"",IF(OR(SUMIFS(I$5:I$315,$A$5:$A$315,$A258,$C$5:$C$315,$C258-1,$D$5:$D$315,$D258)=0,I258*SUMIFS(I$5:I$315,$A$5:$A$315,$A258,$C$5:$C$315,$C258-1,$D$5:$D$315,$D258)&lt;0),"n.s.",ABS(I258)/ABS(SUMIFS(I$5:I$315,$A$5:$A$315,$A258,$C$5:$C$315,$C258-1,$D$5:$D$315,$D258))-1)))</f>
        <v/>
      </c>
      <c r="T258" s="16">
        <f>IF(OR($A258="",J258="",$C258=""),"",IF(COUNTIFS($A$5:$A$315,$A258,$C$5:$C$315,$C258-1,$D$5:$D$315,$D258,J$5:J$315,"&lt;&gt;")=0,"",IF(OR(SUMIFS(J$5:J$315,$A$5:$A$315,$A258,$C$5:$C$315,$C258-1,$D$5:$D$315,$D258)=0,J258*SUMIFS(J$5:J$315,$A$5:$A$315,$A258,$C$5:$C$315,$C258-1,$D$5:$D$315,$D258)&lt;0),"n.s.",ABS(J258)/ABS(SUMIFS(J$5:J$315,$A$5:$A$315,$A258,$C$5:$C$315,$C258-1,$D$5:$D$315,$D258))-1)))</f>
        <v/>
      </c>
      <c r="U258" s="16">
        <f>IF(OR($A258="",K258="",$C258=""),"",IF(COUNTIFS($A$5:$A$315,$A258,$C$5:$C$315,$C258-1,$D$5:$D$315,$D258,K$5:K$315,"&lt;&gt;")=0,"",IF(OR(SUMIFS(K$5:K$315,$A$5:$A$315,$A258,$C$5:$C$315,$C258-1,$D$5:$D$315,$D258)=0,K258*SUMIFS(K$5:K$315,$A$5:$A$315,$A258,$C$5:$C$315,$C258-1,$D$5:$D$315,$D258)&lt;0),"n.s.",ABS(K258)/ABS(SUMIFS(K$5:K$315,$A$5:$A$315,$A258,$C$5:$C$315,$C258-1,$D$5:$D$315,$D258))-1)))</f>
        <v/>
      </c>
      <c r="V258" s="16">
        <f>IF(OR($A258="",L258="",$C258=""),"",IF(COUNTIFS($A$5:$A$315,$A258,$C$5:$C$315,$C258-1,$D$5:$D$315,$D258,L$5:L$315,"&lt;&gt;")=0,"",IF(OR(SUMIFS(L$5:L$315,$A$5:$A$315,$A258,$C$5:$C$315,$C258-1,$D$5:$D$315,$D258)=0,L258*SUMIFS(L$5:L$315,$A$5:$A$315,$A258,$C$5:$C$315,$C258-1,$D$5:$D$315,$D258)&lt;0),"n.s.",ABS(L258)/ABS(SUMIFS(L$5:L$315,$A$5:$A$315,$A258,$C$5:$C$315,$C258-1,$D$5:$D$315,$D258))-1)))</f>
        <v/>
      </c>
      <c r="W258" s="16">
        <f>IF(OR($A258="",M258="",$C258=""),"",IF(COUNTIFS($A$5:$A$315,$A258,$C$5:$C$315,$C258-1,$D$5:$D$315,$D258,M$5:M$315,"&lt;&gt;")=0,"",IF(OR(SUMIFS(M$5:M$315,$A$5:$A$315,$A258,$C$5:$C$315,$C258-1,$D$5:$D$315,$D258)=0,M258*SUMIFS(M$5:M$315,$A$5:$A$315,$A258,$C$5:$C$315,$C258-1,$D$5:$D$315,$D258)&lt;0),"n.s.",ABS(M258)/ABS(SUMIFS(M$5:M$315,$A$5:$A$315,$A258,$C$5:$C$315,$C258-1,$D$5:$D$315,$D258))-1)))</f>
        <v/>
      </c>
      <c r="X258" s="16">
        <f>IF(OR($A258="",N258="",$C258=""),"",IF(COUNTIFS($A$5:$A$315,$A258,$C$5:$C$315,$C258-1,$D$5:$D$315,$D258,N$5:N$315,"&lt;&gt;")=0,"",IF(OR(SUMIFS(N$5:N$315,$A$5:$A$315,$A258,$C$5:$C$315,$C258-1,$D$5:$D$315,$D258)=0,N258*SUMIFS(N$5:N$315,$A$5:$A$315,$A258,$C$5:$C$315,$C258-1,$D$5:$D$315,$D258)&lt;0),"n.s.",ABS(N258)/ABS(SUMIFS(N$5:N$315,$A$5:$A$315,$A258,$C$5:$C$315,$C258-1,$D$5:$D$315,$D258))-1)))</f>
        <v/>
      </c>
      <c r="Y258" s="16">
        <f>IF(OR($A258="",O258="",$C258=""),"",IF(COUNTIFS($A$5:$A$315,$A258,$C$5:$C$315,$C258-1,$D$5:$D$315,$D258,O$5:O$315,"&lt;&gt;")=0,"",IF(OR(SUMIFS(O$5:O$315,$A$5:$A$315,$A258,$C$5:$C$315,$C258-1,$D$5:$D$315,$D258)=0,O258*SUMIFS(O$5:O$315,$A$5:$A$315,$A258,$C$5:$C$315,$C258-1,$D$5:$D$315,$D258)&lt;0),"n.s.",ABS(O258)/ABS(SUMIFS(O$5:O$315,$A$5:$A$315,$A258,$C$5:$C$315,$C258-1,$D$5:$D$315,$D258))-1)))</f>
        <v/>
      </c>
    </row>
    <row r="259">
      <c r="A259" s="9" t="inlineStr">
        <is>
          <t>SIBC</t>
        </is>
      </c>
      <c r="B259" s="10">
        <f>IF(A259="","",IFERROR(VLOOKUP(A259,Titres!$A$2:$B$400,2,FALSE),"Ticker inconnu"))</f>
        <v/>
      </c>
      <c r="C259" s="11" t="n">
        <v>2021</v>
      </c>
      <c r="D259" s="11" t="inlineStr">
        <is>
          <t>T3</t>
        </is>
      </c>
      <c r="E259" s="9" t="n"/>
      <c r="F259" s="12" t="n"/>
      <c r="G259" s="9" t="n"/>
      <c r="H259" s="13" t="n"/>
      <c r="I259" s="13" t="n"/>
      <c r="J259" s="13" t="n"/>
      <c r="K259" s="13" t="n"/>
      <c r="L259" s="13" t="n"/>
      <c r="M259" s="13" t="n"/>
      <c r="N259" s="13" t="n"/>
      <c r="O259" s="13" t="n"/>
      <c r="P259" s="14">
        <f>IF(A259="","",COUNT(H259:O259)/8)</f>
        <v/>
      </c>
      <c r="Q259" s="15">
        <f>IF(COUNT(H259:O259)=0,"",IF(LEN(IF(COUNT(H259,I259,J259)=3,IF(ABS(H259+I259-J259)&lt;=MAX(1,0.02*ABS(J259)),"","RBE &lt;&gt; PNB + frais "),"")&amp;IF(COUNT(J259,K259,L259)=3,IF(ABS(J259+K259-L259)&lt;=MAX(1,0.03*ABS(L259)),"","RAI &lt;&gt; RBE + coût du risque "),"")&amp;IF(COUNT(H259,M259)=2,IF(ABS(M259)&gt;ABS(H259),"RN &gt; PNB ",""),""))=0,"OK",IF(COUNT(H259,I259,J259)=3,IF(ABS(H259+I259-J259)&lt;=MAX(1,0.02*ABS(J259)),"","RBE &lt;&gt; PNB + frais "),"")&amp;IF(COUNT(J259,K259,L259)=3,IF(ABS(J259+K259-L259)&lt;=MAX(1,0.03*ABS(L259)),"","RAI &lt;&gt; RBE + coût du risque "),"")&amp;IF(COUNT(H259,M259)=2,IF(ABS(M259)&gt;ABS(H259),"RN &gt; PNB ",""),"")))</f>
        <v/>
      </c>
      <c r="R259" s="16">
        <f>IF(OR($A259="",H259="",$C259=""),"",IF(COUNTIFS($A$5:$A$315,$A259,$C$5:$C$315,$C259-1,$D$5:$D$315,$D259,H$5:H$315,"&lt;&gt;")=0,"",IF(OR(SUMIFS(H$5:H$315,$A$5:$A$315,$A259,$C$5:$C$315,$C259-1,$D$5:$D$315,$D259)=0,H259*SUMIFS(H$5:H$315,$A$5:$A$315,$A259,$C$5:$C$315,$C259-1,$D$5:$D$315,$D259)&lt;0),"n.s.",ABS(H259)/ABS(SUMIFS(H$5:H$315,$A$5:$A$315,$A259,$C$5:$C$315,$C259-1,$D$5:$D$315,$D259))-1)))</f>
        <v/>
      </c>
      <c r="S259" s="16">
        <f>IF(OR($A259="",I259="",$C259=""),"",IF(COUNTIFS($A$5:$A$315,$A259,$C$5:$C$315,$C259-1,$D$5:$D$315,$D259,I$5:I$315,"&lt;&gt;")=0,"",IF(OR(SUMIFS(I$5:I$315,$A$5:$A$315,$A259,$C$5:$C$315,$C259-1,$D$5:$D$315,$D259)=0,I259*SUMIFS(I$5:I$315,$A$5:$A$315,$A259,$C$5:$C$315,$C259-1,$D$5:$D$315,$D259)&lt;0),"n.s.",ABS(I259)/ABS(SUMIFS(I$5:I$315,$A$5:$A$315,$A259,$C$5:$C$315,$C259-1,$D$5:$D$315,$D259))-1)))</f>
        <v/>
      </c>
      <c r="T259" s="16">
        <f>IF(OR($A259="",J259="",$C259=""),"",IF(COUNTIFS($A$5:$A$315,$A259,$C$5:$C$315,$C259-1,$D$5:$D$315,$D259,J$5:J$315,"&lt;&gt;")=0,"",IF(OR(SUMIFS(J$5:J$315,$A$5:$A$315,$A259,$C$5:$C$315,$C259-1,$D$5:$D$315,$D259)=0,J259*SUMIFS(J$5:J$315,$A$5:$A$315,$A259,$C$5:$C$315,$C259-1,$D$5:$D$315,$D259)&lt;0),"n.s.",ABS(J259)/ABS(SUMIFS(J$5:J$315,$A$5:$A$315,$A259,$C$5:$C$315,$C259-1,$D$5:$D$315,$D259))-1)))</f>
        <v/>
      </c>
      <c r="U259" s="16">
        <f>IF(OR($A259="",K259="",$C259=""),"",IF(COUNTIFS($A$5:$A$315,$A259,$C$5:$C$315,$C259-1,$D$5:$D$315,$D259,K$5:K$315,"&lt;&gt;")=0,"",IF(OR(SUMIFS(K$5:K$315,$A$5:$A$315,$A259,$C$5:$C$315,$C259-1,$D$5:$D$315,$D259)=0,K259*SUMIFS(K$5:K$315,$A$5:$A$315,$A259,$C$5:$C$315,$C259-1,$D$5:$D$315,$D259)&lt;0),"n.s.",ABS(K259)/ABS(SUMIFS(K$5:K$315,$A$5:$A$315,$A259,$C$5:$C$315,$C259-1,$D$5:$D$315,$D259))-1)))</f>
        <v/>
      </c>
      <c r="V259" s="16">
        <f>IF(OR($A259="",L259="",$C259=""),"",IF(COUNTIFS($A$5:$A$315,$A259,$C$5:$C$315,$C259-1,$D$5:$D$315,$D259,L$5:L$315,"&lt;&gt;")=0,"",IF(OR(SUMIFS(L$5:L$315,$A$5:$A$315,$A259,$C$5:$C$315,$C259-1,$D$5:$D$315,$D259)=0,L259*SUMIFS(L$5:L$315,$A$5:$A$315,$A259,$C$5:$C$315,$C259-1,$D$5:$D$315,$D259)&lt;0),"n.s.",ABS(L259)/ABS(SUMIFS(L$5:L$315,$A$5:$A$315,$A259,$C$5:$C$315,$C259-1,$D$5:$D$315,$D259))-1)))</f>
        <v/>
      </c>
      <c r="W259" s="16">
        <f>IF(OR($A259="",M259="",$C259=""),"",IF(COUNTIFS($A$5:$A$315,$A259,$C$5:$C$315,$C259-1,$D$5:$D$315,$D259,M$5:M$315,"&lt;&gt;")=0,"",IF(OR(SUMIFS(M$5:M$315,$A$5:$A$315,$A259,$C$5:$C$315,$C259-1,$D$5:$D$315,$D259)=0,M259*SUMIFS(M$5:M$315,$A$5:$A$315,$A259,$C$5:$C$315,$C259-1,$D$5:$D$315,$D259)&lt;0),"n.s.",ABS(M259)/ABS(SUMIFS(M$5:M$315,$A$5:$A$315,$A259,$C$5:$C$315,$C259-1,$D$5:$D$315,$D259))-1)))</f>
        <v/>
      </c>
      <c r="X259" s="16">
        <f>IF(OR($A259="",N259="",$C259=""),"",IF(COUNTIFS($A$5:$A$315,$A259,$C$5:$C$315,$C259-1,$D$5:$D$315,$D259,N$5:N$315,"&lt;&gt;")=0,"",IF(OR(SUMIFS(N$5:N$315,$A$5:$A$315,$A259,$C$5:$C$315,$C259-1,$D$5:$D$315,$D259)=0,N259*SUMIFS(N$5:N$315,$A$5:$A$315,$A259,$C$5:$C$315,$C259-1,$D$5:$D$315,$D259)&lt;0),"n.s.",ABS(N259)/ABS(SUMIFS(N$5:N$315,$A$5:$A$315,$A259,$C$5:$C$315,$C259-1,$D$5:$D$315,$D259))-1)))</f>
        <v/>
      </c>
      <c r="Y259" s="16">
        <f>IF(OR($A259="",O259="",$C259=""),"",IF(COUNTIFS($A$5:$A$315,$A259,$C$5:$C$315,$C259-1,$D$5:$D$315,$D259,O$5:O$315,"&lt;&gt;")=0,"",IF(OR(SUMIFS(O$5:O$315,$A$5:$A$315,$A259,$C$5:$C$315,$C259-1,$D$5:$D$315,$D259)=0,O259*SUMIFS(O$5:O$315,$A$5:$A$315,$A259,$C$5:$C$315,$C259-1,$D$5:$D$315,$D259)&lt;0),"n.s.",ABS(O259)/ABS(SUMIFS(O$5:O$315,$A$5:$A$315,$A259,$C$5:$C$315,$C259-1,$D$5:$D$315,$D259))-1)))</f>
        <v/>
      </c>
    </row>
    <row r="260">
      <c r="A260" s="9" t="inlineStr">
        <is>
          <t>SIBC</t>
        </is>
      </c>
      <c r="B260" s="10">
        <f>IF(A260="","",IFERROR(VLOOKUP(A260,Titres!$A$2:$B$400,2,FALSE),"Ticker inconnu"))</f>
        <v/>
      </c>
      <c r="C260" s="11" t="n">
        <v>2022</v>
      </c>
      <c r="D260" s="11" t="inlineStr">
        <is>
          <t>T1</t>
        </is>
      </c>
      <c r="E260" s="9" t="n"/>
      <c r="F260" s="12" t="n"/>
      <c r="G260" s="9" t="n"/>
      <c r="H260" s="13" t="n"/>
      <c r="I260" s="13" t="n"/>
      <c r="J260" s="13" t="n"/>
      <c r="K260" s="13" t="n"/>
      <c r="L260" s="13" t="n"/>
      <c r="M260" s="13" t="n"/>
      <c r="N260" s="13" t="n"/>
      <c r="O260" s="13" t="n"/>
      <c r="P260" s="14">
        <f>IF(A260="","",COUNT(H260:O260)/8)</f>
        <v/>
      </c>
      <c r="Q260" s="15">
        <f>IF(COUNT(H260:O260)=0,"",IF(LEN(IF(COUNT(H260,I260,J260)=3,IF(ABS(H260+I260-J260)&lt;=MAX(1,0.02*ABS(J260)),"","RBE &lt;&gt; PNB + frais "),"")&amp;IF(COUNT(J260,K260,L260)=3,IF(ABS(J260+K260-L260)&lt;=MAX(1,0.03*ABS(L260)),"","RAI &lt;&gt; RBE + coût du risque "),"")&amp;IF(COUNT(H260,M260)=2,IF(ABS(M260)&gt;ABS(H260),"RN &gt; PNB ",""),""))=0,"OK",IF(COUNT(H260,I260,J260)=3,IF(ABS(H260+I260-J260)&lt;=MAX(1,0.02*ABS(J260)),"","RBE &lt;&gt; PNB + frais "),"")&amp;IF(COUNT(J260,K260,L260)=3,IF(ABS(J260+K260-L260)&lt;=MAX(1,0.03*ABS(L260)),"","RAI &lt;&gt; RBE + coût du risque "),"")&amp;IF(COUNT(H260,M260)=2,IF(ABS(M260)&gt;ABS(H260),"RN &gt; PNB ",""),"")))</f>
        <v/>
      </c>
      <c r="R260" s="16">
        <f>IF(OR($A260="",H260="",$C260=""),"",IF(COUNTIFS($A$5:$A$315,$A260,$C$5:$C$315,$C260-1,$D$5:$D$315,$D260,H$5:H$315,"&lt;&gt;")=0,"",IF(OR(SUMIFS(H$5:H$315,$A$5:$A$315,$A260,$C$5:$C$315,$C260-1,$D$5:$D$315,$D260)=0,H260*SUMIFS(H$5:H$315,$A$5:$A$315,$A260,$C$5:$C$315,$C260-1,$D$5:$D$315,$D260)&lt;0),"n.s.",ABS(H260)/ABS(SUMIFS(H$5:H$315,$A$5:$A$315,$A260,$C$5:$C$315,$C260-1,$D$5:$D$315,$D260))-1)))</f>
        <v/>
      </c>
      <c r="S260" s="16">
        <f>IF(OR($A260="",I260="",$C260=""),"",IF(COUNTIFS($A$5:$A$315,$A260,$C$5:$C$315,$C260-1,$D$5:$D$315,$D260,I$5:I$315,"&lt;&gt;")=0,"",IF(OR(SUMIFS(I$5:I$315,$A$5:$A$315,$A260,$C$5:$C$315,$C260-1,$D$5:$D$315,$D260)=0,I260*SUMIFS(I$5:I$315,$A$5:$A$315,$A260,$C$5:$C$315,$C260-1,$D$5:$D$315,$D260)&lt;0),"n.s.",ABS(I260)/ABS(SUMIFS(I$5:I$315,$A$5:$A$315,$A260,$C$5:$C$315,$C260-1,$D$5:$D$315,$D260))-1)))</f>
        <v/>
      </c>
      <c r="T260" s="16">
        <f>IF(OR($A260="",J260="",$C260=""),"",IF(COUNTIFS($A$5:$A$315,$A260,$C$5:$C$315,$C260-1,$D$5:$D$315,$D260,J$5:J$315,"&lt;&gt;")=0,"",IF(OR(SUMIFS(J$5:J$315,$A$5:$A$315,$A260,$C$5:$C$315,$C260-1,$D$5:$D$315,$D260)=0,J260*SUMIFS(J$5:J$315,$A$5:$A$315,$A260,$C$5:$C$315,$C260-1,$D$5:$D$315,$D260)&lt;0),"n.s.",ABS(J260)/ABS(SUMIFS(J$5:J$315,$A$5:$A$315,$A260,$C$5:$C$315,$C260-1,$D$5:$D$315,$D260))-1)))</f>
        <v/>
      </c>
      <c r="U260" s="16">
        <f>IF(OR($A260="",K260="",$C260=""),"",IF(COUNTIFS($A$5:$A$315,$A260,$C$5:$C$315,$C260-1,$D$5:$D$315,$D260,K$5:K$315,"&lt;&gt;")=0,"",IF(OR(SUMIFS(K$5:K$315,$A$5:$A$315,$A260,$C$5:$C$315,$C260-1,$D$5:$D$315,$D260)=0,K260*SUMIFS(K$5:K$315,$A$5:$A$315,$A260,$C$5:$C$315,$C260-1,$D$5:$D$315,$D260)&lt;0),"n.s.",ABS(K260)/ABS(SUMIFS(K$5:K$315,$A$5:$A$315,$A260,$C$5:$C$315,$C260-1,$D$5:$D$315,$D260))-1)))</f>
        <v/>
      </c>
      <c r="V260" s="16">
        <f>IF(OR($A260="",L260="",$C260=""),"",IF(COUNTIFS($A$5:$A$315,$A260,$C$5:$C$315,$C260-1,$D$5:$D$315,$D260,L$5:L$315,"&lt;&gt;")=0,"",IF(OR(SUMIFS(L$5:L$315,$A$5:$A$315,$A260,$C$5:$C$315,$C260-1,$D$5:$D$315,$D260)=0,L260*SUMIFS(L$5:L$315,$A$5:$A$315,$A260,$C$5:$C$315,$C260-1,$D$5:$D$315,$D260)&lt;0),"n.s.",ABS(L260)/ABS(SUMIFS(L$5:L$315,$A$5:$A$315,$A260,$C$5:$C$315,$C260-1,$D$5:$D$315,$D260))-1)))</f>
        <v/>
      </c>
      <c r="W260" s="16">
        <f>IF(OR($A260="",M260="",$C260=""),"",IF(COUNTIFS($A$5:$A$315,$A260,$C$5:$C$315,$C260-1,$D$5:$D$315,$D260,M$5:M$315,"&lt;&gt;")=0,"",IF(OR(SUMIFS(M$5:M$315,$A$5:$A$315,$A260,$C$5:$C$315,$C260-1,$D$5:$D$315,$D260)=0,M260*SUMIFS(M$5:M$315,$A$5:$A$315,$A260,$C$5:$C$315,$C260-1,$D$5:$D$315,$D260)&lt;0),"n.s.",ABS(M260)/ABS(SUMIFS(M$5:M$315,$A$5:$A$315,$A260,$C$5:$C$315,$C260-1,$D$5:$D$315,$D260))-1)))</f>
        <v/>
      </c>
      <c r="X260" s="16">
        <f>IF(OR($A260="",N260="",$C260=""),"",IF(COUNTIFS($A$5:$A$315,$A260,$C$5:$C$315,$C260-1,$D$5:$D$315,$D260,N$5:N$315,"&lt;&gt;")=0,"",IF(OR(SUMIFS(N$5:N$315,$A$5:$A$315,$A260,$C$5:$C$315,$C260-1,$D$5:$D$315,$D260)=0,N260*SUMIFS(N$5:N$315,$A$5:$A$315,$A260,$C$5:$C$315,$C260-1,$D$5:$D$315,$D260)&lt;0),"n.s.",ABS(N260)/ABS(SUMIFS(N$5:N$315,$A$5:$A$315,$A260,$C$5:$C$315,$C260-1,$D$5:$D$315,$D260))-1)))</f>
        <v/>
      </c>
      <c r="Y260" s="16">
        <f>IF(OR($A260="",O260="",$C260=""),"",IF(COUNTIFS($A$5:$A$315,$A260,$C$5:$C$315,$C260-1,$D$5:$D$315,$D260,O$5:O$315,"&lt;&gt;")=0,"",IF(OR(SUMIFS(O$5:O$315,$A$5:$A$315,$A260,$C$5:$C$315,$C260-1,$D$5:$D$315,$D260)=0,O260*SUMIFS(O$5:O$315,$A$5:$A$315,$A260,$C$5:$C$315,$C260-1,$D$5:$D$315,$D260)&lt;0),"n.s.",ABS(O260)/ABS(SUMIFS(O$5:O$315,$A$5:$A$315,$A260,$C$5:$C$315,$C260-1,$D$5:$D$315,$D260))-1)))</f>
        <v/>
      </c>
    </row>
    <row r="261">
      <c r="A261" s="9" t="inlineStr">
        <is>
          <t>SIBC</t>
        </is>
      </c>
      <c r="B261" s="10">
        <f>IF(A261="","",IFERROR(VLOOKUP(A261,Titres!$A$2:$B$400,2,FALSE),"Ticker inconnu"))</f>
        <v/>
      </c>
      <c r="C261" s="11" t="n">
        <v>2022</v>
      </c>
      <c r="D261" s="11" t="inlineStr">
        <is>
          <t>S1</t>
        </is>
      </c>
      <c r="E261" s="9" t="n"/>
      <c r="F261" s="12" t="n"/>
      <c r="G261" s="9" t="n"/>
      <c r="H261" s="13" t="n"/>
      <c r="I261" s="13" t="n"/>
      <c r="J261" s="13" t="n"/>
      <c r="K261" s="13" t="n"/>
      <c r="L261" s="13" t="n"/>
      <c r="M261" s="13" t="n"/>
      <c r="N261" s="13" t="n"/>
      <c r="O261" s="13" t="n"/>
      <c r="P261" s="14">
        <f>IF(A261="","",COUNT(H261:O261)/8)</f>
        <v/>
      </c>
      <c r="Q261" s="15">
        <f>IF(COUNT(H261:O261)=0,"",IF(LEN(IF(COUNT(H261,I261,J261)=3,IF(ABS(H261+I261-J261)&lt;=MAX(1,0.02*ABS(J261)),"","RBE &lt;&gt; PNB + frais "),"")&amp;IF(COUNT(J261,K261,L261)=3,IF(ABS(J261+K261-L261)&lt;=MAX(1,0.03*ABS(L261)),"","RAI &lt;&gt; RBE + coût du risque "),"")&amp;IF(COUNT(H261,M261)=2,IF(ABS(M261)&gt;ABS(H261),"RN &gt; PNB ",""),""))=0,"OK",IF(COUNT(H261,I261,J261)=3,IF(ABS(H261+I261-J261)&lt;=MAX(1,0.02*ABS(J261)),"","RBE &lt;&gt; PNB + frais "),"")&amp;IF(COUNT(J261,K261,L261)=3,IF(ABS(J261+K261-L261)&lt;=MAX(1,0.03*ABS(L261)),"","RAI &lt;&gt; RBE + coût du risque "),"")&amp;IF(COUNT(H261,M261)=2,IF(ABS(M261)&gt;ABS(H261),"RN &gt; PNB ",""),"")))</f>
        <v/>
      </c>
      <c r="R261" s="16">
        <f>IF(OR($A261="",H261="",$C261=""),"",IF(COUNTIFS($A$5:$A$315,$A261,$C$5:$C$315,$C261-1,$D$5:$D$315,$D261,H$5:H$315,"&lt;&gt;")=0,"",IF(OR(SUMIFS(H$5:H$315,$A$5:$A$315,$A261,$C$5:$C$315,$C261-1,$D$5:$D$315,$D261)=0,H261*SUMIFS(H$5:H$315,$A$5:$A$315,$A261,$C$5:$C$315,$C261-1,$D$5:$D$315,$D261)&lt;0),"n.s.",ABS(H261)/ABS(SUMIFS(H$5:H$315,$A$5:$A$315,$A261,$C$5:$C$315,$C261-1,$D$5:$D$315,$D261))-1)))</f>
        <v/>
      </c>
      <c r="S261" s="16">
        <f>IF(OR($A261="",I261="",$C261=""),"",IF(COUNTIFS($A$5:$A$315,$A261,$C$5:$C$315,$C261-1,$D$5:$D$315,$D261,I$5:I$315,"&lt;&gt;")=0,"",IF(OR(SUMIFS(I$5:I$315,$A$5:$A$315,$A261,$C$5:$C$315,$C261-1,$D$5:$D$315,$D261)=0,I261*SUMIFS(I$5:I$315,$A$5:$A$315,$A261,$C$5:$C$315,$C261-1,$D$5:$D$315,$D261)&lt;0),"n.s.",ABS(I261)/ABS(SUMIFS(I$5:I$315,$A$5:$A$315,$A261,$C$5:$C$315,$C261-1,$D$5:$D$315,$D261))-1)))</f>
        <v/>
      </c>
      <c r="T261" s="16">
        <f>IF(OR($A261="",J261="",$C261=""),"",IF(COUNTIFS($A$5:$A$315,$A261,$C$5:$C$315,$C261-1,$D$5:$D$315,$D261,J$5:J$315,"&lt;&gt;")=0,"",IF(OR(SUMIFS(J$5:J$315,$A$5:$A$315,$A261,$C$5:$C$315,$C261-1,$D$5:$D$315,$D261)=0,J261*SUMIFS(J$5:J$315,$A$5:$A$315,$A261,$C$5:$C$315,$C261-1,$D$5:$D$315,$D261)&lt;0),"n.s.",ABS(J261)/ABS(SUMIFS(J$5:J$315,$A$5:$A$315,$A261,$C$5:$C$315,$C261-1,$D$5:$D$315,$D261))-1)))</f>
        <v/>
      </c>
      <c r="U261" s="16">
        <f>IF(OR($A261="",K261="",$C261=""),"",IF(COUNTIFS($A$5:$A$315,$A261,$C$5:$C$315,$C261-1,$D$5:$D$315,$D261,K$5:K$315,"&lt;&gt;")=0,"",IF(OR(SUMIFS(K$5:K$315,$A$5:$A$315,$A261,$C$5:$C$315,$C261-1,$D$5:$D$315,$D261)=0,K261*SUMIFS(K$5:K$315,$A$5:$A$315,$A261,$C$5:$C$315,$C261-1,$D$5:$D$315,$D261)&lt;0),"n.s.",ABS(K261)/ABS(SUMIFS(K$5:K$315,$A$5:$A$315,$A261,$C$5:$C$315,$C261-1,$D$5:$D$315,$D261))-1)))</f>
        <v/>
      </c>
      <c r="V261" s="16">
        <f>IF(OR($A261="",L261="",$C261=""),"",IF(COUNTIFS($A$5:$A$315,$A261,$C$5:$C$315,$C261-1,$D$5:$D$315,$D261,L$5:L$315,"&lt;&gt;")=0,"",IF(OR(SUMIFS(L$5:L$315,$A$5:$A$315,$A261,$C$5:$C$315,$C261-1,$D$5:$D$315,$D261)=0,L261*SUMIFS(L$5:L$315,$A$5:$A$315,$A261,$C$5:$C$315,$C261-1,$D$5:$D$315,$D261)&lt;0),"n.s.",ABS(L261)/ABS(SUMIFS(L$5:L$315,$A$5:$A$315,$A261,$C$5:$C$315,$C261-1,$D$5:$D$315,$D261))-1)))</f>
        <v/>
      </c>
      <c r="W261" s="16">
        <f>IF(OR($A261="",M261="",$C261=""),"",IF(COUNTIFS($A$5:$A$315,$A261,$C$5:$C$315,$C261-1,$D$5:$D$315,$D261,M$5:M$315,"&lt;&gt;")=0,"",IF(OR(SUMIFS(M$5:M$315,$A$5:$A$315,$A261,$C$5:$C$315,$C261-1,$D$5:$D$315,$D261)=0,M261*SUMIFS(M$5:M$315,$A$5:$A$315,$A261,$C$5:$C$315,$C261-1,$D$5:$D$315,$D261)&lt;0),"n.s.",ABS(M261)/ABS(SUMIFS(M$5:M$315,$A$5:$A$315,$A261,$C$5:$C$315,$C261-1,$D$5:$D$315,$D261))-1)))</f>
        <v/>
      </c>
      <c r="X261" s="16">
        <f>IF(OR($A261="",N261="",$C261=""),"",IF(COUNTIFS($A$5:$A$315,$A261,$C$5:$C$315,$C261-1,$D$5:$D$315,$D261,N$5:N$315,"&lt;&gt;")=0,"",IF(OR(SUMIFS(N$5:N$315,$A$5:$A$315,$A261,$C$5:$C$315,$C261-1,$D$5:$D$315,$D261)=0,N261*SUMIFS(N$5:N$315,$A$5:$A$315,$A261,$C$5:$C$315,$C261-1,$D$5:$D$315,$D261)&lt;0),"n.s.",ABS(N261)/ABS(SUMIFS(N$5:N$315,$A$5:$A$315,$A261,$C$5:$C$315,$C261-1,$D$5:$D$315,$D261))-1)))</f>
        <v/>
      </c>
      <c r="Y261" s="16">
        <f>IF(OR($A261="",O261="",$C261=""),"",IF(COUNTIFS($A$5:$A$315,$A261,$C$5:$C$315,$C261-1,$D$5:$D$315,$D261,O$5:O$315,"&lt;&gt;")=0,"",IF(OR(SUMIFS(O$5:O$315,$A$5:$A$315,$A261,$C$5:$C$315,$C261-1,$D$5:$D$315,$D261)=0,O261*SUMIFS(O$5:O$315,$A$5:$A$315,$A261,$C$5:$C$315,$C261-1,$D$5:$D$315,$D261)&lt;0),"n.s.",ABS(O261)/ABS(SUMIFS(O$5:O$315,$A$5:$A$315,$A261,$C$5:$C$315,$C261-1,$D$5:$D$315,$D261))-1)))</f>
        <v/>
      </c>
    </row>
    <row r="262">
      <c r="A262" s="9" t="inlineStr">
        <is>
          <t>SIBC</t>
        </is>
      </c>
      <c r="B262" s="10">
        <f>IF(A262="","",IFERROR(VLOOKUP(A262,Titres!$A$2:$B$400,2,FALSE),"Ticker inconnu"))</f>
        <v/>
      </c>
      <c r="C262" s="11" t="n">
        <v>2022</v>
      </c>
      <c r="D262" s="11" t="inlineStr">
        <is>
          <t>T3</t>
        </is>
      </c>
      <c r="E262" s="9" t="n"/>
      <c r="F262" s="12" t="n"/>
      <c r="G262" s="9" t="n"/>
      <c r="H262" s="13" t="n"/>
      <c r="I262" s="13" t="n"/>
      <c r="J262" s="13" t="n"/>
      <c r="K262" s="13" t="n"/>
      <c r="L262" s="13" t="n"/>
      <c r="M262" s="13" t="n"/>
      <c r="N262" s="13" t="n"/>
      <c r="O262" s="13" t="n"/>
      <c r="P262" s="14">
        <f>IF(A262="","",COUNT(H262:O262)/8)</f>
        <v/>
      </c>
      <c r="Q262" s="15">
        <f>IF(COUNT(H262:O262)=0,"",IF(LEN(IF(COUNT(H262,I262,J262)=3,IF(ABS(H262+I262-J262)&lt;=MAX(1,0.02*ABS(J262)),"","RBE &lt;&gt; PNB + frais "),"")&amp;IF(COUNT(J262,K262,L262)=3,IF(ABS(J262+K262-L262)&lt;=MAX(1,0.03*ABS(L262)),"","RAI &lt;&gt; RBE + coût du risque "),"")&amp;IF(COUNT(H262,M262)=2,IF(ABS(M262)&gt;ABS(H262),"RN &gt; PNB ",""),""))=0,"OK",IF(COUNT(H262,I262,J262)=3,IF(ABS(H262+I262-J262)&lt;=MAX(1,0.02*ABS(J262)),"","RBE &lt;&gt; PNB + frais "),"")&amp;IF(COUNT(J262,K262,L262)=3,IF(ABS(J262+K262-L262)&lt;=MAX(1,0.03*ABS(L262)),"","RAI &lt;&gt; RBE + coût du risque "),"")&amp;IF(COUNT(H262,M262)=2,IF(ABS(M262)&gt;ABS(H262),"RN &gt; PNB ",""),"")))</f>
        <v/>
      </c>
      <c r="R262" s="16">
        <f>IF(OR($A262="",H262="",$C262=""),"",IF(COUNTIFS($A$5:$A$315,$A262,$C$5:$C$315,$C262-1,$D$5:$D$315,$D262,H$5:H$315,"&lt;&gt;")=0,"",IF(OR(SUMIFS(H$5:H$315,$A$5:$A$315,$A262,$C$5:$C$315,$C262-1,$D$5:$D$315,$D262)=0,H262*SUMIFS(H$5:H$315,$A$5:$A$315,$A262,$C$5:$C$315,$C262-1,$D$5:$D$315,$D262)&lt;0),"n.s.",ABS(H262)/ABS(SUMIFS(H$5:H$315,$A$5:$A$315,$A262,$C$5:$C$315,$C262-1,$D$5:$D$315,$D262))-1)))</f>
        <v/>
      </c>
      <c r="S262" s="16">
        <f>IF(OR($A262="",I262="",$C262=""),"",IF(COUNTIFS($A$5:$A$315,$A262,$C$5:$C$315,$C262-1,$D$5:$D$315,$D262,I$5:I$315,"&lt;&gt;")=0,"",IF(OR(SUMIFS(I$5:I$315,$A$5:$A$315,$A262,$C$5:$C$315,$C262-1,$D$5:$D$315,$D262)=0,I262*SUMIFS(I$5:I$315,$A$5:$A$315,$A262,$C$5:$C$315,$C262-1,$D$5:$D$315,$D262)&lt;0),"n.s.",ABS(I262)/ABS(SUMIFS(I$5:I$315,$A$5:$A$315,$A262,$C$5:$C$315,$C262-1,$D$5:$D$315,$D262))-1)))</f>
        <v/>
      </c>
      <c r="T262" s="16">
        <f>IF(OR($A262="",J262="",$C262=""),"",IF(COUNTIFS($A$5:$A$315,$A262,$C$5:$C$315,$C262-1,$D$5:$D$315,$D262,J$5:J$315,"&lt;&gt;")=0,"",IF(OR(SUMIFS(J$5:J$315,$A$5:$A$315,$A262,$C$5:$C$315,$C262-1,$D$5:$D$315,$D262)=0,J262*SUMIFS(J$5:J$315,$A$5:$A$315,$A262,$C$5:$C$315,$C262-1,$D$5:$D$315,$D262)&lt;0),"n.s.",ABS(J262)/ABS(SUMIFS(J$5:J$315,$A$5:$A$315,$A262,$C$5:$C$315,$C262-1,$D$5:$D$315,$D262))-1)))</f>
        <v/>
      </c>
      <c r="U262" s="16">
        <f>IF(OR($A262="",K262="",$C262=""),"",IF(COUNTIFS($A$5:$A$315,$A262,$C$5:$C$315,$C262-1,$D$5:$D$315,$D262,K$5:K$315,"&lt;&gt;")=0,"",IF(OR(SUMIFS(K$5:K$315,$A$5:$A$315,$A262,$C$5:$C$315,$C262-1,$D$5:$D$315,$D262)=0,K262*SUMIFS(K$5:K$315,$A$5:$A$315,$A262,$C$5:$C$315,$C262-1,$D$5:$D$315,$D262)&lt;0),"n.s.",ABS(K262)/ABS(SUMIFS(K$5:K$315,$A$5:$A$315,$A262,$C$5:$C$315,$C262-1,$D$5:$D$315,$D262))-1)))</f>
        <v/>
      </c>
      <c r="V262" s="16">
        <f>IF(OR($A262="",L262="",$C262=""),"",IF(COUNTIFS($A$5:$A$315,$A262,$C$5:$C$315,$C262-1,$D$5:$D$315,$D262,L$5:L$315,"&lt;&gt;")=0,"",IF(OR(SUMIFS(L$5:L$315,$A$5:$A$315,$A262,$C$5:$C$315,$C262-1,$D$5:$D$315,$D262)=0,L262*SUMIFS(L$5:L$315,$A$5:$A$315,$A262,$C$5:$C$315,$C262-1,$D$5:$D$315,$D262)&lt;0),"n.s.",ABS(L262)/ABS(SUMIFS(L$5:L$315,$A$5:$A$315,$A262,$C$5:$C$315,$C262-1,$D$5:$D$315,$D262))-1)))</f>
        <v/>
      </c>
      <c r="W262" s="16">
        <f>IF(OR($A262="",M262="",$C262=""),"",IF(COUNTIFS($A$5:$A$315,$A262,$C$5:$C$315,$C262-1,$D$5:$D$315,$D262,M$5:M$315,"&lt;&gt;")=0,"",IF(OR(SUMIFS(M$5:M$315,$A$5:$A$315,$A262,$C$5:$C$315,$C262-1,$D$5:$D$315,$D262)=0,M262*SUMIFS(M$5:M$315,$A$5:$A$315,$A262,$C$5:$C$315,$C262-1,$D$5:$D$315,$D262)&lt;0),"n.s.",ABS(M262)/ABS(SUMIFS(M$5:M$315,$A$5:$A$315,$A262,$C$5:$C$315,$C262-1,$D$5:$D$315,$D262))-1)))</f>
        <v/>
      </c>
      <c r="X262" s="16">
        <f>IF(OR($A262="",N262="",$C262=""),"",IF(COUNTIFS($A$5:$A$315,$A262,$C$5:$C$315,$C262-1,$D$5:$D$315,$D262,N$5:N$315,"&lt;&gt;")=0,"",IF(OR(SUMIFS(N$5:N$315,$A$5:$A$315,$A262,$C$5:$C$315,$C262-1,$D$5:$D$315,$D262)=0,N262*SUMIFS(N$5:N$315,$A$5:$A$315,$A262,$C$5:$C$315,$C262-1,$D$5:$D$315,$D262)&lt;0),"n.s.",ABS(N262)/ABS(SUMIFS(N$5:N$315,$A$5:$A$315,$A262,$C$5:$C$315,$C262-1,$D$5:$D$315,$D262))-1)))</f>
        <v/>
      </c>
      <c r="Y262" s="16">
        <f>IF(OR($A262="",O262="",$C262=""),"",IF(COUNTIFS($A$5:$A$315,$A262,$C$5:$C$315,$C262-1,$D$5:$D$315,$D262,O$5:O$315,"&lt;&gt;")=0,"",IF(OR(SUMIFS(O$5:O$315,$A$5:$A$315,$A262,$C$5:$C$315,$C262-1,$D$5:$D$315,$D262)=0,O262*SUMIFS(O$5:O$315,$A$5:$A$315,$A262,$C$5:$C$315,$C262-1,$D$5:$D$315,$D262)&lt;0),"n.s.",ABS(O262)/ABS(SUMIFS(O$5:O$315,$A$5:$A$315,$A262,$C$5:$C$315,$C262-1,$D$5:$D$315,$D262))-1)))</f>
        <v/>
      </c>
    </row>
    <row r="263">
      <c r="A263" s="9" t="inlineStr">
        <is>
          <t>SIBC</t>
        </is>
      </c>
      <c r="B263" s="10">
        <f>IF(A263="","",IFERROR(VLOOKUP(A263,Titres!$A$2:$B$400,2,FALSE),"Ticker inconnu"))</f>
        <v/>
      </c>
      <c r="C263" s="11" t="n">
        <v>2023</v>
      </c>
      <c r="D263" s="11" t="inlineStr">
        <is>
          <t>T1</t>
        </is>
      </c>
      <c r="E263" s="9" t="n"/>
      <c r="F263" s="12" t="n"/>
      <c r="G263" s="9" t="n"/>
      <c r="H263" s="13" t="n"/>
      <c r="I263" s="13" t="n"/>
      <c r="J263" s="13" t="n"/>
      <c r="K263" s="13" t="n"/>
      <c r="L263" s="13" t="n"/>
      <c r="M263" s="13" t="n"/>
      <c r="N263" s="13" t="n"/>
      <c r="O263" s="13" t="n"/>
      <c r="P263" s="14">
        <f>IF(A263="","",COUNT(H263:O263)/8)</f>
        <v/>
      </c>
      <c r="Q263" s="15">
        <f>IF(COUNT(H263:O263)=0,"",IF(LEN(IF(COUNT(H263,I263,J263)=3,IF(ABS(H263+I263-J263)&lt;=MAX(1,0.02*ABS(J263)),"","RBE &lt;&gt; PNB + frais "),"")&amp;IF(COUNT(J263,K263,L263)=3,IF(ABS(J263+K263-L263)&lt;=MAX(1,0.03*ABS(L263)),"","RAI &lt;&gt; RBE + coût du risque "),"")&amp;IF(COUNT(H263,M263)=2,IF(ABS(M263)&gt;ABS(H263),"RN &gt; PNB ",""),""))=0,"OK",IF(COUNT(H263,I263,J263)=3,IF(ABS(H263+I263-J263)&lt;=MAX(1,0.02*ABS(J263)),"","RBE &lt;&gt; PNB + frais "),"")&amp;IF(COUNT(J263,K263,L263)=3,IF(ABS(J263+K263-L263)&lt;=MAX(1,0.03*ABS(L263)),"","RAI &lt;&gt; RBE + coût du risque "),"")&amp;IF(COUNT(H263,M263)=2,IF(ABS(M263)&gt;ABS(H263),"RN &gt; PNB ",""),"")))</f>
        <v/>
      </c>
      <c r="R263" s="16">
        <f>IF(OR($A263="",H263="",$C263=""),"",IF(COUNTIFS($A$5:$A$315,$A263,$C$5:$C$315,$C263-1,$D$5:$D$315,$D263,H$5:H$315,"&lt;&gt;")=0,"",IF(OR(SUMIFS(H$5:H$315,$A$5:$A$315,$A263,$C$5:$C$315,$C263-1,$D$5:$D$315,$D263)=0,H263*SUMIFS(H$5:H$315,$A$5:$A$315,$A263,$C$5:$C$315,$C263-1,$D$5:$D$315,$D263)&lt;0),"n.s.",ABS(H263)/ABS(SUMIFS(H$5:H$315,$A$5:$A$315,$A263,$C$5:$C$315,$C263-1,$D$5:$D$315,$D263))-1)))</f>
        <v/>
      </c>
      <c r="S263" s="16">
        <f>IF(OR($A263="",I263="",$C263=""),"",IF(COUNTIFS($A$5:$A$315,$A263,$C$5:$C$315,$C263-1,$D$5:$D$315,$D263,I$5:I$315,"&lt;&gt;")=0,"",IF(OR(SUMIFS(I$5:I$315,$A$5:$A$315,$A263,$C$5:$C$315,$C263-1,$D$5:$D$315,$D263)=0,I263*SUMIFS(I$5:I$315,$A$5:$A$315,$A263,$C$5:$C$315,$C263-1,$D$5:$D$315,$D263)&lt;0),"n.s.",ABS(I263)/ABS(SUMIFS(I$5:I$315,$A$5:$A$315,$A263,$C$5:$C$315,$C263-1,$D$5:$D$315,$D263))-1)))</f>
        <v/>
      </c>
      <c r="T263" s="16">
        <f>IF(OR($A263="",J263="",$C263=""),"",IF(COUNTIFS($A$5:$A$315,$A263,$C$5:$C$315,$C263-1,$D$5:$D$315,$D263,J$5:J$315,"&lt;&gt;")=0,"",IF(OR(SUMIFS(J$5:J$315,$A$5:$A$315,$A263,$C$5:$C$315,$C263-1,$D$5:$D$315,$D263)=0,J263*SUMIFS(J$5:J$315,$A$5:$A$315,$A263,$C$5:$C$315,$C263-1,$D$5:$D$315,$D263)&lt;0),"n.s.",ABS(J263)/ABS(SUMIFS(J$5:J$315,$A$5:$A$315,$A263,$C$5:$C$315,$C263-1,$D$5:$D$315,$D263))-1)))</f>
        <v/>
      </c>
      <c r="U263" s="16">
        <f>IF(OR($A263="",K263="",$C263=""),"",IF(COUNTIFS($A$5:$A$315,$A263,$C$5:$C$315,$C263-1,$D$5:$D$315,$D263,K$5:K$315,"&lt;&gt;")=0,"",IF(OR(SUMIFS(K$5:K$315,$A$5:$A$315,$A263,$C$5:$C$315,$C263-1,$D$5:$D$315,$D263)=0,K263*SUMIFS(K$5:K$315,$A$5:$A$315,$A263,$C$5:$C$315,$C263-1,$D$5:$D$315,$D263)&lt;0),"n.s.",ABS(K263)/ABS(SUMIFS(K$5:K$315,$A$5:$A$315,$A263,$C$5:$C$315,$C263-1,$D$5:$D$315,$D263))-1)))</f>
        <v/>
      </c>
      <c r="V263" s="16">
        <f>IF(OR($A263="",L263="",$C263=""),"",IF(COUNTIFS($A$5:$A$315,$A263,$C$5:$C$315,$C263-1,$D$5:$D$315,$D263,L$5:L$315,"&lt;&gt;")=0,"",IF(OR(SUMIFS(L$5:L$315,$A$5:$A$315,$A263,$C$5:$C$315,$C263-1,$D$5:$D$315,$D263)=0,L263*SUMIFS(L$5:L$315,$A$5:$A$315,$A263,$C$5:$C$315,$C263-1,$D$5:$D$315,$D263)&lt;0),"n.s.",ABS(L263)/ABS(SUMIFS(L$5:L$315,$A$5:$A$315,$A263,$C$5:$C$315,$C263-1,$D$5:$D$315,$D263))-1)))</f>
        <v/>
      </c>
      <c r="W263" s="16">
        <f>IF(OR($A263="",M263="",$C263=""),"",IF(COUNTIFS($A$5:$A$315,$A263,$C$5:$C$315,$C263-1,$D$5:$D$315,$D263,M$5:M$315,"&lt;&gt;")=0,"",IF(OR(SUMIFS(M$5:M$315,$A$5:$A$315,$A263,$C$5:$C$315,$C263-1,$D$5:$D$315,$D263)=0,M263*SUMIFS(M$5:M$315,$A$5:$A$315,$A263,$C$5:$C$315,$C263-1,$D$5:$D$315,$D263)&lt;0),"n.s.",ABS(M263)/ABS(SUMIFS(M$5:M$315,$A$5:$A$315,$A263,$C$5:$C$315,$C263-1,$D$5:$D$315,$D263))-1)))</f>
        <v/>
      </c>
      <c r="X263" s="16">
        <f>IF(OR($A263="",N263="",$C263=""),"",IF(COUNTIFS($A$5:$A$315,$A263,$C$5:$C$315,$C263-1,$D$5:$D$315,$D263,N$5:N$315,"&lt;&gt;")=0,"",IF(OR(SUMIFS(N$5:N$315,$A$5:$A$315,$A263,$C$5:$C$315,$C263-1,$D$5:$D$315,$D263)=0,N263*SUMIFS(N$5:N$315,$A$5:$A$315,$A263,$C$5:$C$315,$C263-1,$D$5:$D$315,$D263)&lt;0),"n.s.",ABS(N263)/ABS(SUMIFS(N$5:N$315,$A$5:$A$315,$A263,$C$5:$C$315,$C263-1,$D$5:$D$315,$D263))-1)))</f>
        <v/>
      </c>
      <c r="Y263" s="16">
        <f>IF(OR($A263="",O263="",$C263=""),"",IF(COUNTIFS($A$5:$A$315,$A263,$C$5:$C$315,$C263-1,$D$5:$D$315,$D263,O$5:O$315,"&lt;&gt;")=0,"",IF(OR(SUMIFS(O$5:O$315,$A$5:$A$315,$A263,$C$5:$C$315,$C263-1,$D$5:$D$315,$D263)=0,O263*SUMIFS(O$5:O$315,$A$5:$A$315,$A263,$C$5:$C$315,$C263-1,$D$5:$D$315,$D263)&lt;0),"n.s.",ABS(O263)/ABS(SUMIFS(O$5:O$315,$A$5:$A$315,$A263,$C$5:$C$315,$C263-1,$D$5:$D$315,$D263))-1)))</f>
        <v/>
      </c>
    </row>
    <row r="264">
      <c r="A264" s="9" t="inlineStr">
        <is>
          <t>SIBC</t>
        </is>
      </c>
      <c r="B264" s="10">
        <f>IF(A264="","",IFERROR(VLOOKUP(A264,Titres!$A$2:$B$400,2,FALSE),"Ticker inconnu"))</f>
        <v/>
      </c>
      <c r="C264" s="11" t="n">
        <v>2023</v>
      </c>
      <c r="D264" s="11" t="inlineStr">
        <is>
          <t>S1</t>
        </is>
      </c>
      <c r="E264" s="9" t="n"/>
      <c r="F264" s="12" t="n"/>
      <c r="G264" s="9" t="n"/>
      <c r="H264" s="13" t="n"/>
      <c r="I264" s="13" t="n"/>
      <c r="J264" s="13" t="n"/>
      <c r="K264" s="13" t="n"/>
      <c r="L264" s="13" t="n"/>
      <c r="M264" s="13" t="n"/>
      <c r="N264" s="13" t="n"/>
      <c r="O264" s="13" t="n"/>
      <c r="P264" s="14">
        <f>IF(A264="","",COUNT(H264:O264)/8)</f>
        <v/>
      </c>
      <c r="Q264" s="15">
        <f>IF(COUNT(H264:O264)=0,"",IF(LEN(IF(COUNT(H264,I264,J264)=3,IF(ABS(H264+I264-J264)&lt;=MAX(1,0.02*ABS(J264)),"","RBE &lt;&gt; PNB + frais "),"")&amp;IF(COUNT(J264,K264,L264)=3,IF(ABS(J264+K264-L264)&lt;=MAX(1,0.03*ABS(L264)),"","RAI &lt;&gt; RBE + coût du risque "),"")&amp;IF(COUNT(H264,M264)=2,IF(ABS(M264)&gt;ABS(H264),"RN &gt; PNB ",""),""))=0,"OK",IF(COUNT(H264,I264,J264)=3,IF(ABS(H264+I264-J264)&lt;=MAX(1,0.02*ABS(J264)),"","RBE &lt;&gt; PNB + frais "),"")&amp;IF(COUNT(J264,K264,L264)=3,IF(ABS(J264+K264-L264)&lt;=MAX(1,0.03*ABS(L264)),"","RAI &lt;&gt; RBE + coût du risque "),"")&amp;IF(COUNT(H264,M264)=2,IF(ABS(M264)&gt;ABS(H264),"RN &gt; PNB ",""),"")))</f>
        <v/>
      </c>
      <c r="R264" s="16">
        <f>IF(OR($A264="",H264="",$C264=""),"",IF(COUNTIFS($A$5:$A$315,$A264,$C$5:$C$315,$C264-1,$D$5:$D$315,$D264,H$5:H$315,"&lt;&gt;")=0,"",IF(OR(SUMIFS(H$5:H$315,$A$5:$A$315,$A264,$C$5:$C$315,$C264-1,$D$5:$D$315,$D264)=0,H264*SUMIFS(H$5:H$315,$A$5:$A$315,$A264,$C$5:$C$315,$C264-1,$D$5:$D$315,$D264)&lt;0),"n.s.",ABS(H264)/ABS(SUMIFS(H$5:H$315,$A$5:$A$315,$A264,$C$5:$C$315,$C264-1,$D$5:$D$315,$D264))-1)))</f>
        <v/>
      </c>
      <c r="S264" s="16">
        <f>IF(OR($A264="",I264="",$C264=""),"",IF(COUNTIFS($A$5:$A$315,$A264,$C$5:$C$315,$C264-1,$D$5:$D$315,$D264,I$5:I$315,"&lt;&gt;")=0,"",IF(OR(SUMIFS(I$5:I$315,$A$5:$A$315,$A264,$C$5:$C$315,$C264-1,$D$5:$D$315,$D264)=0,I264*SUMIFS(I$5:I$315,$A$5:$A$315,$A264,$C$5:$C$315,$C264-1,$D$5:$D$315,$D264)&lt;0),"n.s.",ABS(I264)/ABS(SUMIFS(I$5:I$315,$A$5:$A$315,$A264,$C$5:$C$315,$C264-1,$D$5:$D$315,$D264))-1)))</f>
        <v/>
      </c>
      <c r="T264" s="16">
        <f>IF(OR($A264="",J264="",$C264=""),"",IF(COUNTIFS($A$5:$A$315,$A264,$C$5:$C$315,$C264-1,$D$5:$D$315,$D264,J$5:J$315,"&lt;&gt;")=0,"",IF(OR(SUMIFS(J$5:J$315,$A$5:$A$315,$A264,$C$5:$C$315,$C264-1,$D$5:$D$315,$D264)=0,J264*SUMIFS(J$5:J$315,$A$5:$A$315,$A264,$C$5:$C$315,$C264-1,$D$5:$D$315,$D264)&lt;0),"n.s.",ABS(J264)/ABS(SUMIFS(J$5:J$315,$A$5:$A$315,$A264,$C$5:$C$315,$C264-1,$D$5:$D$315,$D264))-1)))</f>
        <v/>
      </c>
      <c r="U264" s="16">
        <f>IF(OR($A264="",K264="",$C264=""),"",IF(COUNTIFS($A$5:$A$315,$A264,$C$5:$C$315,$C264-1,$D$5:$D$315,$D264,K$5:K$315,"&lt;&gt;")=0,"",IF(OR(SUMIFS(K$5:K$315,$A$5:$A$315,$A264,$C$5:$C$315,$C264-1,$D$5:$D$315,$D264)=0,K264*SUMIFS(K$5:K$315,$A$5:$A$315,$A264,$C$5:$C$315,$C264-1,$D$5:$D$315,$D264)&lt;0),"n.s.",ABS(K264)/ABS(SUMIFS(K$5:K$315,$A$5:$A$315,$A264,$C$5:$C$315,$C264-1,$D$5:$D$315,$D264))-1)))</f>
        <v/>
      </c>
      <c r="V264" s="16">
        <f>IF(OR($A264="",L264="",$C264=""),"",IF(COUNTIFS($A$5:$A$315,$A264,$C$5:$C$315,$C264-1,$D$5:$D$315,$D264,L$5:L$315,"&lt;&gt;")=0,"",IF(OR(SUMIFS(L$5:L$315,$A$5:$A$315,$A264,$C$5:$C$315,$C264-1,$D$5:$D$315,$D264)=0,L264*SUMIFS(L$5:L$315,$A$5:$A$315,$A264,$C$5:$C$315,$C264-1,$D$5:$D$315,$D264)&lt;0),"n.s.",ABS(L264)/ABS(SUMIFS(L$5:L$315,$A$5:$A$315,$A264,$C$5:$C$315,$C264-1,$D$5:$D$315,$D264))-1)))</f>
        <v/>
      </c>
      <c r="W264" s="16">
        <f>IF(OR($A264="",M264="",$C264=""),"",IF(COUNTIFS($A$5:$A$315,$A264,$C$5:$C$315,$C264-1,$D$5:$D$315,$D264,M$5:M$315,"&lt;&gt;")=0,"",IF(OR(SUMIFS(M$5:M$315,$A$5:$A$315,$A264,$C$5:$C$315,$C264-1,$D$5:$D$315,$D264)=0,M264*SUMIFS(M$5:M$315,$A$5:$A$315,$A264,$C$5:$C$315,$C264-1,$D$5:$D$315,$D264)&lt;0),"n.s.",ABS(M264)/ABS(SUMIFS(M$5:M$315,$A$5:$A$315,$A264,$C$5:$C$315,$C264-1,$D$5:$D$315,$D264))-1)))</f>
        <v/>
      </c>
      <c r="X264" s="16">
        <f>IF(OR($A264="",N264="",$C264=""),"",IF(COUNTIFS($A$5:$A$315,$A264,$C$5:$C$315,$C264-1,$D$5:$D$315,$D264,N$5:N$315,"&lt;&gt;")=0,"",IF(OR(SUMIFS(N$5:N$315,$A$5:$A$315,$A264,$C$5:$C$315,$C264-1,$D$5:$D$315,$D264)=0,N264*SUMIFS(N$5:N$315,$A$5:$A$315,$A264,$C$5:$C$315,$C264-1,$D$5:$D$315,$D264)&lt;0),"n.s.",ABS(N264)/ABS(SUMIFS(N$5:N$315,$A$5:$A$315,$A264,$C$5:$C$315,$C264-1,$D$5:$D$315,$D264))-1)))</f>
        <v/>
      </c>
      <c r="Y264" s="16">
        <f>IF(OR($A264="",O264="",$C264=""),"",IF(COUNTIFS($A$5:$A$315,$A264,$C$5:$C$315,$C264-1,$D$5:$D$315,$D264,O$5:O$315,"&lt;&gt;")=0,"",IF(OR(SUMIFS(O$5:O$315,$A$5:$A$315,$A264,$C$5:$C$315,$C264-1,$D$5:$D$315,$D264)=0,O264*SUMIFS(O$5:O$315,$A$5:$A$315,$A264,$C$5:$C$315,$C264-1,$D$5:$D$315,$D264)&lt;0),"n.s.",ABS(O264)/ABS(SUMIFS(O$5:O$315,$A$5:$A$315,$A264,$C$5:$C$315,$C264-1,$D$5:$D$315,$D264))-1)))</f>
        <v/>
      </c>
    </row>
    <row r="265">
      <c r="A265" s="9" t="inlineStr">
        <is>
          <t>SIBC</t>
        </is>
      </c>
      <c r="B265" s="10">
        <f>IF(A265="","",IFERROR(VLOOKUP(A265,Titres!$A$2:$B$400,2,FALSE),"Ticker inconnu"))</f>
        <v/>
      </c>
      <c r="C265" s="11" t="n">
        <v>2023</v>
      </c>
      <c r="D265" s="11" t="inlineStr">
        <is>
          <t>T3</t>
        </is>
      </c>
      <c r="E265" s="9" t="n"/>
      <c r="F265" s="12" t="n"/>
      <c r="G265" s="9" t="n"/>
      <c r="H265" s="13" t="n"/>
      <c r="I265" s="13" t="n"/>
      <c r="J265" s="13" t="n"/>
      <c r="K265" s="13" t="n"/>
      <c r="L265" s="13" t="n"/>
      <c r="M265" s="13" t="n"/>
      <c r="N265" s="13" t="n"/>
      <c r="O265" s="13" t="n"/>
      <c r="P265" s="14">
        <f>IF(A265="","",COUNT(H265:O265)/8)</f>
        <v/>
      </c>
      <c r="Q265" s="15">
        <f>IF(COUNT(H265:O265)=0,"",IF(LEN(IF(COUNT(H265,I265,J265)=3,IF(ABS(H265+I265-J265)&lt;=MAX(1,0.02*ABS(J265)),"","RBE &lt;&gt; PNB + frais "),"")&amp;IF(COUNT(J265,K265,L265)=3,IF(ABS(J265+K265-L265)&lt;=MAX(1,0.03*ABS(L265)),"","RAI &lt;&gt; RBE + coût du risque "),"")&amp;IF(COUNT(H265,M265)=2,IF(ABS(M265)&gt;ABS(H265),"RN &gt; PNB ",""),""))=0,"OK",IF(COUNT(H265,I265,J265)=3,IF(ABS(H265+I265-J265)&lt;=MAX(1,0.02*ABS(J265)),"","RBE &lt;&gt; PNB + frais "),"")&amp;IF(COUNT(J265,K265,L265)=3,IF(ABS(J265+K265-L265)&lt;=MAX(1,0.03*ABS(L265)),"","RAI &lt;&gt; RBE + coût du risque "),"")&amp;IF(COUNT(H265,M265)=2,IF(ABS(M265)&gt;ABS(H265),"RN &gt; PNB ",""),"")))</f>
        <v/>
      </c>
      <c r="R265" s="16">
        <f>IF(OR($A265="",H265="",$C265=""),"",IF(COUNTIFS($A$5:$A$315,$A265,$C$5:$C$315,$C265-1,$D$5:$D$315,$D265,H$5:H$315,"&lt;&gt;")=0,"",IF(OR(SUMIFS(H$5:H$315,$A$5:$A$315,$A265,$C$5:$C$315,$C265-1,$D$5:$D$315,$D265)=0,H265*SUMIFS(H$5:H$315,$A$5:$A$315,$A265,$C$5:$C$315,$C265-1,$D$5:$D$315,$D265)&lt;0),"n.s.",ABS(H265)/ABS(SUMIFS(H$5:H$315,$A$5:$A$315,$A265,$C$5:$C$315,$C265-1,$D$5:$D$315,$D265))-1)))</f>
        <v/>
      </c>
      <c r="S265" s="16">
        <f>IF(OR($A265="",I265="",$C265=""),"",IF(COUNTIFS($A$5:$A$315,$A265,$C$5:$C$315,$C265-1,$D$5:$D$315,$D265,I$5:I$315,"&lt;&gt;")=0,"",IF(OR(SUMIFS(I$5:I$315,$A$5:$A$315,$A265,$C$5:$C$315,$C265-1,$D$5:$D$315,$D265)=0,I265*SUMIFS(I$5:I$315,$A$5:$A$315,$A265,$C$5:$C$315,$C265-1,$D$5:$D$315,$D265)&lt;0),"n.s.",ABS(I265)/ABS(SUMIFS(I$5:I$315,$A$5:$A$315,$A265,$C$5:$C$315,$C265-1,$D$5:$D$315,$D265))-1)))</f>
        <v/>
      </c>
      <c r="T265" s="16">
        <f>IF(OR($A265="",J265="",$C265=""),"",IF(COUNTIFS($A$5:$A$315,$A265,$C$5:$C$315,$C265-1,$D$5:$D$315,$D265,J$5:J$315,"&lt;&gt;")=0,"",IF(OR(SUMIFS(J$5:J$315,$A$5:$A$315,$A265,$C$5:$C$315,$C265-1,$D$5:$D$315,$D265)=0,J265*SUMIFS(J$5:J$315,$A$5:$A$315,$A265,$C$5:$C$315,$C265-1,$D$5:$D$315,$D265)&lt;0),"n.s.",ABS(J265)/ABS(SUMIFS(J$5:J$315,$A$5:$A$315,$A265,$C$5:$C$315,$C265-1,$D$5:$D$315,$D265))-1)))</f>
        <v/>
      </c>
      <c r="U265" s="16">
        <f>IF(OR($A265="",K265="",$C265=""),"",IF(COUNTIFS($A$5:$A$315,$A265,$C$5:$C$315,$C265-1,$D$5:$D$315,$D265,K$5:K$315,"&lt;&gt;")=0,"",IF(OR(SUMIFS(K$5:K$315,$A$5:$A$315,$A265,$C$5:$C$315,$C265-1,$D$5:$D$315,$D265)=0,K265*SUMIFS(K$5:K$315,$A$5:$A$315,$A265,$C$5:$C$315,$C265-1,$D$5:$D$315,$D265)&lt;0),"n.s.",ABS(K265)/ABS(SUMIFS(K$5:K$315,$A$5:$A$315,$A265,$C$5:$C$315,$C265-1,$D$5:$D$315,$D265))-1)))</f>
        <v/>
      </c>
      <c r="V265" s="16">
        <f>IF(OR($A265="",L265="",$C265=""),"",IF(COUNTIFS($A$5:$A$315,$A265,$C$5:$C$315,$C265-1,$D$5:$D$315,$D265,L$5:L$315,"&lt;&gt;")=0,"",IF(OR(SUMIFS(L$5:L$315,$A$5:$A$315,$A265,$C$5:$C$315,$C265-1,$D$5:$D$315,$D265)=0,L265*SUMIFS(L$5:L$315,$A$5:$A$315,$A265,$C$5:$C$315,$C265-1,$D$5:$D$315,$D265)&lt;0),"n.s.",ABS(L265)/ABS(SUMIFS(L$5:L$315,$A$5:$A$315,$A265,$C$5:$C$315,$C265-1,$D$5:$D$315,$D265))-1)))</f>
        <v/>
      </c>
      <c r="W265" s="16">
        <f>IF(OR($A265="",M265="",$C265=""),"",IF(COUNTIFS($A$5:$A$315,$A265,$C$5:$C$315,$C265-1,$D$5:$D$315,$D265,M$5:M$315,"&lt;&gt;")=0,"",IF(OR(SUMIFS(M$5:M$315,$A$5:$A$315,$A265,$C$5:$C$315,$C265-1,$D$5:$D$315,$D265)=0,M265*SUMIFS(M$5:M$315,$A$5:$A$315,$A265,$C$5:$C$315,$C265-1,$D$5:$D$315,$D265)&lt;0),"n.s.",ABS(M265)/ABS(SUMIFS(M$5:M$315,$A$5:$A$315,$A265,$C$5:$C$315,$C265-1,$D$5:$D$315,$D265))-1)))</f>
        <v/>
      </c>
      <c r="X265" s="16">
        <f>IF(OR($A265="",N265="",$C265=""),"",IF(COUNTIFS($A$5:$A$315,$A265,$C$5:$C$315,$C265-1,$D$5:$D$315,$D265,N$5:N$315,"&lt;&gt;")=0,"",IF(OR(SUMIFS(N$5:N$315,$A$5:$A$315,$A265,$C$5:$C$315,$C265-1,$D$5:$D$315,$D265)=0,N265*SUMIFS(N$5:N$315,$A$5:$A$315,$A265,$C$5:$C$315,$C265-1,$D$5:$D$315,$D265)&lt;0),"n.s.",ABS(N265)/ABS(SUMIFS(N$5:N$315,$A$5:$A$315,$A265,$C$5:$C$315,$C265-1,$D$5:$D$315,$D265))-1)))</f>
        <v/>
      </c>
      <c r="Y265" s="16">
        <f>IF(OR($A265="",O265="",$C265=""),"",IF(COUNTIFS($A$5:$A$315,$A265,$C$5:$C$315,$C265-1,$D$5:$D$315,$D265,O$5:O$315,"&lt;&gt;")=0,"",IF(OR(SUMIFS(O$5:O$315,$A$5:$A$315,$A265,$C$5:$C$315,$C265-1,$D$5:$D$315,$D265)=0,O265*SUMIFS(O$5:O$315,$A$5:$A$315,$A265,$C$5:$C$315,$C265-1,$D$5:$D$315,$D265)&lt;0),"n.s.",ABS(O265)/ABS(SUMIFS(O$5:O$315,$A$5:$A$315,$A265,$C$5:$C$315,$C265-1,$D$5:$D$315,$D265))-1)))</f>
        <v/>
      </c>
    </row>
    <row r="266">
      <c r="A266" s="9" t="inlineStr">
        <is>
          <t>SIBC</t>
        </is>
      </c>
      <c r="B266" s="10">
        <f>IF(A266="","",IFERROR(VLOOKUP(A266,Titres!$A$2:$B$400,2,FALSE),"Ticker inconnu"))</f>
        <v/>
      </c>
      <c r="C266" s="11" t="n">
        <v>2024</v>
      </c>
      <c r="D266" s="11" t="inlineStr">
        <is>
          <t>T1</t>
        </is>
      </c>
      <c r="E266" s="9" t="n"/>
      <c r="F266" s="12" t="n"/>
      <c r="G266" s="9" t="n"/>
      <c r="H266" s="13" t="n"/>
      <c r="I266" s="13" t="n"/>
      <c r="J266" s="13" t="n"/>
      <c r="K266" s="13" t="n"/>
      <c r="L266" s="13" t="n"/>
      <c r="M266" s="13" t="n"/>
      <c r="N266" s="13" t="n"/>
      <c r="O266" s="13" t="n"/>
      <c r="P266" s="14">
        <f>IF(A266="","",COUNT(H266:O266)/8)</f>
        <v/>
      </c>
      <c r="Q266" s="15">
        <f>IF(COUNT(H266:O266)=0,"",IF(LEN(IF(COUNT(H266,I266,J266)=3,IF(ABS(H266+I266-J266)&lt;=MAX(1,0.02*ABS(J266)),"","RBE &lt;&gt; PNB + frais "),"")&amp;IF(COUNT(J266,K266,L266)=3,IF(ABS(J266+K266-L266)&lt;=MAX(1,0.03*ABS(L266)),"","RAI &lt;&gt; RBE + coût du risque "),"")&amp;IF(COUNT(H266,M266)=2,IF(ABS(M266)&gt;ABS(H266),"RN &gt; PNB ",""),""))=0,"OK",IF(COUNT(H266,I266,J266)=3,IF(ABS(H266+I266-J266)&lt;=MAX(1,0.02*ABS(J266)),"","RBE &lt;&gt; PNB + frais "),"")&amp;IF(COUNT(J266,K266,L266)=3,IF(ABS(J266+K266-L266)&lt;=MAX(1,0.03*ABS(L266)),"","RAI &lt;&gt; RBE + coût du risque "),"")&amp;IF(COUNT(H266,M266)=2,IF(ABS(M266)&gt;ABS(H266),"RN &gt; PNB ",""),"")))</f>
        <v/>
      </c>
      <c r="R266" s="16">
        <f>IF(OR($A266="",H266="",$C266=""),"",IF(COUNTIFS($A$5:$A$315,$A266,$C$5:$C$315,$C266-1,$D$5:$D$315,$D266,H$5:H$315,"&lt;&gt;")=0,"",IF(OR(SUMIFS(H$5:H$315,$A$5:$A$315,$A266,$C$5:$C$315,$C266-1,$D$5:$D$315,$D266)=0,H266*SUMIFS(H$5:H$315,$A$5:$A$315,$A266,$C$5:$C$315,$C266-1,$D$5:$D$315,$D266)&lt;0),"n.s.",ABS(H266)/ABS(SUMIFS(H$5:H$315,$A$5:$A$315,$A266,$C$5:$C$315,$C266-1,$D$5:$D$315,$D266))-1)))</f>
        <v/>
      </c>
      <c r="S266" s="16">
        <f>IF(OR($A266="",I266="",$C266=""),"",IF(COUNTIFS($A$5:$A$315,$A266,$C$5:$C$315,$C266-1,$D$5:$D$315,$D266,I$5:I$315,"&lt;&gt;")=0,"",IF(OR(SUMIFS(I$5:I$315,$A$5:$A$315,$A266,$C$5:$C$315,$C266-1,$D$5:$D$315,$D266)=0,I266*SUMIFS(I$5:I$315,$A$5:$A$315,$A266,$C$5:$C$315,$C266-1,$D$5:$D$315,$D266)&lt;0),"n.s.",ABS(I266)/ABS(SUMIFS(I$5:I$315,$A$5:$A$315,$A266,$C$5:$C$315,$C266-1,$D$5:$D$315,$D266))-1)))</f>
        <v/>
      </c>
      <c r="T266" s="16">
        <f>IF(OR($A266="",J266="",$C266=""),"",IF(COUNTIFS($A$5:$A$315,$A266,$C$5:$C$315,$C266-1,$D$5:$D$315,$D266,J$5:J$315,"&lt;&gt;")=0,"",IF(OR(SUMIFS(J$5:J$315,$A$5:$A$315,$A266,$C$5:$C$315,$C266-1,$D$5:$D$315,$D266)=0,J266*SUMIFS(J$5:J$315,$A$5:$A$315,$A266,$C$5:$C$315,$C266-1,$D$5:$D$315,$D266)&lt;0),"n.s.",ABS(J266)/ABS(SUMIFS(J$5:J$315,$A$5:$A$315,$A266,$C$5:$C$315,$C266-1,$D$5:$D$315,$D266))-1)))</f>
        <v/>
      </c>
      <c r="U266" s="16">
        <f>IF(OR($A266="",K266="",$C266=""),"",IF(COUNTIFS($A$5:$A$315,$A266,$C$5:$C$315,$C266-1,$D$5:$D$315,$D266,K$5:K$315,"&lt;&gt;")=0,"",IF(OR(SUMIFS(K$5:K$315,$A$5:$A$315,$A266,$C$5:$C$315,$C266-1,$D$5:$D$315,$D266)=0,K266*SUMIFS(K$5:K$315,$A$5:$A$315,$A266,$C$5:$C$315,$C266-1,$D$5:$D$315,$D266)&lt;0),"n.s.",ABS(K266)/ABS(SUMIFS(K$5:K$315,$A$5:$A$315,$A266,$C$5:$C$315,$C266-1,$D$5:$D$315,$D266))-1)))</f>
        <v/>
      </c>
      <c r="V266" s="16">
        <f>IF(OR($A266="",L266="",$C266=""),"",IF(COUNTIFS($A$5:$A$315,$A266,$C$5:$C$315,$C266-1,$D$5:$D$315,$D266,L$5:L$315,"&lt;&gt;")=0,"",IF(OR(SUMIFS(L$5:L$315,$A$5:$A$315,$A266,$C$5:$C$315,$C266-1,$D$5:$D$315,$D266)=0,L266*SUMIFS(L$5:L$315,$A$5:$A$315,$A266,$C$5:$C$315,$C266-1,$D$5:$D$315,$D266)&lt;0),"n.s.",ABS(L266)/ABS(SUMIFS(L$5:L$315,$A$5:$A$315,$A266,$C$5:$C$315,$C266-1,$D$5:$D$315,$D266))-1)))</f>
        <v/>
      </c>
      <c r="W266" s="16">
        <f>IF(OR($A266="",M266="",$C266=""),"",IF(COUNTIFS($A$5:$A$315,$A266,$C$5:$C$315,$C266-1,$D$5:$D$315,$D266,M$5:M$315,"&lt;&gt;")=0,"",IF(OR(SUMIFS(M$5:M$315,$A$5:$A$315,$A266,$C$5:$C$315,$C266-1,$D$5:$D$315,$D266)=0,M266*SUMIFS(M$5:M$315,$A$5:$A$315,$A266,$C$5:$C$315,$C266-1,$D$5:$D$315,$D266)&lt;0),"n.s.",ABS(M266)/ABS(SUMIFS(M$5:M$315,$A$5:$A$315,$A266,$C$5:$C$315,$C266-1,$D$5:$D$315,$D266))-1)))</f>
        <v/>
      </c>
      <c r="X266" s="16">
        <f>IF(OR($A266="",N266="",$C266=""),"",IF(COUNTIFS($A$5:$A$315,$A266,$C$5:$C$315,$C266-1,$D$5:$D$315,$D266,N$5:N$315,"&lt;&gt;")=0,"",IF(OR(SUMIFS(N$5:N$315,$A$5:$A$315,$A266,$C$5:$C$315,$C266-1,$D$5:$D$315,$D266)=0,N266*SUMIFS(N$5:N$315,$A$5:$A$315,$A266,$C$5:$C$315,$C266-1,$D$5:$D$315,$D266)&lt;0),"n.s.",ABS(N266)/ABS(SUMIFS(N$5:N$315,$A$5:$A$315,$A266,$C$5:$C$315,$C266-1,$D$5:$D$315,$D266))-1)))</f>
        <v/>
      </c>
      <c r="Y266" s="16">
        <f>IF(OR($A266="",O266="",$C266=""),"",IF(COUNTIFS($A$5:$A$315,$A266,$C$5:$C$315,$C266-1,$D$5:$D$315,$D266,O$5:O$315,"&lt;&gt;")=0,"",IF(OR(SUMIFS(O$5:O$315,$A$5:$A$315,$A266,$C$5:$C$315,$C266-1,$D$5:$D$315,$D266)=0,O266*SUMIFS(O$5:O$315,$A$5:$A$315,$A266,$C$5:$C$315,$C266-1,$D$5:$D$315,$D266)&lt;0),"n.s.",ABS(O266)/ABS(SUMIFS(O$5:O$315,$A$5:$A$315,$A266,$C$5:$C$315,$C266-1,$D$5:$D$315,$D266))-1)))</f>
        <v/>
      </c>
    </row>
    <row r="267">
      <c r="A267" s="9" t="inlineStr">
        <is>
          <t>SIBC</t>
        </is>
      </c>
      <c r="B267" s="10">
        <f>IF(A267="","",IFERROR(VLOOKUP(A267,Titres!$A$2:$B$400,2,FALSE),"Ticker inconnu"))</f>
        <v/>
      </c>
      <c r="C267" s="11" t="n">
        <v>2024</v>
      </c>
      <c r="D267" s="11" t="inlineStr">
        <is>
          <t>S1</t>
        </is>
      </c>
      <c r="E267" s="9" t="n"/>
      <c r="F267" s="12" t="n"/>
      <c r="G267" s="9" t="n"/>
      <c r="H267" s="13" t="n"/>
      <c r="I267" s="13" t="n"/>
      <c r="J267" s="13" t="n"/>
      <c r="K267" s="13" t="n"/>
      <c r="L267" s="13" t="n"/>
      <c r="M267" s="13" t="n"/>
      <c r="N267" s="13" t="n"/>
      <c r="O267" s="13" t="n"/>
      <c r="P267" s="14">
        <f>IF(A267="","",COUNT(H267:O267)/8)</f>
        <v/>
      </c>
      <c r="Q267" s="15">
        <f>IF(COUNT(H267:O267)=0,"",IF(LEN(IF(COUNT(H267,I267,J267)=3,IF(ABS(H267+I267-J267)&lt;=MAX(1,0.02*ABS(J267)),"","RBE &lt;&gt; PNB + frais "),"")&amp;IF(COUNT(J267,K267,L267)=3,IF(ABS(J267+K267-L267)&lt;=MAX(1,0.03*ABS(L267)),"","RAI &lt;&gt; RBE + coût du risque "),"")&amp;IF(COUNT(H267,M267)=2,IF(ABS(M267)&gt;ABS(H267),"RN &gt; PNB ",""),""))=0,"OK",IF(COUNT(H267,I267,J267)=3,IF(ABS(H267+I267-J267)&lt;=MAX(1,0.02*ABS(J267)),"","RBE &lt;&gt; PNB + frais "),"")&amp;IF(COUNT(J267,K267,L267)=3,IF(ABS(J267+K267-L267)&lt;=MAX(1,0.03*ABS(L267)),"","RAI &lt;&gt; RBE + coût du risque "),"")&amp;IF(COUNT(H267,M267)=2,IF(ABS(M267)&gt;ABS(H267),"RN &gt; PNB ",""),"")))</f>
        <v/>
      </c>
      <c r="R267" s="16">
        <f>IF(OR($A267="",H267="",$C267=""),"",IF(COUNTIFS($A$5:$A$315,$A267,$C$5:$C$315,$C267-1,$D$5:$D$315,$D267,H$5:H$315,"&lt;&gt;")=0,"",IF(OR(SUMIFS(H$5:H$315,$A$5:$A$315,$A267,$C$5:$C$315,$C267-1,$D$5:$D$315,$D267)=0,H267*SUMIFS(H$5:H$315,$A$5:$A$315,$A267,$C$5:$C$315,$C267-1,$D$5:$D$315,$D267)&lt;0),"n.s.",ABS(H267)/ABS(SUMIFS(H$5:H$315,$A$5:$A$315,$A267,$C$5:$C$315,$C267-1,$D$5:$D$315,$D267))-1)))</f>
        <v/>
      </c>
      <c r="S267" s="16">
        <f>IF(OR($A267="",I267="",$C267=""),"",IF(COUNTIFS($A$5:$A$315,$A267,$C$5:$C$315,$C267-1,$D$5:$D$315,$D267,I$5:I$315,"&lt;&gt;")=0,"",IF(OR(SUMIFS(I$5:I$315,$A$5:$A$315,$A267,$C$5:$C$315,$C267-1,$D$5:$D$315,$D267)=0,I267*SUMIFS(I$5:I$315,$A$5:$A$315,$A267,$C$5:$C$315,$C267-1,$D$5:$D$315,$D267)&lt;0),"n.s.",ABS(I267)/ABS(SUMIFS(I$5:I$315,$A$5:$A$315,$A267,$C$5:$C$315,$C267-1,$D$5:$D$315,$D267))-1)))</f>
        <v/>
      </c>
      <c r="T267" s="16">
        <f>IF(OR($A267="",J267="",$C267=""),"",IF(COUNTIFS($A$5:$A$315,$A267,$C$5:$C$315,$C267-1,$D$5:$D$315,$D267,J$5:J$315,"&lt;&gt;")=0,"",IF(OR(SUMIFS(J$5:J$315,$A$5:$A$315,$A267,$C$5:$C$315,$C267-1,$D$5:$D$315,$D267)=0,J267*SUMIFS(J$5:J$315,$A$5:$A$315,$A267,$C$5:$C$315,$C267-1,$D$5:$D$315,$D267)&lt;0),"n.s.",ABS(J267)/ABS(SUMIFS(J$5:J$315,$A$5:$A$315,$A267,$C$5:$C$315,$C267-1,$D$5:$D$315,$D267))-1)))</f>
        <v/>
      </c>
      <c r="U267" s="16">
        <f>IF(OR($A267="",K267="",$C267=""),"",IF(COUNTIFS($A$5:$A$315,$A267,$C$5:$C$315,$C267-1,$D$5:$D$315,$D267,K$5:K$315,"&lt;&gt;")=0,"",IF(OR(SUMIFS(K$5:K$315,$A$5:$A$315,$A267,$C$5:$C$315,$C267-1,$D$5:$D$315,$D267)=0,K267*SUMIFS(K$5:K$315,$A$5:$A$315,$A267,$C$5:$C$315,$C267-1,$D$5:$D$315,$D267)&lt;0),"n.s.",ABS(K267)/ABS(SUMIFS(K$5:K$315,$A$5:$A$315,$A267,$C$5:$C$315,$C267-1,$D$5:$D$315,$D267))-1)))</f>
        <v/>
      </c>
      <c r="V267" s="16">
        <f>IF(OR($A267="",L267="",$C267=""),"",IF(COUNTIFS($A$5:$A$315,$A267,$C$5:$C$315,$C267-1,$D$5:$D$315,$D267,L$5:L$315,"&lt;&gt;")=0,"",IF(OR(SUMIFS(L$5:L$315,$A$5:$A$315,$A267,$C$5:$C$315,$C267-1,$D$5:$D$315,$D267)=0,L267*SUMIFS(L$5:L$315,$A$5:$A$315,$A267,$C$5:$C$315,$C267-1,$D$5:$D$315,$D267)&lt;0),"n.s.",ABS(L267)/ABS(SUMIFS(L$5:L$315,$A$5:$A$315,$A267,$C$5:$C$315,$C267-1,$D$5:$D$315,$D267))-1)))</f>
        <v/>
      </c>
      <c r="W267" s="16">
        <f>IF(OR($A267="",M267="",$C267=""),"",IF(COUNTIFS($A$5:$A$315,$A267,$C$5:$C$315,$C267-1,$D$5:$D$315,$D267,M$5:M$315,"&lt;&gt;")=0,"",IF(OR(SUMIFS(M$5:M$315,$A$5:$A$315,$A267,$C$5:$C$315,$C267-1,$D$5:$D$315,$D267)=0,M267*SUMIFS(M$5:M$315,$A$5:$A$315,$A267,$C$5:$C$315,$C267-1,$D$5:$D$315,$D267)&lt;0),"n.s.",ABS(M267)/ABS(SUMIFS(M$5:M$315,$A$5:$A$315,$A267,$C$5:$C$315,$C267-1,$D$5:$D$315,$D267))-1)))</f>
        <v/>
      </c>
      <c r="X267" s="16">
        <f>IF(OR($A267="",N267="",$C267=""),"",IF(COUNTIFS($A$5:$A$315,$A267,$C$5:$C$315,$C267-1,$D$5:$D$315,$D267,N$5:N$315,"&lt;&gt;")=0,"",IF(OR(SUMIFS(N$5:N$315,$A$5:$A$315,$A267,$C$5:$C$315,$C267-1,$D$5:$D$315,$D267)=0,N267*SUMIFS(N$5:N$315,$A$5:$A$315,$A267,$C$5:$C$315,$C267-1,$D$5:$D$315,$D267)&lt;0),"n.s.",ABS(N267)/ABS(SUMIFS(N$5:N$315,$A$5:$A$315,$A267,$C$5:$C$315,$C267-1,$D$5:$D$315,$D267))-1)))</f>
        <v/>
      </c>
      <c r="Y267" s="16">
        <f>IF(OR($A267="",O267="",$C267=""),"",IF(COUNTIFS($A$5:$A$315,$A267,$C$5:$C$315,$C267-1,$D$5:$D$315,$D267,O$5:O$315,"&lt;&gt;")=0,"",IF(OR(SUMIFS(O$5:O$315,$A$5:$A$315,$A267,$C$5:$C$315,$C267-1,$D$5:$D$315,$D267)=0,O267*SUMIFS(O$5:O$315,$A$5:$A$315,$A267,$C$5:$C$315,$C267-1,$D$5:$D$315,$D267)&lt;0),"n.s.",ABS(O267)/ABS(SUMIFS(O$5:O$315,$A$5:$A$315,$A267,$C$5:$C$315,$C267-1,$D$5:$D$315,$D267))-1)))</f>
        <v/>
      </c>
    </row>
    <row r="268">
      <c r="A268" s="9" t="inlineStr">
        <is>
          <t>SIBC</t>
        </is>
      </c>
      <c r="B268" s="10">
        <f>IF(A268="","",IFERROR(VLOOKUP(A268,Titres!$A$2:$B$400,2,FALSE),"Ticker inconnu"))</f>
        <v/>
      </c>
      <c r="C268" s="11" t="n">
        <v>2024</v>
      </c>
      <c r="D268" s="11" t="inlineStr">
        <is>
          <t>T3</t>
        </is>
      </c>
      <c r="E268" s="9" t="n"/>
      <c r="F268" s="12" t="n"/>
      <c r="G268" s="9" t="n"/>
      <c r="H268" s="13" t="n"/>
      <c r="I268" s="13" t="n"/>
      <c r="J268" s="13" t="n"/>
      <c r="K268" s="13" t="n"/>
      <c r="L268" s="13" t="n"/>
      <c r="M268" s="13" t="n"/>
      <c r="N268" s="13" t="n"/>
      <c r="O268" s="13" t="n"/>
      <c r="P268" s="14">
        <f>IF(A268="","",COUNT(H268:O268)/8)</f>
        <v/>
      </c>
      <c r="Q268" s="15">
        <f>IF(COUNT(H268:O268)=0,"",IF(LEN(IF(COUNT(H268,I268,J268)=3,IF(ABS(H268+I268-J268)&lt;=MAX(1,0.02*ABS(J268)),"","RBE &lt;&gt; PNB + frais "),"")&amp;IF(COUNT(J268,K268,L268)=3,IF(ABS(J268+K268-L268)&lt;=MAX(1,0.03*ABS(L268)),"","RAI &lt;&gt; RBE + coût du risque "),"")&amp;IF(COUNT(H268,M268)=2,IF(ABS(M268)&gt;ABS(H268),"RN &gt; PNB ",""),""))=0,"OK",IF(COUNT(H268,I268,J268)=3,IF(ABS(H268+I268-J268)&lt;=MAX(1,0.02*ABS(J268)),"","RBE &lt;&gt; PNB + frais "),"")&amp;IF(COUNT(J268,K268,L268)=3,IF(ABS(J268+K268-L268)&lt;=MAX(1,0.03*ABS(L268)),"","RAI &lt;&gt; RBE + coût du risque "),"")&amp;IF(COUNT(H268,M268)=2,IF(ABS(M268)&gt;ABS(H268),"RN &gt; PNB ",""),"")))</f>
        <v/>
      </c>
      <c r="R268" s="16">
        <f>IF(OR($A268="",H268="",$C268=""),"",IF(COUNTIFS($A$5:$A$315,$A268,$C$5:$C$315,$C268-1,$D$5:$D$315,$D268,H$5:H$315,"&lt;&gt;")=0,"",IF(OR(SUMIFS(H$5:H$315,$A$5:$A$315,$A268,$C$5:$C$315,$C268-1,$D$5:$D$315,$D268)=0,H268*SUMIFS(H$5:H$315,$A$5:$A$315,$A268,$C$5:$C$315,$C268-1,$D$5:$D$315,$D268)&lt;0),"n.s.",ABS(H268)/ABS(SUMIFS(H$5:H$315,$A$5:$A$315,$A268,$C$5:$C$315,$C268-1,$D$5:$D$315,$D268))-1)))</f>
        <v/>
      </c>
      <c r="S268" s="16">
        <f>IF(OR($A268="",I268="",$C268=""),"",IF(COUNTIFS($A$5:$A$315,$A268,$C$5:$C$315,$C268-1,$D$5:$D$315,$D268,I$5:I$315,"&lt;&gt;")=0,"",IF(OR(SUMIFS(I$5:I$315,$A$5:$A$315,$A268,$C$5:$C$315,$C268-1,$D$5:$D$315,$D268)=0,I268*SUMIFS(I$5:I$315,$A$5:$A$315,$A268,$C$5:$C$315,$C268-1,$D$5:$D$315,$D268)&lt;0),"n.s.",ABS(I268)/ABS(SUMIFS(I$5:I$315,$A$5:$A$315,$A268,$C$5:$C$315,$C268-1,$D$5:$D$315,$D268))-1)))</f>
        <v/>
      </c>
      <c r="T268" s="16">
        <f>IF(OR($A268="",J268="",$C268=""),"",IF(COUNTIFS($A$5:$A$315,$A268,$C$5:$C$315,$C268-1,$D$5:$D$315,$D268,J$5:J$315,"&lt;&gt;")=0,"",IF(OR(SUMIFS(J$5:J$315,$A$5:$A$315,$A268,$C$5:$C$315,$C268-1,$D$5:$D$315,$D268)=0,J268*SUMIFS(J$5:J$315,$A$5:$A$315,$A268,$C$5:$C$315,$C268-1,$D$5:$D$315,$D268)&lt;0),"n.s.",ABS(J268)/ABS(SUMIFS(J$5:J$315,$A$5:$A$315,$A268,$C$5:$C$315,$C268-1,$D$5:$D$315,$D268))-1)))</f>
        <v/>
      </c>
      <c r="U268" s="16">
        <f>IF(OR($A268="",K268="",$C268=""),"",IF(COUNTIFS($A$5:$A$315,$A268,$C$5:$C$315,$C268-1,$D$5:$D$315,$D268,K$5:K$315,"&lt;&gt;")=0,"",IF(OR(SUMIFS(K$5:K$315,$A$5:$A$315,$A268,$C$5:$C$315,$C268-1,$D$5:$D$315,$D268)=0,K268*SUMIFS(K$5:K$315,$A$5:$A$315,$A268,$C$5:$C$315,$C268-1,$D$5:$D$315,$D268)&lt;0),"n.s.",ABS(K268)/ABS(SUMIFS(K$5:K$315,$A$5:$A$315,$A268,$C$5:$C$315,$C268-1,$D$5:$D$315,$D268))-1)))</f>
        <v/>
      </c>
      <c r="V268" s="16">
        <f>IF(OR($A268="",L268="",$C268=""),"",IF(COUNTIFS($A$5:$A$315,$A268,$C$5:$C$315,$C268-1,$D$5:$D$315,$D268,L$5:L$315,"&lt;&gt;")=0,"",IF(OR(SUMIFS(L$5:L$315,$A$5:$A$315,$A268,$C$5:$C$315,$C268-1,$D$5:$D$315,$D268)=0,L268*SUMIFS(L$5:L$315,$A$5:$A$315,$A268,$C$5:$C$315,$C268-1,$D$5:$D$315,$D268)&lt;0),"n.s.",ABS(L268)/ABS(SUMIFS(L$5:L$315,$A$5:$A$315,$A268,$C$5:$C$315,$C268-1,$D$5:$D$315,$D268))-1)))</f>
        <v/>
      </c>
      <c r="W268" s="16">
        <f>IF(OR($A268="",M268="",$C268=""),"",IF(COUNTIFS($A$5:$A$315,$A268,$C$5:$C$315,$C268-1,$D$5:$D$315,$D268,M$5:M$315,"&lt;&gt;")=0,"",IF(OR(SUMIFS(M$5:M$315,$A$5:$A$315,$A268,$C$5:$C$315,$C268-1,$D$5:$D$315,$D268)=0,M268*SUMIFS(M$5:M$315,$A$5:$A$315,$A268,$C$5:$C$315,$C268-1,$D$5:$D$315,$D268)&lt;0),"n.s.",ABS(M268)/ABS(SUMIFS(M$5:M$315,$A$5:$A$315,$A268,$C$5:$C$315,$C268-1,$D$5:$D$315,$D268))-1)))</f>
        <v/>
      </c>
      <c r="X268" s="16">
        <f>IF(OR($A268="",N268="",$C268=""),"",IF(COUNTIFS($A$5:$A$315,$A268,$C$5:$C$315,$C268-1,$D$5:$D$315,$D268,N$5:N$315,"&lt;&gt;")=0,"",IF(OR(SUMIFS(N$5:N$315,$A$5:$A$315,$A268,$C$5:$C$315,$C268-1,$D$5:$D$315,$D268)=0,N268*SUMIFS(N$5:N$315,$A$5:$A$315,$A268,$C$5:$C$315,$C268-1,$D$5:$D$315,$D268)&lt;0),"n.s.",ABS(N268)/ABS(SUMIFS(N$5:N$315,$A$5:$A$315,$A268,$C$5:$C$315,$C268-1,$D$5:$D$315,$D268))-1)))</f>
        <v/>
      </c>
      <c r="Y268" s="16">
        <f>IF(OR($A268="",O268="",$C268=""),"",IF(COUNTIFS($A$5:$A$315,$A268,$C$5:$C$315,$C268-1,$D$5:$D$315,$D268,O$5:O$315,"&lt;&gt;")=0,"",IF(OR(SUMIFS(O$5:O$315,$A$5:$A$315,$A268,$C$5:$C$315,$C268-1,$D$5:$D$315,$D268)=0,O268*SUMIFS(O$5:O$315,$A$5:$A$315,$A268,$C$5:$C$315,$C268-1,$D$5:$D$315,$D268)&lt;0),"n.s.",ABS(O268)/ABS(SUMIFS(O$5:O$315,$A$5:$A$315,$A268,$C$5:$C$315,$C268-1,$D$5:$D$315,$D268))-1)))</f>
        <v/>
      </c>
    </row>
    <row r="269">
      <c r="A269" s="9" t="inlineStr">
        <is>
          <t>SIBC</t>
        </is>
      </c>
      <c r="B269" s="10">
        <f>IF(A269="","",IFERROR(VLOOKUP(A269,Titres!$A$2:$B$400,2,FALSE),"Ticker inconnu"))</f>
        <v/>
      </c>
      <c r="C269" s="11" t="n">
        <v>2025</v>
      </c>
      <c r="D269" s="11" t="inlineStr">
        <is>
          <t>T1</t>
        </is>
      </c>
      <c r="E269" s="9" t="inlineStr">
        <is>
          <t>Publié</t>
        </is>
      </c>
      <c r="F269" s="12" t="n">
        <v>46148</v>
      </c>
      <c r="G269" s="9" t="inlineStr">
        <is>
          <t>https://www.richbourse.com/common/actualite/afficher-fichier/06-05-2026-sib-ci-rapport-dactivites-1er-trimestre-2026 (comparatif N-1)</t>
        </is>
      </c>
      <c r="H269" s="13" t="n">
        <v>26500</v>
      </c>
      <c r="I269" s="13" t="n"/>
      <c r="J269" s="13" t="n">
        <v>15800</v>
      </c>
      <c r="K269" s="13" t="n"/>
      <c r="L269" s="13" t="n"/>
      <c r="M269" s="13" t="n">
        <v>13600</v>
      </c>
      <c r="N269" s="13" t="n">
        <v>1042000</v>
      </c>
      <c r="O269" s="13" t="n">
        <v>1371000</v>
      </c>
      <c r="P269" s="14">
        <f>IF(A269="","",COUNT(H269:O269)/8)</f>
        <v/>
      </c>
      <c r="Q269" s="15">
        <f>IF(COUNT(H269:O269)=0,"",IF(LEN(IF(COUNT(H269,I269,J269)=3,IF(ABS(H269+I269-J269)&lt;=MAX(1,0.02*ABS(J269)),"","RBE &lt;&gt; PNB + frais "),"")&amp;IF(COUNT(J269,K269,L269)=3,IF(ABS(J269+K269-L269)&lt;=MAX(1,0.03*ABS(L269)),"","RAI &lt;&gt; RBE + coût du risque "),"")&amp;IF(COUNT(H269,M269)=2,IF(ABS(M269)&gt;ABS(H269),"RN &gt; PNB ",""),""))=0,"OK",IF(COUNT(H269,I269,J269)=3,IF(ABS(H269+I269-J269)&lt;=MAX(1,0.02*ABS(J269)),"","RBE &lt;&gt; PNB + frais "),"")&amp;IF(COUNT(J269,K269,L269)=3,IF(ABS(J269+K269-L269)&lt;=MAX(1,0.03*ABS(L269)),"","RAI &lt;&gt; RBE + coût du risque "),"")&amp;IF(COUNT(H269,M269)=2,IF(ABS(M269)&gt;ABS(H269),"RN &gt; PNB ",""),"")))</f>
        <v/>
      </c>
      <c r="R269" s="16">
        <f>IF(OR($A269="",H269="",$C269=""),"",IF(COUNTIFS($A$5:$A$315,$A269,$C$5:$C$315,$C269-1,$D$5:$D$315,$D269,H$5:H$315,"&lt;&gt;")=0,"",IF(OR(SUMIFS(H$5:H$315,$A$5:$A$315,$A269,$C$5:$C$315,$C269-1,$D$5:$D$315,$D269)=0,H269*SUMIFS(H$5:H$315,$A$5:$A$315,$A269,$C$5:$C$315,$C269-1,$D$5:$D$315,$D269)&lt;0),"n.s.",ABS(H269)/ABS(SUMIFS(H$5:H$315,$A$5:$A$315,$A269,$C$5:$C$315,$C269-1,$D$5:$D$315,$D269))-1)))</f>
        <v/>
      </c>
      <c r="S269" s="16">
        <f>IF(OR($A269="",I269="",$C269=""),"",IF(COUNTIFS($A$5:$A$315,$A269,$C$5:$C$315,$C269-1,$D$5:$D$315,$D269,I$5:I$315,"&lt;&gt;")=0,"",IF(OR(SUMIFS(I$5:I$315,$A$5:$A$315,$A269,$C$5:$C$315,$C269-1,$D$5:$D$315,$D269)=0,I269*SUMIFS(I$5:I$315,$A$5:$A$315,$A269,$C$5:$C$315,$C269-1,$D$5:$D$315,$D269)&lt;0),"n.s.",ABS(I269)/ABS(SUMIFS(I$5:I$315,$A$5:$A$315,$A269,$C$5:$C$315,$C269-1,$D$5:$D$315,$D269))-1)))</f>
        <v/>
      </c>
      <c r="T269" s="16">
        <f>IF(OR($A269="",J269="",$C269=""),"",IF(COUNTIFS($A$5:$A$315,$A269,$C$5:$C$315,$C269-1,$D$5:$D$315,$D269,J$5:J$315,"&lt;&gt;")=0,"",IF(OR(SUMIFS(J$5:J$315,$A$5:$A$315,$A269,$C$5:$C$315,$C269-1,$D$5:$D$315,$D269)=0,J269*SUMIFS(J$5:J$315,$A$5:$A$315,$A269,$C$5:$C$315,$C269-1,$D$5:$D$315,$D269)&lt;0),"n.s.",ABS(J269)/ABS(SUMIFS(J$5:J$315,$A$5:$A$315,$A269,$C$5:$C$315,$C269-1,$D$5:$D$315,$D269))-1)))</f>
        <v/>
      </c>
      <c r="U269" s="16">
        <f>IF(OR($A269="",K269="",$C269=""),"",IF(COUNTIFS($A$5:$A$315,$A269,$C$5:$C$315,$C269-1,$D$5:$D$315,$D269,K$5:K$315,"&lt;&gt;")=0,"",IF(OR(SUMIFS(K$5:K$315,$A$5:$A$315,$A269,$C$5:$C$315,$C269-1,$D$5:$D$315,$D269)=0,K269*SUMIFS(K$5:K$315,$A$5:$A$315,$A269,$C$5:$C$315,$C269-1,$D$5:$D$315,$D269)&lt;0),"n.s.",ABS(K269)/ABS(SUMIFS(K$5:K$315,$A$5:$A$315,$A269,$C$5:$C$315,$C269-1,$D$5:$D$315,$D269))-1)))</f>
        <v/>
      </c>
      <c r="V269" s="16">
        <f>IF(OR($A269="",L269="",$C269=""),"",IF(COUNTIFS($A$5:$A$315,$A269,$C$5:$C$315,$C269-1,$D$5:$D$315,$D269,L$5:L$315,"&lt;&gt;")=0,"",IF(OR(SUMIFS(L$5:L$315,$A$5:$A$315,$A269,$C$5:$C$315,$C269-1,$D$5:$D$315,$D269)=0,L269*SUMIFS(L$5:L$315,$A$5:$A$315,$A269,$C$5:$C$315,$C269-1,$D$5:$D$315,$D269)&lt;0),"n.s.",ABS(L269)/ABS(SUMIFS(L$5:L$315,$A$5:$A$315,$A269,$C$5:$C$315,$C269-1,$D$5:$D$315,$D269))-1)))</f>
        <v/>
      </c>
      <c r="W269" s="16">
        <f>IF(OR($A269="",M269="",$C269=""),"",IF(COUNTIFS($A$5:$A$315,$A269,$C$5:$C$315,$C269-1,$D$5:$D$315,$D269,M$5:M$315,"&lt;&gt;")=0,"",IF(OR(SUMIFS(M$5:M$315,$A$5:$A$315,$A269,$C$5:$C$315,$C269-1,$D$5:$D$315,$D269)=0,M269*SUMIFS(M$5:M$315,$A$5:$A$315,$A269,$C$5:$C$315,$C269-1,$D$5:$D$315,$D269)&lt;0),"n.s.",ABS(M269)/ABS(SUMIFS(M$5:M$315,$A$5:$A$315,$A269,$C$5:$C$315,$C269-1,$D$5:$D$315,$D269))-1)))</f>
        <v/>
      </c>
      <c r="X269" s="16">
        <f>IF(OR($A269="",N269="",$C269=""),"",IF(COUNTIFS($A$5:$A$315,$A269,$C$5:$C$315,$C269-1,$D$5:$D$315,$D269,N$5:N$315,"&lt;&gt;")=0,"",IF(OR(SUMIFS(N$5:N$315,$A$5:$A$315,$A269,$C$5:$C$315,$C269-1,$D$5:$D$315,$D269)=0,N269*SUMIFS(N$5:N$315,$A$5:$A$315,$A269,$C$5:$C$315,$C269-1,$D$5:$D$315,$D269)&lt;0),"n.s.",ABS(N269)/ABS(SUMIFS(N$5:N$315,$A$5:$A$315,$A269,$C$5:$C$315,$C269-1,$D$5:$D$315,$D269))-1)))</f>
        <v/>
      </c>
      <c r="Y269" s="16">
        <f>IF(OR($A269="",O269="",$C269=""),"",IF(COUNTIFS($A$5:$A$315,$A269,$C$5:$C$315,$C269-1,$D$5:$D$315,$D269,O$5:O$315,"&lt;&gt;")=0,"",IF(OR(SUMIFS(O$5:O$315,$A$5:$A$315,$A269,$C$5:$C$315,$C269-1,$D$5:$D$315,$D269)=0,O269*SUMIFS(O$5:O$315,$A$5:$A$315,$A269,$C$5:$C$315,$C269-1,$D$5:$D$315,$D269)&lt;0),"n.s.",ABS(O269)/ABS(SUMIFS(O$5:O$315,$A$5:$A$315,$A269,$C$5:$C$315,$C269-1,$D$5:$D$315,$D269))-1)))</f>
        <v/>
      </c>
    </row>
    <row r="270">
      <c r="A270" s="9" t="inlineStr">
        <is>
          <t>SIBC</t>
        </is>
      </c>
      <c r="B270" s="10">
        <f>IF(A270="","",IFERROR(VLOOKUP(A270,Titres!$A$2:$B$400,2,FALSE),"Ticker inconnu"))</f>
        <v/>
      </c>
      <c r="C270" s="11" t="n">
        <v>2025</v>
      </c>
      <c r="D270" s="11" t="inlineStr">
        <is>
          <t>S1</t>
        </is>
      </c>
      <c r="E270" s="9" t="inlineStr">
        <is>
          <t>Publié</t>
        </is>
      </c>
      <c r="F270" s="12" t="n">
        <v>46293</v>
      </c>
      <c r="G270" s="9" t="inlineStr">
        <is>
          <t>https://www.richbourse.com/common/actualite/afficher-fichier/28-09-2026-sib-ci-rapport-d-activites-1er-semestre-2026 (comparatif N-1)</t>
        </is>
      </c>
      <c r="H270" s="13" t="n">
        <v>54300</v>
      </c>
      <c r="I270" s="13" t="n"/>
      <c r="J270" s="13" t="n">
        <v>34700</v>
      </c>
      <c r="K270" s="13" t="n"/>
      <c r="L270" s="13" t="n"/>
      <c r="M270" s="13" t="n">
        <v>29400</v>
      </c>
      <c r="N270" s="13" t="n">
        <v>1044000</v>
      </c>
      <c r="O270" s="13" t="n">
        <v>1409000</v>
      </c>
      <c r="P270" s="14">
        <f>IF(A270="","",COUNT(H270:O270)/8)</f>
        <v/>
      </c>
      <c r="Q270" s="15">
        <f>IF(COUNT(H270:O270)=0,"",IF(LEN(IF(COUNT(H270,I270,J270)=3,IF(ABS(H270+I270-J270)&lt;=MAX(1,0.02*ABS(J270)),"","RBE &lt;&gt; PNB + frais "),"")&amp;IF(COUNT(J270,K270,L270)=3,IF(ABS(J270+K270-L270)&lt;=MAX(1,0.03*ABS(L270)),"","RAI &lt;&gt; RBE + coût du risque "),"")&amp;IF(COUNT(H270,M270)=2,IF(ABS(M270)&gt;ABS(H270),"RN &gt; PNB ",""),""))=0,"OK",IF(COUNT(H270,I270,J270)=3,IF(ABS(H270+I270-J270)&lt;=MAX(1,0.02*ABS(J270)),"","RBE &lt;&gt; PNB + frais "),"")&amp;IF(COUNT(J270,K270,L270)=3,IF(ABS(J270+K270-L270)&lt;=MAX(1,0.03*ABS(L270)),"","RAI &lt;&gt; RBE + coût du risque "),"")&amp;IF(COUNT(H270,M270)=2,IF(ABS(M270)&gt;ABS(H270),"RN &gt; PNB ",""),"")))</f>
        <v/>
      </c>
      <c r="R270" s="16">
        <f>IF(OR($A270="",H270="",$C270=""),"",IF(COUNTIFS($A$5:$A$315,$A270,$C$5:$C$315,$C270-1,$D$5:$D$315,$D270,H$5:H$315,"&lt;&gt;")=0,"",IF(OR(SUMIFS(H$5:H$315,$A$5:$A$315,$A270,$C$5:$C$315,$C270-1,$D$5:$D$315,$D270)=0,H270*SUMIFS(H$5:H$315,$A$5:$A$315,$A270,$C$5:$C$315,$C270-1,$D$5:$D$315,$D270)&lt;0),"n.s.",ABS(H270)/ABS(SUMIFS(H$5:H$315,$A$5:$A$315,$A270,$C$5:$C$315,$C270-1,$D$5:$D$315,$D270))-1)))</f>
        <v/>
      </c>
      <c r="S270" s="16">
        <f>IF(OR($A270="",I270="",$C270=""),"",IF(COUNTIFS($A$5:$A$315,$A270,$C$5:$C$315,$C270-1,$D$5:$D$315,$D270,I$5:I$315,"&lt;&gt;")=0,"",IF(OR(SUMIFS(I$5:I$315,$A$5:$A$315,$A270,$C$5:$C$315,$C270-1,$D$5:$D$315,$D270)=0,I270*SUMIFS(I$5:I$315,$A$5:$A$315,$A270,$C$5:$C$315,$C270-1,$D$5:$D$315,$D270)&lt;0),"n.s.",ABS(I270)/ABS(SUMIFS(I$5:I$315,$A$5:$A$315,$A270,$C$5:$C$315,$C270-1,$D$5:$D$315,$D270))-1)))</f>
        <v/>
      </c>
      <c r="T270" s="16">
        <f>IF(OR($A270="",J270="",$C270=""),"",IF(COUNTIFS($A$5:$A$315,$A270,$C$5:$C$315,$C270-1,$D$5:$D$315,$D270,J$5:J$315,"&lt;&gt;")=0,"",IF(OR(SUMIFS(J$5:J$315,$A$5:$A$315,$A270,$C$5:$C$315,$C270-1,$D$5:$D$315,$D270)=0,J270*SUMIFS(J$5:J$315,$A$5:$A$315,$A270,$C$5:$C$315,$C270-1,$D$5:$D$315,$D270)&lt;0),"n.s.",ABS(J270)/ABS(SUMIFS(J$5:J$315,$A$5:$A$315,$A270,$C$5:$C$315,$C270-1,$D$5:$D$315,$D270))-1)))</f>
        <v/>
      </c>
      <c r="U270" s="16">
        <f>IF(OR($A270="",K270="",$C270=""),"",IF(COUNTIFS($A$5:$A$315,$A270,$C$5:$C$315,$C270-1,$D$5:$D$315,$D270,K$5:K$315,"&lt;&gt;")=0,"",IF(OR(SUMIFS(K$5:K$315,$A$5:$A$315,$A270,$C$5:$C$315,$C270-1,$D$5:$D$315,$D270)=0,K270*SUMIFS(K$5:K$315,$A$5:$A$315,$A270,$C$5:$C$315,$C270-1,$D$5:$D$315,$D270)&lt;0),"n.s.",ABS(K270)/ABS(SUMIFS(K$5:K$315,$A$5:$A$315,$A270,$C$5:$C$315,$C270-1,$D$5:$D$315,$D270))-1)))</f>
        <v/>
      </c>
      <c r="V270" s="16">
        <f>IF(OR($A270="",L270="",$C270=""),"",IF(COUNTIFS($A$5:$A$315,$A270,$C$5:$C$315,$C270-1,$D$5:$D$315,$D270,L$5:L$315,"&lt;&gt;")=0,"",IF(OR(SUMIFS(L$5:L$315,$A$5:$A$315,$A270,$C$5:$C$315,$C270-1,$D$5:$D$315,$D270)=0,L270*SUMIFS(L$5:L$315,$A$5:$A$315,$A270,$C$5:$C$315,$C270-1,$D$5:$D$315,$D270)&lt;0),"n.s.",ABS(L270)/ABS(SUMIFS(L$5:L$315,$A$5:$A$315,$A270,$C$5:$C$315,$C270-1,$D$5:$D$315,$D270))-1)))</f>
        <v/>
      </c>
      <c r="W270" s="16">
        <f>IF(OR($A270="",M270="",$C270=""),"",IF(COUNTIFS($A$5:$A$315,$A270,$C$5:$C$315,$C270-1,$D$5:$D$315,$D270,M$5:M$315,"&lt;&gt;")=0,"",IF(OR(SUMIFS(M$5:M$315,$A$5:$A$315,$A270,$C$5:$C$315,$C270-1,$D$5:$D$315,$D270)=0,M270*SUMIFS(M$5:M$315,$A$5:$A$315,$A270,$C$5:$C$315,$C270-1,$D$5:$D$315,$D270)&lt;0),"n.s.",ABS(M270)/ABS(SUMIFS(M$5:M$315,$A$5:$A$315,$A270,$C$5:$C$315,$C270-1,$D$5:$D$315,$D270))-1)))</f>
        <v/>
      </c>
      <c r="X270" s="16">
        <f>IF(OR($A270="",N270="",$C270=""),"",IF(COUNTIFS($A$5:$A$315,$A270,$C$5:$C$315,$C270-1,$D$5:$D$315,$D270,N$5:N$315,"&lt;&gt;")=0,"",IF(OR(SUMIFS(N$5:N$315,$A$5:$A$315,$A270,$C$5:$C$315,$C270-1,$D$5:$D$315,$D270)=0,N270*SUMIFS(N$5:N$315,$A$5:$A$315,$A270,$C$5:$C$315,$C270-1,$D$5:$D$315,$D270)&lt;0),"n.s.",ABS(N270)/ABS(SUMIFS(N$5:N$315,$A$5:$A$315,$A270,$C$5:$C$315,$C270-1,$D$5:$D$315,$D270))-1)))</f>
        <v/>
      </c>
      <c r="Y270" s="16">
        <f>IF(OR($A270="",O270="",$C270=""),"",IF(COUNTIFS($A$5:$A$315,$A270,$C$5:$C$315,$C270-1,$D$5:$D$315,$D270,O$5:O$315,"&lt;&gt;")=0,"",IF(OR(SUMIFS(O$5:O$315,$A$5:$A$315,$A270,$C$5:$C$315,$C270-1,$D$5:$D$315,$D270)=0,O270*SUMIFS(O$5:O$315,$A$5:$A$315,$A270,$C$5:$C$315,$C270-1,$D$5:$D$315,$D270)&lt;0),"n.s.",ABS(O270)/ABS(SUMIFS(O$5:O$315,$A$5:$A$315,$A270,$C$5:$C$315,$C270-1,$D$5:$D$315,$D270))-1)))</f>
        <v/>
      </c>
    </row>
    <row r="271">
      <c r="A271" s="9" t="inlineStr">
        <is>
          <t>SIBC</t>
        </is>
      </c>
      <c r="B271" s="10">
        <f>IF(A271="","",IFERROR(VLOOKUP(A271,Titres!$A$2:$B$400,2,FALSE),"Ticker inconnu"))</f>
        <v/>
      </c>
      <c r="C271" s="11" t="n">
        <v>2025</v>
      </c>
      <c r="D271" s="11" t="inlineStr">
        <is>
          <t>T3</t>
        </is>
      </c>
      <c r="E271" s="9" t="n"/>
      <c r="F271" s="12" t="n"/>
      <c r="G271" s="9" t="n"/>
      <c r="H271" s="13" t="n"/>
      <c r="I271" s="13" t="n"/>
      <c r="J271" s="13" t="n"/>
      <c r="K271" s="13" t="n"/>
      <c r="L271" s="13" t="n"/>
      <c r="M271" s="13" t="n"/>
      <c r="N271" s="13" t="n"/>
      <c r="O271" s="13" t="n"/>
      <c r="P271" s="14">
        <f>IF(A271="","",COUNT(H271:O271)/8)</f>
        <v/>
      </c>
      <c r="Q271" s="15">
        <f>IF(COUNT(H271:O271)=0,"",IF(LEN(IF(COUNT(H271,I271,J271)=3,IF(ABS(H271+I271-J271)&lt;=MAX(1,0.02*ABS(J271)),"","RBE &lt;&gt; PNB + frais "),"")&amp;IF(COUNT(J271,K271,L271)=3,IF(ABS(J271+K271-L271)&lt;=MAX(1,0.03*ABS(L271)),"","RAI &lt;&gt; RBE + coût du risque "),"")&amp;IF(COUNT(H271,M271)=2,IF(ABS(M271)&gt;ABS(H271),"RN &gt; PNB ",""),""))=0,"OK",IF(COUNT(H271,I271,J271)=3,IF(ABS(H271+I271-J271)&lt;=MAX(1,0.02*ABS(J271)),"","RBE &lt;&gt; PNB + frais "),"")&amp;IF(COUNT(J271,K271,L271)=3,IF(ABS(J271+K271-L271)&lt;=MAX(1,0.03*ABS(L271)),"","RAI &lt;&gt; RBE + coût du risque "),"")&amp;IF(COUNT(H271,M271)=2,IF(ABS(M271)&gt;ABS(H271),"RN &gt; PNB ",""),"")))</f>
        <v/>
      </c>
      <c r="R271" s="16">
        <f>IF(OR($A271="",H271="",$C271=""),"",IF(COUNTIFS($A$5:$A$315,$A271,$C$5:$C$315,$C271-1,$D$5:$D$315,$D271,H$5:H$315,"&lt;&gt;")=0,"",IF(OR(SUMIFS(H$5:H$315,$A$5:$A$315,$A271,$C$5:$C$315,$C271-1,$D$5:$D$315,$D271)=0,H271*SUMIFS(H$5:H$315,$A$5:$A$315,$A271,$C$5:$C$315,$C271-1,$D$5:$D$315,$D271)&lt;0),"n.s.",ABS(H271)/ABS(SUMIFS(H$5:H$315,$A$5:$A$315,$A271,$C$5:$C$315,$C271-1,$D$5:$D$315,$D271))-1)))</f>
        <v/>
      </c>
      <c r="S271" s="16">
        <f>IF(OR($A271="",I271="",$C271=""),"",IF(COUNTIFS($A$5:$A$315,$A271,$C$5:$C$315,$C271-1,$D$5:$D$315,$D271,I$5:I$315,"&lt;&gt;")=0,"",IF(OR(SUMIFS(I$5:I$315,$A$5:$A$315,$A271,$C$5:$C$315,$C271-1,$D$5:$D$315,$D271)=0,I271*SUMIFS(I$5:I$315,$A$5:$A$315,$A271,$C$5:$C$315,$C271-1,$D$5:$D$315,$D271)&lt;0),"n.s.",ABS(I271)/ABS(SUMIFS(I$5:I$315,$A$5:$A$315,$A271,$C$5:$C$315,$C271-1,$D$5:$D$315,$D271))-1)))</f>
        <v/>
      </c>
      <c r="T271" s="16">
        <f>IF(OR($A271="",J271="",$C271=""),"",IF(COUNTIFS($A$5:$A$315,$A271,$C$5:$C$315,$C271-1,$D$5:$D$315,$D271,J$5:J$315,"&lt;&gt;")=0,"",IF(OR(SUMIFS(J$5:J$315,$A$5:$A$315,$A271,$C$5:$C$315,$C271-1,$D$5:$D$315,$D271)=0,J271*SUMIFS(J$5:J$315,$A$5:$A$315,$A271,$C$5:$C$315,$C271-1,$D$5:$D$315,$D271)&lt;0),"n.s.",ABS(J271)/ABS(SUMIFS(J$5:J$315,$A$5:$A$315,$A271,$C$5:$C$315,$C271-1,$D$5:$D$315,$D271))-1)))</f>
        <v/>
      </c>
      <c r="U271" s="16">
        <f>IF(OR($A271="",K271="",$C271=""),"",IF(COUNTIFS($A$5:$A$315,$A271,$C$5:$C$315,$C271-1,$D$5:$D$315,$D271,K$5:K$315,"&lt;&gt;")=0,"",IF(OR(SUMIFS(K$5:K$315,$A$5:$A$315,$A271,$C$5:$C$315,$C271-1,$D$5:$D$315,$D271)=0,K271*SUMIFS(K$5:K$315,$A$5:$A$315,$A271,$C$5:$C$315,$C271-1,$D$5:$D$315,$D271)&lt;0),"n.s.",ABS(K271)/ABS(SUMIFS(K$5:K$315,$A$5:$A$315,$A271,$C$5:$C$315,$C271-1,$D$5:$D$315,$D271))-1)))</f>
        <v/>
      </c>
      <c r="V271" s="16">
        <f>IF(OR($A271="",L271="",$C271=""),"",IF(COUNTIFS($A$5:$A$315,$A271,$C$5:$C$315,$C271-1,$D$5:$D$315,$D271,L$5:L$315,"&lt;&gt;")=0,"",IF(OR(SUMIFS(L$5:L$315,$A$5:$A$315,$A271,$C$5:$C$315,$C271-1,$D$5:$D$315,$D271)=0,L271*SUMIFS(L$5:L$315,$A$5:$A$315,$A271,$C$5:$C$315,$C271-1,$D$5:$D$315,$D271)&lt;0),"n.s.",ABS(L271)/ABS(SUMIFS(L$5:L$315,$A$5:$A$315,$A271,$C$5:$C$315,$C271-1,$D$5:$D$315,$D271))-1)))</f>
        <v/>
      </c>
      <c r="W271" s="16">
        <f>IF(OR($A271="",M271="",$C271=""),"",IF(COUNTIFS($A$5:$A$315,$A271,$C$5:$C$315,$C271-1,$D$5:$D$315,$D271,M$5:M$315,"&lt;&gt;")=0,"",IF(OR(SUMIFS(M$5:M$315,$A$5:$A$315,$A271,$C$5:$C$315,$C271-1,$D$5:$D$315,$D271)=0,M271*SUMIFS(M$5:M$315,$A$5:$A$315,$A271,$C$5:$C$315,$C271-1,$D$5:$D$315,$D271)&lt;0),"n.s.",ABS(M271)/ABS(SUMIFS(M$5:M$315,$A$5:$A$315,$A271,$C$5:$C$315,$C271-1,$D$5:$D$315,$D271))-1)))</f>
        <v/>
      </c>
      <c r="X271" s="16">
        <f>IF(OR($A271="",N271="",$C271=""),"",IF(COUNTIFS($A$5:$A$315,$A271,$C$5:$C$315,$C271-1,$D$5:$D$315,$D271,N$5:N$315,"&lt;&gt;")=0,"",IF(OR(SUMIFS(N$5:N$315,$A$5:$A$315,$A271,$C$5:$C$315,$C271-1,$D$5:$D$315,$D271)=0,N271*SUMIFS(N$5:N$315,$A$5:$A$315,$A271,$C$5:$C$315,$C271-1,$D$5:$D$315,$D271)&lt;0),"n.s.",ABS(N271)/ABS(SUMIFS(N$5:N$315,$A$5:$A$315,$A271,$C$5:$C$315,$C271-1,$D$5:$D$315,$D271))-1)))</f>
        <v/>
      </c>
      <c r="Y271" s="16">
        <f>IF(OR($A271="",O271="",$C271=""),"",IF(COUNTIFS($A$5:$A$315,$A271,$C$5:$C$315,$C271-1,$D$5:$D$315,$D271,O$5:O$315,"&lt;&gt;")=0,"",IF(OR(SUMIFS(O$5:O$315,$A$5:$A$315,$A271,$C$5:$C$315,$C271-1,$D$5:$D$315,$D271)=0,O271*SUMIFS(O$5:O$315,$A$5:$A$315,$A271,$C$5:$C$315,$C271-1,$D$5:$D$315,$D271)&lt;0),"n.s.",ABS(O271)/ABS(SUMIFS(O$5:O$315,$A$5:$A$315,$A271,$C$5:$C$315,$C271-1,$D$5:$D$315,$D271))-1)))</f>
        <v/>
      </c>
    </row>
    <row r="272">
      <c r="A272" s="9" t="inlineStr">
        <is>
          <t>SIBC</t>
        </is>
      </c>
      <c r="B272" s="10">
        <f>IF(A272="","",IFERROR(VLOOKUP(A272,Titres!$A$2:$B$400,2,FALSE),"Ticker inconnu"))</f>
        <v/>
      </c>
      <c r="C272" s="11" t="n">
        <v>2026</v>
      </c>
      <c r="D272" s="11" t="inlineStr">
        <is>
          <t>T1</t>
        </is>
      </c>
      <c r="E272" s="9" t="inlineStr">
        <is>
          <t>Publié</t>
        </is>
      </c>
      <c r="F272" s="12" t="n">
        <v>46148</v>
      </c>
      <c r="G272" s="9" t="inlineStr">
        <is>
          <t>https://www.richbourse.com/common/actualite/afficher-fichier/06-05-2026-sib-ci-rapport-dactivites-1er-trimestre-2026</t>
        </is>
      </c>
      <c r="H272" s="13" t="n">
        <v>27700</v>
      </c>
      <c r="I272" s="13" t="n"/>
      <c r="J272" s="13" t="n">
        <v>17500</v>
      </c>
      <c r="K272" s="13" t="n"/>
      <c r="L272" s="13" t="n"/>
      <c r="M272" s="13" t="n">
        <v>15200</v>
      </c>
      <c r="N272" s="13" t="n">
        <v>1112000</v>
      </c>
      <c r="O272" s="13" t="n">
        <v>1495000</v>
      </c>
      <c r="P272" s="14">
        <f>IF(A272="","",COUNT(H272:O272)/8)</f>
        <v/>
      </c>
      <c r="Q272" s="15">
        <f>IF(COUNT(H272:O272)=0,"",IF(LEN(IF(COUNT(H272,I272,J272)=3,IF(ABS(H272+I272-J272)&lt;=MAX(1,0.02*ABS(J272)),"","RBE &lt;&gt; PNB + frais "),"")&amp;IF(COUNT(J272,K272,L272)=3,IF(ABS(J272+K272-L272)&lt;=MAX(1,0.03*ABS(L272)),"","RAI &lt;&gt; RBE + coût du risque "),"")&amp;IF(COUNT(H272,M272)=2,IF(ABS(M272)&gt;ABS(H272),"RN &gt; PNB ",""),""))=0,"OK",IF(COUNT(H272,I272,J272)=3,IF(ABS(H272+I272-J272)&lt;=MAX(1,0.02*ABS(J272)),"","RBE &lt;&gt; PNB + frais "),"")&amp;IF(COUNT(J272,K272,L272)=3,IF(ABS(J272+K272-L272)&lt;=MAX(1,0.03*ABS(L272)),"","RAI &lt;&gt; RBE + coût du risque "),"")&amp;IF(COUNT(H272,M272)=2,IF(ABS(M272)&gt;ABS(H272),"RN &gt; PNB ",""),"")))</f>
        <v/>
      </c>
      <c r="R272" s="16">
        <f>IF(OR($A272="",H272="",$C272=""),"",IF(COUNTIFS($A$5:$A$315,$A272,$C$5:$C$315,$C272-1,$D$5:$D$315,$D272,H$5:H$315,"&lt;&gt;")=0,"",IF(OR(SUMIFS(H$5:H$315,$A$5:$A$315,$A272,$C$5:$C$315,$C272-1,$D$5:$D$315,$D272)=0,H272*SUMIFS(H$5:H$315,$A$5:$A$315,$A272,$C$5:$C$315,$C272-1,$D$5:$D$315,$D272)&lt;0),"n.s.",ABS(H272)/ABS(SUMIFS(H$5:H$315,$A$5:$A$315,$A272,$C$5:$C$315,$C272-1,$D$5:$D$315,$D272))-1)))</f>
        <v/>
      </c>
      <c r="S272" s="16">
        <f>IF(OR($A272="",I272="",$C272=""),"",IF(COUNTIFS($A$5:$A$315,$A272,$C$5:$C$315,$C272-1,$D$5:$D$315,$D272,I$5:I$315,"&lt;&gt;")=0,"",IF(OR(SUMIFS(I$5:I$315,$A$5:$A$315,$A272,$C$5:$C$315,$C272-1,$D$5:$D$315,$D272)=0,I272*SUMIFS(I$5:I$315,$A$5:$A$315,$A272,$C$5:$C$315,$C272-1,$D$5:$D$315,$D272)&lt;0),"n.s.",ABS(I272)/ABS(SUMIFS(I$5:I$315,$A$5:$A$315,$A272,$C$5:$C$315,$C272-1,$D$5:$D$315,$D272))-1)))</f>
        <v/>
      </c>
      <c r="T272" s="16">
        <f>IF(OR($A272="",J272="",$C272=""),"",IF(COUNTIFS($A$5:$A$315,$A272,$C$5:$C$315,$C272-1,$D$5:$D$315,$D272,J$5:J$315,"&lt;&gt;")=0,"",IF(OR(SUMIFS(J$5:J$315,$A$5:$A$315,$A272,$C$5:$C$315,$C272-1,$D$5:$D$315,$D272)=0,J272*SUMIFS(J$5:J$315,$A$5:$A$315,$A272,$C$5:$C$315,$C272-1,$D$5:$D$315,$D272)&lt;0),"n.s.",ABS(J272)/ABS(SUMIFS(J$5:J$315,$A$5:$A$315,$A272,$C$5:$C$315,$C272-1,$D$5:$D$315,$D272))-1)))</f>
        <v/>
      </c>
      <c r="U272" s="16">
        <f>IF(OR($A272="",K272="",$C272=""),"",IF(COUNTIFS($A$5:$A$315,$A272,$C$5:$C$315,$C272-1,$D$5:$D$315,$D272,K$5:K$315,"&lt;&gt;")=0,"",IF(OR(SUMIFS(K$5:K$315,$A$5:$A$315,$A272,$C$5:$C$315,$C272-1,$D$5:$D$315,$D272)=0,K272*SUMIFS(K$5:K$315,$A$5:$A$315,$A272,$C$5:$C$315,$C272-1,$D$5:$D$315,$D272)&lt;0),"n.s.",ABS(K272)/ABS(SUMIFS(K$5:K$315,$A$5:$A$315,$A272,$C$5:$C$315,$C272-1,$D$5:$D$315,$D272))-1)))</f>
        <v/>
      </c>
      <c r="V272" s="16">
        <f>IF(OR($A272="",L272="",$C272=""),"",IF(COUNTIFS($A$5:$A$315,$A272,$C$5:$C$315,$C272-1,$D$5:$D$315,$D272,L$5:L$315,"&lt;&gt;")=0,"",IF(OR(SUMIFS(L$5:L$315,$A$5:$A$315,$A272,$C$5:$C$315,$C272-1,$D$5:$D$315,$D272)=0,L272*SUMIFS(L$5:L$315,$A$5:$A$315,$A272,$C$5:$C$315,$C272-1,$D$5:$D$315,$D272)&lt;0),"n.s.",ABS(L272)/ABS(SUMIFS(L$5:L$315,$A$5:$A$315,$A272,$C$5:$C$315,$C272-1,$D$5:$D$315,$D272))-1)))</f>
        <v/>
      </c>
      <c r="W272" s="16">
        <f>IF(OR($A272="",M272="",$C272=""),"",IF(COUNTIFS($A$5:$A$315,$A272,$C$5:$C$315,$C272-1,$D$5:$D$315,$D272,M$5:M$315,"&lt;&gt;")=0,"",IF(OR(SUMIFS(M$5:M$315,$A$5:$A$315,$A272,$C$5:$C$315,$C272-1,$D$5:$D$315,$D272)=0,M272*SUMIFS(M$5:M$315,$A$5:$A$315,$A272,$C$5:$C$315,$C272-1,$D$5:$D$315,$D272)&lt;0),"n.s.",ABS(M272)/ABS(SUMIFS(M$5:M$315,$A$5:$A$315,$A272,$C$5:$C$315,$C272-1,$D$5:$D$315,$D272))-1)))</f>
        <v/>
      </c>
      <c r="X272" s="16">
        <f>IF(OR($A272="",N272="",$C272=""),"",IF(COUNTIFS($A$5:$A$315,$A272,$C$5:$C$315,$C272-1,$D$5:$D$315,$D272,N$5:N$315,"&lt;&gt;")=0,"",IF(OR(SUMIFS(N$5:N$315,$A$5:$A$315,$A272,$C$5:$C$315,$C272-1,$D$5:$D$315,$D272)=0,N272*SUMIFS(N$5:N$315,$A$5:$A$315,$A272,$C$5:$C$315,$C272-1,$D$5:$D$315,$D272)&lt;0),"n.s.",ABS(N272)/ABS(SUMIFS(N$5:N$315,$A$5:$A$315,$A272,$C$5:$C$315,$C272-1,$D$5:$D$315,$D272))-1)))</f>
        <v/>
      </c>
      <c r="Y272" s="16">
        <f>IF(OR($A272="",O272="",$C272=""),"",IF(COUNTIFS($A$5:$A$315,$A272,$C$5:$C$315,$C272-1,$D$5:$D$315,$D272,O$5:O$315,"&lt;&gt;")=0,"",IF(OR(SUMIFS(O$5:O$315,$A$5:$A$315,$A272,$C$5:$C$315,$C272-1,$D$5:$D$315,$D272)=0,O272*SUMIFS(O$5:O$315,$A$5:$A$315,$A272,$C$5:$C$315,$C272-1,$D$5:$D$315,$D272)&lt;0),"n.s.",ABS(O272)/ABS(SUMIFS(O$5:O$315,$A$5:$A$315,$A272,$C$5:$C$315,$C272-1,$D$5:$D$315,$D272))-1)))</f>
        <v/>
      </c>
    </row>
    <row r="273">
      <c r="A273" s="9" t="inlineStr">
        <is>
          <t>SIBC</t>
        </is>
      </c>
      <c r="B273" s="10">
        <f>IF(A273="","",IFERROR(VLOOKUP(A273,Titres!$A$2:$B$400,2,FALSE),"Ticker inconnu"))</f>
        <v/>
      </c>
      <c r="C273" s="11" t="n">
        <v>2026</v>
      </c>
      <c r="D273" s="11" t="inlineStr">
        <is>
          <t>S1</t>
        </is>
      </c>
      <c r="E273" s="9" t="inlineStr">
        <is>
          <t>Publié</t>
        </is>
      </c>
      <c r="F273" s="12" t="n">
        <v>46293</v>
      </c>
      <c r="G273" s="9" t="inlineStr">
        <is>
          <t>https://www.richbourse.com/common/actualite/afficher-fichier/28-09-2026-sib-ci-rapport-d-activites-1er-semestre-2026</t>
        </is>
      </c>
      <c r="H273" s="13" t="n">
        <v>56600</v>
      </c>
      <c r="I273" s="13" t="n"/>
      <c r="J273" s="13" t="n">
        <v>36600</v>
      </c>
      <c r="K273" s="13" t="n"/>
      <c r="L273" s="13" t="n"/>
      <c r="M273" s="13" t="n">
        <v>32100</v>
      </c>
      <c r="N273" s="13" t="n">
        <v>1169000</v>
      </c>
      <c r="O273" s="13" t="n">
        <v>1581000</v>
      </c>
      <c r="P273" s="14">
        <f>IF(A273="","",COUNT(H273:O273)/8)</f>
        <v/>
      </c>
      <c r="Q273" s="15">
        <f>IF(COUNT(H273:O273)=0,"",IF(LEN(IF(COUNT(H273,I273,J273)=3,IF(ABS(H273+I273-J273)&lt;=MAX(1,0.02*ABS(J273)),"","RBE &lt;&gt; PNB + frais "),"")&amp;IF(COUNT(J273,K273,L273)=3,IF(ABS(J273+K273-L273)&lt;=MAX(1,0.03*ABS(L273)),"","RAI &lt;&gt; RBE + coût du risque "),"")&amp;IF(COUNT(H273,M273)=2,IF(ABS(M273)&gt;ABS(H273),"RN &gt; PNB ",""),""))=0,"OK",IF(COUNT(H273,I273,J273)=3,IF(ABS(H273+I273-J273)&lt;=MAX(1,0.02*ABS(J273)),"","RBE &lt;&gt; PNB + frais "),"")&amp;IF(COUNT(J273,K273,L273)=3,IF(ABS(J273+K273-L273)&lt;=MAX(1,0.03*ABS(L273)),"","RAI &lt;&gt; RBE + coût du risque "),"")&amp;IF(COUNT(H273,M273)=2,IF(ABS(M273)&gt;ABS(H273),"RN &gt; PNB ",""),"")))</f>
        <v/>
      </c>
      <c r="R273" s="16">
        <f>IF(OR($A273="",H273="",$C273=""),"",IF(COUNTIFS($A$5:$A$315,$A273,$C$5:$C$315,$C273-1,$D$5:$D$315,$D273,H$5:H$315,"&lt;&gt;")=0,"",IF(OR(SUMIFS(H$5:H$315,$A$5:$A$315,$A273,$C$5:$C$315,$C273-1,$D$5:$D$315,$D273)=0,H273*SUMIFS(H$5:H$315,$A$5:$A$315,$A273,$C$5:$C$315,$C273-1,$D$5:$D$315,$D273)&lt;0),"n.s.",ABS(H273)/ABS(SUMIFS(H$5:H$315,$A$5:$A$315,$A273,$C$5:$C$315,$C273-1,$D$5:$D$315,$D273))-1)))</f>
        <v/>
      </c>
      <c r="S273" s="16">
        <f>IF(OR($A273="",I273="",$C273=""),"",IF(COUNTIFS($A$5:$A$315,$A273,$C$5:$C$315,$C273-1,$D$5:$D$315,$D273,I$5:I$315,"&lt;&gt;")=0,"",IF(OR(SUMIFS(I$5:I$315,$A$5:$A$315,$A273,$C$5:$C$315,$C273-1,$D$5:$D$315,$D273)=0,I273*SUMIFS(I$5:I$315,$A$5:$A$315,$A273,$C$5:$C$315,$C273-1,$D$5:$D$315,$D273)&lt;0),"n.s.",ABS(I273)/ABS(SUMIFS(I$5:I$315,$A$5:$A$315,$A273,$C$5:$C$315,$C273-1,$D$5:$D$315,$D273))-1)))</f>
        <v/>
      </c>
      <c r="T273" s="16">
        <f>IF(OR($A273="",J273="",$C273=""),"",IF(COUNTIFS($A$5:$A$315,$A273,$C$5:$C$315,$C273-1,$D$5:$D$315,$D273,J$5:J$315,"&lt;&gt;")=0,"",IF(OR(SUMIFS(J$5:J$315,$A$5:$A$315,$A273,$C$5:$C$315,$C273-1,$D$5:$D$315,$D273)=0,J273*SUMIFS(J$5:J$315,$A$5:$A$315,$A273,$C$5:$C$315,$C273-1,$D$5:$D$315,$D273)&lt;0),"n.s.",ABS(J273)/ABS(SUMIFS(J$5:J$315,$A$5:$A$315,$A273,$C$5:$C$315,$C273-1,$D$5:$D$315,$D273))-1)))</f>
        <v/>
      </c>
      <c r="U273" s="16">
        <f>IF(OR($A273="",K273="",$C273=""),"",IF(COUNTIFS($A$5:$A$315,$A273,$C$5:$C$315,$C273-1,$D$5:$D$315,$D273,K$5:K$315,"&lt;&gt;")=0,"",IF(OR(SUMIFS(K$5:K$315,$A$5:$A$315,$A273,$C$5:$C$315,$C273-1,$D$5:$D$315,$D273)=0,K273*SUMIFS(K$5:K$315,$A$5:$A$315,$A273,$C$5:$C$315,$C273-1,$D$5:$D$315,$D273)&lt;0),"n.s.",ABS(K273)/ABS(SUMIFS(K$5:K$315,$A$5:$A$315,$A273,$C$5:$C$315,$C273-1,$D$5:$D$315,$D273))-1)))</f>
        <v/>
      </c>
      <c r="V273" s="16">
        <f>IF(OR($A273="",L273="",$C273=""),"",IF(COUNTIFS($A$5:$A$315,$A273,$C$5:$C$315,$C273-1,$D$5:$D$315,$D273,L$5:L$315,"&lt;&gt;")=0,"",IF(OR(SUMIFS(L$5:L$315,$A$5:$A$315,$A273,$C$5:$C$315,$C273-1,$D$5:$D$315,$D273)=0,L273*SUMIFS(L$5:L$315,$A$5:$A$315,$A273,$C$5:$C$315,$C273-1,$D$5:$D$315,$D273)&lt;0),"n.s.",ABS(L273)/ABS(SUMIFS(L$5:L$315,$A$5:$A$315,$A273,$C$5:$C$315,$C273-1,$D$5:$D$315,$D273))-1)))</f>
        <v/>
      </c>
      <c r="W273" s="16">
        <f>IF(OR($A273="",M273="",$C273=""),"",IF(COUNTIFS($A$5:$A$315,$A273,$C$5:$C$315,$C273-1,$D$5:$D$315,$D273,M$5:M$315,"&lt;&gt;")=0,"",IF(OR(SUMIFS(M$5:M$315,$A$5:$A$315,$A273,$C$5:$C$315,$C273-1,$D$5:$D$315,$D273)=0,M273*SUMIFS(M$5:M$315,$A$5:$A$315,$A273,$C$5:$C$315,$C273-1,$D$5:$D$315,$D273)&lt;0),"n.s.",ABS(M273)/ABS(SUMIFS(M$5:M$315,$A$5:$A$315,$A273,$C$5:$C$315,$C273-1,$D$5:$D$315,$D273))-1)))</f>
        <v/>
      </c>
      <c r="X273" s="16">
        <f>IF(OR($A273="",N273="",$C273=""),"",IF(COUNTIFS($A$5:$A$315,$A273,$C$5:$C$315,$C273-1,$D$5:$D$315,$D273,N$5:N$315,"&lt;&gt;")=0,"",IF(OR(SUMIFS(N$5:N$315,$A$5:$A$315,$A273,$C$5:$C$315,$C273-1,$D$5:$D$315,$D273)=0,N273*SUMIFS(N$5:N$315,$A$5:$A$315,$A273,$C$5:$C$315,$C273-1,$D$5:$D$315,$D273)&lt;0),"n.s.",ABS(N273)/ABS(SUMIFS(N$5:N$315,$A$5:$A$315,$A273,$C$5:$C$315,$C273-1,$D$5:$D$315,$D273))-1)))</f>
        <v/>
      </c>
      <c r="Y273" s="16">
        <f>IF(OR($A273="",O273="",$C273=""),"",IF(COUNTIFS($A$5:$A$315,$A273,$C$5:$C$315,$C273-1,$D$5:$D$315,$D273,O$5:O$315,"&lt;&gt;")=0,"",IF(OR(SUMIFS(O$5:O$315,$A$5:$A$315,$A273,$C$5:$C$315,$C273-1,$D$5:$D$315,$D273)=0,O273*SUMIFS(O$5:O$315,$A$5:$A$315,$A273,$C$5:$C$315,$C273-1,$D$5:$D$315,$D273)&lt;0),"n.s.",ABS(O273)/ABS(SUMIFS(O$5:O$315,$A$5:$A$315,$A273,$C$5:$C$315,$C273-1,$D$5:$D$315,$D273))-1)))</f>
        <v/>
      </c>
    </row>
    <row r="274">
      <c r="A274" s="9" t="inlineStr">
        <is>
          <t>SIBC</t>
        </is>
      </c>
      <c r="B274" s="10">
        <f>IF(A274="","",IFERROR(VLOOKUP(A274,Titres!$A$2:$B$400,2,FALSE),"Ticker inconnu"))</f>
        <v/>
      </c>
      <c r="C274" s="11" t="n">
        <v>2026</v>
      </c>
      <c r="D274" s="11" t="inlineStr">
        <is>
          <t>T3</t>
        </is>
      </c>
      <c r="E274" s="9" t="n"/>
      <c r="F274" s="12" t="n"/>
      <c r="G274" s="9" t="n"/>
      <c r="H274" s="13" t="n"/>
      <c r="I274" s="13" t="n"/>
      <c r="J274" s="13" t="n"/>
      <c r="K274" s="13" t="n"/>
      <c r="L274" s="13" t="n"/>
      <c r="M274" s="13" t="n"/>
      <c r="N274" s="13" t="n"/>
      <c r="O274" s="13" t="n"/>
      <c r="P274" s="14">
        <f>IF(A274="","",COUNT(H274:O274)/8)</f>
        <v/>
      </c>
      <c r="Q274" s="15">
        <f>IF(COUNT(H274:O274)=0,"",IF(LEN(IF(COUNT(H274,I274,J274)=3,IF(ABS(H274+I274-J274)&lt;=MAX(1,0.02*ABS(J274)),"","RBE &lt;&gt; PNB + frais "),"")&amp;IF(COUNT(J274,K274,L274)=3,IF(ABS(J274+K274-L274)&lt;=MAX(1,0.03*ABS(L274)),"","RAI &lt;&gt; RBE + coût du risque "),"")&amp;IF(COUNT(H274,M274)=2,IF(ABS(M274)&gt;ABS(H274),"RN &gt; PNB ",""),""))=0,"OK",IF(COUNT(H274,I274,J274)=3,IF(ABS(H274+I274-J274)&lt;=MAX(1,0.02*ABS(J274)),"","RBE &lt;&gt; PNB + frais "),"")&amp;IF(COUNT(J274,K274,L274)=3,IF(ABS(J274+K274-L274)&lt;=MAX(1,0.03*ABS(L274)),"","RAI &lt;&gt; RBE + coût du risque "),"")&amp;IF(COUNT(H274,M274)=2,IF(ABS(M274)&gt;ABS(H274),"RN &gt; PNB ",""),"")))</f>
        <v/>
      </c>
      <c r="R274" s="16">
        <f>IF(OR($A274="",H274="",$C274=""),"",IF(COUNTIFS($A$5:$A$315,$A274,$C$5:$C$315,$C274-1,$D$5:$D$315,$D274,H$5:H$315,"&lt;&gt;")=0,"",IF(OR(SUMIFS(H$5:H$315,$A$5:$A$315,$A274,$C$5:$C$315,$C274-1,$D$5:$D$315,$D274)=0,H274*SUMIFS(H$5:H$315,$A$5:$A$315,$A274,$C$5:$C$315,$C274-1,$D$5:$D$315,$D274)&lt;0),"n.s.",ABS(H274)/ABS(SUMIFS(H$5:H$315,$A$5:$A$315,$A274,$C$5:$C$315,$C274-1,$D$5:$D$315,$D274))-1)))</f>
        <v/>
      </c>
      <c r="S274" s="16">
        <f>IF(OR($A274="",I274="",$C274=""),"",IF(COUNTIFS($A$5:$A$315,$A274,$C$5:$C$315,$C274-1,$D$5:$D$315,$D274,I$5:I$315,"&lt;&gt;")=0,"",IF(OR(SUMIFS(I$5:I$315,$A$5:$A$315,$A274,$C$5:$C$315,$C274-1,$D$5:$D$315,$D274)=0,I274*SUMIFS(I$5:I$315,$A$5:$A$315,$A274,$C$5:$C$315,$C274-1,$D$5:$D$315,$D274)&lt;0),"n.s.",ABS(I274)/ABS(SUMIFS(I$5:I$315,$A$5:$A$315,$A274,$C$5:$C$315,$C274-1,$D$5:$D$315,$D274))-1)))</f>
        <v/>
      </c>
      <c r="T274" s="16">
        <f>IF(OR($A274="",J274="",$C274=""),"",IF(COUNTIFS($A$5:$A$315,$A274,$C$5:$C$315,$C274-1,$D$5:$D$315,$D274,J$5:J$315,"&lt;&gt;")=0,"",IF(OR(SUMIFS(J$5:J$315,$A$5:$A$315,$A274,$C$5:$C$315,$C274-1,$D$5:$D$315,$D274)=0,J274*SUMIFS(J$5:J$315,$A$5:$A$315,$A274,$C$5:$C$315,$C274-1,$D$5:$D$315,$D274)&lt;0),"n.s.",ABS(J274)/ABS(SUMIFS(J$5:J$315,$A$5:$A$315,$A274,$C$5:$C$315,$C274-1,$D$5:$D$315,$D274))-1)))</f>
        <v/>
      </c>
      <c r="U274" s="16">
        <f>IF(OR($A274="",K274="",$C274=""),"",IF(COUNTIFS($A$5:$A$315,$A274,$C$5:$C$315,$C274-1,$D$5:$D$315,$D274,K$5:K$315,"&lt;&gt;")=0,"",IF(OR(SUMIFS(K$5:K$315,$A$5:$A$315,$A274,$C$5:$C$315,$C274-1,$D$5:$D$315,$D274)=0,K274*SUMIFS(K$5:K$315,$A$5:$A$315,$A274,$C$5:$C$315,$C274-1,$D$5:$D$315,$D274)&lt;0),"n.s.",ABS(K274)/ABS(SUMIFS(K$5:K$315,$A$5:$A$315,$A274,$C$5:$C$315,$C274-1,$D$5:$D$315,$D274))-1)))</f>
        <v/>
      </c>
      <c r="V274" s="16">
        <f>IF(OR($A274="",L274="",$C274=""),"",IF(COUNTIFS($A$5:$A$315,$A274,$C$5:$C$315,$C274-1,$D$5:$D$315,$D274,L$5:L$315,"&lt;&gt;")=0,"",IF(OR(SUMIFS(L$5:L$315,$A$5:$A$315,$A274,$C$5:$C$315,$C274-1,$D$5:$D$315,$D274)=0,L274*SUMIFS(L$5:L$315,$A$5:$A$315,$A274,$C$5:$C$315,$C274-1,$D$5:$D$315,$D274)&lt;0),"n.s.",ABS(L274)/ABS(SUMIFS(L$5:L$315,$A$5:$A$315,$A274,$C$5:$C$315,$C274-1,$D$5:$D$315,$D274))-1)))</f>
        <v/>
      </c>
      <c r="W274" s="16">
        <f>IF(OR($A274="",M274="",$C274=""),"",IF(COUNTIFS($A$5:$A$315,$A274,$C$5:$C$315,$C274-1,$D$5:$D$315,$D274,M$5:M$315,"&lt;&gt;")=0,"",IF(OR(SUMIFS(M$5:M$315,$A$5:$A$315,$A274,$C$5:$C$315,$C274-1,$D$5:$D$315,$D274)=0,M274*SUMIFS(M$5:M$315,$A$5:$A$315,$A274,$C$5:$C$315,$C274-1,$D$5:$D$315,$D274)&lt;0),"n.s.",ABS(M274)/ABS(SUMIFS(M$5:M$315,$A$5:$A$315,$A274,$C$5:$C$315,$C274-1,$D$5:$D$315,$D274))-1)))</f>
        <v/>
      </c>
      <c r="X274" s="16">
        <f>IF(OR($A274="",N274="",$C274=""),"",IF(COUNTIFS($A$5:$A$315,$A274,$C$5:$C$315,$C274-1,$D$5:$D$315,$D274,N$5:N$315,"&lt;&gt;")=0,"",IF(OR(SUMIFS(N$5:N$315,$A$5:$A$315,$A274,$C$5:$C$315,$C274-1,$D$5:$D$315,$D274)=0,N274*SUMIFS(N$5:N$315,$A$5:$A$315,$A274,$C$5:$C$315,$C274-1,$D$5:$D$315,$D274)&lt;0),"n.s.",ABS(N274)/ABS(SUMIFS(N$5:N$315,$A$5:$A$315,$A274,$C$5:$C$315,$C274-1,$D$5:$D$315,$D274))-1)))</f>
        <v/>
      </c>
      <c r="Y274" s="16">
        <f>IF(OR($A274="",O274="",$C274=""),"",IF(COUNTIFS($A$5:$A$315,$A274,$C$5:$C$315,$C274-1,$D$5:$D$315,$D274,O$5:O$315,"&lt;&gt;")=0,"",IF(OR(SUMIFS(O$5:O$315,$A$5:$A$315,$A274,$C$5:$C$315,$C274-1,$D$5:$D$315,$D274)=0,O274*SUMIFS(O$5:O$315,$A$5:$A$315,$A274,$C$5:$C$315,$C274-1,$D$5:$D$315,$D274)&lt;0),"n.s.",ABS(O274)/ABS(SUMIFS(O$5:O$315,$A$5:$A$315,$A274,$C$5:$C$315,$C274-1,$D$5:$D$315,$D274))-1)))</f>
        <v/>
      </c>
    </row>
    <row r="275">
      <c r="A275" s="9" t="n"/>
      <c r="B275" s="10">
        <f>IF(A275="","",IFERROR(VLOOKUP(A275,Titres!$A$2:$B$400,2,FALSE),"Ticker inconnu"))</f>
        <v/>
      </c>
      <c r="C275" s="11" t="n"/>
      <c r="D275" s="11" t="n"/>
      <c r="E275" s="9" t="n"/>
      <c r="F275" s="12" t="n"/>
      <c r="G275" s="9" t="n"/>
      <c r="H275" s="13" t="n"/>
      <c r="I275" s="13" t="n"/>
      <c r="J275" s="13" t="n"/>
      <c r="K275" s="13" t="n"/>
      <c r="L275" s="13" t="n"/>
      <c r="M275" s="13" t="n"/>
      <c r="N275" s="13" t="n"/>
      <c r="O275" s="13" t="n"/>
      <c r="P275" s="14">
        <f>IF(A275="","",COUNT(H275:O275)/8)</f>
        <v/>
      </c>
      <c r="Q275" s="15">
        <f>IF(COUNT(H275:O275)=0,"",IF(LEN(IF(COUNT(H275,I275,J275)=3,IF(ABS(H275+I275-J275)&lt;=MAX(1,0.02*ABS(J275)),"","RBE &lt;&gt; PNB + frais "),"")&amp;IF(COUNT(J275,K275,L275)=3,IF(ABS(J275+K275-L275)&lt;=MAX(1,0.03*ABS(L275)),"","RAI &lt;&gt; RBE + coût du risque "),"")&amp;IF(COUNT(H275,M275)=2,IF(ABS(M275)&gt;ABS(H275),"RN &gt; PNB ",""),""))=0,"OK",IF(COUNT(H275,I275,J275)=3,IF(ABS(H275+I275-J275)&lt;=MAX(1,0.02*ABS(J275)),"","RBE &lt;&gt; PNB + frais "),"")&amp;IF(COUNT(J275,K275,L275)=3,IF(ABS(J275+K275-L275)&lt;=MAX(1,0.03*ABS(L275)),"","RAI &lt;&gt; RBE + coût du risque "),"")&amp;IF(COUNT(H275,M275)=2,IF(ABS(M275)&gt;ABS(H275),"RN &gt; PNB ",""),"")))</f>
        <v/>
      </c>
      <c r="R275" s="16">
        <f>IF(OR($A275="",H275="",$C275=""),"",IF(COUNTIFS($A$5:$A$315,$A275,$C$5:$C$315,$C275-1,$D$5:$D$315,$D275,H$5:H$315,"&lt;&gt;")=0,"",IF(OR(SUMIFS(H$5:H$315,$A$5:$A$315,$A275,$C$5:$C$315,$C275-1,$D$5:$D$315,$D275)=0,H275*SUMIFS(H$5:H$315,$A$5:$A$315,$A275,$C$5:$C$315,$C275-1,$D$5:$D$315,$D275)&lt;0),"n.s.",ABS(H275)/ABS(SUMIFS(H$5:H$315,$A$5:$A$315,$A275,$C$5:$C$315,$C275-1,$D$5:$D$315,$D275))-1)))</f>
        <v/>
      </c>
      <c r="S275" s="16">
        <f>IF(OR($A275="",I275="",$C275=""),"",IF(COUNTIFS($A$5:$A$315,$A275,$C$5:$C$315,$C275-1,$D$5:$D$315,$D275,I$5:I$315,"&lt;&gt;")=0,"",IF(OR(SUMIFS(I$5:I$315,$A$5:$A$315,$A275,$C$5:$C$315,$C275-1,$D$5:$D$315,$D275)=0,I275*SUMIFS(I$5:I$315,$A$5:$A$315,$A275,$C$5:$C$315,$C275-1,$D$5:$D$315,$D275)&lt;0),"n.s.",ABS(I275)/ABS(SUMIFS(I$5:I$315,$A$5:$A$315,$A275,$C$5:$C$315,$C275-1,$D$5:$D$315,$D275))-1)))</f>
        <v/>
      </c>
      <c r="T275" s="16">
        <f>IF(OR($A275="",J275="",$C275=""),"",IF(COUNTIFS($A$5:$A$315,$A275,$C$5:$C$315,$C275-1,$D$5:$D$315,$D275,J$5:J$315,"&lt;&gt;")=0,"",IF(OR(SUMIFS(J$5:J$315,$A$5:$A$315,$A275,$C$5:$C$315,$C275-1,$D$5:$D$315,$D275)=0,J275*SUMIFS(J$5:J$315,$A$5:$A$315,$A275,$C$5:$C$315,$C275-1,$D$5:$D$315,$D275)&lt;0),"n.s.",ABS(J275)/ABS(SUMIFS(J$5:J$315,$A$5:$A$315,$A275,$C$5:$C$315,$C275-1,$D$5:$D$315,$D275))-1)))</f>
        <v/>
      </c>
      <c r="U275" s="16">
        <f>IF(OR($A275="",K275="",$C275=""),"",IF(COUNTIFS($A$5:$A$315,$A275,$C$5:$C$315,$C275-1,$D$5:$D$315,$D275,K$5:K$315,"&lt;&gt;")=0,"",IF(OR(SUMIFS(K$5:K$315,$A$5:$A$315,$A275,$C$5:$C$315,$C275-1,$D$5:$D$315,$D275)=0,K275*SUMIFS(K$5:K$315,$A$5:$A$315,$A275,$C$5:$C$315,$C275-1,$D$5:$D$315,$D275)&lt;0),"n.s.",ABS(K275)/ABS(SUMIFS(K$5:K$315,$A$5:$A$315,$A275,$C$5:$C$315,$C275-1,$D$5:$D$315,$D275))-1)))</f>
        <v/>
      </c>
      <c r="V275" s="16">
        <f>IF(OR($A275="",L275="",$C275=""),"",IF(COUNTIFS($A$5:$A$315,$A275,$C$5:$C$315,$C275-1,$D$5:$D$315,$D275,L$5:L$315,"&lt;&gt;")=0,"",IF(OR(SUMIFS(L$5:L$315,$A$5:$A$315,$A275,$C$5:$C$315,$C275-1,$D$5:$D$315,$D275)=0,L275*SUMIFS(L$5:L$315,$A$5:$A$315,$A275,$C$5:$C$315,$C275-1,$D$5:$D$315,$D275)&lt;0),"n.s.",ABS(L275)/ABS(SUMIFS(L$5:L$315,$A$5:$A$315,$A275,$C$5:$C$315,$C275-1,$D$5:$D$315,$D275))-1)))</f>
        <v/>
      </c>
      <c r="W275" s="16">
        <f>IF(OR($A275="",M275="",$C275=""),"",IF(COUNTIFS($A$5:$A$315,$A275,$C$5:$C$315,$C275-1,$D$5:$D$315,$D275,M$5:M$315,"&lt;&gt;")=0,"",IF(OR(SUMIFS(M$5:M$315,$A$5:$A$315,$A275,$C$5:$C$315,$C275-1,$D$5:$D$315,$D275)=0,M275*SUMIFS(M$5:M$315,$A$5:$A$315,$A275,$C$5:$C$315,$C275-1,$D$5:$D$315,$D275)&lt;0),"n.s.",ABS(M275)/ABS(SUMIFS(M$5:M$315,$A$5:$A$315,$A275,$C$5:$C$315,$C275-1,$D$5:$D$315,$D275))-1)))</f>
        <v/>
      </c>
      <c r="X275" s="16">
        <f>IF(OR($A275="",N275="",$C275=""),"",IF(COUNTIFS($A$5:$A$315,$A275,$C$5:$C$315,$C275-1,$D$5:$D$315,$D275,N$5:N$315,"&lt;&gt;")=0,"",IF(OR(SUMIFS(N$5:N$315,$A$5:$A$315,$A275,$C$5:$C$315,$C275-1,$D$5:$D$315,$D275)=0,N275*SUMIFS(N$5:N$315,$A$5:$A$315,$A275,$C$5:$C$315,$C275-1,$D$5:$D$315,$D275)&lt;0),"n.s.",ABS(N275)/ABS(SUMIFS(N$5:N$315,$A$5:$A$315,$A275,$C$5:$C$315,$C275-1,$D$5:$D$315,$D275))-1)))</f>
        <v/>
      </c>
      <c r="Y275" s="16">
        <f>IF(OR($A275="",O275="",$C275=""),"",IF(COUNTIFS($A$5:$A$315,$A275,$C$5:$C$315,$C275-1,$D$5:$D$315,$D275,O$5:O$315,"&lt;&gt;")=0,"",IF(OR(SUMIFS(O$5:O$315,$A$5:$A$315,$A275,$C$5:$C$315,$C275-1,$D$5:$D$315,$D275)=0,O275*SUMIFS(O$5:O$315,$A$5:$A$315,$A275,$C$5:$C$315,$C275-1,$D$5:$D$315,$D275)&lt;0),"n.s.",ABS(O275)/ABS(SUMIFS(O$5:O$315,$A$5:$A$315,$A275,$C$5:$C$315,$C275-1,$D$5:$D$315,$D275))-1)))</f>
        <v/>
      </c>
    </row>
    <row r="276">
      <c r="A276" s="9" t="n"/>
      <c r="B276" s="10">
        <f>IF(A276="","",IFERROR(VLOOKUP(A276,Titres!$A$2:$B$400,2,FALSE),"Ticker inconnu"))</f>
        <v/>
      </c>
      <c r="C276" s="11" t="n"/>
      <c r="D276" s="11" t="n"/>
      <c r="E276" s="9" t="n"/>
      <c r="F276" s="12" t="n"/>
      <c r="G276" s="9" t="n"/>
      <c r="H276" s="13" t="n"/>
      <c r="I276" s="13" t="n"/>
      <c r="J276" s="13" t="n"/>
      <c r="K276" s="13" t="n"/>
      <c r="L276" s="13" t="n"/>
      <c r="M276" s="13" t="n"/>
      <c r="N276" s="13" t="n"/>
      <c r="O276" s="13" t="n"/>
      <c r="P276" s="14">
        <f>IF(A276="","",COUNT(H276:O276)/8)</f>
        <v/>
      </c>
      <c r="Q276" s="15">
        <f>IF(COUNT(H276:O276)=0,"",IF(LEN(IF(COUNT(H276,I276,J276)=3,IF(ABS(H276+I276-J276)&lt;=MAX(1,0.02*ABS(J276)),"","RBE &lt;&gt; PNB + frais "),"")&amp;IF(COUNT(J276,K276,L276)=3,IF(ABS(J276+K276-L276)&lt;=MAX(1,0.03*ABS(L276)),"","RAI &lt;&gt; RBE + coût du risque "),"")&amp;IF(COUNT(H276,M276)=2,IF(ABS(M276)&gt;ABS(H276),"RN &gt; PNB ",""),""))=0,"OK",IF(COUNT(H276,I276,J276)=3,IF(ABS(H276+I276-J276)&lt;=MAX(1,0.02*ABS(J276)),"","RBE &lt;&gt; PNB + frais "),"")&amp;IF(COUNT(J276,K276,L276)=3,IF(ABS(J276+K276-L276)&lt;=MAX(1,0.03*ABS(L276)),"","RAI &lt;&gt; RBE + coût du risque "),"")&amp;IF(COUNT(H276,M276)=2,IF(ABS(M276)&gt;ABS(H276),"RN &gt; PNB ",""),"")))</f>
        <v/>
      </c>
      <c r="R276" s="16">
        <f>IF(OR($A276="",H276="",$C276=""),"",IF(COUNTIFS($A$5:$A$315,$A276,$C$5:$C$315,$C276-1,$D$5:$D$315,$D276,H$5:H$315,"&lt;&gt;")=0,"",IF(OR(SUMIFS(H$5:H$315,$A$5:$A$315,$A276,$C$5:$C$315,$C276-1,$D$5:$D$315,$D276)=0,H276*SUMIFS(H$5:H$315,$A$5:$A$315,$A276,$C$5:$C$315,$C276-1,$D$5:$D$315,$D276)&lt;0),"n.s.",ABS(H276)/ABS(SUMIFS(H$5:H$315,$A$5:$A$315,$A276,$C$5:$C$315,$C276-1,$D$5:$D$315,$D276))-1)))</f>
        <v/>
      </c>
      <c r="S276" s="16">
        <f>IF(OR($A276="",I276="",$C276=""),"",IF(COUNTIFS($A$5:$A$315,$A276,$C$5:$C$315,$C276-1,$D$5:$D$315,$D276,I$5:I$315,"&lt;&gt;")=0,"",IF(OR(SUMIFS(I$5:I$315,$A$5:$A$315,$A276,$C$5:$C$315,$C276-1,$D$5:$D$315,$D276)=0,I276*SUMIFS(I$5:I$315,$A$5:$A$315,$A276,$C$5:$C$315,$C276-1,$D$5:$D$315,$D276)&lt;0),"n.s.",ABS(I276)/ABS(SUMIFS(I$5:I$315,$A$5:$A$315,$A276,$C$5:$C$315,$C276-1,$D$5:$D$315,$D276))-1)))</f>
        <v/>
      </c>
      <c r="T276" s="16">
        <f>IF(OR($A276="",J276="",$C276=""),"",IF(COUNTIFS($A$5:$A$315,$A276,$C$5:$C$315,$C276-1,$D$5:$D$315,$D276,J$5:J$315,"&lt;&gt;")=0,"",IF(OR(SUMIFS(J$5:J$315,$A$5:$A$315,$A276,$C$5:$C$315,$C276-1,$D$5:$D$315,$D276)=0,J276*SUMIFS(J$5:J$315,$A$5:$A$315,$A276,$C$5:$C$315,$C276-1,$D$5:$D$315,$D276)&lt;0),"n.s.",ABS(J276)/ABS(SUMIFS(J$5:J$315,$A$5:$A$315,$A276,$C$5:$C$315,$C276-1,$D$5:$D$315,$D276))-1)))</f>
        <v/>
      </c>
      <c r="U276" s="16">
        <f>IF(OR($A276="",K276="",$C276=""),"",IF(COUNTIFS($A$5:$A$315,$A276,$C$5:$C$315,$C276-1,$D$5:$D$315,$D276,K$5:K$315,"&lt;&gt;")=0,"",IF(OR(SUMIFS(K$5:K$315,$A$5:$A$315,$A276,$C$5:$C$315,$C276-1,$D$5:$D$315,$D276)=0,K276*SUMIFS(K$5:K$315,$A$5:$A$315,$A276,$C$5:$C$315,$C276-1,$D$5:$D$315,$D276)&lt;0),"n.s.",ABS(K276)/ABS(SUMIFS(K$5:K$315,$A$5:$A$315,$A276,$C$5:$C$315,$C276-1,$D$5:$D$315,$D276))-1)))</f>
        <v/>
      </c>
      <c r="V276" s="16">
        <f>IF(OR($A276="",L276="",$C276=""),"",IF(COUNTIFS($A$5:$A$315,$A276,$C$5:$C$315,$C276-1,$D$5:$D$315,$D276,L$5:L$315,"&lt;&gt;")=0,"",IF(OR(SUMIFS(L$5:L$315,$A$5:$A$315,$A276,$C$5:$C$315,$C276-1,$D$5:$D$315,$D276)=0,L276*SUMIFS(L$5:L$315,$A$5:$A$315,$A276,$C$5:$C$315,$C276-1,$D$5:$D$315,$D276)&lt;0),"n.s.",ABS(L276)/ABS(SUMIFS(L$5:L$315,$A$5:$A$315,$A276,$C$5:$C$315,$C276-1,$D$5:$D$315,$D276))-1)))</f>
        <v/>
      </c>
      <c r="W276" s="16">
        <f>IF(OR($A276="",M276="",$C276=""),"",IF(COUNTIFS($A$5:$A$315,$A276,$C$5:$C$315,$C276-1,$D$5:$D$315,$D276,M$5:M$315,"&lt;&gt;")=0,"",IF(OR(SUMIFS(M$5:M$315,$A$5:$A$315,$A276,$C$5:$C$315,$C276-1,$D$5:$D$315,$D276)=0,M276*SUMIFS(M$5:M$315,$A$5:$A$315,$A276,$C$5:$C$315,$C276-1,$D$5:$D$315,$D276)&lt;0),"n.s.",ABS(M276)/ABS(SUMIFS(M$5:M$315,$A$5:$A$315,$A276,$C$5:$C$315,$C276-1,$D$5:$D$315,$D276))-1)))</f>
        <v/>
      </c>
      <c r="X276" s="16">
        <f>IF(OR($A276="",N276="",$C276=""),"",IF(COUNTIFS($A$5:$A$315,$A276,$C$5:$C$315,$C276-1,$D$5:$D$315,$D276,N$5:N$315,"&lt;&gt;")=0,"",IF(OR(SUMIFS(N$5:N$315,$A$5:$A$315,$A276,$C$5:$C$315,$C276-1,$D$5:$D$315,$D276)=0,N276*SUMIFS(N$5:N$315,$A$5:$A$315,$A276,$C$5:$C$315,$C276-1,$D$5:$D$315,$D276)&lt;0),"n.s.",ABS(N276)/ABS(SUMIFS(N$5:N$315,$A$5:$A$315,$A276,$C$5:$C$315,$C276-1,$D$5:$D$315,$D276))-1)))</f>
        <v/>
      </c>
      <c r="Y276" s="16">
        <f>IF(OR($A276="",O276="",$C276=""),"",IF(COUNTIFS($A$5:$A$315,$A276,$C$5:$C$315,$C276-1,$D$5:$D$315,$D276,O$5:O$315,"&lt;&gt;")=0,"",IF(OR(SUMIFS(O$5:O$315,$A$5:$A$315,$A276,$C$5:$C$315,$C276-1,$D$5:$D$315,$D276)=0,O276*SUMIFS(O$5:O$315,$A$5:$A$315,$A276,$C$5:$C$315,$C276-1,$D$5:$D$315,$D276)&lt;0),"n.s.",ABS(O276)/ABS(SUMIFS(O$5:O$315,$A$5:$A$315,$A276,$C$5:$C$315,$C276-1,$D$5:$D$315,$D276))-1)))</f>
        <v/>
      </c>
    </row>
    <row r="277">
      <c r="A277" s="9" t="n"/>
      <c r="B277" s="10">
        <f>IF(A277="","",IFERROR(VLOOKUP(A277,Titres!$A$2:$B$400,2,FALSE),"Ticker inconnu"))</f>
        <v/>
      </c>
      <c r="C277" s="11" t="n"/>
      <c r="D277" s="11" t="n"/>
      <c r="E277" s="9" t="n"/>
      <c r="F277" s="12" t="n"/>
      <c r="G277" s="9" t="n"/>
      <c r="H277" s="13" t="n"/>
      <c r="I277" s="13" t="n"/>
      <c r="J277" s="13" t="n"/>
      <c r="K277" s="13" t="n"/>
      <c r="L277" s="13" t="n"/>
      <c r="M277" s="13" t="n"/>
      <c r="N277" s="13" t="n"/>
      <c r="O277" s="13" t="n"/>
      <c r="P277" s="14">
        <f>IF(A277="","",COUNT(H277:O277)/8)</f>
        <v/>
      </c>
      <c r="Q277" s="15">
        <f>IF(COUNT(H277:O277)=0,"",IF(LEN(IF(COUNT(H277,I277,J277)=3,IF(ABS(H277+I277-J277)&lt;=MAX(1,0.02*ABS(J277)),"","RBE &lt;&gt; PNB + frais "),"")&amp;IF(COUNT(J277,K277,L277)=3,IF(ABS(J277+K277-L277)&lt;=MAX(1,0.03*ABS(L277)),"","RAI &lt;&gt; RBE + coût du risque "),"")&amp;IF(COUNT(H277,M277)=2,IF(ABS(M277)&gt;ABS(H277),"RN &gt; PNB ",""),""))=0,"OK",IF(COUNT(H277,I277,J277)=3,IF(ABS(H277+I277-J277)&lt;=MAX(1,0.02*ABS(J277)),"","RBE &lt;&gt; PNB + frais "),"")&amp;IF(COUNT(J277,K277,L277)=3,IF(ABS(J277+K277-L277)&lt;=MAX(1,0.03*ABS(L277)),"","RAI &lt;&gt; RBE + coût du risque "),"")&amp;IF(COUNT(H277,M277)=2,IF(ABS(M277)&gt;ABS(H277),"RN &gt; PNB ",""),"")))</f>
        <v/>
      </c>
      <c r="R277" s="16">
        <f>IF(OR($A277="",H277="",$C277=""),"",IF(COUNTIFS($A$5:$A$315,$A277,$C$5:$C$315,$C277-1,$D$5:$D$315,$D277,H$5:H$315,"&lt;&gt;")=0,"",IF(OR(SUMIFS(H$5:H$315,$A$5:$A$315,$A277,$C$5:$C$315,$C277-1,$D$5:$D$315,$D277)=0,H277*SUMIFS(H$5:H$315,$A$5:$A$315,$A277,$C$5:$C$315,$C277-1,$D$5:$D$315,$D277)&lt;0),"n.s.",ABS(H277)/ABS(SUMIFS(H$5:H$315,$A$5:$A$315,$A277,$C$5:$C$315,$C277-1,$D$5:$D$315,$D277))-1)))</f>
        <v/>
      </c>
      <c r="S277" s="16">
        <f>IF(OR($A277="",I277="",$C277=""),"",IF(COUNTIFS($A$5:$A$315,$A277,$C$5:$C$315,$C277-1,$D$5:$D$315,$D277,I$5:I$315,"&lt;&gt;")=0,"",IF(OR(SUMIFS(I$5:I$315,$A$5:$A$315,$A277,$C$5:$C$315,$C277-1,$D$5:$D$315,$D277)=0,I277*SUMIFS(I$5:I$315,$A$5:$A$315,$A277,$C$5:$C$315,$C277-1,$D$5:$D$315,$D277)&lt;0),"n.s.",ABS(I277)/ABS(SUMIFS(I$5:I$315,$A$5:$A$315,$A277,$C$5:$C$315,$C277-1,$D$5:$D$315,$D277))-1)))</f>
        <v/>
      </c>
      <c r="T277" s="16">
        <f>IF(OR($A277="",J277="",$C277=""),"",IF(COUNTIFS($A$5:$A$315,$A277,$C$5:$C$315,$C277-1,$D$5:$D$315,$D277,J$5:J$315,"&lt;&gt;")=0,"",IF(OR(SUMIFS(J$5:J$315,$A$5:$A$315,$A277,$C$5:$C$315,$C277-1,$D$5:$D$315,$D277)=0,J277*SUMIFS(J$5:J$315,$A$5:$A$315,$A277,$C$5:$C$315,$C277-1,$D$5:$D$315,$D277)&lt;0),"n.s.",ABS(J277)/ABS(SUMIFS(J$5:J$315,$A$5:$A$315,$A277,$C$5:$C$315,$C277-1,$D$5:$D$315,$D277))-1)))</f>
        <v/>
      </c>
      <c r="U277" s="16">
        <f>IF(OR($A277="",K277="",$C277=""),"",IF(COUNTIFS($A$5:$A$315,$A277,$C$5:$C$315,$C277-1,$D$5:$D$315,$D277,K$5:K$315,"&lt;&gt;")=0,"",IF(OR(SUMIFS(K$5:K$315,$A$5:$A$315,$A277,$C$5:$C$315,$C277-1,$D$5:$D$315,$D277)=0,K277*SUMIFS(K$5:K$315,$A$5:$A$315,$A277,$C$5:$C$315,$C277-1,$D$5:$D$315,$D277)&lt;0),"n.s.",ABS(K277)/ABS(SUMIFS(K$5:K$315,$A$5:$A$315,$A277,$C$5:$C$315,$C277-1,$D$5:$D$315,$D277))-1)))</f>
        <v/>
      </c>
      <c r="V277" s="16">
        <f>IF(OR($A277="",L277="",$C277=""),"",IF(COUNTIFS($A$5:$A$315,$A277,$C$5:$C$315,$C277-1,$D$5:$D$315,$D277,L$5:L$315,"&lt;&gt;")=0,"",IF(OR(SUMIFS(L$5:L$315,$A$5:$A$315,$A277,$C$5:$C$315,$C277-1,$D$5:$D$315,$D277)=0,L277*SUMIFS(L$5:L$315,$A$5:$A$315,$A277,$C$5:$C$315,$C277-1,$D$5:$D$315,$D277)&lt;0),"n.s.",ABS(L277)/ABS(SUMIFS(L$5:L$315,$A$5:$A$315,$A277,$C$5:$C$315,$C277-1,$D$5:$D$315,$D277))-1)))</f>
        <v/>
      </c>
      <c r="W277" s="16">
        <f>IF(OR($A277="",M277="",$C277=""),"",IF(COUNTIFS($A$5:$A$315,$A277,$C$5:$C$315,$C277-1,$D$5:$D$315,$D277,M$5:M$315,"&lt;&gt;")=0,"",IF(OR(SUMIFS(M$5:M$315,$A$5:$A$315,$A277,$C$5:$C$315,$C277-1,$D$5:$D$315,$D277)=0,M277*SUMIFS(M$5:M$315,$A$5:$A$315,$A277,$C$5:$C$315,$C277-1,$D$5:$D$315,$D277)&lt;0),"n.s.",ABS(M277)/ABS(SUMIFS(M$5:M$315,$A$5:$A$315,$A277,$C$5:$C$315,$C277-1,$D$5:$D$315,$D277))-1)))</f>
        <v/>
      </c>
      <c r="X277" s="16">
        <f>IF(OR($A277="",N277="",$C277=""),"",IF(COUNTIFS($A$5:$A$315,$A277,$C$5:$C$315,$C277-1,$D$5:$D$315,$D277,N$5:N$315,"&lt;&gt;")=0,"",IF(OR(SUMIFS(N$5:N$315,$A$5:$A$315,$A277,$C$5:$C$315,$C277-1,$D$5:$D$315,$D277)=0,N277*SUMIFS(N$5:N$315,$A$5:$A$315,$A277,$C$5:$C$315,$C277-1,$D$5:$D$315,$D277)&lt;0),"n.s.",ABS(N277)/ABS(SUMIFS(N$5:N$315,$A$5:$A$315,$A277,$C$5:$C$315,$C277-1,$D$5:$D$315,$D277))-1)))</f>
        <v/>
      </c>
      <c r="Y277" s="16">
        <f>IF(OR($A277="",O277="",$C277=""),"",IF(COUNTIFS($A$5:$A$315,$A277,$C$5:$C$315,$C277-1,$D$5:$D$315,$D277,O$5:O$315,"&lt;&gt;")=0,"",IF(OR(SUMIFS(O$5:O$315,$A$5:$A$315,$A277,$C$5:$C$315,$C277-1,$D$5:$D$315,$D277)=0,O277*SUMIFS(O$5:O$315,$A$5:$A$315,$A277,$C$5:$C$315,$C277-1,$D$5:$D$315,$D277)&lt;0),"n.s.",ABS(O277)/ABS(SUMIFS(O$5:O$315,$A$5:$A$315,$A277,$C$5:$C$315,$C277-1,$D$5:$D$315,$D277))-1)))</f>
        <v/>
      </c>
    </row>
    <row r="278">
      <c r="A278" s="9" t="n"/>
      <c r="B278" s="10">
        <f>IF(A278="","",IFERROR(VLOOKUP(A278,Titres!$A$2:$B$400,2,FALSE),"Ticker inconnu"))</f>
        <v/>
      </c>
      <c r="C278" s="11" t="n"/>
      <c r="D278" s="11" t="n"/>
      <c r="E278" s="9" t="n"/>
      <c r="F278" s="12" t="n"/>
      <c r="G278" s="9" t="n"/>
      <c r="H278" s="13" t="n"/>
      <c r="I278" s="13" t="n"/>
      <c r="J278" s="13" t="n"/>
      <c r="K278" s="13" t="n"/>
      <c r="L278" s="13" t="n"/>
      <c r="M278" s="13" t="n"/>
      <c r="N278" s="13" t="n"/>
      <c r="O278" s="13" t="n"/>
      <c r="P278" s="14">
        <f>IF(A278="","",COUNT(H278:O278)/8)</f>
        <v/>
      </c>
      <c r="Q278" s="15">
        <f>IF(COUNT(H278:O278)=0,"",IF(LEN(IF(COUNT(H278,I278,J278)=3,IF(ABS(H278+I278-J278)&lt;=MAX(1,0.02*ABS(J278)),"","RBE &lt;&gt; PNB + frais "),"")&amp;IF(COUNT(J278,K278,L278)=3,IF(ABS(J278+K278-L278)&lt;=MAX(1,0.03*ABS(L278)),"","RAI &lt;&gt; RBE + coût du risque "),"")&amp;IF(COUNT(H278,M278)=2,IF(ABS(M278)&gt;ABS(H278),"RN &gt; PNB ",""),""))=0,"OK",IF(COUNT(H278,I278,J278)=3,IF(ABS(H278+I278-J278)&lt;=MAX(1,0.02*ABS(J278)),"","RBE &lt;&gt; PNB + frais "),"")&amp;IF(COUNT(J278,K278,L278)=3,IF(ABS(J278+K278-L278)&lt;=MAX(1,0.03*ABS(L278)),"","RAI &lt;&gt; RBE + coût du risque "),"")&amp;IF(COUNT(H278,M278)=2,IF(ABS(M278)&gt;ABS(H278),"RN &gt; PNB ",""),"")))</f>
        <v/>
      </c>
      <c r="R278" s="16">
        <f>IF(OR($A278="",H278="",$C278=""),"",IF(COUNTIFS($A$5:$A$315,$A278,$C$5:$C$315,$C278-1,$D$5:$D$315,$D278,H$5:H$315,"&lt;&gt;")=0,"",IF(OR(SUMIFS(H$5:H$315,$A$5:$A$315,$A278,$C$5:$C$315,$C278-1,$D$5:$D$315,$D278)=0,H278*SUMIFS(H$5:H$315,$A$5:$A$315,$A278,$C$5:$C$315,$C278-1,$D$5:$D$315,$D278)&lt;0),"n.s.",ABS(H278)/ABS(SUMIFS(H$5:H$315,$A$5:$A$315,$A278,$C$5:$C$315,$C278-1,$D$5:$D$315,$D278))-1)))</f>
        <v/>
      </c>
      <c r="S278" s="16">
        <f>IF(OR($A278="",I278="",$C278=""),"",IF(COUNTIFS($A$5:$A$315,$A278,$C$5:$C$315,$C278-1,$D$5:$D$315,$D278,I$5:I$315,"&lt;&gt;")=0,"",IF(OR(SUMIFS(I$5:I$315,$A$5:$A$315,$A278,$C$5:$C$315,$C278-1,$D$5:$D$315,$D278)=0,I278*SUMIFS(I$5:I$315,$A$5:$A$315,$A278,$C$5:$C$315,$C278-1,$D$5:$D$315,$D278)&lt;0),"n.s.",ABS(I278)/ABS(SUMIFS(I$5:I$315,$A$5:$A$315,$A278,$C$5:$C$315,$C278-1,$D$5:$D$315,$D278))-1)))</f>
        <v/>
      </c>
      <c r="T278" s="16">
        <f>IF(OR($A278="",J278="",$C278=""),"",IF(COUNTIFS($A$5:$A$315,$A278,$C$5:$C$315,$C278-1,$D$5:$D$315,$D278,J$5:J$315,"&lt;&gt;")=0,"",IF(OR(SUMIFS(J$5:J$315,$A$5:$A$315,$A278,$C$5:$C$315,$C278-1,$D$5:$D$315,$D278)=0,J278*SUMIFS(J$5:J$315,$A$5:$A$315,$A278,$C$5:$C$315,$C278-1,$D$5:$D$315,$D278)&lt;0),"n.s.",ABS(J278)/ABS(SUMIFS(J$5:J$315,$A$5:$A$315,$A278,$C$5:$C$315,$C278-1,$D$5:$D$315,$D278))-1)))</f>
        <v/>
      </c>
      <c r="U278" s="16">
        <f>IF(OR($A278="",K278="",$C278=""),"",IF(COUNTIFS($A$5:$A$315,$A278,$C$5:$C$315,$C278-1,$D$5:$D$315,$D278,K$5:K$315,"&lt;&gt;")=0,"",IF(OR(SUMIFS(K$5:K$315,$A$5:$A$315,$A278,$C$5:$C$315,$C278-1,$D$5:$D$315,$D278)=0,K278*SUMIFS(K$5:K$315,$A$5:$A$315,$A278,$C$5:$C$315,$C278-1,$D$5:$D$315,$D278)&lt;0),"n.s.",ABS(K278)/ABS(SUMIFS(K$5:K$315,$A$5:$A$315,$A278,$C$5:$C$315,$C278-1,$D$5:$D$315,$D278))-1)))</f>
        <v/>
      </c>
      <c r="V278" s="16">
        <f>IF(OR($A278="",L278="",$C278=""),"",IF(COUNTIFS($A$5:$A$315,$A278,$C$5:$C$315,$C278-1,$D$5:$D$315,$D278,L$5:L$315,"&lt;&gt;")=0,"",IF(OR(SUMIFS(L$5:L$315,$A$5:$A$315,$A278,$C$5:$C$315,$C278-1,$D$5:$D$315,$D278)=0,L278*SUMIFS(L$5:L$315,$A$5:$A$315,$A278,$C$5:$C$315,$C278-1,$D$5:$D$315,$D278)&lt;0),"n.s.",ABS(L278)/ABS(SUMIFS(L$5:L$315,$A$5:$A$315,$A278,$C$5:$C$315,$C278-1,$D$5:$D$315,$D278))-1)))</f>
        <v/>
      </c>
      <c r="W278" s="16">
        <f>IF(OR($A278="",M278="",$C278=""),"",IF(COUNTIFS($A$5:$A$315,$A278,$C$5:$C$315,$C278-1,$D$5:$D$315,$D278,M$5:M$315,"&lt;&gt;")=0,"",IF(OR(SUMIFS(M$5:M$315,$A$5:$A$315,$A278,$C$5:$C$315,$C278-1,$D$5:$D$315,$D278)=0,M278*SUMIFS(M$5:M$315,$A$5:$A$315,$A278,$C$5:$C$315,$C278-1,$D$5:$D$315,$D278)&lt;0),"n.s.",ABS(M278)/ABS(SUMIFS(M$5:M$315,$A$5:$A$315,$A278,$C$5:$C$315,$C278-1,$D$5:$D$315,$D278))-1)))</f>
        <v/>
      </c>
      <c r="X278" s="16">
        <f>IF(OR($A278="",N278="",$C278=""),"",IF(COUNTIFS($A$5:$A$315,$A278,$C$5:$C$315,$C278-1,$D$5:$D$315,$D278,N$5:N$315,"&lt;&gt;")=0,"",IF(OR(SUMIFS(N$5:N$315,$A$5:$A$315,$A278,$C$5:$C$315,$C278-1,$D$5:$D$315,$D278)=0,N278*SUMIFS(N$5:N$315,$A$5:$A$315,$A278,$C$5:$C$315,$C278-1,$D$5:$D$315,$D278)&lt;0),"n.s.",ABS(N278)/ABS(SUMIFS(N$5:N$315,$A$5:$A$315,$A278,$C$5:$C$315,$C278-1,$D$5:$D$315,$D278))-1)))</f>
        <v/>
      </c>
      <c r="Y278" s="16">
        <f>IF(OR($A278="",O278="",$C278=""),"",IF(COUNTIFS($A$5:$A$315,$A278,$C$5:$C$315,$C278-1,$D$5:$D$315,$D278,O$5:O$315,"&lt;&gt;")=0,"",IF(OR(SUMIFS(O$5:O$315,$A$5:$A$315,$A278,$C$5:$C$315,$C278-1,$D$5:$D$315,$D278)=0,O278*SUMIFS(O$5:O$315,$A$5:$A$315,$A278,$C$5:$C$315,$C278-1,$D$5:$D$315,$D278)&lt;0),"n.s.",ABS(O278)/ABS(SUMIFS(O$5:O$315,$A$5:$A$315,$A278,$C$5:$C$315,$C278-1,$D$5:$D$315,$D278))-1)))</f>
        <v/>
      </c>
    </row>
    <row r="279">
      <c r="A279" s="9" t="n"/>
      <c r="B279" s="10">
        <f>IF(A279="","",IFERROR(VLOOKUP(A279,Titres!$A$2:$B$400,2,FALSE),"Ticker inconnu"))</f>
        <v/>
      </c>
      <c r="C279" s="11" t="n"/>
      <c r="D279" s="11" t="n"/>
      <c r="E279" s="9" t="n"/>
      <c r="F279" s="12" t="n"/>
      <c r="G279" s="9" t="n"/>
      <c r="H279" s="13" t="n"/>
      <c r="I279" s="13" t="n"/>
      <c r="J279" s="13" t="n"/>
      <c r="K279" s="13" t="n"/>
      <c r="L279" s="13" t="n"/>
      <c r="M279" s="13" t="n"/>
      <c r="N279" s="13" t="n"/>
      <c r="O279" s="13" t="n"/>
      <c r="P279" s="14">
        <f>IF(A279="","",COUNT(H279:O279)/8)</f>
        <v/>
      </c>
      <c r="Q279" s="15">
        <f>IF(COUNT(H279:O279)=0,"",IF(LEN(IF(COUNT(H279,I279,J279)=3,IF(ABS(H279+I279-J279)&lt;=MAX(1,0.02*ABS(J279)),"","RBE &lt;&gt; PNB + frais "),"")&amp;IF(COUNT(J279,K279,L279)=3,IF(ABS(J279+K279-L279)&lt;=MAX(1,0.03*ABS(L279)),"","RAI &lt;&gt; RBE + coût du risque "),"")&amp;IF(COUNT(H279,M279)=2,IF(ABS(M279)&gt;ABS(H279),"RN &gt; PNB ",""),""))=0,"OK",IF(COUNT(H279,I279,J279)=3,IF(ABS(H279+I279-J279)&lt;=MAX(1,0.02*ABS(J279)),"","RBE &lt;&gt; PNB + frais "),"")&amp;IF(COUNT(J279,K279,L279)=3,IF(ABS(J279+K279-L279)&lt;=MAX(1,0.03*ABS(L279)),"","RAI &lt;&gt; RBE + coût du risque "),"")&amp;IF(COUNT(H279,M279)=2,IF(ABS(M279)&gt;ABS(H279),"RN &gt; PNB ",""),"")))</f>
        <v/>
      </c>
      <c r="R279" s="16">
        <f>IF(OR($A279="",H279="",$C279=""),"",IF(COUNTIFS($A$5:$A$315,$A279,$C$5:$C$315,$C279-1,$D$5:$D$315,$D279,H$5:H$315,"&lt;&gt;")=0,"",IF(OR(SUMIFS(H$5:H$315,$A$5:$A$315,$A279,$C$5:$C$315,$C279-1,$D$5:$D$315,$D279)=0,H279*SUMIFS(H$5:H$315,$A$5:$A$315,$A279,$C$5:$C$315,$C279-1,$D$5:$D$315,$D279)&lt;0),"n.s.",ABS(H279)/ABS(SUMIFS(H$5:H$315,$A$5:$A$315,$A279,$C$5:$C$315,$C279-1,$D$5:$D$315,$D279))-1)))</f>
        <v/>
      </c>
      <c r="S279" s="16">
        <f>IF(OR($A279="",I279="",$C279=""),"",IF(COUNTIFS($A$5:$A$315,$A279,$C$5:$C$315,$C279-1,$D$5:$D$315,$D279,I$5:I$315,"&lt;&gt;")=0,"",IF(OR(SUMIFS(I$5:I$315,$A$5:$A$315,$A279,$C$5:$C$315,$C279-1,$D$5:$D$315,$D279)=0,I279*SUMIFS(I$5:I$315,$A$5:$A$315,$A279,$C$5:$C$315,$C279-1,$D$5:$D$315,$D279)&lt;0),"n.s.",ABS(I279)/ABS(SUMIFS(I$5:I$315,$A$5:$A$315,$A279,$C$5:$C$315,$C279-1,$D$5:$D$315,$D279))-1)))</f>
        <v/>
      </c>
      <c r="T279" s="16">
        <f>IF(OR($A279="",J279="",$C279=""),"",IF(COUNTIFS($A$5:$A$315,$A279,$C$5:$C$315,$C279-1,$D$5:$D$315,$D279,J$5:J$315,"&lt;&gt;")=0,"",IF(OR(SUMIFS(J$5:J$315,$A$5:$A$315,$A279,$C$5:$C$315,$C279-1,$D$5:$D$315,$D279)=0,J279*SUMIFS(J$5:J$315,$A$5:$A$315,$A279,$C$5:$C$315,$C279-1,$D$5:$D$315,$D279)&lt;0),"n.s.",ABS(J279)/ABS(SUMIFS(J$5:J$315,$A$5:$A$315,$A279,$C$5:$C$315,$C279-1,$D$5:$D$315,$D279))-1)))</f>
        <v/>
      </c>
      <c r="U279" s="16">
        <f>IF(OR($A279="",K279="",$C279=""),"",IF(COUNTIFS($A$5:$A$315,$A279,$C$5:$C$315,$C279-1,$D$5:$D$315,$D279,K$5:K$315,"&lt;&gt;")=0,"",IF(OR(SUMIFS(K$5:K$315,$A$5:$A$315,$A279,$C$5:$C$315,$C279-1,$D$5:$D$315,$D279)=0,K279*SUMIFS(K$5:K$315,$A$5:$A$315,$A279,$C$5:$C$315,$C279-1,$D$5:$D$315,$D279)&lt;0),"n.s.",ABS(K279)/ABS(SUMIFS(K$5:K$315,$A$5:$A$315,$A279,$C$5:$C$315,$C279-1,$D$5:$D$315,$D279))-1)))</f>
        <v/>
      </c>
      <c r="V279" s="16">
        <f>IF(OR($A279="",L279="",$C279=""),"",IF(COUNTIFS($A$5:$A$315,$A279,$C$5:$C$315,$C279-1,$D$5:$D$315,$D279,L$5:L$315,"&lt;&gt;")=0,"",IF(OR(SUMIFS(L$5:L$315,$A$5:$A$315,$A279,$C$5:$C$315,$C279-1,$D$5:$D$315,$D279)=0,L279*SUMIFS(L$5:L$315,$A$5:$A$315,$A279,$C$5:$C$315,$C279-1,$D$5:$D$315,$D279)&lt;0),"n.s.",ABS(L279)/ABS(SUMIFS(L$5:L$315,$A$5:$A$315,$A279,$C$5:$C$315,$C279-1,$D$5:$D$315,$D279))-1)))</f>
        <v/>
      </c>
      <c r="W279" s="16">
        <f>IF(OR($A279="",M279="",$C279=""),"",IF(COUNTIFS($A$5:$A$315,$A279,$C$5:$C$315,$C279-1,$D$5:$D$315,$D279,M$5:M$315,"&lt;&gt;")=0,"",IF(OR(SUMIFS(M$5:M$315,$A$5:$A$315,$A279,$C$5:$C$315,$C279-1,$D$5:$D$315,$D279)=0,M279*SUMIFS(M$5:M$315,$A$5:$A$315,$A279,$C$5:$C$315,$C279-1,$D$5:$D$315,$D279)&lt;0),"n.s.",ABS(M279)/ABS(SUMIFS(M$5:M$315,$A$5:$A$315,$A279,$C$5:$C$315,$C279-1,$D$5:$D$315,$D279))-1)))</f>
        <v/>
      </c>
      <c r="X279" s="16">
        <f>IF(OR($A279="",N279="",$C279=""),"",IF(COUNTIFS($A$5:$A$315,$A279,$C$5:$C$315,$C279-1,$D$5:$D$315,$D279,N$5:N$315,"&lt;&gt;")=0,"",IF(OR(SUMIFS(N$5:N$315,$A$5:$A$315,$A279,$C$5:$C$315,$C279-1,$D$5:$D$315,$D279)=0,N279*SUMIFS(N$5:N$315,$A$5:$A$315,$A279,$C$5:$C$315,$C279-1,$D$5:$D$315,$D279)&lt;0),"n.s.",ABS(N279)/ABS(SUMIFS(N$5:N$315,$A$5:$A$315,$A279,$C$5:$C$315,$C279-1,$D$5:$D$315,$D279))-1)))</f>
        <v/>
      </c>
      <c r="Y279" s="16">
        <f>IF(OR($A279="",O279="",$C279=""),"",IF(COUNTIFS($A$5:$A$315,$A279,$C$5:$C$315,$C279-1,$D$5:$D$315,$D279,O$5:O$315,"&lt;&gt;")=0,"",IF(OR(SUMIFS(O$5:O$315,$A$5:$A$315,$A279,$C$5:$C$315,$C279-1,$D$5:$D$315,$D279)=0,O279*SUMIFS(O$5:O$315,$A$5:$A$315,$A279,$C$5:$C$315,$C279-1,$D$5:$D$315,$D279)&lt;0),"n.s.",ABS(O279)/ABS(SUMIFS(O$5:O$315,$A$5:$A$315,$A279,$C$5:$C$315,$C279-1,$D$5:$D$315,$D279))-1)))</f>
        <v/>
      </c>
    </row>
    <row r="280">
      <c r="A280" s="9" t="n"/>
      <c r="B280" s="10">
        <f>IF(A280="","",IFERROR(VLOOKUP(A280,Titres!$A$2:$B$400,2,FALSE),"Ticker inconnu"))</f>
        <v/>
      </c>
      <c r="C280" s="11" t="n"/>
      <c r="D280" s="11" t="n"/>
      <c r="E280" s="9" t="n"/>
      <c r="F280" s="12" t="n"/>
      <c r="G280" s="9" t="n"/>
      <c r="H280" s="13" t="n"/>
      <c r="I280" s="13" t="n"/>
      <c r="J280" s="13" t="n"/>
      <c r="K280" s="13" t="n"/>
      <c r="L280" s="13" t="n"/>
      <c r="M280" s="13" t="n"/>
      <c r="N280" s="13" t="n"/>
      <c r="O280" s="13" t="n"/>
      <c r="P280" s="14">
        <f>IF(A280="","",COUNT(H280:O280)/8)</f>
        <v/>
      </c>
      <c r="Q280" s="15">
        <f>IF(COUNT(H280:O280)=0,"",IF(LEN(IF(COUNT(H280,I280,J280)=3,IF(ABS(H280+I280-J280)&lt;=MAX(1,0.02*ABS(J280)),"","RBE &lt;&gt; PNB + frais "),"")&amp;IF(COUNT(J280,K280,L280)=3,IF(ABS(J280+K280-L280)&lt;=MAX(1,0.03*ABS(L280)),"","RAI &lt;&gt; RBE + coût du risque "),"")&amp;IF(COUNT(H280,M280)=2,IF(ABS(M280)&gt;ABS(H280),"RN &gt; PNB ",""),""))=0,"OK",IF(COUNT(H280,I280,J280)=3,IF(ABS(H280+I280-J280)&lt;=MAX(1,0.02*ABS(J280)),"","RBE &lt;&gt; PNB + frais "),"")&amp;IF(COUNT(J280,K280,L280)=3,IF(ABS(J280+K280-L280)&lt;=MAX(1,0.03*ABS(L280)),"","RAI &lt;&gt; RBE + coût du risque "),"")&amp;IF(COUNT(H280,M280)=2,IF(ABS(M280)&gt;ABS(H280),"RN &gt; PNB ",""),"")))</f>
        <v/>
      </c>
      <c r="R280" s="16">
        <f>IF(OR($A280="",H280="",$C280=""),"",IF(COUNTIFS($A$5:$A$315,$A280,$C$5:$C$315,$C280-1,$D$5:$D$315,$D280,H$5:H$315,"&lt;&gt;")=0,"",IF(OR(SUMIFS(H$5:H$315,$A$5:$A$315,$A280,$C$5:$C$315,$C280-1,$D$5:$D$315,$D280)=0,H280*SUMIFS(H$5:H$315,$A$5:$A$315,$A280,$C$5:$C$315,$C280-1,$D$5:$D$315,$D280)&lt;0),"n.s.",ABS(H280)/ABS(SUMIFS(H$5:H$315,$A$5:$A$315,$A280,$C$5:$C$315,$C280-1,$D$5:$D$315,$D280))-1)))</f>
        <v/>
      </c>
      <c r="S280" s="16">
        <f>IF(OR($A280="",I280="",$C280=""),"",IF(COUNTIFS($A$5:$A$315,$A280,$C$5:$C$315,$C280-1,$D$5:$D$315,$D280,I$5:I$315,"&lt;&gt;")=0,"",IF(OR(SUMIFS(I$5:I$315,$A$5:$A$315,$A280,$C$5:$C$315,$C280-1,$D$5:$D$315,$D280)=0,I280*SUMIFS(I$5:I$315,$A$5:$A$315,$A280,$C$5:$C$315,$C280-1,$D$5:$D$315,$D280)&lt;0),"n.s.",ABS(I280)/ABS(SUMIFS(I$5:I$315,$A$5:$A$315,$A280,$C$5:$C$315,$C280-1,$D$5:$D$315,$D280))-1)))</f>
        <v/>
      </c>
      <c r="T280" s="16">
        <f>IF(OR($A280="",J280="",$C280=""),"",IF(COUNTIFS($A$5:$A$315,$A280,$C$5:$C$315,$C280-1,$D$5:$D$315,$D280,J$5:J$315,"&lt;&gt;")=0,"",IF(OR(SUMIFS(J$5:J$315,$A$5:$A$315,$A280,$C$5:$C$315,$C280-1,$D$5:$D$315,$D280)=0,J280*SUMIFS(J$5:J$315,$A$5:$A$315,$A280,$C$5:$C$315,$C280-1,$D$5:$D$315,$D280)&lt;0),"n.s.",ABS(J280)/ABS(SUMIFS(J$5:J$315,$A$5:$A$315,$A280,$C$5:$C$315,$C280-1,$D$5:$D$315,$D280))-1)))</f>
        <v/>
      </c>
      <c r="U280" s="16">
        <f>IF(OR($A280="",K280="",$C280=""),"",IF(COUNTIFS($A$5:$A$315,$A280,$C$5:$C$315,$C280-1,$D$5:$D$315,$D280,K$5:K$315,"&lt;&gt;")=0,"",IF(OR(SUMIFS(K$5:K$315,$A$5:$A$315,$A280,$C$5:$C$315,$C280-1,$D$5:$D$315,$D280)=0,K280*SUMIFS(K$5:K$315,$A$5:$A$315,$A280,$C$5:$C$315,$C280-1,$D$5:$D$315,$D280)&lt;0),"n.s.",ABS(K280)/ABS(SUMIFS(K$5:K$315,$A$5:$A$315,$A280,$C$5:$C$315,$C280-1,$D$5:$D$315,$D280))-1)))</f>
        <v/>
      </c>
      <c r="V280" s="16">
        <f>IF(OR($A280="",L280="",$C280=""),"",IF(COUNTIFS($A$5:$A$315,$A280,$C$5:$C$315,$C280-1,$D$5:$D$315,$D280,L$5:L$315,"&lt;&gt;")=0,"",IF(OR(SUMIFS(L$5:L$315,$A$5:$A$315,$A280,$C$5:$C$315,$C280-1,$D$5:$D$315,$D280)=0,L280*SUMIFS(L$5:L$315,$A$5:$A$315,$A280,$C$5:$C$315,$C280-1,$D$5:$D$315,$D280)&lt;0),"n.s.",ABS(L280)/ABS(SUMIFS(L$5:L$315,$A$5:$A$315,$A280,$C$5:$C$315,$C280-1,$D$5:$D$315,$D280))-1)))</f>
        <v/>
      </c>
      <c r="W280" s="16">
        <f>IF(OR($A280="",M280="",$C280=""),"",IF(COUNTIFS($A$5:$A$315,$A280,$C$5:$C$315,$C280-1,$D$5:$D$315,$D280,M$5:M$315,"&lt;&gt;")=0,"",IF(OR(SUMIFS(M$5:M$315,$A$5:$A$315,$A280,$C$5:$C$315,$C280-1,$D$5:$D$315,$D280)=0,M280*SUMIFS(M$5:M$315,$A$5:$A$315,$A280,$C$5:$C$315,$C280-1,$D$5:$D$315,$D280)&lt;0),"n.s.",ABS(M280)/ABS(SUMIFS(M$5:M$315,$A$5:$A$315,$A280,$C$5:$C$315,$C280-1,$D$5:$D$315,$D280))-1)))</f>
        <v/>
      </c>
      <c r="X280" s="16">
        <f>IF(OR($A280="",N280="",$C280=""),"",IF(COUNTIFS($A$5:$A$315,$A280,$C$5:$C$315,$C280-1,$D$5:$D$315,$D280,N$5:N$315,"&lt;&gt;")=0,"",IF(OR(SUMIFS(N$5:N$315,$A$5:$A$315,$A280,$C$5:$C$315,$C280-1,$D$5:$D$315,$D280)=0,N280*SUMIFS(N$5:N$315,$A$5:$A$315,$A280,$C$5:$C$315,$C280-1,$D$5:$D$315,$D280)&lt;0),"n.s.",ABS(N280)/ABS(SUMIFS(N$5:N$315,$A$5:$A$315,$A280,$C$5:$C$315,$C280-1,$D$5:$D$315,$D280))-1)))</f>
        <v/>
      </c>
      <c r="Y280" s="16">
        <f>IF(OR($A280="",O280="",$C280=""),"",IF(COUNTIFS($A$5:$A$315,$A280,$C$5:$C$315,$C280-1,$D$5:$D$315,$D280,O$5:O$315,"&lt;&gt;")=0,"",IF(OR(SUMIFS(O$5:O$315,$A$5:$A$315,$A280,$C$5:$C$315,$C280-1,$D$5:$D$315,$D280)=0,O280*SUMIFS(O$5:O$315,$A$5:$A$315,$A280,$C$5:$C$315,$C280-1,$D$5:$D$315,$D280)&lt;0),"n.s.",ABS(O280)/ABS(SUMIFS(O$5:O$315,$A$5:$A$315,$A280,$C$5:$C$315,$C280-1,$D$5:$D$315,$D280))-1)))</f>
        <v/>
      </c>
    </row>
    <row r="281">
      <c r="A281" s="9" t="n"/>
      <c r="B281" s="10">
        <f>IF(A281="","",IFERROR(VLOOKUP(A281,Titres!$A$2:$B$400,2,FALSE),"Ticker inconnu"))</f>
        <v/>
      </c>
      <c r="C281" s="11" t="n"/>
      <c r="D281" s="11" t="n"/>
      <c r="E281" s="9" t="n"/>
      <c r="F281" s="12" t="n"/>
      <c r="G281" s="9" t="n"/>
      <c r="H281" s="13" t="n"/>
      <c r="I281" s="13" t="n"/>
      <c r="J281" s="13" t="n"/>
      <c r="K281" s="13" t="n"/>
      <c r="L281" s="13" t="n"/>
      <c r="M281" s="13" t="n"/>
      <c r="N281" s="13" t="n"/>
      <c r="O281" s="13" t="n"/>
      <c r="P281" s="14">
        <f>IF(A281="","",COUNT(H281:O281)/8)</f>
        <v/>
      </c>
      <c r="Q281" s="15">
        <f>IF(COUNT(H281:O281)=0,"",IF(LEN(IF(COUNT(H281,I281,J281)=3,IF(ABS(H281+I281-J281)&lt;=MAX(1,0.02*ABS(J281)),"","RBE &lt;&gt; PNB + frais "),"")&amp;IF(COUNT(J281,K281,L281)=3,IF(ABS(J281+K281-L281)&lt;=MAX(1,0.03*ABS(L281)),"","RAI &lt;&gt; RBE + coût du risque "),"")&amp;IF(COUNT(H281,M281)=2,IF(ABS(M281)&gt;ABS(H281),"RN &gt; PNB ",""),""))=0,"OK",IF(COUNT(H281,I281,J281)=3,IF(ABS(H281+I281-J281)&lt;=MAX(1,0.02*ABS(J281)),"","RBE &lt;&gt; PNB + frais "),"")&amp;IF(COUNT(J281,K281,L281)=3,IF(ABS(J281+K281-L281)&lt;=MAX(1,0.03*ABS(L281)),"","RAI &lt;&gt; RBE + coût du risque "),"")&amp;IF(COUNT(H281,M281)=2,IF(ABS(M281)&gt;ABS(H281),"RN &gt; PNB ",""),"")))</f>
        <v/>
      </c>
      <c r="R281" s="16">
        <f>IF(OR($A281="",H281="",$C281=""),"",IF(COUNTIFS($A$5:$A$315,$A281,$C$5:$C$315,$C281-1,$D$5:$D$315,$D281,H$5:H$315,"&lt;&gt;")=0,"",IF(OR(SUMIFS(H$5:H$315,$A$5:$A$315,$A281,$C$5:$C$315,$C281-1,$D$5:$D$315,$D281)=0,H281*SUMIFS(H$5:H$315,$A$5:$A$315,$A281,$C$5:$C$315,$C281-1,$D$5:$D$315,$D281)&lt;0),"n.s.",ABS(H281)/ABS(SUMIFS(H$5:H$315,$A$5:$A$315,$A281,$C$5:$C$315,$C281-1,$D$5:$D$315,$D281))-1)))</f>
        <v/>
      </c>
      <c r="S281" s="16">
        <f>IF(OR($A281="",I281="",$C281=""),"",IF(COUNTIFS($A$5:$A$315,$A281,$C$5:$C$315,$C281-1,$D$5:$D$315,$D281,I$5:I$315,"&lt;&gt;")=0,"",IF(OR(SUMIFS(I$5:I$315,$A$5:$A$315,$A281,$C$5:$C$315,$C281-1,$D$5:$D$315,$D281)=0,I281*SUMIFS(I$5:I$315,$A$5:$A$315,$A281,$C$5:$C$315,$C281-1,$D$5:$D$315,$D281)&lt;0),"n.s.",ABS(I281)/ABS(SUMIFS(I$5:I$315,$A$5:$A$315,$A281,$C$5:$C$315,$C281-1,$D$5:$D$315,$D281))-1)))</f>
        <v/>
      </c>
      <c r="T281" s="16">
        <f>IF(OR($A281="",J281="",$C281=""),"",IF(COUNTIFS($A$5:$A$315,$A281,$C$5:$C$315,$C281-1,$D$5:$D$315,$D281,J$5:J$315,"&lt;&gt;")=0,"",IF(OR(SUMIFS(J$5:J$315,$A$5:$A$315,$A281,$C$5:$C$315,$C281-1,$D$5:$D$315,$D281)=0,J281*SUMIFS(J$5:J$315,$A$5:$A$315,$A281,$C$5:$C$315,$C281-1,$D$5:$D$315,$D281)&lt;0),"n.s.",ABS(J281)/ABS(SUMIFS(J$5:J$315,$A$5:$A$315,$A281,$C$5:$C$315,$C281-1,$D$5:$D$315,$D281))-1)))</f>
        <v/>
      </c>
      <c r="U281" s="16">
        <f>IF(OR($A281="",K281="",$C281=""),"",IF(COUNTIFS($A$5:$A$315,$A281,$C$5:$C$315,$C281-1,$D$5:$D$315,$D281,K$5:K$315,"&lt;&gt;")=0,"",IF(OR(SUMIFS(K$5:K$315,$A$5:$A$315,$A281,$C$5:$C$315,$C281-1,$D$5:$D$315,$D281)=0,K281*SUMIFS(K$5:K$315,$A$5:$A$315,$A281,$C$5:$C$315,$C281-1,$D$5:$D$315,$D281)&lt;0),"n.s.",ABS(K281)/ABS(SUMIFS(K$5:K$315,$A$5:$A$315,$A281,$C$5:$C$315,$C281-1,$D$5:$D$315,$D281))-1)))</f>
        <v/>
      </c>
      <c r="V281" s="16">
        <f>IF(OR($A281="",L281="",$C281=""),"",IF(COUNTIFS($A$5:$A$315,$A281,$C$5:$C$315,$C281-1,$D$5:$D$315,$D281,L$5:L$315,"&lt;&gt;")=0,"",IF(OR(SUMIFS(L$5:L$315,$A$5:$A$315,$A281,$C$5:$C$315,$C281-1,$D$5:$D$315,$D281)=0,L281*SUMIFS(L$5:L$315,$A$5:$A$315,$A281,$C$5:$C$315,$C281-1,$D$5:$D$315,$D281)&lt;0),"n.s.",ABS(L281)/ABS(SUMIFS(L$5:L$315,$A$5:$A$315,$A281,$C$5:$C$315,$C281-1,$D$5:$D$315,$D281))-1)))</f>
        <v/>
      </c>
      <c r="W281" s="16">
        <f>IF(OR($A281="",M281="",$C281=""),"",IF(COUNTIFS($A$5:$A$315,$A281,$C$5:$C$315,$C281-1,$D$5:$D$315,$D281,M$5:M$315,"&lt;&gt;")=0,"",IF(OR(SUMIFS(M$5:M$315,$A$5:$A$315,$A281,$C$5:$C$315,$C281-1,$D$5:$D$315,$D281)=0,M281*SUMIFS(M$5:M$315,$A$5:$A$315,$A281,$C$5:$C$315,$C281-1,$D$5:$D$315,$D281)&lt;0),"n.s.",ABS(M281)/ABS(SUMIFS(M$5:M$315,$A$5:$A$315,$A281,$C$5:$C$315,$C281-1,$D$5:$D$315,$D281))-1)))</f>
        <v/>
      </c>
      <c r="X281" s="16">
        <f>IF(OR($A281="",N281="",$C281=""),"",IF(COUNTIFS($A$5:$A$315,$A281,$C$5:$C$315,$C281-1,$D$5:$D$315,$D281,N$5:N$315,"&lt;&gt;")=0,"",IF(OR(SUMIFS(N$5:N$315,$A$5:$A$315,$A281,$C$5:$C$315,$C281-1,$D$5:$D$315,$D281)=0,N281*SUMIFS(N$5:N$315,$A$5:$A$315,$A281,$C$5:$C$315,$C281-1,$D$5:$D$315,$D281)&lt;0),"n.s.",ABS(N281)/ABS(SUMIFS(N$5:N$315,$A$5:$A$315,$A281,$C$5:$C$315,$C281-1,$D$5:$D$315,$D281))-1)))</f>
        <v/>
      </c>
      <c r="Y281" s="16">
        <f>IF(OR($A281="",O281="",$C281=""),"",IF(COUNTIFS($A$5:$A$315,$A281,$C$5:$C$315,$C281-1,$D$5:$D$315,$D281,O$5:O$315,"&lt;&gt;")=0,"",IF(OR(SUMIFS(O$5:O$315,$A$5:$A$315,$A281,$C$5:$C$315,$C281-1,$D$5:$D$315,$D281)=0,O281*SUMIFS(O$5:O$315,$A$5:$A$315,$A281,$C$5:$C$315,$C281-1,$D$5:$D$315,$D281)&lt;0),"n.s.",ABS(O281)/ABS(SUMIFS(O$5:O$315,$A$5:$A$315,$A281,$C$5:$C$315,$C281-1,$D$5:$D$315,$D281))-1)))</f>
        <v/>
      </c>
    </row>
    <row r="282">
      <c r="A282" s="9" t="n"/>
      <c r="B282" s="10">
        <f>IF(A282="","",IFERROR(VLOOKUP(A282,Titres!$A$2:$B$400,2,FALSE),"Ticker inconnu"))</f>
        <v/>
      </c>
      <c r="C282" s="11" t="n"/>
      <c r="D282" s="11" t="n"/>
      <c r="E282" s="9" t="n"/>
      <c r="F282" s="12" t="n"/>
      <c r="G282" s="9" t="n"/>
      <c r="H282" s="13" t="n"/>
      <c r="I282" s="13" t="n"/>
      <c r="J282" s="13" t="n"/>
      <c r="K282" s="13" t="n"/>
      <c r="L282" s="13" t="n"/>
      <c r="M282" s="13" t="n"/>
      <c r="N282" s="13" t="n"/>
      <c r="O282" s="13" t="n"/>
      <c r="P282" s="14">
        <f>IF(A282="","",COUNT(H282:O282)/8)</f>
        <v/>
      </c>
      <c r="Q282" s="15">
        <f>IF(COUNT(H282:O282)=0,"",IF(LEN(IF(COUNT(H282,I282,J282)=3,IF(ABS(H282+I282-J282)&lt;=MAX(1,0.02*ABS(J282)),"","RBE &lt;&gt; PNB + frais "),"")&amp;IF(COUNT(J282,K282,L282)=3,IF(ABS(J282+K282-L282)&lt;=MAX(1,0.03*ABS(L282)),"","RAI &lt;&gt; RBE + coût du risque "),"")&amp;IF(COUNT(H282,M282)=2,IF(ABS(M282)&gt;ABS(H282),"RN &gt; PNB ",""),""))=0,"OK",IF(COUNT(H282,I282,J282)=3,IF(ABS(H282+I282-J282)&lt;=MAX(1,0.02*ABS(J282)),"","RBE &lt;&gt; PNB + frais "),"")&amp;IF(COUNT(J282,K282,L282)=3,IF(ABS(J282+K282-L282)&lt;=MAX(1,0.03*ABS(L282)),"","RAI &lt;&gt; RBE + coût du risque "),"")&amp;IF(COUNT(H282,M282)=2,IF(ABS(M282)&gt;ABS(H282),"RN &gt; PNB ",""),"")))</f>
        <v/>
      </c>
      <c r="R282" s="16">
        <f>IF(OR($A282="",H282="",$C282=""),"",IF(COUNTIFS($A$5:$A$315,$A282,$C$5:$C$315,$C282-1,$D$5:$D$315,$D282,H$5:H$315,"&lt;&gt;")=0,"",IF(OR(SUMIFS(H$5:H$315,$A$5:$A$315,$A282,$C$5:$C$315,$C282-1,$D$5:$D$315,$D282)=0,H282*SUMIFS(H$5:H$315,$A$5:$A$315,$A282,$C$5:$C$315,$C282-1,$D$5:$D$315,$D282)&lt;0),"n.s.",ABS(H282)/ABS(SUMIFS(H$5:H$315,$A$5:$A$315,$A282,$C$5:$C$315,$C282-1,$D$5:$D$315,$D282))-1)))</f>
        <v/>
      </c>
      <c r="S282" s="16">
        <f>IF(OR($A282="",I282="",$C282=""),"",IF(COUNTIFS($A$5:$A$315,$A282,$C$5:$C$315,$C282-1,$D$5:$D$315,$D282,I$5:I$315,"&lt;&gt;")=0,"",IF(OR(SUMIFS(I$5:I$315,$A$5:$A$315,$A282,$C$5:$C$315,$C282-1,$D$5:$D$315,$D282)=0,I282*SUMIFS(I$5:I$315,$A$5:$A$315,$A282,$C$5:$C$315,$C282-1,$D$5:$D$315,$D282)&lt;0),"n.s.",ABS(I282)/ABS(SUMIFS(I$5:I$315,$A$5:$A$315,$A282,$C$5:$C$315,$C282-1,$D$5:$D$315,$D282))-1)))</f>
        <v/>
      </c>
      <c r="T282" s="16">
        <f>IF(OR($A282="",J282="",$C282=""),"",IF(COUNTIFS($A$5:$A$315,$A282,$C$5:$C$315,$C282-1,$D$5:$D$315,$D282,J$5:J$315,"&lt;&gt;")=0,"",IF(OR(SUMIFS(J$5:J$315,$A$5:$A$315,$A282,$C$5:$C$315,$C282-1,$D$5:$D$315,$D282)=0,J282*SUMIFS(J$5:J$315,$A$5:$A$315,$A282,$C$5:$C$315,$C282-1,$D$5:$D$315,$D282)&lt;0),"n.s.",ABS(J282)/ABS(SUMIFS(J$5:J$315,$A$5:$A$315,$A282,$C$5:$C$315,$C282-1,$D$5:$D$315,$D282))-1)))</f>
        <v/>
      </c>
      <c r="U282" s="16">
        <f>IF(OR($A282="",K282="",$C282=""),"",IF(COUNTIFS($A$5:$A$315,$A282,$C$5:$C$315,$C282-1,$D$5:$D$315,$D282,K$5:K$315,"&lt;&gt;")=0,"",IF(OR(SUMIFS(K$5:K$315,$A$5:$A$315,$A282,$C$5:$C$315,$C282-1,$D$5:$D$315,$D282)=0,K282*SUMIFS(K$5:K$315,$A$5:$A$315,$A282,$C$5:$C$315,$C282-1,$D$5:$D$315,$D282)&lt;0),"n.s.",ABS(K282)/ABS(SUMIFS(K$5:K$315,$A$5:$A$315,$A282,$C$5:$C$315,$C282-1,$D$5:$D$315,$D282))-1)))</f>
        <v/>
      </c>
      <c r="V282" s="16">
        <f>IF(OR($A282="",L282="",$C282=""),"",IF(COUNTIFS($A$5:$A$315,$A282,$C$5:$C$315,$C282-1,$D$5:$D$315,$D282,L$5:L$315,"&lt;&gt;")=0,"",IF(OR(SUMIFS(L$5:L$315,$A$5:$A$315,$A282,$C$5:$C$315,$C282-1,$D$5:$D$315,$D282)=0,L282*SUMIFS(L$5:L$315,$A$5:$A$315,$A282,$C$5:$C$315,$C282-1,$D$5:$D$315,$D282)&lt;0),"n.s.",ABS(L282)/ABS(SUMIFS(L$5:L$315,$A$5:$A$315,$A282,$C$5:$C$315,$C282-1,$D$5:$D$315,$D282))-1)))</f>
        <v/>
      </c>
      <c r="W282" s="16">
        <f>IF(OR($A282="",M282="",$C282=""),"",IF(COUNTIFS($A$5:$A$315,$A282,$C$5:$C$315,$C282-1,$D$5:$D$315,$D282,M$5:M$315,"&lt;&gt;")=0,"",IF(OR(SUMIFS(M$5:M$315,$A$5:$A$315,$A282,$C$5:$C$315,$C282-1,$D$5:$D$315,$D282)=0,M282*SUMIFS(M$5:M$315,$A$5:$A$315,$A282,$C$5:$C$315,$C282-1,$D$5:$D$315,$D282)&lt;0),"n.s.",ABS(M282)/ABS(SUMIFS(M$5:M$315,$A$5:$A$315,$A282,$C$5:$C$315,$C282-1,$D$5:$D$315,$D282))-1)))</f>
        <v/>
      </c>
      <c r="X282" s="16">
        <f>IF(OR($A282="",N282="",$C282=""),"",IF(COUNTIFS($A$5:$A$315,$A282,$C$5:$C$315,$C282-1,$D$5:$D$315,$D282,N$5:N$315,"&lt;&gt;")=0,"",IF(OR(SUMIFS(N$5:N$315,$A$5:$A$315,$A282,$C$5:$C$315,$C282-1,$D$5:$D$315,$D282)=0,N282*SUMIFS(N$5:N$315,$A$5:$A$315,$A282,$C$5:$C$315,$C282-1,$D$5:$D$315,$D282)&lt;0),"n.s.",ABS(N282)/ABS(SUMIFS(N$5:N$315,$A$5:$A$315,$A282,$C$5:$C$315,$C282-1,$D$5:$D$315,$D282))-1)))</f>
        <v/>
      </c>
      <c r="Y282" s="16">
        <f>IF(OR($A282="",O282="",$C282=""),"",IF(COUNTIFS($A$5:$A$315,$A282,$C$5:$C$315,$C282-1,$D$5:$D$315,$D282,O$5:O$315,"&lt;&gt;")=0,"",IF(OR(SUMIFS(O$5:O$315,$A$5:$A$315,$A282,$C$5:$C$315,$C282-1,$D$5:$D$315,$D282)=0,O282*SUMIFS(O$5:O$315,$A$5:$A$315,$A282,$C$5:$C$315,$C282-1,$D$5:$D$315,$D282)&lt;0),"n.s.",ABS(O282)/ABS(SUMIFS(O$5:O$315,$A$5:$A$315,$A282,$C$5:$C$315,$C282-1,$D$5:$D$315,$D282))-1)))</f>
        <v/>
      </c>
    </row>
    <row r="283">
      <c r="A283" s="9" t="n"/>
      <c r="B283" s="10">
        <f>IF(A283="","",IFERROR(VLOOKUP(A283,Titres!$A$2:$B$400,2,FALSE),"Ticker inconnu"))</f>
        <v/>
      </c>
      <c r="C283" s="11" t="n"/>
      <c r="D283" s="11" t="n"/>
      <c r="E283" s="9" t="n"/>
      <c r="F283" s="12" t="n"/>
      <c r="G283" s="9" t="n"/>
      <c r="H283" s="13" t="n"/>
      <c r="I283" s="13" t="n"/>
      <c r="J283" s="13" t="n"/>
      <c r="K283" s="13" t="n"/>
      <c r="L283" s="13" t="n"/>
      <c r="M283" s="13" t="n"/>
      <c r="N283" s="13" t="n"/>
      <c r="O283" s="13" t="n"/>
      <c r="P283" s="14">
        <f>IF(A283="","",COUNT(H283:O283)/8)</f>
        <v/>
      </c>
      <c r="Q283" s="15">
        <f>IF(COUNT(H283:O283)=0,"",IF(LEN(IF(COUNT(H283,I283,J283)=3,IF(ABS(H283+I283-J283)&lt;=MAX(1,0.02*ABS(J283)),"","RBE &lt;&gt; PNB + frais "),"")&amp;IF(COUNT(J283,K283,L283)=3,IF(ABS(J283+K283-L283)&lt;=MAX(1,0.03*ABS(L283)),"","RAI &lt;&gt; RBE + coût du risque "),"")&amp;IF(COUNT(H283,M283)=2,IF(ABS(M283)&gt;ABS(H283),"RN &gt; PNB ",""),""))=0,"OK",IF(COUNT(H283,I283,J283)=3,IF(ABS(H283+I283-J283)&lt;=MAX(1,0.02*ABS(J283)),"","RBE &lt;&gt; PNB + frais "),"")&amp;IF(COUNT(J283,K283,L283)=3,IF(ABS(J283+K283-L283)&lt;=MAX(1,0.03*ABS(L283)),"","RAI &lt;&gt; RBE + coût du risque "),"")&amp;IF(COUNT(H283,M283)=2,IF(ABS(M283)&gt;ABS(H283),"RN &gt; PNB ",""),"")))</f>
        <v/>
      </c>
      <c r="R283" s="16">
        <f>IF(OR($A283="",H283="",$C283=""),"",IF(COUNTIFS($A$5:$A$315,$A283,$C$5:$C$315,$C283-1,$D$5:$D$315,$D283,H$5:H$315,"&lt;&gt;")=0,"",IF(OR(SUMIFS(H$5:H$315,$A$5:$A$315,$A283,$C$5:$C$315,$C283-1,$D$5:$D$315,$D283)=0,H283*SUMIFS(H$5:H$315,$A$5:$A$315,$A283,$C$5:$C$315,$C283-1,$D$5:$D$315,$D283)&lt;0),"n.s.",ABS(H283)/ABS(SUMIFS(H$5:H$315,$A$5:$A$315,$A283,$C$5:$C$315,$C283-1,$D$5:$D$315,$D283))-1)))</f>
        <v/>
      </c>
      <c r="S283" s="16">
        <f>IF(OR($A283="",I283="",$C283=""),"",IF(COUNTIFS($A$5:$A$315,$A283,$C$5:$C$315,$C283-1,$D$5:$D$315,$D283,I$5:I$315,"&lt;&gt;")=0,"",IF(OR(SUMIFS(I$5:I$315,$A$5:$A$315,$A283,$C$5:$C$315,$C283-1,$D$5:$D$315,$D283)=0,I283*SUMIFS(I$5:I$315,$A$5:$A$315,$A283,$C$5:$C$315,$C283-1,$D$5:$D$315,$D283)&lt;0),"n.s.",ABS(I283)/ABS(SUMIFS(I$5:I$315,$A$5:$A$315,$A283,$C$5:$C$315,$C283-1,$D$5:$D$315,$D283))-1)))</f>
        <v/>
      </c>
      <c r="T283" s="16">
        <f>IF(OR($A283="",J283="",$C283=""),"",IF(COUNTIFS($A$5:$A$315,$A283,$C$5:$C$315,$C283-1,$D$5:$D$315,$D283,J$5:J$315,"&lt;&gt;")=0,"",IF(OR(SUMIFS(J$5:J$315,$A$5:$A$315,$A283,$C$5:$C$315,$C283-1,$D$5:$D$315,$D283)=0,J283*SUMIFS(J$5:J$315,$A$5:$A$315,$A283,$C$5:$C$315,$C283-1,$D$5:$D$315,$D283)&lt;0),"n.s.",ABS(J283)/ABS(SUMIFS(J$5:J$315,$A$5:$A$315,$A283,$C$5:$C$315,$C283-1,$D$5:$D$315,$D283))-1)))</f>
        <v/>
      </c>
      <c r="U283" s="16">
        <f>IF(OR($A283="",K283="",$C283=""),"",IF(COUNTIFS($A$5:$A$315,$A283,$C$5:$C$315,$C283-1,$D$5:$D$315,$D283,K$5:K$315,"&lt;&gt;")=0,"",IF(OR(SUMIFS(K$5:K$315,$A$5:$A$315,$A283,$C$5:$C$315,$C283-1,$D$5:$D$315,$D283)=0,K283*SUMIFS(K$5:K$315,$A$5:$A$315,$A283,$C$5:$C$315,$C283-1,$D$5:$D$315,$D283)&lt;0),"n.s.",ABS(K283)/ABS(SUMIFS(K$5:K$315,$A$5:$A$315,$A283,$C$5:$C$315,$C283-1,$D$5:$D$315,$D283))-1)))</f>
        <v/>
      </c>
      <c r="V283" s="16">
        <f>IF(OR($A283="",L283="",$C283=""),"",IF(COUNTIFS($A$5:$A$315,$A283,$C$5:$C$315,$C283-1,$D$5:$D$315,$D283,L$5:L$315,"&lt;&gt;")=0,"",IF(OR(SUMIFS(L$5:L$315,$A$5:$A$315,$A283,$C$5:$C$315,$C283-1,$D$5:$D$315,$D283)=0,L283*SUMIFS(L$5:L$315,$A$5:$A$315,$A283,$C$5:$C$315,$C283-1,$D$5:$D$315,$D283)&lt;0),"n.s.",ABS(L283)/ABS(SUMIFS(L$5:L$315,$A$5:$A$315,$A283,$C$5:$C$315,$C283-1,$D$5:$D$315,$D283))-1)))</f>
        <v/>
      </c>
      <c r="W283" s="16">
        <f>IF(OR($A283="",M283="",$C283=""),"",IF(COUNTIFS($A$5:$A$315,$A283,$C$5:$C$315,$C283-1,$D$5:$D$315,$D283,M$5:M$315,"&lt;&gt;")=0,"",IF(OR(SUMIFS(M$5:M$315,$A$5:$A$315,$A283,$C$5:$C$315,$C283-1,$D$5:$D$315,$D283)=0,M283*SUMIFS(M$5:M$315,$A$5:$A$315,$A283,$C$5:$C$315,$C283-1,$D$5:$D$315,$D283)&lt;0),"n.s.",ABS(M283)/ABS(SUMIFS(M$5:M$315,$A$5:$A$315,$A283,$C$5:$C$315,$C283-1,$D$5:$D$315,$D283))-1)))</f>
        <v/>
      </c>
      <c r="X283" s="16">
        <f>IF(OR($A283="",N283="",$C283=""),"",IF(COUNTIFS($A$5:$A$315,$A283,$C$5:$C$315,$C283-1,$D$5:$D$315,$D283,N$5:N$315,"&lt;&gt;")=0,"",IF(OR(SUMIFS(N$5:N$315,$A$5:$A$315,$A283,$C$5:$C$315,$C283-1,$D$5:$D$315,$D283)=0,N283*SUMIFS(N$5:N$315,$A$5:$A$315,$A283,$C$5:$C$315,$C283-1,$D$5:$D$315,$D283)&lt;0),"n.s.",ABS(N283)/ABS(SUMIFS(N$5:N$315,$A$5:$A$315,$A283,$C$5:$C$315,$C283-1,$D$5:$D$315,$D283))-1)))</f>
        <v/>
      </c>
      <c r="Y283" s="16">
        <f>IF(OR($A283="",O283="",$C283=""),"",IF(COUNTIFS($A$5:$A$315,$A283,$C$5:$C$315,$C283-1,$D$5:$D$315,$D283,O$5:O$315,"&lt;&gt;")=0,"",IF(OR(SUMIFS(O$5:O$315,$A$5:$A$315,$A283,$C$5:$C$315,$C283-1,$D$5:$D$315,$D283)=0,O283*SUMIFS(O$5:O$315,$A$5:$A$315,$A283,$C$5:$C$315,$C283-1,$D$5:$D$315,$D283)&lt;0),"n.s.",ABS(O283)/ABS(SUMIFS(O$5:O$315,$A$5:$A$315,$A283,$C$5:$C$315,$C283-1,$D$5:$D$315,$D283))-1)))</f>
        <v/>
      </c>
    </row>
    <row r="284">
      <c r="A284" s="9" t="n"/>
      <c r="B284" s="10">
        <f>IF(A284="","",IFERROR(VLOOKUP(A284,Titres!$A$2:$B$400,2,FALSE),"Ticker inconnu"))</f>
        <v/>
      </c>
      <c r="C284" s="11" t="n"/>
      <c r="D284" s="11" t="n"/>
      <c r="E284" s="9" t="n"/>
      <c r="F284" s="12" t="n"/>
      <c r="G284" s="9" t="n"/>
      <c r="H284" s="13" t="n"/>
      <c r="I284" s="13" t="n"/>
      <c r="J284" s="13" t="n"/>
      <c r="K284" s="13" t="n"/>
      <c r="L284" s="13" t="n"/>
      <c r="M284" s="13" t="n"/>
      <c r="N284" s="13" t="n"/>
      <c r="O284" s="13" t="n"/>
      <c r="P284" s="14">
        <f>IF(A284="","",COUNT(H284:O284)/8)</f>
        <v/>
      </c>
      <c r="Q284" s="15">
        <f>IF(COUNT(H284:O284)=0,"",IF(LEN(IF(COUNT(H284,I284,J284)=3,IF(ABS(H284+I284-J284)&lt;=MAX(1,0.02*ABS(J284)),"","RBE &lt;&gt; PNB + frais "),"")&amp;IF(COUNT(J284,K284,L284)=3,IF(ABS(J284+K284-L284)&lt;=MAX(1,0.03*ABS(L284)),"","RAI &lt;&gt; RBE + coût du risque "),"")&amp;IF(COUNT(H284,M284)=2,IF(ABS(M284)&gt;ABS(H284),"RN &gt; PNB ",""),""))=0,"OK",IF(COUNT(H284,I284,J284)=3,IF(ABS(H284+I284-J284)&lt;=MAX(1,0.02*ABS(J284)),"","RBE &lt;&gt; PNB + frais "),"")&amp;IF(COUNT(J284,K284,L284)=3,IF(ABS(J284+K284-L284)&lt;=MAX(1,0.03*ABS(L284)),"","RAI &lt;&gt; RBE + coût du risque "),"")&amp;IF(COUNT(H284,M284)=2,IF(ABS(M284)&gt;ABS(H284),"RN &gt; PNB ",""),"")))</f>
        <v/>
      </c>
      <c r="R284" s="16">
        <f>IF(OR($A284="",H284="",$C284=""),"",IF(COUNTIFS($A$5:$A$315,$A284,$C$5:$C$315,$C284-1,$D$5:$D$315,$D284,H$5:H$315,"&lt;&gt;")=0,"",IF(OR(SUMIFS(H$5:H$315,$A$5:$A$315,$A284,$C$5:$C$315,$C284-1,$D$5:$D$315,$D284)=0,H284*SUMIFS(H$5:H$315,$A$5:$A$315,$A284,$C$5:$C$315,$C284-1,$D$5:$D$315,$D284)&lt;0),"n.s.",ABS(H284)/ABS(SUMIFS(H$5:H$315,$A$5:$A$315,$A284,$C$5:$C$315,$C284-1,$D$5:$D$315,$D284))-1)))</f>
        <v/>
      </c>
      <c r="S284" s="16">
        <f>IF(OR($A284="",I284="",$C284=""),"",IF(COUNTIFS($A$5:$A$315,$A284,$C$5:$C$315,$C284-1,$D$5:$D$315,$D284,I$5:I$315,"&lt;&gt;")=0,"",IF(OR(SUMIFS(I$5:I$315,$A$5:$A$315,$A284,$C$5:$C$315,$C284-1,$D$5:$D$315,$D284)=0,I284*SUMIFS(I$5:I$315,$A$5:$A$315,$A284,$C$5:$C$315,$C284-1,$D$5:$D$315,$D284)&lt;0),"n.s.",ABS(I284)/ABS(SUMIFS(I$5:I$315,$A$5:$A$315,$A284,$C$5:$C$315,$C284-1,$D$5:$D$315,$D284))-1)))</f>
        <v/>
      </c>
      <c r="T284" s="16">
        <f>IF(OR($A284="",J284="",$C284=""),"",IF(COUNTIFS($A$5:$A$315,$A284,$C$5:$C$315,$C284-1,$D$5:$D$315,$D284,J$5:J$315,"&lt;&gt;")=0,"",IF(OR(SUMIFS(J$5:J$315,$A$5:$A$315,$A284,$C$5:$C$315,$C284-1,$D$5:$D$315,$D284)=0,J284*SUMIFS(J$5:J$315,$A$5:$A$315,$A284,$C$5:$C$315,$C284-1,$D$5:$D$315,$D284)&lt;0),"n.s.",ABS(J284)/ABS(SUMIFS(J$5:J$315,$A$5:$A$315,$A284,$C$5:$C$315,$C284-1,$D$5:$D$315,$D284))-1)))</f>
        <v/>
      </c>
      <c r="U284" s="16">
        <f>IF(OR($A284="",K284="",$C284=""),"",IF(COUNTIFS($A$5:$A$315,$A284,$C$5:$C$315,$C284-1,$D$5:$D$315,$D284,K$5:K$315,"&lt;&gt;")=0,"",IF(OR(SUMIFS(K$5:K$315,$A$5:$A$315,$A284,$C$5:$C$315,$C284-1,$D$5:$D$315,$D284)=0,K284*SUMIFS(K$5:K$315,$A$5:$A$315,$A284,$C$5:$C$315,$C284-1,$D$5:$D$315,$D284)&lt;0),"n.s.",ABS(K284)/ABS(SUMIFS(K$5:K$315,$A$5:$A$315,$A284,$C$5:$C$315,$C284-1,$D$5:$D$315,$D284))-1)))</f>
        <v/>
      </c>
      <c r="V284" s="16">
        <f>IF(OR($A284="",L284="",$C284=""),"",IF(COUNTIFS($A$5:$A$315,$A284,$C$5:$C$315,$C284-1,$D$5:$D$315,$D284,L$5:L$315,"&lt;&gt;")=0,"",IF(OR(SUMIFS(L$5:L$315,$A$5:$A$315,$A284,$C$5:$C$315,$C284-1,$D$5:$D$315,$D284)=0,L284*SUMIFS(L$5:L$315,$A$5:$A$315,$A284,$C$5:$C$315,$C284-1,$D$5:$D$315,$D284)&lt;0),"n.s.",ABS(L284)/ABS(SUMIFS(L$5:L$315,$A$5:$A$315,$A284,$C$5:$C$315,$C284-1,$D$5:$D$315,$D284))-1)))</f>
        <v/>
      </c>
      <c r="W284" s="16">
        <f>IF(OR($A284="",M284="",$C284=""),"",IF(COUNTIFS($A$5:$A$315,$A284,$C$5:$C$315,$C284-1,$D$5:$D$315,$D284,M$5:M$315,"&lt;&gt;")=0,"",IF(OR(SUMIFS(M$5:M$315,$A$5:$A$315,$A284,$C$5:$C$315,$C284-1,$D$5:$D$315,$D284)=0,M284*SUMIFS(M$5:M$315,$A$5:$A$315,$A284,$C$5:$C$315,$C284-1,$D$5:$D$315,$D284)&lt;0),"n.s.",ABS(M284)/ABS(SUMIFS(M$5:M$315,$A$5:$A$315,$A284,$C$5:$C$315,$C284-1,$D$5:$D$315,$D284))-1)))</f>
        <v/>
      </c>
      <c r="X284" s="16">
        <f>IF(OR($A284="",N284="",$C284=""),"",IF(COUNTIFS($A$5:$A$315,$A284,$C$5:$C$315,$C284-1,$D$5:$D$315,$D284,N$5:N$315,"&lt;&gt;")=0,"",IF(OR(SUMIFS(N$5:N$315,$A$5:$A$315,$A284,$C$5:$C$315,$C284-1,$D$5:$D$315,$D284)=0,N284*SUMIFS(N$5:N$315,$A$5:$A$315,$A284,$C$5:$C$315,$C284-1,$D$5:$D$315,$D284)&lt;0),"n.s.",ABS(N284)/ABS(SUMIFS(N$5:N$315,$A$5:$A$315,$A284,$C$5:$C$315,$C284-1,$D$5:$D$315,$D284))-1)))</f>
        <v/>
      </c>
      <c r="Y284" s="16">
        <f>IF(OR($A284="",O284="",$C284=""),"",IF(COUNTIFS($A$5:$A$315,$A284,$C$5:$C$315,$C284-1,$D$5:$D$315,$D284,O$5:O$315,"&lt;&gt;")=0,"",IF(OR(SUMIFS(O$5:O$315,$A$5:$A$315,$A284,$C$5:$C$315,$C284-1,$D$5:$D$315,$D284)=0,O284*SUMIFS(O$5:O$315,$A$5:$A$315,$A284,$C$5:$C$315,$C284-1,$D$5:$D$315,$D284)&lt;0),"n.s.",ABS(O284)/ABS(SUMIFS(O$5:O$315,$A$5:$A$315,$A284,$C$5:$C$315,$C284-1,$D$5:$D$315,$D284))-1)))</f>
        <v/>
      </c>
    </row>
    <row r="285">
      <c r="A285" s="9" t="n"/>
      <c r="B285" s="10">
        <f>IF(A285="","",IFERROR(VLOOKUP(A285,Titres!$A$2:$B$400,2,FALSE),"Ticker inconnu"))</f>
        <v/>
      </c>
      <c r="C285" s="11" t="n"/>
      <c r="D285" s="11" t="n"/>
      <c r="E285" s="9" t="n"/>
      <c r="F285" s="12" t="n"/>
      <c r="G285" s="9" t="n"/>
      <c r="H285" s="13" t="n"/>
      <c r="I285" s="13" t="n"/>
      <c r="J285" s="13" t="n"/>
      <c r="K285" s="13" t="n"/>
      <c r="L285" s="13" t="n"/>
      <c r="M285" s="13" t="n"/>
      <c r="N285" s="13" t="n"/>
      <c r="O285" s="13" t="n"/>
      <c r="P285" s="14">
        <f>IF(A285="","",COUNT(H285:O285)/8)</f>
        <v/>
      </c>
      <c r="Q285" s="15">
        <f>IF(COUNT(H285:O285)=0,"",IF(LEN(IF(COUNT(H285,I285,J285)=3,IF(ABS(H285+I285-J285)&lt;=MAX(1,0.02*ABS(J285)),"","RBE &lt;&gt; PNB + frais "),"")&amp;IF(COUNT(J285,K285,L285)=3,IF(ABS(J285+K285-L285)&lt;=MAX(1,0.03*ABS(L285)),"","RAI &lt;&gt; RBE + coût du risque "),"")&amp;IF(COUNT(H285,M285)=2,IF(ABS(M285)&gt;ABS(H285),"RN &gt; PNB ",""),""))=0,"OK",IF(COUNT(H285,I285,J285)=3,IF(ABS(H285+I285-J285)&lt;=MAX(1,0.02*ABS(J285)),"","RBE &lt;&gt; PNB + frais "),"")&amp;IF(COUNT(J285,K285,L285)=3,IF(ABS(J285+K285-L285)&lt;=MAX(1,0.03*ABS(L285)),"","RAI &lt;&gt; RBE + coût du risque "),"")&amp;IF(COUNT(H285,M285)=2,IF(ABS(M285)&gt;ABS(H285),"RN &gt; PNB ",""),"")))</f>
        <v/>
      </c>
      <c r="R285" s="16">
        <f>IF(OR($A285="",H285="",$C285=""),"",IF(COUNTIFS($A$5:$A$315,$A285,$C$5:$C$315,$C285-1,$D$5:$D$315,$D285,H$5:H$315,"&lt;&gt;")=0,"",IF(OR(SUMIFS(H$5:H$315,$A$5:$A$315,$A285,$C$5:$C$315,$C285-1,$D$5:$D$315,$D285)=0,H285*SUMIFS(H$5:H$315,$A$5:$A$315,$A285,$C$5:$C$315,$C285-1,$D$5:$D$315,$D285)&lt;0),"n.s.",ABS(H285)/ABS(SUMIFS(H$5:H$315,$A$5:$A$315,$A285,$C$5:$C$315,$C285-1,$D$5:$D$315,$D285))-1)))</f>
        <v/>
      </c>
      <c r="S285" s="16">
        <f>IF(OR($A285="",I285="",$C285=""),"",IF(COUNTIFS($A$5:$A$315,$A285,$C$5:$C$315,$C285-1,$D$5:$D$315,$D285,I$5:I$315,"&lt;&gt;")=0,"",IF(OR(SUMIFS(I$5:I$315,$A$5:$A$315,$A285,$C$5:$C$315,$C285-1,$D$5:$D$315,$D285)=0,I285*SUMIFS(I$5:I$315,$A$5:$A$315,$A285,$C$5:$C$315,$C285-1,$D$5:$D$315,$D285)&lt;0),"n.s.",ABS(I285)/ABS(SUMIFS(I$5:I$315,$A$5:$A$315,$A285,$C$5:$C$315,$C285-1,$D$5:$D$315,$D285))-1)))</f>
        <v/>
      </c>
      <c r="T285" s="16">
        <f>IF(OR($A285="",J285="",$C285=""),"",IF(COUNTIFS($A$5:$A$315,$A285,$C$5:$C$315,$C285-1,$D$5:$D$315,$D285,J$5:J$315,"&lt;&gt;")=0,"",IF(OR(SUMIFS(J$5:J$315,$A$5:$A$315,$A285,$C$5:$C$315,$C285-1,$D$5:$D$315,$D285)=0,J285*SUMIFS(J$5:J$315,$A$5:$A$315,$A285,$C$5:$C$315,$C285-1,$D$5:$D$315,$D285)&lt;0),"n.s.",ABS(J285)/ABS(SUMIFS(J$5:J$315,$A$5:$A$315,$A285,$C$5:$C$315,$C285-1,$D$5:$D$315,$D285))-1)))</f>
        <v/>
      </c>
      <c r="U285" s="16">
        <f>IF(OR($A285="",K285="",$C285=""),"",IF(COUNTIFS($A$5:$A$315,$A285,$C$5:$C$315,$C285-1,$D$5:$D$315,$D285,K$5:K$315,"&lt;&gt;")=0,"",IF(OR(SUMIFS(K$5:K$315,$A$5:$A$315,$A285,$C$5:$C$315,$C285-1,$D$5:$D$315,$D285)=0,K285*SUMIFS(K$5:K$315,$A$5:$A$315,$A285,$C$5:$C$315,$C285-1,$D$5:$D$315,$D285)&lt;0),"n.s.",ABS(K285)/ABS(SUMIFS(K$5:K$315,$A$5:$A$315,$A285,$C$5:$C$315,$C285-1,$D$5:$D$315,$D285))-1)))</f>
        <v/>
      </c>
      <c r="V285" s="16">
        <f>IF(OR($A285="",L285="",$C285=""),"",IF(COUNTIFS($A$5:$A$315,$A285,$C$5:$C$315,$C285-1,$D$5:$D$315,$D285,L$5:L$315,"&lt;&gt;")=0,"",IF(OR(SUMIFS(L$5:L$315,$A$5:$A$315,$A285,$C$5:$C$315,$C285-1,$D$5:$D$315,$D285)=0,L285*SUMIFS(L$5:L$315,$A$5:$A$315,$A285,$C$5:$C$315,$C285-1,$D$5:$D$315,$D285)&lt;0),"n.s.",ABS(L285)/ABS(SUMIFS(L$5:L$315,$A$5:$A$315,$A285,$C$5:$C$315,$C285-1,$D$5:$D$315,$D285))-1)))</f>
        <v/>
      </c>
      <c r="W285" s="16">
        <f>IF(OR($A285="",M285="",$C285=""),"",IF(COUNTIFS($A$5:$A$315,$A285,$C$5:$C$315,$C285-1,$D$5:$D$315,$D285,M$5:M$315,"&lt;&gt;")=0,"",IF(OR(SUMIFS(M$5:M$315,$A$5:$A$315,$A285,$C$5:$C$315,$C285-1,$D$5:$D$315,$D285)=0,M285*SUMIFS(M$5:M$315,$A$5:$A$315,$A285,$C$5:$C$315,$C285-1,$D$5:$D$315,$D285)&lt;0),"n.s.",ABS(M285)/ABS(SUMIFS(M$5:M$315,$A$5:$A$315,$A285,$C$5:$C$315,$C285-1,$D$5:$D$315,$D285))-1)))</f>
        <v/>
      </c>
      <c r="X285" s="16">
        <f>IF(OR($A285="",N285="",$C285=""),"",IF(COUNTIFS($A$5:$A$315,$A285,$C$5:$C$315,$C285-1,$D$5:$D$315,$D285,N$5:N$315,"&lt;&gt;")=0,"",IF(OR(SUMIFS(N$5:N$315,$A$5:$A$315,$A285,$C$5:$C$315,$C285-1,$D$5:$D$315,$D285)=0,N285*SUMIFS(N$5:N$315,$A$5:$A$315,$A285,$C$5:$C$315,$C285-1,$D$5:$D$315,$D285)&lt;0),"n.s.",ABS(N285)/ABS(SUMIFS(N$5:N$315,$A$5:$A$315,$A285,$C$5:$C$315,$C285-1,$D$5:$D$315,$D285))-1)))</f>
        <v/>
      </c>
      <c r="Y285" s="16">
        <f>IF(OR($A285="",O285="",$C285=""),"",IF(COUNTIFS($A$5:$A$315,$A285,$C$5:$C$315,$C285-1,$D$5:$D$315,$D285,O$5:O$315,"&lt;&gt;")=0,"",IF(OR(SUMIFS(O$5:O$315,$A$5:$A$315,$A285,$C$5:$C$315,$C285-1,$D$5:$D$315,$D285)=0,O285*SUMIFS(O$5:O$315,$A$5:$A$315,$A285,$C$5:$C$315,$C285-1,$D$5:$D$315,$D285)&lt;0),"n.s.",ABS(O285)/ABS(SUMIFS(O$5:O$315,$A$5:$A$315,$A285,$C$5:$C$315,$C285-1,$D$5:$D$315,$D285))-1)))</f>
        <v/>
      </c>
    </row>
    <row r="286">
      <c r="A286" s="9" t="n"/>
      <c r="B286" s="10">
        <f>IF(A286="","",IFERROR(VLOOKUP(A286,Titres!$A$2:$B$400,2,FALSE),"Ticker inconnu"))</f>
        <v/>
      </c>
      <c r="C286" s="11" t="n"/>
      <c r="D286" s="11" t="n"/>
      <c r="E286" s="9" t="n"/>
      <c r="F286" s="12" t="n"/>
      <c r="G286" s="9" t="n"/>
      <c r="H286" s="13" t="n"/>
      <c r="I286" s="13" t="n"/>
      <c r="J286" s="13" t="n"/>
      <c r="K286" s="13" t="n"/>
      <c r="L286" s="13" t="n"/>
      <c r="M286" s="13" t="n"/>
      <c r="N286" s="13" t="n"/>
      <c r="O286" s="13" t="n"/>
      <c r="P286" s="14">
        <f>IF(A286="","",COUNT(H286:O286)/8)</f>
        <v/>
      </c>
      <c r="Q286" s="15">
        <f>IF(COUNT(H286:O286)=0,"",IF(LEN(IF(COUNT(H286,I286,J286)=3,IF(ABS(H286+I286-J286)&lt;=MAX(1,0.02*ABS(J286)),"","RBE &lt;&gt; PNB + frais "),"")&amp;IF(COUNT(J286,K286,L286)=3,IF(ABS(J286+K286-L286)&lt;=MAX(1,0.03*ABS(L286)),"","RAI &lt;&gt; RBE + coût du risque "),"")&amp;IF(COUNT(H286,M286)=2,IF(ABS(M286)&gt;ABS(H286),"RN &gt; PNB ",""),""))=0,"OK",IF(COUNT(H286,I286,J286)=3,IF(ABS(H286+I286-J286)&lt;=MAX(1,0.02*ABS(J286)),"","RBE &lt;&gt; PNB + frais "),"")&amp;IF(COUNT(J286,K286,L286)=3,IF(ABS(J286+K286-L286)&lt;=MAX(1,0.03*ABS(L286)),"","RAI &lt;&gt; RBE + coût du risque "),"")&amp;IF(COUNT(H286,M286)=2,IF(ABS(M286)&gt;ABS(H286),"RN &gt; PNB ",""),"")))</f>
        <v/>
      </c>
      <c r="R286" s="16">
        <f>IF(OR($A286="",H286="",$C286=""),"",IF(COUNTIFS($A$5:$A$315,$A286,$C$5:$C$315,$C286-1,$D$5:$D$315,$D286,H$5:H$315,"&lt;&gt;")=0,"",IF(OR(SUMIFS(H$5:H$315,$A$5:$A$315,$A286,$C$5:$C$315,$C286-1,$D$5:$D$315,$D286)=0,H286*SUMIFS(H$5:H$315,$A$5:$A$315,$A286,$C$5:$C$315,$C286-1,$D$5:$D$315,$D286)&lt;0),"n.s.",ABS(H286)/ABS(SUMIFS(H$5:H$315,$A$5:$A$315,$A286,$C$5:$C$315,$C286-1,$D$5:$D$315,$D286))-1)))</f>
        <v/>
      </c>
      <c r="S286" s="16">
        <f>IF(OR($A286="",I286="",$C286=""),"",IF(COUNTIFS($A$5:$A$315,$A286,$C$5:$C$315,$C286-1,$D$5:$D$315,$D286,I$5:I$315,"&lt;&gt;")=0,"",IF(OR(SUMIFS(I$5:I$315,$A$5:$A$315,$A286,$C$5:$C$315,$C286-1,$D$5:$D$315,$D286)=0,I286*SUMIFS(I$5:I$315,$A$5:$A$315,$A286,$C$5:$C$315,$C286-1,$D$5:$D$315,$D286)&lt;0),"n.s.",ABS(I286)/ABS(SUMIFS(I$5:I$315,$A$5:$A$315,$A286,$C$5:$C$315,$C286-1,$D$5:$D$315,$D286))-1)))</f>
        <v/>
      </c>
      <c r="T286" s="16">
        <f>IF(OR($A286="",J286="",$C286=""),"",IF(COUNTIFS($A$5:$A$315,$A286,$C$5:$C$315,$C286-1,$D$5:$D$315,$D286,J$5:J$315,"&lt;&gt;")=0,"",IF(OR(SUMIFS(J$5:J$315,$A$5:$A$315,$A286,$C$5:$C$315,$C286-1,$D$5:$D$315,$D286)=0,J286*SUMIFS(J$5:J$315,$A$5:$A$315,$A286,$C$5:$C$315,$C286-1,$D$5:$D$315,$D286)&lt;0),"n.s.",ABS(J286)/ABS(SUMIFS(J$5:J$315,$A$5:$A$315,$A286,$C$5:$C$315,$C286-1,$D$5:$D$315,$D286))-1)))</f>
        <v/>
      </c>
      <c r="U286" s="16">
        <f>IF(OR($A286="",K286="",$C286=""),"",IF(COUNTIFS($A$5:$A$315,$A286,$C$5:$C$315,$C286-1,$D$5:$D$315,$D286,K$5:K$315,"&lt;&gt;")=0,"",IF(OR(SUMIFS(K$5:K$315,$A$5:$A$315,$A286,$C$5:$C$315,$C286-1,$D$5:$D$315,$D286)=0,K286*SUMIFS(K$5:K$315,$A$5:$A$315,$A286,$C$5:$C$315,$C286-1,$D$5:$D$315,$D286)&lt;0),"n.s.",ABS(K286)/ABS(SUMIFS(K$5:K$315,$A$5:$A$315,$A286,$C$5:$C$315,$C286-1,$D$5:$D$315,$D286))-1)))</f>
        <v/>
      </c>
      <c r="V286" s="16">
        <f>IF(OR($A286="",L286="",$C286=""),"",IF(COUNTIFS($A$5:$A$315,$A286,$C$5:$C$315,$C286-1,$D$5:$D$315,$D286,L$5:L$315,"&lt;&gt;")=0,"",IF(OR(SUMIFS(L$5:L$315,$A$5:$A$315,$A286,$C$5:$C$315,$C286-1,$D$5:$D$315,$D286)=0,L286*SUMIFS(L$5:L$315,$A$5:$A$315,$A286,$C$5:$C$315,$C286-1,$D$5:$D$315,$D286)&lt;0),"n.s.",ABS(L286)/ABS(SUMIFS(L$5:L$315,$A$5:$A$315,$A286,$C$5:$C$315,$C286-1,$D$5:$D$315,$D286))-1)))</f>
        <v/>
      </c>
      <c r="W286" s="16">
        <f>IF(OR($A286="",M286="",$C286=""),"",IF(COUNTIFS($A$5:$A$315,$A286,$C$5:$C$315,$C286-1,$D$5:$D$315,$D286,M$5:M$315,"&lt;&gt;")=0,"",IF(OR(SUMIFS(M$5:M$315,$A$5:$A$315,$A286,$C$5:$C$315,$C286-1,$D$5:$D$315,$D286)=0,M286*SUMIFS(M$5:M$315,$A$5:$A$315,$A286,$C$5:$C$315,$C286-1,$D$5:$D$315,$D286)&lt;0),"n.s.",ABS(M286)/ABS(SUMIFS(M$5:M$315,$A$5:$A$315,$A286,$C$5:$C$315,$C286-1,$D$5:$D$315,$D286))-1)))</f>
        <v/>
      </c>
      <c r="X286" s="16">
        <f>IF(OR($A286="",N286="",$C286=""),"",IF(COUNTIFS($A$5:$A$315,$A286,$C$5:$C$315,$C286-1,$D$5:$D$315,$D286,N$5:N$315,"&lt;&gt;")=0,"",IF(OR(SUMIFS(N$5:N$315,$A$5:$A$315,$A286,$C$5:$C$315,$C286-1,$D$5:$D$315,$D286)=0,N286*SUMIFS(N$5:N$315,$A$5:$A$315,$A286,$C$5:$C$315,$C286-1,$D$5:$D$315,$D286)&lt;0),"n.s.",ABS(N286)/ABS(SUMIFS(N$5:N$315,$A$5:$A$315,$A286,$C$5:$C$315,$C286-1,$D$5:$D$315,$D286))-1)))</f>
        <v/>
      </c>
      <c r="Y286" s="16">
        <f>IF(OR($A286="",O286="",$C286=""),"",IF(COUNTIFS($A$5:$A$315,$A286,$C$5:$C$315,$C286-1,$D$5:$D$315,$D286,O$5:O$315,"&lt;&gt;")=0,"",IF(OR(SUMIFS(O$5:O$315,$A$5:$A$315,$A286,$C$5:$C$315,$C286-1,$D$5:$D$315,$D286)=0,O286*SUMIFS(O$5:O$315,$A$5:$A$315,$A286,$C$5:$C$315,$C286-1,$D$5:$D$315,$D286)&lt;0),"n.s.",ABS(O286)/ABS(SUMIFS(O$5:O$315,$A$5:$A$315,$A286,$C$5:$C$315,$C286-1,$D$5:$D$315,$D286))-1)))</f>
        <v/>
      </c>
    </row>
    <row r="287">
      <c r="A287" s="9" t="n"/>
      <c r="B287" s="10">
        <f>IF(A287="","",IFERROR(VLOOKUP(A287,Titres!$A$2:$B$400,2,FALSE),"Ticker inconnu"))</f>
        <v/>
      </c>
      <c r="C287" s="11" t="n"/>
      <c r="D287" s="11" t="n"/>
      <c r="E287" s="9" t="n"/>
      <c r="F287" s="12" t="n"/>
      <c r="G287" s="9" t="n"/>
      <c r="H287" s="13" t="n"/>
      <c r="I287" s="13" t="n"/>
      <c r="J287" s="13" t="n"/>
      <c r="K287" s="13" t="n"/>
      <c r="L287" s="13" t="n"/>
      <c r="M287" s="13" t="n"/>
      <c r="N287" s="13" t="n"/>
      <c r="O287" s="13" t="n"/>
      <c r="P287" s="14">
        <f>IF(A287="","",COUNT(H287:O287)/8)</f>
        <v/>
      </c>
      <c r="Q287" s="15">
        <f>IF(COUNT(H287:O287)=0,"",IF(LEN(IF(COUNT(H287,I287,J287)=3,IF(ABS(H287+I287-J287)&lt;=MAX(1,0.02*ABS(J287)),"","RBE &lt;&gt; PNB + frais "),"")&amp;IF(COUNT(J287,K287,L287)=3,IF(ABS(J287+K287-L287)&lt;=MAX(1,0.03*ABS(L287)),"","RAI &lt;&gt; RBE + coût du risque "),"")&amp;IF(COUNT(H287,M287)=2,IF(ABS(M287)&gt;ABS(H287),"RN &gt; PNB ",""),""))=0,"OK",IF(COUNT(H287,I287,J287)=3,IF(ABS(H287+I287-J287)&lt;=MAX(1,0.02*ABS(J287)),"","RBE &lt;&gt; PNB + frais "),"")&amp;IF(COUNT(J287,K287,L287)=3,IF(ABS(J287+K287-L287)&lt;=MAX(1,0.03*ABS(L287)),"","RAI &lt;&gt; RBE + coût du risque "),"")&amp;IF(COUNT(H287,M287)=2,IF(ABS(M287)&gt;ABS(H287),"RN &gt; PNB ",""),"")))</f>
        <v/>
      </c>
      <c r="R287" s="16">
        <f>IF(OR($A287="",H287="",$C287=""),"",IF(COUNTIFS($A$5:$A$315,$A287,$C$5:$C$315,$C287-1,$D$5:$D$315,$D287,H$5:H$315,"&lt;&gt;")=0,"",IF(OR(SUMIFS(H$5:H$315,$A$5:$A$315,$A287,$C$5:$C$315,$C287-1,$D$5:$D$315,$D287)=0,H287*SUMIFS(H$5:H$315,$A$5:$A$315,$A287,$C$5:$C$315,$C287-1,$D$5:$D$315,$D287)&lt;0),"n.s.",ABS(H287)/ABS(SUMIFS(H$5:H$315,$A$5:$A$315,$A287,$C$5:$C$315,$C287-1,$D$5:$D$315,$D287))-1)))</f>
        <v/>
      </c>
      <c r="S287" s="16">
        <f>IF(OR($A287="",I287="",$C287=""),"",IF(COUNTIFS($A$5:$A$315,$A287,$C$5:$C$315,$C287-1,$D$5:$D$315,$D287,I$5:I$315,"&lt;&gt;")=0,"",IF(OR(SUMIFS(I$5:I$315,$A$5:$A$315,$A287,$C$5:$C$315,$C287-1,$D$5:$D$315,$D287)=0,I287*SUMIFS(I$5:I$315,$A$5:$A$315,$A287,$C$5:$C$315,$C287-1,$D$5:$D$315,$D287)&lt;0),"n.s.",ABS(I287)/ABS(SUMIFS(I$5:I$315,$A$5:$A$315,$A287,$C$5:$C$315,$C287-1,$D$5:$D$315,$D287))-1)))</f>
        <v/>
      </c>
      <c r="T287" s="16">
        <f>IF(OR($A287="",J287="",$C287=""),"",IF(COUNTIFS($A$5:$A$315,$A287,$C$5:$C$315,$C287-1,$D$5:$D$315,$D287,J$5:J$315,"&lt;&gt;")=0,"",IF(OR(SUMIFS(J$5:J$315,$A$5:$A$315,$A287,$C$5:$C$315,$C287-1,$D$5:$D$315,$D287)=0,J287*SUMIFS(J$5:J$315,$A$5:$A$315,$A287,$C$5:$C$315,$C287-1,$D$5:$D$315,$D287)&lt;0),"n.s.",ABS(J287)/ABS(SUMIFS(J$5:J$315,$A$5:$A$315,$A287,$C$5:$C$315,$C287-1,$D$5:$D$315,$D287))-1)))</f>
        <v/>
      </c>
      <c r="U287" s="16">
        <f>IF(OR($A287="",K287="",$C287=""),"",IF(COUNTIFS($A$5:$A$315,$A287,$C$5:$C$315,$C287-1,$D$5:$D$315,$D287,K$5:K$315,"&lt;&gt;")=0,"",IF(OR(SUMIFS(K$5:K$315,$A$5:$A$315,$A287,$C$5:$C$315,$C287-1,$D$5:$D$315,$D287)=0,K287*SUMIFS(K$5:K$315,$A$5:$A$315,$A287,$C$5:$C$315,$C287-1,$D$5:$D$315,$D287)&lt;0),"n.s.",ABS(K287)/ABS(SUMIFS(K$5:K$315,$A$5:$A$315,$A287,$C$5:$C$315,$C287-1,$D$5:$D$315,$D287))-1)))</f>
        <v/>
      </c>
      <c r="V287" s="16">
        <f>IF(OR($A287="",L287="",$C287=""),"",IF(COUNTIFS($A$5:$A$315,$A287,$C$5:$C$315,$C287-1,$D$5:$D$315,$D287,L$5:L$315,"&lt;&gt;")=0,"",IF(OR(SUMIFS(L$5:L$315,$A$5:$A$315,$A287,$C$5:$C$315,$C287-1,$D$5:$D$315,$D287)=0,L287*SUMIFS(L$5:L$315,$A$5:$A$315,$A287,$C$5:$C$315,$C287-1,$D$5:$D$315,$D287)&lt;0),"n.s.",ABS(L287)/ABS(SUMIFS(L$5:L$315,$A$5:$A$315,$A287,$C$5:$C$315,$C287-1,$D$5:$D$315,$D287))-1)))</f>
        <v/>
      </c>
      <c r="W287" s="16">
        <f>IF(OR($A287="",M287="",$C287=""),"",IF(COUNTIFS($A$5:$A$315,$A287,$C$5:$C$315,$C287-1,$D$5:$D$315,$D287,M$5:M$315,"&lt;&gt;")=0,"",IF(OR(SUMIFS(M$5:M$315,$A$5:$A$315,$A287,$C$5:$C$315,$C287-1,$D$5:$D$315,$D287)=0,M287*SUMIFS(M$5:M$315,$A$5:$A$315,$A287,$C$5:$C$315,$C287-1,$D$5:$D$315,$D287)&lt;0),"n.s.",ABS(M287)/ABS(SUMIFS(M$5:M$315,$A$5:$A$315,$A287,$C$5:$C$315,$C287-1,$D$5:$D$315,$D287))-1)))</f>
        <v/>
      </c>
      <c r="X287" s="16">
        <f>IF(OR($A287="",N287="",$C287=""),"",IF(COUNTIFS($A$5:$A$315,$A287,$C$5:$C$315,$C287-1,$D$5:$D$315,$D287,N$5:N$315,"&lt;&gt;")=0,"",IF(OR(SUMIFS(N$5:N$315,$A$5:$A$315,$A287,$C$5:$C$315,$C287-1,$D$5:$D$315,$D287)=0,N287*SUMIFS(N$5:N$315,$A$5:$A$315,$A287,$C$5:$C$315,$C287-1,$D$5:$D$315,$D287)&lt;0),"n.s.",ABS(N287)/ABS(SUMIFS(N$5:N$315,$A$5:$A$315,$A287,$C$5:$C$315,$C287-1,$D$5:$D$315,$D287))-1)))</f>
        <v/>
      </c>
      <c r="Y287" s="16">
        <f>IF(OR($A287="",O287="",$C287=""),"",IF(COUNTIFS($A$5:$A$315,$A287,$C$5:$C$315,$C287-1,$D$5:$D$315,$D287,O$5:O$315,"&lt;&gt;")=0,"",IF(OR(SUMIFS(O$5:O$315,$A$5:$A$315,$A287,$C$5:$C$315,$C287-1,$D$5:$D$315,$D287)=0,O287*SUMIFS(O$5:O$315,$A$5:$A$315,$A287,$C$5:$C$315,$C287-1,$D$5:$D$315,$D287)&lt;0),"n.s.",ABS(O287)/ABS(SUMIFS(O$5:O$315,$A$5:$A$315,$A287,$C$5:$C$315,$C287-1,$D$5:$D$315,$D287))-1)))</f>
        <v/>
      </c>
    </row>
    <row r="288">
      <c r="A288" s="9" t="n"/>
      <c r="B288" s="10">
        <f>IF(A288="","",IFERROR(VLOOKUP(A288,Titres!$A$2:$B$400,2,FALSE),"Ticker inconnu"))</f>
        <v/>
      </c>
      <c r="C288" s="11" t="n"/>
      <c r="D288" s="11" t="n"/>
      <c r="E288" s="9" t="n"/>
      <c r="F288" s="12" t="n"/>
      <c r="G288" s="9" t="n"/>
      <c r="H288" s="13" t="n"/>
      <c r="I288" s="13" t="n"/>
      <c r="J288" s="13" t="n"/>
      <c r="K288" s="13" t="n"/>
      <c r="L288" s="13" t="n"/>
      <c r="M288" s="13" t="n"/>
      <c r="N288" s="13" t="n"/>
      <c r="O288" s="13" t="n"/>
      <c r="P288" s="14">
        <f>IF(A288="","",COUNT(H288:O288)/8)</f>
        <v/>
      </c>
      <c r="Q288" s="15">
        <f>IF(COUNT(H288:O288)=0,"",IF(LEN(IF(COUNT(H288,I288,J288)=3,IF(ABS(H288+I288-J288)&lt;=MAX(1,0.02*ABS(J288)),"","RBE &lt;&gt; PNB + frais "),"")&amp;IF(COUNT(J288,K288,L288)=3,IF(ABS(J288+K288-L288)&lt;=MAX(1,0.03*ABS(L288)),"","RAI &lt;&gt; RBE + coût du risque "),"")&amp;IF(COUNT(H288,M288)=2,IF(ABS(M288)&gt;ABS(H288),"RN &gt; PNB ",""),""))=0,"OK",IF(COUNT(H288,I288,J288)=3,IF(ABS(H288+I288-J288)&lt;=MAX(1,0.02*ABS(J288)),"","RBE &lt;&gt; PNB + frais "),"")&amp;IF(COUNT(J288,K288,L288)=3,IF(ABS(J288+K288-L288)&lt;=MAX(1,0.03*ABS(L288)),"","RAI &lt;&gt; RBE + coût du risque "),"")&amp;IF(COUNT(H288,M288)=2,IF(ABS(M288)&gt;ABS(H288),"RN &gt; PNB ",""),"")))</f>
        <v/>
      </c>
      <c r="R288" s="16">
        <f>IF(OR($A288="",H288="",$C288=""),"",IF(COUNTIFS($A$5:$A$315,$A288,$C$5:$C$315,$C288-1,$D$5:$D$315,$D288,H$5:H$315,"&lt;&gt;")=0,"",IF(OR(SUMIFS(H$5:H$315,$A$5:$A$315,$A288,$C$5:$C$315,$C288-1,$D$5:$D$315,$D288)=0,H288*SUMIFS(H$5:H$315,$A$5:$A$315,$A288,$C$5:$C$315,$C288-1,$D$5:$D$315,$D288)&lt;0),"n.s.",ABS(H288)/ABS(SUMIFS(H$5:H$315,$A$5:$A$315,$A288,$C$5:$C$315,$C288-1,$D$5:$D$315,$D288))-1)))</f>
        <v/>
      </c>
      <c r="S288" s="16">
        <f>IF(OR($A288="",I288="",$C288=""),"",IF(COUNTIFS($A$5:$A$315,$A288,$C$5:$C$315,$C288-1,$D$5:$D$315,$D288,I$5:I$315,"&lt;&gt;")=0,"",IF(OR(SUMIFS(I$5:I$315,$A$5:$A$315,$A288,$C$5:$C$315,$C288-1,$D$5:$D$315,$D288)=0,I288*SUMIFS(I$5:I$315,$A$5:$A$315,$A288,$C$5:$C$315,$C288-1,$D$5:$D$315,$D288)&lt;0),"n.s.",ABS(I288)/ABS(SUMIFS(I$5:I$315,$A$5:$A$315,$A288,$C$5:$C$315,$C288-1,$D$5:$D$315,$D288))-1)))</f>
        <v/>
      </c>
      <c r="T288" s="16">
        <f>IF(OR($A288="",J288="",$C288=""),"",IF(COUNTIFS($A$5:$A$315,$A288,$C$5:$C$315,$C288-1,$D$5:$D$315,$D288,J$5:J$315,"&lt;&gt;")=0,"",IF(OR(SUMIFS(J$5:J$315,$A$5:$A$315,$A288,$C$5:$C$315,$C288-1,$D$5:$D$315,$D288)=0,J288*SUMIFS(J$5:J$315,$A$5:$A$315,$A288,$C$5:$C$315,$C288-1,$D$5:$D$315,$D288)&lt;0),"n.s.",ABS(J288)/ABS(SUMIFS(J$5:J$315,$A$5:$A$315,$A288,$C$5:$C$315,$C288-1,$D$5:$D$315,$D288))-1)))</f>
        <v/>
      </c>
      <c r="U288" s="16">
        <f>IF(OR($A288="",K288="",$C288=""),"",IF(COUNTIFS($A$5:$A$315,$A288,$C$5:$C$315,$C288-1,$D$5:$D$315,$D288,K$5:K$315,"&lt;&gt;")=0,"",IF(OR(SUMIFS(K$5:K$315,$A$5:$A$315,$A288,$C$5:$C$315,$C288-1,$D$5:$D$315,$D288)=0,K288*SUMIFS(K$5:K$315,$A$5:$A$315,$A288,$C$5:$C$315,$C288-1,$D$5:$D$315,$D288)&lt;0),"n.s.",ABS(K288)/ABS(SUMIFS(K$5:K$315,$A$5:$A$315,$A288,$C$5:$C$315,$C288-1,$D$5:$D$315,$D288))-1)))</f>
        <v/>
      </c>
      <c r="V288" s="16">
        <f>IF(OR($A288="",L288="",$C288=""),"",IF(COUNTIFS($A$5:$A$315,$A288,$C$5:$C$315,$C288-1,$D$5:$D$315,$D288,L$5:L$315,"&lt;&gt;")=0,"",IF(OR(SUMIFS(L$5:L$315,$A$5:$A$315,$A288,$C$5:$C$315,$C288-1,$D$5:$D$315,$D288)=0,L288*SUMIFS(L$5:L$315,$A$5:$A$315,$A288,$C$5:$C$315,$C288-1,$D$5:$D$315,$D288)&lt;0),"n.s.",ABS(L288)/ABS(SUMIFS(L$5:L$315,$A$5:$A$315,$A288,$C$5:$C$315,$C288-1,$D$5:$D$315,$D288))-1)))</f>
        <v/>
      </c>
      <c r="W288" s="16">
        <f>IF(OR($A288="",M288="",$C288=""),"",IF(COUNTIFS($A$5:$A$315,$A288,$C$5:$C$315,$C288-1,$D$5:$D$315,$D288,M$5:M$315,"&lt;&gt;")=0,"",IF(OR(SUMIFS(M$5:M$315,$A$5:$A$315,$A288,$C$5:$C$315,$C288-1,$D$5:$D$315,$D288)=0,M288*SUMIFS(M$5:M$315,$A$5:$A$315,$A288,$C$5:$C$315,$C288-1,$D$5:$D$315,$D288)&lt;0),"n.s.",ABS(M288)/ABS(SUMIFS(M$5:M$315,$A$5:$A$315,$A288,$C$5:$C$315,$C288-1,$D$5:$D$315,$D288))-1)))</f>
        <v/>
      </c>
      <c r="X288" s="16">
        <f>IF(OR($A288="",N288="",$C288=""),"",IF(COUNTIFS($A$5:$A$315,$A288,$C$5:$C$315,$C288-1,$D$5:$D$315,$D288,N$5:N$315,"&lt;&gt;")=0,"",IF(OR(SUMIFS(N$5:N$315,$A$5:$A$315,$A288,$C$5:$C$315,$C288-1,$D$5:$D$315,$D288)=0,N288*SUMIFS(N$5:N$315,$A$5:$A$315,$A288,$C$5:$C$315,$C288-1,$D$5:$D$315,$D288)&lt;0),"n.s.",ABS(N288)/ABS(SUMIFS(N$5:N$315,$A$5:$A$315,$A288,$C$5:$C$315,$C288-1,$D$5:$D$315,$D288))-1)))</f>
        <v/>
      </c>
      <c r="Y288" s="16">
        <f>IF(OR($A288="",O288="",$C288=""),"",IF(COUNTIFS($A$5:$A$315,$A288,$C$5:$C$315,$C288-1,$D$5:$D$315,$D288,O$5:O$315,"&lt;&gt;")=0,"",IF(OR(SUMIFS(O$5:O$315,$A$5:$A$315,$A288,$C$5:$C$315,$C288-1,$D$5:$D$315,$D288)=0,O288*SUMIFS(O$5:O$315,$A$5:$A$315,$A288,$C$5:$C$315,$C288-1,$D$5:$D$315,$D288)&lt;0),"n.s.",ABS(O288)/ABS(SUMIFS(O$5:O$315,$A$5:$A$315,$A288,$C$5:$C$315,$C288-1,$D$5:$D$315,$D288))-1)))</f>
        <v/>
      </c>
    </row>
    <row r="289">
      <c r="A289" s="9" t="n"/>
      <c r="B289" s="10">
        <f>IF(A289="","",IFERROR(VLOOKUP(A289,Titres!$A$2:$B$400,2,FALSE),"Ticker inconnu"))</f>
        <v/>
      </c>
      <c r="C289" s="11" t="n"/>
      <c r="D289" s="11" t="n"/>
      <c r="E289" s="9" t="n"/>
      <c r="F289" s="12" t="n"/>
      <c r="G289" s="9" t="n"/>
      <c r="H289" s="13" t="n"/>
      <c r="I289" s="13" t="n"/>
      <c r="J289" s="13" t="n"/>
      <c r="K289" s="13" t="n"/>
      <c r="L289" s="13" t="n"/>
      <c r="M289" s="13" t="n"/>
      <c r="N289" s="13" t="n"/>
      <c r="O289" s="13" t="n"/>
      <c r="P289" s="14">
        <f>IF(A289="","",COUNT(H289:O289)/8)</f>
        <v/>
      </c>
      <c r="Q289" s="15">
        <f>IF(COUNT(H289:O289)=0,"",IF(LEN(IF(COUNT(H289,I289,J289)=3,IF(ABS(H289+I289-J289)&lt;=MAX(1,0.02*ABS(J289)),"","RBE &lt;&gt; PNB + frais "),"")&amp;IF(COUNT(J289,K289,L289)=3,IF(ABS(J289+K289-L289)&lt;=MAX(1,0.03*ABS(L289)),"","RAI &lt;&gt; RBE + coût du risque "),"")&amp;IF(COUNT(H289,M289)=2,IF(ABS(M289)&gt;ABS(H289),"RN &gt; PNB ",""),""))=0,"OK",IF(COUNT(H289,I289,J289)=3,IF(ABS(H289+I289-J289)&lt;=MAX(1,0.02*ABS(J289)),"","RBE &lt;&gt; PNB + frais "),"")&amp;IF(COUNT(J289,K289,L289)=3,IF(ABS(J289+K289-L289)&lt;=MAX(1,0.03*ABS(L289)),"","RAI &lt;&gt; RBE + coût du risque "),"")&amp;IF(COUNT(H289,M289)=2,IF(ABS(M289)&gt;ABS(H289),"RN &gt; PNB ",""),"")))</f>
        <v/>
      </c>
      <c r="R289" s="16">
        <f>IF(OR($A289="",H289="",$C289=""),"",IF(COUNTIFS($A$5:$A$315,$A289,$C$5:$C$315,$C289-1,$D$5:$D$315,$D289,H$5:H$315,"&lt;&gt;")=0,"",IF(OR(SUMIFS(H$5:H$315,$A$5:$A$315,$A289,$C$5:$C$315,$C289-1,$D$5:$D$315,$D289)=0,H289*SUMIFS(H$5:H$315,$A$5:$A$315,$A289,$C$5:$C$315,$C289-1,$D$5:$D$315,$D289)&lt;0),"n.s.",ABS(H289)/ABS(SUMIFS(H$5:H$315,$A$5:$A$315,$A289,$C$5:$C$315,$C289-1,$D$5:$D$315,$D289))-1)))</f>
        <v/>
      </c>
      <c r="S289" s="16">
        <f>IF(OR($A289="",I289="",$C289=""),"",IF(COUNTIFS($A$5:$A$315,$A289,$C$5:$C$315,$C289-1,$D$5:$D$315,$D289,I$5:I$315,"&lt;&gt;")=0,"",IF(OR(SUMIFS(I$5:I$315,$A$5:$A$315,$A289,$C$5:$C$315,$C289-1,$D$5:$D$315,$D289)=0,I289*SUMIFS(I$5:I$315,$A$5:$A$315,$A289,$C$5:$C$315,$C289-1,$D$5:$D$315,$D289)&lt;0),"n.s.",ABS(I289)/ABS(SUMIFS(I$5:I$315,$A$5:$A$315,$A289,$C$5:$C$315,$C289-1,$D$5:$D$315,$D289))-1)))</f>
        <v/>
      </c>
      <c r="T289" s="16">
        <f>IF(OR($A289="",J289="",$C289=""),"",IF(COUNTIFS($A$5:$A$315,$A289,$C$5:$C$315,$C289-1,$D$5:$D$315,$D289,J$5:J$315,"&lt;&gt;")=0,"",IF(OR(SUMIFS(J$5:J$315,$A$5:$A$315,$A289,$C$5:$C$315,$C289-1,$D$5:$D$315,$D289)=0,J289*SUMIFS(J$5:J$315,$A$5:$A$315,$A289,$C$5:$C$315,$C289-1,$D$5:$D$315,$D289)&lt;0),"n.s.",ABS(J289)/ABS(SUMIFS(J$5:J$315,$A$5:$A$315,$A289,$C$5:$C$315,$C289-1,$D$5:$D$315,$D289))-1)))</f>
        <v/>
      </c>
      <c r="U289" s="16">
        <f>IF(OR($A289="",K289="",$C289=""),"",IF(COUNTIFS($A$5:$A$315,$A289,$C$5:$C$315,$C289-1,$D$5:$D$315,$D289,K$5:K$315,"&lt;&gt;")=0,"",IF(OR(SUMIFS(K$5:K$315,$A$5:$A$315,$A289,$C$5:$C$315,$C289-1,$D$5:$D$315,$D289)=0,K289*SUMIFS(K$5:K$315,$A$5:$A$315,$A289,$C$5:$C$315,$C289-1,$D$5:$D$315,$D289)&lt;0),"n.s.",ABS(K289)/ABS(SUMIFS(K$5:K$315,$A$5:$A$315,$A289,$C$5:$C$315,$C289-1,$D$5:$D$315,$D289))-1)))</f>
        <v/>
      </c>
      <c r="V289" s="16">
        <f>IF(OR($A289="",L289="",$C289=""),"",IF(COUNTIFS($A$5:$A$315,$A289,$C$5:$C$315,$C289-1,$D$5:$D$315,$D289,L$5:L$315,"&lt;&gt;")=0,"",IF(OR(SUMIFS(L$5:L$315,$A$5:$A$315,$A289,$C$5:$C$315,$C289-1,$D$5:$D$315,$D289)=0,L289*SUMIFS(L$5:L$315,$A$5:$A$315,$A289,$C$5:$C$315,$C289-1,$D$5:$D$315,$D289)&lt;0),"n.s.",ABS(L289)/ABS(SUMIFS(L$5:L$315,$A$5:$A$315,$A289,$C$5:$C$315,$C289-1,$D$5:$D$315,$D289))-1)))</f>
        <v/>
      </c>
      <c r="W289" s="16">
        <f>IF(OR($A289="",M289="",$C289=""),"",IF(COUNTIFS($A$5:$A$315,$A289,$C$5:$C$315,$C289-1,$D$5:$D$315,$D289,M$5:M$315,"&lt;&gt;")=0,"",IF(OR(SUMIFS(M$5:M$315,$A$5:$A$315,$A289,$C$5:$C$315,$C289-1,$D$5:$D$315,$D289)=0,M289*SUMIFS(M$5:M$315,$A$5:$A$315,$A289,$C$5:$C$315,$C289-1,$D$5:$D$315,$D289)&lt;0),"n.s.",ABS(M289)/ABS(SUMIFS(M$5:M$315,$A$5:$A$315,$A289,$C$5:$C$315,$C289-1,$D$5:$D$315,$D289))-1)))</f>
        <v/>
      </c>
      <c r="X289" s="16">
        <f>IF(OR($A289="",N289="",$C289=""),"",IF(COUNTIFS($A$5:$A$315,$A289,$C$5:$C$315,$C289-1,$D$5:$D$315,$D289,N$5:N$315,"&lt;&gt;")=0,"",IF(OR(SUMIFS(N$5:N$315,$A$5:$A$315,$A289,$C$5:$C$315,$C289-1,$D$5:$D$315,$D289)=0,N289*SUMIFS(N$5:N$315,$A$5:$A$315,$A289,$C$5:$C$315,$C289-1,$D$5:$D$315,$D289)&lt;0),"n.s.",ABS(N289)/ABS(SUMIFS(N$5:N$315,$A$5:$A$315,$A289,$C$5:$C$315,$C289-1,$D$5:$D$315,$D289))-1)))</f>
        <v/>
      </c>
      <c r="Y289" s="16">
        <f>IF(OR($A289="",O289="",$C289=""),"",IF(COUNTIFS($A$5:$A$315,$A289,$C$5:$C$315,$C289-1,$D$5:$D$315,$D289,O$5:O$315,"&lt;&gt;")=0,"",IF(OR(SUMIFS(O$5:O$315,$A$5:$A$315,$A289,$C$5:$C$315,$C289-1,$D$5:$D$315,$D289)=0,O289*SUMIFS(O$5:O$315,$A$5:$A$315,$A289,$C$5:$C$315,$C289-1,$D$5:$D$315,$D289)&lt;0),"n.s.",ABS(O289)/ABS(SUMIFS(O$5:O$315,$A$5:$A$315,$A289,$C$5:$C$315,$C289-1,$D$5:$D$315,$D289))-1)))</f>
        <v/>
      </c>
    </row>
    <row r="290">
      <c r="A290" s="9" t="n"/>
      <c r="B290" s="10">
        <f>IF(A290="","",IFERROR(VLOOKUP(A290,Titres!$A$2:$B$400,2,FALSE),"Ticker inconnu"))</f>
        <v/>
      </c>
      <c r="C290" s="11" t="n"/>
      <c r="D290" s="11" t="n"/>
      <c r="E290" s="9" t="n"/>
      <c r="F290" s="12" t="n"/>
      <c r="G290" s="9" t="n"/>
      <c r="H290" s="13" t="n"/>
      <c r="I290" s="13" t="n"/>
      <c r="J290" s="13" t="n"/>
      <c r="K290" s="13" t="n"/>
      <c r="L290" s="13" t="n"/>
      <c r="M290" s="13" t="n"/>
      <c r="N290" s="13" t="n"/>
      <c r="O290" s="13" t="n"/>
      <c r="P290" s="14">
        <f>IF(A290="","",COUNT(H290:O290)/8)</f>
        <v/>
      </c>
      <c r="Q290" s="15">
        <f>IF(COUNT(H290:O290)=0,"",IF(LEN(IF(COUNT(H290,I290,J290)=3,IF(ABS(H290+I290-J290)&lt;=MAX(1,0.02*ABS(J290)),"","RBE &lt;&gt; PNB + frais "),"")&amp;IF(COUNT(J290,K290,L290)=3,IF(ABS(J290+K290-L290)&lt;=MAX(1,0.03*ABS(L290)),"","RAI &lt;&gt; RBE + coût du risque "),"")&amp;IF(COUNT(H290,M290)=2,IF(ABS(M290)&gt;ABS(H290),"RN &gt; PNB ",""),""))=0,"OK",IF(COUNT(H290,I290,J290)=3,IF(ABS(H290+I290-J290)&lt;=MAX(1,0.02*ABS(J290)),"","RBE &lt;&gt; PNB + frais "),"")&amp;IF(COUNT(J290,K290,L290)=3,IF(ABS(J290+K290-L290)&lt;=MAX(1,0.03*ABS(L290)),"","RAI &lt;&gt; RBE + coût du risque "),"")&amp;IF(COUNT(H290,M290)=2,IF(ABS(M290)&gt;ABS(H290),"RN &gt; PNB ",""),"")))</f>
        <v/>
      </c>
      <c r="R290" s="16">
        <f>IF(OR($A290="",H290="",$C290=""),"",IF(COUNTIFS($A$5:$A$315,$A290,$C$5:$C$315,$C290-1,$D$5:$D$315,$D290,H$5:H$315,"&lt;&gt;")=0,"",IF(OR(SUMIFS(H$5:H$315,$A$5:$A$315,$A290,$C$5:$C$315,$C290-1,$D$5:$D$315,$D290)=0,H290*SUMIFS(H$5:H$315,$A$5:$A$315,$A290,$C$5:$C$315,$C290-1,$D$5:$D$315,$D290)&lt;0),"n.s.",ABS(H290)/ABS(SUMIFS(H$5:H$315,$A$5:$A$315,$A290,$C$5:$C$315,$C290-1,$D$5:$D$315,$D290))-1)))</f>
        <v/>
      </c>
      <c r="S290" s="16">
        <f>IF(OR($A290="",I290="",$C290=""),"",IF(COUNTIFS($A$5:$A$315,$A290,$C$5:$C$315,$C290-1,$D$5:$D$315,$D290,I$5:I$315,"&lt;&gt;")=0,"",IF(OR(SUMIFS(I$5:I$315,$A$5:$A$315,$A290,$C$5:$C$315,$C290-1,$D$5:$D$315,$D290)=0,I290*SUMIFS(I$5:I$315,$A$5:$A$315,$A290,$C$5:$C$315,$C290-1,$D$5:$D$315,$D290)&lt;0),"n.s.",ABS(I290)/ABS(SUMIFS(I$5:I$315,$A$5:$A$315,$A290,$C$5:$C$315,$C290-1,$D$5:$D$315,$D290))-1)))</f>
        <v/>
      </c>
      <c r="T290" s="16">
        <f>IF(OR($A290="",J290="",$C290=""),"",IF(COUNTIFS($A$5:$A$315,$A290,$C$5:$C$315,$C290-1,$D$5:$D$315,$D290,J$5:J$315,"&lt;&gt;")=0,"",IF(OR(SUMIFS(J$5:J$315,$A$5:$A$315,$A290,$C$5:$C$315,$C290-1,$D$5:$D$315,$D290)=0,J290*SUMIFS(J$5:J$315,$A$5:$A$315,$A290,$C$5:$C$315,$C290-1,$D$5:$D$315,$D290)&lt;0),"n.s.",ABS(J290)/ABS(SUMIFS(J$5:J$315,$A$5:$A$315,$A290,$C$5:$C$315,$C290-1,$D$5:$D$315,$D290))-1)))</f>
        <v/>
      </c>
      <c r="U290" s="16">
        <f>IF(OR($A290="",K290="",$C290=""),"",IF(COUNTIFS($A$5:$A$315,$A290,$C$5:$C$315,$C290-1,$D$5:$D$315,$D290,K$5:K$315,"&lt;&gt;")=0,"",IF(OR(SUMIFS(K$5:K$315,$A$5:$A$315,$A290,$C$5:$C$315,$C290-1,$D$5:$D$315,$D290)=0,K290*SUMIFS(K$5:K$315,$A$5:$A$315,$A290,$C$5:$C$315,$C290-1,$D$5:$D$315,$D290)&lt;0),"n.s.",ABS(K290)/ABS(SUMIFS(K$5:K$315,$A$5:$A$315,$A290,$C$5:$C$315,$C290-1,$D$5:$D$315,$D290))-1)))</f>
        <v/>
      </c>
      <c r="V290" s="16">
        <f>IF(OR($A290="",L290="",$C290=""),"",IF(COUNTIFS($A$5:$A$315,$A290,$C$5:$C$315,$C290-1,$D$5:$D$315,$D290,L$5:L$315,"&lt;&gt;")=0,"",IF(OR(SUMIFS(L$5:L$315,$A$5:$A$315,$A290,$C$5:$C$315,$C290-1,$D$5:$D$315,$D290)=0,L290*SUMIFS(L$5:L$315,$A$5:$A$315,$A290,$C$5:$C$315,$C290-1,$D$5:$D$315,$D290)&lt;0),"n.s.",ABS(L290)/ABS(SUMIFS(L$5:L$315,$A$5:$A$315,$A290,$C$5:$C$315,$C290-1,$D$5:$D$315,$D290))-1)))</f>
        <v/>
      </c>
      <c r="W290" s="16">
        <f>IF(OR($A290="",M290="",$C290=""),"",IF(COUNTIFS($A$5:$A$315,$A290,$C$5:$C$315,$C290-1,$D$5:$D$315,$D290,M$5:M$315,"&lt;&gt;")=0,"",IF(OR(SUMIFS(M$5:M$315,$A$5:$A$315,$A290,$C$5:$C$315,$C290-1,$D$5:$D$315,$D290)=0,M290*SUMIFS(M$5:M$315,$A$5:$A$315,$A290,$C$5:$C$315,$C290-1,$D$5:$D$315,$D290)&lt;0),"n.s.",ABS(M290)/ABS(SUMIFS(M$5:M$315,$A$5:$A$315,$A290,$C$5:$C$315,$C290-1,$D$5:$D$315,$D290))-1)))</f>
        <v/>
      </c>
      <c r="X290" s="16">
        <f>IF(OR($A290="",N290="",$C290=""),"",IF(COUNTIFS($A$5:$A$315,$A290,$C$5:$C$315,$C290-1,$D$5:$D$315,$D290,N$5:N$315,"&lt;&gt;")=0,"",IF(OR(SUMIFS(N$5:N$315,$A$5:$A$315,$A290,$C$5:$C$315,$C290-1,$D$5:$D$315,$D290)=0,N290*SUMIFS(N$5:N$315,$A$5:$A$315,$A290,$C$5:$C$315,$C290-1,$D$5:$D$315,$D290)&lt;0),"n.s.",ABS(N290)/ABS(SUMIFS(N$5:N$315,$A$5:$A$315,$A290,$C$5:$C$315,$C290-1,$D$5:$D$315,$D290))-1)))</f>
        <v/>
      </c>
      <c r="Y290" s="16">
        <f>IF(OR($A290="",O290="",$C290=""),"",IF(COUNTIFS($A$5:$A$315,$A290,$C$5:$C$315,$C290-1,$D$5:$D$315,$D290,O$5:O$315,"&lt;&gt;")=0,"",IF(OR(SUMIFS(O$5:O$315,$A$5:$A$315,$A290,$C$5:$C$315,$C290-1,$D$5:$D$315,$D290)=0,O290*SUMIFS(O$5:O$315,$A$5:$A$315,$A290,$C$5:$C$315,$C290-1,$D$5:$D$315,$D290)&lt;0),"n.s.",ABS(O290)/ABS(SUMIFS(O$5:O$315,$A$5:$A$315,$A290,$C$5:$C$315,$C290-1,$D$5:$D$315,$D290))-1)))</f>
        <v/>
      </c>
    </row>
    <row r="291">
      <c r="A291" s="9" t="n"/>
      <c r="B291" s="10">
        <f>IF(A291="","",IFERROR(VLOOKUP(A291,Titres!$A$2:$B$400,2,FALSE),"Ticker inconnu"))</f>
        <v/>
      </c>
      <c r="C291" s="11" t="n"/>
      <c r="D291" s="11" t="n"/>
      <c r="E291" s="9" t="n"/>
      <c r="F291" s="12" t="n"/>
      <c r="G291" s="9" t="n"/>
      <c r="H291" s="13" t="n"/>
      <c r="I291" s="13" t="n"/>
      <c r="J291" s="13" t="n"/>
      <c r="K291" s="13" t="n"/>
      <c r="L291" s="13" t="n"/>
      <c r="M291" s="13" t="n"/>
      <c r="N291" s="13" t="n"/>
      <c r="O291" s="13" t="n"/>
      <c r="P291" s="14">
        <f>IF(A291="","",COUNT(H291:O291)/8)</f>
        <v/>
      </c>
      <c r="Q291" s="15">
        <f>IF(COUNT(H291:O291)=0,"",IF(LEN(IF(COUNT(H291,I291,J291)=3,IF(ABS(H291+I291-J291)&lt;=MAX(1,0.02*ABS(J291)),"","RBE &lt;&gt; PNB + frais "),"")&amp;IF(COUNT(J291,K291,L291)=3,IF(ABS(J291+K291-L291)&lt;=MAX(1,0.03*ABS(L291)),"","RAI &lt;&gt; RBE + coût du risque "),"")&amp;IF(COUNT(H291,M291)=2,IF(ABS(M291)&gt;ABS(H291),"RN &gt; PNB ",""),""))=0,"OK",IF(COUNT(H291,I291,J291)=3,IF(ABS(H291+I291-J291)&lt;=MAX(1,0.02*ABS(J291)),"","RBE &lt;&gt; PNB + frais "),"")&amp;IF(COUNT(J291,K291,L291)=3,IF(ABS(J291+K291-L291)&lt;=MAX(1,0.03*ABS(L291)),"","RAI &lt;&gt; RBE + coût du risque "),"")&amp;IF(COUNT(H291,M291)=2,IF(ABS(M291)&gt;ABS(H291),"RN &gt; PNB ",""),"")))</f>
        <v/>
      </c>
      <c r="R291" s="16">
        <f>IF(OR($A291="",H291="",$C291=""),"",IF(COUNTIFS($A$5:$A$315,$A291,$C$5:$C$315,$C291-1,$D$5:$D$315,$D291,H$5:H$315,"&lt;&gt;")=0,"",IF(OR(SUMIFS(H$5:H$315,$A$5:$A$315,$A291,$C$5:$C$315,$C291-1,$D$5:$D$315,$D291)=0,H291*SUMIFS(H$5:H$315,$A$5:$A$315,$A291,$C$5:$C$315,$C291-1,$D$5:$D$315,$D291)&lt;0),"n.s.",ABS(H291)/ABS(SUMIFS(H$5:H$315,$A$5:$A$315,$A291,$C$5:$C$315,$C291-1,$D$5:$D$315,$D291))-1)))</f>
        <v/>
      </c>
      <c r="S291" s="16">
        <f>IF(OR($A291="",I291="",$C291=""),"",IF(COUNTIFS($A$5:$A$315,$A291,$C$5:$C$315,$C291-1,$D$5:$D$315,$D291,I$5:I$315,"&lt;&gt;")=0,"",IF(OR(SUMIFS(I$5:I$315,$A$5:$A$315,$A291,$C$5:$C$315,$C291-1,$D$5:$D$315,$D291)=0,I291*SUMIFS(I$5:I$315,$A$5:$A$315,$A291,$C$5:$C$315,$C291-1,$D$5:$D$315,$D291)&lt;0),"n.s.",ABS(I291)/ABS(SUMIFS(I$5:I$315,$A$5:$A$315,$A291,$C$5:$C$315,$C291-1,$D$5:$D$315,$D291))-1)))</f>
        <v/>
      </c>
      <c r="T291" s="16">
        <f>IF(OR($A291="",J291="",$C291=""),"",IF(COUNTIFS($A$5:$A$315,$A291,$C$5:$C$315,$C291-1,$D$5:$D$315,$D291,J$5:J$315,"&lt;&gt;")=0,"",IF(OR(SUMIFS(J$5:J$315,$A$5:$A$315,$A291,$C$5:$C$315,$C291-1,$D$5:$D$315,$D291)=0,J291*SUMIFS(J$5:J$315,$A$5:$A$315,$A291,$C$5:$C$315,$C291-1,$D$5:$D$315,$D291)&lt;0),"n.s.",ABS(J291)/ABS(SUMIFS(J$5:J$315,$A$5:$A$315,$A291,$C$5:$C$315,$C291-1,$D$5:$D$315,$D291))-1)))</f>
        <v/>
      </c>
      <c r="U291" s="16">
        <f>IF(OR($A291="",K291="",$C291=""),"",IF(COUNTIFS($A$5:$A$315,$A291,$C$5:$C$315,$C291-1,$D$5:$D$315,$D291,K$5:K$315,"&lt;&gt;")=0,"",IF(OR(SUMIFS(K$5:K$315,$A$5:$A$315,$A291,$C$5:$C$315,$C291-1,$D$5:$D$315,$D291)=0,K291*SUMIFS(K$5:K$315,$A$5:$A$315,$A291,$C$5:$C$315,$C291-1,$D$5:$D$315,$D291)&lt;0),"n.s.",ABS(K291)/ABS(SUMIFS(K$5:K$315,$A$5:$A$315,$A291,$C$5:$C$315,$C291-1,$D$5:$D$315,$D291))-1)))</f>
        <v/>
      </c>
      <c r="V291" s="16">
        <f>IF(OR($A291="",L291="",$C291=""),"",IF(COUNTIFS($A$5:$A$315,$A291,$C$5:$C$315,$C291-1,$D$5:$D$315,$D291,L$5:L$315,"&lt;&gt;")=0,"",IF(OR(SUMIFS(L$5:L$315,$A$5:$A$315,$A291,$C$5:$C$315,$C291-1,$D$5:$D$315,$D291)=0,L291*SUMIFS(L$5:L$315,$A$5:$A$315,$A291,$C$5:$C$315,$C291-1,$D$5:$D$315,$D291)&lt;0),"n.s.",ABS(L291)/ABS(SUMIFS(L$5:L$315,$A$5:$A$315,$A291,$C$5:$C$315,$C291-1,$D$5:$D$315,$D291))-1)))</f>
        <v/>
      </c>
      <c r="W291" s="16">
        <f>IF(OR($A291="",M291="",$C291=""),"",IF(COUNTIFS($A$5:$A$315,$A291,$C$5:$C$315,$C291-1,$D$5:$D$315,$D291,M$5:M$315,"&lt;&gt;")=0,"",IF(OR(SUMIFS(M$5:M$315,$A$5:$A$315,$A291,$C$5:$C$315,$C291-1,$D$5:$D$315,$D291)=0,M291*SUMIFS(M$5:M$315,$A$5:$A$315,$A291,$C$5:$C$315,$C291-1,$D$5:$D$315,$D291)&lt;0),"n.s.",ABS(M291)/ABS(SUMIFS(M$5:M$315,$A$5:$A$315,$A291,$C$5:$C$315,$C291-1,$D$5:$D$315,$D291))-1)))</f>
        <v/>
      </c>
      <c r="X291" s="16">
        <f>IF(OR($A291="",N291="",$C291=""),"",IF(COUNTIFS($A$5:$A$315,$A291,$C$5:$C$315,$C291-1,$D$5:$D$315,$D291,N$5:N$315,"&lt;&gt;")=0,"",IF(OR(SUMIFS(N$5:N$315,$A$5:$A$315,$A291,$C$5:$C$315,$C291-1,$D$5:$D$315,$D291)=0,N291*SUMIFS(N$5:N$315,$A$5:$A$315,$A291,$C$5:$C$315,$C291-1,$D$5:$D$315,$D291)&lt;0),"n.s.",ABS(N291)/ABS(SUMIFS(N$5:N$315,$A$5:$A$315,$A291,$C$5:$C$315,$C291-1,$D$5:$D$315,$D291))-1)))</f>
        <v/>
      </c>
      <c r="Y291" s="16">
        <f>IF(OR($A291="",O291="",$C291=""),"",IF(COUNTIFS($A$5:$A$315,$A291,$C$5:$C$315,$C291-1,$D$5:$D$315,$D291,O$5:O$315,"&lt;&gt;")=0,"",IF(OR(SUMIFS(O$5:O$315,$A$5:$A$315,$A291,$C$5:$C$315,$C291-1,$D$5:$D$315,$D291)=0,O291*SUMIFS(O$5:O$315,$A$5:$A$315,$A291,$C$5:$C$315,$C291-1,$D$5:$D$315,$D291)&lt;0),"n.s.",ABS(O291)/ABS(SUMIFS(O$5:O$315,$A$5:$A$315,$A291,$C$5:$C$315,$C291-1,$D$5:$D$315,$D291))-1)))</f>
        <v/>
      </c>
    </row>
    <row r="292">
      <c r="A292" s="9" t="n"/>
      <c r="B292" s="10">
        <f>IF(A292="","",IFERROR(VLOOKUP(A292,Titres!$A$2:$B$400,2,FALSE),"Ticker inconnu"))</f>
        <v/>
      </c>
      <c r="C292" s="11" t="n"/>
      <c r="D292" s="11" t="n"/>
      <c r="E292" s="9" t="n"/>
      <c r="F292" s="12" t="n"/>
      <c r="G292" s="9" t="n"/>
      <c r="H292" s="13" t="n"/>
      <c r="I292" s="13" t="n"/>
      <c r="J292" s="13" t="n"/>
      <c r="K292" s="13" t="n"/>
      <c r="L292" s="13" t="n"/>
      <c r="M292" s="13" t="n"/>
      <c r="N292" s="13" t="n"/>
      <c r="O292" s="13" t="n"/>
      <c r="P292" s="14">
        <f>IF(A292="","",COUNT(H292:O292)/8)</f>
        <v/>
      </c>
      <c r="Q292" s="15">
        <f>IF(COUNT(H292:O292)=0,"",IF(LEN(IF(COUNT(H292,I292,J292)=3,IF(ABS(H292+I292-J292)&lt;=MAX(1,0.02*ABS(J292)),"","RBE &lt;&gt; PNB + frais "),"")&amp;IF(COUNT(J292,K292,L292)=3,IF(ABS(J292+K292-L292)&lt;=MAX(1,0.03*ABS(L292)),"","RAI &lt;&gt; RBE + coût du risque "),"")&amp;IF(COUNT(H292,M292)=2,IF(ABS(M292)&gt;ABS(H292),"RN &gt; PNB ",""),""))=0,"OK",IF(COUNT(H292,I292,J292)=3,IF(ABS(H292+I292-J292)&lt;=MAX(1,0.02*ABS(J292)),"","RBE &lt;&gt; PNB + frais "),"")&amp;IF(COUNT(J292,K292,L292)=3,IF(ABS(J292+K292-L292)&lt;=MAX(1,0.03*ABS(L292)),"","RAI &lt;&gt; RBE + coût du risque "),"")&amp;IF(COUNT(H292,M292)=2,IF(ABS(M292)&gt;ABS(H292),"RN &gt; PNB ",""),"")))</f>
        <v/>
      </c>
      <c r="R292" s="16">
        <f>IF(OR($A292="",H292="",$C292=""),"",IF(COUNTIFS($A$5:$A$315,$A292,$C$5:$C$315,$C292-1,$D$5:$D$315,$D292,H$5:H$315,"&lt;&gt;")=0,"",IF(OR(SUMIFS(H$5:H$315,$A$5:$A$315,$A292,$C$5:$C$315,$C292-1,$D$5:$D$315,$D292)=0,H292*SUMIFS(H$5:H$315,$A$5:$A$315,$A292,$C$5:$C$315,$C292-1,$D$5:$D$315,$D292)&lt;0),"n.s.",ABS(H292)/ABS(SUMIFS(H$5:H$315,$A$5:$A$315,$A292,$C$5:$C$315,$C292-1,$D$5:$D$315,$D292))-1)))</f>
        <v/>
      </c>
      <c r="S292" s="16">
        <f>IF(OR($A292="",I292="",$C292=""),"",IF(COUNTIFS($A$5:$A$315,$A292,$C$5:$C$315,$C292-1,$D$5:$D$315,$D292,I$5:I$315,"&lt;&gt;")=0,"",IF(OR(SUMIFS(I$5:I$315,$A$5:$A$315,$A292,$C$5:$C$315,$C292-1,$D$5:$D$315,$D292)=0,I292*SUMIFS(I$5:I$315,$A$5:$A$315,$A292,$C$5:$C$315,$C292-1,$D$5:$D$315,$D292)&lt;0),"n.s.",ABS(I292)/ABS(SUMIFS(I$5:I$315,$A$5:$A$315,$A292,$C$5:$C$315,$C292-1,$D$5:$D$315,$D292))-1)))</f>
        <v/>
      </c>
      <c r="T292" s="16">
        <f>IF(OR($A292="",J292="",$C292=""),"",IF(COUNTIFS($A$5:$A$315,$A292,$C$5:$C$315,$C292-1,$D$5:$D$315,$D292,J$5:J$315,"&lt;&gt;")=0,"",IF(OR(SUMIFS(J$5:J$315,$A$5:$A$315,$A292,$C$5:$C$315,$C292-1,$D$5:$D$315,$D292)=0,J292*SUMIFS(J$5:J$315,$A$5:$A$315,$A292,$C$5:$C$315,$C292-1,$D$5:$D$315,$D292)&lt;0),"n.s.",ABS(J292)/ABS(SUMIFS(J$5:J$315,$A$5:$A$315,$A292,$C$5:$C$315,$C292-1,$D$5:$D$315,$D292))-1)))</f>
        <v/>
      </c>
      <c r="U292" s="16">
        <f>IF(OR($A292="",K292="",$C292=""),"",IF(COUNTIFS($A$5:$A$315,$A292,$C$5:$C$315,$C292-1,$D$5:$D$315,$D292,K$5:K$315,"&lt;&gt;")=0,"",IF(OR(SUMIFS(K$5:K$315,$A$5:$A$315,$A292,$C$5:$C$315,$C292-1,$D$5:$D$315,$D292)=0,K292*SUMIFS(K$5:K$315,$A$5:$A$315,$A292,$C$5:$C$315,$C292-1,$D$5:$D$315,$D292)&lt;0),"n.s.",ABS(K292)/ABS(SUMIFS(K$5:K$315,$A$5:$A$315,$A292,$C$5:$C$315,$C292-1,$D$5:$D$315,$D292))-1)))</f>
        <v/>
      </c>
      <c r="V292" s="16">
        <f>IF(OR($A292="",L292="",$C292=""),"",IF(COUNTIFS($A$5:$A$315,$A292,$C$5:$C$315,$C292-1,$D$5:$D$315,$D292,L$5:L$315,"&lt;&gt;")=0,"",IF(OR(SUMIFS(L$5:L$315,$A$5:$A$315,$A292,$C$5:$C$315,$C292-1,$D$5:$D$315,$D292)=0,L292*SUMIFS(L$5:L$315,$A$5:$A$315,$A292,$C$5:$C$315,$C292-1,$D$5:$D$315,$D292)&lt;0),"n.s.",ABS(L292)/ABS(SUMIFS(L$5:L$315,$A$5:$A$315,$A292,$C$5:$C$315,$C292-1,$D$5:$D$315,$D292))-1)))</f>
        <v/>
      </c>
      <c r="W292" s="16">
        <f>IF(OR($A292="",M292="",$C292=""),"",IF(COUNTIFS($A$5:$A$315,$A292,$C$5:$C$315,$C292-1,$D$5:$D$315,$D292,M$5:M$315,"&lt;&gt;")=0,"",IF(OR(SUMIFS(M$5:M$315,$A$5:$A$315,$A292,$C$5:$C$315,$C292-1,$D$5:$D$315,$D292)=0,M292*SUMIFS(M$5:M$315,$A$5:$A$315,$A292,$C$5:$C$315,$C292-1,$D$5:$D$315,$D292)&lt;0),"n.s.",ABS(M292)/ABS(SUMIFS(M$5:M$315,$A$5:$A$315,$A292,$C$5:$C$315,$C292-1,$D$5:$D$315,$D292))-1)))</f>
        <v/>
      </c>
      <c r="X292" s="16">
        <f>IF(OR($A292="",N292="",$C292=""),"",IF(COUNTIFS($A$5:$A$315,$A292,$C$5:$C$315,$C292-1,$D$5:$D$315,$D292,N$5:N$315,"&lt;&gt;")=0,"",IF(OR(SUMIFS(N$5:N$315,$A$5:$A$315,$A292,$C$5:$C$315,$C292-1,$D$5:$D$315,$D292)=0,N292*SUMIFS(N$5:N$315,$A$5:$A$315,$A292,$C$5:$C$315,$C292-1,$D$5:$D$315,$D292)&lt;0),"n.s.",ABS(N292)/ABS(SUMIFS(N$5:N$315,$A$5:$A$315,$A292,$C$5:$C$315,$C292-1,$D$5:$D$315,$D292))-1)))</f>
        <v/>
      </c>
      <c r="Y292" s="16">
        <f>IF(OR($A292="",O292="",$C292=""),"",IF(COUNTIFS($A$5:$A$315,$A292,$C$5:$C$315,$C292-1,$D$5:$D$315,$D292,O$5:O$315,"&lt;&gt;")=0,"",IF(OR(SUMIFS(O$5:O$315,$A$5:$A$315,$A292,$C$5:$C$315,$C292-1,$D$5:$D$315,$D292)=0,O292*SUMIFS(O$5:O$315,$A$5:$A$315,$A292,$C$5:$C$315,$C292-1,$D$5:$D$315,$D292)&lt;0),"n.s.",ABS(O292)/ABS(SUMIFS(O$5:O$315,$A$5:$A$315,$A292,$C$5:$C$315,$C292-1,$D$5:$D$315,$D292))-1)))</f>
        <v/>
      </c>
    </row>
    <row r="293">
      <c r="A293" s="9" t="n"/>
      <c r="B293" s="10">
        <f>IF(A293="","",IFERROR(VLOOKUP(A293,Titres!$A$2:$B$400,2,FALSE),"Ticker inconnu"))</f>
        <v/>
      </c>
      <c r="C293" s="11" t="n"/>
      <c r="D293" s="11" t="n"/>
      <c r="E293" s="9" t="n"/>
      <c r="F293" s="12" t="n"/>
      <c r="G293" s="9" t="n"/>
      <c r="H293" s="13" t="n"/>
      <c r="I293" s="13" t="n"/>
      <c r="J293" s="13" t="n"/>
      <c r="K293" s="13" t="n"/>
      <c r="L293" s="13" t="n"/>
      <c r="M293" s="13" t="n"/>
      <c r="N293" s="13" t="n"/>
      <c r="O293" s="13" t="n"/>
      <c r="P293" s="14">
        <f>IF(A293="","",COUNT(H293:O293)/8)</f>
        <v/>
      </c>
      <c r="Q293" s="15">
        <f>IF(COUNT(H293:O293)=0,"",IF(LEN(IF(COUNT(H293,I293,J293)=3,IF(ABS(H293+I293-J293)&lt;=MAX(1,0.02*ABS(J293)),"","RBE &lt;&gt; PNB + frais "),"")&amp;IF(COUNT(J293,K293,L293)=3,IF(ABS(J293+K293-L293)&lt;=MAX(1,0.03*ABS(L293)),"","RAI &lt;&gt; RBE + coût du risque "),"")&amp;IF(COUNT(H293,M293)=2,IF(ABS(M293)&gt;ABS(H293),"RN &gt; PNB ",""),""))=0,"OK",IF(COUNT(H293,I293,J293)=3,IF(ABS(H293+I293-J293)&lt;=MAX(1,0.02*ABS(J293)),"","RBE &lt;&gt; PNB + frais "),"")&amp;IF(COUNT(J293,K293,L293)=3,IF(ABS(J293+K293-L293)&lt;=MAX(1,0.03*ABS(L293)),"","RAI &lt;&gt; RBE + coût du risque "),"")&amp;IF(COUNT(H293,M293)=2,IF(ABS(M293)&gt;ABS(H293),"RN &gt; PNB ",""),"")))</f>
        <v/>
      </c>
      <c r="R293" s="16">
        <f>IF(OR($A293="",H293="",$C293=""),"",IF(COUNTIFS($A$5:$A$315,$A293,$C$5:$C$315,$C293-1,$D$5:$D$315,$D293,H$5:H$315,"&lt;&gt;")=0,"",IF(OR(SUMIFS(H$5:H$315,$A$5:$A$315,$A293,$C$5:$C$315,$C293-1,$D$5:$D$315,$D293)=0,H293*SUMIFS(H$5:H$315,$A$5:$A$315,$A293,$C$5:$C$315,$C293-1,$D$5:$D$315,$D293)&lt;0),"n.s.",ABS(H293)/ABS(SUMIFS(H$5:H$315,$A$5:$A$315,$A293,$C$5:$C$315,$C293-1,$D$5:$D$315,$D293))-1)))</f>
        <v/>
      </c>
      <c r="S293" s="16">
        <f>IF(OR($A293="",I293="",$C293=""),"",IF(COUNTIFS($A$5:$A$315,$A293,$C$5:$C$315,$C293-1,$D$5:$D$315,$D293,I$5:I$315,"&lt;&gt;")=0,"",IF(OR(SUMIFS(I$5:I$315,$A$5:$A$315,$A293,$C$5:$C$315,$C293-1,$D$5:$D$315,$D293)=0,I293*SUMIFS(I$5:I$315,$A$5:$A$315,$A293,$C$5:$C$315,$C293-1,$D$5:$D$315,$D293)&lt;0),"n.s.",ABS(I293)/ABS(SUMIFS(I$5:I$315,$A$5:$A$315,$A293,$C$5:$C$315,$C293-1,$D$5:$D$315,$D293))-1)))</f>
        <v/>
      </c>
      <c r="T293" s="16">
        <f>IF(OR($A293="",J293="",$C293=""),"",IF(COUNTIFS($A$5:$A$315,$A293,$C$5:$C$315,$C293-1,$D$5:$D$315,$D293,J$5:J$315,"&lt;&gt;")=0,"",IF(OR(SUMIFS(J$5:J$315,$A$5:$A$315,$A293,$C$5:$C$315,$C293-1,$D$5:$D$315,$D293)=0,J293*SUMIFS(J$5:J$315,$A$5:$A$315,$A293,$C$5:$C$315,$C293-1,$D$5:$D$315,$D293)&lt;0),"n.s.",ABS(J293)/ABS(SUMIFS(J$5:J$315,$A$5:$A$315,$A293,$C$5:$C$315,$C293-1,$D$5:$D$315,$D293))-1)))</f>
        <v/>
      </c>
      <c r="U293" s="16">
        <f>IF(OR($A293="",K293="",$C293=""),"",IF(COUNTIFS($A$5:$A$315,$A293,$C$5:$C$315,$C293-1,$D$5:$D$315,$D293,K$5:K$315,"&lt;&gt;")=0,"",IF(OR(SUMIFS(K$5:K$315,$A$5:$A$315,$A293,$C$5:$C$315,$C293-1,$D$5:$D$315,$D293)=0,K293*SUMIFS(K$5:K$315,$A$5:$A$315,$A293,$C$5:$C$315,$C293-1,$D$5:$D$315,$D293)&lt;0),"n.s.",ABS(K293)/ABS(SUMIFS(K$5:K$315,$A$5:$A$315,$A293,$C$5:$C$315,$C293-1,$D$5:$D$315,$D293))-1)))</f>
        <v/>
      </c>
      <c r="V293" s="16">
        <f>IF(OR($A293="",L293="",$C293=""),"",IF(COUNTIFS($A$5:$A$315,$A293,$C$5:$C$315,$C293-1,$D$5:$D$315,$D293,L$5:L$315,"&lt;&gt;")=0,"",IF(OR(SUMIFS(L$5:L$315,$A$5:$A$315,$A293,$C$5:$C$315,$C293-1,$D$5:$D$315,$D293)=0,L293*SUMIFS(L$5:L$315,$A$5:$A$315,$A293,$C$5:$C$315,$C293-1,$D$5:$D$315,$D293)&lt;0),"n.s.",ABS(L293)/ABS(SUMIFS(L$5:L$315,$A$5:$A$315,$A293,$C$5:$C$315,$C293-1,$D$5:$D$315,$D293))-1)))</f>
        <v/>
      </c>
      <c r="W293" s="16">
        <f>IF(OR($A293="",M293="",$C293=""),"",IF(COUNTIFS($A$5:$A$315,$A293,$C$5:$C$315,$C293-1,$D$5:$D$315,$D293,M$5:M$315,"&lt;&gt;")=0,"",IF(OR(SUMIFS(M$5:M$315,$A$5:$A$315,$A293,$C$5:$C$315,$C293-1,$D$5:$D$315,$D293)=0,M293*SUMIFS(M$5:M$315,$A$5:$A$315,$A293,$C$5:$C$315,$C293-1,$D$5:$D$315,$D293)&lt;0),"n.s.",ABS(M293)/ABS(SUMIFS(M$5:M$315,$A$5:$A$315,$A293,$C$5:$C$315,$C293-1,$D$5:$D$315,$D293))-1)))</f>
        <v/>
      </c>
      <c r="X293" s="16">
        <f>IF(OR($A293="",N293="",$C293=""),"",IF(COUNTIFS($A$5:$A$315,$A293,$C$5:$C$315,$C293-1,$D$5:$D$315,$D293,N$5:N$315,"&lt;&gt;")=0,"",IF(OR(SUMIFS(N$5:N$315,$A$5:$A$315,$A293,$C$5:$C$315,$C293-1,$D$5:$D$315,$D293)=0,N293*SUMIFS(N$5:N$315,$A$5:$A$315,$A293,$C$5:$C$315,$C293-1,$D$5:$D$315,$D293)&lt;0),"n.s.",ABS(N293)/ABS(SUMIFS(N$5:N$315,$A$5:$A$315,$A293,$C$5:$C$315,$C293-1,$D$5:$D$315,$D293))-1)))</f>
        <v/>
      </c>
      <c r="Y293" s="16">
        <f>IF(OR($A293="",O293="",$C293=""),"",IF(COUNTIFS($A$5:$A$315,$A293,$C$5:$C$315,$C293-1,$D$5:$D$315,$D293,O$5:O$315,"&lt;&gt;")=0,"",IF(OR(SUMIFS(O$5:O$315,$A$5:$A$315,$A293,$C$5:$C$315,$C293-1,$D$5:$D$315,$D293)=0,O293*SUMIFS(O$5:O$315,$A$5:$A$315,$A293,$C$5:$C$315,$C293-1,$D$5:$D$315,$D293)&lt;0),"n.s.",ABS(O293)/ABS(SUMIFS(O$5:O$315,$A$5:$A$315,$A293,$C$5:$C$315,$C293-1,$D$5:$D$315,$D293))-1)))</f>
        <v/>
      </c>
    </row>
    <row r="294">
      <c r="A294" s="9" t="n"/>
      <c r="B294" s="10">
        <f>IF(A294="","",IFERROR(VLOOKUP(A294,Titres!$A$2:$B$400,2,FALSE),"Ticker inconnu"))</f>
        <v/>
      </c>
      <c r="C294" s="11" t="n"/>
      <c r="D294" s="11" t="n"/>
      <c r="E294" s="9" t="n"/>
      <c r="F294" s="12" t="n"/>
      <c r="G294" s="9" t="n"/>
      <c r="H294" s="13" t="n"/>
      <c r="I294" s="13" t="n"/>
      <c r="J294" s="13" t="n"/>
      <c r="K294" s="13" t="n"/>
      <c r="L294" s="13" t="n"/>
      <c r="M294" s="13" t="n"/>
      <c r="N294" s="13" t="n"/>
      <c r="O294" s="13" t="n"/>
      <c r="P294" s="14">
        <f>IF(A294="","",COUNT(H294:O294)/8)</f>
        <v/>
      </c>
      <c r="Q294" s="15">
        <f>IF(COUNT(H294:O294)=0,"",IF(LEN(IF(COUNT(H294,I294,J294)=3,IF(ABS(H294+I294-J294)&lt;=MAX(1,0.02*ABS(J294)),"","RBE &lt;&gt; PNB + frais "),"")&amp;IF(COUNT(J294,K294,L294)=3,IF(ABS(J294+K294-L294)&lt;=MAX(1,0.03*ABS(L294)),"","RAI &lt;&gt; RBE + coût du risque "),"")&amp;IF(COUNT(H294,M294)=2,IF(ABS(M294)&gt;ABS(H294),"RN &gt; PNB ",""),""))=0,"OK",IF(COUNT(H294,I294,J294)=3,IF(ABS(H294+I294-J294)&lt;=MAX(1,0.02*ABS(J294)),"","RBE &lt;&gt; PNB + frais "),"")&amp;IF(COUNT(J294,K294,L294)=3,IF(ABS(J294+K294-L294)&lt;=MAX(1,0.03*ABS(L294)),"","RAI &lt;&gt; RBE + coût du risque "),"")&amp;IF(COUNT(H294,M294)=2,IF(ABS(M294)&gt;ABS(H294),"RN &gt; PNB ",""),"")))</f>
        <v/>
      </c>
      <c r="R294" s="16">
        <f>IF(OR($A294="",H294="",$C294=""),"",IF(COUNTIFS($A$5:$A$315,$A294,$C$5:$C$315,$C294-1,$D$5:$D$315,$D294,H$5:H$315,"&lt;&gt;")=0,"",IF(OR(SUMIFS(H$5:H$315,$A$5:$A$315,$A294,$C$5:$C$315,$C294-1,$D$5:$D$315,$D294)=0,H294*SUMIFS(H$5:H$315,$A$5:$A$315,$A294,$C$5:$C$315,$C294-1,$D$5:$D$315,$D294)&lt;0),"n.s.",ABS(H294)/ABS(SUMIFS(H$5:H$315,$A$5:$A$315,$A294,$C$5:$C$315,$C294-1,$D$5:$D$315,$D294))-1)))</f>
        <v/>
      </c>
      <c r="S294" s="16">
        <f>IF(OR($A294="",I294="",$C294=""),"",IF(COUNTIFS($A$5:$A$315,$A294,$C$5:$C$315,$C294-1,$D$5:$D$315,$D294,I$5:I$315,"&lt;&gt;")=0,"",IF(OR(SUMIFS(I$5:I$315,$A$5:$A$315,$A294,$C$5:$C$315,$C294-1,$D$5:$D$315,$D294)=0,I294*SUMIFS(I$5:I$315,$A$5:$A$315,$A294,$C$5:$C$315,$C294-1,$D$5:$D$315,$D294)&lt;0),"n.s.",ABS(I294)/ABS(SUMIFS(I$5:I$315,$A$5:$A$315,$A294,$C$5:$C$315,$C294-1,$D$5:$D$315,$D294))-1)))</f>
        <v/>
      </c>
      <c r="T294" s="16">
        <f>IF(OR($A294="",J294="",$C294=""),"",IF(COUNTIFS($A$5:$A$315,$A294,$C$5:$C$315,$C294-1,$D$5:$D$315,$D294,J$5:J$315,"&lt;&gt;")=0,"",IF(OR(SUMIFS(J$5:J$315,$A$5:$A$315,$A294,$C$5:$C$315,$C294-1,$D$5:$D$315,$D294)=0,J294*SUMIFS(J$5:J$315,$A$5:$A$315,$A294,$C$5:$C$315,$C294-1,$D$5:$D$315,$D294)&lt;0),"n.s.",ABS(J294)/ABS(SUMIFS(J$5:J$315,$A$5:$A$315,$A294,$C$5:$C$315,$C294-1,$D$5:$D$315,$D294))-1)))</f>
        <v/>
      </c>
      <c r="U294" s="16">
        <f>IF(OR($A294="",K294="",$C294=""),"",IF(COUNTIFS($A$5:$A$315,$A294,$C$5:$C$315,$C294-1,$D$5:$D$315,$D294,K$5:K$315,"&lt;&gt;")=0,"",IF(OR(SUMIFS(K$5:K$315,$A$5:$A$315,$A294,$C$5:$C$315,$C294-1,$D$5:$D$315,$D294)=0,K294*SUMIFS(K$5:K$315,$A$5:$A$315,$A294,$C$5:$C$315,$C294-1,$D$5:$D$315,$D294)&lt;0),"n.s.",ABS(K294)/ABS(SUMIFS(K$5:K$315,$A$5:$A$315,$A294,$C$5:$C$315,$C294-1,$D$5:$D$315,$D294))-1)))</f>
        <v/>
      </c>
      <c r="V294" s="16">
        <f>IF(OR($A294="",L294="",$C294=""),"",IF(COUNTIFS($A$5:$A$315,$A294,$C$5:$C$315,$C294-1,$D$5:$D$315,$D294,L$5:L$315,"&lt;&gt;")=0,"",IF(OR(SUMIFS(L$5:L$315,$A$5:$A$315,$A294,$C$5:$C$315,$C294-1,$D$5:$D$315,$D294)=0,L294*SUMIFS(L$5:L$315,$A$5:$A$315,$A294,$C$5:$C$315,$C294-1,$D$5:$D$315,$D294)&lt;0),"n.s.",ABS(L294)/ABS(SUMIFS(L$5:L$315,$A$5:$A$315,$A294,$C$5:$C$315,$C294-1,$D$5:$D$315,$D294))-1)))</f>
        <v/>
      </c>
      <c r="W294" s="16">
        <f>IF(OR($A294="",M294="",$C294=""),"",IF(COUNTIFS($A$5:$A$315,$A294,$C$5:$C$315,$C294-1,$D$5:$D$315,$D294,M$5:M$315,"&lt;&gt;")=0,"",IF(OR(SUMIFS(M$5:M$315,$A$5:$A$315,$A294,$C$5:$C$315,$C294-1,$D$5:$D$315,$D294)=0,M294*SUMIFS(M$5:M$315,$A$5:$A$315,$A294,$C$5:$C$315,$C294-1,$D$5:$D$315,$D294)&lt;0),"n.s.",ABS(M294)/ABS(SUMIFS(M$5:M$315,$A$5:$A$315,$A294,$C$5:$C$315,$C294-1,$D$5:$D$315,$D294))-1)))</f>
        <v/>
      </c>
      <c r="X294" s="16">
        <f>IF(OR($A294="",N294="",$C294=""),"",IF(COUNTIFS($A$5:$A$315,$A294,$C$5:$C$315,$C294-1,$D$5:$D$315,$D294,N$5:N$315,"&lt;&gt;")=0,"",IF(OR(SUMIFS(N$5:N$315,$A$5:$A$315,$A294,$C$5:$C$315,$C294-1,$D$5:$D$315,$D294)=0,N294*SUMIFS(N$5:N$315,$A$5:$A$315,$A294,$C$5:$C$315,$C294-1,$D$5:$D$315,$D294)&lt;0),"n.s.",ABS(N294)/ABS(SUMIFS(N$5:N$315,$A$5:$A$315,$A294,$C$5:$C$315,$C294-1,$D$5:$D$315,$D294))-1)))</f>
        <v/>
      </c>
      <c r="Y294" s="16">
        <f>IF(OR($A294="",O294="",$C294=""),"",IF(COUNTIFS($A$5:$A$315,$A294,$C$5:$C$315,$C294-1,$D$5:$D$315,$D294,O$5:O$315,"&lt;&gt;")=0,"",IF(OR(SUMIFS(O$5:O$315,$A$5:$A$315,$A294,$C$5:$C$315,$C294-1,$D$5:$D$315,$D294)=0,O294*SUMIFS(O$5:O$315,$A$5:$A$315,$A294,$C$5:$C$315,$C294-1,$D$5:$D$315,$D294)&lt;0),"n.s.",ABS(O294)/ABS(SUMIFS(O$5:O$315,$A$5:$A$315,$A294,$C$5:$C$315,$C294-1,$D$5:$D$315,$D294))-1)))</f>
        <v/>
      </c>
    </row>
    <row r="295">
      <c r="A295" s="9" t="n"/>
      <c r="B295" s="10">
        <f>IF(A295="","",IFERROR(VLOOKUP(A295,Titres!$A$2:$B$400,2,FALSE),"Ticker inconnu"))</f>
        <v/>
      </c>
      <c r="C295" s="11" t="n"/>
      <c r="D295" s="11" t="n"/>
      <c r="E295" s="9" t="n"/>
      <c r="F295" s="12" t="n"/>
      <c r="G295" s="9" t="n"/>
      <c r="H295" s="13" t="n"/>
      <c r="I295" s="13" t="n"/>
      <c r="J295" s="13" t="n"/>
      <c r="K295" s="13" t="n"/>
      <c r="L295" s="13" t="n"/>
      <c r="M295" s="13" t="n"/>
      <c r="N295" s="13" t="n"/>
      <c r="O295" s="13" t="n"/>
      <c r="P295" s="14">
        <f>IF(A295="","",COUNT(H295:O295)/8)</f>
        <v/>
      </c>
      <c r="Q295" s="15">
        <f>IF(COUNT(H295:O295)=0,"",IF(LEN(IF(COUNT(H295,I295,J295)=3,IF(ABS(H295+I295-J295)&lt;=MAX(1,0.02*ABS(J295)),"","RBE &lt;&gt; PNB + frais "),"")&amp;IF(COUNT(J295,K295,L295)=3,IF(ABS(J295+K295-L295)&lt;=MAX(1,0.03*ABS(L295)),"","RAI &lt;&gt; RBE + coût du risque "),"")&amp;IF(COUNT(H295,M295)=2,IF(ABS(M295)&gt;ABS(H295),"RN &gt; PNB ",""),""))=0,"OK",IF(COUNT(H295,I295,J295)=3,IF(ABS(H295+I295-J295)&lt;=MAX(1,0.02*ABS(J295)),"","RBE &lt;&gt; PNB + frais "),"")&amp;IF(COUNT(J295,K295,L295)=3,IF(ABS(J295+K295-L295)&lt;=MAX(1,0.03*ABS(L295)),"","RAI &lt;&gt; RBE + coût du risque "),"")&amp;IF(COUNT(H295,M295)=2,IF(ABS(M295)&gt;ABS(H295),"RN &gt; PNB ",""),"")))</f>
        <v/>
      </c>
      <c r="R295" s="16">
        <f>IF(OR($A295="",H295="",$C295=""),"",IF(COUNTIFS($A$5:$A$315,$A295,$C$5:$C$315,$C295-1,$D$5:$D$315,$D295,H$5:H$315,"&lt;&gt;")=0,"",IF(OR(SUMIFS(H$5:H$315,$A$5:$A$315,$A295,$C$5:$C$315,$C295-1,$D$5:$D$315,$D295)=0,H295*SUMIFS(H$5:H$315,$A$5:$A$315,$A295,$C$5:$C$315,$C295-1,$D$5:$D$315,$D295)&lt;0),"n.s.",ABS(H295)/ABS(SUMIFS(H$5:H$315,$A$5:$A$315,$A295,$C$5:$C$315,$C295-1,$D$5:$D$315,$D295))-1)))</f>
        <v/>
      </c>
      <c r="S295" s="16">
        <f>IF(OR($A295="",I295="",$C295=""),"",IF(COUNTIFS($A$5:$A$315,$A295,$C$5:$C$315,$C295-1,$D$5:$D$315,$D295,I$5:I$315,"&lt;&gt;")=0,"",IF(OR(SUMIFS(I$5:I$315,$A$5:$A$315,$A295,$C$5:$C$315,$C295-1,$D$5:$D$315,$D295)=0,I295*SUMIFS(I$5:I$315,$A$5:$A$315,$A295,$C$5:$C$315,$C295-1,$D$5:$D$315,$D295)&lt;0),"n.s.",ABS(I295)/ABS(SUMIFS(I$5:I$315,$A$5:$A$315,$A295,$C$5:$C$315,$C295-1,$D$5:$D$315,$D295))-1)))</f>
        <v/>
      </c>
      <c r="T295" s="16">
        <f>IF(OR($A295="",J295="",$C295=""),"",IF(COUNTIFS($A$5:$A$315,$A295,$C$5:$C$315,$C295-1,$D$5:$D$315,$D295,J$5:J$315,"&lt;&gt;")=0,"",IF(OR(SUMIFS(J$5:J$315,$A$5:$A$315,$A295,$C$5:$C$315,$C295-1,$D$5:$D$315,$D295)=0,J295*SUMIFS(J$5:J$315,$A$5:$A$315,$A295,$C$5:$C$315,$C295-1,$D$5:$D$315,$D295)&lt;0),"n.s.",ABS(J295)/ABS(SUMIFS(J$5:J$315,$A$5:$A$315,$A295,$C$5:$C$315,$C295-1,$D$5:$D$315,$D295))-1)))</f>
        <v/>
      </c>
      <c r="U295" s="16">
        <f>IF(OR($A295="",K295="",$C295=""),"",IF(COUNTIFS($A$5:$A$315,$A295,$C$5:$C$315,$C295-1,$D$5:$D$315,$D295,K$5:K$315,"&lt;&gt;")=0,"",IF(OR(SUMIFS(K$5:K$315,$A$5:$A$315,$A295,$C$5:$C$315,$C295-1,$D$5:$D$315,$D295)=0,K295*SUMIFS(K$5:K$315,$A$5:$A$315,$A295,$C$5:$C$315,$C295-1,$D$5:$D$315,$D295)&lt;0),"n.s.",ABS(K295)/ABS(SUMIFS(K$5:K$315,$A$5:$A$315,$A295,$C$5:$C$315,$C295-1,$D$5:$D$315,$D295))-1)))</f>
        <v/>
      </c>
      <c r="V295" s="16">
        <f>IF(OR($A295="",L295="",$C295=""),"",IF(COUNTIFS($A$5:$A$315,$A295,$C$5:$C$315,$C295-1,$D$5:$D$315,$D295,L$5:L$315,"&lt;&gt;")=0,"",IF(OR(SUMIFS(L$5:L$315,$A$5:$A$315,$A295,$C$5:$C$315,$C295-1,$D$5:$D$315,$D295)=0,L295*SUMIFS(L$5:L$315,$A$5:$A$315,$A295,$C$5:$C$315,$C295-1,$D$5:$D$315,$D295)&lt;0),"n.s.",ABS(L295)/ABS(SUMIFS(L$5:L$315,$A$5:$A$315,$A295,$C$5:$C$315,$C295-1,$D$5:$D$315,$D295))-1)))</f>
        <v/>
      </c>
      <c r="W295" s="16">
        <f>IF(OR($A295="",M295="",$C295=""),"",IF(COUNTIFS($A$5:$A$315,$A295,$C$5:$C$315,$C295-1,$D$5:$D$315,$D295,M$5:M$315,"&lt;&gt;")=0,"",IF(OR(SUMIFS(M$5:M$315,$A$5:$A$315,$A295,$C$5:$C$315,$C295-1,$D$5:$D$315,$D295)=0,M295*SUMIFS(M$5:M$315,$A$5:$A$315,$A295,$C$5:$C$315,$C295-1,$D$5:$D$315,$D295)&lt;0),"n.s.",ABS(M295)/ABS(SUMIFS(M$5:M$315,$A$5:$A$315,$A295,$C$5:$C$315,$C295-1,$D$5:$D$315,$D295))-1)))</f>
        <v/>
      </c>
      <c r="X295" s="16">
        <f>IF(OR($A295="",N295="",$C295=""),"",IF(COUNTIFS($A$5:$A$315,$A295,$C$5:$C$315,$C295-1,$D$5:$D$315,$D295,N$5:N$315,"&lt;&gt;")=0,"",IF(OR(SUMIFS(N$5:N$315,$A$5:$A$315,$A295,$C$5:$C$315,$C295-1,$D$5:$D$315,$D295)=0,N295*SUMIFS(N$5:N$315,$A$5:$A$315,$A295,$C$5:$C$315,$C295-1,$D$5:$D$315,$D295)&lt;0),"n.s.",ABS(N295)/ABS(SUMIFS(N$5:N$315,$A$5:$A$315,$A295,$C$5:$C$315,$C295-1,$D$5:$D$315,$D295))-1)))</f>
        <v/>
      </c>
      <c r="Y295" s="16">
        <f>IF(OR($A295="",O295="",$C295=""),"",IF(COUNTIFS($A$5:$A$315,$A295,$C$5:$C$315,$C295-1,$D$5:$D$315,$D295,O$5:O$315,"&lt;&gt;")=0,"",IF(OR(SUMIFS(O$5:O$315,$A$5:$A$315,$A295,$C$5:$C$315,$C295-1,$D$5:$D$315,$D295)=0,O295*SUMIFS(O$5:O$315,$A$5:$A$315,$A295,$C$5:$C$315,$C295-1,$D$5:$D$315,$D295)&lt;0),"n.s.",ABS(O295)/ABS(SUMIFS(O$5:O$315,$A$5:$A$315,$A295,$C$5:$C$315,$C295-1,$D$5:$D$315,$D295))-1)))</f>
        <v/>
      </c>
    </row>
    <row r="296">
      <c r="A296" s="9" t="n"/>
      <c r="B296" s="10">
        <f>IF(A296="","",IFERROR(VLOOKUP(A296,Titres!$A$2:$B$400,2,FALSE),"Ticker inconnu"))</f>
        <v/>
      </c>
      <c r="C296" s="11" t="n"/>
      <c r="D296" s="11" t="n"/>
      <c r="E296" s="9" t="n"/>
      <c r="F296" s="12" t="n"/>
      <c r="G296" s="9" t="n"/>
      <c r="H296" s="13" t="n"/>
      <c r="I296" s="13" t="n"/>
      <c r="J296" s="13" t="n"/>
      <c r="K296" s="13" t="n"/>
      <c r="L296" s="13" t="n"/>
      <c r="M296" s="13" t="n"/>
      <c r="N296" s="13" t="n"/>
      <c r="O296" s="13" t="n"/>
      <c r="P296" s="14">
        <f>IF(A296="","",COUNT(H296:O296)/8)</f>
        <v/>
      </c>
      <c r="Q296" s="15">
        <f>IF(COUNT(H296:O296)=0,"",IF(LEN(IF(COUNT(H296,I296,J296)=3,IF(ABS(H296+I296-J296)&lt;=MAX(1,0.02*ABS(J296)),"","RBE &lt;&gt; PNB + frais "),"")&amp;IF(COUNT(J296,K296,L296)=3,IF(ABS(J296+K296-L296)&lt;=MAX(1,0.03*ABS(L296)),"","RAI &lt;&gt; RBE + coût du risque "),"")&amp;IF(COUNT(H296,M296)=2,IF(ABS(M296)&gt;ABS(H296),"RN &gt; PNB ",""),""))=0,"OK",IF(COUNT(H296,I296,J296)=3,IF(ABS(H296+I296-J296)&lt;=MAX(1,0.02*ABS(J296)),"","RBE &lt;&gt; PNB + frais "),"")&amp;IF(COUNT(J296,K296,L296)=3,IF(ABS(J296+K296-L296)&lt;=MAX(1,0.03*ABS(L296)),"","RAI &lt;&gt; RBE + coût du risque "),"")&amp;IF(COUNT(H296,M296)=2,IF(ABS(M296)&gt;ABS(H296),"RN &gt; PNB ",""),"")))</f>
        <v/>
      </c>
      <c r="R296" s="16">
        <f>IF(OR($A296="",H296="",$C296=""),"",IF(COUNTIFS($A$5:$A$315,$A296,$C$5:$C$315,$C296-1,$D$5:$D$315,$D296,H$5:H$315,"&lt;&gt;")=0,"",IF(OR(SUMIFS(H$5:H$315,$A$5:$A$315,$A296,$C$5:$C$315,$C296-1,$D$5:$D$315,$D296)=0,H296*SUMIFS(H$5:H$315,$A$5:$A$315,$A296,$C$5:$C$315,$C296-1,$D$5:$D$315,$D296)&lt;0),"n.s.",ABS(H296)/ABS(SUMIFS(H$5:H$315,$A$5:$A$315,$A296,$C$5:$C$315,$C296-1,$D$5:$D$315,$D296))-1)))</f>
        <v/>
      </c>
      <c r="S296" s="16">
        <f>IF(OR($A296="",I296="",$C296=""),"",IF(COUNTIFS($A$5:$A$315,$A296,$C$5:$C$315,$C296-1,$D$5:$D$315,$D296,I$5:I$315,"&lt;&gt;")=0,"",IF(OR(SUMIFS(I$5:I$315,$A$5:$A$315,$A296,$C$5:$C$315,$C296-1,$D$5:$D$315,$D296)=0,I296*SUMIFS(I$5:I$315,$A$5:$A$315,$A296,$C$5:$C$315,$C296-1,$D$5:$D$315,$D296)&lt;0),"n.s.",ABS(I296)/ABS(SUMIFS(I$5:I$315,$A$5:$A$315,$A296,$C$5:$C$315,$C296-1,$D$5:$D$315,$D296))-1)))</f>
        <v/>
      </c>
      <c r="T296" s="16">
        <f>IF(OR($A296="",J296="",$C296=""),"",IF(COUNTIFS($A$5:$A$315,$A296,$C$5:$C$315,$C296-1,$D$5:$D$315,$D296,J$5:J$315,"&lt;&gt;")=0,"",IF(OR(SUMIFS(J$5:J$315,$A$5:$A$315,$A296,$C$5:$C$315,$C296-1,$D$5:$D$315,$D296)=0,J296*SUMIFS(J$5:J$315,$A$5:$A$315,$A296,$C$5:$C$315,$C296-1,$D$5:$D$315,$D296)&lt;0),"n.s.",ABS(J296)/ABS(SUMIFS(J$5:J$315,$A$5:$A$315,$A296,$C$5:$C$315,$C296-1,$D$5:$D$315,$D296))-1)))</f>
        <v/>
      </c>
      <c r="U296" s="16">
        <f>IF(OR($A296="",K296="",$C296=""),"",IF(COUNTIFS($A$5:$A$315,$A296,$C$5:$C$315,$C296-1,$D$5:$D$315,$D296,K$5:K$315,"&lt;&gt;")=0,"",IF(OR(SUMIFS(K$5:K$315,$A$5:$A$315,$A296,$C$5:$C$315,$C296-1,$D$5:$D$315,$D296)=0,K296*SUMIFS(K$5:K$315,$A$5:$A$315,$A296,$C$5:$C$315,$C296-1,$D$5:$D$315,$D296)&lt;0),"n.s.",ABS(K296)/ABS(SUMIFS(K$5:K$315,$A$5:$A$315,$A296,$C$5:$C$315,$C296-1,$D$5:$D$315,$D296))-1)))</f>
        <v/>
      </c>
      <c r="V296" s="16">
        <f>IF(OR($A296="",L296="",$C296=""),"",IF(COUNTIFS($A$5:$A$315,$A296,$C$5:$C$315,$C296-1,$D$5:$D$315,$D296,L$5:L$315,"&lt;&gt;")=0,"",IF(OR(SUMIFS(L$5:L$315,$A$5:$A$315,$A296,$C$5:$C$315,$C296-1,$D$5:$D$315,$D296)=0,L296*SUMIFS(L$5:L$315,$A$5:$A$315,$A296,$C$5:$C$315,$C296-1,$D$5:$D$315,$D296)&lt;0),"n.s.",ABS(L296)/ABS(SUMIFS(L$5:L$315,$A$5:$A$315,$A296,$C$5:$C$315,$C296-1,$D$5:$D$315,$D296))-1)))</f>
        <v/>
      </c>
      <c r="W296" s="16">
        <f>IF(OR($A296="",M296="",$C296=""),"",IF(COUNTIFS($A$5:$A$315,$A296,$C$5:$C$315,$C296-1,$D$5:$D$315,$D296,M$5:M$315,"&lt;&gt;")=0,"",IF(OR(SUMIFS(M$5:M$315,$A$5:$A$315,$A296,$C$5:$C$315,$C296-1,$D$5:$D$315,$D296)=0,M296*SUMIFS(M$5:M$315,$A$5:$A$315,$A296,$C$5:$C$315,$C296-1,$D$5:$D$315,$D296)&lt;0),"n.s.",ABS(M296)/ABS(SUMIFS(M$5:M$315,$A$5:$A$315,$A296,$C$5:$C$315,$C296-1,$D$5:$D$315,$D296))-1)))</f>
        <v/>
      </c>
      <c r="X296" s="16">
        <f>IF(OR($A296="",N296="",$C296=""),"",IF(COUNTIFS($A$5:$A$315,$A296,$C$5:$C$315,$C296-1,$D$5:$D$315,$D296,N$5:N$315,"&lt;&gt;")=0,"",IF(OR(SUMIFS(N$5:N$315,$A$5:$A$315,$A296,$C$5:$C$315,$C296-1,$D$5:$D$315,$D296)=0,N296*SUMIFS(N$5:N$315,$A$5:$A$315,$A296,$C$5:$C$315,$C296-1,$D$5:$D$315,$D296)&lt;0),"n.s.",ABS(N296)/ABS(SUMIFS(N$5:N$315,$A$5:$A$315,$A296,$C$5:$C$315,$C296-1,$D$5:$D$315,$D296))-1)))</f>
        <v/>
      </c>
      <c r="Y296" s="16">
        <f>IF(OR($A296="",O296="",$C296=""),"",IF(COUNTIFS($A$5:$A$315,$A296,$C$5:$C$315,$C296-1,$D$5:$D$315,$D296,O$5:O$315,"&lt;&gt;")=0,"",IF(OR(SUMIFS(O$5:O$315,$A$5:$A$315,$A296,$C$5:$C$315,$C296-1,$D$5:$D$315,$D296)=0,O296*SUMIFS(O$5:O$315,$A$5:$A$315,$A296,$C$5:$C$315,$C296-1,$D$5:$D$315,$D296)&lt;0),"n.s.",ABS(O296)/ABS(SUMIFS(O$5:O$315,$A$5:$A$315,$A296,$C$5:$C$315,$C296-1,$D$5:$D$315,$D296))-1)))</f>
        <v/>
      </c>
    </row>
    <row r="297">
      <c r="A297" s="9" t="n"/>
      <c r="B297" s="10">
        <f>IF(A297="","",IFERROR(VLOOKUP(A297,Titres!$A$2:$B$400,2,FALSE),"Ticker inconnu"))</f>
        <v/>
      </c>
      <c r="C297" s="11" t="n"/>
      <c r="D297" s="11" t="n"/>
      <c r="E297" s="9" t="n"/>
      <c r="F297" s="12" t="n"/>
      <c r="G297" s="9" t="n"/>
      <c r="H297" s="13" t="n"/>
      <c r="I297" s="13" t="n"/>
      <c r="J297" s="13" t="n"/>
      <c r="K297" s="13" t="n"/>
      <c r="L297" s="13" t="n"/>
      <c r="M297" s="13" t="n"/>
      <c r="N297" s="13" t="n"/>
      <c r="O297" s="13" t="n"/>
      <c r="P297" s="14">
        <f>IF(A297="","",COUNT(H297:O297)/8)</f>
        <v/>
      </c>
      <c r="Q297" s="15">
        <f>IF(COUNT(H297:O297)=0,"",IF(LEN(IF(COUNT(H297,I297,J297)=3,IF(ABS(H297+I297-J297)&lt;=MAX(1,0.02*ABS(J297)),"","RBE &lt;&gt; PNB + frais "),"")&amp;IF(COUNT(J297,K297,L297)=3,IF(ABS(J297+K297-L297)&lt;=MAX(1,0.03*ABS(L297)),"","RAI &lt;&gt; RBE + coût du risque "),"")&amp;IF(COUNT(H297,M297)=2,IF(ABS(M297)&gt;ABS(H297),"RN &gt; PNB ",""),""))=0,"OK",IF(COUNT(H297,I297,J297)=3,IF(ABS(H297+I297-J297)&lt;=MAX(1,0.02*ABS(J297)),"","RBE &lt;&gt; PNB + frais "),"")&amp;IF(COUNT(J297,K297,L297)=3,IF(ABS(J297+K297-L297)&lt;=MAX(1,0.03*ABS(L297)),"","RAI &lt;&gt; RBE + coût du risque "),"")&amp;IF(COUNT(H297,M297)=2,IF(ABS(M297)&gt;ABS(H297),"RN &gt; PNB ",""),"")))</f>
        <v/>
      </c>
      <c r="R297" s="16">
        <f>IF(OR($A297="",H297="",$C297=""),"",IF(COUNTIFS($A$5:$A$315,$A297,$C$5:$C$315,$C297-1,$D$5:$D$315,$D297,H$5:H$315,"&lt;&gt;")=0,"",IF(OR(SUMIFS(H$5:H$315,$A$5:$A$315,$A297,$C$5:$C$315,$C297-1,$D$5:$D$315,$D297)=0,H297*SUMIFS(H$5:H$315,$A$5:$A$315,$A297,$C$5:$C$315,$C297-1,$D$5:$D$315,$D297)&lt;0),"n.s.",ABS(H297)/ABS(SUMIFS(H$5:H$315,$A$5:$A$315,$A297,$C$5:$C$315,$C297-1,$D$5:$D$315,$D297))-1)))</f>
        <v/>
      </c>
      <c r="S297" s="16">
        <f>IF(OR($A297="",I297="",$C297=""),"",IF(COUNTIFS($A$5:$A$315,$A297,$C$5:$C$315,$C297-1,$D$5:$D$315,$D297,I$5:I$315,"&lt;&gt;")=0,"",IF(OR(SUMIFS(I$5:I$315,$A$5:$A$315,$A297,$C$5:$C$315,$C297-1,$D$5:$D$315,$D297)=0,I297*SUMIFS(I$5:I$315,$A$5:$A$315,$A297,$C$5:$C$315,$C297-1,$D$5:$D$315,$D297)&lt;0),"n.s.",ABS(I297)/ABS(SUMIFS(I$5:I$315,$A$5:$A$315,$A297,$C$5:$C$315,$C297-1,$D$5:$D$315,$D297))-1)))</f>
        <v/>
      </c>
      <c r="T297" s="16">
        <f>IF(OR($A297="",J297="",$C297=""),"",IF(COUNTIFS($A$5:$A$315,$A297,$C$5:$C$315,$C297-1,$D$5:$D$315,$D297,J$5:J$315,"&lt;&gt;")=0,"",IF(OR(SUMIFS(J$5:J$315,$A$5:$A$315,$A297,$C$5:$C$315,$C297-1,$D$5:$D$315,$D297)=0,J297*SUMIFS(J$5:J$315,$A$5:$A$315,$A297,$C$5:$C$315,$C297-1,$D$5:$D$315,$D297)&lt;0),"n.s.",ABS(J297)/ABS(SUMIFS(J$5:J$315,$A$5:$A$315,$A297,$C$5:$C$315,$C297-1,$D$5:$D$315,$D297))-1)))</f>
        <v/>
      </c>
      <c r="U297" s="16">
        <f>IF(OR($A297="",K297="",$C297=""),"",IF(COUNTIFS($A$5:$A$315,$A297,$C$5:$C$315,$C297-1,$D$5:$D$315,$D297,K$5:K$315,"&lt;&gt;")=0,"",IF(OR(SUMIFS(K$5:K$315,$A$5:$A$315,$A297,$C$5:$C$315,$C297-1,$D$5:$D$315,$D297)=0,K297*SUMIFS(K$5:K$315,$A$5:$A$315,$A297,$C$5:$C$315,$C297-1,$D$5:$D$315,$D297)&lt;0),"n.s.",ABS(K297)/ABS(SUMIFS(K$5:K$315,$A$5:$A$315,$A297,$C$5:$C$315,$C297-1,$D$5:$D$315,$D297))-1)))</f>
        <v/>
      </c>
      <c r="V297" s="16">
        <f>IF(OR($A297="",L297="",$C297=""),"",IF(COUNTIFS($A$5:$A$315,$A297,$C$5:$C$315,$C297-1,$D$5:$D$315,$D297,L$5:L$315,"&lt;&gt;")=0,"",IF(OR(SUMIFS(L$5:L$315,$A$5:$A$315,$A297,$C$5:$C$315,$C297-1,$D$5:$D$315,$D297)=0,L297*SUMIFS(L$5:L$315,$A$5:$A$315,$A297,$C$5:$C$315,$C297-1,$D$5:$D$315,$D297)&lt;0),"n.s.",ABS(L297)/ABS(SUMIFS(L$5:L$315,$A$5:$A$315,$A297,$C$5:$C$315,$C297-1,$D$5:$D$315,$D297))-1)))</f>
        <v/>
      </c>
      <c r="W297" s="16">
        <f>IF(OR($A297="",M297="",$C297=""),"",IF(COUNTIFS($A$5:$A$315,$A297,$C$5:$C$315,$C297-1,$D$5:$D$315,$D297,M$5:M$315,"&lt;&gt;")=0,"",IF(OR(SUMIFS(M$5:M$315,$A$5:$A$315,$A297,$C$5:$C$315,$C297-1,$D$5:$D$315,$D297)=0,M297*SUMIFS(M$5:M$315,$A$5:$A$315,$A297,$C$5:$C$315,$C297-1,$D$5:$D$315,$D297)&lt;0),"n.s.",ABS(M297)/ABS(SUMIFS(M$5:M$315,$A$5:$A$315,$A297,$C$5:$C$315,$C297-1,$D$5:$D$315,$D297))-1)))</f>
        <v/>
      </c>
      <c r="X297" s="16">
        <f>IF(OR($A297="",N297="",$C297=""),"",IF(COUNTIFS($A$5:$A$315,$A297,$C$5:$C$315,$C297-1,$D$5:$D$315,$D297,N$5:N$315,"&lt;&gt;")=0,"",IF(OR(SUMIFS(N$5:N$315,$A$5:$A$315,$A297,$C$5:$C$315,$C297-1,$D$5:$D$315,$D297)=0,N297*SUMIFS(N$5:N$315,$A$5:$A$315,$A297,$C$5:$C$315,$C297-1,$D$5:$D$315,$D297)&lt;0),"n.s.",ABS(N297)/ABS(SUMIFS(N$5:N$315,$A$5:$A$315,$A297,$C$5:$C$315,$C297-1,$D$5:$D$315,$D297))-1)))</f>
        <v/>
      </c>
      <c r="Y297" s="16">
        <f>IF(OR($A297="",O297="",$C297=""),"",IF(COUNTIFS($A$5:$A$315,$A297,$C$5:$C$315,$C297-1,$D$5:$D$315,$D297,O$5:O$315,"&lt;&gt;")=0,"",IF(OR(SUMIFS(O$5:O$315,$A$5:$A$315,$A297,$C$5:$C$315,$C297-1,$D$5:$D$315,$D297)=0,O297*SUMIFS(O$5:O$315,$A$5:$A$315,$A297,$C$5:$C$315,$C297-1,$D$5:$D$315,$D297)&lt;0),"n.s.",ABS(O297)/ABS(SUMIFS(O$5:O$315,$A$5:$A$315,$A297,$C$5:$C$315,$C297-1,$D$5:$D$315,$D297))-1)))</f>
        <v/>
      </c>
    </row>
    <row r="298">
      <c r="A298" s="9" t="n"/>
      <c r="B298" s="10">
        <f>IF(A298="","",IFERROR(VLOOKUP(A298,Titres!$A$2:$B$400,2,FALSE),"Ticker inconnu"))</f>
        <v/>
      </c>
      <c r="C298" s="11" t="n"/>
      <c r="D298" s="11" t="n"/>
      <c r="E298" s="9" t="n"/>
      <c r="F298" s="12" t="n"/>
      <c r="G298" s="9" t="n"/>
      <c r="H298" s="13" t="n"/>
      <c r="I298" s="13" t="n"/>
      <c r="J298" s="13" t="n"/>
      <c r="K298" s="13" t="n"/>
      <c r="L298" s="13" t="n"/>
      <c r="M298" s="13" t="n"/>
      <c r="N298" s="13" t="n"/>
      <c r="O298" s="13" t="n"/>
      <c r="P298" s="14">
        <f>IF(A298="","",COUNT(H298:O298)/8)</f>
        <v/>
      </c>
      <c r="Q298" s="15">
        <f>IF(COUNT(H298:O298)=0,"",IF(LEN(IF(COUNT(H298,I298,J298)=3,IF(ABS(H298+I298-J298)&lt;=MAX(1,0.02*ABS(J298)),"","RBE &lt;&gt; PNB + frais "),"")&amp;IF(COUNT(J298,K298,L298)=3,IF(ABS(J298+K298-L298)&lt;=MAX(1,0.03*ABS(L298)),"","RAI &lt;&gt; RBE + coût du risque "),"")&amp;IF(COUNT(H298,M298)=2,IF(ABS(M298)&gt;ABS(H298),"RN &gt; PNB ",""),""))=0,"OK",IF(COUNT(H298,I298,J298)=3,IF(ABS(H298+I298-J298)&lt;=MAX(1,0.02*ABS(J298)),"","RBE &lt;&gt; PNB + frais "),"")&amp;IF(COUNT(J298,K298,L298)=3,IF(ABS(J298+K298-L298)&lt;=MAX(1,0.03*ABS(L298)),"","RAI &lt;&gt; RBE + coût du risque "),"")&amp;IF(COUNT(H298,M298)=2,IF(ABS(M298)&gt;ABS(H298),"RN &gt; PNB ",""),"")))</f>
        <v/>
      </c>
      <c r="R298" s="16">
        <f>IF(OR($A298="",H298="",$C298=""),"",IF(COUNTIFS($A$5:$A$315,$A298,$C$5:$C$315,$C298-1,$D$5:$D$315,$D298,H$5:H$315,"&lt;&gt;")=0,"",IF(OR(SUMIFS(H$5:H$315,$A$5:$A$315,$A298,$C$5:$C$315,$C298-1,$D$5:$D$315,$D298)=0,H298*SUMIFS(H$5:H$315,$A$5:$A$315,$A298,$C$5:$C$315,$C298-1,$D$5:$D$315,$D298)&lt;0),"n.s.",ABS(H298)/ABS(SUMIFS(H$5:H$315,$A$5:$A$315,$A298,$C$5:$C$315,$C298-1,$D$5:$D$315,$D298))-1)))</f>
        <v/>
      </c>
      <c r="S298" s="16">
        <f>IF(OR($A298="",I298="",$C298=""),"",IF(COUNTIFS($A$5:$A$315,$A298,$C$5:$C$315,$C298-1,$D$5:$D$315,$D298,I$5:I$315,"&lt;&gt;")=0,"",IF(OR(SUMIFS(I$5:I$315,$A$5:$A$315,$A298,$C$5:$C$315,$C298-1,$D$5:$D$315,$D298)=0,I298*SUMIFS(I$5:I$315,$A$5:$A$315,$A298,$C$5:$C$315,$C298-1,$D$5:$D$315,$D298)&lt;0),"n.s.",ABS(I298)/ABS(SUMIFS(I$5:I$315,$A$5:$A$315,$A298,$C$5:$C$315,$C298-1,$D$5:$D$315,$D298))-1)))</f>
        <v/>
      </c>
      <c r="T298" s="16">
        <f>IF(OR($A298="",J298="",$C298=""),"",IF(COUNTIFS($A$5:$A$315,$A298,$C$5:$C$315,$C298-1,$D$5:$D$315,$D298,J$5:J$315,"&lt;&gt;")=0,"",IF(OR(SUMIFS(J$5:J$315,$A$5:$A$315,$A298,$C$5:$C$315,$C298-1,$D$5:$D$315,$D298)=0,J298*SUMIFS(J$5:J$315,$A$5:$A$315,$A298,$C$5:$C$315,$C298-1,$D$5:$D$315,$D298)&lt;0),"n.s.",ABS(J298)/ABS(SUMIFS(J$5:J$315,$A$5:$A$315,$A298,$C$5:$C$315,$C298-1,$D$5:$D$315,$D298))-1)))</f>
        <v/>
      </c>
      <c r="U298" s="16">
        <f>IF(OR($A298="",K298="",$C298=""),"",IF(COUNTIFS($A$5:$A$315,$A298,$C$5:$C$315,$C298-1,$D$5:$D$315,$D298,K$5:K$315,"&lt;&gt;")=0,"",IF(OR(SUMIFS(K$5:K$315,$A$5:$A$315,$A298,$C$5:$C$315,$C298-1,$D$5:$D$315,$D298)=0,K298*SUMIFS(K$5:K$315,$A$5:$A$315,$A298,$C$5:$C$315,$C298-1,$D$5:$D$315,$D298)&lt;0),"n.s.",ABS(K298)/ABS(SUMIFS(K$5:K$315,$A$5:$A$315,$A298,$C$5:$C$315,$C298-1,$D$5:$D$315,$D298))-1)))</f>
        <v/>
      </c>
      <c r="V298" s="16">
        <f>IF(OR($A298="",L298="",$C298=""),"",IF(COUNTIFS($A$5:$A$315,$A298,$C$5:$C$315,$C298-1,$D$5:$D$315,$D298,L$5:L$315,"&lt;&gt;")=0,"",IF(OR(SUMIFS(L$5:L$315,$A$5:$A$315,$A298,$C$5:$C$315,$C298-1,$D$5:$D$315,$D298)=0,L298*SUMIFS(L$5:L$315,$A$5:$A$315,$A298,$C$5:$C$315,$C298-1,$D$5:$D$315,$D298)&lt;0),"n.s.",ABS(L298)/ABS(SUMIFS(L$5:L$315,$A$5:$A$315,$A298,$C$5:$C$315,$C298-1,$D$5:$D$315,$D298))-1)))</f>
        <v/>
      </c>
      <c r="W298" s="16">
        <f>IF(OR($A298="",M298="",$C298=""),"",IF(COUNTIFS($A$5:$A$315,$A298,$C$5:$C$315,$C298-1,$D$5:$D$315,$D298,M$5:M$315,"&lt;&gt;")=0,"",IF(OR(SUMIFS(M$5:M$315,$A$5:$A$315,$A298,$C$5:$C$315,$C298-1,$D$5:$D$315,$D298)=0,M298*SUMIFS(M$5:M$315,$A$5:$A$315,$A298,$C$5:$C$315,$C298-1,$D$5:$D$315,$D298)&lt;0),"n.s.",ABS(M298)/ABS(SUMIFS(M$5:M$315,$A$5:$A$315,$A298,$C$5:$C$315,$C298-1,$D$5:$D$315,$D298))-1)))</f>
        <v/>
      </c>
      <c r="X298" s="16">
        <f>IF(OR($A298="",N298="",$C298=""),"",IF(COUNTIFS($A$5:$A$315,$A298,$C$5:$C$315,$C298-1,$D$5:$D$315,$D298,N$5:N$315,"&lt;&gt;")=0,"",IF(OR(SUMIFS(N$5:N$315,$A$5:$A$315,$A298,$C$5:$C$315,$C298-1,$D$5:$D$315,$D298)=0,N298*SUMIFS(N$5:N$315,$A$5:$A$315,$A298,$C$5:$C$315,$C298-1,$D$5:$D$315,$D298)&lt;0),"n.s.",ABS(N298)/ABS(SUMIFS(N$5:N$315,$A$5:$A$315,$A298,$C$5:$C$315,$C298-1,$D$5:$D$315,$D298))-1)))</f>
        <v/>
      </c>
      <c r="Y298" s="16">
        <f>IF(OR($A298="",O298="",$C298=""),"",IF(COUNTIFS($A$5:$A$315,$A298,$C$5:$C$315,$C298-1,$D$5:$D$315,$D298,O$5:O$315,"&lt;&gt;")=0,"",IF(OR(SUMIFS(O$5:O$315,$A$5:$A$315,$A298,$C$5:$C$315,$C298-1,$D$5:$D$315,$D298)=0,O298*SUMIFS(O$5:O$315,$A$5:$A$315,$A298,$C$5:$C$315,$C298-1,$D$5:$D$315,$D298)&lt;0),"n.s.",ABS(O298)/ABS(SUMIFS(O$5:O$315,$A$5:$A$315,$A298,$C$5:$C$315,$C298-1,$D$5:$D$315,$D298))-1)))</f>
        <v/>
      </c>
    </row>
    <row r="299">
      <c r="A299" s="9" t="n"/>
      <c r="B299" s="10">
        <f>IF(A299="","",IFERROR(VLOOKUP(A299,Titres!$A$2:$B$400,2,FALSE),"Ticker inconnu"))</f>
        <v/>
      </c>
      <c r="C299" s="11" t="n"/>
      <c r="D299" s="11" t="n"/>
      <c r="E299" s="9" t="n"/>
      <c r="F299" s="12" t="n"/>
      <c r="G299" s="9" t="n"/>
      <c r="H299" s="13" t="n"/>
      <c r="I299" s="13" t="n"/>
      <c r="J299" s="13" t="n"/>
      <c r="K299" s="13" t="n"/>
      <c r="L299" s="13" t="n"/>
      <c r="M299" s="13" t="n"/>
      <c r="N299" s="13" t="n"/>
      <c r="O299" s="13" t="n"/>
      <c r="P299" s="14">
        <f>IF(A299="","",COUNT(H299:O299)/8)</f>
        <v/>
      </c>
      <c r="Q299" s="15">
        <f>IF(COUNT(H299:O299)=0,"",IF(LEN(IF(COUNT(H299,I299,J299)=3,IF(ABS(H299+I299-J299)&lt;=MAX(1,0.02*ABS(J299)),"","RBE &lt;&gt; PNB + frais "),"")&amp;IF(COUNT(J299,K299,L299)=3,IF(ABS(J299+K299-L299)&lt;=MAX(1,0.03*ABS(L299)),"","RAI &lt;&gt; RBE + coût du risque "),"")&amp;IF(COUNT(H299,M299)=2,IF(ABS(M299)&gt;ABS(H299),"RN &gt; PNB ",""),""))=0,"OK",IF(COUNT(H299,I299,J299)=3,IF(ABS(H299+I299-J299)&lt;=MAX(1,0.02*ABS(J299)),"","RBE &lt;&gt; PNB + frais "),"")&amp;IF(COUNT(J299,K299,L299)=3,IF(ABS(J299+K299-L299)&lt;=MAX(1,0.03*ABS(L299)),"","RAI &lt;&gt; RBE + coût du risque "),"")&amp;IF(COUNT(H299,M299)=2,IF(ABS(M299)&gt;ABS(H299),"RN &gt; PNB ",""),"")))</f>
        <v/>
      </c>
      <c r="R299" s="16">
        <f>IF(OR($A299="",H299="",$C299=""),"",IF(COUNTIFS($A$5:$A$315,$A299,$C$5:$C$315,$C299-1,$D$5:$D$315,$D299,H$5:H$315,"&lt;&gt;")=0,"",IF(OR(SUMIFS(H$5:H$315,$A$5:$A$315,$A299,$C$5:$C$315,$C299-1,$D$5:$D$315,$D299)=0,H299*SUMIFS(H$5:H$315,$A$5:$A$315,$A299,$C$5:$C$315,$C299-1,$D$5:$D$315,$D299)&lt;0),"n.s.",ABS(H299)/ABS(SUMIFS(H$5:H$315,$A$5:$A$315,$A299,$C$5:$C$315,$C299-1,$D$5:$D$315,$D299))-1)))</f>
        <v/>
      </c>
      <c r="S299" s="16">
        <f>IF(OR($A299="",I299="",$C299=""),"",IF(COUNTIFS($A$5:$A$315,$A299,$C$5:$C$315,$C299-1,$D$5:$D$315,$D299,I$5:I$315,"&lt;&gt;")=0,"",IF(OR(SUMIFS(I$5:I$315,$A$5:$A$315,$A299,$C$5:$C$315,$C299-1,$D$5:$D$315,$D299)=0,I299*SUMIFS(I$5:I$315,$A$5:$A$315,$A299,$C$5:$C$315,$C299-1,$D$5:$D$315,$D299)&lt;0),"n.s.",ABS(I299)/ABS(SUMIFS(I$5:I$315,$A$5:$A$315,$A299,$C$5:$C$315,$C299-1,$D$5:$D$315,$D299))-1)))</f>
        <v/>
      </c>
      <c r="T299" s="16">
        <f>IF(OR($A299="",J299="",$C299=""),"",IF(COUNTIFS($A$5:$A$315,$A299,$C$5:$C$315,$C299-1,$D$5:$D$315,$D299,J$5:J$315,"&lt;&gt;")=0,"",IF(OR(SUMIFS(J$5:J$315,$A$5:$A$315,$A299,$C$5:$C$315,$C299-1,$D$5:$D$315,$D299)=0,J299*SUMIFS(J$5:J$315,$A$5:$A$315,$A299,$C$5:$C$315,$C299-1,$D$5:$D$315,$D299)&lt;0),"n.s.",ABS(J299)/ABS(SUMIFS(J$5:J$315,$A$5:$A$315,$A299,$C$5:$C$315,$C299-1,$D$5:$D$315,$D299))-1)))</f>
        <v/>
      </c>
      <c r="U299" s="16">
        <f>IF(OR($A299="",K299="",$C299=""),"",IF(COUNTIFS($A$5:$A$315,$A299,$C$5:$C$315,$C299-1,$D$5:$D$315,$D299,K$5:K$315,"&lt;&gt;")=0,"",IF(OR(SUMIFS(K$5:K$315,$A$5:$A$315,$A299,$C$5:$C$315,$C299-1,$D$5:$D$315,$D299)=0,K299*SUMIFS(K$5:K$315,$A$5:$A$315,$A299,$C$5:$C$315,$C299-1,$D$5:$D$315,$D299)&lt;0),"n.s.",ABS(K299)/ABS(SUMIFS(K$5:K$315,$A$5:$A$315,$A299,$C$5:$C$315,$C299-1,$D$5:$D$315,$D299))-1)))</f>
        <v/>
      </c>
      <c r="V299" s="16">
        <f>IF(OR($A299="",L299="",$C299=""),"",IF(COUNTIFS($A$5:$A$315,$A299,$C$5:$C$315,$C299-1,$D$5:$D$315,$D299,L$5:L$315,"&lt;&gt;")=0,"",IF(OR(SUMIFS(L$5:L$315,$A$5:$A$315,$A299,$C$5:$C$315,$C299-1,$D$5:$D$315,$D299)=0,L299*SUMIFS(L$5:L$315,$A$5:$A$315,$A299,$C$5:$C$315,$C299-1,$D$5:$D$315,$D299)&lt;0),"n.s.",ABS(L299)/ABS(SUMIFS(L$5:L$315,$A$5:$A$315,$A299,$C$5:$C$315,$C299-1,$D$5:$D$315,$D299))-1)))</f>
        <v/>
      </c>
      <c r="W299" s="16">
        <f>IF(OR($A299="",M299="",$C299=""),"",IF(COUNTIFS($A$5:$A$315,$A299,$C$5:$C$315,$C299-1,$D$5:$D$315,$D299,M$5:M$315,"&lt;&gt;")=0,"",IF(OR(SUMIFS(M$5:M$315,$A$5:$A$315,$A299,$C$5:$C$315,$C299-1,$D$5:$D$315,$D299)=0,M299*SUMIFS(M$5:M$315,$A$5:$A$315,$A299,$C$5:$C$315,$C299-1,$D$5:$D$315,$D299)&lt;0),"n.s.",ABS(M299)/ABS(SUMIFS(M$5:M$315,$A$5:$A$315,$A299,$C$5:$C$315,$C299-1,$D$5:$D$315,$D299))-1)))</f>
        <v/>
      </c>
      <c r="X299" s="16">
        <f>IF(OR($A299="",N299="",$C299=""),"",IF(COUNTIFS($A$5:$A$315,$A299,$C$5:$C$315,$C299-1,$D$5:$D$315,$D299,N$5:N$315,"&lt;&gt;")=0,"",IF(OR(SUMIFS(N$5:N$315,$A$5:$A$315,$A299,$C$5:$C$315,$C299-1,$D$5:$D$315,$D299)=0,N299*SUMIFS(N$5:N$315,$A$5:$A$315,$A299,$C$5:$C$315,$C299-1,$D$5:$D$315,$D299)&lt;0),"n.s.",ABS(N299)/ABS(SUMIFS(N$5:N$315,$A$5:$A$315,$A299,$C$5:$C$315,$C299-1,$D$5:$D$315,$D299))-1)))</f>
        <v/>
      </c>
      <c r="Y299" s="16">
        <f>IF(OR($A299="",O299="",$C299=""),"",IF(COUNTIFS($A$5:$A$315,$A299,$C$5:$C$315,$C299-1,$D$5:$D$315,$D299,O$5:O$315,"&lt;&gt;")=0,"",IF(OR(SUMIFS(O$5:O$315,$A$5:$A$315,$A299,$C$5:$C$315,$C299-1,$D$5:$D$315,$D299)=0,O299*SUMIFS(O$5:O$315,$A$5:$A$315,$A299,$C$5:$C$315,$C299-1,$D$5:$D$315,$D299)&lt;0),"n.s.",ABS(O299)/ABS(SUMIFS(O$5:O$315,$A$5:$A$315,$A299,$C$5:$C$315,$C299-1,$D$5:$D$315,$D299))-1)))</f>
        <v/>
      </c>
    </row>
    <row r="300">
      <c r="A300" s="9" t="n"/>
      <c r="B300" s="10">
        <f>IF(A300="","",IFERROR(VLOOKUP(A300,Titres!$A$2:$B$400,2,FALSE),"Ticker inconnu"))</f>
        <v/>
      </c>
      <c r="C300" s="11" t="n"/>
      <c r="D300" s="11" t="n"/>
      <c r="E300" s="9" t="n"/>
      <c r="F300" s="12" t="n"/>
      <c r="G300" s="9" t="n"/>
      <c r="H300" s="13" t="n"/>
      <c r="I300" s="13" t="n"/>
      <c r="J300" s="13" t="n"/>
      <c r="K300" s="13" t="n"/>
      <c r="L300" s="13" t="n"/>
      <c r="M300" s="13" t="n"/>
      <c r="N300" s="13" t="n"/>
      <c r="O300" s="13" t="n"/>
      <c r="P300" s="14">
        <f>IF(A300="","",COUNT(H300:O300)/8)</f>
        <v/>
      </c>
      <c r="Q300" s="15">
        <f>IF(COUNT(H300:O300)=0,"",IF(LEN(IF(COUNT(H300,I300,J300)=3,IF(ABS(H300+I300-J300)&lt;=MAX(1,0.02*ABS(J300)),"","RBE &lt;&gt; PNB + frais "),"")&amp;IF(COUNT(J300,K300,L300)=3,IF(ABS(J300+K300-L300)&lt;=MAX(1,0.03*ABS(L300)),"","RAI &lt;&gt; RBE + coût du risque "),"")&amp;IF(COUNT(H300,M300)=2,IF(ABS(M300)&gt;ABS(H300),"RN &gt; PNB ",""),""))=0,"OK",IF(COUNT(H300,I300,J300)=3,IF(ABS(H300+I300-J300)&lt;=MAX(1,0.02*ABS(J300)),"","RBE &lt;&gt; PNB + frais "),"")&amp;IF(COUNT(J300,K300,L300)=3,IF(ABS(J300+K300-L300)&lt;=MAX(1,0.03*ABS(L300)),"","RAI &lt;&gt; RBE + coût du risque "),"")&amp;IF(COUNT(H300,M300)=2,IF(ABS(M300)&gt;ABS(H300),"RN &gt; PNB ",""),"")))</f>
        <v/>
      </c>
      <c r="R300" s="16">
        <f>IF(OR($A300="",H300="",$C300=""),"",IF(COUNTIFS($A$5:$A$315,$A300,$C$5:$C$315,$C300-1,$D$5:$D$315,$D300,H$5:H$315,"&lt;&gt;")=0,"",IF(OR(SUMIFS(H$5:H$315,$A$5:$A$315,$A300,$C$5:$C$315,$C300-1,$D$5:$D$315,$D300)=0,H300*SUMIFS(H$5:H$315,$A$5:$A$315,$A300,$C$5:$C$315,$C300-1,$D$5:$D$315,$D300)&lt;0),"n.s.",ABS(H300)/ABS(SUMIFS(H$5:H$315,$A$5:$A$315,$A300,$C$5:$C$315,$C300-1,$D$5:$D$315,$D300))-1)))</f>
        <v/>
      </c>
      <c r="S300" s="16">
        <f>IF(OR($A300="",I300="",$C300=""),"",IF(COUNTIFS($A$5:$A$315,$A300,$C$5:$C$315,$C300-1,$D$5:$D$315,$D300,I$5:I$315,"&lt;&gt;")=0,"",IF(OR(SUMIFS(I$5:I$315,$A$5:$A$315,$A300,$C$5:$C$315,$C300-1,$D$5:$D$315,$D300)=0,I300*SUMIFS(I$5:I$315,$A$5:$A$315,$A300,$C$5:$C$315,$C300-1,$D$5:$D$315,$D300)&lt;0),"n.s.",ABS(I300)/ABS(SUMIFS(I$5:I$315,$A$5:$A$315,$A300,$C$5:$C$315,$C300-1,$D$5:$D$315,$D300))-1)))</f>
        <v/>
      </c>
      <c r="T300" s="16">
        <f>IF(OR($A300="",J300="",$C300=""),"",IF(COUNTIFS($A$5:$A$315,$A300,$C$5:$C$315,$C300-1,$D$5:$D$315,$D300,J$5:J$315,"&lt;&gt;")=0,"",IF(OR(SUMIFS(J$5:J$315,$A$5:$A$315,$A300,$C$5:$C$315,$C300-1,$D$5:$D$315,$D300)=0,J300*SUMIFS(J$5:J$315,$A$5:$A$315,$A300,$C$5:$C$315,$C300-1,$D$5:$D$315,$D300)&lt;0),"n.s.",ABS(J300)/ABS(SUMIFS(J$5:J$315,$A$5:$A$315,$A300,$C$5:$C$315,$C300-1,$D$5:$D$315,$D300))-1)))</f>
        <v/>
      </c>
      <c r="U300" s="16">
        <f>IF(OR($A300="",K300="",$C300=""),"",IF(COUNTIFS($A$5:$A$315,$A300,$C$5:$C$315,$C300-1,$D$5:$D$315,$D300,K$5:K$315,"&lt;&gt;")=0,"",IF(OR(SUMIFS(K$5:K$315,$A$5:$A$315,$A300,$C$5:$C$315,$C300-1,$D$5:$D$315,$D300)=0,K300*SUMIFS(K$5:K$315,$A$5:$A$315,$A300,$C$5:$C$315,$C300-1,$D$5:$D$315,$D300)&lt;0),"n.s.",ABS(K300)/ABS(SUMIFS(K$5:K$315,$A$5:$A$315,$A300,$C$5:$C$315,$C300-1,$D$5:$D$315,$D300))-1)))</f>
        <v/>
      </c>
      <c r="V300" s="16">
        <f>IF(OR($A300="",L300="",$C300=""),"",IF(COUNTIFS($A$5:$A$315,$A300,$C$5:$C$315,$C300-1,$D$5:$D$315,$D300,L$5:L$315,"&lt;&gt;")=0,"",IF(OR(SUMIFS(L$5:L$315,$A$5:$A$315,$A300,$C$5:$C$315,$C300-1,$D$5:$D$315,$D300)=0,L300*SUMIFS(L$5:L$315,$A$5:$A$315,$A300,$C$5:$C$315,$C300-1,$D$5:$D$315,$D300)&lt;0),"n.s.",ABS(L300)/ABS(SUMIFS(L$5:L$315,$A$5:$A$315,$A300,$C$5:$C$315,$C300-1,$D$5:$D$315,$D300))-1)))</f>
        <v/>
      </c>
      <c r="W300" s="16">
        <f>IF(OR($A300="",M300="",$C300=""),"",IF(COUNTIFS($A$5:$A$315,$A300,$C$5:$C$315,$C300-1,$D$5:$D$315,$D300,M$5:M$315,"&lt;&gt;")=0,"",IF(OR(SUMIFS(M$5:M$315,$A$5:$A$315,$A300,$C$5:$C$315,$C300-1,$D$5:$D$315,$D300)=0,M300*SUMIFS(M$5:M$315,$A$5:$A$315,$A300,$C$5:$C$315,$C300-1,$D$5:$D$315,$D300)&lt;0),"n.s.",ABS(M300)/ABS(SUMIFS(M$5:M$315,$A$5:$A$315,$A300,$C$5:$C$315,$C300-1,$D$5:$D$315,$D300))-1)))</f>
        <v/>
      </c>
      <c r="X300" s="16">
        <f>IF(OR($A300="",N300="",$C300=""),"",IF(COUNTIFS($A$5:$A$315,$A300,$C$5:$C$315,$C300-1,$D$5:$D$315,$D300,N$5:N$315,"&lt;&gt;")=0,"",IF(OR(SUMIFS(N$5:N$315,$A$5:$A$315,$A300,$C$5:$C$315,$C300-1,$D$5:$D$315,$D300)=0,N300*SUMIFS(N$5:N$315,$A$5:$A$315,$A300,$C$5:$C$315,$C300-1,$D$5:$D$315,$D300)&lt;0),"n.s.",ABS(N300)/ABS(SUMIFS(N$5:N$315,$A$5:$A$315,$A300,$C$5:$C$315,$C300-1,$D$5:$D$315,$D300))-1)))</f>
        <v/>
      </c>
      <c r="Y300" s="16">
        <f>IF(OR($A300="",O300="",$C300=""),"",IF(COUNTIFS($A$5:$A$315,$A300,$C$5:$C$315,$C300-1,$D$5:$D$315,$D300,O$5:O$315,"&lt;&gt;")=0,"",IF(OR(SUMIFS(O$5:O$315,$A$5:$A$315,$A300,$C$5:$C$315,$C300-1,$D$5:$D$315,$D300)=0,O300*SUMIFS(O$5:O$315,$A$5:$A$315,$A300,$C$5:$C$315,$C300-1,$D$5:$D$315,$D300)&lt;0),"n.s.",ABS(O300)/ABS(SUMIFS(O$5:O$315,$A$5:$A$315,$A300,$C$5:$C$315,$C300-1,$D$5:$D$315,$D300))-1)))</f>
        <v/>
      </c>
    </row>
    <row r="301">
      <c r="A301" s="9" t="n"/>
      <c r="B301" s="10">
        <f>IF(A301="","",IFERROR(VLOOKUP(A301,Titres!$A$2:$B$400,2,FALSE),"Ticker inconnu"))</f>
        <v/>
      </c>
      <c r="C301" s="11" t="n"/>
      <c r="D301" s="11" t="n"/>
      <c r="E301" s="9" t="n"/>
      <c r="F301" s="12" t="n"/>
      <c r="G301" s="9" t="n"/>
      <c r="H301" s="13" t="n"/>
      <c r="I301" s="13" t="n"/>
      <c r="J301" s="13" t="n"/>
      <c r="K301" s="13" t="n"/>
      <c r="L301" s="13" t="n"/>
      <c r="M301" s="13" t="n"/>
      <c r="N301" s="13" t="n"/>
      <c r="O301" s="13" t="n"/>
      <c r="P301" s="14">
        <f>IF(A301="","",COUNT(H301:O301)/8)</f>
        <v/>
      </c>
      <c r="Q301" s="15">
        <f>IF(COUNT(H301:O301)=0,"",IF(LEN(IF(COUNT(H301,I301,J301)=3,IF(ABS(H301+I301-J301)&lt;=MAX(1,0.02*ABS(J301)),"","RBE &lt;&gt; PNB + frais "),"")&amp;IF(COUNT(J301,K301,L301)=3,IF(ABS(J301+K301-L301)&lt;=MAX(1,0.03*ABS(L301)),"","RAI &lt;&gt; RBE + coût du risque "),"")&amp;IF(COUNT(H301,M301)=2,IF(ABS(M301)&gt;ABS(H301),"RN &gt; PNB ",""),""))=0,"OK",IF(COUNT(H301,I301,J301)=3,IF(ABS(H301+I301-J301)&lt;=MAX(1,0.02*ABS(J301)),"","RBE &lt;&gt; PNB + frais "),"")&amp;IF(COUNT(J301,K301,L301)=3,IF(ABS(J301+K301-L301)&lt;=MAX(1,0.03*ABS(L301)),"","RAI &lt;&gt; RBE + coût du risque "),"")&amp;IF(COUNT(H301,M301)=2,IF(ABS(M301)&gt;ABS(H301),"RN &gt; PNB ",""),"")))</f>
        <v/>
      </c>
      <c r="R301" s="16">
        <f>IF(OR($A301="",H301="",$C301=""),"",IF(COUNTIFS($A$5:$A$315,$A301,$C$5:$C$315,$C301-1,$D$5:$D$315,$D301,H$5:H$315,"&lt;&gt;")=0,"",IF(OR(SUMIFS(H$5:H$315,$A$5:$A$315,$A301,$C$5:$C$315,$C301-1,$D$5:$D$315,$D301)=0,H301*SUMIFS(H$5:H$315,$A$5:$A$315,$A301,$C$5:$C$315,$C301-1,$D$5:$D$315,$D301)&lt;0),"n.s.",ABS(H301)/ABS(SUMIFS(H$5:H$315,$A$5:$A$315,$A301,$C$5:$C$315,$C301-1,$D$5:$D$315,$D301))-1)))</f>
        <v/>
      </c>
      <c r="S301" s="16">
        <f>IF(OR($A301="",I301="",$C301=""),"",IF(COUNTIFS($A$5:$A$315,$A301,$C$5:$C$315,$C301-1,$D$5:$D$315,$D301,I$5:I$315,"&lt;&gt;")=0,"",IF(OR(SUMIFS(I$5:I$315,$A$5:$A$315,$A301,$C$5:$C$315,$C301-1,$D$5:$D$315,$D301)=0,I301*SUMIFS(I$5:I$315,$A$5:$A$315,$A301,$C$5:$C$315,$C301-1,$D$5:$D$315,$D301)&lt;0),"n.s.",ABS(I301)/ABS(SUMIFS(I$5:I$315,$A$5:$A$315,$A301,$C$5:$C$315,$C301-1,$D$5:$D$315,$D301))-1)))</f>
        <v/>
      </c>
      <c r="T301" s="16">
        <f>IF(OR($A301="",J301="",$C301=""),"",IF(COUNTIFS($A$5:$A$315,$A301,$C$5:$C$315,$C301-1,$D$5:$D$315,$D301,J$5:J$315,"&lt;&gt;")=0,"",IF(OR(SUMIFS(J$5:J$315,$A$5:$A$315,$A301,$C$5:$C$315,$C301-1,$D$5:$D$315,$D301)=0,J301*SUMIFS(J$5:J$315,$A$5:$A$315,$A301,$C$5:$C$315,$C301-1,$D$5:$D$315,$D301)&lt;0),"n.s.",ABS(J301)/ABS(SUMIFS(J$5:J$315,$A$5:$A$315,$A301,$C$5:$C$315,$C301-1,$D$5:$D$315,$D301))-1)))</f>
        <v/>
      </c>
      <c r="U301" s="16">
        <f>IF(OR($A301="",K301="",$C301=""),"",IF(COUNTIFS($A$5:$A$315,$A301,$C$5:$C$315,$C301-1,$D$5:$D$315,$D301,K$5:K$315,"&lt;&gt;")=0,"",IF(OR(SUMIFS(K$5:K$315,$A$5:$A$315,$A301,$C$5:$C$315,$C301-1,$D$5:$D$315,$D301)=0,K301*SUMIFS(K$5:K$315,$A$5:$A$315,$A301,$C$5:$C$315,$C301-1,$D$5:$D$315,$D301)&lt;0),"n.s.",ABS(K301)/ABS(SUMIFS(K$5:K$315,$A$5:$A$315,$A301,$C$5:$C$315,$C301-1,$D$5:$D$315,$D301))-1)))</f>
        <v/>
      </c>
      <c r="V301" s="16">
        <f>IF(OR($A301="",L301="",$C301=""),"",IF(COUNTIFS($A$5:$A$315,$A301,$C$5:$C$315,$C301-1,$D$5:$D$315,$D301,L$5:L$315,"&lt;&gt;")=0,"",IF(OR(SUMIFS(L$5:L$315,$A$5:$A$315,$A301,$C$5:$C$315,$C301-1,$D$5:$D$315,$D301)=0,L301*SUMIFS(L$5:L$315,$A$5:$A$315,$A301,$C$5:$C$315,$C301-1,$D$5:$D$315,$D301)&lt;0),"n.s.",ABS(L301)/ABS(SUMIFS(L$5:L$315,$A$5:$A$315,$A301,$C$5:$C$315,$C301-1,$D$5:$D$315,$D301))-1)))</f>
        <v/>
      </c>
      <c r="W301" s="16">
        <f>IF(OR($A301="",M301="",$C301=""),"",IF(COUNTIFS($A$5:$A$315,$A301,$C$5:$C$315,$C301-1,$D$5:$D$315,$D301,M$5:M$315,"&lt;&gt;")=0,"",IF(OR(SUMIFS(M$5:M$315,$A$5:$A$315,$A301,$C$5:$C$315,$C301-1,$D$5:$D$315,$D301)=0,M301*SUMIFS(M$5:M$315,$A$5:$A$315,$A301,$C$5:$C$315,$C301-1,$D$5:$D$315,$D301)&lt;0),"n.s.",ABS(M301)/ABS(SUMIFS(M$5:M$315,$A$5:$A$315,$A301,$C$5:$C$315,$C301-1,$D$5:$D$315,$D301))-1)))</f>
        <v/>
      </c>
      <c r="X301" s="16">
        <f>IF(OR($A301="",N301="",$C301=""),"",IF(COUNTIFS($A$5:$A$315,$A301,$C$5:$C$315,$C301-1,$D$5:$D$315,$D301,N$5:N$315,"&lt;&gt;")=0,"",IF(OR(SUMIFS(N$5:N$315,$A$5:$A$315,$A301,$C$5:$C$315,$C301-1,$D$5:$D$315,$D301)=0,N301*SUMIFS(N$5:N$315,$A$5:$A$315,$A301,$C$5:$C$315,$C301-1,$D$5:$D$315,$D301)&lt;0),"n.s.",ABS(N301)/ABS(SUMIFS(N$5:N$315,$A$5:$A$315,$A301,$C$5:$C$315,$C301-1,$D$5:$D$315,$D301))-1)))</f>
        <v/>
      </c>
      <c r="Y301" s="16">
        <f>IF(OR($A301="",O301="",$C301=""),"",IF(COUNTIFS($A$5:$A$315,$A301,$C$5:$C$315,$C301-1,$D$5:$D$315,$D301,O$5:O$315,"&lt;&gt;")=0,"",IF(OR(SUMIFS(O$5:O$315,$A$5:$A$315,$A301,$C$5:$C$315,$C301-1,$D$5:$D$315,$D301)=0,O301*SUMIFS(O$5:O$315,$A$5:$A$315,$A301,$C$5:$C$315,$C301-1,$D$5:$D$315,$D301)&lt;0),"n.s.",ABS(O301)/ABS(SUMIFS(O$5:O$315,$A$5:$A$315,$A301,$C$5:$C$315,$C301-1,$D$5:$D$315,$D301))-1)))</f>
        <v/>
      </c>
    </row>
    <row r="302">
      <c r="A302" s="9" t="n"/>
      <c r="B302" s="10">
        <f>IF(A302="","",IFERROR(VLOOKUP(A302,Titres!$A$2:$B$400,2,FALSE),"Ticker inconnu"))</f>
        <v/>
      </c>
      <c r="C302" s="11" t="n"/>
      <c r="D302" s="11" t="n"/>
      <c r="E302" s="9" t="n"/>
      <c r="F302" s="12" t="n"/>
      <c r="G302" s="9" t="n"/>
      <c r="H302" s="13" t="n"/>
      <c r="I302" s="13" t="n"/>
      <c r="J302" s="13" t="n"/>
      <c r="K302" s="13" t="n"/>
      <c r="L302" s="13" t="n"/>
      <c r="M302" s="13" t="n"/>
      <c r="N302" s="13" t="n"/>
      <c r="O302" s="13" t="n"/>
      <c r="P302" s="14">
        <f>IF(A302="","",COUNT(H302:O302)/8)</f>
        <v/>
      </c>
      <c r="Q302" s="15">
        <f>IF(COUNT(H302:O302)=0,"",IF(LEN(IF(COUNT(H302,I302,J302)=3,IF(ABS(H302+I302-J302)&lt;=MAX(1,0.02*ABS(J302)),"","RBE &lt;&gt; PNB + frais "),"")&amp;IF(COUNT(J302,K302,L302)=3,IF(ABS(J302+K302-L302)&lt;=MAX(1,0.03*ABS(L302)),"","RAI &lt;&gt; RBE + coût du risque "),"")&amp;IF(COUNT(H302,M302)=2,IF(ABS(M302)&gt;ABS(H302),"RN &gt; PNB ",""),""))=0,"OK",IF(COUNT(H302,I302,J302)=3,IF(ABS(H302+I302-J302)&lt;=MAX(1,0.02*ABS(J302)),"","RBE &lt;&gt; PNB + frais "),"")&amp;IF(COUNT(J302,K302,L302)=3,IF(ABS(J302+K302-L302)&lt;=MAX(1,0.03*ABS(L302)),"","RAI &lt;&gt; RBE + coût du risque "),"")&amp;IF(COUNT(H302,M302)=2,IF(ABS(M302)&gt;ABS(H302),"RN &gt; PNB ",""),"")))</f>
        <v/>
      </c>
      <c r="R302" s="16">
        <f>IF(OR($A302="",H302="",$C302=""),"",IF(COUNTIFS($A$5:$A$315,$A302,$C$5:$C$315,$C302-1,$D$5:$D$315,$D302,H$5:H$315,"&lt;&gt;")=0,"",IF(OR(SUMIFS(H$5:H$315,$A$5:$A$315,$A302,$C$5:$C$315,$C302-1,$D$5:$D$315,$D302)=0,H302*SUMIFS(H$5:H$315,$A$5:$A$315,$A302,$C$5:$C$315,$C302-1,$D$5:$D$315,$D302)&lt;0),"n.s.",ABS(H302)/ABS(SUMIFS(H$5:H$315,$A$5:$A$315,$A302,$C$5:$C$315,$C302-1,$D$5:$D$315,$D302))-1)))</f>
        <v/>
      </c>
      <c r="S302" s="16">
        <f>IF(OR($A302="",I302="",$C302=""),"",IF(COUNTIFS($A$5:$A$315,$A302,$C$5:$C$315,$C302-1,$D$5:$D$315,$D302,I$5:I$315,"&lt;&gt;")=0,"",IF(OR(SUMIFS(I$5:I$315,$A$5:$A$315,$A302,$C$5:$C$315,$C302-1,$D$5:$D$315,$D302)=0,I302*SUMIFS(I$5:I$315,$A$5:$A$315,$A302,$C$5:$C$315,$C302-1,$D$5:$D$315,$D302)&lt;0),"n.s.",ABS(I302)/ABS(SUMIFS(I$5:I$315,$A$5:$A$315,$A302,$C$5:$C$315,$C302-1,$D$5:$D$315,$D302))-1)))</f>
        <v/>
      </c>
      <c r="T302" s="16">
        <f>IF(OR($A302="",J302="",$C302=""),"",IF(COUNTIFS($A$5:$A$315,$A302,$C$5:$C$315,$C302-1,$D$5:$D$315,$D302,J$5:J$315,"&lt;&gt;")=0,"",IF(OR(SUMIFS(J$5:J$315,$A$5:$A$315,$A302,$C$5:$C$315,$C302-1,$D$5:$D$315,$D302)=0,J302*SUMIFS(J$5:J$315,$A$5:$A$315,$A302,$C$5:$C$315,$C302-1,$D$5:$D$315,$D302)&lt;0),"n.s.",ABS(J302)/ABS(SUMIFS(J$5:J$315,$A$5:$A$315,$A302,$C$5:$C$315,$C302-1,$D$5:$D$315,$D302))-1)))</f>
        <v/>
      </c>
      <c r="U302" s="16">
        <f>IF(OR($A302="",K302="",$C302=""),"",IF(COUNTIFS($A$5:$A$315,$A302,$C$5:$C$315,$C302-1,$D$5:$D$315,$D302,K$5:K$315,"&lt;&gt;")=0,"",IF(OR(SUMIFS(K$5:K$315,$A$5:$A$315,$A302,$C$5:$C$315,$C302-1,$D$5:$D$315,$D302)=0,K302*SUMIFS(K$5:K$315,$A$5:$A$315,$A302,$C$5:$C$315,$C302-1,$D$5:$D$315,$D302)&lt;0),"n.s.",ABS(K302)/ABS(SUMIFS(K$5:K$315,$A$5:$A$315,$A302,$C$5:$C$315,$C302-1,$D$5:$D$315,$D302))-1)))</f>
        <v/>
      </c>
      <c r="V302" s="16">
        <f>IF(OR($A302="",L302="",$C302=""),"",IF(COUNTIFS($A$5:$A$315,$A302,$C$5:$C$315,$C302-1,$D$5:$D$315,$D302,L$5:L$315,"&lt;&gt;")=0,"",IF(OR(SUMIFS(L$5:L$315,$A$5:$A$315,$A302,$C$5:$C$315,$C302-1,$D$5:$D$315,$D302)=0,L302*SUMIFS(L$5:L$315,$A$5:$A$315,$A302,$C$5:$C$315,$C302-1,$D$5:$D$315,$D302)&lt;0),"n.s.",ABS(L302)/ABS(SUMIFS(L$5:L$315,$A$5:$A$315,$A302,$C$5:$C$315,$C302-1,$D$5:$D$315,$D302))-1)))</f>
        <v/>
      </c>
      <c r="W302" s="16">
        <f>IF(OR($A302="",M302="",$C302=""),"",IF(COUNTIFS($A$5:$A$315,$A302,$C$5:$C$315,$C302-1,$D$5:$D$315,$D302,M$5:M$315,"&lt;&gt;")=0,"",IF(OR(SUMIFS(M$5:M$315,$A$5:$A$315,$A302,$C$5:$C$315,$C302-1,$D$5:$D$315,$D302)=0,M302*SUMIFS(M$5:M$315,$A$5:$A$315,$A302,$C$5:$C$315,$C302-1,$D$5:$D$315,$D302)&lt;0),"n.s.",ABS(M302)/ABS(SUMIFS(M$5:M$315,$A$5:$A$315,$A302,$C$5:$C$315,$C302-1,$D$5:$D$315,$D302))-1)))</f>
        <v/>
      </c>
      <c r="X302" s="16">
        <f>IF(OR($A302="",N302="",$C302=""),"",IF(COUNTIFS($A$5:$A$315,$A302,$C$5:$C$315,$C302-1,$D$5:$D$315,$D302,N$5:N$315,"&lt;&gt;")=0,"",IF(OR(SUMIFS(N$5:N$315,$A$5:$A$315,$A302,$C$5:$C$315,$C302-1,$D$5:$D$315,$D302)=0,N302*SUMIFS(N$5:N$315,$A$5:$A$315,$A302,$C$5:$C$315,$C302-1,$D$5:$D$315,$D302)&lt;0),"n.s.",ABS(N302)/ABS(SUMIFS(N$5:N$315,$A$5:$A$315,$A302,$C$5:$C$315,$C302-1,$D$5:$D$315,$D302))-1)))</f>
        <v/>
      </c>
      <c r="Y302" s="16">
        <f>IF(OR($A302="",O302="",$C302=""),"",IF(COUNTIFS($A$5:$A$315,$A302,$C$5:$C$315,$C302-1,$D$5:$D$315,$D302,O$5:O$315,"&lt;&gt;")=0,"",IF(OR(SUMIFS(O$5:O$315,$A$5:$A$315,$A302,$C$5:$C$315,$C302-1,$D$5:$D$315,$D302)=0,O302*SUMIFS(O$5:O$315,$A$5:$A$315,$A302,$C$5:$C$315,$C302-1,$D$5:$D$315,$D302)&lt;0),"n.s.",ABS(O302)/ABS(SUMIFS(O$5:O$315,$A$5:$A$315,$A302,$C$5:$C$315,$C302-1,$D$5:$D$315,$D302))-1)))</f>
        <v/>
      </c>
    </row>
    <row r="303">
      <c r="A303" s="9" t="n"/>
      <c r="B303" s="10">
        <f>IF(A303="","",IFERROR(VLOOKUP(A303,Titres!$A$2:$B$400,2,FALSE),"Ticker inconnu"))</f>
        <v/>
      </c>
      <c r="C303" s="11" t="n"/>
      <c r="D303" s="11" t="n"/>
      <c r="E303" s="9" t="n"/>
      <c r="F303" s="12" t="n"/>
      <c r="G303" s="9" t="n"/>
      <c r="H303" s="13" t="n"/>
      <c r="I303" s="13" t="n"/>
      <c r="J303" s="13" t="n"/>
      <c r="K303" s="13" t="n"/>
      <c r="L303" s="13" t="n"/>
      <c r="M303" s="13" t="n"/>
      <c r="N303" s="13" t="n"/>
      <c r="O303" s="13" t="n"/>
      <c r="P303" s="14">
        <f>IF(A303="","",COUNT(H303:O303)/8)</f>
        <v/>
      </c>
      <c r="Q303" s="15">
        <f>IF(COUNT(H303:O303)=0,"",IF(LEN(IF(COUNT(H303,I303,J303)=3,IF(ABS(H303+I303-J303)&lt;=MAX(1,0.02*ABS(J303)),"","RBE &lt;&gt; PNB + frais "),"")&amp;IF(COUNT(J303,K303,L303)=3,IF(ABS(J303+K303-L303)&lt;=MAX(1,0.03*ABS(L303)),"","RAI &lt;&gt; RBE + coût du risque "),"")&amp;IF(COUNT(H303,M303)=2,IF(ABS(M303)&gt;ABS(H303),"RN &gt; PNB ",""),""))=0,"OK",IF(COUNT(H303,I303,J303)=3,IF(ABS(H303+I303-J303)&lt;=MAX(1,0.02*ABS(J303)),"","RBE &lt;&gt; PNB + frais "),"")&amp;IF(COUNT(J303,K303,L303)=3,IF(ABS(J303+K303-L303)&lt;=MAX(1,0.03*ABS(L303)),"","RAI &lt;&gt; RBE + coût du risque "),"")&amp;IF(COUNT(H303,M303)=2,IF(ABS(M303)&gt;ABS(H303),"RN &gt; PNB ",""),"")))</f>
        <v/>
      </c>
      <c r="R303" s="16">
        <f>IF(OR($A303="",H303="",$C303=""),"",IF(COUNTIFS($A$5:$A$315,$A303,$C$5:$C$315,$C303-1,$D$5:$D$315,$D303,H$5:H$315,"&lt;&gt;")=0,"",IF(OR(SUMIFS(H$5:H$315,$A$5:$A$315,$A303,$C$5:$C$315,$C303-1,$D$5:$D$315,$D303)=0,H303*SUMIFS(H$5:H$315,$A$5:$A$315,$A303,$C$5:$C$315,$C303-1,$D$5:$D$315,$D303)&lt;0),"n.s.",ABS(H303)/ABS(SUMIFS(H$5:H$315,$A$5:$A$315,$A303,$C$5:$C$315,$C303-1,$D$5:$D$315,$D303))-1)))</f>
        <v/>
      </c>
      <c r="S303" s="16">
        <f>IF(OR($A303="",I303="",$C303=""),"",IF(COUNTIFS($A$5:$A$315,$A303,$C$5:$C$315,$C303-1,$D$5:$D$315,$D303,I$5:I$315,"&lt;&gt;")=0,"",IF(OR(SUMIFS(I$5:I$315,$A$5:$A$315,$A303,$C$5:$C$315,$C303-1,$D$5:$D$315,$D303)=0,I303*SUMIFS(I$5:I$315,$A$5:$A$315,$A303,$C$5:$C$315,$C303-1,$D$5:$D$315,$D303)&lt;0),"n.s.",ABS(I303)/ABS(SUMIFS(I$5:I$315,$A$5:$A$315,$A303,$C$5:$C$315,$C303-1,$D$5:$D$315,$D303))-1)))</f>
        <v/>
      </c>
      <c r="T303" s="16">
        <f>IF(OR($A303="",J303="",$C303=""),"",IF(COUNTIFS($A$5:$A$315,$A303,$C$5:$C$315,$C303-1,$D$5:$D$315,$D303,J$5:J$315,"&lt;&gt;")=0,"",IF(OR(SUMIFS(J$5:J$315,$A$5:$A$315,$A303,$C$5:$C$315,$C303-1,$D$5:$D$315,$D303)=0,J303*SUMIFS(J$5:J$315,$A$5:$A$315,$A303,$C$5:$C$315,$C303-1,$D$5:$D$315,$D303)&lt;0),"n.s.",ABS(J303)/ABS(SUMIFS(J$5:J$315,$A$5:$A$315,$A303,$C$5:$C$315,$C303-1,$D$5:$D$315,$D303))-1)))</f>
        <v/>
      </c>
      <c r="U303" s="16">
        <f>IF(OR($A303="",K303="",$C303=""),"",IF(COUNTIFS($A$5:$A$315,$A303,$C$5:$C$315,$C303-1,$D$5:$D$315,$D303,K$5:K$315,"&lt;&gt;")=0,"",IF(OR(SUMIFS(K$5:K$315,$A$5:$A$315,$A303,$C$5:$C$315,$C303-1,$D$5:$D$315,$D303)=0,K303*SUMIFS(K$5:K$315,$A$5:$A$315,$A303,$C$5:$C$315,$C303-1,$D$5:$D$315,$D303)&lt;0),"n.s.",ABS(K303)/ABS(SUMIFS(K$5:K$315,$A$5:$A$315,$A303,$C$5:$C$315,$C303-1,$D$5:$D$315,$D303))-1)))</f>
        <v/>
      </c>
      <c r="V303" s="16">
        <f>IF(OR($A303="",L303="",$C303=""),"",IF(COUNTIFS($A$5:$A$315,$A303,$C$5:$C$315,$C303-1,$D$5:$D$315,$D303,L$5:L$315,"&lt;&gt;")=0,"",IF(OR(SUMIFS(L$5:L$315,$A$5:$A$315,$A303,$C$5:$C$315,$C303-1,$D$5:$D$315,$D303)=0,L303*SUMIFS(L$5:L$315,$A$5:$A$315,$A303,$C$5:$C$315,$C303-1,$D$5:$D$315,$D303)&lt;0),"n.s.",ABS(L303)/ABS(SUMIFS(L$5:L$315,$A$5:$A$315,$A303,$C$5:$C$315,$C303-1,$D$5:$D$315,$D303))-1)))</f>
        <v/>
      </c>
      <c r="W303" s="16">
        <f>IF(OR($A303="",M303="",$C303=""),"",IF(COUNTIFS($A$5:$A$315,$A303,$C$5:$C$315,$C303-1,$D$5:$D$315,$D303,M$5:M$315,"&lt;&gt;")=0,"",IF(OR(SUMIFS(M$5:M$315,$A$5:$A$315,$A303,$C$5:$C$315,$C303-1,$D$5:$D$315,$D303)=0,M303*SUMIFS(M$5:M$315,$A$5:$A$315,$A303,$C$5:$C$315,$C303-1,$D$5:$D$315,$D303)&lt;0),"n.s.",ABS(M303)/ABS(SUMIFS(M$5:M$315,$A$5:$A$315,$A303,$C$5:$C$315,$C303-1,$D$5:$D$315,$D303))-1)))</f>
        <v/>
      </c>
      <c r="X303" s="16">
        <f>IF(OR($A303="",N303="",$C303=""),"",IF(COUNTIFS($A$5:$A$315,$A303,$C$5:$C$315,$C303-1,$D$5:$D$315,$D303,N$5:N$315,"&lt;&gt;")=0,"",IF(OR(SUMIFS(N$5:N$315,$A$5:$A$315,$A303,$C$5:$C$315,$C303-1,$D$5:$D$315,$D303)=0,N303*SUMIFS(N$5:N$315,$A$5:$A$315,$A303,$C$5:$C$315,$C303-1,$D$5:$D$315,$D303)&lt;0),"n.s.",ABS(N303)/ABS(SUMIFS(N$5:N$315,$A$5:$A$315,$A303,$C$5:$C$315,$C303-1,$D$5:$D$315,$D303))-1)))</f>
        <v/>
      </c>
      <c r="Y303" s="16">
        <f>IF(OR($A303="",O303="",$C303=""),"",IF(COUNTIFS($A$5:$A$315,$A303,$C$5:$C$315,$C303-1,$D$5:$D$315,$D303,O$5:O$315,"&lt;&gt;")=0,"",IF(OR(SUMIFS(O$5:O$315,$A$5:$A$315,$A303,$C$5:$C$315,$C303-1,$D$5:$D$315,$D303)=0,O303*SUMIFS(O$5:O$315,$A$5:$A$315,$A303,$C$5:$C$315,$C303-1,$D$5:$D$315,$D303)&lt;0),"n.s.",ABS(O303)/ABS(SUMIFS(O$5:O$315,$A$5:$A$315,$A303,$C$5:$C$315,$C303-1,$D$5:$D$315,$D303))-1)))</f>
        <v/>
      </c>
    </row>
    <row r="304">
      <c r="A304" s="9" t="n"/>
      <c r="B304" s="10">
        <f>IF(A304="","",IFERROR(VLOOKUP(A304,Titres!$A$2:$B$400,2,FALSE),"Ticker inconnu"))</f>
        <v/>
      </c>
      <c r="C304" s="11" t="n"/>
      <c r="D304" s="11" t="n"/>
      <c r="E304" s="9" t="n"/>
      <c r="F304" s="12" t="n"/>
      <c r="G304" s="9" t="n"/>
      <c r="H304" s="13" t="n"/>
      <c r="I304" s="13" t="n"/>
      <c r="J304" s="13" t="n"/>
      <c r="K304" s="13" t="n"/>
      <c r="L304" s="13" t="n"/>
      <c r="M304" s="13" t="n"/>
      <c r="N304" s="13" t="n"/>
      <c r="O304" s="13" t="n"/>
      <c r="P304" s="14">
        <f>IF(A304="","",COUNT(H304:O304)/8)</f>
        <v/>
      </c>
      <c r="Q304" s="15">
        <f>IF(COUNT(H304:O304)=0,"",IF(LEN(IF(COUNT(H304,I304,J304)=3,IF(ABS(H304+I304-J304)&lt;=MAX(1,0.02*ABS(J304)),"","RBE &lt;&gt; PNB + frais "),"")&amp;IF(COUNT(J304,K304,L304)=3,IF(ABS(J304+K304-L304)&lt;=MAX(1,0.03*ABS(L304)),"","RAI &lt;&gt; RBE + coût du risque "),"")&amp;IF(COUNT(H304,M304)=2,IF(ABS(M304)&gt;ABS(H304),"RN &gt; PNB ",""),""))=0,"OK",IF(COUNT(H304,I304,J304)=3,IF(ABS(H304+I304-J304)&lt;=MAX(1,0.02*ABS(J304)),"","RBE &lt;&gt; PNB + frais "),"")&amp;IF(COUNT(J304,K304,L304)=3,IF(ABS(J304+K304-L304)&lt;=MAX(1,0.03*ABS(L304)),"","RAI &lt;&gt; RBE + coût du risque "),"")&amp;IF(COUNT(H304,M304)=2,IF(ABS(M304)&gt;ABS(H304),"RN &gt; PNB ",""),"")))</f>
        <v/>
      </c>
      <c r="R304" s="16">
        <f>IF(OR($A304="",H304="",$C304=""),"",IF(COUNTIFS($A$5:$A$315,$A304,$C$5:$C$315,$C304-1,$D$5:$D$315,$D304,H$5:H$315,"&lt;&gt;")=0,"",IF(OR(SUMIFS(H$5:H$315,$A$5:$A$315,$A304,$C$5:$C$315,$C304-1,$D$5:$D$315,$D304)=0,H304*SUMIFS(H$5:H$315,$A$5:$A$315,$A304,$C$5:$C$315,$C304-1,$D$5:$D$315,$D304)&lt;0),"n.s.",ABS(H304)/ABS(SUMIFS(H$5:H$315,$A$5:$A$315,$A304,$C$5:$C$315,$C304-1,$D$5:$D$315,$D304))-1)))</f>
        <v/>
      </c>
      <c r="S304" s="16">
        <f>IF(OR($A304="",I304="",$C304=""),"",IF(COUNTIFS($A$5:$A$315,$A304,$C$5:$C$315,$C304-1,$D$5:$D$315,$D304,I$5:I$315,"&lt;&gt;")=0,"",IF(OR(SUMIFS(I$5:I$315,$A$5:$A$315,$A304,$C$5:$C$315,$C304-1,$D$5:$D$315,$D304)=0,I304*SUMIFS(I$5:I$315,$A$5:$A$315,$A304,$C$5:$C$315,$C304-1,$D$5:$D$315,$D304)&lt;0),"n.s.",ABS(I304)/ABS(SUMIFS(I$5:I$315,$A$5:$A$315,$A304,$C$5:$C$315,$C304-1,$D$5:$D$315,$D304))-1)))</f>
        <v/>
      </c>
      <c r="T304" s="16">
        <f>IF(OR($A304="",J304="",$C304=""),"",IF(COUNTIFS($A$5:$A$315,$A304,$C$5:$C$315,$C304-1,$D$5:$D$315,$D304,J$5:J$315,"&lt;&gt;")=0,"",IF(OR(SUMIFS(J$5:J$315,$A$5:$A$315,$A304,$C$5:$C$315,$C304-1,$D$5:$D$315,$D304)=0,J304*SUMIFS(J$5:J$315,$A$5:$A$315,$A304,$C$5:$C$315,$C304-1,$D$5:$D$315,$D304)&lt;0),"n.s.",ABS(J304)/ABS(SUMIFS(J$5:J$315,$A$5:$A$315,$A304,$C$5:$C$315,$C304-1,$D$5:$D$315,$D304))-1)))</f>
        <v/>
      </c>
      <c r="U304" s="16">
        <f>IF(OR($A304="",K304="",$C304=""),"",IF(COUNTIFS($A$5:$A$315,$A304,$C$5:$C$315,$C304-1,$D$5:$D$315,$D304,K$5:K$315,"&lt;&gt;")=0,"",IF(OR(SUMIFS(K$5:K$315,$A$5:$A$315,$A304,$C$5:$C$315,$C304-1,$D$5:$D$315,$D304)=0,K304*SUMIFS(K$5:K$315,$A$5:$A$315,$A304,$C$5:$C$315,$C304-1,$D$5:$D$315,$D304)&lt;0),"n.s.",ABS(K304)/ABS(SUMIFS(K$5:K$315,$A$5:$A$315,$A304,$C$5:$C$315,$C304-1,$D$5:$D$315,$D304))-1)))</f>
        <v/>
      </c>
      <c r="V304" s="16">
        <f>IF(OR($A304="",L304="",$C304=""),"",IF(COUNTIFS($A$5:$A$315,$A304,$C$5:$C$315,$C304-1,$D$5:$D$315,$D304,L$5:L$315,"&lt;&gt;")=0,"",IF(OR(SUMIFS(L$5:L$315,$A$5:$A$315,$A304,$C$5:$C$315,$C304-1,$D$5:$D$315,$D304)=0,L304*SUMIFS(L$5:L$315,$A$5:$A$315,$A304,$C$5:$C$315,$C304-1,$D$5:$D$315,$D304)&lt;0),"n.s.",ABS(L304)/ABS(SUMIFS(L$5:L$315,$A$5:$A$315,$A304,$C$5:$C$315,$C304-1,$D$5:$D$315,$D304))-1)))</f>
        <v/>
      </c>
      <c r="W304" s="16">
        <f>IF(OR($A304="",M304="",$C304=""),"",IF(COUNTIFS($A$5:$A$315,$A304,$C$5:$C$315,$C304-1,$D$5:$D$315,$D304,M$5:M$315,"&lt;&gt;")=0,"",IF(OR(SUMIFS(M$5:M$315,$A$5:$A$315,$A304,$C$5:$C$315,$C304-1,$D$5:$D$315,$D304)=0,M304*SUMIFS(M$5:M$315,$A$5:$A$315,$A304,$C$5:$C$315,$C304-1,$D$5:$D$315,$D304)&lt;0),"n.s.",ABS(M304)/ABS(SUMIFS(M$5:M$315,$A$5:$A$315,$A304,$C$5:$C$315,$C304-1,$D$5:$D$315,$D304))-1)))</f>
        <v/>
      </c>
      <c r="X304" s="16">
        <f>IF(OR($A304="",N304="",$C304=""),"",IF(COUNTIFS($A$5:$A$315,$A304,$C$5:$C$315,$C304-1,$D$5:$D$315,$D304,N$5:N$315,"&lt;&gt;")=0,"",IF(OR(SUMIFS(N$5:N$315,$A$5:$A$315,$A304,$C$5:$C$315,$C304-1,$D$5:$D$315,$D304)=0,N304*SUMIFS(N$5:N$315,$A$5:$A$315,$A304,$C$5:$C$315,$C304-1,$D$5:$D$315,$D304)&lt;0),"n.s.",ABS(N304)/ABS(SUMIFS(N$5:N$315,$A$5:$A$315,$A304,$C$5:$C$315,$C304-1,$D$5:$D$315,$D304))-1)))</f>
        <v/>
      </c>
      <c r="Y304" s="16">
        <f>IF(OR($A304="",O304="",$C304=""),"",IF(COUNTIFS($A$5:$A$315,$A304,$C$5:$C$315,$C304-1,$D$5:$D$315,$D304,O$5:O$315,"&lt;&gt;")=0,"",IF(OR(SUMIFS(O$5:O$315,$A$5:$A$315,$A304,$C$5:$C$315,$C304-1,$D$5:$D$315,$D304)=0,O304*SUMIFS(O$5:O$315,$A$5:$A$315,$A304,$C$5:$C$315,$C304-1,$D$5:$D$315,$D304)&lt;0),"n.s.",ABS(O304)/ABS(SUMIFS(O$5:O$315,$A$5:$A$315,$A304,$C$5:$C$315,$C304-1,$D$5:$D$315,$D304))-1)))</f>
        <v/>
      </c>
    </row>
    <row r="305">
      <c r="A305" s="9" t="n"/>
      <c r="B305" s="10">
        <f>IF(A305="","",IFERROR(VLOOKUP(A305,Titres!$A$2:$B$400,2,FALSE),"Ticker inconnu"))</f>
        <v/>
      </c>
      <c r="C305" s="11" t="n"/>
      <c r="D305" s="11" t="n"/>
      <c r="E305" s="9" t="n"/>
      <c r="F305" s="12" t="n"/>
      <c r="G305" s="9" t="n"/>
      <c r="H305" s="13" t="n"/>
      <c r="I305" s="13" t="n"/>
      <c r="J305" s="13" t="n"/>
      <c r="K305" s="13" t="n"/>
      <c r="L305" s="13" t="n"/>
      <c r="M305" s="13" t="n"/>
      <c r="N305" s="13" t="n"/>
      <c r="O305" s="13" t="n"/>
      <c r="P305" s="14">
        <f>IF(A305="","",COUNT(H305:O305)/8)</f>
        <v/>
      </c>
      <c r="Q305" s="15">
        <f>IF(COUNT(H305:O305)=0,"",IF(LEN(IF(COUNT(H305,I305,J305)=3,IF(ABS(H305+I305-J305)&lt;=MAX(1,0.02*ABS(J305)),"","RBE &lt;&gt; PNB + frais "),"")&amp;IF(COUNT(J305,K305,L305)=3,IF(ABS(J305+K305-L305)&lt;=MAX(1,0.03*ABS(L305)),"","RAI &lt;&gt; RBE + coût du risque "),"")&amp;IF(COUNT(H305,M305)=2,IF(ABS(M305)&gt;ABS(H305),"RN &gt; PNB ",""),""))=0,"OK",IF(COUNT(H305,I305,J305)=3,IF(ABS(H305+I305-J305)&lt;=MAX(1,0.02*ABS(J305)),"","RBE &lt;&gt; PNB + frais "),"")&amp;IF(COUNT(J305,K305,L305)=3,IF(ABS(J305+K305-L305)&lt;=MAX(1,0.03*ABS(L305)),"","RAI &lt;&gt; RBE + coût du risque "),"")&amp;IF(COUNT(H305,M305)=2,IF(ABS(M305)&gt;ABS(H305),"RN &gt; PNB ",""),"")))</f>
        <v/>
      </c>
      <c r="R305" s="16">
        <f>IF(OR($A305="",H305="",$C305=""),"",IF(COUNTIFS($A$5:$A$315,$A305,$C$5:$C$315,$C305-1,$D$5:$D$315,$D305,H$5:H$315,"&lt;&gt;")=0,"",IF(OR(SUMIFS(H$5:H$315,$A$5:$A$315,$A305,$C$5:$C$315,$C305-1,$D$5:$D$315,$D305)=0,H305*SUMIFS(H$5:H$315,$A$5:$A$315,$A305,$C$5:$C$315,$C305-1,$D$5:$D$315,$D305)&lt;0),"n.s.",ABS(H305)/ABS(SUMIFS(H$5:H$315,$A$5:$A$315,$A305,$C$5:$C$315,$C305-1,$D$5:$D$315,$D305))-1)))</f>
        <v/>
      </c>
      <c r="S305" s="16">
        <f>IF(OR($A305="",I305="",$C305=""),"",IF(COUNTIFS($A$5:$A$315,$A305,$C$5:$C$315,$C305-1,$D$5:$D$315,$D305,I$5:I$315,"&lt;&gt;")=0,"",IF(OR(SUMIFS(I$5:I$315,$A$5:$A$315,$A305,$C$5:$C$315,$C305-1,$D$5:$D$315,$D305)=0,I305*SUMIFS(I$5:I$315,$A$5:$A$315,$A305,$C$5:$C$315,$C305-1,$D$5:$D$315,$D305)&lt;0),"n.s.",ABS(I305)/ABS(SUMIFS(I$5:I$315,$A$5:$A$315,$A305,$C$5:$C$315,$C305-1,$D$5:$D$315,$D305))-1)))</f>
        <v/>
      </c>
      <c r="T305" s="16">
        <f>IF(OR($A305="",J305="",$C305=""),"",IF(COUNTIFS($A$5:$A$315,$A305,$C$5:$C$315,$C305-1,$D$5:$D$315,$D305,J$5:J$315,"&lt;&gt;")=0,"",IF(OR(SUMIFS(J$5:J$315,$A$5:$A$315,$A305,$C$5:$C$315,$C305-1,$D$5:$D$315,$D305)=0,J305*SUMIFS(J$5:J$315,$A$5:$A$315,$A305,$C$5:$C$315,$C305-1,$D$5:$D$315,$D305)&lt;0),"n.s.",ABS(J305)/ABS(SUMIFS(J$5:J$315,$A$5:$A$315,$A305,$C$5:$C$315,$C305-1,$D$5:$D$315,$D305))-1)))</f>
        <v/>
      </c>
      <c r="U305" s="16">
        <f>IF(OR($A305="",K305="",$C305=""),"",IF(COUNTIFS($A$5:$A$315,$A305,$C$5:$C$315,$C305-1,$D$5:$D$315,$D305,K$5:K$315,"&lt;&gt;")=0,"",IF(OR(SUMIFS(K$5:K$315,$A$5:$A$315,$A305,$C$5:$C$315,$C305-1,$D$5:$D$315,$D305)=0,K305*SUMIFS(K$5:K$315,$A$5:$A$315,$A305,$C$5:$C$315,$C305-1,$D$5:$D$315,$D305)&lt;0),"n.s.",ABS(K305)/ABS(SUMIFS(K$5:K$315,$A$5:$A$315,$A305,$C$5:$C$315,$C305-1,$D$5:$D$315,$D305))-1)))</f>
        <v/>
      </c>
      <c r="V305" s="16">
        <f>IF(OR($A305="",L305="",$C305=""),"",IF(COUNTIFS($A$5:$A$315,$A305,$C$5:$C$315,$C305-1,$D$5:$D$315,$D305,L$5:L$315,"&lt;&gt;")=0,"",IF(OR(SUMIFS(L$5:L$315,$A$5:$A$315,$A305,$C$5:$C$315,$C305-1,$D$5:$D$315,$D305)=0,L305*SUMIFS(L$5:L$315,$A$5:$A$315,$A305,$C$5:$C$315,$C305-1,$D$5:$D$315,$D305)&lt;0),"n.s.",ABS(L305)/ABS(SUMIFS(L$5:L$315,$A$5:$A$315,$A305,$C$5:$C$315,$C305-1,$D$5:$D$315,$D305))-1)))</f>
        <v/>
      </c>
      <c r="W305" s="16">
        <f>IF(OR($A305="",M305="",$C305=""),"",IF(COUNTIFS($A$5:$A$315,$A305,$C$5:$C$315,$C305-1,$D$5:$D$315,$D305,M$5:M$315,"&lt;&gt;")=0,"",IF(OR(SUMIFS(M$5:M$315,$A$5:$A$315,$A305,$C$5:$C$315,$C305-1,$D$5:$D$315,$D305)=0,M305*SUMIFS(M$5:M$315,$A$5:$A$315,$A305,$C$5:$C$315,$C305-1,$D$5:$D$315,$D305)&lt;0),"n.s.",ABS(M305)/ABS(SUMIFS(M$5:M$315,$A$5:$A$315,$A305,$C$5:$C$315,$C305-1,$D$5:$D$315,$D305))-1)))</f>
        <v/>
      </c>
      <c r="X305" s="16">
        <f>IF(OR($A305="",N305="",$C305=""),"",IF(COUNTIFS($A$5:$A$315,$A305,$C$5:$C$315,$C305-1,$D$5:$D$315,$D305,N$5:N$315,"&lt;&gt;")=0,"",IF(OR(SUMIFS(N$5:N$315,$A$5:$A$315,$A305,$C$5:$C$315,$C305-1,$D$5:$D$315,$D305)=0,N305*SUMIFS(N$5:N$315,$A$5:$A$315,$A305,$C$5:$C$315,$C305-1,$D$5:$D$315,$D305)&lt;0),"n.s.",ABS(N305)/ABS(SUMIFS(N$5:N$315,$A$5:$A$315,$A305,$C$5:$C$315,$C305-1,$D$5:$D$315,$D305))-1)))</f>
        <v/>
      </c>
      <c r="Y305" s="16">
        <f>IF(OR($A305="",O305="",$C305=""),"",IF(COUNTIFS($A$5:$A$315,$A305,$C$5:$C$315,$C305-1,$D$5:$D$315,$D305,O$5:O$315,"&lt;&gt;")=0,"",IF(OR(SUMIFS(O$5:O$315,$A$5:$A$315,$A305,$C$5:$C$315,$C305-1,$D$5:$D$315,$D305)=0,O305*SUMIFS(O$5:O$315,$A$5:$A$315,$A305,$C$5:$C$315,$C305-1,$D$5:$D$315,$D305)&lt;0),"n.s.",ABS(O305)/ABS(SUMIFS(O$5:O$315,$A$5:$A$315,$A305,$C$5:$C$315,$C305-1,$D$5:$D$315,$D305))-1)))</f>
        <v/>
      </c>
    </row>
    <row r="306">
      <c r="A306" s="9" t="n"/>
      <c r="B306" s="10">
        <f>IF(A306="","",IFERROR(VLOOKUP(A306,Titres!$A$2:$B$400,2,FALSE),"Ticker inconnu"))</f>
        <v/>
      </c>
      <c r="C306" s="11" t="n"/>
      <c r="D306" s="11" t="n"/>
      <c r="E306" s="9" t="n"/>
      <c r="F306" s="12" t="n"/>
      <c r="G306" s="9" t="n"/>
      <c r="H306" s="13" t="n"/>
      <c r="I306" s="13" t="n"/>
      <c r="J306" s="13" t="n"/>
      <c r="K306" s="13" t="n"/>
      <c r="L306" s="13" t="n"/>
      <c r="M306" s="13" t="n"/>
      <c r="N306" s="13" t="n"/>
      <c r="O306" s="13" t="n"/>
      <c r="P306" s="14">
        <f>IF(A306="","",COUNT(H306:O306)/8)</f>
        <v/>
      </c>
      <c r="Q306" s="15">
        <f>IF(COUNT(H306:O306)=0,"",IF(LEN(IF(COUNT(H306,I306,J306)=3,IF(ABS(H306+I306-J306)&lt;=MAX(1,0.02*ABS(J306)),"","RBE &lt;&gt; PNB + frais "),"")&amp;IF(COUNT(J306,K306,L306)=3,IF(ABS(J306+K306-L306)&lt;=MAX(1,0.03*ABS(L306)),"","RAI &lt;&gt; RBE + coût du risque "),"")&amp;IF(COUNT(H306,M306)=2,IF(ABS(M306)&gt;ABS(H306),"RN &gt; PNB ",""),""))=0,"OK",IF(COUNT(H306,I306,J306)=3,IF(ABS(H306+I306-J306)&lt;=MAX(1,0.02*ABS(J306)),"","RBE &lt;&gt; PNB + frais "),"")&amp;IF(COUNT(J306,K306,L306)=3,IF(ABS(J306+K306-L306)&lt;=MAX(1,0.03*ABS(L306)),"","RAI &lt;&gt; RBE + coût du risque "),"")&amp;IF(COUNT(H306,M306)=2,IF(ABS(M306)&gt;ABS(H306),"RN &gt; PNB ",""),"")))</f>
        <v/>
      </c>
      <c r="R306" s="16">
        <f>IF(OR($A306="",H306="",$C306=""),"",IF(COUNTIFS($A$5:$A$315,$A306,$C$5:$C$315,$C306-1,$D$5:$D$315,$D306,H$5:H$315,"&lt;&gt;")=0,"",IF(OR(SUMIFS(H$5:H$315,$A$5:$A$315,$A306,$C$5:$C$315,$C306-1,$D$5:$D$315,$D306)=0,H306*SUMIFS(H$5:H$315,$A$5:$A$315,$A306,$C$5:$C$315,$C306-1,$D$5:$D$315,$D306)&lt;0),"n.s.",ABS(H306)/ABS(SUMIFS(H$5:H$315,$A$5:$A$315,$A306,$C$5:$C$315,$C306-1,$D$5:$D$315,$D306))-1)))</f>
        <v/>
      </c>
      <c r="S306" s="16">
        <f>IF(OR($A306="",I306="",$C306=""),"",IF(COUNTIFS($A$5:$A$315,$A306,$C$5:$C$315,$C306-1,$D$5:$D$315,$D306,I$5:I$315,"&lt;&gt;")=0,"",IF(OR(SUMIFS(I$5:I$315,$A$5:$A$315,$A306,$C$5:$C$315,$C306-1,$D$5:$D$315,$D306)=0,I306*SUMIFS(I$5:I$315,$A$5:$A$315,$A306,$C$5:$C$315,$C306-1,$D$5:$D$315,$D306)&lt;0),"n.s.",ABS(I306)/ABS(SUMIFS(I$5:I$315,$A$5:$A$315,$A306,$C$5:$C$315,$C306-1,$D$5:$D$315,$D306))-1)))</f>
        <v/>
      </c>
      <c r="T306" s="16">
        <f>IF(OR($A306="",J306="",$C306=""),"",IF(COUNTIFS($A$5:$A$315,$A306,$C$5:$C$315,$C306-1,$D$5:$D$315,$D306,J$5:J$315,"&lt;&gt;")=0,"",IF(OR(SUMIFS(J$5:J$315,$A$5:$A$315,$A306,$C$5:$C$315,$C306-1,$D$5:$D$315,$D306)=0,J306*SUMIFS(J$5:J$315,$A$5:$A$315,$A306,$C$5:$C$315,$C306-1,$D$5:$D$315,$D306)&lt;0),"n.s.",ABS(J306)/ABS(SUMIFS(J$5:J$315,$A$5:$A$315,$A306,$C$5:$C$315,$C306-1,$D$5:$D$315,$D306))-1)))</f>
        <v/>
      </c>
      <c r="U306" s="16">
        <f>IF(OR($A306="",K306="",$C306=""),"",IF(COUNTIFS($A$5:$A$315,$A306,$C$5:$C$315,$C306-1,$D$5:$D$315,$D306,K$5:K$315,"&lt;&gt;")=0,"",IF(OR(SUMIFS(K$5:K$315,$A$5:$A$315,$A306,$C$5:$C$315,$C306-1,$D$5:$D$315,$D306)=0,K306*SUMIFS(K$5:K$315,$A$5:$A$315,$A306,$C$5:$C$315,$C306-1,$D$5:$D$315,$D306)&lt;0),"n.s.",ABS(K306)/ABS(SUMIFS(K$5:K$315,$A$5:$A$315,$A306,$C$5:$C$315,$C306-1,$D$5:$D$315,$D306))-1)))</f>
        <v/>
      </c>
      <c r="V306" s="16">
        <f>IF(OR($A306="",L306="",$C306=""),"",IF(COUNTIFS($A$5:$A$315,$A306,$C$5:$C$315,$C306-1,$D$5:$D$315,$D306,L$5:L$315,"&lt;&gt;")=0,"",IF(OR(SUMIFS(L$5:L$315,$A$5:$A$315,$A306,$C$5:$C$315,$C306-1,$D$5:$D$315,$D306)=0,L306*SUMIFS(L$5:L$315,$A$5:$A$315,$A306,$C$5:$C$315,$C306-1,$D$5:$D$315,$D306)&lt;0),"n.s.",ABS(L306)/ABS(SUMIFS(L$5:L$315,$A$5:$A$315,$A306,$C$5:$C$315,$C306-1,$D$5:$D$315,$D306))-1)))</f>
        <v/>
      </c>
      <c r="W306" s="16">
        <f>IF(OR($A306="",M306="",$C306=""),"",IF(COUNTIFS($A$5:$A$315,$A306,$C$5:$C$315,$C306-1,$D$5:$D$315,$D306,M$5:M$315,"&lt;&gt;")=0,"",IF(OR(SUMIFS(M$5:M$315,$A$5:$A$315,$A306,$C$5:$C$315,$C306-1,$D$5:$D$315,$D306)=0,M306*SUMIFS(M$5:M$315,$A$5:$A$315,$A306,$C$5:$C$315,$C306-1,$D$5:$D$315,$D306)&lt;0),"n.s.",ABS(M306)/ABS(SUMIFS(M$5:M$315,$A$5:$A$315,$A306,$C$5:$C$315,$C306-1,$D$5:$D$315,$D306))-1)))</f>
        <v/>
      </c>
      <c r="X306" s="16">
        <f>IF(OR($A306="",N306="",$C306=""),"",IF(COUNTIFS($A$5:$A$315,$A306,$C$5:$C$315,$C306-1,$D$5:$D$315,$D306,N$5:N$315,"&lt;&gt;")=0,"",IF(OR(SUMIFS(N$5:N$315,$A$5:$A$315,$A306,$C$5:$C$315,$C306-1,$D$5:$D$315,$D306)=0,N306*SUMIFS(N$5:N$315,$A$5:$A$315,$A306,$C$5:$C$315,$C306-1,$D$5:$D$315,$D306)&lt;0),"n.s.",ABS(N306)/ABS(SUMIFS(N$5:N$315,$A$5:$A$315,$A306,$C$5:$C$315,$C306-1,$D$5:$D$315,$D306))-1)))</f>
        <v/>
      </c>
      <c r="Y306" s="16">
        <f>IF(OR($A306="",O306="",$C306=""),"",IF(COUNTIFS($A$5:$A$315,$A306,$C$5:$C$315,$C306-1,$D$5:$D$315,$D306,O$5:O$315,"&lt;&gt;")=0,"",IF(OR(SUMIFS(O$5:O$315,$A$5:$A$315,$A306,$C$5:$C$315,$C306-1,$D$5:$D$315,$D306)=0,O306*SUMIFS(O$5:O$315,$A$5:$A$315,$A306,$C$5:$C$315,$C306-1,$D$5:$D$315,$D306)&lt;0),"n.s.",ABS(O306)/ABS(SUMIFS(O$5:O$315,$A$5:$A$315,$A306,$C$5:$C$315,$C306-1,$D$5:$D$315,$D306))-1)))</f>
        <v/>
      </c>
    </row>
    <row r="307">
      <c r="A307" s="9" t="n"/>
      <c r="B307" s="10">
        <f>IF(A307="","",IFERROR(VLOOKUP(A307,Titres!$A$2:$B$400,2,FALSE),"Ticker inconnu"))</f>
        <v/>
      </c>
      <c r="C307" s="11" t="n"/>
      <c r="D307" s="11" t="n"/>
      <c r="E307" s="9" t="n"/>
      <c r="F307" s="12" t="n"/>
      <c r="G307" s="9" t="n"/>
      <c r="H307" s="13" t="n"/>
      <c r="I307" s="13" t="n"/>
      <c r="J307" s="13" t="n"/>
      <c r="K307" s="13" t="n"/>
      <c r="L307" s="13" t="n"/>
      <c r="M307" s="13" t="n"/>
      <c r="N307" s="13" t="n"/>
      <c r="O307" s="13" t="n"/>
      <c r="P307" s="14">
        <f>IF(A307="","",COUNT(H307:O307)/8)</f>
        <v/>
      </c>
      <c r="Q307" s="15">
        <f>IF(COUNT(H307:O307)=0,"",IF(LEN(IF(COUNT(H307,I307,J307)=3,IF(ABS(H307+I307-J307)&lt;=MAX(1,0.02*ABS(J307)),"","RBE &lt;&gt; PNB + frais "),"")&amp;IF(COUNT(J307,K307,L307)=3,IF(ABS(J307+K307-L307)&lt;=MAX(1,0.03*ABS(L307)),"","RAI &lt;&gt; RBE + coût du risque "),"")&amp;IF(COUNT(H307,M307)=2,IF(ABS(M307)&gt;ABS(H307),"RN &gt; PNB ",""),""))=0,"OK",IF(COUNT(H307,I307,J307)=3,IF(ABS(H307+I307-J307)&lt;=MAX(1,0.02*ABS(J307)),"","RBE &lt;&gt; PNB + frais "),"")&amp;IF(COUNT(J307,K307,L307)=3,IF(ABS(J307+K307-L307)&lt;=MAX(1,0.03*ABS(L307)),"","RAI &lt;&gt; RBE + coût du risque "),"")&amp;IF(COUNT(H307,M307)=2,IF(ABS(M307)&gt;ABS(H307),"RN &gt; PNB ",""),"")))</f>
        <v/>
      </c>
      <c r="R307" s="16">
        <f>IF(OR($A307="",H307="",$C307=""),"",IF(COUNTIFS($A$5:$A$315,$A307,$C$5:$C$315,$C307-1,$D$5:$D$315,$D307,H$5:H$315,"&lt;&gt;")=0,"",IF(OR(SUMIFS(H$5:H$315,$A$5:$A$315,$A307,$C$5:$C$315,$C307-1,$D$5:$D$315,$D307)=0,H307*SUMIFS(H$5:H$315,$A$5:$A$315,$A307,$C$5:$C$315,$C307-1,$D$5:$D$315,$D307)&lt;0),"n.s.",ABS(H307)/ABS(SUMIFS(H$5:H$315,$A$5:$A$315,$A307,$C$5:$C$315,$C307-1,$D$5:$D$315,$D307))-1)))</f>
        <v/>
      </c>
      <c r="S307" s="16">
        <f>IF(OR($A307="",I307="",$C307=""),"",IF(COUNTIFS($A$5:$A$315,$A307,$C$5:$C$315,$C307-1,$D$5:$D$315,$D307,I$5:I$315,"&lt;&gt;")=0,"",IF(OR(SUMIFS(I$5:I$315,$A$5:$A$315,$A307,$C$5:$C$315,$C307-1,$D$5:$D$315,$D307)=0,I307*SUMIFS(I$5:I$315,$A$5:$A$315,$A307,$C$5:$C$315,$C307-1,$D$5:$D$315,$D307)&lt;0),"n.s.",ABS(I307)/ABS(SUMIFS(I$5:I$315,$A$5:$A$315,$A307,$C$5:$C$315,$C307-1,$D$5:$D$315,$D307))-1)))</f>
        <v/>
      </c>
      <c r="T307" s="16">
        <f>IF(OR($A307="",J307="",$C307=""),"",IF(COUNTIFS($A$5:$A$315,$A307,$C$5:$C$315,$C307-1,$D$5:$D$315,$D307,J$5:J$315,"&lt;&gt;")=0,"",IF(OR(SUMIFS(J$5:J$315,$A$5:$A$315,$A307,$C$5:$C$315,$C307-1,$D$5:$D$315,$D307)=0,J307*SUMIFS(J$5:J$315,$A$5:$A$315,$A307,$C$5:$C$315,$C307-1,$D$5:$D$315,$D307)&lt;0),"n.s.",ABS(J307)/ABS(SUMIFS(J$5:J$315,$A$5:$A$315,$A307,$C$5:$C$315,$C307-1,$D$5:$D$315,$D307))-1)))</f>
        <v/>
      </c>
      <c r="U307" s="16">
        <f>IF(OR($A307="",K307="",$C307=""),"",IF(COUNTIFS($A$5:$A$315,$A307,$C$5:$C$315,$C307-1,$D$5:$D$315,$D307,K$5:K$315,"&lt;&gt;")=0,"",IF(OR(SUMIFS(K$5:K$315,$A$5:$A$315,$A307,$C$5:$C$315,$C307-1,$D$5:$D$315,$D307)=0,K307*SUMIFS(K$5:K$315,$A$5:$A$315,$A307,$C$5:$C$315,$C307-1,$D$5:$D$315,$D307)&lt;0),"n.s.",ABS(K307)/ABS(SUMIFS(K$5:K$315,$A$5:$A$315,$A307,$C$5:$C$315,$C307-1,$D$5:$D$315,$D307))-1)))</f>
        <v/>
      </c>
      <c r="V307" s="16">
        <f>IF(OR($A307="",L307="",$C307=""),"",IF(COUNTIFS($A$5:$A$315,$A307,$C$5:$C$315,$C307-1,$D$5:$D$315,$D307,L$5:L$315,"&lt;&gt;")=0,"",IF(OR(SUMIFS(L$5:L$315,$A$5:$A$315,$A307,$C$5:$C$315,$C307-1,$D$5:$D$315,$D307)=0,L307*SUMIFS(L$5:L$315,$A$5:$A$315,$A307,$C$5:$C$315,$C307-1,$D$5:$D$315,$D307)&lt;0),"n.s.",ABS(L307)/ABS(SUMIFS(L$5:L$315,$A$5:$A$315,$A307,$C$5:$C$315,$C307-1,$D$5:$D$315,$D307))-1)))</f>
        <v/>
      </c>
      <c r="W307" s="16">
        <f>IF(OR($A307="",M307="",$C307=""),"",IF(COUNTIFS($A$5:$A$315,$A307,$C$5:$C$315,$C307-1,$D$5:$D$315,$D307,M$5:M$315,"&lt;&gt;")=0,"",IF(OR(SUMIFS(M$5:M$315,$A$5:$A$315,$A307,$C$5:$C$315,$C307-1,$D$5:$D$315,$D307)=0,M307*SUMIFS(M$5:M$315,$A$5:$A$315,$A307,$C$5:$C$315,$C307-1,$D$5:$D$315,$D307)&lt;0),"n.s.",ABS(M307)/ABS(SUMIFS(M$5:M$315,$A$5:$A$315,$A307,$C$5:$C$315,$C307-1,$D$5:$D$315,$D307))-1)))</f>
        <v/>
      </c>
      <c r="X307" s="16">
        <f>IF(OR($A307="",N307="",$C307=""),"",IF(COUNTIFS($A$5:$A$315,$A307,$C$5:$C$315,$C307-1,$D$5:$D$315,$D307,N$5:N$315,"&lt;&gt;")=0,"",IF(OR(SUMIFS(N$5:N$315,$A$5:$A$315,$A307,$C$5:$C$315,$C307-1,$D$5:$D$315,$D307)=0,N307*SUMIFS(N$5:N$315,$A$5:$A$315,$A307,$C$5:$C$315,$C307-1,$D$5:$D$315,$D307)&lt;0),"n.s.",ABS(N307)/ABS(SUMIFS(N$5:N$315,$A$5:$A$315,$A307,$C$5:$C$315,$C307-1,$D$5:$D$315,$D307))-1)))</f>
        <v/>
      </c>
      <c r="Y307" s="16">
        <f>IF(OR($A307="",O307="",$C307=""),"",IF(COUNTIFS($A$5:$A$315,$A307,$C$5:$C$315,$C307-1,$D$5:$D$315,$D307,O$5:O$315,"&lt;&gt;")=0,"",IF(OR(SUMIFS(O$5:O$315,$A$5:$A$315,$A307,$C$5:$C$315,$C307-1,$D$5:$D$315,$D307)=0,O307*SUMIFS(O$5:O$315,$A$5:$A$315,$A307,$C$5:$C$315,$C307-1,$D$5:$D$315,$D307)&lt;0),"n.s.",ABS(O307)/ABS(SUMIFS(O$5:O$315,$A$5:$A$315,$A307,$C$5:$C$315,$C307-1,$D$5:$D$315,$D307))-1)))</f>
        <v/>
      </c>
    </row>
    <row r="308">
      <c r="A308" s="9" t="n"/>
      <c r="B308" s="10">
        <f>IF(A308="","",IFERROR(VLOOKUP(A308,Titres!$A$2:$B$400,2,FALSE),"Ticker inconnu"))</f>
        <v/>
      </c>
      <c r="C308" s="11" t="n"/>
      <c r="D308" s="11" t="n"/>
      <c r="E308" s="9" t="n"/>
      <c r="F308" s="12" t="n"/>
      <c r="G308" s="9" t="n"/>
      <c r="H308" s="13" t="n"/>
      <c r="I308" s="13" t="n"/>
      <c r="J308" s="13" t="n"/>
      <c r="K308" s="13" t="n"/>
      <c r="L308" s="13" t="n"/>
      <c r="M308" s="13" t="n"/>
      <c r="N308" s="13" t="n"/>
      <c r="O308" s="13" t="n"/>
      <c r="P308" s="14">
        <f>IF(A308="","",COUNT(H308:O308)/8)</f>
        <v/>
      </c>
      <c r="Q308" s="15">
        <f>IF(COUNT(H308:O308)=0,"",IF(LEN(IF(COUNT(H308,I308,J308)=3,IF(ABS(H308+I308-J308)&lt;=MAX(1,0.02*ABS(J308)),"","RBE &lt;&gt; PNB + frais "),"")&amp;IF(COUNT(J308,K308,L308)=3,IF(ABS(J308+K308-L308)&lt;=MAX(1,0.03*ABS(L308)),"","RAI &lt;&gt; RBE + coût du risque "),"")&amp;IF(COUNT(H308,M308)=2,IF(ABS(M308)&gt;ABS(H308),"RN &gt; PNB ",""),""))=0,"OK",IF(COUNT(H308,I308,J308)=3,IF(ABS(H308+I308-J308)&lt;=MAX(1,0.02*ABS(J308)),"","RBE &lt;&gt; PNB + frais "),"")&amp;IF(COUNT(J308,K308,L308)=3,IF(ABS(J308+K308-L308)&lt;=MAX(1,0.03*ABS(L308)),"","RAI &lt;&gt; RBE + coût du risque "),"")&amp;IF(COUNT(H308,M308)=2,IF(ABS(M308)&gt;ABS(H308),"RN &gt; PNB ",""),"")))</f>
        <v/>
      </c>
      <c r="R308" s="16">
        <f>IF(OR($A308="",H308="",$C308=""),"",IF(COUNTIFS($A$5:$A$315,$A308,$C$5:$C$315,$C308-1,$D$5:$D$315,$D308,H$5:H$315,"&lt;&gt;")=0,"",IF(OR(SUMIFS(H$5:H$315,$A$5:$A$315,$A308,$C$5:$C$315,$C308-1,$D$5:$D$315,$D308)=0,H308*SUMIFS(H$5:H$315,$A$5:$A$315,$A308,$C$5:$C$315,$C308-1,$D$5:$D$315,$D308)&lt;0),"n.s.",ABS(H308)/ABS(SUMIFS(H$5:H$315,$A$5:$A$315,$A308,$C$5:$C$315,$C308-1,$D$5:$D$315,$D308))-1)))</f>
        <v/>
      </c>
      <c r="S308" s="16">
        <f>IF(OR($A308="",I308="",$C308=""),"",IF(COUNTIFS($A$5:$A$315,$A308,$C$5:$C$315,$C308-1,$D$5:$D$315,$D308,I$5:I$315,"&lt;&gt;")=0,"",IF(OR(SUMIFS(I$5:I$315,$A$5:$A$315,$A308,$C$5:$C$315,$C308-1,$D$5:$D$315,$D308)=0,I308*SUMIFS(I$5:I$315,$A$5:$A$315,$A308,$C$5:$C$315,$C308-1,$D$5:$D$315,$D308)&lt;0),"n.s.",ABS(I308)/ABS(SUMIFS(I$5:I$315,$A$5:$A$315,$A308,$C$5:$C$315,$C308-1,$D$5:$D$315,$D308))-1)))</f>
        <v/>
      </c>
      <c r="T308" s="16">
        <f>IF(OR($A308="",J308="",$C308=""),"",IF(COUNTIFS($A$5:$A$315,$A308,$C$5:$C$315,$C308-1,$D$5:$D$315,$D308,J$5:J$315,"&lt;&gt;")=0,"",IF(OR(SUMIFS(J$5:J$315,$A$5:$A$315,$A308,$C$5:$C$315,$C308-1,$D$5:$D$315,$D308)=0,J308*SUMIFS(J$5:J$315,$A$5:$A$315,$A308,$C$5:$C$315,$C308-1,$D$5:$D$315,$D308)&lt;0),"n.s.",ABS(J308)/ABS(SUMIFS(J$5:J$315,$A$5:$A$315,$A308,$C$5:$C$315,$C308-1,$D$5:$D$315,$D308))-1)))</f>
        <v/>
      </c>
      <c r="U308" s="16">
        <f>IF(OR($A308="",K308="",$C308=""),"",IF(COUNTIFS($A$5:$A$315,$A308,$C$5:$C$315,$C308-1,$D$5:$D$315,$D308,K$5:K$315,"&lt;&gt;")=0,"",IF(OR(SUMIFS(K$5:K$315,$A$5:$A$315,$A308,$C$5:$C$315,$C308-1,$D$5:$D$315,$D308)=0,K308*SUMIFS(K$5:K$315,$A$5:$A$315,$A308,$C$5:$C$315,$C308-1,$D$5:$D$315,$D308)&lt;0),"n.s.",ABS(K308)/ABS(SUMIFS(K$5:K$315,$A$5:$A$315,$A308,$C$5:$C$315,$C308-1,$D$5:$D$315,$D308))-1)))</f>
        <v/>
      </c>
      <c r="V308" s="16">
        <f>IF(OR($A308="",L308="",$C308=""),"",IF(COUNTIFS($A$5:$A$315,$A308,$C$5:$C$315,$C308-1,$D$5:$D$315,$D308,L$5:L$315,"&lt;&gt;")=0,"",IF(OR(SUMIFS(L$5:L$315,$A$5:$A$315,$A308,$C$5:$C$315,$C308-1,$D$5:$D$315,$D308)=0,L308*SUMIFS(L$5:L$315,$A$5:$A$315,$A308,$C$5:$C$315,$C308-1,$D$5:$D$315,$D308)&lt;0),"n.s.",ABS(L308)/ABS(SUMIFS(L$5:L$315,$A$5:$A$315,$A308,$C$5:$C$315,$C308-1,$D$5:$D$315,$D308))-1)))</f>
        <v/>
      </c>
      <c r="W308" s="16">
        <f>IF(OR($A308="",M308="",$C308=""),"",IF(COUNTIFS($A$5:$A$315,$A308,$C$5:$C$315,$C308-1,$D$5:$D$315,$D308,M$5:M$315,"&lt;&gt;")=0,"",IF(OR(SUMIFS(M$5:M$315,$A$5:$A$315,$A308,$C$5:$C$315,$C308-1,$D$5:$D$315,$D308)=0,M308*SUMIFS(M$5:M$315,$A$5:$A$315,$A308,$C$5:$C$315,$C308-1,$D$5:$D$315,$D308)&lt;0),"n.s.",ABS(M308)/ABS(SUMIFS(M$5:M$315,$A$5:$A$315,$A308,$C$5:$C$315,$C308-1,$D$5:$D$315,$D308))-1)))</f>
        <v/>
      </c>
      <c r="X308" s="16">
        <f>IF(OR($A308="",N308="",$C308=""),"",IF(COUNTIFS($A$5:$A$315,$A308,$C$5:$C$315,$C308-1,$D$5:$D$315,$D308,N$5:N$315,"&lt;&gt;")=0,"",IF(OR(SUMIFS(N$5:N$315,$A$5:$A$315,$A308,$C$5:$C$315,$C308-1,$D$5:$D$315,$D308)=0,N308*SUMIFS(N$5:N$315,$A$5:$A$315,$A308,$C$5:$C$315,$C308-1,$D$5:$D$315,$D308)&lt;0),"n.s.",ABS(N308)/ABS(SUMIFS(N$5:N$315,$A$5:$A$315,$A308,$C$5:$C$315,$C308-1,$D$5:$D$315,$D308))-1)))</f>
        <v/>
      </c>
      <c r="Y308" s="16">
        <f>IF(OR($A308="",O308="",$C308=""),"",IF(COUNTIFS($A$5:$A$315,$A308,$C$5:$C$315,$C308-1,$D$5:$D$315,$D308,O$5:O$315,"&lt;&gt;")=0,"",IF(OR(SUMIFS(O$5:O$315,$A$5:$A$315,$A308,$C$5:$C$315,$C308-1,$D$5:$D$315,$D308)=0,O308*SUMIFS(O$5:O$315,$A$5:$A$315,$A308,$C$5:$C$315,$C308-1,$D$5:$D$315,$D308)&lt;0),"n.s.",ABS(O308)/ABS(SUMIFS(O$5:O$315,$A$5:$A$315,$A308,$C$5:$C$315,$C308-1,$D$5:$D$315,$D308))-1)))</f>
        <v/>
      </c>
    </row>
    <row r="309">
      <c r="A309" s="9" t="n"/>
      <c r="B309" s="10">
        <f>IF(A309="","",IFERROR(VLOOKUP(A309,Titres!$A$2:$B$400,2,FALSE),"Ticker inconnu"))</f>
        <v/>
      </c>
      <c r="C309" s="11" t="n"/>
      <c r="D309" s="11" t="n"/>
      <c r="E309" s="9" t="n"/>
      <c r="F309" s="12" t="n"/>
      <c r="G309" s="9" t="n"/>
      <c r="H309" s="13" t="n"/>
      <c r="I309" s="13" t="n"/>
      <c r="J309" s="13" t="n"/>
      <c r="K309" s="13" t="n"/>
      <c r="L309" s="13" t="n"/>
      <c r="M309" s="13" t="n"/>
      <c r="N309" s="13" t="n"/>
      <c r="O309" s="13" t="n"/>
      <c r="P309" s="14">
        <f>IF(A309="","",COUNT(H309:O309)/8)</f>
        <v/>
      </c>
      <c r="Q309" s="15">
        <f>IF(COUNT(H309:O309)=0,"",IF(LEN(IF(COUNT(H309,I309,J309)=3,IF(ABS(H309+I309-J309)&lt;=MAX(1,0.02*ABS(J309)),"","RBE &lt;&gt; PNB + frais "),"")&amp;IF(COUNT(J309,K309,L309)=3,IF(ABS(J309+K309-L309)&lt;=MAX(1,0.03*ABS(L309)),"","RAI &lt;&gt; RBE + coût du risque "),"")&amp;IF(COUNT(H309,M309)=2,IF(ABS(M309)&gt;ABS(H309),"RN &gt; PNB ",""),""))=0,"OK",IF(COUNT(H309,I309,J309)=3,IF(ABS(H309+I309-J309)&lt;=MAX(1,0.02*ABS(J309)),"","RBE &lt;&gt; PNB + frais "),"")&amp;IF(COUNT(J309,K309,L309)=3,IF(ABS(J309+K309-L309)&lt;=MAX(1,0.03*ABS(L309)),"","RAI &lt;&gt; RBE + coût du risque "),"")&amp;IF(COUNT(H309,M309)=2,IF(ABS(M309)&gt;ABS(H309),"RN &gt; PNB ",""),"")))</f>
        <v/>
      </c>
      <c r="R309" s="16">
        <f>IF(OR($A309="",H309="",$C309=""),"",IF(COUNTIFS($A$5:$A$315,$A309,$C$5:$C$315,$C309-1,$D$5:$D$315,$D309,H$5:H$315,"&lt;&gt;")=0,"",IF(OR(SUMIFS(H$5:H$315,$A$5:$A$315,$A309,$C$5:$C$315,$C309-1,$D$5:$D$315,$D309)=0,H309*SUMIFS(H$5:H$315,$A$5:$A$315,$A309,$C$5:$C$315,$C309-1,$D$5:$D$315,$D309)&lt;0),"n.s.",ABS(H309)/ABS(SUMIFS(H$5:H$315,$A$5:$A$315,$A309,$C$5:$C$315,$C309-1,$D$5:$D$315,$D309))-1)))</f>
        <v/>
      </c>
      <c r="S309" s="16">
        <f>IF(OR($A309="",I309="",$C309=""),"",IF(COUNTIFS($A$5:$A$315,$A309,$C$5:$C$315,$C309-1,$D$5:$D$315,$D309,I$5:I$315,"&lt;&gt;")=0,"",IF(OR(SUMIFS(I$5:I$315,$A$5:$A$315,$A309,$C$5:$C$315,$C309-1,$D$5:$D$315,$D309)=0,I309*SUMIFS(I$5:I$315,$A$5:$A$315,$A309,$C$5:$C$315,$C309-1,$D$5:$D$315,$D309)&lt;0),"n.s.",ABS(I309)/ABS(SUMIFS(I$5:I$315,$A$5:$A$315,$A309,$C$5:$C$315,$C309-1,$D$5:$D$315,$D309))-1)))</f>
        <v/>
      </c>
      <c r="T309" s="16">
        <f>IF(OR($A309="",J309="",$C309=""),"",IF(COUNTIFS($A$5:$A$315,$A309,$C$5:$C$315,$C309-1,$D$5:$D$315,$D309,J$5:J$315,"&lt;&gt;")=0,"",IF(OR(SUMIFS(J$5:J$315,$A$5:$A$315,$A309,$C$5:$C$315,$C309-1,$D$5:$D$315,$D309)=0,J309*SUMIFS(J$5:J$315,$A$5:$A$315,$A309,$C$5:$C$315,$C309-1,$D$5:$D$315,$D309)&lt;0),"n.s.",ABS(J309)/ABS(SUMIFS(J$5:J$315,$A$5:$A$315,$A309,$C$5:$C$315,$C309-1,$D$5:$D$315,$D309))-1)))</f>
        <v/>
      </c>
      <c r="U309" s="16">
        <f>IF(OR($A309="",K309="",$C309=""),"",IF(COUNTIFS($A$5:$A$315,$A309,$C$5:$C$315,$C309-1,$D$5:$D$315,$D309,K$5:K$315,"&lt;&gt;")=0,"",IF(OR(SUMIFS(K$5:K$315,$A$5:$A$315,$A309,$C$5:$C$315,$C309-1,$D$5:$D$315,$D309)=0,K309*SUMIFS(K$5:K$315,$A$5:$A$315,$A309,$C$5:$C$315,$C309-1,$D$5:$D$315,$D309)&lt;0),"n.s.",ABS(K309)/ABS(SUMIFS(K$5:K$315,$A$5:$A$315,$A309,$C$5:$C$315,$C309-1,$D$5:$D$315,$D309))-1)))</f>
        <v/>
      </c>
      <c r="V309" s="16">
        <f>IF(OR($A309="",L309="",$C309=""),"",IF(COUNTIFS($A$5:$A$315,$A309,$C$5:$C$315,$C309-1,$D$5:$D$315,$D309,L$5:L$315,"&lt;&gt;")=0,"",IF(OR(SUMIFS(L$5:L$315,$A$5:$A$315,$A309,$C$5:$C$315,$C309-1,$D$5:$D$315,$D309)=0,L309*SUMIFS(L$5:L$315,$A$5:$A$315,$A309,$C$5:$C$315,$C309-1,$D$5:$D$315,$D309)&lt;0),"n.s.",ABS(L309)/ABS(SUMIFS(L$5:L$315,$A$5:$A$315,$A309,$C$5:$C$315,$C309-1,$D$5:$D$315,$D309))-1)))</f>
        <v/>
      </c>
      <c r="W309" s="16">
        <f>IF(OR($A309="",M309="",$C309=""),"",IF(COUNTIFS($A$5:$A$315,$A309,$C$5:$C$315,$C309-1,$D$5:$D$315,$D309,M$5:M$315,"&lt;&gt;")=0,"",IF(OR(SUMIFS(M$5:M$315,$A$5:$A$315,$A309,$C$5:$C$315,$C309-1,$D$5:$D$315,$D309)=0,M309*SUMIFS(M$5:M$315,$A$5:$A$315,$A309,$C$5:$C$315,$C309-1,$D$5:$D$315,$D309)&lt;0),"n.s.",ABS(M309)/ABS(SUMIFS(M$5:M$315,$A$5:$A$315,$A309,$C$5:$C$315,$C309-1,$D$5:$D$315,$D309))-1)))</f>
        <v/>
      </c>
      <c r="X309" s="16">
        <f>IF(OR($A309="",N309="",$C309=""),"",IF(COUNTIFS($A$5:$A$315,$A309,$C$5:$C$315,$C309-1,$D$5:$D$315,$D309,N$5:N$315,"&lt;&gt;")=0,"",IF(OR(SUMIFS(N$5:N$315,$A$5:$A$315,$A309,$C$5:$C$315,$C309-1,$D$5:$D$315,$D309)=0,N309*SUMIFS(N$5:N$315,$A$5:$A$315,$A309,$C$5:$C$315,$C309-1,$D$5:$D$315,$D309)&lt;0),"n.s.",ABS(N309)/ABS(SUMIFS(N$5:N$315,$A$5:$A$315,$A309,$C$5:$C$315,$C309-1,$D$5:$D$315,$D309))-1)))</f>
        <v/>
      </c>
      <c r="Y309" s="16">
        <f>IF(OR($A309="",O309="",$C309=""),"",IF(COUNTIFS($A$5:$A$315,$A309,$C$5:$C$315,$C309-1,$D$5:$D$315,$D309,O$5:O$315,"&lt;&gt;")=0,"",IF(OR(SUMIFS(O$5:O$315,$A$5:$A$315,$A309,$C$5:$C$315,$C309-1,$D$5:$D$315,$D309)=0,O309*SUMIFS(O$5:O$315,$A$5:$A$315,$A309,$C$5:$C$315,$C309-1,$D$5:$D$315,$D309)&lt;0),"n.s.",ABS(O309)/ABS(SUMIFS(O$5:O$315,$A$5:$A$315,$A309,$C$5:$C$315,$C309-1,$D$5:$D$315,$D309))-1)))</f>
        <v/>
      </c>
    </row>
    <row r="310">
      <c r="A310" s="9" t="n"/>
      <c r="B310" s="10">
        <f>IF(A310="","",IFERROR(VLOOKUP(A310,Titres!$A$2:$B$400,2,FALSE),"Ticker inconnu"))</f>
        <v/>
      </c>
      <c r="C310" s="11" t="n"/>
      <c r="D310" s="11" t="n"/>
      <c r="E310" s="9" t="n"/>
      <c r="F310" s="12" t="n"/>
      <c r="G310" s="9" t="n"/>
      <c r="H310" s="13" t="n"/>
      <c r="I310" s="13" t="n"/>
      <c r="J310" s="13" t="n"/>
      <c r="K310" s="13" t="n"/>
      <c r="L310" s="13" t="n"/>
      <c r="M310" s="13" t="n"/>
      <c r="N310" s="13" t="n"/>
      <c r="O310" s="13" t="n"/>
      <c r="P310" s="14">
        <f>IF(A310="","",COUNT(H310:O310)/8)</f>
        <v/>
      </c>
      <c r="Q310" s="15">
        <f>IF(COUNT(H310:O310)=0,"",IF(LEN(IF(COUNT(H310,I310,J310)=3,IF(ABS(H310+I310-J310)&lt;=MAX(1,0.02*ABS(J310)),"","RBE &lt;&gt; PNB + frais "),"")&amp;IF(COUNT(J310,K310,L310)=3,IF(ABS(J310+K310-L310)&lt;=MAX(1,0.03*ABS(L310)),"","RAI &lt;&gt; RBE + coût du risque "),"")&amp;IF(COUNT(H310,M310)=2,IF(ABS(M310)&gt;ABS(H310),"RN &gt; PNB ",""),""))=0,"OK",IF(COUNT(H310,I310,J310)=3,IF(ABS(H310+I310-J310)&lt;=MAX(1,0.02*ABS(J310)),"","RBE &lt;&gt; PNB + frais "),"")&amp;IF(COUNT(J310,K310,L310)=3,IF(ABS(J310+K310-L310)&lt;=MAX(1,0.03*ABS(L310)),"","RAI &lt;&gt; RBE + coût du risque "),"")&amp;IF(COUNT(H310,M310)=2,IF(ABS(M310)&gt;ABS(H310),"RN &gt; PNB ",""),"")))</f>
        <v/>
      </c>
      <c r="R310" s="16">
        <f>IF(OR($A310="",H310="",$C310=""),"",IF(COUNTIFS($A$5:$A$315,$A310,$C$5:$C$315,$C310-1,$D$5:$D$315,$D310,H$5:H$315,"&lt;&gt;")=0,"",IF(OR(SUMIFS(H$5:H$315,$A$5:$A$315,$A310,$C$5:$C$315,$C310-1,$D$5:$D$315,$D310)=0,H310*SUMIFS(H$5:H$315,$A$5:$A$315,$A310,$C$5:$C$315,$C310-1,$D$5:$D$315,$D310)&lt;0),"n.s.",ABS(H310)/ABS(SUMIFS(H$5:H$315,$A$5:$A$315,$A310,$C$5:$C$315,$C310-1,$D$5:$D$315,$D310))-1)))</f>
        <v/>
      </c>
      <c r="S310" s="16">
        <f>IF(OR($A310="",I310="",$C310=""),"",IF(COUNTIFS($A$5:$A$315,$A310,$C$5:$C$315,$C310-1,$D$5:$D$315,$D310,I$5:I$315,"&lt;&gt;")=0,"",IF(OR(SUMIFS(I$5:I$315,$A$5:$A$315,$A310,$C$5:$C$315,$C310-1,$D$5:$D$315,$D310)=0,I310*SUMIFS(I$5:I$315,$A$5:$A$315,$A310,$C$5:$C$315,$C310-1,$D$5:$D$315,$D310)&lt;0),"n.s.",ABS(I310)/ABS(SUMIFS(I$5:I$315,$A$5:$A$315,$A310,$C$5:$C$315,$C310-1,$D$5:$D$315,$D310))-1)))</f>
        <v/>
      </c>
      <c r="T310" s="16">
        <f>IF(OR($A310="",J310="",$C310=""),"",IF(COUNTIFS($A$5:$A$315,$A310,$C$5:$C$315,$C310-1,$D$5:$D$315,$D310,J$5:J$315,"&lt;&gt;")=0,"",IF(OR(SUMIFS(J$5:J$315,$A$5:$A$315,$A310,$C$5:$C$315,$C310-1,$D$5:$D$315,$D310)=0,J310*SUMIFS(J$5:J$315,$A$5:$A$315,$A310,$C$5:$C$315,$C310-1,$D$5:$D$315,$D310)&lt;0),"n.s.",ABS(J310)/ABS(SUMIFS(J$5:J$315,$A$5:$A$315,$A310,$C$5:$C$315,$C310-1,$D$5:$D$315,$D310))-1)))</f>
        <v/>
      </c>
      <c r="U310" s="16">
        <f>IF(OR($A310="",K310="",$C310=""),"",IF(COUNTIFS($A$5:$A$315,$A310,$C$5:$C$315,$C310-1,$D$5:$D$315,$D310,K$5:K$315,"&lt;&gt;")=0,"",IF(OR(SUMIFS(K$5:K$315,$A$5:$A$315,$A310,$C$5:$C$315,$C310-1,$D$5:$D$315,$D310)=0,K310*SUMIFS(K$5:K$315,$A$5:$A$315,$A310,$C$5:$C$315,$C310-1,$D$5:$D$315,$D310)&lt;0),"n.s.",ABS(K310)/ABS(SUMIFS(K$5:K$315,$A$5:$A$315,$A310,$C$5:$C$315,$C310-1,$D$5:$D$315,$D310))-1)))</f>
        <v/>
      </c>
      <c r="V310" s="16">
        <f>IF(OR($A310="",L310="",$C310=""),"",IF(COUNTIFS($A$5:$A$315,$A310,$C$5:$C$315,$C310-1,$D$5:$D$315,$D310,L$5:L$315,"&lt;&gt;")=0,"",IF(OR(SUMIFS(L$5:L$315,$A$5:$A$315,$A310,$C$5:$C$315,$C310-1,$D$5:$D$315,$D310)=0,L310*SUMIFS(L$5:L$315,$A$5:$A$315,$A310,$C$5:$C$315,$C310-1,$D$5:$D$315,$D310)&lt;0),"n.s.",ABS(L310)/ABS(SUMIFS(L$5:L$315,$A$5:$A$315,$A310,$C$5:$C$315,$C310-1,$D$5:$D$315,$D310))-1)))</f>
        <v/>
      </c>
      <c r="W310" s="16">
        <f>IF(OR($A310="",M310="",$C310=""),"",IF(COUNTIFS($A$5:$A$315,$A310,$C$5:$C$315,$C310-1,$D$5:$D$315,$D310,M$5:M$315,"&lt;&gt;")=0,"",IF(OR(SUMIFS(M$5:M$315,$A$5:$A$315,$A310,$C$5:$C$315,$C310-1,$D$5:$D$315,$D310)=0,M310*SUMIFS(M$5:M$315,$A$5:$A$315,$A310,$C$5:$C$315,$C310-1,$D$5:$D$315,$D310)&lt;0),"n.s.",ABS(M310)/ABS(SUMIFS(M$5:M$315,$A$5:$A$315,$A310,$C$5:$C$315,$C310-1,$D$5:$D$315,$D310))-1)))</f>
        <v/>
      </c>
      <c r="X310" s="16">
        <f>IF(OR($A310="",N310="",$C310=""),"",IF(COUNTIFS($A$5:$A$315,$A310,$C$5:$C$315,$C310-1,$D$5:$D$315,$D310,N$5:N$315,"&lt;&gt;")=0,"",IF(OR(SUMIFS(N$5:N$315,$A$5:$A$315,$A310,$C$5:$C$315,$C310-1,$D$5:$D$315,$D310)=0,N310*SUMIFS(N$5:N$315,$A$5:$A$315,$A310,$C$5:$C$315,$C310-1,$D$5:$D$315,$D310)&lt;0),"n.s.",ABS(N310)/ABS(SUMIFS(N$5:N$315,$A$5:$A$315,$A310,$C$5:$C$315,$C310-1,$D$5:$D$315,$D310))-1)))</f>
        <v/>
      </c>
      <c r="Y310" s="16">
        <f>IF(OR($A310="",O310="",$C310=""),"",IF(COUNTIFS($A$5:$A$315,$A310,$C$5:$C$315,$C310-1,$D$5:$D$315,$D310,O$5:O$315,"&lt;&gt;")=0,"",IF(OR(SUMIFS(O$5:O$315,$A$5:$A$315,$A310,$C$5:$C$315,$C310-1,$D$5:$D$315,$D310)=0,O310*SUMIFS(O$5:O$315,$A$5:$A$315,$A310,$C$5:$C$315,$C310-1,$D$5:$D$315,$D310)&lt;0),"n.s.",ABS(O310)/ABS(SUMIFS(O$5:O$315,$A$5:$A$315,$A310,$C$5:$C$315,$C310-1,$D$5:$D$315,$D310))-1)))</f>
        <v/>
      </c>
    </row>
    <row r="311">
      <c r="A311" s="9" t="n"/>
      <c r="B311" s="10">
        <f>IF(A311="","",IFERROR(VLOOKUP(A311,Titres!$A$2:$B$400,2,FALSE),"Ticker inconnu"))</f>
        <v/>
      </c>
      <c r="C311" s="11" t="n"/>
      <c r="D311" s="11" t="n"/>
      <c r="E311" s="9" t="n"/>
      <c r="F311" s="12" t="n"/>
      <c r="G311" s="9" t="n"/>
      <c r="H311" s="13" t="n"/>
      <c r="I311" s="13" t="n"/>
      <c r="J311" s="13" t="n"/>
      <c r="K311" s="13" t="n"/>
      <c r="L311" s="13" t="n"/>
      <c r="M311" s="13" t="n"/>
      <c r="N311" s="13" t="n"/>
      <c r="O311" s="13" t="n"/>
      <c r="P311" s="14">
        <f>IF(A311="","",COUNT(H311:O311)/8)</f>
        <v/>
      </c>
      <c r="Q311" s="15">
        <f>IF(COUNT(H311:O311)=0,"",IF(LEN(IF(COUNT(H311,I311,J311)=3,IF(ABS(H311+I311-J311)&lt;=MAX(1,0.02*ABS(J311)),"","RBE &lt;&gt; PNB + frais "),"")&amp;IF(COUNT(J311,K311,L311)=3,IF(ABS(J311+K311-L311)&lt;=MAX(1,0.03*ABS(L311)),"","RAI &lt;&gt; RBE + coût du risque "),"")&amp;IF(COUNT(H311,M311)=2,IF(ABS(M311)&gt;ABS(H311),"RN &gt; PNB ",""),""))=0,"OK",IF(COUNT(H311,I311,J311)=3,IF(ABS(H311+I311-J311)&lt;=MAX(1,0.02*ABS(J311)),"","RBE &lt;&gt; PNB + frais "),"")&amp;IF(COUNT(J311,K311,L311)=3,IF(ABS(J311+K311-L311)&lt;=MAX(1,0.03*ABS(L311)),"","RAI &lt;&gt; RBE + coût du risque "),"")&amp;IF(COUNT(H311,M311)=2,IF(ABS(M311)&gt;ABS(H311),"RN &gt; PNB ",""),"")))</f>
        <v/>
      </c>
      <c r="R311" s="16">
        <f>IF(OR($A311="",H311="",$C311=""),"",IF(COUNTIFS($A$5:$A$315,$A311,$C$5:$C$315,$C311-1,$D$5:$D$315,$D311,H$5:H$315,"&lt;&gt;")=0,"",IF(OR(SUMIFS(H$5:H$315,$A$5:$A$315,$A311,$C$5:$C$315,$C311-1,$D$5:$D$315,$D311)=0,H311*SUMIFS(H$5:H$315,$A$5:$A$315,$A311,$C$5:$C$315,$C311-1,$D$5:$D$315,$D311)&lt;0),"n.s.",ABS(H311)/ABS(SUMIFS(H$5:H$315,$A$5:$A$315,$A311,$C$5:$C$315,$C311-1,$D$5:$D$315,$D311))-1)))</f>
        <v/>
      </c>
      <c r="S311" s="16">
        <f>IF(OR($A311="",I311="",$C311=""),"",IF(COUNTIFS($A$5:$A$315,$A311,$C$5:$C$315,$C311-1,$D$5:$D$315,$D311,I$5:I$315,"&lt;&gt;")=0,"",IF(OR(SUMIFS(I$5:I$315,$A$5:$A$315,$A311,$C$5:$C$315,$C311-1,$D$5:$D$315,$D311)=0,I311*SUMIFS(I$5:I$315,$A$5:$A$315,$A311,$C$5:$C$315,$C311-1,$D$5:$D$315,$D311)&lt;0),"n.s.",ABS(I311)/ABS(SUMIFS(I$5:I$315,$A$5:$A$315,$A311,$C$5:$C$315,$C311-1,$D$5:$D$315,$D311))-1)))</f>
        <v/>
      </c>
      <c r="T311" s="16">
        <f>IF(OR($A311="",J311="",$C311=""),"",IF(COUNTIFS($A$5:$A$315,$A311,$C$5:$C$315,$C311-1,$D$5:$D$315,$D311,J$5:J$315,"&lt;&gt;")=0,"",IF(OR(SUMIFS(J$5:J$315,$A$5:$A$315,$A311,$C$5:$C$315,$C311-1,$D$5:$D$315,$D311)=0,J311*SUMIFS(J$5:J$315,$A$5:$A$315,$A311,$C$5:$C$315,$C311-1,$D$5:$D$315,$D311)&lt;0),"n.s.",ABS(J311)/ABS(SUMIFS(J$5:J$315,$A$5:$A$315,$A311,$C$5:$C$315,$C311-1,$D$5:$D$315,$D311))-1)))</f>
        <v/>
      </c>
      <c r="U311" s="16">
        <f>IF(OR($A311="",K311="",$C311=""),"",IF(COUNTIFS($A$5:$A$315,$A311,$C$5:$C$315,$C311-1,$D$5:$D$315,$D311,K$5:K$315,"&lt;&gt;")=0,"",IF(OR(SUMIFS(K$5:K$315,$A$5:$A$315,$A311,$C$5:$C$315,$C311-1,$D$5:$D$315,$D311)=0,K311*SUMIFS(K$5:K$315,$A$5:$A$315,$A311,$C$5:$C$315,$C311-1,$D$5:$D$315,$D311)&lt;0),"n.s.",ABS(K311)/ABS(SUMIFS(K$5:K$315,$A$5:$A$315,$A311,$C$5:$C$315,$C311-1,$D$5:$D$315,$D311))-1)))</f>
        <v/>
      </c>
      <c r="V311" s="16">
        <f>IF(OR($A311="",L311="",$C311=""),"",IF(COUNTIFS($A$5:$A$315,$A311,$C$5:$C$315,$C311-1,$D$5:$D$315,$D311,L$5:L$315,"&lt;&gt;")=0,"",IF(OR(SUMIFS(L$5:L$315,$A$5:$A$315,$A311,$C$5:$C$315,$C311-1,$D$5:$D$315,$D311)=0,L311*SUMIFS(L$5:L$315,$A$5:$A$315,$A311,$C$5:$C$315,$C311-1,$D$5:$D$315,$D311)&lt;0),"n.s.",ABS(L311)/ABS(SUMIFS(L$5:L$315,$A$5:$A$315,$A311,$C$5:$C$315,$C311-1,$D$5:$D$315,$D311))-1)))</f>
        <v/>
      </c>
      <c r="W311" s="16">
        <f>IF(OR($A311="",M311="",$C311=""),"",IF(COUNTIFS($A$5:$A$315,$A311,$C$5:$C$315,$C311-1,$D$5:$D$315,$D311,M$5:M$315,"&lt;&gt;")=0,"",IF(OR(SUMIFS(M$5:M$315,$A$5:$A$315,$A311,$C$5:$C$315,$C311-1,$D$5:$D$315,$D311)=0,M311*SUMIFS(M$5:M$315,$A$5:$A$315,$A311,$C$5:$C$315,$C311-1,$D$5:$D$315,$D311)&lt;0),"n.s.",ABS(M311)/ABS(SUMIFS(M$5:M$315,$A$5:$A$315,$A311,$C$5:$C$315,$C311-1,$D$5:$D$315,$D311))-1)))</f>
        <v/>
      </c>
      <c r="X311" s="16">
        <f>IF(OR($A311="",N311="",$C311=""),"",IF(COUNTIFS($A$5:$A$315,$A311,$C$5:$C$315,$C311-1,$D$5:$D$315,$D311,N$5:N$315,"&lt;&gt;")=0,"",IF(OR(SUMIFS(N$5:N$315,$A$5:$A$315,$A311,$C$5:$C$315,$C311-1,$D$5:$D$315,$D311)=0,N311*SUMIFS(N$5:N$315,$A$5:$A$315,$A311,$C$5:$C$315,$C311-1,$D$5:$D$315,$D311)&lt;0),"n.s.",ABS(N311)/ABS(SUMIFS(N$5:N$315,$A$5:$A$315,$A311,$C$5:$C$315,$C311-1,$D$5:$D$315,$D311))-1)))</f>
        <v/>
      </c>
      <c r="Y311" s="16">
        <f>IF(OR($A311="",O311="",$C311=""),"",IF(COUNTIFS($A$5:$A$315,$A311,$C$5:$C$315,$C311-1,$D$5:$D$315,$D311,O$5:O$315,"&lt;&gt;")=0,"",IF(OR(SUMIFS(O$5:O$315,$A$5:$A$315,$A311,$C$5:$C$315,$C311-1,$D$5:$D$315,$D311)=0,O311*SUMIFS(O$5:O$315,$A$5:$A$315,$A311,$C$5:$C$315,$C311-1,$D$5:$D$315,$D311)&lt;0),"n.s.",ABS(O311)/ABS(SUMIFS(O$5:O$315,$A$5:$A$315,$A311,$C$5:$C$315,$C311-1,$D$5:$D$315,$D311))-1)))</f>
        <v/>
      </c>
    </row>
    <row r="312">
      <c r="A312" s="9" t="n"/>
      <c r="B312" s="10">
        <f>IF(A312="","",IFERROR(VLOOKUP(A312,Titres!$A$2:$B$400,2,FALSE),"Ticker inconnu"))</f>
        <v/>
      </c>
      <c r="C312" s="11" t="n"/>
      <c r="D312" s="11" t="n"/>
      <c r="E312" s="9" t="n"/>
      <c r="F312" s="12" t="n"/>
      <c r="G312" s="9" t="n"/>
      <c r="H312" s="13" t="n"/>
      <c r="I312" s="13" t="n"/>
      <c r="J312" s="13" t="n"/>
      <c r="K312" s="13" t="n"/>
      <c r="L312" s="13" t="n"/>
      <c r="M312" s="13" t="n"/>
      <c r="N312" s="13" t="n"/>
      <c r="O312" s="13" t="n"/>
      <c r="P312" s="14">
        <f>IF(A312="","",COUNT(H312:O312)/8)</f>
        <v/>
      </c>
      <c r="Q312" s="15">
        <f>IF(COUNT(H312:O312)=0,"",IF(LEN(IF(COUNT(H312,I312,J312)=3,IF(ABS(H312+I312-J312)&lt;=MAX(1,0.02*ABS(J312)),"","RBE &lt;&gt; PNB + frais "),"")&amp;IF(COUNT(J312,K312,L312)=3,IF(ABS(J312+K312-L312)&lt;=MAX(1,0.03*ABS(L312)),"","RAI &lt;&gt; RBE + coût du risque "),"")&amp;IF(COUNT(H312,M312)=2,IF(ABS(M312)&gt;ABS(H312),"RN &gt; PNB ",""),""))=0,"OK",IF(COUNT(H312,I312,J312)=3,IF(ABS(H312+I312-J312)&lt;=MAX(1,0.02*ABS(J312)),"","RBE &lt;&gt; PNB + frais "),"")&amp;IF(COUNT(J312,K312,L312)=3,IF(ABS(J312+K312-L312)&lt;=MAX(1,0.03*ABS(L312)),"","RAI &lt;&gt; RBE + coût du risque "),"")&amp;IF(COUNT(H312,M312)=2,IF(ABS(M312)&gt;ABS(H312),"RN &gt; PNB ",""),"")))</f>
        <v/>
      </c>
      <c r="R312" s="16">
        <f>IF(OR($A312="",H312="",$C312=""),"",IF(COUNTIFS($A$5:$A$315,$A312,$C$5:$C$315,$C312-1,$D$5:$D$315,$D312,H$5:H$315,"&lt;&gt;")=0,"",IF(OR(SUMIFS(H$5:H$315,$A$5:$A$315,$A312,$C$5:$C$315,$C312-1,$D$5:$D$315,$D312)=0,H312*SUMIFS(H$5:H$315,$A$5:$A$315,$A312,$C$5:$C$315,$C312-1,$D$5:$D$315,$D312)&lt;0),"n.s.",ABS(H312)/ABS(SUMIFS(H$5:H$315,$A$5:$A$315,$A312,$C$5:$C$315,$C312-1,$D$5:$D$315,$D312))-1)))</f>
        <v/>
      </c>
      <c r="S312" s="16">
        <f>IF(OR($A312="",I312="",$C312=""),"",IF(COUNTIFS($A$5:$A$315,$A312,$C$5:$C$315,$C312-1,$D$5:$D$315,$D312,I$5:I$315,"&lt;&gt;")=0,"",IF(OR(SUMIFS(I$5:I$315,$A$5:$A$315,$A312,$C$5:$C$315,$C312-1,$D$5:$D$315,$D312)=0,I312*SUMIFS(I$5:I$315,$A$5:$A$315,$A312,$C$5:$C$315,$C312-1,$D$5:$D$315,$D312)&lt;0),"n.s.",ABS(I312)/ABS(SUMIFS(I$5:I$315,$A$5:$A$315,$A312,$C$5:$C$315,$C312-1,$D$5:$D$315,$D312))-1)))</f>
        <v/>
      </c>
      <c r="T312" s="16">
        <f>IF(OR($A312="",J312="",$C312=""),"",IF(COUNTIFS($A$5:$A$315,$A312,$C$5:$C$315,$C312-1,$D$5:$D$315,$D312,J$5:J$315,"&lt;&gt;")=0,"",IF(OR(SUMIFS(J$5:J$315,$A$5:$A$315,$A312,$C$5:$C$315,$C312-1,$D$5:$D$315,$D312)=0,J312*SUMIFS(J$5:J$315,$A$5:$A$315,$A312,$C$5:$C$315,$C312-1,$D$5:$D$315,$D312)&lt;0),"n.s.",ABS(J312)/ABS(SUMIFS(J$5:J$315,$A$5:$A$315,$A312,$C$5:$C$315,$C312-1,$D$5:$D$315,$D312))-1)))</f>
        <v/>
      </c>
      <c r="U312" s="16">
        <f>IF(OR($A312="",K312="",$C312=""),"",IF(COUNTIFS($A$5:$A$315,$A312,$C$5:$C$315,$C312-1,$D$5:$D$315,$D312,K$5:K$315,"&lt;&gt;")=0,"",IF(OR(SUMIFS(K$5:K$315,$A$5:$A$315,$A312,$C$5:$C$315,$C312-1,$D$5:$D$315,$D312)=0,K312*SUMIFS(K$5:K$315,$A$5:$A$315,$A312,$C$5:$C$315,$C312-1,$D$5:$D$315,$D312)&lt;0),"n.s.",ABS(K312)/ABS(SUMIFS(K$5:K$315,$A$5:$A$315,$A312,$C$5:$C$315,$C312-1,$D$5:$D$315,$D312))-1)))</f>
        <v/>
      </c>
      <c r="V312" s="16">
        <f>IF(OR($A312="",L312="",$C312=""),"",IF(COUNTIFS($A$5:$A$315,$A312,$C$5:$C$315,$C312-1,$D$5:$D$315,$D312,L$5:L$315,"&lt;&gt;")=0,"",IF(OR(SUMIFS(L$5:L$315,$A$5:$A$315,$A312,$C$5:$C$315,$C312-1,$D$5:$D$315,$D312)=0,L312*SUMIFS(L$5:L$315,$A$5:$A$315,$A312,$C$5:$C$315,$C312-1,$D$5:$D$315,$D312)&lt;0),"n.s.",ABS(L312)/ABS(SUMIFS(L$5:L$315,$A$5:$A$315,$A312,$C$5:$C$315,$C312-1,$D$5:$D$315,$D312))-1)))</f>
        <v/>
      </c>
      <c r="W312" s="16">
        <f>IF(OR($A312="",M312="",$C312=""),"",IF(COUNTIFS($A$5:$A$315,$A312,$C$5:$C$315,$C312-1,$D$5:$D$315,$D312,M$5:M$315,"&lt;&gt;")=0,"",IF(OR(SUMIFS(M$5:M$315,$A$5:$A$315,$A312,$C$5:$C$315,$C312-1,$D$5:$D$315,$D312)=0,M312*SUMIFS(M$5:M$315,$A$5:$A$315,$A312,$C$5:$C$315,$C312-1,$D$5:$D$315,$D312)&lt;0),"n.s.",ABS(M312)/ABS(SUMIFS(M$5:M$315,$A$5:$A$315,$A312,$C$5:$C$315,$C312-1,$D$5:$D$315,$D312))-1)))</f>
        <v/>
      </c>
      <c r="X312" s="16">
        <f>IF(OR($A312="",N312="",$C312=""),"",IF(COUNTIFS($A$5:$A$315,$A312,$C$5:$C$315,$C312-1,$D$5:$D$315,$D312,N$5:N$315,"&lt;&gt;")=0,"",IF(OR(SUMIFS(N$5:N$315,$A$5:$A$315,$A312,$C$5:$C$315,$C312-1,$D$5:$D$315,$D312)=0,N312*SUMIFS(N$5:N$315,$A$5:$A$315,$A312,$C$5:$C$315,$C312-1,$D$5:$D$315,$D312)&lt;0),"n.s.",ABS(N312)/ABS(SUMIFS(N$5:N$315,$A$5:$A$315,$A312,$C$5:$C$315,$C312-1,$D$5:$D$315,$D312))-1)))</f>
        <v/>
      </c>
      <c r="Y312" s="16">
        <f>IF(OR($A312="",O312="",$C312=""),"",IF(COUNTIFS($A$5:$A$315,$A312,$C$5:$C$315,$C312-1,$D$5:$D$315,$D312,O$5:O$315,"&lt;&gt;")=0,"",IF(OR(SUMIFS(O$5:O$315,$A$5:$A$315,$A312,$C$5:$C$315,$C312-1,$D$5:$D$315,$D312)=0,O312*SUMIFS(O$5:O$315,$A$5:$A$315,$A312,$C$5:$C$315,$C312-1,$D$5:$D$315,$D312)&lt;0),"n.s.",ABS(O312)/ABS(SUMIFS(O$5:O$315,$A$5:$A$315,$A312,$C$5:$C$315,$C312-1,$D$5:$D$315,$D312))-1)))</f>
        <v/>
      </c>
    </row>
    <row r="313">
      <c r="A313" s="9" t="n"/>
      <c r="B313" s="10">
        <f>IF(A313="","",IFERROR(VLOOKUP(A313,Titres!$A$2:$B$400,2,FALSE),"Ticker inconnu"))</f>
        <v/>
      </c>
      <c r="C313" s="11" t="n"/>
      <c r="D313" s="11" t="n"/>
      <c r="E313" s="9" t="n"/>
      <c r="F313" s="12" t="n"/>
      <c r="G313" s="9" t="n"/>
      <c r="H313" s="13" t="n"/>
      <c r="I313" s="13" t="n"/>
      <c r="J313" s="13" t="n"/>
      <c r="K313" s="13" t="n"/>
      <c r="L313" s="13" t="n"/>
      <c r="M313" s="13" t="n"/>
      <c r="N313" s="13" t="n"/>
      <c r="O313" s="13" t="n"/>
      <c r="P313" s="14">
        <f>IF(A313="","",COUNT(H313:O313)/8)</f>
        <v/>
      </c>
      <c r="Q313" s="15">
        <f>IF(COUNT(H313:O313)=0,"",IF(LEN(IF(COUNT(H313,I313,J313)=3,IF(ABS(H313+I313-J313)&lt;=MAX(1,0.02*ABS(J313)),"","RBE &lt;&gt; PNB + frais "),"")&amp;IF(COUNT(J313,K313,L313)=3,IF(ABS(J313+K313-L313)&lt;=MAX(1,0.03*ABS(L313)),"","RAI &lt;&gt; RBE + coût du risque "),"")&amp;IF(COUNT(H313,M313)=2,IF(ABS(M313)&gt;ABS(H313),"RN &gt; PNB ",""),""))=0,"OK",IF(COUNT(H313,I313,J313)=3,IF(ABS(H313+I313-J313)&lt;=MAX(1,0.02*ABS(J313)),"","RBE &lt;&gt; PNB + frais "),"")&amp;IF(COUNT(J313,K313,L313)=3,IF(ABS(J313+K313-L313)&lt;=MAX(1,0.03*ABS(L313)),"","RAI &lt;&gt; RBE + coût du risque "),"")&amp;IF(COUNT(H313,M313)=2,IF(ABS(M313)&gt;ABS(H313),"RN &gt; PNB ",""),"")))</f>
        <v/>
      </c>
      <c r="R313" s="16">
        <f>IF(OR($A313="",H313="",$C313=""),"",IF(COUNTIFS($A$5:$A$315,$A313,$C$5:$C$315,$C313-1,$D$5:$D$315,$D313,H$5:H$315,"&lt;&gt;")=0,"",IF(OR(SUMIFS(H$5:H$315,$A$5:$A$315,$A313,$C$5:$C$315,$C313-1,$D$5:$D$315,$D313)=0,H313*SUMIFS(H$5:H$315,$A$5:$A$315,$A313,$C$5:$C$315,$C313-1,$D$5:$D$315,$D313)&lt;0),"n.s.",ABS(H313)/ABS(SUMIFS(H$5:H$315,$A$5:$A$315,$A313,$C$5:$C$315,$C313-1,$D$5:$D$315,$D313))-1)))</f>
        <v/>
      </c>
      <c r="S313" s="16">
        <f>IF(OR($A313="",I313="",$C313=""),"",IF(COUNTIFS($A$5:$A$315,$A313,$C$5:$C$315,$C313-1,$D$5:$D$315,$D313,I$5:I$315,"&lt;&gt;")=0,"",IF(OR(SUMIFS(I$5:I$315,$A$5:$A$315,$A313,$C$5:$C$315,$C313-1,$D$5:$D$315,$D313)=0,I313*SUMIFS(I$5:I$315,$A$5:$A$315,$A313,$C$5:$C$315,$C313-1,$D$5:$D$315,$D313)&lt;0),"n.s.",ABS(I313)/ABS(SUMIFS(I$5:I$315,$A$5:$A$315,$A313,$C$5:$C$315,$C313-1,$D$5:$D$315,$D313))-1)))</f>
        <v/>
      </c>
      <c r="T313" s="16">
        <f>IF(OR($A313="",J313="",$C313=""),"",IF(COUNTIFS($A$5:$A$315,$A313,$C$5:$C$315,$C313-1,$D$5:$D$315,$D313,J$5:J$315,"&lt;&gt;")=0,"",IF(OR(SUMIFS(J$5:J$315,$A$5:$A$315,$A313,$C$5:$C$315,$C313-1,$D$5:$D$315,$D313)=0,J313*SUMIFS(J$5:J$315,$A$5:$A$315,$A313,$C$5:$C$315,$C313-1,$D$5:$D$315,$D313)&lt;0),"n.s.",ABS(J313)/ABS(SUMIFS(J$5:J$315,$A$5:$A$315,$A313,$C$5:$C$315,$C313-1,$D$5:$D$315,$D313))-1)))</f>
        <v/>
      </c>
      <c r="U313" s="16">
        <f>IF(OR($A313="",K313="",$C313=""),"",IF(COUNTIFS($A$5:$A$315,$A313,$C$5:$C$315,$C313-1,$D$5:$D$315,$D313,K$5:K$315,"&lt;&gt;")=0,"",IF(OR(SUMIFS(K$5:K$315,$A$5:$A$315,$A313,$C$5:$C$315,$C313-1,$D$5:$D$315,$D313)=0,K313*SUMIFS(K$5:K$315,$A$5:$A$315,$A313,$C$5:$C$315,$C313-1,$D$5:$D$315,$D313)&lt;0),"n.s.",ABS(K313)/ABS(SUMIFS(K$5:K$315,$A$5:$A$315,$A313,$C$5:$C$315,$C313-1,$D$5:$D$315,$D313))-1)))</f>
        <v/>
      </c>
      <c r="V313" s="16">
        <f>IF(OR($A313="",L313="",$C313=""),"",IF(COUNTIFS($A$5:$A$315,$A313,$C$5:$C$315,$C313-1,$D$5:$D$315,$D313,L$5:L$315,"&lt;&gt;")=0,"",IF(OR(SUMIFS(L$5:L$315,$A$5:$A$315,$A313,$C$5:$C$315,$C313-1,$D$5:$D$315,$D313)=0,L313*SUMIFS(L$5:L$315,$A$5:$A$315,$A313,$C$5:$C$315,$C313-1,$D$5:$D$315,$D313)&lt;0),"n.s.",ABS(L313)/ABS(SUMIFS(L$5:L$315,$A$5:$A$315,$A313,$C$5:$C$315,$C313-1,$D$5:$D$315,$D313))-1)))</f>
        <v/>
      </c>
      <c r="W313" s="16">
        <f>IF(OR($A313="",M313="",$C313=""),"",IF(COUNTIFS($A$5:$A$315,$A313,$C$5:$C$315,$C313-1,$D$5:$D$315,$D313,M$5:M$315,"&lt;&gt;")=0,"",IF(OR(SUMIFS(M$5:M$315,$A$5:$A$315,$A313,$C$5:$C$315,$C313-1,$D$5:$D$315,$D313)=0,M313*SUMIFS(M$5:M$315,$A$5:$A$315,$A313,$C$5:$C$315,$C313-1,$D$5:$D$315,$D313)&lt;0),"n.s.",ABS(M313)/ABS(SUMIFS(M$5:M$315,$A$5:$A$315,$A313,$C$5:$C$315,$C313-1,$D$5:$D$315,$D313))-1)))</f>
        <v/>
      </c>
      <c r="X313" s="16">
        <f>IF(OR($A313="",N313="",$C313=""),"",IF(COUNTIFS($A$5:$A$315,$A313,$C$5:$C$315,$C313-1,$D$5:$D$315,$D313,N$5:N$315,"&lt;&gt;")=0,"",IF(OR(SUMIFS(N$5:N$315,$A$5:$A$315,$A313,$C$5:$C$315,$C313-1,$D$5:$D$315,$D313)=0,N313*SUMIFS(N$5:N$315,$A$5:$A$315,$A313,$C$5:$C$315,$C313-1,$D$5:$D$315,$D313)&lt;0),"n.s.",ABS(N313)/ABS(SUMIFS(N$5:N$315,$A$5:$A$315,$A313,$C$5:$C$315,$C313-1,$D$5:$D$315,$D313))-1)))</f>
        <v/>
      </c>
      <c r="Y313" s="16">
        <f>IF(OR($A313="",O313="",$C313=""),"",IF(COUNTIFS($A$5:$A$315,$A313,$C$5:$C$315,$C313-1,$D$5:$D$315,$D313,O$5:O$315,"&lt;&gt;")=0,"",IF(OR(SUMIFS(O$5:O$315,$A$5:$A$315,$A313,$C$5:$C$315,$C313-1,$D$5:$D$315,$D313)=0,O313*SUMIFS(O$5:O$315,$A$5:$A$315,$A313,$C$5:$C$315,$C313-1,$D$5:$D$315,$D313)&lt;0),"n.s.",ABS(O313)/ABS(SUMIFS(O$5:O$315,$A$5:$A$315,$A313,$C$5:$C$315,$C313-1,$D$5:$D$315,$D313))-1)))</f>
        <v/>
      </c>
    </row>
    <row r="314">
      <c r="A314" s="9" t="n"/>
      <c r="B314" s="10">
        <f>IF(A314="","",IFERROR(VLOOKUP(A314,Titres!$A$2:$B$400,2,FALSE),"Ticker inconnu"))</f>
        <v/>
      </c>
      <c r="C314" s="11" t="n"/>
      <c r="D314" s="11" t="n"/>
      <c r="E314" s="9" t="n"/>
      <c r="F314" s="12" t="n"/>
      <c r="G314" s="9" t="n"/>
      <c r="H314" s="13" t="n"/>
      <c r="I314" s="13" t="n"/>
      <c r="J314" s="13" t="n"/>
      <c r="K314" s="13" t="n"/>
      <c r="L314" s="13" t="n"/>
      <c r="M314" s="13" t="n"/>
      <c r="N314" s="13" t="n"/>
      <c r="O314" s="13" t="n"/>
      <c r="P314" s="14">
        <f>IF(A314="","",COUNT(H314:O314)/8)</f>
        <v/>
      </c>
      <c r="Q314" s="15">
        <f>IF(COUNT(H314:O314)=0,"",IF(LEN(IF(COUNT(H314,I314,J314)=3,IF(ABS(H314+I314-J314)&lt;=MAX(1,0.02*ABS(J314)),"","RBE &lt;&gt; PNB + frais "),"")&amp;IF(COUNT(J314,K314,L314)=3,IF(ABS(J314+K314-L314)&lt;=MAX(1,0.03*ABS(L314)),"","RAI &lt;&gt; RBE + coût du risque "),"")&amp;IF(COUNT(H314,M314)=2,IF(ABS(M314)&gt;ABS(H314),"RN &gt; PNB ",""),""))=0,"OK",IF(COUNT(H314,I314,J314)=3,IF(ABS(H314+I314-J314)&lt;=MAX(1,0.02*ABS(J314)),"","RBE &lt;&gt; PNB + frais "),"")&amp;IF(COUNT(J314,K314,L314)=3,IF(ABS(J314+K314-L314)&lt;=MAX(1,0.03*ABS(L314)),"","RAI &lt;&gt; RBE + coût du risque "),"")&amp;IF(COUNT(H314,M314)=2,IF(ABS(M314)&gt;ABS(H314),"RN &gt; PNB ",""),"")))</f>
        <v/>
      </c>
      <c r="R314" s="16">
        <f>IF(OR($A314="",H314="",$C314=""),"",IF(COUNTIFS($A$5:$A$315,$A314,$C$5:$C$315,$C314-1,$D$5:$D$315,$D314,H$5:H$315,"&lt;&gt;")=0,"",IF(OR(SUMIFS(H$5:H$315,$A$5:$A$315,$A314,$C$5:$C$315,$C314-1,$D$5:$D$315,$D314)=0,H314*SUMIFS(H$5:H$315,$A$5:$A$315,$A314,$C$5:$C$315,$C314-1,$D$5:$D$315,$D314)&lt;0),"n.s.",ABS(H314)/ABS(SUMIFS(H$5:H$315,$A$5:$A$315,$A314,$C$5:$C$315,$C314-1,$D$5:$D$315,$D314))-1)))</f>
        <v/>
      </c>
      <c r="S314" s="16">
        <f>IF(OR($A314="",I314="",$C314=""),"",IF(COUNTIFS($A$5:$A$315,$A314,$C$5:$C$315,$C314-1,$D$5:$D$315,$D314,I$5:I$315,"&lt;&gt;")=0,"",IF(OR(SUMIFS(I$5:I$315,$A$5:$A$315,$A314,$C$5:$C$315,$C314-1,$D$5:$D$315,$D314)=0,I314*SUMIFS(I$5:I$315,$A$5:$A$315,$A314,$C$5:$C$315,$C314-1,$D$5:$D$315,$D314)&lt;0),"n.s.",ABS(I314)/ABS(SUMIFS(I$5:I$315,$A$5:$A$315,$A314,$C$5:$C$315,$C314-1,$D$5:$D$315,$D314))-1)))</f>
        <v/>
      </c>
      <c r="T314" s="16">
        <f>IF(OR($A314="",J314="",$C314=""),"",IF(COUNTIFS($A$5:$A$315,$A314,$C$5:$C$315,$C314-1,$D$5:$D$315,$D314,J$5:J$315,"&lt;&gt;")=0,"",IF(OR(SUMIFS(J$5:J$315,$A$5:$A$315,$A314,$C$5:$C$315,$C314-1,$D$5:$D$315,$D314)=0,J314*SUMIFS(J$5:J$315,$A$5:$A$315,$A314,$C$5:$C$315,$C314-1,$D$5:$D$315,$D314)&lt;0),"n.s.",ABS(J314)/ABS(SUMIFS(J$5:J$315,$A$5:$A$315,$A314,$C$5:$C$315,$C314-1,$D$5:$D$315,$D314))-1)))</f>
        <v/>
      </c>
      <c r="U314" s="16">
        <f>IF(OR($A314="",K314="",$C314=""),"",IF(COUNTIFS($A$5:$A$315,$A314,$C$5:$C$315,$C314-1,$D$5:$D$315,$D314,K$5:K$315,"&lt;&gt;")=0,"",IF(OR(SUMIFS(K$5:K$315,$A$5:$A$315,$A314,$C$5:$C$315,$C314-1,$D$5:$D$315,$D314)=0,K314*SUMIFS(K$5:K$315,$A$5:$A$315,$A314,$C$5:$C$315,$C314-1,$D$5:$D$315,$D314)&lt;0),"n.s.",ABS(K314)/ABS(SUMIFS(K$5:K$315,$A$5:$A$315,$A314,$C$5:$C$315,$C314-1,$D$5:$D$315,$D314))-1)))</f>
        <v/>
      </c>
      <c r="V314" s="16">
        <f>IF(OR($A314="",L314="",$C314=""),"",IF(COUNTIFS($A$5:$A$315,$A314,$C$5:$C$315,$C314-1,$D$5:$D$315,$D314,L$5:L$315,"&lt;&gt;")=0,"",IF(OR(SUMIFS(L$5:L$315,$A$5:$A$315,$A314,$C$5:$C$315,$C314-1,$D$5:$D$315,$D314)=0,L314*SUMIFS(L$5:L$315,$A$5:$A$315,$A314,$C$5:$C$315,$C314-1,$D$5:$D$315,$D314)&lt;0),"n.s.",ABS(L314)/ABS(SUMIFS(L$5:L$315,$A$5:$A$315,$A314,$C$5:$C$315,$C314-1,$D$5:$D$315,$D314))-1)))</f>
        <v/>
      </c>
      <c r="W314" s="16">
        <f>IF(OR($A314="",M314="",$C314=""),"",IF(COUNTIFS($A$5:$A$315,$A314,$C$5:$C$315,$C314-1,$D$5:$D$315,$D314,M$5:M$315,"&lt;&gt;")=0,"",IF(OR(SUMIFS(M$5:M$315,$A$5:$A$315,$A314,$C$5:$C$315,$C314-1,$D$5:$D$315,$D314)=0,M314*SUMIFS(M$5:M$315,$A$5:$A$315,$A314,$C$5:$C$315,$C314-1,$D$5:$D$315,$D314)&lt;0),"n.s.",ABS(M314)/ABS(SUMIFS(M$5:M$315,$A$5:$A$315,$A314,$C$5:$C$315,$C314-1,$D$5:$D$315,$D314))-1)))</f>
        <v/>
      </c>
      <c r="X314" s="16">
        <f>IF(OR($A314="",N314="",$C314=""),"",IF(COUNTIFS($A$5:$A$315,$A314,$C$5:$C$315,$C314-1,$D$5:$D$315,$D314,N$5:N$315,"&lt;&gt;")=0,"",IF(OR(SUMIFS(N$5:N$315,$A$5:$A$315,$A314,$C$5:$C$315,$C314-1,$D$5:$D$315,$D314)=0,N314*SUMIFS(N$5:N$315,$A$5:$A$315,$A314,$C$5:$C$315,$C314-1,$D$5:$D$315,$D314)&lt;0),"n.s.",ABS(N314)/ABS(SUMIFS(N$5:N$315,$A$5:$A$315,$A314,$C$5:$C$315,$C314-1,$D$5:$D$315,$D314))-1)))</f>
        <v/>
      </c>
      <c r="Y314" s="16">
        <f>IF(OR($A314="",O314="",$C314=""),"",IF(COUNTIFS($A$5:$A$315,$A314,$C$5:$C$315,$C314-1,$D$5:$D$315,$D314,O$5:O$315,"&lt;&gt;")=0,"",IF(OR(SUMIFS(O$5:O$315,$A$5:$A$315,$A314,$C$5:$C$315,$C314-1,$D$5:$D$315,$D314)=0,O314*SUMIFS(O$5:O$315,$A$5:$A$315,$A314,$C$5:$C$315,$C314-1,$D$5:$D$315,$D314)&lt;0),"n.s.",ABS(O314)/ABS(SUMIFS(O$5:O$315,$A$5:$A$315,$A314,$C$5:$C$315,$C314-1,$D$5:$D$315,$D314))-1)))</f>
        <v/>
      </c>
    </row>
    <row r="315">
      <c r="A315" s="9" t="n"/>
      <c r="B315" s="10">
        <f>IF(A315="","",IFERROR(VLOOKUP(A315,Titres!$A$2:$B$400,2,FALSE),"Ticker inconnu"))</f>
        <v/>
      </c>
      <c r="C315" s="11" t="n"/>
      <c r="D315" s="11" t="n"/>
      <c r="E315" s="9" t="n"/>
      <c r="F315" s="12" t="n"/>
      <c r="G315" s="9" t="n"/>
      <c r="H315" s="13" t="n"/>
      <c r="I315" s="13" t="n"/>
      <c r="J315" s="13" t="n"/>
      <c r="K315" s="13" t="n"/>
      <c r="L315" s="13" t="n"/>
      <c r="M315" s="13" t="n"/>
      <c r="N315" s="13" t="n"/>
      <c r="O315" s="13" t="n"/>
      <c r="P315" s="14">
        <f>IF(A315="","",COUNT(H315:O315)/8)</f>
        <v/>
      </c>
      <c r="Q315" s="15">
        <f>IF(COUNT(H315:O315)=0,"",IF(LEN(IF(COUNT(H315,I315,J315)=3,IF(ABS(H315+I315-J315)&lt;=MAX(1,0.02*ABS(J315)),"","RBE &lt;&gt; PNB + frais "),"")&amp;IF(COUNT(J315,K315,L315)=3,IF(ABS(J315+K315-L315)&lt;=MAX(1,0.03*ABS(L315)),"","RAI &lt;&gt; RBE + coût du risque "),"")&amp;IF(COUNT(H315,M315)=2,IF(ABS(M315)&gt;ABS(H315),"RN &gt; PNB ",""),""))=0,"OK",IF(COUNT(H315,I315,J315)=3,IF(ABS(H315+I315-J315)&lt;=MAX(1,0.02*ABS(J315)),"","RBE &lt;&gt; PNB + frais "),"")&amp;IF(COUNT(J315,K315,L315)=3,IF(ABS(J315+K315-L315)&lt;=MAX(1,0.03*ABS(L315)),"","RAI &lt;&gt; RBE + coût du risque "),"")&amp;IF(COUNT(H315,M315)=2,IF(ABS(M315)&gt;ABS(H315),"RN &gt; PNB ",""),"")))</f>
        <v/>
      </c>
      <c r="R315" s="16">
        <f>IF(OR($A315="",H315="",$C315=""),"",IF(COUNTIFS($A$5:$A$315,$A315,$C$5:$C$315,$C315-1,$D$5:$D$315,$D315,H$5:H$315,"&lt;&gt;")=0,"",IF(OR(SUMIFS(H$5:H$315,$A$5:$A$315,$A315,$C$5:$C$315,$C315-1,$D$5:$D$315,$D315)=0,H315*SUMIFS(H$5:H$315,$A$5:$A$315,$A315,$C$5:$C$315,$C315-1,$D$5:$D$315,$D315)&lt;0),"n.s.",ABS(H315)/ABS(SUMIFS(H$5:H$315,$A$5:$A$315,$A315,$C$5:$C$315,$C315-1,$D$5:$D$315,$D315))-1)))</f>
        <v/>
      </c>
      <c r="S315" s="16">
        <f>IF(OR($A315="",I315="",$C315=""),"",IF(COUNTIFS($A$5:$A$315,$A315,$C$5:$C$315,$C315-1,$D$5:$D$315,$D315,I$5:I$315,"&lt;&gt;")=0,"",IF(OR(SUMIFS(I$5:I$315,$A$5:$A$315,$A315,$C$5:$C$315,$C315-1,$D$5:$D$315,$D315)=0,I315*SUMIFS(I$5:I$315,$A$5:$A$315,$A315,$C$5:$C$315,$C315-1,$D$5:$D$315,$D315)&lt;0),"n.s.",ABS(I315)/ABS(SUMIFS(I$5:I$315,$A$5:$A$315,$A315,$C$5:$C$315,$C315-1,$D$5:$D$315,$D315))-1)))</f>
        <v/>
      </c>
      <c r="T315" s="16">
        <f>IF(OR($A315="",J315="",$C315=""),"",IF(COUNTIFS($A$5:$A$315,$A315,$C$5:$C$315,$C315-1,$D$5:$D$315,$D315,J$5:J$315,"&lt;&gt;")=0,"",IF(OR(SUMIFS(J$5:J$315,$A$5:$A$315,$A315,$C$5:$C$315,$C315-1,$D$5:$D$315,$D315)=0,J315*SUMIFS(J$5:J$315,$A$5:$A$315,$A315,$C$5:$C$315,$C315-1,$D$5:$D$315,$D315)&lt;0),"n.s.",ABS(J315)/ABS(SUMIFS(J$5:J$315,$A$5:$A$315,$A315,$C$5:$C$315,$C315-1,$D$5:$D$315,$D315))-1)))</f>
        <v/>
      </c>
      <c r="U315" s="16">
        <f>IF(OR($A315="",K315="",$C315=""),"",IF(COUNTIFS($A$5:$A$315,$A315,$C$5:$C$315,$C315-1,$D$5:$D$315,$D315,K$5:K$315,"&lt;&gt;")=0,"",IF(OR(SUMIFS(K$5:K$315,$A$5:$A$315,$A315,$C$5:$C$315,$C315-1,$D$5:$D$315,$D315)=0,K315*SUMIFS(K$5:K$315,$A$5:$A$315,$A315,$C$5:$C$315,$C315-1,$D$5:$D$315,$D315)&lt;0),"n.s.",ABS(K315)/ABS(SUMIFS(K$5:K$315,$A$5:$A$315,$A315,$C$5:$C$315,$C315-1,$D$5:$D$315,$D315))-1)))</f>
        <v/>
      </c>
      <c r="V315" s="16">
        <f>IF(OR($A315="",L315="",$C315=""),"",IF(COUNTIFS($A$5:$A$315,$A315,$C$5:$C$315,$C315-1,$D$5:$D$315,$D315,L$5:L$315,"&lt;&gt;")=0,"",IF(OR(SUMIFS(L$5:L$315,$A$5:$A$315,$A315,$C$5:$C$315,$C315-1,$D$5:$D$315,$D315)=0,L315*SUMIFS(L$5:L$315,$A$5:$A$315,$A315,$C$5:$C$315,$C315-1,$D$5:$D$315,$D315)&lt;0),"n.s.",ABS(L315)/ABS(SUMIFS(L$5:L$315,$A$5:$A$315,$A315,$C$5:$C$315,$C315-1,$D$5:$D$315,$D315))-1)))</f>
        <v/>
      </c>
      <c r="W315" s="16">
        <f>IF(OR($A315="",M315="",$C315=""),"",IF(COUNTIFS($A$5:$A$315,$A315,$C$5:$C$315,$C315-1,$D$5:$D$315,$D315,M$5:M$315,"&lt;&gt;")=0,"",IF(OR(SUMIFS(M$5:M$315,$A$5:$A$315,$A315,$C$5:$C$315,$C315-1,$D$5:$D$315,$D315)=0,M315*SUMIFS(M$5:M$315,$A$5:$A$315,$A315,$C$5:$C$315,$C315-1,$D$5:$D$315,$D315)&lt;0),"n.s.",ABS(M315)/ABS(SUMIFS(M$5:M$315,$A$5:$A$315,$A315,$C$5:$C$315,$C315-1,$D$5:$D$315,$D315))-1)))</f>
        <v/>
      </c>
      <c r="X315" s="16">
        <f>IF(OR($A315="",N315="",$C315=""),"",IF(COUNTIFS($A$5:$A$315,$A315,$C$5:$C$315,$C315-1,$D$5:$D$315,$D315,N$5:N$315,"&lt;&gt;")=0,"",IF(OR(SUMIFS(N$5:N$315,$A$5:$A$315,$A315,$C$5:$C$315,$C315-1,$D$5:$D$315,$D315)=0,N315*SUMIFS(N$5:N$315,$A$5:$A$315,$A315,$C$5:$C$315,$C315-1,$D$5:$D$315,$D315)&lt;0),"n.s.",ABS(N315)/ABS(SUMIFS(N$5:N$315,$A$5:$A$315,$A315,$C$5:$C$315,$C315-1,$D$5:$D$315,$D315))-1)))</f>
        <v/>
      </c>
      <c r="Y315" s="16">
        <f>IF(OR($A315="",O315="",$C315=""),"",IF(COUNTIFS($A$5:$A$315,$A315,$C$5:$C$315,$C315-1,$D$5:$D$315,$D315,O$5:O$315,"&lt;&gt;")=0,"",IF(OR(SUMIFS(O$5:O$315,$A$5:$A$315,$A315,$C$5:$C$315,$C315-1,$D$5:$D$315,$D315)=0,O315*SUMIFS(O$5:O$315,$A$5:$A$315,$A315,$C$5:$C$315,$C315-1,$D$5:$D$315,$D315)&lt;0),"n.s.",ABS(O315)/ABS(SUMIFS(O$5:O$315,$A$5:$A$315,$A315,$C$5:$C$315,$C315-1,$D$5:$D$315,$D315))-1)))</f>
        <v/>
      </c>
    </row>
  </sheetData>
  <autoFilter ref="A4:Y315"/>
  <mergeCells count="1">
    <mergeCell ref="A2:L2"/>
  </mergeCells>
  <conditionalFormatting sqref="R5:R315">
    <cfRule type="expression" priority="1" dxfId="0">
      <formula>AND(ISNUMBER(R5),R5&lt;0)</formula>
    </cfRule>
    <cfRule type="expression" priority="2" dxfId="1">
      <formula>AND(ISNUMBER(R5),R5&gt;0)</formula>
    </cfRule>
  </conditionalFormatting>
  <conditionalFormatting sqref="S5:S315">
    <cfRule type="expression" priority="3" dxfId="0">
      <formula>AND(ISNUMBER(S5),S5&lt;0)</formula>
    </cfRule>
    <cfRule type="expression" priority="4" dxfId="1">
      <formula>AND(ISNUMBER(S5),S5&gt;0)</formula>
    </cfRule>
  </conditionalFormatting>
  <conditionalFormatting sqref="T5:T315">
    <cfRule type="expression" priority="5" dxfId="0">
      <formula>AND(ISNUMBER(T5),T5&lt;0)</formula>
    </cfRule>
    <cfRule type="expression" priority="6" dxfId="1">
      <formula>AND(ISNUMBER(T5),T5&gt;0)</formula>
    </cfRule>
  </conditionalFormatting>
  <conditionalFormatting sqref="U5:U315">
    <cfRule type="expression" priority="7" dxfId="0">
      <formula>AND(ISNUMBER(U5),U5&lt;0)</formula>
    </cfRule>
    <cfRule type="expression" priority="8" dxfId="1">
      <formula>AND(ISNUMBER(U5),U5&gt;0)</formula>
    </cfRule>
  </conditionalFormatting>
  <conditionalFormatting sqref="V5:V315">
    <cfRule type="expression" priority="9" dxfId="0">
      <formula>AND(ISNUMBER(V5),V5&lt;0)</formula>
    </cfRule>
    <cfRule type="expression" priority="10" dxfId="1">
      <formula>AND(ISNUMBER(V5),V5&gt;0)</formula>
    </cfRule>
  </conditionalFormatting>
  <conditionalFormatting sqref="W5:W315">
    <cfRule type="expression" priority="11" dxfId="0">
      <formula>AND(ISNUMBER(W5),W5&lt;0)</formula>
    </cfRule>
    <cfRule type="expression" priority="12" dxfId="1">
      <formula>AND(ISNUMBER(W5),W5&gt;0)</formula>
    </cfRule>
  </conditionalFormatting>
  <conditionalFormatting sqref="X5:X315">
    <cfRule type="expression" priority="13" dxfId="0">
      <formula>AND(ISNUMBER(X5),X5&lt;0)</formula>
    </cfRule>
    <cfRule type="expression" priority="14" dxfId="1">
      <formula>AND(ISNUMBER(X5),X5&gt;0)</formula>
    </cfRule>
  </conditionalFormatting>
  <conditionalFormatting sqref="Y5:Y315">
    <cfRule type="expression" priority="15" dxfId="0">
      <formula>AND(ISNUMBER(Y5),Y5&lt;0)</formula>
    </cfRule>
    <cfRule type="expression" priority="16" dxfId="1">
      <formula>AND(ISNUMBER(Y5),Y5&gt;0)</formula>
    </cfRule>
  </conditionalFormatting>
  <conditionalFormatting sqref="Q5:Q315">
    <cfRule type="expression" priority="17" dxfId="2">
      <formula>AND(Q5&lt;&gt;"",Q5&lt;&gt;"OK")</formula>
    </cfRule>
    <cfRule type="expression" priority="18" dxfId="3">
      <formula>Q5="OK"</formula>
    </cfRule>
  </conditionalFormatting>
  <conditionalFormatting sqref="P5:P315">
    <cfRule type="colorScale" priority="19">
      <colorScale>
        <cfvo type="num" val="0"/>
        <cfvo type="num" val="1"/>
        <color rgb="00FFFFFF"/>
        <color rgb="009CCBE3"/>
      </colorScale>
    </cfRule>
  </conditionalFormatting>
  <dataValidations count="5">
    <dataValidation sqref="A5:A315" showDropDown="0" showInputMessage="0" showErrorMessage="1" allowBlank="1" errorTitle="Ticker" error="Choisissez un ticker de la feuille « Titres »." type="list">
      <formula1>=Titres!$A$2:$A$400</formula1>
    </dataValidation>
    <dataValidation sqref="C5:C315" showDropDown="0" showInputMessage="0" showErrorMessage="1" allowBlank="1" errorTitle="Exercice" error="Saisissez une année (ex. 2026)." type="whole" operator="between">
      <formula1>1990</formula1>
      <formula2>2100</formula2>
    </dataValidation>
    <dataValidation sqref="D5:D315" showDropDown="0" showInputMessage="0" showErrorMessage="1" allowBlank="1" errorTitle="Période" error="T1, S1 ou T3." type="list">
      <formula1>"T1,S1,T3"</formula1>
    </dataValidation>
    <dataValidation sqref="E5:E315" showDropDown="0" showInputMessage="0" showErrorMessage="0" allowBlank="1" type="list">
      <formula1>"Publié,Provisoire,À vérifier"</formula1>
    </dataValidation>
    <dataValidation sqref="H5:O315" showDropDown="0" showInputMessage="0" showErrorMessage="1" allowBlank="1" errorTitle="Montant" error="Saisissez un nombre (millions de FCFA)." type="decimal" operator="between">
      <formula1>-1E+12</formula1>
      <formula2>1E+12</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28"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s>
  <sheetData>
    <row r="1">
      <c r="A1" s="6" t="inlineStr">
        <is>
          <t>Suivi des publications intermédiaires</t>
        </is>
      </c>
    </row>
    <row r="2">
      <c r="A2" s="7" t="inlineStr">
        <is>
          <t>Part des indicateurs renseignés par titre et par période (calculée à partir des feuilles Entreprises et Banques). Un tiret signifie qu'aucune publication n'est saisie.</t>
        </is>
      </c>
      <c r="D2" s="17" t="inlineStr">
        <is>
          <t>T1</t>
        </is>
      </c>
      <c r="E2" s="17" t="inlineStr">
        <is>
          <t>S1</t>
        </is>
      </c>
      <c r="F2" s="17" t="inlineStr">
        <is>
          <t>T3</t>
        </is>
      </c>
      <c r="G2" s="17" t="inlineStr">
        <is>
          <t>T1</t>
        </is>
      </c>
      <c r="H2" s="17" t="inlineStr">
        <is>
          <t>S1</t>
        </is>
      </c>
      <c r="I2" s="17" t="inlineStr">
        <is>
          <t>T3</t>
        </is>
      </c>
      <c r="J2" s="17" t="inlineStr">
        <is>
          <t>T1</t>
        </is>
      </c>
      <c r="K2" s="17" t="inlineStr">
        <is>
          <t>S1</t>
        </is>
      </c>
      <c r="L2" s="17" t="inlineStr">
        <is>
          <t>T3</t>
        </is>
      </c>
      <c r="M2" s="17" t="inlineStr">
        <is>
          <t>T1</t>
        </is>
      </c>
      <c r="N2" s="17" t="inlineStr">
        <is>
          <t>S1</t>
        </is>
      </c>
      <c r="O2" s="17" t="inlineStr">
        <is>
          <t>T3</t>
        </is>
      </c>
      <c r="P2" s="17" t="inlineStr">
        <is>
          <t>T1</t>
        </is>
      </c>
      <c r="Q2" s="17" t="inlineStr">
        <is>
          <t>S1</t>
        </is>
      </c>
      <c r="R2" s="17" t="inlineStr">
        <is>
          <t>T3</t>
        </is>
      </c>
      <c r="S2" s="17" t="inlineStr">
        <is>
          <t>T1</t>
        </is>
      </c>
      <c r="T2" s="17" t="inlineStr">
        <is>
          <t>S1</t>
        </is>
      </c>
      <c r="U2" s="17" t="inlineStr">
        <is>
          <t>T3</t>
        </is>
      </c>
    </row>
    <row r="3">
      <c r="D3" s="17" t="n">
        <v>2021</v>
      </c>
      <c r="E3" s="17" t="n">
        <v>2021</v>
      </c>
      <c r="F3" s="17" t="n">
        <v>2021</v>
      </c>
      <c r="G3" s="17" t="n">
        <v>2022</v>
      </c>
      <c r="H3" s="17" t="n">
        <v>2022</v>
      </c>
      <c r="I3" s="17" t="n">
        <v>2022</v>
      </c>
      <c r="J3" s="17" t="n">
        <v>2023</v>
      </c>
      <c r="K3" s="17" t="n">
        <v>2023</v>
      </c>
      <c r="L3" s="17" t="n">
        <v>2023</v>
      </c>
      <c r="M3" s="17" t="n">
        <v>2024</v>
      </c>
      <c r="N3" s="17" t="n">
        <v>2024</v>
      </c>
      <c r="O3" s="17" t="n">
        <v>2024</v>
      </c>
      <c r="P3" s="17" t="n">
        <v>2025</v>
      </c>
      <c r="Q3" s="17" t="n">
        <v>2025</v>
      </c>
      <c r="R3" s="17" t="n">
        <v>2025</v>
      </c>
      <c r="S3" s="17" t="n">
        <v>2026</v>
      </c>
      <c r="T3" s="17" t="n">
        <v>2026</v>
      </c>
      <c r="U3" s="17" t="n">
        <v>2026</v>
      </c>
    </row>
    <row r="4">
      <c r="A4" s="8" t="inlineStr">
        <is>
          <t>Ticker</t>
        </is>
      </c>
      <c r="B4" s="8" t="inlineStr">
        <is>
          <t>Société</t>
        </is>
      </c>
      <c r="C4" s="8" t="inlineStr">
        <is>
          <t>Secteur</t>
        </is>
      </c>
      <c r="D4" s="8" t="inlineStr">
        <is>
          <t>T1 2021</t>
        </is>
      </c>
      <c r="E4" s="8" t="inlineStr">
        <is>
          <t>S1 2021</t>
        </is>
      </c>
      <c r="F4" s="8" t="inlineStr">
        <is>
          <t>T3 2021</t>
        </is>
      </c>
      <c r="G4" s="8" t="inlineStr">
        <is>
          <t>T1 2022</t>
        </is>
      </c>
      <c r="H4" s="8" t="inlineStr">
        <is>
          <t>S1 2022</t>
        </is>
      </c>
      <c r="I4" s="8" t="inlineStr">
        <is>
          <t>T3 2022</t>
        </is>
      </c>
      <c r="J4" s="8" t="inlineStr">
        <is>
          <t>T1 2023</t>
        </is>
      </c>
      <c r="K4" s="8" t="inlineStr">
        <is>
          <t>S1 2023</t>
        </is>
      </c>
      <c r="L4" s="8" t="inlineStr">
        <is>
          <t>T3 2023</t>
        </is>
      </c>
      <c r="M4" s="8" t="inlineStr">
        <is>
          <t>T1 2024</t>
        </is>
      </c>
      <c r="N4" s="8" t="inlineStr">
        <is>
          <t>S1 2024</t>
        </is>
      </c>
      <c r="O4" s="8" t="inlineStr">
        <is>
          <t>T3 2024</t>
        </is>
      </c>
      <c r="P4" s="8" t="inlineStr">
        <is>
          <t>T1 2025</t>
        </is>
      </c>
      <c r="Q4" s="8" t="inlineStr">
        <is>
          <t>S1 2025</t>
        </is>
      </c>
      <c r="R4" s="8" t="inlineStr">
        <is>
          <t>T3 2025</t>
        </is>
      </c>
      <c r="S4" s="8" t="inlineStr">
        <is>
          <t>T1 2026</t>
        </is>
      </c>
      <c r="T4" s="8" t="inlineStr">
        <is>
          <t>S1 2026</t>
        </is>
      </c>
      <c r="U4" s="8" t="inlineStr">
        <is>
          <t>T3 2026</t>
        </is>
      </c>
    </row>
    <row r="5">
      <c r="A5" s="18" t="inlineStr">
        <is>
          <t>NTLC</t>
        </is>
      </c>
      <c r="B5" s="18">
        <f>IFERROR(VLOOKUP(A5,Titres!$A$2:$D$400,2,FALSE),"")</f>
        <v/>
      </c>
      <c r="C5" s="18">
        <f>IFERROR(VLOOKUP(A5,Titres!$A$2:$D$400,4,FALSE),"")</f>
        <v/>
      </c>
      <c r="D5" s="19">
        <f>SUMIFS(Entreprises!$N$5:$N$639,Entreprises!$A$5:$A$639,$A5,Entreprises!$C$5:$C$639,D$3,Entreprises!$D$5:$D$639,D$2)+SUMIFS(Banques!$P$5:$P$315,Banques!$A$5:$A$315,$A5,Banques!$C$5:$C$315,D$3,Banques!$D$5:$D$315,D$2)</f>
        <v/>
      </c>
      <c r="E5" s="19">
        <f>SUMIFS(Entreprises!$N$5:$N$639,Entreprises!$A$5:$A$639,$A5,Entreprises!$C$5:$C$639,E$3,Entreprises!$D$5:$D$639,E$2)+SUMIFS(Banques!$P$5:$P$315,Banques!$A$5:$A$315,$A5,Banques!$C$5:$C$315,E$3,Banques!$D$5:$D$315,E$2)</f>
        <v/>
      </c>
      <c r="F5" s="19">
        <f>SUMIFS(Entreprises!$N$5:$N$639,Entreprises!$A$5:$A$639,$A5,Entreprises!$C$5:$C$639,F$3,Entreprises!$D$5:$D$639,F$2)+SUMIFS(Banques!$P$5:$P$315,Banques!$A$5:$A$315,$A5,Banques!$C$5:$C$315,F$3,Banques!$D$5:$D$315,F$2)</f>
        <v/>
      </c>
      <c r="G5" s="19">
        <f>SUMIFS(Entreprises!$N$5:$N$639,Entreprises!$A$5:$A$639,$A5,Entreprises!$C$5:$C$639,G$3,Entreprises!$D$5:$D$639,G$2)+SUMIFS(Banques!$P$5:$P$315,Banques!$A$5:$A$315,$A5,Banques!$C$5:$C$315,G$3,Banques!$D$5:$D$315,G$2)</f>
        <v/>
      </c>
      <c r="H5" s="19">
        <f>SUMIFS(Entreprises!$N$5:$N$639,Entreprises!$A$5:$A$639,$A5,Entreprises!$C$5:$C$639,H$3,Entreprises!$D$5:$D$639,H$2)+SUMIFS(Banques!$P$5:$P$315,Banques!$A$5:$A$315,$A5,Banques!$C$5:$C$315,H$3,Banques!$D$5:$D$315,H$2)</f>
        <v/>
      </c>
      <c r="I5" s="19">
        <f>SUMIFS(Entreprises!$N$5:$N$639,Entreprises!$A$5:$A$639,$A5,Entreprises!$C$5:$C$639,I$3,Entreprises!$D$5:$D$639,I$2)+SUMIFS(Banques!$P$5:$P$315,Banques!$A$5:$A$315,$A5,Banques!$C$5:$C$315,I$3,Banques!$D$5:$D$315,I$2)</f>
        <v/>
      </c>
      <c r="J5" s="19">
        <f>SUMIFS(Entreprises!$N$5:$N$639,Entreprises!$A$5:$A$639,$A5,Entreprises!$C$5:$C$639,J$3,Entreprises!$D$5:$D$639,J$2)+SUMIFS(Banques!$P$5:$P$315,Banques!$A$5:$A$315,$A5,Banques!$C$5:$C$315,J$3,Banques!$D$5:$D$315,J$2)</f>
        <v/>
      </c>
      <c r="K5" s="19">
        <f>SUMIFS(Entreprises!$N$5:$N$639,Entreprises!$A$5:$A$639,$A5,Entreprises!$C$5:$C$639,K$3,Entreprises!$D$5:$D$639,K$2)+SUMIFS(Banques!$P$5:$P$315,Banques!$A$5:$A$315,$A5,Banques!$C$5:$C$315,K$3,Banques!$D$5:$D$315,K$2)</f>
        <v/>
      </c>
      <c r="L5" s="19">
        <f>SUMIFS(Entreprises!$N$5:$N$639,Entreprises!$A$5:$A$639,$A5,Entreprises!$C$5:$C$639,L$3,Entreprises!$D$5:$D$639,L$2)+SUMIFS(Banques!$P$5:$P$315,Banques!$A$5:$A$315,$A5,Banques!$C$5:$C$315,L$3,Banques!$D$5:$D$315,L$2)</f>
        <v/>
      </c>
      <c r="M5" s="19">
        <f>SUMIFS(Entreprises!$N$5:$N$639,Entreprises!$A$5:$A$639,$A5,Entreprises!$C$5:$C$639,M$3,Entreprises!$D$5:$D$639,M$2)+SUMIFS(Banques!$P$5:$P$315,Banques!$A$5:$A$315,$A5,Banques!$C$5:$C$315,M$3,Banques!$D$5:$D$315,M$2)</f>
        <v/>
      </c>
      <c r="N5" s="19">
        <f>SUMIFS(Entreprises!$N$5:$N$639,Entreprises!$A$5:$A$639,$A5,Entreprises!$C$5:$C$639,N$3,Entreprises!$D$5:$D$639,N$2)+SUMIFS(Banques!$P$5:$P$315,Banques!$A$5:$A$315,$A5,Banques!$C$5:$C$315,N$3,Banques!$D$5:$D$315,N$2)</f>
        <v/>
      </c>
      <c r="O5" s="19">
        <f>SUMIFS(Entreprises!$N$5:$N$639,Entreprises!$A$5:$A$639,$A5,Entreprises!$C$5:$C$639,O$3,Entreprises!$D$5:$D$639,O$2)+SUMIFS(Banques!$P$5:$P$315,Banques!$A$5:$A$315,$A5,Banques!$C$5:$C$315,O$3,Banques!$D$5:$D$315,O$2)</f>
        <v/>
      </c>
      <c r="P5" s="19">
        <f>SUMIFS(Entreprises!$N$5:$N$639,Entreprises!$A$5:$A$639,$A5,Entreprises!$C$5:$C$639,P$3,Entreprises!$D$5:$D$639,P$2)+SUMIFS(Banques!$P$5:$P$315,Banques!$A$5:$A$315,$A5,Banques!$C$5:$C$315,P$3,Banques!$D$5:$D$315,P$2)</f>
        <v/>
      </c>
      <c r="Q5" s="19">
        <f>SUMIFS(Entreprises!$N$5:$N$639,Entreprises!$A$5:$A$639,$A5,Entreprises!$C$5:$C$639,Q$3,Entreprises!$D$5:$D$639,Q$2)+SUMIFS(Banques!$P$5:$P$315,Banques!$A$5:$A$315,$A5,Banques!$C$5:$C$315,Q$3,Banques!$D$5:$D$315,Q$2)</f>
        <v/>
      </c>
      <c r="R5" s="19">
        <f>SUMIFS(Entreprises!$N$5:$N$639,Entreprises!$A$5:$A$639,$A5,Entreprises!$C$5:$C$639,R$3,Entreprises!$D$5:$D$639,R$2)+SUMIFS(Banques!$P$5:$P$315,Banques!$A$5:$A$315,$A5,Banques!$C$5:$C$315,R$3,Banques!$D$5:$D$315,R$2)</f>
        <v/>
      </c>
      <c r="S5" s="19">
        <f>SUMIFS(Entreprises!$N$5:$N$639,Entreprises!$A$5:$A$639,$A5,Entreprises!$C$5:$C$639,S$3,Entreprises!$D$5:$D$639,S$2)+SUMIFS(Banques!$P$5:$P$315,Banques!$A$5:$A$315,$A5,Banques!$C$5:$C$315,S$3,Banques!$D$5:$D$315,S$2)</f>
        <v/>
      </c>
      <c r="T5" s="19">
        <f>SUMIFS(Entreprises!$N$5:$N$639,Entreprises!$A$5:$A$639,$A5,Entreprises!$C$5:$C$639,T$3,Entreprises!$D$5:$D$639,T$2)+SUMIFS(Banques!$P$5:$P$315,Banques!$A$5:$A$315,$A5,Banques!$C$5:$C$315,T$3,Banques!$D$5:$D$315,T$2)</f>
        <v/>
      </c>
      <c r="U5" s="19">
        <f>SUMIFS(Entreprises!$N$5:$N$639,Entreprises!$A$5:$A$639,$A5,Entreprises!$C$5:$C$639,U$3,Entreprises!$D$5:$D$639,U$2)+SUMIFS(Banques!$P$5:$P$315,Banques!$A$5:$A$315,$A5,Banques!$C$5:$C$315,U$3,Banques!$D$5:$D$315,U$2)</f>
        <v/>
      </c>
    </row>
    <row r="6">
      <c r="A6" s="18" t="inlineStr">
        <is>
          <t>PALC</t>
        </is>
      </c>
      <c r="B6" s="18">
        <f>IFERROR(VLOOKUP(A6,Titres!$A$2:$D$400,2,FALSE),"")</f>
        <v/>
      </c>
      <c r="C6" s="18">
        <f>IFERROR(VLOOKUP(A6,Titres!$A$2:$D$400,4,FALSE),"")</f>
        <v/>
      </c>
      <c r="D6" s="19">
        <f>SUMIFS(Entreprises!$N$5:$N$639,Entreprises!$A$5:$A$639,$A6,Entreprises!$C$5:$C$639,D$3,Entreprises!$D$5:$D$639,D$2)+SUMIFS(Banques!$P$5:$P$315,Banques!$A$5:$A$315,$A6,Banques!$C$5:$C$315,D$3,Banques!$D$5:$D$315,D$2)</f>
        <v/>
      </c>
      <c r="E6" s="19">
        <f>SUMIFS(Entreprises!$N$5:$N$639,Entreprises!$A$5:$A$639,$A6,Entreprises!$C$5:$C$639,E$3,Entreprises!$D$5:$D$639,E$2)+SUMIFS(Banques!$P$5:$P$315,Banques!$A$5:$A$315,$A6,Banques!$C$5:$C$315,E$3,Banques!$D$5:$D$315,E$2)</f>
        <v/>
      </c>
      <c r="F6" s="19">
        <f>SUMIFS(Entreprises!$N$5:$N$639,Entreprises!$A$5:$A$639,$A6,Entreprises!$C$5:$C$639,F$3,Entreprises!$D$5:$D$639,F$2)+SUMIFS(Banques!$P$5:$P$315,Banques!$A$5:$A$315,$A6,Banques!$C$5:$C$315,F$3,Banques!$D$5:$D$315,F$2)</f>
        <v/>
      </c>
      <c r="G6" s="19">
        <f>SUMIFS(Entreprises!$N$5:$N$639,Entreprises!$A$5:$A$639,$A6,Entreprises!$C$5:$C$639,G$3,Entreprises!$D$5:$D$639,G$2)+SUMIFS(Banques!$P$5:$P$315,Banques!$A$5:$A$315,$A6,Banques!$C$5:$C$315,G$3,Banques!$D$5:$D$315,G$2)</f>
        <v/>
      </c>
      <c r="H6" s="19">
        <f>SUMIFS(Entreprises!$N$5:$N$639,Entreprises!$A$5:$A$639,$A6,Entreprises!$C$5:$C$639,H$3,Entreprises!$D$5:$D$639,H$2)+SUMIFS(Banques!$P$5:$P$315,Banques!$A$5:$A$315,$A6,Banques!$C$5:$C$315,H$3,Banques!$D$5:$D$315,H$2)</f>
        <v/>
      </c>
      <c r="I6" s="19">
        <f>SUMIFS(Entreprises!$N$5:$N$639,Entreprises!$A$5:$A$639,$A6,Entreprises!$C$5:$C$639,I$3,Entreprises!$D$5:$D$639,I$2)+SUMIFS(Banques!$P$5:$P$315,Banques!$A$5:$A$315,$A6,Banques!$C$5:$C$315,I$3,Banques!$D$5:$D$315,I$2)</f>
        <v/>
      </c>
      <c r="J6" s="19">
        <f>SUMIFS(Entreprises!$N$5:$N$639,Entreprises!$A$5:$A$639,$A6,Entreprises!$C$5:$C$639,J$3,Entreprises!$D$5:$D$639,J$2)+SUMIFS(Banques!$P$5:$P$315,Banques!$A$5:$A$315,$A6,Banques!$C$5:$C$315,J$3,Banques!$D$5:$D$315,J$2)</f>
        <v/>
      </c>
      <c r="K6" s="19">
        <f>SUMIFS(Entreprises!$N$5:$N$639,Entreprises!$A$5:$A$639,$A6,Entreprises!$C$5:$C$639,K$3,Entreprises!$D$5:$D$639,K$2)+SUMIFS(Banques!$P$5:$P$315,Banques!$A$5:$A$315,$A6,Banques!$C$5:$C$315,K$3,Banques!$D$5:$D$315,K$2)</f>
        <v/>
      </c>
      <c r="L6" s="19">
        <f>SUMIFS(Entreprises!$N$5:$N$639,Entreprises!$A$5:$A$639,$A6,Entreprises!$C$5:$C$639,L$3,Entreprises!$D$5:$D$639,L$2)+SUMIFS(Banques!$P$5:$P$315,Banques!$A$5:$A$315,$A6,Banques!$C$5:$C$315,L$3,Banques!$D$5:$D$315,L$2)</f>
        <v/>
      </c>
      <c r="M6" s="19">
        <f>SUMIFS(Entreprises!$N$5:$N$639,Entreprises!$A$5:$A$639,$A6,Entreprises!$C$5:$C$639,M$3,Entreprises!$D$5:$D$639,M$2)+SUMIFS(Banques!$P$5:$P$315,Banques!$A$5:$A$315,$A6,Banques!$C$5:$C$315,M$3,Banques!$D$5:$D$315,M$2)</f>
        <v/>
      </c>
      <c r="N6" s="19">
        <f>SUMIFS(Entreprises!$N$5:$N$639,Entreprises!$A$5:$A$639,$A6,Entreprises!$C$5:$C$639,N$3,Entreprises!$D$5:$D$639,N$2)+SUMIFS(Banques!$P$5:$P$315,Banques!$A$5:$A$315,$A6,Banques!$C$5:$C$315,N$3,Banques!$D$5:$D$315,N$2)</f>
        <v/>
      </c>
      <c r="O6" s="19">
        <f>SUMIFS(Entreprises!$N$5:$N$639,Entreprises!$A$5:$A$639,$A6,Entreprises!$C$5:$C$639,O$3,Entreprises!$D$5:$D$639,O$2)+SUMIFS(Banques!$P$5:$P$315,Banques!$A$5:$A$315,$A6,Banques!$C$5:$C$315,O$3,Banques!$D$5:$D$315,O$2)</f>
        <v/>
      </c>
      <c r="P6" s="19">
        <f>SUMIFS(Entreprises!$N$5:$N$639,Entreprises!$A$5:$A$639,$A6,Entreprises!$C$5:$C$639,P$3,Entreprises!$D$5:$D$639,P$2)+SUMIFS(Banques!$P$5:$P$315,Banques!$A$5:$A$315,$A6,Banques!$C$5:$C$315,P$3,Banques!$D$5:$D$315,P$2)</f>
        <v/>
      </c>
      <c r="Q6" s="19">
        <f>SUMIFS(Entreprises!$N$5:$N$639,Entreprises!$A$5:$A$639,$A6,Entreprises!$C$5:$C$639,Q$3,Entreprises!$D$5:$D$639,Q$2)+SUMIFS(Banques!$P$5:$P$315,Banques!$A$5:$A$315,$A6,Banques!$C$5:$C$315,Q$3,Banques!$D$5:$D$315,Q$2)</f>
        <v/>
      </c>
      <c r="R6" s="19">
        <f>SUMIFS(Entreprises!$N$5:$N$639,Entreprises!$A$5:$A$639,$A6,Entreprises!$C$5:$C$639,R$3,Entreprises!$D$5:$D$639,R$2)+SUMIFS(Banques!$P$5:$P$315,Banques!$A$5:$A$315,$A6,Banques!$C$5:$C$315,R$3,Banques!$D$5:$D$315,R$2)</f>
        <v/>
      </c>
      <c r="S6" s="19">
        <f>SUMIFS(Entreprises!$N$5:$N$639,Entreprises!$A$5:$A$639,$A6,Entreprises!$C$5:$C$639,S$3,Entreprises!$D$5:$D$639,S$2)+SUMIFS(Banques!$P$5:$P$315,Banques!$A$5:$A$315,$A6,Banques!$C$5:$C$315,S$3,Banques!$D$5:$D$315,S$2)</f>
        <v/>
      </c>
      <c r="T6" s="19">
        <f>SUMIFS(Entreprises!$N$5:$N$639,Entreprises!$A$5:$A$639,$A6,Entreprises!$C$5:$C$639,T$3,Entreprises!$D$5:$D$639,T$2)+SUMIFS(Banques!$P$5:$P$315,Banques!$A$5:$A$315,$A6,Banques!$C$5:$C$315,T$3,Banques!$D$5:$D$315,T$2)</f>
        <v/>
      </c>
      <c r="U6" s="19">
        <f>SUMIFS(Entreprises!$N$5:$N$639,Entreprises!$A$5:$A$639,$A6,Entreprises!$C$5:$C$639,U$3,Entreprises!$D$5:$D$639,U$2)+SUMIFS(Banques!$P$5:$P$315,Banques!$A$5:$A$315,$A6,Banques!$C$5:$C$315,U$3,Banques!$D$5:$D$315,U$2)</f>
        <v/>
      </c>
    </row>
    <row r="7">
      <c r="A7" s="18" t="inlineStr">
        <is>
          <t>SCRC</t>
        </is>
      </c>
      <c r="B7" s="18">
        <f>IFERROR(VLOOKUP(A7,Titres!$A$2:$D$400,2,FALSE),"")</f>
        <v/>
      </c>
      <c r="C7" s="18">
        <f>IFERROR(VLOOKUP(A7,Titres!$A$2:$D$400,4,FALSE),"")</f>
        <v/>
      </c>
      <c r="D7" s="19">
        <f>SUMIFS(Entreprises!$N$5:$N$639,Entreprises!$A$5:$A$639,$A7,Entreprises!$C$5:$C$639,D$3,Entreprises!$D$5:$D$639,D$2)+SUMIFS(Banques!$P$5:$P$315,Banques!$A$5:$A$315,$A7,Banques!$C$5:$C$315,D$3,Banques!$D$5:$D$315,D$2)</f>
        <v/>
      </c>
      <c r="E7" s="19">
        <f>SUMIFS(Entreprises!$N$5:$N$639,Entreprises!$A$5:$A$639,$A7,Entreprises!$C$5:$C$639,E$3,Entreprises!$D$5:$D$639,E$2)+SUMIFS(Banques!$P$5:$P$315,Banques!$A$5:$A$315,$A7,Banques!$C$5:$C$315,E$3,Banques!$D$5:$D$315,E$2)</f>
        <v/>
      </c>
      <c r="F7" s="19">
        <f>SUMIFS(Entreprises!$N$5:$N$639,Entreprises!$A$5:$A$639,$A7,Entreprises!$C$5:$C$639,F$3,Entreprises!$D$5:$D$639,F$2)+SUMIFS(Banques!$P$5:$P$315,Banques!$A$5:$A$315,$A7,Banques!$C$5:$C$315,F$3,Banques!$D$5:$D$315,F$2)</f>
        <v/>
      </c>
      <c r="G7" s="19">
        <f>SUMIFS(Entreprises!$N$5:$N$639,Entreprises!$A$5:$A$639,$A7,Entreprises!$C$5:$C$639,G$3,Entreprises!$D$5:$D$639,G$2)+SUMIFS(Banques!$P$5:$P$315,Banques!$A$5:$A$315,$A7,Banques!$C$5:$C$315,G$3,Banques!$D$5:$D$315,G$2)</f>
        <v/>
      </c>
      <c r="H7" s="19">
        <f>SUMIFS(Entreprises!$N$5:$N$639,Entreprises!$A$5:$A$639,$A7,Entreprises!$C$5:$C$639,H$3,Entreprises!$D$5:$D$639,H$2)+SUMIFS(Banques!$P$5:$P$315,Banques!$A$5:$A$315,$A7,Banques!$C$5:$C$315,H$3,Banques!$D$5:$D$315,H$2)</f>
        <v/>
      </c>
      <c r="I7" s="19">
        <f>SUMIFS(Entreprises!$N$5:$N$639,Entreprises!$A$5:$A$639,$A7,Entreprises!$C$5:$C$639,I$3,Entreprises!$D$5:$D$639,I$2)+SUMIFS(Banques!$P$5:$P$315,Banques!$A$5:$A$315,$A7,Banques!$C$5:$C$315,I$3,Banques!$D$5:$D$315,I$2)</f>
        <v/>
      </c>
      <c r="J7" s="19">
        <f>SUMIFS(Entreprises!$N$5:$N$639,Entreprises!$A$5:$A$639,$A7,Entreprises!$C$5:$C$639,J$3,Entreprises!$D$5:$D$639,J$2)+SUMIFS(Banques!$P$5:$P$315,Banques!$A$5:$A$315,$A7,Banques!$C$5:$C$315,J$3,Banques!$D$5:$D$315,J$2)</f>
        <v/>
      </c>
      <c r="K7" s="19">
        <f>SUMIFS(Entreprises!$N$5:$N$639,Entreprises!$A$5:$A$639,$A7,Entreprises!$C$5:$C$639,K$3,Entreprises!$D$5:$D$639,K$2)+SUMIFS(Banques!$P$5:$P$315,Banques!$A$5:$A$315,$A7,Banques!$C$5:$C$315,K$3,Banques!$D$5:$D$315,K$2)</f>
        <v/>
      </c>
      <c r="L7" s="19">
        <f>SUMIFS(Entreprises!$N$5:$N$639,Entreprises!$A$5:$A$639,$A7,Entreprises!$C$5:$C$639,L$3,Entreprises!$D$5:$D$639,L$2)+SUMIFS(Banques!$P$5:$P$315,Banques!$A$5:$A$315,$A7,Banques!$C$5:$C$315,L$3,Banques!$D$5:$D$315,L$2)</f>
        <v/>
      </c>
      <c r="M7" s="19">
        <f>SUMIFS(Entreprises!$N$5:$N$639,Entreprises!$A$5:$A$639,$A7,Entreprises!$C$5:$C$639,M$3,Entreprises!$D$5:$D$639,M$2)+SUMIFS(Banques!$P$5:$P$315,Banques!$A$5:$A$315,$A7,Banques!$C$5:$C$315,M$3,Banques!$D$5:$D$315,M$2)</f>
        <v/>
      </c>
      <c r="N7" s="19">
        <f>SUMIFS(Entreprises!$N$5:$N$639,Entreprises!$A$5:$A$639,$A7,Entreprises!$C$5:$C$639,N$3,Entreprises!$D$5:$D$639,N$2)+SUMIFS(Banques!$P$5:$P$315,Banques!$A$5:$A$315,$A7,Banques!$C$5:$C$315,N$3,Banques!$D$5:$D$315,N$2)</f>
        <v/>
      </c>
      <c r="O7" s="19">
        <f>SUMIFS(Entreprises!$N$5:$N$639,Entreprises!$A$5:$A$639,$A7,Entreprises!$C$5:$C$639,O$3,Entreprises!$D$5:$D$639,O$2)+SUMIFS(Banques!$P$5:$P$315,Banques!$A$5:$A$315,$A7,Banques!$C$5:$C$315,O$3,Banques!$D$5:$D$315,O$2)</f>
        <v/>
      </c>
      <c r="P7" s="19">
        <f>SUMIFS(Entreprises!$N$5:$N$639,Entreprises!$A$5:$A$639,$A7,Entreprises!$C$5:$C$639,P$3,Entreprises!$D$5:$D$639,P$2)+SUMIFS(Banques!$P$5:$P$315,Banques!$A$5:$A$315,$A7,Banques!$C$5:$C$315,P$3,Banques!$D$5:$D$315,P$2)</f>
        <v/>
      </c>
      <c r="Q7" s="19">
        <f>SUMIFS(Entreprises!$N$5:$N$639,Entreprises!$A$5:$A$639,$A7,Entreprises!$C$5:$C$639,Q$3,Entreprises!$D$5:$D$639,Q$2)+SUMIFS(Banques!$P$5:$P$315,Banques!$A$5:$A$315,$A7,Banques!$C$5:$C$315,Q$3,Banques!$D$5:$D$315,Q$2)</f>
        <v/>
      </c>
      <c r="R7" s="19">
        <f>SUMIFS(Entreprises!$N$5:$N$639,Entreprises!$A$5:$A$639,$A7,Entreprises!$C$5:$C$639,R$3,Entreprises!$D$5:$D$639,R$2)+SUMIFS(Banques!$P$5:$P$315,Banques!$A$5:$A$315,$A7,Banques!$C$5:$C$315,R$3,Banques!$D$5:$D$315,R$2)</f>
        <v/>
      </c>
      <c r="S7" s="19">
        <f>SUMIFS(Entreprises!$N$5:$N$639,Entreprises!$A$5:$A$639,$A7,Entreprises!$C$5:$C$639,S$3,Entreprises!$D$5:$D$639,S$2)+SUMIFS(Banques!$P$5:$P$315,Banques!$A$5:$A$315,$A7,Banques!$C$5:$C$315,S$3,Banques!$D$5:$D$315,S$2)</f>
        <v/>
      </c>
      <c r="T7" s="19">
        <f>SUMIFS(Entreprises!$N$5:$N$639,Entreprises!$A$5:$A$639,$A7,Entreprises!$C$5:$C$639,T$3,Entreprises!$D$5:$D$639,T$2)+SUMIFS(Banques!$P$5:$P$315,Banques!$A$5:$A$315,$A7,Banques!$C$5:$C$315,T$3,Banques!$D$5:$D$315,T$2)</f>
        <v/>
      </c>
      <c r="U7" s="19">
        <f>SUMIFS(Entreprises!$N$5:$N$639,Entreprises!$A$5:$A$639,$A7,Entreprises!$C$5:$C$639,U$3,Entreprises!$D$5:$D$639,U$2)+SUMIFS(Banques!$P$5:$P$315,Banques!$A$5:$A$315,$A7,Banques!$C$5:$C$315,U$3,Banques!$D$5:$D$315,U$2)</f>
        <v/>
      </c>
    </row>
    <row r="8">
      <c r="A8" s="18" t="inlineStr">
        <is>
          <t>SICC</t>
        </is>
      </c>
      <c r="B8" s="18">
        <f>IFERROR(VLOOKUP(A8,Titres!$A$2:$D$400,2,FALSE),"")</f>
        <v/>
      </c>
      <c r="C8" s="18">
        <f>IFERROR(VLOOKUP(A8,Titres!$A$2:$D$400,4,FALSE),"")</f>
        <v/>
      </c>
      <c r="D8" s="19">
        <f>SUMIFS(Entreprises!$N$5:$N$639,Entreprises!$A$5:$A$639,$A8,Entreprises!$C$5:$C$639,D$3,Entreprises!$D$5:$D$639,D$2)+SUMIFS(Banques!$P$5:$P$315,Banques!$A$5:$A$315,$A8,Banques!$C$5:$C$315,D$3,Banques!$D$5:$D$315,D$2)</f>
        <v/>
      </c>
      <c r="E8" s="19">
        <f>SUMIFS(Entreprises!$N$5:$N$639,Entreprises!$A$5:$A$639,$A8,Entreprises!$C$5:$C$639,E$3,Entreprises!$D$5:$D$639,E$2)+SUMIFS(Banques!$P$5:$P$315,Banques!$A$5:$A$315,$A8,Banques!$C$5:$C$315,E$3,Banques!$D$5:$D$315,E$2)</f>
        <v/>
      </c>
      <c r="F8" s="19">
        <f>SUMIFS(Entreprises!$N$5:$N$639,Entreprises!$A$5:$A$639,$A8,Entreprises!$C$5:$C$639,F$3,Entreprises!$D$5:$D$639,F$2)+SUMIFS(Banques!$P$5:$P$315,Banques!$A$5:$A$315,$A8,Banques!$C$5:$C$315,F$3,Banques!$D$5:$D$315,F$2)</f>
        <v/>
      </c>
      <c r="G8" s="19">
        <f>SUMIFS(Entreprises!$N$5:$N$639,Entreprises!$A$5:$A$639,$A8,Entreprises!$C$5:$C$639,G$3,Entreprises!$D$5:$D$639,G$2)+SUMIFS(Banques!$P$5:$P$315,Banques!$A$5:$A$315,$A8,Banques!$C$5:$C$315,G$3,Banques!$D$5:$D$315,G$2)</f>
        <v/>
      </c>
      <c r="H8" s="19">
        <f>SUMIFS(Entreprises!$N$5:$N$639,Entreprises!$A$5:$A$639,$A8,Entreprises!$C$5:$C$639,H$3,Entreprises!$D$5:$D$639,H$2)+SUMIFS(Banques!$P$5:$P$315,Banques!$A$5:$A$315,$A8,Banques!$C$5:$C$315,H$3,Banques!$D$5:$D$315,H$2)</f>
        <v/>
      </c>
      <c r="I8" s="19">
        <f>SUMIFS(Entreprises!$N$5:$N$639,Entreprises!$A$5:$A$639,$A8,Entreprises!$C$5:$C$639,I$3,Entreprises!$D$5:$D$639,I$2)+SUMIFS(Banques!$P$5:$P$315,Banques!$A$5:$A$315,$A8,Banques!$C$5:$C$315,I$3,Banques!$D$5:$D$315,I$2)</f>
        <v/>
      </c>
      <c r="J8" s="19">
        <f>SUMIFS(Entreprises!$N$5:$N$639,Entreprises!$A$5:$A$639,$A8,Entreprises!$C$5:$C$639,J$3,Entreprises!$D$5:$D$639,J$2)+SUMIFS(Banques!$P$5:$P$315,Banques!$A$5:$A$315,$A8,Banques!$C$5:$C$315,J$3,Banques!$D$5:$D$315,J$2)</f>
        <v/>
      </c>
      <c r="K8" s="19">
        <f>SUMIFS(Entreprises!$N$5:$N$639,Entreprises!$A$5:$A$639,$A8,Entreprises!$C$5:$C$639,K$3,Entreprises!$D$5:$D$639,K$2)+SUMIFS(Banques!$P$5:$P$315,Banques!$A$5:$A$315,$A8,Banques!$C$5:$C$315,K$3,Banques!$D$5:$D$315,K$2)</f>
        <v/>
      </c>
      <c r="L8" s="19">
        <f>SUMIFS(Entreprises!$N$5:$N$639,Entreprises!$A$5:$A$639,$A8,Entreprises!$C$5:$C$639,L$3,Entreprises!$D$5:$D$639,L$2)+SUMIFS(Banques!$P$5:$P$315,Banques!$A$5:$A$315,$A8,Banques!$C$5:$C$315,L$3,Banques!$D$5:$D$315,L$2)</f>
        <v/>
      </c>
      <c r="M8" s="19">
        <f>SUMIFS(Entreprises!$N$5:$N$639,Entreprises!$A$5:$A$639,$A8,Entreprises!$C$5:$C$639,M$3,Entreprises!$D$5:$D$639,M$2)+SUMIFS(Banques!$P$5:$P$315,Banques!$A$5:$A$315,$A8,Banques!$C$5:$C$315,M$3,Banques!$D$5:$D$315,M$2)</f>
        <v/>
      </c>
      <c r="N8" s="19">
        <f>SUMIFS(Entreprises!$N$5:$N$639,Entreprises!$A$5:$A$639,$A8,Entreprises!$C$5:$C$639,N$3,Entreprises!$D$5:$D$639,N$2)+SUMIFS(Banques!$P$5:$P$315,Banques!$A$5:$A$315,$A8,Banques!$C$5:$C$315,N$3,Banques!$D$5:$D$315,N$2)</f>
        <v/>
      </c>
      <c r="O8" s="19">
        <f>SUMIFS(Entreprises!$N$5:$N$639,Entreprises!$A$5:$A$639,$A8,Entreprises!$C$5:$C$639,O$3,Entreprises!$D$5:$D$639,O$2)+SUMIFS(Banques!$P$5:$P$315,Banques!$A$5:$A$315,$A8,Banques!$C$5:$C$315,O$3,Banques!$D$5:$D$315,O$2)</f>
        <v/>
      </c>
      <c r="P8" s="19">
        <f>SUMIFS(Entreprises!$N$5:$N$639,Entreprises!$A$5:$A$639,$A8,Entreprises!$C$5:$C$639,P$3,Entreprises!$D$5:$D$639,P$2)+SUMIFS(Banques!$P$5:$P$315,Banques!$A$5:$A$315,$A8,Banques!$C$5:$C$315,P$3,Banques!$D$5:$D$315,P$2)</f>
        <v/>
      </c>
      <c r="Q8" s="19">
        <f>SUMIFS(Entreprises!$N$5:$N$639,Entreprises!$A$5:$A$639,$A8,Entreprises!$C$5:$C$639,Q$3,Entreprises!$D$5:$D$639,Q$2)+SUMIFS(Banques!$P$5:$P$315,Banques!$A$5:$A$315,$A8,Banques!$C$5:$C$315,Q$3,Banques!$D$5:$D$315,Q$2)</f>
        <v/>
      </c>
      <c r="R8" s="19">
        <f>SUMIFS(Entreprises!$N$5:$N$639,Entreprises!$A$5:$A$639,$A8,Entreprises!$C$5:$C$639,R$3,Entreprises!$D$5:$D$639,R$2)+SUMIFS(Banques!$P$5:$P$315,Banques!$A$5:$A$315,$A8,Banques!$C$5:$C$315,R$3,Banques!$D$5:$D$315,R$2)</f>
        <v/>
      </c>
      <c r="S8" s="19">
        <f>SUMIFS(Entreprises!$N$5:$N$639,Entreprises!$A$5:$A$639,$A8,Entreprises!$C$5:$C$639,S$3,Entreprises!$D$5:$D$639,S$2)+SUMIFS(Banques!$P$5:$P$315,Banques!$A$5:$A$315,$A8,Banques!$C$5:$C$315,S$3,Banques!$D$5:$D$315,S$2)</f>
        <v/>
      </c>
      <c r="T8" s="19">
        <f>SUMIFS(Entreprises!$N$5:$N$639,Entreprises!$A$5:$A$639,$A8,Entreprises!$C$5:$C$639,T$3,Entreprises!$D$5:$D$639,T$2)+SUMIFS(Banques!$P$5:$P$315,Banques!$A$5:$A$315,$A8,Banques!$C$5:$C$315,T$3,Banques!$D$5:$D$315,T$2)</f>
        <v/>
      </c>
      <c r="U8" s="19">
        <f>SUMIFS(Entreprises!$N$5:$N$639,Entreprises!$A$5:$A$639,$A8,Entreprises!$C$5:$C$639,U$3,Entreprises!$D$5:$D$639,U$2)+SUMIFS(Banques!$P$5:$P$315,Banques!$A$5:$A$315,$A8,Banques!$C$5:$C$315,U$3,Banques!$D$5:$D$315,U$2)</f>
        <v/>
      </c>
    </row>
    <row r="9">
      <c r="A9" s="18" t="inlineStr">
        <is>
          <t>SLBC</t>
        </is>
      </c>
      <c r="B9" s="18">
        <f>IFERROR(VLOOKUP(A9,Titres!$A$2:$D$400,2,FALSE),"")</f>
        <v/>
      </c>
      <c r="C9" s="18">
        <f>IFERROR(VLOOKUP(A9,Titres!$A$2:$D$400,4,FALSE),"")</f>
        <v/>
      </c>
      <c r="D9" s="19">
        <f>SUMIFS(Entreprises!$N$5:$N$639,Entreprises!$A$5:$A$639,$A9,Entreprises!$C$5:$C$639,D$3,Entreprises!$D$5:$D$639,D$2)+SUMIFS(Banques!$P$5:$P$315,Banques!$A$5:$A$315,$A9,Banques!$C$5:$C$315,D$3,Banques!$D$5:$D$315,D$2)</f>
        <v/>
      </c>
      <c r="E9" s="19">
        <f>SUMIFS(Entreprises!$N$5:$N$639,Entreprises!$A$5:$A$639,$A9,Entreprises!$C$5:$C$639,E$3,Entreprises!$D$5:$D$639,E$2)+SUMIFS(Banques!$P$5:$P$315,Banques!$A$5:$A$315,$A9,Banques!$C$5:$C$315,E$3,Banques!$D$5:$D$315,E$2)</f>
        <v/>
      </c>
      <c r="F9" s="19">
        <f>SUMIFS(Entreprises!$N$5:$N$639,Entreprises!$A$5:$A$639,$A9,Entreprises!$C$5:$C$639,F$3,Entreprises!$D$5:$D$639,F$2)+SUMIFS(Banques!$P$5:$P$315,Banques!$A$5:$A$315,$A9,Banques!$C$5:$C$315,F$3,Banques!$D$5:$D$315,F$2)</f>
        <v/>
      </c>
      <c r="G9" s="19">
        <f>SUMIFS(Entreprises!$N$5:$N$639,Entreprises!$A$5:$A$639,$A9,Entreprises!$C$5:$C$639,G$3,Entreprises!$D$5:$D$639,G$2)+SUMIFS(Banques!$P$5:$P$315,Banques!$A$5:$A$315,$A9,Banques!$C$5:$C$315,G$3,Banques!$D$5:$D$315,G$2)</f>
        <v/>
      </c>
      <c r="H9" s="19">
        <f>SUMIFS(Entreprises!$N$5:$N$639,Entreprises!$A$5:$A$639,$A9,Entreprises!$C$5:$C$639,H$3,Entreprises!$D$5:$D$639,H$2)+SUMIFS(Banques!$P$5:$P$315,Banques!$A$5:$A$315,$A9,Banques!$C$5:$C$315,H$3,Banques!$D$5:$D$315,H$2)</f>
        <v/>
      </c>
      <c r="I9" s="19">
        <f>SUMIFS(Entreprises!$N$5:$N$639,Entreprises!$A$5:$A$639,$A9,Entreprises!$C$5:$C$639,I$3,Entreprises!$D$5:$D$639,I$2)+SUMIFS(Banques!$P$5:$P$315,Banques!$A$5:$A$315,$A9,Banques!$C$5:$C$315,I$3,Banques!$D$5:$D$315,I$2)</f>
        <v/>
      </c>
      <c r="J9" s="19">
        <f>SUMIFS(Entreprises!$N$5:$N$639,Entreprises!$A$5:$A$639,$A9,Entreprises!$C$5:$C$639,J$3,Entreprises!$D$5:$D$639,J$2)+SUMIFS(Banques!$P$5:$P$315,Banques!$A$5:$A$315,$A9,Banques!$C$5:$C$315,J$3,Banques!$D$5:$D$315,J$2)</f>
        <v/>
      </c>
      <c r="K9" s="19">
        <f>SUMIFS(Entreprises!$N$5:$N$639,Entreprises!$A$5:$A$639,$A9,Entreprises!$C$5:$C$639,K$3,Entreprises!$D$5:$D$639,K$2)+SUMIFS(Banques!$P$5:$P$315,Banques!$A$5:$A$315,$A9,Banques!$C$5:$C$315,K$3,Banques!$D$5:$D$315,K$2)</f>
        <v/>
      </c>
      <c r="L9" s="19">
        <f>SUMIFS(Entreprises!$N$5:$N$639,Entreprises!$A$5:$A$639,$A9,Entreprises!$C$5:$C$639,L$3,Entreprises!$D$5:$D$639,L$2)+SUMIFS(Banques!$P$5:$P$315,Banques!$A$5:$A$315,$A9,Banques!$C$5:$C$315,L$3,Banques!$D$5:$D$315,L$2)</f>
        <v/>
      </c>
      <c r="M9" s="19">
        <f>SUMIFS(Entreprises!$N$5:$N$639,Entreprises!$A$5:$A$639,$A9,Entreprises!$C$5:$C$639,M$3,Entreprises!$D$5:$D$639,M$2)+SUMIFS(Banques!$P$5:$P$315,Banques!$A$5:$A$315,$A9,Banques!$C$5:$C$315,M$3,Banques!$D$5:$D$315,M$2)</f>
        <v/>
      </c>
      <c r="N9" s="19">
        <f>SUMIFS(Entreprises!$N$5:$N$639,Entreprises!$A$5:$A$639,$A9,Entreprises!$C$5:$C$639,N$3,Entreprises!$D$5:$D$639,N$2)+SUMIFS(Banques!$P$5:$P$315,Banques!$A$5:$A$315,$A9,Banques!$C$5:$C$315,N$3,Banques!$D$5:$D$315,N$2)</f>
        <v/>
      </c>
      <c r="O9" s="19">
        <f>SUMIFS(Entreprises!$N$5:$N$639,Entreprises!$A$5:$A$639,$A9,Entreprises!$C$5:$C$639,O$3,Entreprises!$D$5:$D$639,O$2)+SUMIFS(Banques!$P$5:$P$315,Banques!$A$5:$A$315,$A9,Banques!$C$5:$C$315,O$3,Banques!$D$5:$D$315,O$2)</f>
        <v/>
      </c>
      <c r="P9" s="19">
        <f>SUMIFS(Entreprises!$N$5:$N$639,Entreprises!$A$5:$A$639,$A9,Entreprises!$C$5:$C$639,P$3,Entreprises!$D$5:$D$639,P$2)+SUMIFS(Banques!$P$5:$P$315,Banques!$A$5:$A$315,$A9,Banques!$C$5:$C$315,P$3,Banques!$D$5:$D$315,P$2)</f>
        <v/>
      </c>
      <c r="Q9" s="19">
        <f>SUMIFS(Entreprises!$N$5:$N$639,Entreprises!$A$5:$A$639,$A9,Entreprises!$C$5:$C$639,Q$3,Entreprises!$D$5:$D$639,Q$2)+SUMIFS(Banques!$P$5:$P$315,Banques!$A$5:$A$315,$A9,Banques!$C$5:$C$315,Q$3,Banques!$D$5:$D$315,Q$2)</f>
        <v/>
      </c>
      <c r="R9" s="19">
        <f>SUMIFS(Entreprises!$N$5:$N$639,Entreprises!$A$5:$A$639,$A9,Entreprises!$C$5:$C$639,R$3,Entreprises!$D$5:$D$639,R$2)+SUMIFS(Banques!$P$5:$P$315,Banques!$A$5:$A$315,$A9,Banques!$C$5:$C$315,R$3,Banques!$D$5:$D$315,R$2)</f>
        <v/>
      </c>
      <c r="S9" s="19">
        <f>SUMIFS(Entreprises!$N$5:$N$639,Entreprises!$A$5:$A$639,$A9,Entreprises!$C$5:$C$639,S$3,Entreprises!$D$5:$D$639,S$2)+SUMIFS(Banques!$P$5:$P$315,Banques!$A$5:$A$315,$A9,Banques!$C$5:$C$315,S$3,Banques!$D$5:$D$315,S$2)</f>
        <v/>
      </c>
      <c r="T9" s="19">
        <f>SUMIFS(Entreprises!$N$5:$N$639,Entreprises!$A$5:$A$639,$A9,Entreprises!$C$5:$C$639,T$3,Entreprises!$D$5:$D$639,T$2)+SUMIFS(Banques!$P$5:$P$315,Banques!$A$5:$A$315,$A9,Banques!$C$5:$C$315,T$3,Banques!$D$5:$D$315,T$2)</f>
        <v/>
      </c>
      <c r="U9" s="19">
        <f>SUMIFS(Entreprises!$N$5:$N$639,Entreprises!$A$5:$A$639,$A9,Entreprises!$C$5:$C$639,U$3,Entreprises!$D$5:$D$639,U$2)+SUMIFS(Banques!$P$5:$P$315,Banques!$A$5:$A$315,$A9,Banques!$C$5:$C$315,U$3,Banques!$D$5:$D$315,U$2)</f>
        <v/>
      </c>
    </row>
    <row r="10">
      <c r="A10" s="18" t="inlineStr">
        <is>
          <t>SOGC</t>
        </is>
      </c>
      <c r="B10" s="18">
        <f>IFERROR(VLOOKUP(A10,Titres!$A$2:$D$400,2,FALSE),"")</f>
        <v/>
      </c>
      <c r="C10" s="18">
        <f>IFERROR(VLOOKUP(A10,Titres!$A$2:$D$400,4,FALSE),"")</f>
        <v/>
      </c>
      <c r="D10" s="19">
        <f>SUMIFS(Entreprises!$N$5:$N$639,Entreprises!$A$5:$A$639,$A10,Entreprises!$C$5:$C$639,D$3,Entreprises!$D$5:$D$639,D$2)+SUMIFS(Banques!$P$5:$P$315,Banques!$A$5:$A$315,$A10,Banques!$C$5:$C$315,D$3,Banques!$D$5:$D$315,D$2)</f>
        <v/>
      </c>
      <c r="E10" s="19">
        <f>SUMIFS(Entreprises!$N$5:$N$639,Entreprises!$A$5:$A$639,$A10,Entreprises!$C$5:$C$639,E$3,Entreprises!$D$5:$D$639,E$2)+SUMIFS(Banques!$P$5:$P$315,Banques!$A$5:$A$315,$A10,Banques!$C$5:$C$315,E$3,Banques!$D$5:$D$315,E$2)</f>
        <v/>
      </c>
      <c r="F10" s="19">
        <f>SUMIFS(Entreprises!$N$5:$N$639,Entreprises!$A$5:$A$639,$A10,Entreprises!$C$5:$C$639,F$3,Entreprises!$D$5:$D$639,F$2)+SUMIFS(Banques!$P$5:$P$315,Banques!$A$5:$A$315,$A10,Banques!$C$5:$C$315,F$3,Banques!$D$5:$D$315,F$2)</f>
        <v/>
      </c>
      <c r="G10" s="19">
        <f>SUMIFS(Entreprises!$N$5:$N$639,Entreprises!$A$5:$A$639,$A10,Entreprises!$C$5:$C$639,G$3,Entreprises!$D$5:$D$639,G$2)+SUMIFS(Banques!$P$5:$P$315,Banques!$A$5:$A$315,$A10,Banques!$C$5:$C$315,G$3,Banques!$D$5:$D$315,G$2)</f>
        <v/>
      </c>
      <c r="H10" s="19">
        <f>SUMIFS(Entreprises!$N$5:$N$639,Entreprises!$A$5:$A$639,$A10,Entreprises!$C$5:$C$639,H$3,Entreprises!$D$5:$D$639,H$2)+SUMIFS(Banques!$P$5:$P$315,Banques!$A$5:$A$315,$A10,Banques!$C$5:$C$315,H$3,Banques!$D$5:$D$315,H$2)</f>
        <v/>
      </c>
      <c r="I10" s="19">
        <f>SUMIFS(Entreprises!$N$5:$N$639,Entreprises!$A$5:$A$639,$A10,Entreprises!$C$5:$C$639,I$3,Entreprises!$D$5:$D$639,I$2)+SUMIFS(Banques!$P$5:$P$315,Banques!$A$5:$A$315,$A10,Banques!$C$5:$C$315,I$3,Banques!$D$5:$D$315,I$2)</f>
        <v/>
      </c>
      <c r="J10" s="19">
        <f>SUMIFS(Entreprises!$N$5:$N$639,Entreprises!$A$5:$A$639,$A10,Entreprises!$C$5:$C$639,J$3,Entreprises!$D$5:$D$639,J$2)+SUMIFS(Banques!$P$5:$P$315,Banques!$A$5:$A$315,$A10,Banques!$C$5:$C$315,J$3,Banques!$D$5:$D$315,J$2)</f>
        <v/>
      </c>
      <c r="K10" s="19">
        <f>SUMIFS(Entreprises!$N$5:$N$639,Entreprises!$A$5:$A$639,$A10,Entreprises!$C$5:$C$639,K$3,Entreprises!$D$5:$D$639,K$2)+SUMIFS(Banques!$P$5:$P$315,Banques!$A$5:$A$315,$A10,Banques!$C$5:$C$315,K$3,Banques!$D$5:$D$315,K$2)</f>
        <v/>
      </c>
      <c r="L10" s="19">
        <f>SUMIFS(Entreprises!$N$5:$N$639,Entreprises!$A$5:$A$639,$A10,Entreprises!$C$5:$C$639,L$3,Entreprises!$D$5:$D$639,L$2)+SUMIFS(Banques!$P$5:$P$315,Banques!$A$5:$A$315,$A10,Banques!$C$5:$C$315,L$3,Banques!$D$5:$D$315,L$2)</f>
        <v/>
      </c>
      <c r="M10" s="19">
        <f>SUMIFS(Entreprises!$N$5:$N$639,Entreprises!$A$5:$A$639,$A10,Entreprises!$C$5:$C$639,M$3,Entreprises!$D$5:$D$639,M$2)+SUMIFS(Banques!$P$5:$P$315,Banques!$A$5:$A$315,$A10,Banques!$C$5:$C$315,M$3,Banques!$D$5:$D$315,M$2)</f>
        <v/>
      </c>
      <c r="N10" s="19">
        <f>SUMIFS(Entreprises!$N$5:$N$639,Entreprises!$A$5:$A$639,$A10,Entreprises!$C$5:$C$639,N$3,Entreprises!$D$5:$D$639,N$2)+SUMIFS(Banques!$P$5:$P$315,Banques!$A$5:$A$315,$A10,Banques!$C$5:$C$315,N$3,Banques!$D$5:$D$315,N$2)</f>
        <v/>
      </c>
      <c r="O10" s="19">
        <f>SUMIFS(Entreprises!$N$5:$N$639,Entreprises!$A$5:$A$639,$A10,Entreprises!$C$5:$C$639,O$3,Entreprises!$D$5:$D$639,O$2)+SUMIFS(Banques!$P$5:$P$315,Banques!$A$5:$A$315,$A10,Banques!$C$5:$C$315,O$3,Banques!$D$5:$D$315,O$2)</f>
        <v/>
      </c>
      <c r="P10" s="19">
        <f>SUMIFS(Entreprises!$N$5:$N$639,Entreprises!$A$5:$A$639,$A10,Entreprises!$C$5:$C$639,P$3,Entreprises!$D$5:$D$639,P$2)+SUMIFS(Banques!$P$5:$P$315,Banques!$A$5:$A$315,$A10,Banques!$C$5:$C$315,P$3,Banques!$D$5:$D$315,P$2)</f>
        <v/>
      </c>
      <c r="Q10" s="19">
        <f>SUMIFS(Entreprises!$N$5:$N$639,Entreprises!$A$5:$A$639,$A10,Entreprises!$C$5:$C$639,Q$3,Entreprises!$D$5:$D$639,Q$2)+SUMIFS(Banques!$P$5:$P$315,Banques!$A$5:$A$315,$A10,Banques!$C$5:$C$315,Q$3,Banques!$D$5:$D$315,Q$2)</f>
        <v/>
      </c>
      <c r="R10" s="19">
        <f>SUMIFS(Entreprises!$N$5:$N$639,Entreprises!$A$5:$A$639,$A10,Entreprises!$C$5:$C$639,R$3,Entreprises!$D$5:$D$639,R$2)+SUMIFS(Banques!$P$5:$P$315,Banques!$A$5:$A$315,$A10,Banques!$C$5:$C$315,R$3,Banques!$D$5:$D$315,R$2)</f>
        <v/>
      </c>
      <c r="S10" s="19">
        <f>SUMIFS(Entreprises!$N$5:$N$639,Entreprises!$A$5:$A$639,$A10,Entreprises!$C$5:$C$639,S$3,Entreprises!$D$5:$D$639,S$2)+SUMIFS(Banques!$P$5:$P$315,Banques!$A$5:$A$315,$A10,Banques!$C$5:$C$315,S$3,Banques!$D$5:$D$315,S$2)</f>
        <v/>
      </c>
      <c r="T10" s="19">
        <f>SUMIFS(Entreprises!$N$5:$N$639,Entreprises!$A$5:$A$639,$A10,Entreprises!$C$5:$C$639,T$3,Entreprises!$D$5:$D$639,T$2)+SUMIFS(Banques!$P$5:$P$315,Banques!$A$5:$A$315,$A10,Banques!$C$5:$C$315,T$3,Banques!$D$5:$D$315,T$2)</f>
        <v/>
      </c>
      <c r="U10" s="19">
        <f>SUMIFS(Entreprises!$N$5:$N$639,Entreprises!$A$5:$A$639,$A10,Entreprises!$C$5:$C$639,U$3,Entreprises!$D$5:$D$639,U$2)+SUMIFS(Banques!$P$5:$P$315,Banques!$A$5:$A$315,$A10,Banques!$C$5:$C$315,U$3,Banques!$D$5:$D$315,U$2)</f>
        <v/>
      </c>
    </row>
    <row r="11">
      <c r="A11" s="18" t="inlineStr">
        <is>
          <t>SPHC</t>
        </is>
      </c>
      <c r="B11" s="18">
        <f>IFERROR(VLOOKUP(A11,Titres!$A$2:$D$400,2,FALSE),"")</f>
        <v/>
      </c>
      <c r="C11" s="18">
        <f>IFERROR(VLOOKUP(A11,Titres!$A$2:$D$400,4,FALSE),"")</f>
        <v/>
      </c>
      <c r="D11" s="19">
        <f>SUMIFS(Entreprises!$N$5:$N$639,Entreprises!$A$5:$A$639,$A11,Entreprises!$C$5:$C$639,D$3,Entreprises!$D$5:$D$639,D$2)+SUMIFS(Banques!$P$5:$P$315,Banques!$A$5:$A$315,$A11,Banques!$C$5:$C$315,D$3,Banques!$D$5:$D$315,D$2)</f>
        <v/>
      </c>
      <c r="E11" s="19">
        <f>SUMIFS(Entreprises!$N$5:$N$639,Entreprises!$A$5:$A$639,$A11,Entreprises!$C$5:$C$639,E$3,Entreprises!$D$5:$D$639,E$2)+SUMIFS(Banques!$P$5:$P$315,Banques!$A$5:$A$315,$A11,Banques!$C$5:$C$315,E$3,Banques!$D$5:$D$315,E$2)</f>
        <v/>
      </c>
      <c r="F11" s="19">
        <f>SUMIFS(Entreprises!$N$5:$N$639,Entreprises!$A$5:$A$639,$A11,Entreprises!$C$5:$C$639,F$3,Entreprises!$D$5:$D$639,F$2)+SUMIFS(Banques!$P$5:$P$315,Banques!$A$5:$A$315,$A11,Banques!$C$5:$C$315,F$3,Banques!$D$5:$D$315,F$2)</f>
        <v/>
      </c>
      <c r="G11" s="19">
        <f>SUMIFS(Entreprises!$N$5:$N$639,Entreprises!$A$5:$A$639,$A11,Entreprises!$C$5:$C$639,G$3,Entreprises!$D$5:$D$639,G$2)+SUMIFS(Banques!$P$5:$P$315,Banques!$A$5:$A$315,$A11,Banques!$C$5:$C$315,G$3,Banques!$D$5:$D$315,G$2)</f>
        <v/>
      </c>
      <c r="H11" s="19">
        <f>SUMIFS(Entreprises!$N$5:$N$639,Entreprises!$A$5:$A$639,$A11,Entreprises!$C$5:$C$639,H$3,Entreprises!$D$5:$D$639,H$2)+SUMIFS(Banques!$P$5:$P$315,Banques!$A$5:$A$315,$A11,Banques!$C$5:$C$315,H$3,Banques!$D$5:$D$315,H$2)</f>
        <v/>
      </c>
      <c r="I11" s="19">
        <f>SUMIFS(Entreprises!$N$5:$N$639,Entreprises!$A$5:$A$639,$A11,Entreprises!$C$5:$C$639,I$3,Entreprises!$D$5:$D$639,I$2)+SUMIFS(Banques!$P$5:$P$315,Banques!$A$5:$A$315,$A11,Banques!$C$5:$C$315,I$3,Banques!$D$5:$D$315,I$2)</f>
        <v/>
      </c>
      <c r="J11" s="19">
        <f>SUMIFS(Entreprises!$N$5:$N$639,Entreprises!$A$5:$A$639,$A11,Entreprises!$C$5:$C$639,J$3,Entreprises!$D$5:$D$639,J$2)+SUMIFS(Banques!$P$5:$P$315,Banques!$A$5:$A$315,$A11,Banques!$C$5:$C$315,J$3,Banques!$D$5:$D$315,J$2)</f>
        <v/>
      </c>
      <c r="K11" s="19">
        <f>SUMIFS(Entreprises!$N$5:$N$639,Entreprises!$A$5:$A$639,$A11,Entreprises!$C$5:$C$639,K$3,Entreprises!$D$5:$D$639,K$2)+SUMIFS(Banques!$P$5:$P$315,Banques!$A$5:$A$315,$A11,Banques!$C$5:$C$315,K$3,Banques!$D$5:$D$315,K$2)</f>
        <v/>
      </c>
      <c r="L11" s="19">
        <f>SUMIFS(Entreprises!$N$5:$N$639,Entreprises!$A$5:$A$639,$A11,Entreprises!$C$5:$C$639,L$3,Entreprises!$D$5:$D$639,L$2)+SUMIFS(Banques!$P$5:$P$315,Banques!$A$5:$A$315,$A11,Banques!$C$5:$C$315,L$3,Banques!$D$5:$D$315,L$2)</f>
        <v/>
      </c>
      <c r="M11" s="19">
        <f>SUMIFS(Entreprises!$N$5:$N$639,Entreprises!$A$5:$A$639,$A11,Entreprises!$C$5:$C$639,M$3,Entreprises!$D$5:$D$639,M$2)+SUMIFS(Banques!$P$5:$P$315,Banques!$A$5:$A$315,$A11,Banques!$C$5:$C$315,M$3,Banques!$D$5:$D$315,M$2)</f>
        <v/>
      </c>
      <c r="N11" s="19">
        <f>SUMIFS(Entreprises!$N$5:$N$639,Entreprises!$A$5:$A$639,$A11,Entreprises!$C$5:$C$639,N$3,Entreprises!$D$5:$D$639,N$2)+SUMIFS(Banques!$P$5:$P$315,Banques!$A$5:$A$315,$A11,Banques!$C$5:$C$315,N$3,Banques!$D$5:$D$315,N$2)</f>
        <v/>
      </c>
      <c r="O11" s="19">
        <f>SUMIFS(Entreprises!$N$5:$N$639,Entreprises!$A$5:$A$639,$A11,Entreprises!$C$5:$C$639,O$3,Entreprises!$D$5:$D$639,O$2)+SUMIFS(Banques!$P$5:$P$315,Banques!$A$5:$A$315,$A11,Banques!$C$5:$C$315,O$3,Banques!$D$5:$D$315,O$2)</f>
        <v/>
      </c>
      <c r="P11" s="19">
        <f>SUMIFS(Entreprises!$N$5:$N$639,Entreprises!$A$5:$A$639,$A11,Entreprises!$C$5:$C$639,P$3,Entreprises!$D$5:$D$639,P$2)+SUMIFS(Banques!$P$5:$P$315,Banques!$A$5:$A$315,$A11,Banques!$C$5:$C$315,P$3,Banques!$D$5:$D$315,P$2)</f>
        <v/>
      </c>
      <c r="Q11" s="19">
        <f>SUMIFS(Entreprises!$N$5:$N$639,Entreprises!$A$5:$A$639,$A11,Entreprises!$C$5:$C$639,Q$3,Entreprises!$D$5:$D$639,Q$2)+SUMIFS(Banques!$P$5:$P$315,Banques!$A$5:$A$315,$A11,Banques!$C$5:$C$315,Q$3,Banques!$D$5:$D$315,Q$2)</f>
        <v/>
      </c>
      <c r="R11" s="19">
        <f>SUMIFS(Entreprises!$N$5:$N$639,Entreprises!$A$5:$A$639,$A11,Entreprises!$C$5:$C$639,R$3,Entreprises!$D$5:$D$639,R$2)+SUMIFS(Banques!$P$5:$P$315,Banques!$A$5:$A$315,$A11,Banques!$C$5:$C$315,R$3,Banques!$D$5:$D$315,R$2)</f>
        <v/>
      </c>
      <c r="S11" s="19">
        <f>SUMIFS(Entreprises!$N$5:$N$639,Entreprises!$A$5:$A$639,$A11,Entreprises!$C$5:$C$639,S$3,Entreprises!$D$5:$D$639,S$2)+SUMIFS(Banques!$P$5:$P$315,Banques!$A$5:$A$315,$A11,Banques!$C$5:$C$315,S$3,Banques!$D$5:$D$315,S$2)</f>
        <v/>
      </c>
      <c r="T11" s="19">
        <f>SUMIFS(Entreprises!$N$5:$N$639,Entreprises!$A$5:$A$639,$A11,Entreprises!$C$5:$C$639,T$3,Entreprises!$D$5:$D$639,T$2)+SUMIFS(Banques!$P$5:$P$315,Banques!$A$5:$A$315,$A11,Banques!$C$5:$C$315,T$3,Banques!$D$5:$D$315,T$2)</f>
        <v/>
      </c>
      <c r="U11" s="19">
        <f>SUMIFS(Entreprises!$N$5:$N$639,Entreprises!$A$5:$A$639,$A11,Entreprises!$C$5:$C$639,U$3,Entreprises!$D$5:$D$639,U$2)+SUMIFS(Banques!$P$5:$P$315,Banques!$A$5:$A$315,$A11,Banques!$C$5:$C$315,U$3,Banques!$D$5:$D$315,U$2)</f>
        <v/>
      </c>
    </row>
    <row r="12">
      <c r="A12" s="18" t="inlineStr">
        <is>
          <t>STBC</t>
        </is>
      </c>
      <c r="B12" s="18">
        <f>IFERROR(VLOOKUP(A12,Titres!$A$2:$D$400,2,FALSE),"")</f>
        <v/>
      </c>
      <c r="C12" s="18">
        <f>IFERROR(VLOOKUP(A12,Titres!$A$2:$D$400,4,FALSE),"")</f>
        <v/>
      </c>
      <c r="D12" s="19">
        <f>SUMIFS(Entreprises!$N$5:$N$639,Entreprises!$A$5:$A$639,$A12,Entreprises!$C$5:$C$639,D$3,Entreprises!$D$5:$D$639,D$2)+SUMIFS(Banques!$P$5:$P$315,Banques!$A$5:$A$315,$A12,Banques!$C$5:$C$315,D$3,Banques!$D$5:$D$315,D$2)</f>
        <v/>
      </c>
      <c r="E12" s="19">
        <f>SUMIFS(Entreprises!$N$5:$N$639,Entreprises!$A$5:$A$639,$A12,Entreprises!$C$5:$C$639,E$3,Entreprises!$D$5:$D$639,E$2)+SUMIFS(Banques!$P$5:$P$315,Banques!$A$5:$A$315,$A12,Banques!$C$5:$C$315,E$3,Banques!$D$5:$D$315,E$2)</f>
        <v/>
      </c>
      <c r="F12" s="19">
        <f>SUMIFS(Entreprises!$N$5:$N$639,Entreprises!$A$5:$A$639,$A12,Entreprises!$C$5:$C$639,F$3,Entreprises!$D$5:$D$639,F$2)+SUMIFS(Banques!$P$5:$P$315,Banques!$A$5:$A$315,$A12,Banques!$C$5:$C$315,F$3,Banques!$D$5:$D$315,F$2)</f>
        <v/>
      </c>
      <c r="G12" s="19">
        <f>SUMIFS(Entreprises!$N$5:$N$639,Entreprises!$A$5:$A$639,$A12,Entreprises!$C$5:$C$639,G$3,Entreprises!$D$5:$D$639,G$2)+SUMIFS(Banques!$P$5:$P$315,Banques!$A$5:$A$315,$A12,Banques!$C$5:$C$315,G$3,Banques!$D$5:$D$315,G$2)</f>
        <v/>
      </c>
      <c r="H12" s="19">
        <f>SUMIFS(Entreprises!$N$5:$N$639,Entreprises!$A$5:$A$639,$A12,Entreprises!$C$5:$C$639,H$3,Entreprises!$D$5:$D$639,H$2)+SUMIFS(Banques!$P$5:$P$315,Banques!$A$5:$A$315,$A12,Banques!$C$5:$C$315,H$3,Banques!$D$5:$D$315,H$2)</f>
        <v/>
      </c>
      <c r="I12" s="19">
        <f>SUMIFS(Entreprises!$N$5:$N$639,Entreprises!$A$5:$A$639,$A12,Entreprises!$C$5:$C$639,I$3,Entreprises!$D$5:$D$639,I$2)+SUMIFS(Banques!$P$5:$P$315,Banques!$A$5:$A$315,$A12,Banques!$C$5:$C$315,I$3,Banques!$D$5:$D$315,I$2)</f>
        <v/>
      </c>
      <c r="J12" s="19">
        <f>SUMIFS(Entreprises!$N$5:$N$639,Entreprises!$A$5:$A$639,$A12,Entreprises!$C$5:$C$639,J$3,Entreprises!$D$5:$D$639,J$2)+SUMIFS(Banques!$P$5:$P$315,Banques!$A$5:$A$315,$A12,Banques!$C$5:$C$315,J$3,Banques!$D$5:$D$315,J$2)</f>
        <v/>
      </c>
      <c r="K12" s="19">
        <f>SUMIFS(Entreprises!$N$5:$N$639,Entreprises!$A$5:$A$639,$A12,Entreprises!$C$5:$C$639,K$3,Entreprises!$D$5:$D$639,K$2)+SUMIFS(Banques!$P$5:$P$315,Banques!$A$5:$A$315,$A12,Banques!$C$5:$C$315,K$3,Banques!$D$5:$D$315,K$2)</f>
        <v/>
      </c>
      <c r="L12" s="19">
        <f>SUMIFS(Entreprises!$N$5:$N$639,Entreprises!$A$5:$A$639,$A12,Entreprises!$C$5:$C$639,L$3,Entreprises!$D$5:$D$639,L$2)+SUMIFS(Banques!$P$5:$P$315,Banques!$A$5:$A$315,$A12,Banques!$C$5:$C$315,L$3,Banques!$D$5:$D$315,L$2)</f>
        <v/>
      </c>
      <c r="M12" s="19">
        <f>SUMIFS(Entreprises!$N$5:$N$639,Entreprises!$A$5:$A$639,$A12,Entreprises!$C$5:$C$639,M$3,Entreprises!$D$5:$D$639,M$2)+SUMIFS(Banques!$P$5:$P$315,Banques!$A$5:$A$315,$A12,Banques!$C$5:$C$315,M$3,Banques!$D$5:$D$315,M$2)</f>
        <v/>
      </c>
      <c r="N12" s="19">
        <f>SUMIFS(Entreprises!$N$5:$N$639,Entreprises!$A$5:$A$639,$A12,Entreprises!$C$5:$C$639,N$3,Entreprises!$D$5:$D$639,N$2)+SUMIFS(Banques!$P$5:$P$315,Banques!$A$5:$A$315,$A12,Banques!$C$5:$C$315,N$3,Banques!$D$5:$D$315,N$2)</f>
        <v/>
      </c>
      <c r="O12" s="19">
        <f>SUMIFS(Entreprises!$N$5:$N$639,Entreprises!$A$5:$A$639,$A12,Entreprises!$C$5:$C$639,O$3,Entreprises!$D$5:$D$639,O$2)+SUMIFS(Banques!$P$5:$P$315,Banques!$A$5:$A$315,$A12,Banques!$C$5:$C$315,O$3,Banques!$D$5:$D$315,O$2)</f>
        <v/>
      </c>
      <c r="P12" s="19">
        <f>SUMIFS(Entreprises!$N$5:$N$639,Entreprises!$A$5:$A$639,$A12,Entreprises!$C$5:$C$639,P$3,Entreprises!$D$5:$D$639,P$2)+SUMIFS(Banques!$P$5:$P$315,Banques!$A$5:$A$315,$A12,Banques!$C$5:$C$315,P$3,Banques!$D$5:$D$315,P$2)</f>
        <v/>
      </c>
      <c r="Q12" s="19">
        <f>SUMIFS(Entreprises!$N$5:$N$639,Entreprises!$A$5:$A$639,$A12,Entreprises!$C$5:$C$639,Q$3,Entreprises!$D$5:$D$639,Q$2)+SUMIFS(Banques!$P$5:$P$315,Banques!$A$5:$A$315,$A12,Banques!$C$5:$C$315,Q$3,Banques!$D$5:$D$315,Q$2)</f>
        <v/>
      </c>
      <c r="R12" s="19">
        <f>SUMIFS(Entreprises!$N$5:$N$639,Entreprises!$A$5:$A$639,$A12,Entreprises!$C$5:$C$639,R$3,Entreprises!$D$5:$D$639,R$2)+SUMIFS(Banques!$P$5:$P$315,Banques!$A$5:$A$315,$A12,Banques!$C$5:$C$315,R$3,Banques!$D$5:$D$315,R$2)</f>
        <v/>
      </c>
      <c r="S12" s="19">
        <f>SUMIFS(Entreprises!$N$5:$N$639,Entreprises!$A$5:$A$639,$A12,Entreprises!$C$5:$C$639,S$3,Entreprises!$D$5:$D$639,S$2)+SUMIFS(Banques!$P$5:$P$315,Banques!$A$5:$A$315,$A12,Banques!$C$5:$C$315,S$3,Banques!$D$5:$D$315,S$2)</f>
        <v/>
      </c>
      <c r="T12" s="19">
        <f>SUMIFS(Entreprises!$N$5:$N$639,Entreprises!$A$5:$A$639,$A12,Entreprises!$C$5:$C$639,T$3,Entreprises!$D$5:$D$639,T$2)+SUMIFS(Banques!$P$5:$P$315,Banques!$A$5:$A$315,$A12,Banques!$C$5:$C$315,T$3,Banques!$D$5:$D$315,T$2)</f>
        <v/>
      </c>
      <c r="U12" s="19">
        <f>SUMIFS(Entreprises!$N$5:$N$639,Entreprises!$A$5:$A$639,$A12,Entreprises!$C$5:$C$639,U$3,Entreprises!$D$5:$D$639,U$2)+SUMIFS(Banques!$P$5:$P$315,Banques!$A$5:$A$315,$A12,Banques!$C$5:$C$315,U$3,Banques!$D$5:$D$315,U$2)</f>
        <v/>
      </c>
    </row>
    <row r="13">
      <c r="A13" s="18" t="inlineStr">
        <is>
          <t>UNLC</t>
        </is>
      </c>
      <c r="B13" s="18">
        <f>IFERROR(VLOOKUP(A13,Titres!$A$2:$D$400,2,FALSE),"")</f>
        <v/>
      </c>
      <c r="C13" s="18">
        <f>IFERROR(VLOOKUP(A13,Titres!$A$2:$D$400,4,FALSE),"")</f>
        <v/>
      </c>
      <c r="D13" s="19">
        <f>SUMIFS(Entreprises!$N$5:$N$639,Entreprises!$A$5:$A$639,$A13,Entreprises!$C$5:$C$639,D$3,Entreprises!$D$5:$D$639,D$2)+SUMIFS(Banques!$P$5:$P$315,Banques!$A$5:$A$315,$A13,Banques!$C$5:$C$315,D$3,Banques!$D$5:$D$315,D$2)</f>
        <v/>
      </c>
      <c r="E13" s="19">
        <f>SUMIFS(Entreprises!$N$5:$N$639,Entreprises!$A$5:$A$639,$A13,Entreprises!$C$5:$C$639,E$3,Entreprises!$D$5:$D$639,E$2)+SUMIFS(Banques!$P$5:$P$315,Banques!$A$5:$A$315,$A13,Banques!$C$5:$C$315,E$3,Banques!$D$5:$D$315,E$2)</f>
        <v/>
      </c>
      <c r="F13" s="19">
        <f>SUMIFS(Entreprises!$N$5:$N$639,Entreprises!$A$5:$A$639,$A13,Entreprises!$C$5:$C$639,F$3,Entreprises!$D$5:$D$639,F$2)+SUMIFS(Banques!$P$5:$P$315,Banques!$A$5:$A$315,$A13,Banques!$C$5:$C$315,F$3,Banques!$D$5:$D$315,F$2)</f>
        <v/>
      </c>
      <c r="G13" s="19">
        <f>SUMIFS(Entreprises!$N$5:$N$639,Entreprises!$A$5:$A$639,$A13,Entreprises!$C$5:$C$639,G$3,Entreprises!$D$5:$D$639,G$2)+SUMIFS(Banques!$P$5:$P$315,Banques!$A$5:$A$315,$A13,Banques!$C$5:$C$315,G$3,Banques!$D$5:$D$315,G$2)</f>
        <v/>
      </c>
      <c r="H13" s="19">
        <f>SUMIFS(Entreprises!$N$5:$N$639,Entreprises!$A$5:$A$639,$A13,Entreprises!$C$5:$C$639,H$3,Entreprises!$D$5:$D$639,H$2)+SUMIFS(Banques!$P$5:$P$315,Banques!$A$5:$A$315,$A13,Banques!$C$5:$C$315,H$3,Banques!$D$5:$D$315,H$2)</f>
        <v/>
      </c>
      <c r="I13" s="19">
        <f>SUMIFS(Entreprises!$N$5:$N$639,Entreprises!$A$5:$A$639,$A13,Entreprises!$C$5:$C$639,I$3,Entreprises!$D$5:$D$639,I$2)+SUMIFS(Banques!$P$5:$P$315,Banques!$A$5:$A$315,$A13,Banques!$C$5:$C$315,I$3,Banques!$D$5:$D$315,I$2)</f>
        <v/>
      </c>
      <c r="J13" s="19">
        <f>SUMIFS(Entreprises!$N$5:$N$639,Entreprises!$A$5:$A$639,$A13,Entreprises!$C$5:$C$639,J$3,Entreprises!$D$5:$D$639,J$2)+SUMIFS(Banques!$P$5:$P$315,Banques!$A$5:$A$315,$A13,Banques!$C$5:$C$315,J$3,Banques!$D$5:$D$315,J$2)</f>
        <v/>
      </c>
      <c r="K13" s="19">
        <f>SUMIFS(Entreprises!$N$5:$N$639,Entreprises!$A$5:$A$639,$A13,Entreprises!$C$5:$C$639,K$3,Entreprises!$D$5:$D$639,K$2)+SUMIFS(Banques!$P$5:$P$315,Banques!$A$5:$A$315,$A13,Banques!$C$5:$C$315,K$3,Banques!$D$5:$D$315,K$2)</f>
        <v/>
      </c>
      <c r="L13" s="19">
        <f>SUMIFS(Entreprises!$N$5:$N$639,Entreprises!$A$5:$A$639,$A13,Entreprises!$C$5:$C$639,L$3,Entreprises!$D$5:$D$639,L$2)+SUMIFS(Banques!$P$5:$P$315,Banques!$A$5:$A$315,$A13,Banques!$C$5:$C$315,L$3,Banques!$D$5:$D$315,L$2)</f>
        <v/>
      </c>
      <c r="M13" s="19">
        <f>SUMIFS(Entreprises!$N$5:$N$639,Entreprises!$A$5:$A$639,$A13,Entreprises!$C$5:$C$639,M$3,Entreprises!$D$5:$D$639,M$2)+SUMIFS(Banques!$P$5:$P$315,Banques!$A$5:$A$315,$A13,Banques!$C$5:$C$315,M$3,Banques!$D$5:$D$315,M$2)</f>
        <v/>
      </c>
      <c r="N13" s="19">
        <f>SUMIFS(Entreprises!$N$5:$N$639,Entreprises!$A$5:$A$639,$A13,Entreprises!$C$5:$C$639,N$3,Entreprises!$D$5:$D$639,N$2)+SUMIFS(Banques!$P$5:$P$315,Banques!$A$5:$A$315,$A13,Banques!$C$5:$C$315,N$3,Banques!$D$5:$D$315,N$2)</f>
        <v/>
      </c>
      <c r="O13" s="19">
        <f>SUMIFS(Entreprises!$N$5:$N$639,Entreprises!$A$5:$A$639,$A13,Entreprises!$C$5:$C$639,O$3,Entreprises!$D$5:$D$639,O$2)+SUMIFS(Banques!$P$5:$P$315,Banques!$A$5:$A$315,$A13,Banques!$C$5:$C$315,O$3,Banques!$D$5:$D$315,O$2)</f>
        <v/>
      </c>
      <c r="P13" s="19">
        <f>SUMIFS(Entreprises!$N$5:$N$639,Entreprises!$A$5:$A$639,$A13,Entreprises!$C$5:$C$639,P$3,Entreprises!$D$5:$D$639,P$2)+SUMIFS(Banques!$P$5:$P$315,Banques!$A$5:$A$315,$A13,Banques!$C$5:$C$315,P$3,Banques!$D$5:$D$315,P$2)</f>
        <v/>
      </c>
      <c r="Q13" s="19">
        <f>SUMIFS(Entreprises!$N$5:$N$639,Entreprises!$A$5:$A$639,$A13,Entreprises!$C$5:$C$639,Q$3,Entreprises!$D$5:$D$639,Q$2)+SUMIFS(Banques!$P$5:$P$315,Banques!$A$5:$A$315,$A13,Banques!$C$5:$C$315,Q$3,Banques!$D$5:$D$315,Q$2)</f>
        <v/>
      </c>
      <c r="R13" s="19">
        <f>SUMIFS(Entreprises!$N$5:$N$639,Entreprises!$A$5:$A$639,$A13,Entreprises!$C$5:$C$639,R$3,Entreprises!$D$5:$D$639,R$2)+SUMIFS(Banques!$P$5:$P$315,Banques!$A$5:$A$315,$A13,Banques!$C$5:$C$315,R$3,Banques!$D$5:$D$315,R$2)</f>
        <v/>
      </c>
      <c r="S13" s="19">
        <f>SUMIFS(Entreprises!$N$5:$N$639,Entreprises!$A$5:$A$639,$A13,Entreprises!$C$5:$C$639,S$3,Entreprises!$D$5:$D$639,S$2)+SUMIFS(Banques!$P$5:$P$315,Banques!$A$5:$A$315,$A13,Banques!$C$5:$C$315,S$3,Banques!$D$5:$D$315,S$2)</f>
        <v/>
      </c>
      <c r="T13" s="19">
        <f>SUMIFS(Entreprises!$N$5:$N$639,Entreprises!$A$5:$A$639,$A13,Entreprises!$C$5:$C$639,T$3,Entreprises!$D$5:$D$639,T$2)+SUMIFS(Banques!$P$5:$P$315,Banques!$A$5:$A$315,$A13,Banques!$C$5:$C$315,T$3,Banques!$D$5:$D$315,T$2)</f>
        <v/>
      </c>
      <c r="U13" s="19">
        <f>SUMIFS(Entreprises!$N$5:$N$639,Entreprises!$A$5:$A$639,$A13,Entreprises!$C$5:$C$639,U$3,Entreprises!$D$5:$D$639,U$2)+SUMIFS(Banques!$P$5:$P$315,Banques!$A$5:$A$315,$A13,Banques!$C$5:$C$315,U$3,Banques!$D$5:$D$315,U$2)</f>
        <v/>
      </c>
    </row>
    <row r="14">
      <c r="A14" s="18" t="inlineStr">
        <is>
          <t>ABJC</t>
        </is>
      </c>
      <c r="B14" s="18">
        <f>IFERROR(VLOOKUP(A14,Titres!$A$2:$D$400,2,FALSE),"")</f>
        <v/>
      </c>
      <c r="C14" s="18">
        <f>IFERROR(VLOOKUP(A14,Titres!$A$2:$D$400,4,FALSE),"")</f>
        <v/>
      </c>
      <c r="D14" s="19">
        <f>SUMIFS(Entreprises!$N$5:$N$639,Entreprises!$A$5:$A$639,$A14,Entreprises!$C$5:$C$639,D$3,Entreprises!$D$5:$D$639,D$2)+SUMIFS(Banques!$P$5:$P$315,Banques!$A$5:$A$315,$A14,Banques!$C$5:$C$315,D$3,Banques!$D$5:$D$315,D$2)</f>
        <v/>
      </c>
      <c r="E14" s="19">
        <f>SUMIFS(Entreprises!$N$5:$N$639,Entreprises!$A$5:$A$639,$A14,Entreprises!$C$5:$C$639,E$3,Entreprises!$D$5:$D$639,E$2)+SUMIFS(Banques!$P$5:$P$315,Banques!$A$5:$A$315,$A14,Banques!$C$5:$C$315,E$3,Banques!$D$5:$D$315,E$2)</f>
        <v/>
      </c>
      <c r="F14" s="19">
        <f>SUMIFS(Entreprises!$N$5:$N$639,Entreprises!$A$5:$A$639,$A14,Entreprises!$C$5:$C$639,F$3,Entreprises!$D$5:$D$639,F$2)+SUMIFS(Banques!$P$5:$P$315,Banques!$A$5:$A$315,$A14,Banques!$C$5:$C$315,F$3,Banques!$D$5:$D$315,F$2)</f>
        <v/>
      </c>
      <c r="G14" s="19">
        <f>SUMIFS(Entreprises!$N$5:$N$639,Entreprises!$A$5:$A$639,$A14,Entreprises!$C$5:$C$639,G$3,Entreprises!$D$5:$D$639,G$2)+SUMIFS(Banques!$P$5:$P$315,Banques!$A$5:$A$315,$A14,Banques!$C$5:$C$315,G$3,Banques!$D$5:$D$315,G$2)</f>
        <v/>
      </c>
      <c r="H14" s="19">
        <f>SUMIFS(Entreprises!$N$5:$N$639,Entreprises!$A$5:$A$639,$A14,Entreprises!$C$5:$C$639,H$3,Entreprises!$D$5:$D$639,H$2)+SUMIFS(Banques!$P$5:$P$315,Banques!$A$5:$A$315,$A14,Banques!$C$5:$C$315,H$3,Banques!$D$5:$D$315,H$2)</f>
        <v/>
      </c>
      <c r="I14" s="19">
        <f>SUMIFS(Entreprises!$N$5:$N$639,Entreprises!$A$5:$A$639,$A14,Entreprises!$C$5:$C$639,I$3,Entreprises!$D$5:$D$639,I$2)+SUMIFS(Banques!$P$5:$P$315,Banques!$A$5:$A$315,$A14,Banques!$C$5:$C$315,I$3,Banques!$D$5:$D$315,I$2)</f>
        <v/>
      </c>
      <c r="J14" s="19">
        <f>SUMIFS(Entreprises!$N$5:$N$639,Entreprises!$A$5:$A$639,$A14,Entreprises!$C$5:$C$639,J$3,Entreprises!$D$5:$D$639,J$2)+SUMIFS(Banques!$P$5:$P$315,Banques!$A$5:$A$315,$A14,Banques!$C$5:$C$315,J$3,Banques!$D$5:$D$315,J$2)</f>
        <v/>
      </c>
      <c r="K14" s="19">
        <f>SUMIFS(Entreprises!$N$5:$N$639,Entreprises!$A$5:$A$639,$A14,Entreprises!$C$5:$C$639,K$3,Entreprises!$D$5:$D$639,K$2)+SUMIFS(Banques!$P$5:$P$315,Banques!$A$5:$A$315,$A14,Banques!$C$5:$C$315,K$3,Banques!$D$5:$D$315,K$2)</f>
        <v/>
      </c>
      <c r="L14" s="19">
        <f>SUMIFS(Entreprises!$N$5:$N$639,Entreprises!$A$5:$A$639,$A14,Entreprises!$C$5:$C$639,L$3,Entreprises!$D$5:$D$639,L$2)+SUMIFS(Banques!$P$5:$P$315,Banques!$A$5:$A$315,$A14,Banques!$C$5:$C$315,L$3,Banques!$D$5:$D$315,L$2)</f>
        <v/>
      </c>
      <c r="M14" s="19">
        <f>SUMIFS(Entreprises!$N$5:$N$639,Entreprises!$A$5:$A$639,$A14,Entreprises!$C$5:$C$639,M$3,Entreprises!$D$5:$D$639,M$2)+SUMIFS(Banques!$P$5:$P$315,Banques!$A$5:$A$315,$A14,Banques!$C$5:$C$315,M$3,Banques!$D$5:$D$315,M$2)</f>
        <v/>
      </c>
      <c r="N14" s="19">
        <f>SUMIFS(Entreprises!$N$5:$N$639,Entreprises!$A$5:$A$639,$A14,Entreprises!$C$5:$C$639,N$3,Entreprises!$D$5:$D$639,N$2)+SUMIFS(Banques!$P$5:$P$315,Banques!$A$5:$A$315,$A14,Banques!$C$5:$C$315,N$3,Banques!$D$5:$D$315,N$2)</f>
        <v/>
      </c>
      <c r="O14" s="19">
        <f>SUMIFS(Entreprises!$N$5:$N$639,Entreprises!$A$5:$A$639,$A14,Entreprises!$C$5:$C$639,O$3,Entreprises!$D$5:$D$639,O$2)+SUMIFS(Banques!$P$5:$P$315,Banques!$A$5:$A$315,$A14,Banques!$C$5:$C$315,O$3,Banques!$D$5:$D$315,O$2)</f>
        <v/>
      </c>
      <c r="P14" s="19">
        <f>SUMIFS(Entreprises!$N$5:$N$639,Entreprises!$A$5:$A$639,$A14,Entreprises!$C$5:$C$639,P$3,Entreprises!$D$5:$D$639,P$2)+SUMIFS(Banques!$P$5:$P$315,Banques!$A$5:$A$315,$A14,Banques!$C$5:$C$315,P$3,Banques!$D$5:$D$315,P$2)</f>
        <v/>
      </c>
      <c r="Q14" s="19">
        <f>SUMIFS(Entreprises!$N$5:$N$639,Entreprises!$A$5:$A$639,$A14,Entreprises!$C$5:$C$639,Q$3,Entreprises!$D$5:$D$639,Q$2)+SUMIFS(Banques!$P$5:$P$315,Banques!$A$5:$A$315,$A14,Banques!$C$5:$C$315,Q$3,Banques!$D$5:$D$315,Q$2)</f>
        <v/>
      </c>
      <c r="R14" s="19">
        <f>SUMIFS(Entreprises!$N$5:$N$639,Entreprises!$A$5:$A$639,$A14,Entreprises!$C$5:$C$639,R$3,Entreprises!$D$5:$D$639,R$2)+SUMIFS(Banques!$P$5:$P$315,Banques!$A$5:$A$315,$A14,Banques!$C$5:$C$315,R$3,Banques!$D$5:$D$315,R$2)</f>
        <v/>
      </c>
      <c r="S14" s="19">
        <f>SUMIFS(Entreprises!$N$5:$N$639,Entreprises!$A$5:$A$639,$A14,Entreprises!$C$5:$C$639,S$3,Entreprises!$D$5:$D$639,S$2)+SUMIFS(Banques!$P$5:$P$315,Banques!$A$5:$A$315,$A14,Banques!$C$5:$C$315,S$3,Banques!$D$5:$D$315,S$2)</f>
        <v/>
      </c>
      <c r="T14" s="19">
        <f>SUMIFS(Entreprises!$N$5:$N$639,Entreprises!$A$5:$A$639,$A14,Entreprises!$C$5:$C$639,T$3,Entreprises!$D$5:$D$639,T$2)+SUMIFS(Banques!$P$5:$P$315,Banques!$A$5:$A$315,$A14,Banques!$C$5:$C$315,T$3,Banques!$D$5:$D$315,T$2)</f>
        <v/>
      </c>
      <c r="U14" s="19">
        <f>SUMIFS(Entreprises!$N$5:$N$639,Entreprises!$A$5:$A$639,$A14,Entreprises!$C$5:$C$639,U$3,Entreprises!$D$5:$D$639,U$2)+SUMIFS(Banques!$P$5:$P$315,Banques!$A$5:$A$315,$A14,Banques!$C$5:$C$315,U$3,Banques!$D$5:$D$315,U$2)</f>
        <v/>
      </c>
    </row>
    <row r="15">
      <c r="A15" s="18" t="inlineStr">
        <is>
          <t>BNBC</t>
        </is>
      </c>
      <c r="B15" s="18">
        <f>IFERROR(VLOOKUP(A15,Titres!$A$2:$D$400,2,FALSE),"")</f>
        <v/>
      </c>
      <c r="C15" s="18">
        <f>IFERROR(VLOOKUP(A15,Titres!$A$2:$D$400,4,FALSE),"")</f>
        <v/>
      </c>
      <c r="D15" s="19">
        <f>SUMIFS(Entreprises!$N$5:$N$639,Entreprises!$A$5:$A$639,$A15,Entreprises!$C$5:$C$639,D$3,Entreprises!$D$5:$D$639,D$2)+SUMIFS(Banques!$P$5:$P$315,Banques!$A$5:$A$315,$A15,Banques!$C$5:$C$315,D$3,Banques!$D$5:$D$315,D$2)</f>
        <v/>
      </c>
      <c r="E15" s="19">
        <f>SUMIFS(Entreprises!$N$5:$N$639,Entreprises!$A$5:$A$639,$A15,Entreprises!$C$5:$C$639,E$3,Entreprises!$D$5:$D$639,E$2)+SUMIFS(Banques!$P$5:$P$315,Banques!$A$5:$A$315,$A15,Banques!$C$5:$C$315,E$3,Banques!$D$5:$D$315,E$2)</f>
        <v/>
      </c>
      <c r="F15" s="19">
        <f>SUMIFS(Entreprises!$N$5:$N$639,Entreprises!$A$5:$A$639,$A15,Entreprises!$C$5:$C$639,F$3,Entreprises!$D$5:$D$639,F$2)+SUMIFS(Banques!$P$5:$P$315,Banques!$A$5:$A$315,$A15,Banques!$C$5:$C$315,F$3,Banques!$D$5:$D$315,F$2)</f>
        <v/>
      </c>
      <c r="G15" s="19">
        <f>SUMIFS(Entreprises!$N$5:$N$639,Entreprises!$A$5:$A$639,$A15,Entreprises!$C$5:$C$639,G$3,Entreprises!$D$5:$D$639,G$2)+SUMIFS(Banques!$P$5:$P$315,Banques!$A$5:$A$315,$A15,Banques!$C$5:$C$315,G$3,Banques!$D$5:$D$315,G$2)</f>
        <v/>
      </c>
      <c r="H15" s="19">
        <f>SUMIFS(Entreprises!$N$5:$N$639,Entreprises!$A$5:$A$639,$A15,Entreprises!$C$5:$C$639,H$3,Entreprises!$D$5:$D$639,H$2)+SUMIFS(Banques!$P$5:$P$315,Banques!$A$5:$A$315,$A15,Banques!$C$5:$C$315,H$3,Banques!$D$5:$D$315,H$2)</f>
        <v/>
      </c>
      <c r="I15" s="19">
        <f>SUMIFS(Entreprises!$N$5:$N$639,Entreprises!$A$5:$A$639,$A15,Entreprises!$C$5:$C$639,I$3,Entreprises!$D$5:$D$639,I$2)+SUMIFS(Banques!$P$5:$P$315,Banques!$A$5:$A$315,$A15,Banques!$C$5:$C$315,I$3,Banques!$D$5:$D$315,I$2)</f>
        <v/>
      </c>
      <c r="J15" s="19">
        <f>SUMIFS(Entreprises!$N$5:$N$639,Entreprises!$A$5:$A$639,$A15,Entreprises!$C$5:$C$639,J$3,Entreprises!$D$5:$D$639,J$2)+SUMIFS(Banques!$P$5:$P$315,Banques!$A$5:$A$315,$A15,Banques!$C$5:$C$315,J$3,Banques!$D$5:$D$315,J$2)</f>
        <v/>
      </c>
      <c r="K15" s="19">
        <f>SUMIFS(Entreprises!$N$5:$N$639,Entreprises!$A$5:$A$639,$A15,Entreprises!$C$5:$C$639,K$3,Entreprises!$D$5:$D$639,K$2)+SUMIFS(Banques!$P$5:$P$315,Banques!$A$5:$A$315,$A15,Banques!$C$5:$C$315,K$3,Banques!$D$5:$D$315,K$2)</f>
        <v/>
      </c>
      <c r="L15" s="19">
        <f>SUMIFS(Entreprises!$N$5:$N$639,Entreprises!$A$5:$A$639,$A15,Entreprises!$C$5:$C$639,L$3,Entreprises!$D$5:$D$639,L$2)+SUMIFS(Banques!$P$5:$P$315,Banques!$A$5:$A$315,$A15,Banques!$C$5:$C$315,L$3,Banques!$D$5:$D$315,L$2)</f>
        <v/>
      </c>
      <c r="M15" s="19">
        <f>SUMIFS(Entreprises!$N$5:$N$639,Entreprises!$A$5:$A$639,$A15,Entreprises!$C$5:$C$639,M$3,Entreprises!$D$5:$D$639,M$2)+SUMIFS(Banques!$P$5:$P$315,Banques!$A$5:$A$315,$A15,Banques!$C$5:$C$315,M$3,Banques!$D$5:$D$315,M$2)</f>
        <v/>
      </c>
      <c r="N15" s="19">
        <f>SUMIFS(Entreprises!$N$5:$N$639,Entreprises!$A$5:$A$639,$A15,Entreprises!$C$5:$C$639,N$3,Entreprises!$D$5:$D$639,N$2)+SUMIFS(Banques!$P$5:$P$315,Banques!$A$5:$A$315,$A15,Banques!$C$5:$C$315,N$3,Banques!$D$5:$D$315,N$2)</f>
        <v/>
      </c>
      <c r="O15" s="19">
        <f>SUMIFS(Entreprises!$N$5:$N$639,Entreprises!$A$5:$A$639,$A15,Entreprises!$C$5:$C$639,O$3,Entreprises!$D$5:$D$639,O$2)+SUMIFS(Banques!$P$5:$P$315,Banques!$A$5:$A$315,$A15,Banques!$C$5:$C$315,O$3,Banques!$D$5:$D$315,O$2)</f>
        <v/>
      </c>
      <c r="P15" s="19">
        <f>SUMIFS(Entreprises!$N$5:$N$639,Entreprises!$A$5:$A$639,$A15,Entreprises!$C$5:$C$639,P$3,Entreprises!$D$5:$D$639,P$2)+SUMIFS(Banques!$P$5:$P$315,Banques!$A$5:$A$315,$A15,Banques!$C$5:$C$315,P$3,Banques!$D$5:$D$315,P$2)</f>
        <v/>
      </c>
      <c r="Q15" s="19">
        <f>SUMIFS(Entreprises!$N$5:$N$639,Entreprises!$A$5:$A$639,$A15,Entreprises!$C$5:$C$639,Q$3,Entreprises!$D$5:$D$639,Q$2)+SUMIFS(Banques!$P$5:$P$315,Banques!$A$5:$A$315,$A15,Banques!$C$5:$C$315,Q$3,Banques!$D$5:$D$315,Q$2)</f>
        <v/>
      </c>
      <c r="R15" s="19">
        <f>SUMIFS(Entreprises!$N$5:$N$639,Entreprises!$A$5:$A$639,$A15,Entreprises!$C$5:$C$639,R$3,Entreprises!$D$5:$D$639,R$2)+SUMIFS(Banques!$P$5:$P$315,Banques!$A$5:$A$315,$A15,Banques!$C$5:$C$315,R$3,Banques!$D$5:$D$315,R$2)</f>
        <v/>
      </c>
      <c r="S15" s="19">
        <f>SUMIFS(Entreprises!$N$5:$N$639,Entreprises!$A$5:$A$639,$A15,Entreprises!$C$5:$C$639,S$3,Entreprises!$D$5:$D$639,S$2)+SUMIFS(Banques!$P$5:$P$315,Banques!$A$5:$A$315,$A15,Banques!$C$5:$C$315,S$3,Banques!$D$5:$D$315,S$2)</f>
        <v/>
      </c>
      <c r="T15" s="19">
        <f>SUMIFS(Entreprises!$N$5:$N$639,Entreprises!$A$5:$A$639,$A15,Entreprises!$C$5:$C$639,T$3,Entreprises!$D$5:$D$639,T$2)+SUMIFS(Banques!$P$5:$P$315,Banques!$A$5:$A$315,$A15,Banques!$C$5:$C$315,T$3,Banques!$D$5:$D$315,T$2)</f>
        <v/>
      </c>
      <c r="U15" s="19">
        <f>SUMIFS(Entreprises!$N$5:$N$639,Entreprises!$A$5:$A$639,$A15,Entreprises!$C$5:$C$639,U$3,Entreprises!$D$5:$D$639,U$2)+SUMIFS(Banques!$P$5:$P$315,Banques!$A$5:$A$315,$A15,Banques!$C$5:$C$315,U$3,Banques!$D$5:$D$315,U$2)</f>
        <v/>
      </c>
    </row>
    <row r="16">
      <c r="A16" s="18" t="inlineStr">
        <is>
          <t>CFAC</t>
        </is>
      </c>
      <c r="B16" s="18">
        <f>IFERROR(VLOOKUP(A16,Titres!$A$2:$D$400,2,FALSE),"")</f>
        <v/>
      </c>
      <c r="C16" s="18">
        <f>IFERROR(VLOOKUP(A16,Titres!$A$2:$D$400,4,FALSE),"")</f>
        <v/>
      </c>
      <c r="D16" s="19">
        <f>SUMIFS(Entreprises!$N$5:$N$639,Entreprises!$A$5:$A$639,$A16,Entreprises!$C$5:$C$639,D$3,Entreprises!$D$5:$D$639,D$2)+SUMIFS(Banques!$P$5:$P$315,Banques!$A$5:$A$315,$A16,Banques!$C$5:$C$315,D$3,Banques!$D$5:$D$315,D$2)</f>
        <v/>
      </c>
      <c r="E16" s="19">
        <f>SUMIFS(Entreprises!$N$5:$N$639,Entreprises!$A$5:$A$639,$A16,Entreprises!$C$5:$C$639,E$3,Entreprises!$D$5:$D$639,E$2)+SUMIFS(Banques!$P$5:$P$315,Banques!$A$5:$A$315,$A16,Banques!$C$5:$C$315,E$3,Banques!$D$5:$D$315,E$2)</f>
        <v/>
      </c>
      <c r="F16" s="19">
        <f>SUMIFS(Entreprises!$N$5:$N$639,Entreprises!$A$5:$A$639,$A16,Entreprises!$C$5:$C$639,F$3,Entreprises!$D$5:$D$639,F$2)+SUMIFS(Banques!$P$5:$P$315,Banques!$A$5:$A$315,$A16,Banques!$C$5:$C$315,F$3,Banques!$D$5:$D$315,F$2)</f>
        <v/>
      </c>
      <c r="G16" s="19">
        <f>SUMIFS(Entreprises!$N$5:$N$639,Entreprises!$A$5:$A$639,$A16,Entreprises!$C$5:$C$639,G$3,Entreprises!$D$5:$D$639,G$2)+SUMIFS(Banques!$P$5:$P$315,Banques!$A$5:$A$315,$A16,Banques!$C$5:$C$315,G$3,Banques!$D$5:$D$315,G$2)</f>
        <v/>
      </c>
      <c r="H16" s="19">
        <f>SUMIFS(Entreprises!$N$5:$N$639,Entreprises!$A$5:$A$639,$A16,Entreprises!$C$5:$C$639,H$3,Entreprises!$D$5:$D$639,H$2)+SUMIFS(Banques!$P$5:$P$315,Banques!$A$5:$A$315,$A16,Banques!$C$5:$C$315,H$3,Banques!$D$5:$D$315,H$2)</f>
        <v/>
      </c>
      <c r="I16" s="19">
        <f>SUMIFS(Entreprises!$N$5:$N$639,Entreprises!$A$5:$A$639,$A16,Entreprises!$C$5:$C$639,I$3,Entreprises!$D$5:$D$639,I$2)+SUMIFS(Banques!$P$5:$P$315,Banques!$A$5:$A$315,$A16,Banques!$C$5:$C$315,I$3,Banques!$D$5:$D$315,I$2)</f>
        <v/>
      </c>
      <c r="J16" s="19">
        <f>SUMIFS(Entreprises!$N$5:$N$639,Entreprises!$A$5:$A$639,$A16,Entreprises!$C$5:$C$639,J$3,Entreprises!$D$5:$D$639,J$2)+SUMIFS(Banques!$P$5:$P$315,Banques!$A$5:$A$315,$A16,Banques!$C$5:$C$315,J$3,Banques!$D$5:$D$315,J$2)</f>
        <v/>
      </c>
      <c r="K16" s="19">
        <f>SUMIFS(Entreprises!$N$5:$N$639,Entreprises!$A$5:$A$639,$A16,Entreprises!$C$5:$C$639,K$3,Entreprises!$D$5:$D$639,K$2)+SUMIFS(Banques!$P$5:$P$315,Banques!$A$5:$A$315,$A16,Banques!$C$5:$C$315,K$3,Banques!$D$5:$D$315,K$2)</f>
        <v/>
      </c>
      <c r="L16" s="19">
        <f>SUMIFS(Entreprises!$N$5:$N$639,Entreprises!$A$5:$A$639,$A16,Entreprises!$C$5:$C$639,L$3,Entreprises!$D$5:$D$639,L$2)+SUMIFS(Banques!$P$5:$P$315,Banques!$A$5:$A$315,$A16,Banques!$C$5:$C$315,L$3,Banques!$D$5:$D$315,L$2)</f>
        <v/>
      </c>
      <c r="M16" s="19">
        <f>SUMIFS(Entreprises!$N$5:$N$639,Entreprises!$A$5:$A$639,$A16,Entreprises!$C$5:$C$639,M$3,Entreprises!$D$5:$D$639,M$2)+SUMIFS(Banques!$P$5:$P$315,Banques!$A$5:$A$315,$A16,Banques!$C$5:$C$315,M$3,Banques!$D$5:$D$315,M$2)</f>
        <v/>
      </c>
      <c r="N16" s="19">
        <f>SUMIFS(Entreprises!$N$5:$N$639,Entreprises!$A$5:$A$639,$A16,Entreprises!$C$5:$C$639,N$3,Entreprises!$D$5:$D$639,N$2)+SUMIFS(Banques!$P$5:$P$315,Banques!$A$5:$A$315,$A16,Banques!$C$5:$C$315,N$3,Banques!$D$5:$D$315,N$2)</f>
        <v/>
      </c>
      <c r="O16" s="19">
        <f>SUMIFS(Entreprises!$N$5:$N$639,Entreprises!$A$5:$A$639,$A16,Entreprises!$C$5:$C$639,O$3,Entreprises!$D$5:$D$639,O$2)+SUMIFS(Banques!$P$5:$P$315,Banques!$A$5:$A$315,$A16,Banques!$C$5:$C$315,O$3,Banques!$D$5:$D$315,O$2)</f>
        <v/>
      </c>
      <c r="P16" s="19">
        <f>SUMIFS(Entreprises!$N$5:$N$639,Entreprises!$A$5:$A$639,$A16,Entreprises!$C$5:$C$639,P$3,Entreprises!$D$5:$D$639,P$2)+SUMIFS(Banques!$P$5:$P$315,Banques!$A$5:$A$315,$A16,Banques!$C$5:$C$315,P$3,Banques!$D$5:$D$315,P$2)</f>
        <v/>
      </c>
      <c r="Q16" s="19">
        <f>SUMIFS(Entreprises!$N$5:$N$639,Entreprises!$A$5:$A$639,$A16,Entreprises!$C$5:$C$639,Q$3,Entreprises!$D$5:$D$639,Q$2)+SUMIFS(Banques!$P$5:$P$315,Banques!$A$5:$A$315,$A16,Banques!$C$5:$C$315,Q$3,Banques!$D$5:$D$315,Q$2)</f>
        <v/>
      </c>
      <c r="R16" s="19">
        <f>SUMIFS(Entreprises!$N$5:$N$639,Entreprises!$A$5:$A$639,$A16,Entreprises!$C$5:$C$639,R$3,Entreprises!$D$5:$D$639,R$2)+SUMIFS(Banques!$P$5:$P$315,Banques!$A$5:$A$315,$A16,Banques!$C$5:$C$315,R$3,Banques!$D$5:$D$315,R$2)</f>
        <v/>
      </c>
      <c r="S16" s="19">
        <f>SUMIFS(Entreprises!$N$5:$N$639,Entreprises!$A$5:$A$639,$A16,Entreprises!$C$5:$C$639,S$3,Entreprises!$D$5:$D$639,S$2)+SUMIFS(Banques!$P$5:$P$315,Banques!$A$5:$A$315,$A16,Banques!$C$5:$C$315,S$3,Banques!$D$5:$D$315,S$2)</f>
        <v/>
      </c>
      <c r="T16" s="19">
        <f>SUMIFS(Entreprises!$N$5:$N$639,Entreprises!$A$5:$A$639,$A16,Entreprises!$C$5:$C$639,T$3,Entreprises!$D$5:$D$639,T$2)+SUMIFS(Banques!$P$5:$P$315,Banques!$A$5:$A$315,$A16,Banques!$C$5:$C$315,T$3,Banques!$D$5:$D$315,T$2)</f>
        <v/>
      </c>
      <c r="U16" s="19">
        <f>SUMIFS(Entreprises!$N$5:$N$639,Entreprises!$A$5:$A$639,$A16,Entreprises!$C$5:$C$639,U$3,Entreprises!$D$5:$D$639,U$2)+SUMIFS(Banques!$P$5:$P$315,Banques!$A$5:$A$315,$A16,Banques!$C$5:$C$315,U$3,Banques!$D$5:$D$315,U$2)</f>
        <v/>
      </c>
    </row>
    <row r="17">
      <c r="A17" s="18" t="inlineStr">
        <is>
          <t>LNBB</t>
        </is>
      </c>
      <c r="B17" s="18">
        <f>IFERROR(VLOOKUP(A17,Titres!$A$2:$D$400,2,FALSE),"")</f>
        <v/>
      </c>
      <c r="C17" s="18">
        <f>IFERROR(VLOOKUP(A17,Titres!$A$2:$D$400,4,FALSE),"")</f>
        <v/>
      </c>
      <c r="D17" s="19">
        <f>SUMIFS(Entreprises!$N$5:$N$639,Entreprises!$A$5:$A$639,$A17,Entreprises!$C$5:$C$639,D$3,Entreprises!$D$5:$D$639,D$2)+SUMIFS(Banques!$P$5:$P$315,Banques!$A$5:$A$315,$A17,Banques!$C$5:$C$315,D$3,Banques!$D$5:$D$315,D$2)</f>
        <v/>
      </c>
      <c r="E17" s="19">
        <f>SUMIFS(Entreprises!$N$5:$N$639,Entreprises!$A$5:$A$639,$A17,Entreprises!$C$5:$C$639,E$3,Entreprises!$D$5:$D$639,E$2)+SUMIFS(Banques!$P$5:$P$315,Banques!$A$5:$A$315,$A17,Banques!$C$5:$C$315,E$3,Banques!$D$5:$D$315,E$2)</f>
        <v/>
      </c>
      <c r="F17" s="19">
        <f>SUMIFS(Entreprises!$N$5:$N$639,Entreprises!$A$5:$A$639,$A17,Entreprises!$C$5:$C$639,F$3,Entreprises!$D$5:$D$639,F$2)+SUMIFS(Banques!$P$5:$P$315,Banques!$A$5:$A$315,$A17,Banques!$C$5:$C$315,F$3,Banques!$D$5:$D$315,F$2)</f>
        <v/>
      </c>
      <c r="G17" s="19">
        <f>SUMIFS(Entreprises!$N$5:$N$639,Entreprises!$A$5:$A$639,$A17,Entreprises!$C$5:$C$639,G$3,Entreprises!$D$5:$D$639,G$2)+SUMIFS(Banques!$P$5:$P$315,Banques!$A$5:$A$315,$A17,Banques!$C$5:$C$315,G$3,Banques!$D$5:$D$315,G$2)</f>
        <v/>
      </c>
      <c r="H17" s="19">
        <f>SUMIFS(Entreprises!$N$5:$N$639,Entreprises!$A$5:$A$639,$A17,Entreprises!$C$5:$C$639,H$3,Entreprises!$D$5:$D$639,H$2)+SUMIFS(Banques!$P$5:$P$315,Banques!$A$5:$A$315,$A17,Banques!$C$5:$C$315,H$3,Banques!$D$5:$D$315,H$2)</f>
        <v/>
      </c>
      <c r="I17" s="19">
        <f>SUMIFS(Entreprises!$N$5:$N$639,Entreprises!$A$5:$A$639,$A17,Entreprises!$C$5:$C$639,I$3,Entreprises!$D$5:$D$639,I$2)+SUMIFS(Banques!$P$5:$P$315,Banques!$A$5:$A$315,$A17,Banques!$C$5:$C$315,I$3,Banques!$D$5:$D$315,I$2)</f>
        <v/>
      </c>
      <c r="J17" s="19">
        <f>SUMIFS(Entreprises!$N$5:$N$639,Entreprises!$A$5:$A$639,$A17,Entreprises!$C$5:$C$639,J$3,Entreprises!$D$5:$D$639,J$2)+SUMIFS(Banques!$P$5:$P$315,Banques!$A$5:$A$315,$A17,Banques!$C$5:$C$315,J$3,Banques!$D$5:$D$315,J$2)</f>
        <v/>
      </c>
      <c r="K17" s="19">
        <f>SUMIFS(Entreprises!$N$5:$N$639,Entreprises!$A$5:$A$639,$A17,Entreprises!$C$5:$C$639,K$3,Entreprises!$D$5:$D$639,K$2)+SUMIFS(Banques!$P$5:$P$315,Banques!$A$5:$A$315,$A17,Banques!$C$5:$C$315,K$3,Banques!$D$5:$D$315,K$2)</f>
        <v/>
      </c>
      <c r="L17" s="19">
        <f>SUMIFS(Entreprises!$N$5:$N$639,Entreprises!$A$5:$A$639,$A17,Entreprises!$C$5:$C$639,L$3,Entreprises!$D$5:$D$639,L$2)+SUMIFS(Banques!$P$5:$P$315,Banques!$A$5:$A$315,$A17,Banques!$C$5:$C$315,L$3,Banques!$D$5:$D$315,L$2)</f>
        <v/>
      </c>
      <c r="M17" s="19">
        <f>SUMIFS(Entreprises!$N$5:$N$639,Entreprises!$A$5:$A$639,$A17,Entreprises!$C$5:$C$639,M$3,Entreprises!$D$5:$D$639,M$2)+SUMIFS(Banques!$P$5:$P$315,Banques!$A$5:$A$315,$A17,Banques!$C$5:$C$315,M$3,Banques!$D$5:$D$315,M$2)</f>
        <v/>
      </c>
      <c r="N17" s="19">
        <f>SUMIFS(Entreprises!$N$5:$N$639,Entreprises!$A$5:$A$639,$A17,Entreprises!$C$5:$C$639,N$3,Entreprises!$D$5:$D$639,N$2)+SUMIFS(Banques!$P$5:$P$315,Banques!$A$5:$A$315,$A17,Banques!$C$5:$C$315,N$3,Banques!$D$5:$D$315,N$2)</f>
        <v/>
      </c>
      <c r="O17" s="19">
        <f>SUMIFS(Entreprises!$N$5:$N$639,Entreprises!$A$5:$A$639,$A17,Entreprises!$C$5:$C$639,O$3,Entreprises!$D$5:$D$639,O$2)+SUMIFS(Banques!$P$5:$P$315,Banques!$A$5:$A$315,$A17,Banques!$C$5:$C$315,O$3,Banques!$D$5:$D$315,O$2)</f>
        <v/>
      </c>
      <c r="P17" s="19">
        <f>SUMIFS(Entreprises!$N$5:$N$639,Entreprises!$A$5:$A$639,$A17,Entreprises!$C$5:$C$639,P$3,Entreprises!$D$5:$D$639,P$2)+SUMIFS(Banques!$P$5:$P$315,Banques!$A$5:$A$315,$A17,Banques!$C$5:$C$315,P$3,Banques!$D$5:$D$315,P$2)</f>
        <v/>
      </c>
      <c r="Q17" s="19">
        <f>SUMIFS(Entreprises!$N$5:$N$639,Entreprises!$A$5:$A$639,$A17,Entreprises!$C$5:$C$639,Q$3,Entreprises!$D$5:$D$639,Q$2)+SUMIFS(Banques!$P$5:$P$315,Banques!$A$5:$A$315,$A17,Banques!$C$5:$C$315,Q$3,Banques!$D$5:$D$315,Q$2)</f>
        <v/>
      </c>
      <c r="R17" s="19">
        <f>SUMIFS(Entreprises!$N$5:$N$639,Entreprises!$A$5:$A$639,$A17,Entreprises!$C$5:$C$639,R$3,Entreprises!$D$5:$D$639,R$2)+SUMIFS(Banques!$P$5:$P$315,Banques!$A$5:$A$315,$A17,Banques!$C$5:$C$315,R$3,Banques!$D$5:$D$315,R$2)</f>
        <v/>
      </c>
      <c r="S17" s="19">
        <f>SUMIFS(Entreprises!$N$5:$N$639,Entreprises!$A$5:$A$639,$A17,Entreprises!$C$5:$C$639,S$3,Entreprises!$D$5:$D$639,S$2)+SUMIFS(Banques!$P$5:$P$315,Banques!$A$5:$A$315,$A17,Banques!$C$5:$C$315,S$3,Banques!$D$5:$D$315,S$2)</f>
        <v/>
      </c>
      <c r="T17" s="19">
        <f>SUMIFS(Entreprises!$N$5:$N$639,Entreprises!$A$5:$A$639,$A17,Entreprises!$C$5:$C$639,T$3,Entreprises!$D$5:$D$639,T$2)+SUMIFS(Banques!$P$5:$P$315,Banques!$A$5:$A$315,$A17,Banques!$C$5:$C$315,T$3,Banques!$D$5:$D$315,T$2)</f>
        <v/>
      </c>
      <c r="U17" s="19">
        <f>SUMIFS(Entreprises!$N$5:$N$639,Entreprises!$A$5:$A$639,$A17,Entreprises!$C$5:$C$639,U$3,Entreprises!$D$5:$D$639,U$2)+SUMIFS(Banques!$P$5:$P$315,Banques!$A$5:$A$315,$A17,Banques!$C$5:$C$315,U$3,Banques!$D$5:$D$315,U$2)</f>
        <v/>
      </c>
    </row>
    <row r="18">
      <c r="A18" s="18" t="inlineStr">
        <is>
          <t>NEIC</t>
        </is>
      </c>
      <c r="B18" s="18">
        <f>IFERROR(VLOOKUP(A18,Titres!$A$2:$D$400,2,FALSE),"")</f>
        <v/>
      </c>
      <c r="C18" s="18">
        <f>IFERROR(VLOOKUP(A18,Titres!$A$2:$D$400,4,FALSE),"")</f>
        <v/>
      </c>
      <c r="D18" s="19">
        <f>SUMIFS(Entreprises!$N$5:$N$639,Entreprises!$A$5:$A$639,$A18,Entreprises!$C$5:$C$639,D$3,Entreprises!$D$5:$D$639,D$2)+SUMIFS(Banques!$P$5:$P$315,Banques!$A$5:$A$315,$A18,Banques!$C$5:$C$315,D$3,Banques!$D$5:$D$315,D$2)</f>
        <v/>
      </c>
      <c r="E18" s="19">
        <f>SUMIFS(Entreprises!$N$5:$N$639,Entreprises!$A$5:$A$639,$A18,Entreprises!$C$5:$C$639,E$3,Entreprises!$D$5:$D$639,E$2)+SUMIFS(Banques!$P$5:$P$315,Banques!$A$5:$A$315,$A18,Banques!$C$5:$C$315,E$3,Banques!$D$5:$D$315,E$2)</f>
        <v/>
      </c>
      <c r="F18" s="19">
        <f>SUMIFS(Entreprises!$N$5:$N$639,Entreprises!$A$5:$A$639,$A18,Entreprises!$C$5:$C$639,F$3,Entreprises!$D$5:$D$639,F$2)+SUMIFS(Banques!$P$5:$P$315,Banques!$A$5:$A$315,$A18,Banques!$C$5:$C$315,F$3,Banques!$D$5:$D$315,F$2)</f>
        <v/>
      </c>
      <c r="G18" s="19">
        <f>SUMIFS(Entreprises!$N$5:$N$639,Entreprises!$A$5:$A$639,$A18,Entreprises!$C$5:$C$639,G$3,Entreprises!$D$5:$D$639,G$2)+SUMIFS(Banques!$P$5:$P$315,Banques!$A$5:$A$315,$A18,Banques!$C$5:$C$315,G$3,Banques!$D$5:$D$315,G$2)</f>
        <v/>
      </c>
      <c r="H18" s="19">
        <f>SUMIFS(Entreprises!$N$5:$N$639,Entreprises!$A$5:$A$639,$A18,Entreprises!$C$5:$C$639,H$3,Entreprises!$D$5:$D$639,H$2)+SUMIFS(Banques!$P$5:$P$315,Banques!$A$5:$A$315,$A18,Banques!$C$5:$C$315,H$3,Banques!$D$5:$D$315,H$2)</f>
        <v/>
      </c>
      <c r="I18" s="19">
        <f>SUMIFS(Entreprises!$N$5:$N$639,Entreprises!$A$5:$A$639,$A18,Entreprises!$C$5:$C$639,I$3,Entreprises!$D$5:$D$639,I$2)+SUMIFS(Banques!$P$5:$P$315,Banques!$A$5:$A$315,$A18,Banques!$C$5:$C$315,I$3,Banques!$D$5:$D$315,I$2)</f>
        <v/>
      </c>
      <c r="J18" s="19">
        <f>SUMIFS(Entreprises!$N$5:$N$639,Entreprises!$A$5:$A$639,$A18,Entreprises!$C$5:$C$639,J$3,Entreprises!$D$5:$D$639,J$2)+SUMIFS(Banques!$P$5:$P$315,Banques!$A$5:$A$315,$A18,Banques!$C$5:$C$315,J$3,Banques!$D$5:$D$315,J$2)</f>
        <v/>
      </c>
      <c r="K18" s="19">
        <f>SUMIFS(Entreprises!$N$5:$N$639,Entreprises!$A$5:$A$639,$A18,Entreprises!$C$5:$C$639,K$3,Entreprises!$D$5:$D$639,K$2)+SUMIFS(Banques!$P$5:$P$315,Banques!$A$5:$A$315,$A18,Banques!$C$5:$C$315,K$3,Banques!$D$5:$D$315,K$2)</f>
        <v/>
      </c>
      <c r="L18" s="19">
        <f>SUMIFS(Entreprises!$N$5:$N$639,Entreprises!$A$5:$A$639,$A18,Entreprises!$C$5:$C$639,L$3,Entreprises!$D$5:$D$639,L$2)+SUMIFS(Banques!$P$5:$P$315,Banques!$A$5:$A$315,$A18,Banques!$C$5:$C$315,L$3,Banques!$D$5:$D$315,L$2)</f>
        <v/>
      </c>
      <c r="M18" s="19">
        <f>SUMIFS(Entreprises!$N$5:$N$639,Entreprises!$A$5:$A$639,$A18,Entreprises!$C$5:$C$639,M$3,Entreprises!$D$5:$D$639,M$2)+SUMIFS(Banques!$P$5:$P$315,Banques!$A$5:$A$315,$A18,Banques!$C$5:$C$315,M$3,Banques!$D$5:$D$315,M$2)</f>
        <v/>
      </c>
      <c r="N18" s="19">
        <f>SUMIFS(Entreprises!$N$5:$N$639,Entreprises!$A$5:$A$639,$A18,Entreprises!$C$5:$C$639,N$3,Entreprises!$D$5:$D$639,N$2)+SUMIFS(Banques!$P$5:$P$315,Banques!$A$5:$A$315,$A18,Banques!$C$5:$C$315,N$3,Banques!$D$5:$D$315,N$2)</f>
        <v/>
      </c>
      <c r="O18" s="19">
        <f>SUMIFS(Entreprises!$N$5:$N$639,Entreprises!$A$5:$A$639,$A18,Entreprises!$C$5:$C$639,O$3,Entreprises!$D$5:$D$639,O$2)+SUMIFS(Banques!$P$5:$P$315,Banques!$A$5:$A$315,$A18,Banques!$C$5:$C$315,O$3,Banques!$D$5:$D$315,O$2)</f>
        <v/>
      </c>
      <c r="P18" s="19">
        <f>SUMIFS(Entreprises!$N$5:$N$639,Entreprises!$A$5:$A$639,$A18,Entreprises!$C$5:$C$639,P$3,Entreprises!$D$5:$D$639,P$2)+SUMIFS(Banques!$P$5:$P$315,Banques!$A$5:$A$315,$A18,Banques!$C$5:$C$315,P$3,Banques!$D$5:$D$315,P$2)</f>
        <v/>
      </c>
      <c r="Q18" s="19">
        <f>SUMIFS(Entreprises!$N$5:$N$639,Entreprises!$A$5:$A$639,$A18,Entreprises!$C$5:$C$639,Q$3,Entreprises!$D$5:$D$639,Q$2)+SUMIFS(Banques!$P$5:$P$315,Banques!$A$5:$A$315,$A18,Banques!$C$5:$C$315,Q$3,Banques!$D$5:$D$315,Q$2)</f>
        <v/>
      </c>
      <c r="R18" s="19">
        <f>SUMIFS(Entreprises!$N$5:$N$639,Entreprises!$A$5:$A$639,$A18,Entreprises!$C$5:$C$639,R$3,Entreprises!$D$5:$D$639,R$2)+SUMIFS(Banques!$P$5:$P$315,Banques!$A$5:$A$315,$A18,Banques!$C$5:$C$315,R$3,Banques!$D$5:$D$315,R$2)</f>
        <v/>
      </c>
      <c r="S18" s="19">
        <f>SUMIFS(Entreprises!$N$5:$N$639,Entreprises!$A$5:$A$639,$A18,Entreprises!$C$5:$C$639,S$3,Entreprises!$D$5:$D$639,S$2)+SUMIFS(Banques!$P$5:$P$315,Banques!$A$5:$A$315,$A18,Banques!$C$5:$C$315,S$3,Banques!$D$5:$D$315,S$2)</f>
        <v/>
      </c>
      <c r="T18" s="19">
        <f>SUMIFS(Entreprises!$N$5:$N$639,Entreprises!$A$5:$A$639,$A18,Entreprises!$C$5:$C$639,T$3,Entreprises!$D$5:$D$639,T$2)+SUMIFS(Banques!$P$5:$P$315,Banques!$A$5:$A$315,$A18,Banques!$C$5:$C$315,T$3,Banques!$D$5:$D$315,T$2)</f>
        <v/>
      </c>
      <c r="U18" s="19">
        <f>SUMIFS(Entreprises!$N$5:$N$639,Entreprises!$A$5:$A$639,$A18,Entreprises!$C$5:$C$639,U$3,Entreprises!$D$5:$D$639,U$2)+SUMIFS(Banques!$P$5:$P$315,Banques!$A$5:$A$315,$A18,Banques!$C$5:$C$315,U$3,Banques!$D$5:$D$315,U$2)</f>
        <v/>
      </c>
    </row>
    <row r="19">
      <c r="A19" s="18" t="inlineStr">
        <is>
          <t>PRSC</t>
        </is>
      </c>
      <c r="B19" s="18">
        <f>IFERROR(VLOOKUP(A19,Titres!$A$2:$D$400,2,FALSE),"")</f>
        <v/>
      </c>
      <c r="C19" s="18">
        <f>IFERROR(VLOOKUP(A19,Titres!$A$2:$D$400,4,FALSE),"")</f>
        <v/>
      </c>
      <c r="D19" s="19">
        <f>SUMIFS(Entreprises!$N$5:$N$639,Entreprises!$A$5:$A$639,$A19,Entreprises!$C$5:$C$639,D$3,Entreprises!$D$5:$D$639,D$2)+SUMIFS(Banques!$P$5:$P$315,Banques!$A$5:$A$315,$A19,Banques!$C$5:$C$315,D$3,Banques!$D$5:$D$315,D$2)</f>
        <v/>
      </c>
      <c r="E19" s="19">
        <f>SUMIFS(Entreprises!$N$5:$N$639,Entreprises!$A$5:$A$639,$A19,Entreprises!$C$5:$C$639,E$3,Entreprises!$D$5:$D$639,E$2)+SUMIFS(Banques!$P$5:$P$315,Banques!$A$5:$A$315,$A19,Banques!$C$5:$C$315,E$3,Banques!$D$5:$D$315,E$2)</f>
        <v/>
      </c>
      <c r="F19" s="19">
        <f>SUMIFS(Entreprises!$N$5:$N$639,Entreprises!$A$5:$A$639,$A19,Entreprises!$C$5:$C$639,F$3,Entreprises!$D$5:$D$639,F$2)+SUMIFS(Banques!$P$5:$P$315,Banques!$A$5:$A$315,$A19,Banques!$C$5:$C$315,F$3,Banques!$D$5:$D$315,F$2)</f>
        <v/>
      </c>
      <c r="G19" s="19">
        <f>SUMIFS(Entreprises!$N$5:$N$639,Entreprises!$A$5:$A$639,$A19,Entreprises!$C$5:$C$639,G$3,Entreprises!$D$5:$D$639,G$2)+SUMIFS(Banques!$P$5:$P$315,Banques!$A$5:$A$315,$A19,Banques!$C$5:$C$315,G$3,Banques!$D$5:$D$315,G$2)</f>
        <v/>
      </c>
      <c r="H19" s="19">
        <f>SUMIFS(Entreprises!$N$5:$N$639,Entreprises!$A$5:$A$639,$A19,Entreprises!$C$5:$C$639,H$3,Entreprises!$D$5:$D$639,H$2)+SUMIFS(Banques!$P$5:$P$315,Banques!$A$5:$A$315,$A19,Banques!$C$5:$C$315,H$3,Banques!$D$5:$D$315,H$2)</f>
        <v/>
      </c>
      <c r="I19" s="19">
        <f>SUMIFS(Entreprises!$N$5:$N$639,Entreprises!$A$5:$A$639,$A19,Entreprises!$C$5:$C$639,I$3,Entreprises!$D$5:$D$639,I$2)+SUMIFS(Banques!$P$5:$P$315,Banques!$A$5:$A$315,$A19,Banques!$C$5:$C$315,I$3,Banques!$D$5:$D$315,I$2)</f>
        <v/>
      </c>
      <c r="J19" s="19">
        <f>SUMIFS(Entreprises!$N$5:$N$639,Entreprises!$A$5:$A$639,$A19,Entreprises!$C$5:$C$639,J$3,Entreprises!$D$5:$D$639,J$2)+SUMIFS(Banques!$P$5:$P$315,Banques!$A$5:$A$315,$A19,Banques!$C$5:$C$315,J$3,Banques!$D$5:$D$315,J$2)</f>
        <v/>
      </c>
      <c r="K19" s="19">
        <f>SUMIFS(Entreprises!$N$5:$N$639,Entreprises!$A$5:$A$639,$A19,Entreprises!$C$5:$C$639,K$3,Entreprises!$D$5:$D$639,K$2)+SUMIFS(Banques!$P$5:$P$315,Banques!$A$5:$A$315,$A19,Banques!$C$5:$C$315,K$3,Banques!$D$5:$D$315,K$2)</f>
        <v/>
      </c>
      <c r="L19" s="19">
        <f>SUMIFS(Entreprises!$N$5:$N$639,Entreprises!$A$5:$A$639,$A19,Entreprises!$C$5:$C$639,L$3,Entreprises!$D$5:$D$639,L$2)+SUMIFS(Banques!$P$5:$P$315,Banques!$A$5:$A$315,$A19,Banques!$C$5:$C$315,L$3,Banques!$D$5:$D$315,L$2)</f>
        <v/>
      </c>
      <c r="M19" s="19">
        <f>SUMIFS(Entreprises!$N$5:$N$639,Entreprises!$A$5:$A$639,$A19,Entreprises!$C$5:$C$639,M$3,Entreprises!$D$5:$D$639,M$2)+SUMIFS(Banques!$P$5:$P$315,Banques!$A$5:$A$315,$A19,Banques!$C$5:$C$315,M$3,Banques!$D$5:$D$315,M$2)</f>
        <v/>
      </c>
      <c r="N19" s="19">
        <f>SUMIFS(Entreprises!$N$5:$N$639,Entreprises!$A$5:$A$639,$A19,Entreprises!$C$5:$C$639,N$3,Entreprises!$D$5:$D$639,N$2)+SUMIFS(Banques!$P$5:$P$315,Banques!$A$5:$A$315,$A19,Banques!$C$5:$C$315,N$3,Banques!$D$5:$D$315,N$2)</f>
        <v/>
      </c>
      <c r="O19" s="19">
        <f>SUMIFS(Entreprises!$N$5:$N$639,Entreprises!$A$5:$A$639,$A19,Entreprises!$C$5:$C$639,O$3,Entreprises!$D$5:$D$639,O$2)+SUMIFS(Banques!$P$5:$P$315,Banques!$A$5:$A$315,$A19,Banques!$C$5:$C$315,O$3,Banques!$D$5:$D$315,O$2)</f>
        <v/>
      </c>
      <c r="P19" s="19">
        <f>SUMIFS(Entreprises!$N$5:$N$639,Entreprises!$A$5:$A$639,$A19,Entreprises!$C$5:$C$639,P$3,Entreprises!$D$5:$D$639,P$2)+SUMIFS(Banques!$P$5:$P$315,Banques!$A$5:$A$315,$A19,Banques!$C$5:$C$315,P$3,Banques!$D$5:$D$315,P$2)</f>
        <v/>
      </c>
      <c r="Q19" s="19">
        <f>SUMIFS(Entreprises!$N$5:$N$639,Entreprises!$A$5:$A$639,$A19,Entreprises!$C$5:$C$639,Q$3,Entreprises!$D$5:$D$639,Q$2)+SUMIFS(Banques!$P$5:$P$315,Banques!$A$5:$A$315,$A19,Banques!$C$5:$C$315,Q$3,Banques!$D$5:$D$315,Q$2)</f>
        <v/>
      </c>
      <c r="R19" s="19">
        <f>SUMIFS(Entreprises!$N$5:$N$639,Entreprises!$A$5:$A$639,$A19,Entreprises!$C$5:$C$639,R$3,Entreprises!$D$5:$D$639,R$2)+SUMIFS(Banques!$P$5:$P$315,Banques!$A$5:$A$315,$A19,Banques!$C$5:$C$315,R$3,Banques!$D$5:$D$315,R$2)</f>
        <v/>
      </c>
      <c r="S19" s="19">
        <f>SUMIFS(Entreprises!$N$5:$N$639,Entreprises!$A$5:$A$639,$A19,Entreprises!$C$5:$C$639,S$3,Entreprises!$D$5:$D$639,S$2)+SUMIFS(Banques!$P$5:$P$315,Banques!$A$5:$A$315,$A19,Banques!$C$5:$C$315,S$3,Banques!$D$5:$D$315,S$2)</f>
        <v/>
      </c>
      <c r="T19" s="19">
        <f>SUMIFS(Entreprises!$N$5:$N$639,Entreprises!$A$5:$A$639,$A19,Entreprises!$C$5:$C$639,T$3,Entreprises!$D$5:$D$639,T$2)+SUMIFS(Banques!$P$5:$P$315,Banques!$A$5:$A$315,$A19,Banques!$C$5:$C$315,T$3,Banques!$D$5:$D$315,T$2)</f>
        <v/>
      </c>
      <c r="U19" s="19">
        <f>SUMIFS(Entreprises!$N$5:$N$639,Entreprises!$A$5:$A$639,$A19,Entreprises!$C$5:$C$639,U$3,Entreprises!$D$5:$D$639,U$2)+SUMIFS(Banques!$P$5:$P$315,Banques!$A$5:$A$315,$A19,Banques!$C$5:$C$315,U$3,Banques!$D$5:$D$315,U$2)</f>
        <v/>
      </c>
    </row>
    <row r="20">
      <c r="A20" s="18" t="inlineStr">
        <is>
          <t>UNXC</t>
        </is>
      </c>
      <c r="B20" s="18">
        <f>IFERROR(VLOOKUP(A20,Titres!$A$2:$D$400,2,FALSE),"")</f>
        <v/>
      </c>
      <c r="C20" s="18">
        <f>IFERROR(VLOOKUP(A20,Titres!$A$2:$D$400,4,FALSE),"")</f>
        <v/>
      </c>
      <c r="D20" s="19">
        <f>SUMIFS(Entreprises!$N$5:$N$639,Entreprises!$A$5:$A$639,$A20,Entreprises!$C$5:$C$639,D$3,Entreprises!$D$5:$D$639,D$2)+SUMIFS(Banques!$P$5:$P$315,Banques!$A$5:$A$315,$A20,Banques!$C$5:$C$315,D$3,Banques!$D$5:$D$315,D$2)</f>
        <v/>
      </c>
      <c r="E20" s="19">
        <f>SUMIFS(Entreprises!$N$5:$N$639,Entreprises!$A$5:$A$639,$A20,Entreprises!$C$5:$C$639,E$3,Entreprises!$D$5:$D$639,E$2)+SUMIFS(Banques!$P$5:$P$315,Banques!$A$5:$A$315,$A20,Banques!$C$5:$C$315,E$3,Banques!$D$5:$D$315,E$2)</f>
        <v/>
      </c>
      <c r="F20" s="19">
        <f>SUMIFS(Entreprises!$N$5:$N$639,Entreprises!$A$5:$A$639,$A20,Entreprises!$C$5:$C$639,F$3,Entreprises!$D$5:$D$639,F$2)+SUMIFS(Banques!$P$5:$P$315,Banques!$A$5:$A$315,$A20,Banques!$C$5:$C$315,F$3,Banques!$D$5:$D$315,F$2)</f>
        <v/>
      </c>
      <c r="G20" s="19">
        <f>SUMIFS(Entreprises!$N$5:$N$639,Entreprises!$A$5:$A$639,$A20,Entreprises!$C$5:$C$639,G$3,Entreprises!$D$5:$D$639,G$2)+SUMIFS(Banques!$P$5:$P$315,Banques!$A$5:$A$315,$A20,Banques!$C$5:$C$315,G$3,Banques!$D$5:$D$315,G$2)</f>
        <v/>
      </c>
      <c r="H20" s="19">
        <f>SUMIFS(Entreprises!$N$5:$N$639,Entreprises!$A$5:$A$639,$A20,Entreprises!$C$5:$C$639,H$3,Entreprises!$D$5:$D$639,H$2)+SUMIFS(Banques!$P$5:$P$315,Banques!$A$5:$A$315,$A20,Banques!$C$5:$C$315,H$3,Banques!$D$5:$D$315,H$2)</f>
        <v/>
      </c>
      <c r="I20" s="19">
        <f>SUMIFS(Entreprises!$N$5:$N$639,Entreprises!$A$5:$A$639,$A20,Entreprises!$C$5:$C$639,I$3,Entreprises!$D$5:$D$639,I$2)+SUMIFS(Banques!$P$5:$P$315,Banques!$A$5:$A$315,$A20,Banques!$C$5:$C$315,I$3,Banques!$D$5:$D$315,I$2)</f>
        <v/>
      </c>
      <c r="J20" s="19">
        <f>SUMIFS(Entreprises!$N$5:$N$639,Entreprises!$A$5:$A$639,$A20,Entreprises!$C$5:$C$639,J$3,Entreprises!$D$5:$D$639,J$2)+SUMIFS(Banques!$P$5:$P$315,Banques!$A$5:$A$315,$A20,Banques!$C$5:$C$315,J$3,Banques!$D$5:$D$315,J$2)</f>
        <v/>
      </c>
      <c r="K20" s="19">
        <f>SUMIFS(Entreprises!$N$5:$N$639,Entreprises!$A$5:$A$639,$A20,Entreprises!$C$5:$C$639,K$3,Entreprises!$D$5:$D$639,K$2)+SUMIFS(Banques!$P$5:$P$315,Banques!$A$5:$A$315,$A20,Banques!$C$5:$C$315,K$3,Banques!$D$5:$D$315,K$2)</f>
        <v/>
      </c>
      <c r="L20" s="19">
        <f>SUMIFS(Entreprises!$N$5:$N$639,Entreprises!$A$5:$A$639,$A20,Entreprises!$C$5:$C$639,L$3,Entreprises!$D$5:$D$639,L$2)+SUMIFS(Banques!$P$5:$P$315,Banques!$A$5:$A$315,$A20,Banques!$C$5:$C$315,L$3,Banques!$D$5:$D$315,L$2)</f>
        <v/>
      </c>
      <c r="M20" s="19">
        <f>SUMIFS(Entreprises!$N$5:$N$639,Entreprises!$A$5:$A$639,$A20,Entreprises!$C$5:$C$639,M$3,Entreprises!$D$5:$D$639,M$2)+SUMIFS(Banques!$P$5:$P$315,Banques!$A$5:$A$315,$A20,Banques!$C$5:$C$315,M$3,Banques!$D$5:$D$315,M$2)</f>
        <v/>
      </c>
      <c r="N20" s="19">
        <f>SUMIFS(Entreprises!$N$5:$N$639,Entreprises!$A$5:$A$639,$A20,Entreprises!$C$5:$C$639,N$3,Entreprises!$D$5:$D$639,N$2)+SUMIFS(Banques!$P$5:$P$315,Banques!$A$5:$A$315,$A20,Banques!$C$5:$C$315,N$3,Banques!$D$5:$D$315,N$2)</f>
        <v/>
      </c>
      <c r="O20" s="19">
        <f>SUMIFS(Entreprises!$N$5:$N$639,Entreprises!$A$5:$A$639,$A20,Entreprises!$C$5:$C$639,O$3,Entreprises!$D$5:$D$639,O$2)+SUMIFS(Banques!$P$5:$P$315,Banques!$A$5:$A$315,$A20,Banques!$C$5:$C$315,O$3,Banques!$D$5:$D$315,O$2)</f>
        <v/>
      </c>
      <c r="P20" s="19">
        <f>SUMIFS(Entreprises!$N$5:$N$639,Entreprises!$A$5:$A$639,$A20,Entreprises!$C$5:$C$639,P$3,Entreprises!$D$5:$D$639,P$2)+SUMIFS(Banques!$P$5:$P$315,Banques!$A$5:$A$315,$A20,Banques!$C$5:$C$315,P$3,Banques!$D$5:$D$315,P$2)</f>
        <v/>
      </c>
      <c r="Q20" s="19">
        <f>SUMIFS(Entreprises!$N$5:$N$639,Entreprises!$A$5:$A$639,$A20,Entreprises!$C$5:$C$639,Q$3,Entreprises!$D$5:$D$639,Q$2)+SUMIFS(Banques!$P$5:$P$315,Banques!$A$5:$A$315,$A20,Banques!$C$5:$C$315,Q$3,Banques!$D$5:$D$315,Q$2)</f>
        <v/>
      </c>
      <c r="R20" s="19">
        <f>SUMIFS(Entreprises!$N$5:$N$639,Entreprises!$A$5:$A$639,$A20,Entreprises!$C$5:$C$639,R$3,Entreprises!$D$5:$D$639,R$2)+SUMIFS(Banques!$P$5:$P$315,Banques!$A$5:$A$315,$A20,Banques!$C$5:$C$315,R$3,Banques!$D$5:$D$315,R$2)</f>
        <v/>
      </c>
      <c r="S20" s="19">
        <f>SUMIFS(Entreprises!$N$5:$N$639,Entreprises!$A$5:$A$639,$A20,Entreprises!$C$5:$C$639,S$3,Entreprises!$D$5:$D$639,S$2)+SUMIFS(Banques!$P$5:$P$315,Banques!$A$5:$A$315,$A20,Banques!$C$5:$C$315,S$3,Banques!$D$5:$D$315,S$2)</f>
        <v/>
      </c>
      <c r="T20" s="19">
        <f>SUMIFS(Entreprises!$N$5:$N$639,Entreprises!$A$5:$A$639,$A20,Entreprises!$C$5:$C$639,T$3,Entreprises!$D$5:$D$639,T$2)+SUMIFS(Banques!$P$5:$P$315,Banques!$A$5:$A$315,$A20,Banques!$C$5:$C$315,T$3,Banques!$D$5:$D$315,T$2)</f>
        <v/>
      </c>
      <c r="U20" s="19">
        <f>SUMIFS(Entreprises!$N$5:$N$639,Entreprises!$A$5:$A$639,$A20,Entreprises!$C$5:$C$639,U$3,Entreprises!$D$5:$D$639,U$2)+SUMIFS(Banques!$P$5:$P$315,Banques!$A$5:$A$315,$A20,Banques!$C$5:$C$315,U$3,Banques!$D$5:$D$315,U$2)</f>
        <v/>
      </c>
    </row>
    <row r="21">
      <c r="A21" s="18" t="inlineStr">
        <is>
          <t>CABC</t>
        </is>
      </c>
      <c r="B21" s="18">
        <f>IFERROR(VLOOKUP(A21,Titres!$A$2:$D$400,2,FALSE),"")</f>
        <v/>
      </c>
      <c r="C21" s="18">
        <f>IFERROR(VLOOKUP(A21,Titres!$A$2:$D$400,4,FALSE),"")</f>
        <v/>
      </c>
      <c r="D21" s="19">
        <f>SUMIFS(Entreprises!$N$5:$N$639,Entreprises!$A$5:$A$639,$A21,Entreprises!$C$5:$C$639,D$3,Entreprises!$D$5:$D$639,D$2)+SUMIFS(Banques!$P$5:$P$315,Banques!$A$5:$A$315,$A21,Banques!$C$5:$C$315,D$3,Banques!$D$5:$D$315,D$2)</f>
        <v/>
      </c>
      <c r="E21" s="19">
        <f>SUMIFS(Entreprises!$N$5:$N$639,Entreprises!$A$5:$A$639,$A21,Entreprises!$C$5:$C$639,E$3,Entreprises!$D$5:$D$639,E$2)+SUMIFS(Banques!$P$5:$P$315,Banques!$A$5:$A$315,$A21,Banques!$C$5:$C$315,E$3,Banques!$D$5:$D$315,E$2)</f>
        <v/>
      </c>
      <c r="F21" s="19">
        <f>SUMIFS(Entreprises!$N$5:$N$639,Entreprises!$A$5:$A$639,$A21,Entreprises!$C$5:$C$639,F$3,Entreprises!$D$5:$D$639,F$2)+SUMIFS(Banques!$P$5:$P$315,Banques!$A$5:$A$315,$A21,Banques!$C$5:$C$315,F$3,Banques!$D$5:$D$315,F$2)</f>
        <v/>
      </c>
      <c r="G21" s="19">
        <f>SUMIFS(Entreprises!$N$5:$N$639,Entreprises!$A$5:$A$639,$A21,Entreprises!$C$5:$C$639,G$3,Entreprises!$D$5:$D$639,G$2)+SUMIFS(Banques!$P$5:$P$315,Banques!$A$5:$A$315,$A21,Banques!$C$5:$C$315,G$3,Banques!$D$5:$D$315,G$2)</f>
        <v/>
      </c>
      <c r="H21" s="19">
        <f>SUMIFS(Entreprises!$N$5:$N$639,Entreprises!$A$5:$A$639,$A21,Entreprises!$C$5:$C$639,H$3,Entreprises!$D$5:$D$639,H$2)+SUMIFS(Banques!$P$5:$P$315,Banques!$A$5:$A$315,$A21,Banques!$C$5:$C$315,H$3,Banques!$D$5:$D$315,H$2)</f>
        <v/>
      </c>
      <c r="I21" s="19">
        <f>SUMIFS(Entreprises!$N$5:$N$639,Entreprises!$A$5:$A$639,$A21,Entreprises!$C$5:$C$639,I$3,Entreprises!$D$5:$D$639,I$2)+SUMIFS(Banques!$P$5:$P$315,Banques!$A$5:$A$315,$A21,Banques!$C$5:$C$315,I$3,Banques!$D$5:$D$315,I$2)</f>
        <v/>
      </c>
      <c r="J21" s="19">
        <f>SUMIFS(Entreprises!$N$5:$N$639,Entreprises!$A$5:$A$639,$A21,Entreprises!$C$5:$C$639,J$3,Entreprises!$D$5:$D$639,J$2)+SUMIFS(Banques!$P$5:$P$315,Banques!$A$5:$A$315,$A21,Banques!$C$5:$C$315,J$3,Banques!$D$5:$D$315,J$2)</f>
        <v/>
      </c>
      <c r="K21" s="19">
        <f>SUMIFS(Entreprises!$N$5:$N$639,Entreprises!$A$5:$A$639,$A21,Entreprises!$C$5:$C$639,K$3,Entreprises!$D$5:$D$639,K$2)+SUMIFS(Banques!$P$5:$P$315,Banques!$A$5:$A$315,$A21,Banques!$C$5:$C$315,K$3,Banques!$D$5:$D$315,K$2)</f>
        <v/>
      </c>
      <c r="L21" s="19">
        <f>SUMIFS(Entreprises!$N$5:$N$639,Entreprises!$A$5:$A$639,$A21,Entreprises!$C$5:$C$639,L$3,Entreprises!$D$5:$D$639,L$2)+SUMIFS(Banques!$P$5:$P$315,Banques!$A$5:$A$315,$A21,Banques!$C$5:$C$315,L$3,Banques!$D$5:$D$315,L$2)</f>
        <v/>
      </c>
      <c r="M21" s="19">
        <f>SUMIFS(Entreprises!$N$5:$N$639,Entreprises!$A$5:$A$639,$A21,Entreprises!$C$5:$C$639,M$3,Entreprises!$D$5:$D$639,M$2)+SUMIFS(Banques!$P$5:$P$315,Banques!$A$5:$A$315,$A21,Banques!$C$5:$C$315,M$3,Banques!$D$5:$D$315,M$2)</f>
        <v/>
      </c>
      <c r="N21" s="19">
        <f>SUMIFS(Entreprises!$N$5:$N$639,Entreprises!$A$5:$A$639,$A21,Entreprises!$C$5:$C$639,N$3,Entreprises!$D$5:$D$639,N$2)+SUMIFS(Banques!$P$5:$P$315,Banques!$A$5:$A$315,$A21,Banques!$C$5:$C$315,N$3,Banques!$D$5:$D$315,N$2)</f>
        <v/>
      </c>
      <c r="O21" s="19">
        <f>SUMIFS(Entreprises!$N$5:$N$639,Entreprises!$A$5:$A$639,$A21,Entreprises!$C$5:$C$639,O$3,Entreprises!$D$5:$D$639,O$2)+SUMIFS(Banques!$P$5:$P$315,Banques!$A$5:$A$315,$A21,Banques!$C$5:$C$315,O$3,Banques!$D$5:$D$315,O$2)</f>
        <v/>
      </c>
      <c r="P21" s="19">
        <f>SUMIFS(Entreprises!$N$5:$N$639,Entreprises!$A$5:$A$639,$A21,Entreprises!$C$5:$C$639,P$3,Entreprises!$D$5:$D$639,P$2)+SUMIFS(Banques!$P$5:$P$315,Banques!$A$5:$A$315,$A21,Banques!$C$5:$C$315,P$3,Banques!$D$5:$D$315,P$2)</f>
        <v/>
      </c>
      <c r="Q21" s="19">
        <f>SUMIFS(Entreprises!$N$5:$N$639,Entreprises!$A$5:$A$639,$A21,Entreprises!$C$5:$C$639,Q$3,Entreprises!$D$5:$D$639,Q$2)+SUMIFS(Banques!$P$5:$P$315,Banques!$A$5:$A$315,$A21,Banques!$C$5:$C$315,Q$3,Banques!$D$5:$D$315,Q$2)</f>
        <v/>
      </c>
      <c r="R21" s="19">
        <f>SUMIFS(Entreprises!$N$5:$N$639,Entreprises!$A$5:$A$639,$A21,Entreprises!$C$5:$C$639,R$3,Entreprises!$D$5:$D$639,R$2)+SUMIFS(Banques!$P$5:$P$315,Banques!$A$5:$A$315,$A21,Banques!$C$5:$C$315,R$3,Banques!$D$5:$D$315,R$2)</f>
        <v/>
      </c>
      <c r="S21" s="19">
        <f>SUMIFS(Entreprises!$N$5:$N$639,Entreprises!$A$5:$A$639,$A21,Entreprises!$C$5:$C$639,S$3,Entreprises!$D$5:$D$639,S$2)+SUMIFS(Banques!$P$5:$P$315,Banques!$A$5:$A$315,$A21,Banques!$C$5:$C$315,S$3,Banques!$D$5:$D$315,S$2)</f>
        <v/>
      </c>
      <c r="T21" s="19">
        <f>SUMIFS(Entreprises!$N$5:$N$639,Entreprises!$A$5:$A$639,$A21,Entreprises!$C$5:$C$639,T$3,Entreprises!$D$5:$D$639,T$2)+SUMIFS(Banques!$P$5:$P$315,Banques!$A$5:$A$315,$A21,Banques!$C$5:$C$315,T$3,Banques!$D$5:$D$315,T$2)</f>
        <v/>
      </c>
      <c r="U21" s="19">
        <f>SUMIFS(Entreprises!$N$5:$N$639,Entreprises!$A$5:$A$639,$A21,Entreprises!$C$5:$C$639,U$3,Entreprises!$D$5:$D$639,U$2)+SUMIFS(Banques!$P$5:$P$315,Banques!$A$5:$A$315,$A21,Banques!$C$5:$C$315,U$3,Banques!$D$5:$D$315,U$2)</f>
        <v/>
      </c>
    </row>
    <row r="22">
      <c r="A22" s="18" t="inlineStr">
        <is>
          <t>FTSC</t>
        </is>
      </c>
      <c r="B22" s="18">
        <f>IFERROR(VLOOKUP(A22,Titres!$A$2:$D$400,2,FALSE),"")</f>
        <v/>
      </c>
      <c r="C22" s="18">
        <f>IFERROR(VLOOKUP(A22,Titres!$A$2:$D$400,4,FALSE),"")</f>
        <v/>
      </c>
      <c r="D22" s="19">
        <f>SUMIFS(Entreprises!$N$5:$N$639,Entreprises!$A$5:$A$639,$A22,Entreprises!$C$5:$C$639,D$3,Entreprises!$D$5:$D$639,D$2)+SUMIFS(Banques!$P$5:$P$315,Banques!$A$5:$A$315,$A22,Banques!$C$5:$C$315,D$3,Banques!$D$5:$D$315,D$2)</f>
        <v/>
      </c>
      <c r="E22" s="19">
        <f>SUMIFS(Entreprises!$N$5:$N$639,Entreprises!$A$5:$A$639,$A22,Entreprises!$C$5:$C$639,E$3,Entreprises!$D$5:$D$639,E$2)+SUMIFS(Banques!$P$5:$P$315,Banques!$A$5:$A$315,$A22,Banques!$C$5:$C$315,E$3,Banques!$D$5:$D$315,E$2)</f>
        <v/>
      </c>
      <c r="F22" s="19">
        <f>SUMIFS(Entreprises!$N$5:$N$639,Entreprises!$A$5:$A$639,$A22,Entreprises!$C$5:$C$639,F$3,Entreprises!$D$5:$D$639,F$2)+SUMIFS(Banques!$P$5:$P$315,Banques!$A$5:$A$315,$A22,Banques!$C$5:$C$315,F$3,Banques!$D$5:$D$315,F$2)</f>
        <v/>
      </c>
      <c r="G22" s="19">
        <f>SUMIFS(Entreprises!$N$5:$N$639,Entreprises!$A$5:$A$639,$A22,Entreprises!$C$5:$C$639,G$3,Entreprises!$D$5:$D$639,G$2)+SUMIFS(Banques!$P$5:$P$315,Banques!$A$5:$A$315,$A22,Banques!$C$5:$C$315,G$3,Banques!$D$5:$D$315,G$2)</f>
        <v/>
      </c>
      <c r="H22" s="19">
        <f>SUMIFS(Entreprises!$N$5:$N$639,Entreprises!$A$5:$A$639,$A22,Entreprises!$C$5:$C$639,H$3,Entreprises!$D$5:$D$639,H$2)+SUMIFS(Banques!$P$5:$P$315,Banques!$A$5:$A$315,$A22,Banques!$C$5:$C$315,H$3,Banques!$D$5:$D$315,H$2)</f>
        <v/>
      </c>
      <c r="I22" s="19">
        <f>SUMIFS(Entreprises!$N$5:$N$639,Entreprises!$A$5:$A$639,$A22,Entreprises!$C$5:$C$639,I$3,Entreprises!$D$5:$D$639,I$2)+SUMIFS(Banques!$P$5:$P$315,Banques!$A$5:$A$315,$A22,Banques!$C$5:$C$315,I$3,Banques!$D$5:$D$315,I$2)</f>
        <v/>
      </c>
      <c r="J22" s="19">
        <f>SUMIFS(Entreprises!$N$5:$N$639,Entreprises!$A$5:$A$639,$A22,Entreprises!$C$5:$C$639,J$3,Entreprises!$D$5:$D$639,J$2)+SUMIFS(Banques!$P$5:$P$315,Banques!$A$5:$A$315,$A22,Banques!$C$5:$C$315,J$3,Banques!$D$5:$D$315,J$2)</f>
        <v/>
      </c>
      <c r="K22" s="19">
        <f>SUMIFS(Entreprises!$N$5:$N$639,Entreprises!$A$5:$A$639,$A22,Entreprises!$C$5:$C$639,K$3,Entreprises!$D$5:$D$639,K$2)+SUMIFS(Banques!$P$5:$P$315,Banques!$A$5:$A$315,$A22,Banques!$C$5:$C$315,K$3,Banques!$D$5:$D$315,K$2)</f>
        <v/>
      </c>
      <c r="L22" s="19">
        <f>SUMIFS(Entreprises!$N$5:$N$639,Entreprises!$A$5:$A$639,$A22,Entreprises!$C$5:$C$639,L$3,Entreprises!$D$5:$D$639,L$2)+SUMIFS(Banques!$P$5:$P$315,Banques!$A$5:$A$315,$A22,Banques!$C$5:$C$315,L$3,Banques!$D$5:$D$315,L$2)</f>
        <v/>
      </c>
      <c r="M22" s="19">
        <f>SUMIFS(Entreprises!$N$5:$N$639,Entreprises!$A$5:$A$639,$A22,Entreprises!$C$5:$C$639,M$3,Entreprises!$D$5:$D$639,M$2)+SUMIFS(Banques!$P$5:$P$315,Banques!$A$5:$A$315,$A22,Banques!$C$5:$C$315,M$3,Banques!$D$5:$D$315,M$2)</f>
        <v/>
      </c>
      <c r="N22" s="19">
        <f>SUMIFS(Entreprises!$N$5:$N$639,Entreprises!$A$5:$A$639,$A22,Entreprises!$C$5:$C$639,N$3,Entreprises!$D$5:$D$639,N$2)+SUMIFS(Banques!$P$5:$P$315,Banques!$A$5:$A$315,$A22,Banques!$C$5:$C$315,N$3,Banques!$D$5:$D$315,N$2)</f>
        <v/>
      </c>
      <c r="O22" s="19">
        <f>SUMIFS(Entreprises!$N$5:$N$639,Entreprises!$A$5:$A$639,$A22,Entreprises!$C$5:$C$639,O$3,Entreprises!$D$5:$D$639,O$2)+SUMIFS(Banques!$P$5:$P$315,Banques!$A$5:$A$315,$A22,Banques!$C$5:$C$315,O$3,Banques!$D$5:$D$315,O$2)</f>
        <v/>
      </c>
      <c r="P22" s="19">
        <f>SUMIFS(Entreprises!$N$5:$N$639,Entreprises!$A$5:$A$639,$A22,Entreprises!$C$5:$C$639,P$3,Entreprises!$D$5:$D$639,P$2)+SUMIFS(Banques!$P$5:$P$315,Banques!$A$5:$A$315,$A22,Banques!$C$5:$C$315,P$3,Banques!$D$5:$D$315,P$2)</f>
        <v/>
      </c>
      <c r="Q22" s="19">
        <f>SUMIFS(Entreprises!$N$5:$N$639,Entreprises!$A$5:$A$639,$A22,Entreprises!$C$5:$C$639,Q$3,Entreprises!$D$5:$D$639,Q$2)+SUMIFS(Banques!$P$5:$P$315,Banques!$A$5:$A$315,$A22,Banques!$C$5:$C$315,Q$3,Banques!$D$5:$D$315,Q$2)</f>
        <v/>
      </c>
      <c r="R22" s="19">
        <f>SUMIFS(Entreprises!$N$5:$N$639,Entreprises!$A$5:$A$639,$A22,Entreprises!$C$5:$C$639,R$3,Entreprises!$D$5:$D$639,R$2)+SUMIFS(Banques!$P$5:$P$315,Banques!$A$5:$A$315,$A22,Banques!$C$5:$C$315,R$3,Banques!$D$5:$D$315,R$2)</f>
        <v/>
      </c>
      <c r="S22" s="19">
        <f>SUMIFS(Entreprises!$N$5:$N$639,Entreprises!$A$5:$A$639,$A22,Entreprises!$C$5:$C$639,S$3,Entreprises!$D$5:$D$639,S$2)+SUMIFS(Banques!$P$5:$P$315,Banques!$A$5:$A$315,$A22,Banques!$C$5:$C$315,S$3,Banques!$D$5:$D$315,S$2)</f>
        <v/>
      </c>
      <c r="T22" s="19">
        <f>SUMIFS(Entreprises!$N$5:$N$639,Entreprises!$A$5:$A$639,$A22,Entreprises!$C$5:$C$639,T$3,Entreprises!$D$5:$D$639,T$2)+SUMIFS(Banques!$P$5:$P$315,Banques!$A$5:$A$315,$A22,Banques!$C$5:$C$315,T$3,Banques!$D$5:$D$315,T$2)</f>
        <v/>
      </c>
      <c r="U22" s="19">
        <f>SUMIFS(Entreprises!$N$5:$N$639,Entreprises!$A$5:$A$639,$A22,Entreprises!$C$5:$C$639,U$3,Entreprises!$D$5:$D$639,U$2)+SUMIFS(Banques!$P$5:$P$315,Banques!$A$5:$A$315,$A22,Banques!$C$5:$C$315,U$3,Banques!$D$5:$D$315,U$2)</f>
        <v/>
      </c>
    </row>
    <row r="23">
      <c r="A23" s="18" t="inlineStr">
        <is>
          <t>SDSC</t>
        </is>
      </c>
      <c r="B23" s="18">
        <f>IFERROR(VLOOKUP(A23,Titres!$A$2:$D$400,2,FALSE),"")</f>
        <v/>
      </c>
      <c r="C23" s="18">
        <f>IFERROR(VLOOKUP(A23,Titres!$A$2:$D$400,4,FALSE),"")</f>
        <v/>
      </c>
      <c r="D23" s="19">
        <f>SUMIFS(Entreprises!$N$5:$N$639,Entreprises!$A$5:$A$639,$A23,Entreprises!$C$5:$C$639,D$3,Entreprises!$D$5:$D$639,D$2)+SUMIFS(Banques!$P$5:$P$315,Banques!$A$5:$A$315,$A23,Banques!$C$5:$C$315,D$3,Banques!$D$5:$D$315,D$2)</f>
        <v/>
      </c>
      <c r="E23" s="19">
        <f>SUMIFS(Entreprises!$N$5:$N$639,Entreprises!$A$5:$A$639,$A23,Entreprises!$C$5:$C$639,E$3,Entreprises!$D$5:$D$639,E$2)+SUMIFS(Banques!$P$5:$P$315,Banques!$A$5:$A$315,$A23,Banques!$C$5:$C$315,E$3,Banques!$D$5:$D$315,E$2)</f>
        <v/>
      </c>
      <c r="F23" s="19">
        <f>SUMIFS(Entreprises!$N$5:$N$639,Entreprises!$A$5:$A$639,$A23,Entreprises!$C$5:$C$639,F$3,Entreprises!$D$5:$D$639,F$2)+SUMIFS(Banques!$P$5:$P$315,Banques!$A$5:$A$315,$A23,Banques!$C$5:$C$315,F$3,Banques!$D$5:$D$315,F$2)</f>
        <v/>
      </c>
      <c r="G23" s="19">
        <f>SUMIFS(Entreprises!$N$5:$N$639,Entreprises!$A$5:$A$639,$A23,Entreprises!$C$5:$C$639,G$3,Entreprises!$D$5:$D$639,G$2)+SUMIFS(Banques!$P$5:$P$315,Banques!$A$5:$A$315,$A23,Banques!$C$5:$C$315,G$3,Banques!$D$5:$D$315,G$2)</f>
        <v/>
      </c>
      <c r="H23" s="19">
        <f>SUMIFS(Entreprises!$N$5:$N$639,Entreprises!$A$5:$A$639,$A23,Entreprises!$C$5:$C$639,H$3,Entreprises!$D$5:$D$639,H$2)+SUMIFS(Banques!$P$5:$P$315,Banques!$A$5:$A$315,$A23,Banques!$C$5:$C$315,H$3,Banques!$D$5:$D$315,H$2)</f>
        <v/>
      </c>
      <c r="I23" s="19">
        <f>SUMIFS(Entreprises!$N$5:$N$639,Entreprises!$A$5:$A$639,$A23,Entreprises!$C$5:$C$639,I$3,Entreprises!$D$5:$D$639,I$2)+SUMIFS(Banques!$P$5:$P$315,Banques!$A$5:$A$315,$A23,Banques!$C$5:$C$315,I$3,Banques!$D$5:$D$315,I$2)</f>
        <v/>
      </c>
      <c r="J23" s="19">
        <f>SUMIFS(Entreprises!$N$5:$N$639,Entreprises!$A$5:$A$639,$A23,Entreprises!$C$5:$C$639,J$3,Entreprises!$D$5:$D$639,J$2)+SUMIFS(Banques!$P$5:$P$315,Banques!$A$5:$A$315,$A23,Banques!$C$5:$C$315,J$3,Banques!$D$5:$D$315,J$2)</f>
        <v/>
      </c>
      <c r="K23" s="19">
        <f>SUMIFS(Entreprises!$N$5:$N$639,Entreprises!$A$5:$A$639,$A23,Entreprises!$C$5:$C$639,K$3,Entreprises!$D$5:$D$639,K$2)+SUMIFS(Banques!$P$5:$P$315,Banques!$A$5:$A$315,$A23,Banques!$C$5:$C$315,K$3,Banques!$D$5:$D$315,K$2)</f>
        <v/>
      </c>
      <c r="L23" s="19">
        <f>SUMIFS(Entreprises!$N$5:$N$639,Entreprises!$A$5:$A$639,$A23,Entreprises!$C$5:$C$639,L$3,Entreprises!$D$5:$D$639,L$2)+SUMIFS(Banques!$P$5:$P$315,Banques!$A$5:$A$315,$A23,Banques!$C$5:$C$315,L$3,Banques!$D$5:$D$315,L$2)</f>
        <v/>
      </c>
      <c r="M23" s="19">
        <f>SUMIFS(Entreprises!$N$5:$N$639,Entreprises!$A$5:$A$639,$A23,Entreprises!$C$5:$C$639,M$3,Entreprises!$D$5:$D$639,M$2)+SUMIFS(Banques!$P$5:$P$315,Banques!$A$5:$A$315,$A23,Banques!$C$5:$C$315,M$3,Banques!$D$5:$D$315,M$2)</f>
        <v/>
      </c>
      <c r="N23" s="19">
        <f>SUMIFS(Entreprises!$N$5:$N$639,Entreprises!$A$5:$A$639,$A23,Entreprises!$C$5:$C$639,N$3,Entreprises!$D$5:$D$639,N$2)+SUMIFS(Banques!$P$5:$P$315,Banques!$A$5:$A$315,$A23,Banques!$C$5:$C$315,N$3,Banques!$D$5:$D$315,N$2)</f>
        <v/>
      </c>
      <c r="O23" s="19">
        <f>SUMIFS(Entreprises!$N$5:$N$639,Entreprises!$A$5:$A$639,$A23,Entreprises!$C$5:$C$639,O$3,Entreprises!$D$5:$D$639,O$2)+SUMIFS(Banques!$P$5:$P$315,Banques!$A$5:$A$315,$A23,Banques!$C$5:$C$315,O$3,Banques!$D$5:$D$315,O$2)</f>
        <v/>
      </c>
      <c r="P23" s="19">
        <f>SUMIFS(Entreprises!$N$5:$N$639,Entreprises!$A$5:$A$639,$A23,Entreprises!$C$5:$C$639,P$3,Entreprises!$D$5:$D$639,P$2)+SUMIFS(Banques!$P$5:$P$315,Banques!$A$5:$A$315,$A23,Banques!$C$5:$C$315,P$3,Banques!$D$5:$D$315,P$2)</f>
        <v/>
      </c>
      <c r="Q23" s="19">
        <f>SUMIFS(Entreprises!$N$5:$N$639,Entreprises!$A$5:$A$639,$A23,Entreprises!$C$5:$C$639,Q$3,Entreprises!$D$5:$D$639,Q$2)+SUMIFS(Banques!$P$5:$P$315,Banques!$A$5:$A$315,$A23,Banques!$C$5:$C$315,Q$3,Banques!$D$5:$D$315,Q$2)</f>
        <v/>
      </c>
      <c r="R23" s="19">
        <f>SUMIFS(Entreprises!$N$5:$N$639,Entreprises!$A$5:$A$639,$A23,Entreprises!$C$5:$C$639,R$3,Entreprises!$D$5:$D$639,R$2)+SUMIFS(Banques!$P$5:$P$315,Banques!$A$5:$A$315,$A23,Banques!$C$5:$C$315,R$3,Banques!$D$5:$D$315,R$2)</f>
        <v/>
      </c>
      <c r="S23" s="19">
        <f>SUMIFS(Entreprises!$N$5:$N$639,Entreprises!$A$5:$A$639,$A23,Entreprises!$C$5:$C$639,S$3,Entreprises!$D$5:$D$639,S$2)+SUMIFS(Banques!$P$5:$P$315,Banques!$A$5:$A$315,$A23,Banques!$C$5:$C$315,S$3,Banques!$D$5:$D$315,S$2)</f>
        <v/>
      </c>
      <c r="T23" s="19">
        <f>SUMIFS(Entreprises!$N$5:$N$639,Entreprises!$A$5:$A$639,$A23,Entreprises!$C$5:$C$639,T$3,Entreprises!$D$5:$D$639,T$2)+SUMIFS(Banques!$P$5:$P$315,Banques!$A$5:$A$315,$A23,Banques!$C$5:$C$315,T$3,Banques!$D$5:$D$315,T$2)</f>
        <v/>
      </c>
      <c r="U23" s="19">
        <f>SUMIFS(Entreprises!$N$5:$N$639,Entreprises!$A$5:$A$639,$A23,Entreprises!$C$5:$C$639,U$3,Entreprises!$D$5:$D$639,U$2)+SUMIFS(Banques!$P$5:$P$315,Banques!$A$5:$A$315,$A23,Banques!$C$5:$C$315,U$3,Banques!$D$5:$D$315,U$2)</f>
        <v/>
      </c>
    </row>
    <row r="24">
      <c r="A24" s="18" t="inlineStr">
        <is>
          <t>SEMC</t>
        </is>
      </c>
      <c r="B24" s="18">
        <f>IFERROR(VLOOKUP(A24,Titres!$A$2:$D$400,2,FALSE),"")</f>
        <v/>
      </c>
      <c r="C24" s="18">
        <f>IFERROR(VLOOKUP(A24,Titres!$A$2:$D$400,4,FALSE),"")</f>
        <v/>
      </c>
      <c r="D24" s="19">
        <f>SUMIFS(Entreprises!$N$5:$N$639,Entreprises!$A$5:$A$639,$A24,Entreprises!$C$5:$C$639,D$3,Entreprises!$D$5:$D$639,D$2)+SUMIFS(Banques!$P$5:$P$315,Banques!$A$5:$A$315,$A24,Banques!$C$5:$C$315,D$3,Banques!$D$5:$D$315,D$2)</f>
        <v/>
      </c>
      <c r="E24" s="19">
        <f>SUMIFS(Entreprises!$N$5:$N$639,Entreprises!$A$5:$A$639,$A24,Entreprises!$C$5:$C$639,E$3,Entreprises!$D$5:$D$639,E$2)+SUMIFS(Banques!$P$5:$P$315,Banques!$A$5:$A$315,$A24,Banques!$C$5:$C$315,E$3,Banques!$D$5:$D$315,E$2)</f>
        <v/>
      </c>
      <c r="F24" s="19">
        <f>SUMIFS(Entreprises!$N$5:$N$639,Entreprises!$A$5:$A$639,$A24,Entreprises!$C$5:$C$639,F$3,Entreprises!$D$5:$D$639,F$2)+SUMIFS(Banques!$P$5:$P$315,Banques!$A$5:$A$315,$A24,Banques!$C$5:$C$315,F$3,Banques!$D$5:$D$315,F$2)</f>
        <v/>
      </c>
      <c r="G24" s="19">
        <f>SUMIFS(Entreprises!$N$5:$N$639,Entreprises!$A$5:$A$639,$A24,Entreprises!$C$5:$C$639,G$3,Entreprises!$D$5:$D$639,G$2)+SUMIFS(Banques!$P$5:$P$315,Banques!$A$5:$A$315,$A24,Banques!$C$5:$C$315,G$3,Banques!$D$5:$D$315,G$2)</f>
        <v/>
      </c>
      <c r="H24" s="19">
        <f>SUMIFS(Entreprises!$N$5:$N$639,Entreprises!$A$5:$A$639,$A24,Entreprises!$C$5:$C$639,H$3,Entreprises!$D$5:$D$639,H$2)+SUMIFS(Banques!$P$5:$P$315,Banques!$A$5:$A$315,$A24,Banques!$C$5:$C$315,H$3,Banques!$D$5:$D$315,H$2)</f>
        <v/>
      </c>
      <c r="I24" s="19">
        <f>SUMIFS(Entreprises!$N$5:$N$639,Entreprises!$A$5:$A$639,$A24,Entreprises!$C$5:$C$639,I$3,Entreprises!$D$5:$D$639,I$2)+SUMIFS(Banques!$P$5:$P$315,Banques!$A$5:$A$315,$A24,Banques!$C$5:$C$315,I$3,Banques!$D$5:$D$315,I$2)</f>
        <v/>
      </c>
      <c r="J24" s="19">
        <f>SUMIFS(Entreprises!$N$5:$N$639,Entreprises!$A$5:$A$639,$A24,Entreprises!$C$5:$C$639,J$3,Entreprises!$D$5:$D$639,J$2)+SUMIFS(Banques!$P$5:$P$315,Banques!$A$5:$A$315,$A24,Banques!$C$5:$C$315,J$3,Banques!$D$5:$D$315,J$2)</f>
        <v/>
      </c>
      <c r="K24" s="19">
        <f>SUMIFS(Entreprises!$N$5:$N$639,Entreprises!$A$5:$A$639,$A24,Entreprises!$C$5:$C$639,K$3,Entreprises!$D$5:$D$639,K$2)+SUMIFS(Banques!$P$5:$P$315,Banques!$A$5:$A$315,$A24,Banques!$C$5:$C$315,K$3,Banques!$D$5:$D$315,K$2)</f>
        <v/>
      </c>
      <c r="L24" s="19">
        <f>SUMIFS(Entreprises!$N$5:$N$639,Entreprises!$A$5:$A$639,$A24,Entreprises!$C$5:$C$639,L$3,Entreprises!$D$5:$D$639,L$2)+SUMIFS(Banques!$P$5:$P$315,Banques!$A$5:$A$315,$A24,Banques!$C$5:$C$315,L$3,Banques!$D$5:$D$315,L$2)</f>
        <v/>
      </c>
      <c r="M24" s="19">
        <f>SUMIFS(Entreprises!$N$5:$N$639,Entreprises!$A$5:$A$639,$A24,Entreprises!$C$5:$C$639,M$3,Entreprises!$D$5:$D$639,M$2)+SUMIFS(Banques!$P$5:$P$315,Banques!$A$5:$A$315,$A24,Banques!$C$5:$C$315,M$3,Banques!$D$5:$D$315,M$2)</f>
        <v/>
      </c>
      <c r="N24" s="19">
        <f>SUMIFS(Entreprises!$N$5:$N$639,Entreprises!$A$5:$A$639,$A24,Entreprises!$C$5:$C$639,N$3,Entreprises!$D$5:$D$639,N$2)+SUMIFS(Banques!$P$5:$P$315,Banques!$A$5:$A$315,$A24,Banques!$C$5:$C$315,N$3,Banques!$D$5:$D$315,N$2)</f>
        <v/>
      </c>
      <c r="O24" s="19">
        <f>SUMIFS(Entreprises!$N$5:$N$639,Entreprises!$A$5:$A$639,$A24,Entreprises!$C$5:$C$639,O$3,Entreprises!$D$5:$D$639,O$2)+SUMIFS(Banques!$P$5:$P$315,Banques!$A$5:$A$315,$A24,Banques!$C$5:$C$315,O$3,Banques!$D$5:$D$315,O$2)</f>
        <v/>
      </c>
      <c r="P24" s="19">
        <f>SUMIFS(Entreprises!$N$5:$N$639,Entreprises!$A$5:$A$639,$A24,Entreprises!$C$5:$C$639,P$3,Entreprises!$D$5:$D$639,P$2)+SUMIFS(Banques!$P$5:$P$315,Banques!$A$5:$A$315,$A24,Banques!$C$5:$C$315,P$3,Banques!$D$5:$D$315,P$2)</f>
        <v/>
      </c>
      <c r="Q24" s="19">
        <f>SUMIFS(Entreprises!$N$5:$N$639,Entreprises!$A$5:$A$639,$A24,Entreprises!$C$5:$C$639,Q$3,Entreprises!$D$5:$D$639,Q$2)+SUMIFS(Banques!$P$5:$P$315,Banques!$A$5:$A$315,$A24,Banques!$C$5:$C$315,Q$3,Banques!$D$5:$D$315,Q$2)</f>
        <v/>
      </c>
      <c r="R24" s="19">
        <f>SUMIFS(Entreprises!$N$5:$N$639,Entreprises!$A$5:$A$639,$A24,Entreprises!$C$5:$C$639,R$3,Entreprises!$D$5:$D$639,R$2)+SUMIFS(Banques!$P$5:$P$315,Banques!$A$5:$A$315,$A24,Banques!$C$5:$C$315,R$3,Banques!$D$5:$D$315,R$2)</f>
        <v/>
      </c>
      <c r="S24" s="19">
        <f>SUMIFS(Entreprises!$N$5:$N$639,Entreprises!$A$5:$A$639,$A24,Entreprises!$C$5:$C$639,S$3,Entreprises!$D$5:$D$639,S$2)+SUMIFS(Banques!$P$5:$P$315,Banques!$A$5:$A$315,$A24,Banques!$C$5:$C$315,S$3,Banques!$D$5:$D$315,S$2)</f>
        <v/>
      </c>
      <c r="T24" s="19">
        <f>SUMIFS(Entreprises!$N$5:$N$639,Entreprises!$A$5:$A$639,$A24,Entreprises!$C$5:$C$639,T$3,Entreprises!$D$5:$D$639,T$2)+SUMIFS(Banques!$P$5:$P$315,Banques!$A$5:$A$315,$A24,Banques!$C$5:$C$315,T$3,Banques!$D$5:$D$315,T$2)</f>
        <v/>
      </c>
      <c r="U24" s="19">
        <f>SUMIFS(Entreprises!$N$5:$N$639,Entreprises!$A$5:$A$639,$A24,Entreprises!$C$5:$C$639,U$3,Entreprises!$D$5:$D$639,U$2)+SUMIFS(Banques!$P$5:$P$315,Banques!$A$5:$A$315,$A24,Banques!$C$5:$C$315,U$3,Banques!$D$5:$D$315,U$2)</f>
        <v/>
      </c>
    </row>
    <row r="25">
      <c r="A25" s="18" t="inlineStr">
        <is>
          <t>SIVC</t>
        </is>
      </c>
      <c r="B25" s="18">
        <f>IFERROR(VLOOKUP(A25,Titres!$A$2:$D$400,2,FALSE),"")</f>
        <v/>
      </c>
      <c r="C25" s="18">
        <f>IFERROR(VLOOKUP(A25,Titres!$A$2:$D$400,4,FALSE),"")</f>
        <v/>
      </c>
      <c r="D25" s="19">
        <f>SUMIFS(Entreprises!$N$5:$N$639,Entreprises!$A$5:$A$639,$A25,Entreprises!$C$5:$C$639,D$3,Entreprises!$D$5:$D$639,D$2)+SUMIFS(Banques!$P$5:$P$315,Banques!$A$5:$A$315,$A25,Banques!$C$5:$C$315,D$3,Banques!$D$5:$D$315,D$2)</f>
        <v/>
      </c>
      <c r="E25" s="19">
        <f>SUMIFS(Entreprises!$N$5:$N$639,Entreprises!$A$5:$A$639,$A25,Entreprises!$C$5:$C$639,E$3,Entreprises!$D$5:$D$639,E$2)+SUMIFS(Banques!$P$5:$P$315,Banques!$A$5:$A$315,$A25,Banques!$C$5:$C$315,E$3,Banques!$D$5:$D$315,E$2)</f>
        <v/>
      </c>
      <c r="F25" s="19">
        <f>SUMIFS(Entreprises!$N$5:$N$639,Entreprises!$A$5:$A$639,$A25,Entreprises!$C$5:$C$639,F$3,Entreprises!$D$5:$D$639,F$2)+SUMIFS(Banques!$P$5:$P$315,Banques!$A$5:$A$315,$A25,Banques!$C$5:$C$315,F$3,Banques!$D$5:$D$315,F$2)</f>
        <v/>
      </c>
      <c r="G25" s="19">
        <f>SUMIFS(Entreprises!$N$5:$N$639,Entreprises!$A$5:$A$639,$A25,Entreprises!$C$5:$C$639,G$3,Entreprises!$D$5:$D$639,G$2)+SUMIFS(Banques!$P$5:$P$315,Banques!$A$5:$A$315,$A25,Banques!$C$5:$C$315,G$3,Banques!$D$5:$D$315,G$2)</f>
        <v/>
      </c>
      <c r="H25" s="19">
        <f>SUMIFS(Entreprises!$N$5:$N$639,Entreprises!$A$5:$A$639,$A25,Entreprises!$C$5:$C$639,H$3,Entreprises!$D$5:$D$639,H$2)+SUMIFS(Banques!$P$5:$P$315,Banques!$A$5:$A$315,$A25,Banques!$C$5:$C$315,H$3,Banques!$D$5:$D$315,H$2)</f>
        <v/>
      </c>
      <c r="I25" s="19">
        <f>SUMIFS(Entreprises!$N$5:$N$639,Entreprises!$A$5:$A$639,$A25,Entreprises!$C$5:$C$639,I$3,Entreprises!$D$5:$D$639,I$2)+SUMIFS(Banques!$P$5:$P$315,Banques!$A$5:$A$315,$A25,Banques!$C$5:$C$315,I$3,Banques!$D$5:$D$315,I$2)</f>
        <v/>
      </c>
      <c r="J25" s="19">
        <f>SUMIFS(Entreprises!$N$5:$N$639,Entreprises!$A$5:$A$639,$A25,Entreprises!$C$5:$C$639,J$3,Entreprises!$D$5:$D$639,J$2)+SUMIFS(Banques!$P$5:$P$315,Banques!$A$5:$A$315,$A25,Banques!$C$5:$C$315,J$3,Banques!$D$5:$D$315,J$2)</f>
        <v/>
      </c>
      <c r="K25" s="19">
        <f>SUMIFS(Entreprises!$N$5:$N$639,Entreprises!$A$5:$A$639,$A25,Entreprises!$C$5:$C$639,K$3,Entreprises!$D$5:$D$639,K$2)+SUMIFS(Banques!$P$5:$P$315,Banques!$A$5:$A$315,$A25,Banques!$C$5:$C$315,K$3,Banques!$D$5:$D$315,K$2)</f>
        <v/>
      </c>
      <c r="L25" s="19">
        <f>SUMIFS(Entreprises!$N$5:$N$639,Entreprises!$A$5:$A$639,$A25,Entreprises!$C$5:$C$639,L$3,Entreprises!$D$5:$D$639,L$2)+SUMIFS(Banques!$P$5:$P$315,Banques!$A$5:$A$315,$A25,Banques!$C$5:$C$315,L$3,Banques!$D$5:$D$315,L$2)</f>
        <v/>
      </c>
      <c r="M25" s="19">
        <f>SUMIFS(Entreprises!$N$5:$N$639,Entreprises!$A$5:$A$639,$A25,Entreprises!$C$5:$C$639,M$3,Entreprises!$D$5:$D$639,M$2)+SUMIFS(Banques!$P$5:$P$315,Banques!$A$5:$A$315,$A25,Banques!$C$5:$C$315,M$3,Banques!$D$5:$D$315,M$2)</f>
        <v/>
      </c>
      <c r="N25" s="19">
        <f>SUMIFS(Entreprises!$N$5:$N$639,Entreprises!$A$5:$A$639,$A25,Entreprises!$C$5:$C$639,N$3,Entreprises!$D$5:$D$639,N$2)+SUMIFS(Banques!$P$5:$P$315,Banques!$A$5:$A$315,$A25,Banques!$C$5:$C$315,N$3,Banques!$D$5:$D$315,N$2)</f>
        <v/>
      </c>
      <c r="O25" s="19">
        <f>SUMIFS(Entreprises!$N$5:$N$639,Entreprises!$A$5:$A$639,$A25,Entreprises!$C$5:$C$639,O$3,Entreprises!$D$5:$D$639,O$2)+SUMIFS(Banques!$P$5:$P$315,Banques!$A$5:$A$315,$A25,Banques!$C$5:$C$315,O$3,Banques!$D$5:$D$315,O$2)</f>
        <v/>
      </c>
      <c r="P25" s="19">
        <f>SUMIFS(Entreprises!$N$5:$N$639,Entreprises!$A$5:$A$639,$A25,Entreprises!$C$5:$C$639,P$3,Entreprises!$D$5:$D$639,P$2)+SUMIFS(Banques!$P$5:$P$315,Banques!$A$5:$A$315,$A25,Banques!$C$5:$C$315,P$3,Banques!$D$5:$D$315,P$2)</f>
        <v/>
      </c>
      <c r="Q25" s="19">
        <f>SUMIFS(Entreprises!$N$5:$N$639,Entreprises!$A$5:$A$639,$A25,Entreprises!$C$5:$C$639,Q$3,Entreprises!$D$5:$D$639,Q$2)+SUMIFS(Banques!$P$5:$P$315,Banques!$A$5:$A$315,$A25,Banques!$C$5:$C$315,Q$3,Banques!$D$5:$D$315,Q$2)</f>
        <v/>
      </c>
      <c r="R25" s="19">
        <f>SUMIFS(Entreprises!$N$5:$N$639,Entreprises!$A$5:$A$639,$A25,Entreprises!$C$5:$C$639,R$3,Entreprises!$D$5:$D$639,R$2)+SUMIFS(Banques!$P$5:$P$315,Banques!$A$5:$A$315,$A25,Banques!$C$5:$C$315,R$3,Banques!$D$5:$D$315,R$2)</f>
        <v/>
      </c>
      <c r="S25" s="19">
        <f>SUMIFS(Entreprises!$N$5:$N$639,Entreprises!$A$5:$A$639,$A25,Entreprises!$C$5:$C$639,S$3,Entreprises!$D$5:$D$639,S$2)+SUMIFS(Banques!$P$5:$P$315,Banques!$A$5:$A$315,$A25,Banques!$C$5:$C$315,S$3,Banques!$D$5:$D$315,S$2)</f>
        <v/>
      </c>
      <c r="T25" s="19">
        <f>SUMIFS(Entreprises!$N$5:$N$639,Entreprises!$A$5:$A$639,$A25,Entreprises!$C$5:$C$639,T$3,Entreprises!$D$5:$D$639,T$2)+SUMIFS(Banques!$P$5:$P$315,Banques!$A$5:$A$315,$A25,Banques!$C$5:$C$315,T$3,Banques!$D$5:$D$315,T$2)</f>
        <v/>
      </c>
      <c r="U25" s="19">
        <f>SUMIFS(Entreprises!$N$5:$N$639,Entreprises!$A$5:$A$639,$A25,Entreprises!$C$5:$C$639,U$3,Entreprises!$D$5:$D$639,U$2)+SUMIFS(Banques!$P$5:$P$315,Banques!$A$5:$A$315,$A25,Banques!$C$5:$C$315,U$3,Banques!$D$5:$D$315,U$2)</f>
        <v/>
      </c>
    </row>
    <row r="26">
      <c r="A26" s="18" t="inlineStr">
        <is>
          <t>STAC</t>
        </is>
      </c>
      <c r="B26" s="18">
        <f>IFERROR(VLOOKUP(A26,Titres!$A$2:$D$400,2,FALSE),"")</f>
        <v/>
      </c>
      <c r="C26" s="18">
        <f>IFERROR(VLOOKUP(A26,Titres!$A$2:$D$400,4,FALSE),"")</f>
        <v/>
      </c>
      <c r="D26" s="19">
        <f>SUMIFS(Entreprises!$N$5:$N$639,Entreprises!$A$5:$A$639,$A26,Entreprises!$C$5:$C$639,D$3,Entreprises!$D$5:$D$639,D$2)+SUMIFS(Banques!$P$5:$P$315,Banques!$A$5:$A$315,$A26,Banques!$C$5:$C$315,D$3,Banques!$D$5:$D$315,D$2)</f>
        <v/>
      </c>
      <c r="E26" s="19">
        <f>SUMIFS(Entreprises!$N$5:$N$639,Entreprises!$A$5:$A$639,$A26,Entreprises!$C$5:$C$639,E$3,Entreprises!$D$5:$D$639,E$2)+SUMIFS(Banques!$P$5:$P$315,Banques!$A$5:$A$315,$A26,Banques!$C$5:$C$315,E$3,Banques!$D$5:$D$315,E$2)</f>
        <v/>
      </c>
      <c r="F26" s="19">
        <f>SUMIFS(Entreprises!$N$5:$N$639,Entreprises!$A$5:$A$639,$A26,Entreprises!$C$5:$C$639,F$3,Entreprises!$D$5:$D$639,F$2)+SUMIFS(Banques!$P$5:$P$315,Banques!$A$5:$A$315,$A26,Banques!$C$5:$C$315,F$3,Banques!$D$5:$D$315,F$2)</f>
        <v/>
      </c>
      <c r="G26" s="19">
        <f>SUMIFS(Entreprises!$N$5:$N$639,Entreprises!$A$5:$A$639,$A26,Entreprises!$C$5:$C$639,G$3,Entreprises!$D$5:$D$639,G$2)+SUMIFS(Banques!$P$5:$P$315,Banques!$A$5:$A$315,$A26,Banques!$C$5:$C$315,G$3,Banques!$D$5:$D$315,G$2)</f>
        <v/>
      </c>
      <c r="H26" s="19">
        <f>SUMIFS(Entreprises!$N$5:$N$639,Entreprises!$A$5:$A$639,$A26,Entreprises!$C$5:$C$639,H$3,Entreprises!$D$5:$D$639,H$2)+SUMIFS(Banques!$P$5:$P$315,Banques!$A$5:$A$315,$A26,Banques!$C$5:$C$315,H$3,Banques!$D$5:$D$315,H$2)</f>
        <v/>
      </c>
      <c r="I26" s="19">
        <f>SUMIFS(Entreprises!$N$5:$N$639,Entreprises!$A$5:$A$639,$A26,Entreprises!$C$5:$C$639,I$3,Entreprises!$D$5:$D$639,I$2)+SUMIFS(Banques!$P$5:$P$315,Banques!$A$5:$A$315,$A26,Banques!$C$5:$C$315,I$3,Banques!$D$5:$D$315,I$2)</f>
        <v/>
      </c>
      <c r="J26" s="19">
        <f>SUMIFS(Entreprises!$N$5:$N$639,Entreprises!$A$5:$A$639,$A26,Entreprises!$C$5:$C$639,J$3,Entreprises!$D$5:$D$639,J$2)+SUMIFS(Banques!$P$5:$P$315,Banques!$A$5:$A$315,$A26,Banques!$C$5:$C$315,J$3,Banques!$D$5:$D$315,J$2)</f>
        <v/>
      </c>
      <c r="K26" s="19">
        <f>SUMIFS(Entreprises!$N$5:$N$639,Entreprises!$A$5:$A$639,$A26,Entreprises!$C$5:$C$639,K$3,Entreprises!$D$5:$D$639,K$2)+SUMIFS(Banques!$P$5:$P$315,Banques!$A$5:$A$315,$A26,Banques!$C$5:$C$315,K$3,Banques!$D$5:$D$315,K$2)</f>
        <v/>
      </c>
      <c r="L26" s="19">
        <f>SUMIFS(Entreprises!$N$5:$N$639,Entreprises!$A$5:$A$639,$A26,Entreprises!$C$5:$C$639,L$3,Entreprises!$D$5:$D$639,L$2)+SUMIFS(Banques!$P$5:$P$315,Banques!$A$5:$A$315,$A26,Banques!$C$5:$C$315,L$3,Banques!$D$5:$D$315,L$2)</f>
        <v/>
      </c>
      <c r="M26" s="19">
        <f>SUMIFS(Entreprises!$N$5:$N$639,Entreprises!$A$5:$A$639,$A26,Entreprises!$C$5:$C$639,M$3,Entreprises!$D$5:$D$639,M$2)+SUMIFS(Banques!$P$5:$P$315,Banques!$A$5:$A$315,$A26,Banques!$C$5:$C$315,M$3,Banques!$D$5:$D$315,M$2)</f>
        <v/>
      </c>
      <c r="N26" s="19">
        <f>SUMIFS(Entreprises!$N$5:$N$639,Entreprises!$A$5:$A$639,$A26,Entreprises!$C$5:$C$639,N$3,Entreprises!$D$5:$D$639,N$2)+SUMIFS(Banques!$P$5:$P$315,Banques!$A$5:$A$315,$A26,Banques!$C$5:$C$315,N$3,Banques!$D$5:$D$315,N$2)</f>
        <v/>
      </c>
      <c r="O26" s="19">
        <f>SUMIFS(Entreprises!$N$5:$N$639,Entreprises!$A$5:$A$639,$A26,Entreprises!$C$5:$C$639,O$3,Entreprises!$D$5:$D$639,O$2)+SUMIFS(Banques!$P$5:$P$315,Banques!$A$5:$A$315,$A26,Banques!$C$5:$C$315,O$3,Banques!$D$5:$D$315,O$2)</f>
        <v/>
      </c>
      <c r="P26" s="19">
        <f>SUMIFS(Entreprises!$N$5:$N$639,Entreprises!$A$5:$A$639,$A26,Entreprises!$C$5:$C$639,P$3,Entreprises!$D$5:$D$639,P$2)+SUMIFS(Banques!$P$5:$P$315,Banques!$A$5:$A$315,$A26,Banques!$C$5:$C$315,P$3,Banques!$D$5:$D$315,P$2)</f>
        <v/>
      </c>
      <c r="Q26" s="19">
        <f>SUMIFS(Entreprises!$N$5:$N$639,Entreprises!$A$5:$A$639,$A26,Entreprises!$C$5:$C$639,Q$3,Entreprises!$D$5:$D$639,Q$2)+SUMIFS(Banques!$P$5:$P$315,Banques!$A$5:$A$315,$A26,Banques!$C$5:$C$315,Q$3,Banques!$D$5:$D$315,Q$2)</f>
        <v/>
      </c>
      <c r="R26" s="19">
        <f>SUMIFS(Entreprises!$N$5:$N$639,Entreprises!$A$5:$A$639,$A26,Entreprises!$C$5:$C$639,R$3,Entreprises!$D$5:$D$639,R$2)+SUMIFS(Banques!$P$5:$P$315,Banques!$A$5:$A$315,$A26,Banques!$C$5:$C$315,R$3,Banques!$D$5:$D$315,R$2)</f>
        <v/>
      </c>
      <c r="S26" s="19">
        <f>SUMIFS(Entreprises!$N$5:$N$639,Entreprises!$A$5:$A$639,$A26,Entreprises!$C$5:$C$639,S$3,Entreprises!$D$5:$D$639,S$2)+SUMIFS(Banques!$P$5:$P$315,Banques!$A$5:$A$315,$A26,Banques!$C$5:$C$315,S$3,Banques!$D$5:$D$315,S$2)</f>
        <v/>
      </c>
      <c r="T26" s="19">
        <f>SUMIFS(Entreprises!$N$5:$N$639,Entreprises!$A$5:$A$639,$A26,Entreprises!$C$5:$C$639,T$3,Entreprises!$D$5:$D$639,T$2)+SUMIFS(Banques!$P$5:$P$315,Banques!$A$5:$A$315,$A26,Banques!$C$5:$C$315,T$3,Banques!$D$5:$D$315,T$2)</f>
        <v/>
      </c>
      <c r="U26" s="19">
        <f>SUMIFS(Entreprises!$N$5:$N$639,Entreprises!$A$5:$A$639,$A26,Entreprises!$C$5:$C$639,U$3,Entreprises!$D$5:$D$639,U$2)+SUMIFS(Banques!$P$5:$P$315,Banques!$A$5:$A$315,$A26,Banques!$C$5:$C$315,U$3,Banques!$D$5:$D$315,U$2)</f>
        <v/>
      </c>
    </row>
    <row r="27">
      <c r="A27" s="18" t="inlineStr">
        <is>
          <t>ETIT</t>
        </is>
      </c>
      <c r="B27" s="18">
        <f>IFERROR(VLOOKUP(A27,Titres!$A$2:$D$400,2,FALSE),"")</f>
        <v/>
      </c>
      <c r="C27" s="18">
        <f>IFERROR(VLOOKUP(A27,Titres!$A$2:$D$400,4,FALSE),"")</f>
        <v/>
      </c>
      <c r="D27" s="19">
        <f>SUMIFS(Entreprises!$N$5:$N$639,Entreprises!$A$5:$A$639,$A27,Entreprises!$C$5:$C$639,D$3,Entreprises!$D$5:$D$639,D$2)+SUMIFS(Banques!$P$5:$P$315,Banques!$A$5:$A$315,$A27,Banques!$C$5:$C$315,D$3,Banques!$D$5:$D$315,D$2)</f>
        <v/>
      </c>
      <c r="E27" s="19">
        <f>SUMIFS(Entreprises!$N$5:$N$639,Entreprises!$A$5:$A$639,$A27,Entreprises!$C$5:$C$639,E$3,Entreprises!$D$5:$D$639,E$2)+SUMIFS(Banques!$P$5:$P$315,Banques!$A$5:$A$315,$A27,Banques!$C$5:$C$315,E$3,Banques!$D$5:$D$315,E$2)</f>
        <v/>
      </c>
      <c r="F27" s="19">
        <f>SUMIFS(Entreprises!$N$5:$N$639,Entreprises!$A$5:$A$639,$A27,Entreprises!$C$5:$C$639,F$3,Entreprises!$D$5:$D$639,F$2)+SUMIFS(Banques!$P$5:$P$315,Banques!$A$5:$A$315,$A27,Banques!$C$5:$C$315,F$3,Banques!$D$5:$D$315,F$2)</f>
        <v/>
      </c>
      <c r="G27" s="19">
        <f>SUMIFS(Entreprises!$N$5:$N$639,Entreprises!$A$5:$A$639,$A27,Entreprises!$C$5:$C$639,G$3,Entreprises!$D$5:$D$639,G$2)+SUMIFS(Banques!$P$5:$P$315,Banques!$A$5:$A$315,$A27,Banques!$C$5:$C$315,G$3,Banques!$D$5:$D$315,G$2)</f>
        <v/>
      </c>
      <c r="H27" s="19">
        <f>SUMIFS(Entreprises!$N$5:$N$639,Entreprises!$A$5:$A$639,$A27,Entreprises!$C$5:$C$639,H$3,Entreprises!$D$5:$D$639,H$2)+SUMIFS(Banques!$P$5:$P$315,Banques!$A$5:$A$315,$A27,Banques!$C$5:$C$315,H$3,Banques!$D$5:$D$315,H$2)</f>
        <v/>
      </c>
      <c r="I27" s="19">
        <f>SUMIFS(Entreprises!$N$5:$N$639,Entreprises!$A$5:$A$639,$A27,Entreprises!$C$5:$C$639,I$3,Entreprises!$D$5:$D$639,I$2)+SUMIFS(Banques!$P$5:$P$315,Banques!$A$5:$A$315,$A27,Banques!$C$5:$C$315,I$3,Banques!$D$5:$D$315,I$2)</f>
        <v/>
      </c>
      <c r="J27" s="19">
        <f>SUMIFS(Entreprises!$N$5:$N$639,Entreprises!$A$5:$A$639,$A27,Entreprises!$C$5:$C$639,J$3,Entreprises!$D$5:$D$639,J$2)+SUMIFS(Banques!$P$5:$P$315,Banques!$A$5:$A$315,$A27,Banques!$C$5:$C$315,J$3,Banques!$D$5:$D$315,J$2)</f>
        <v/>
      </c>
      <c r="K27" s="19">
        <f>SUMIFS(Entreprises!$N$5:$N$639,Entreprises!$A$5:$A$639,$A27,Entreprises!$C$5:$C$639,K$3,Entreprises!$D$5:$D$639,K$2)+SUMIFS(Banques!$P$5:$P$315,Banques!$A$5:$A$315,$A27,Banques!$C$5:$C$315,K$3,Banques!$D$5:$D$315,K$2)</f>
        <v/>
      </c>
      <c r="L27" s="19">
        <f>SUMIFS(Entreprises!$N$5:$N$639,Entreprises!$A$5:$A$639,$A27,Entreprises!$C$5:$C$639,L$3,Entreprises!$D$5:$D$639,L$2)+SUMIFS(Banques!$P$5:$P$315,Banques!$A$5:$A$315,$A27,Banques!$C$5:$C$315,L$3,Banques!$D$5:$D$315,L$2)</f>
        <v/>
      </c>
      <c r="M27" s="19">
        <f>SUMIFS(Entreprises!$N$5:$N$639,Entreprises!$A$5:$A$639,$A27,Entreprises!$C$5:$C$639,M$3,Entreprises!$D$5:$D$639,M$2)+SUMIFS(Banques!$P$5:$P$315,Banques!$A$5:$A$315,$A27,Banques!$C$5:$C$315,M$3,Banques!$D$5:$D$315,M$2)</f>
        <v/>
      </c>
      <c r="N27" s="19">
        <f>SUMIFS(Entreprises!$N$5:$N$639,Entreprises!$A$5:$A$639,$A27,Entreprises!$C$5:$C$639,N$3,Entreprises!$D$5:$D$639,N$2)+SUMIFS(Banques!$P$5:$P$315,Banques!$A$5:$A$315,$A27,Banques!$C$5:$C$315,N$3,Banques!$D$5:$D$315,N$2)</f>
        <v/>
      </c>
      <c r="O27" s="19">
        <f>SUMIFS(Entreprises!$N$5:$N$639,Entreprises!$A$5:$A$639,$A27,Entreprises!$C$5:$C$639,O$3,Entreprises!$D$5:$D$639,O$2)+SUMIFS(Banques!$P$5:$P$315,Banques!$A$5:$A$315,$A27,Banques!$C$5:$C$315,O$3,Banques!$D$5:$D$315,O$2)</f>
        <v/>
      </c>
      <c r="P27" s="19">
        <f>SUMIFS(Entreprises!$N$5:$N$639,Entreprises!$A$5:$A$639,$A27,Entreprises!$C$5:$C$639,P$3,Entreprises!$D$5:$D$639,P$2)+SUMIFS(Banques!$P$5:$P$315,Banques!$A$5:$A$315,$A27,Banques!$C$5:$C$315,P$3,Banques!$D$5:$D$315,P$2)</f>
        <v/>
      </c>
      <c r="Q27" s="19">
        <f>SUMIFS(Entreprises!$N$5:$N$639,Entreprises!$A$5:$A$639,$A27,Entreprises!$C$5:$C$639,Q$3,Entreprises!$D$5:$D$639,Q$2)+SUMIFS(Banques!$P$5:$P$315,Banques!$A$5:$A$315,$A27,Banques!$C$5:$C$315,Q$3,Banques!$D$5:$D$315,Q$2)</f>
        <v/>
      </c>
      <c r="R27" s="19">
        <f>SUMIFS(Entreprises!$N$5:$N$639,Entreprises!$A$5:$A$639,$A27,Entreprises!$C$5:$C$639,R$3,Entreprises!$D$5:$D$639,R$2)+SUMIFS(Banques!$P$5:$P$315,Banques!$A$5:$A$315,$A27,Banques!$C$5:$C$315,R$3,Banques!$D$5:$D$315,R$2)</f>
        <v/>
      </c>
      <c r="S27" s="19">
        <f>SUMIFS(Entreprises!$N$5:$N$639,Entreprises!$A$5:$A$639,$A27,Entreprises!$C$5:$C$639,S$3,Entreprises!$D$5:$D$639,S$2)+SUMIFS(Banques!$P$5:$P$315,Banques!$A$5:$A$315,$A27,Banques!$C$5:$C$315,S$3,Banques!$D$5:$D$315,S$2)</f>
        <v/>
      </c>
      <c r="T27" s="19">
        <f>SUMIFS(Entreprises!$N$5:$N$639,Entreprises!$A$5:$A$639,$A27,Entreprises!$C$5:$C$639,T$3,Entreprises!$D$5:$D$639,T$2)+SUMIFS(Banques!$P$5:$P$315,Banques!$A$5:$A$315,$A27,Banques!$C$5:$C$315,T$3,Banques!$D$5:$D$315,T$2)</f>
        <v/>
      </c>
      <c r="U27" s="19">
        <f>SUMIFS(Entreprises!$N$5:$N$639,Entreprises!$A$5:$A$639,$A27,Entreprises!$C$5:$C$639,U$3,Entreprises!$D$5:$D$639,U$2)+SUMIFS(Banques!$P$5:$P$315,Banques!$A$5:$A$315,$A27,Banques!$C$5:$C$315,U$3,Banques!$D$5:$D$315,U$2)</f>
        <v/>
      </c>
    </row>
    <row r="28">
      <c r="A28" s="18" t="inlineStr">
        <is>
          <t>ORGT</t>
        </is>
      </c>
      <c r="B28" s="18">
        <f>IFERROR(VLOOKUP(A28,Titres!$A$2:$D$400,2,FALSE),"")</f>
        <v/>
      </c>
      <c r="C28" s="18">
        <f>IFERROR(VLOOKUP(A28,Titres!$A$2:$D$400,4,FALSE),"")</f>
        <v/>
      </c>
      <c r="D28" s="19">
        <f>SUMIFS(Entreprises!$N$5:$N$639,Entreprises!$A$5:$A$639,$A28,Entreprises!$C$5:$C$639,D$3,Entreprises!$D$5:$D$639,D$2)+SUMIFS(Banques!$P$5:$P$315,Banques!$A$5:$A$315,$A28,Banques!$C$5:$C$315,D$3,Banques!$D$5:$D$315,D$2)</f>
        <v/>
      </c>
      <c r="E28" s="19">
        <f>SUMIFS(Entreprises!$N$5:$N$639,Entreprises!$A$5:$A$639,$A28,Entreprises!$C$5:$C$639,E$3,Entreprises!$D$5:$D$639,E$2)+SUMIFS(Banques!$P$5:$P$315,Banques!$A$5:$A$315,$A28,Banques!$C$5:$C$315,E$3,Banques!$D$5:$D$315,E$2)</f>
        <v/>
      </c>
      <c r="F28" s="19">
        <f>SUMIFS(Entreprises!$N$5:$N$639,Entreprises!$A$5:$A$639,$A28,Entreprises!$C$5:$C$639,F$3,Entreprises!$D$5:$D$639,F$2)+SUMIFS(Banques!$P$5:$P$315,Banques!$A$5:$A$315,$A28,Banques!$C$5:$C$315,F$3,Banques!$D$5:$D$315,F$2)</f>
        <v/>
      </c>
      <c r="G28" s="19">
        <f>SUMIFS(Entreprises!$N$5:$N$639,Entreprises!$A$5:$A$639,$A28,Entreprises!$C$5:$C$639,G$3,Entreprises!$D$5:$D$639,G$2)+SUMIFS(Banques!$P$5:$P$315,Banques!$A$5:$A$315,$A28,Banques!$C$5:$C$315,G$3,Banques!$D$5:$D$315,G$2)</f>
        <v/>
      </c>
      <c r="H28" s="19">
        <f>SUMIFS(Entreprises!$N$5:$N$639,Entreprises!$A$5:$A$639,$A28,Entreprises!$C$5:$C$639,H$3,Entreprises!$D$5:$D$639,H$2)+SUMIFS(Banques!$P$5:$P$315,Banques!$A$5:$A$315,$A28,Banques!$C$5:$C$315,H$3,Banques!$D$5:$D$315,H$2)</f>
        <v/>
      </c>
      <c r="I28" s="19">
        <f>SUMIFS(Entreprises!$N$5:$N$639,Entreprises!$A$5:$A$639,$A28,Entreprises!$C$5:$C$639,I$3,Entreprises!$D$5:$D$639,I$2)+SUMIFS(Banques!$P$5:$P$315,Banques!$A$5:$A$315,$A28,Banques!$C$5:$C$315,I$3,Banques!$D$5:$D$315,I$2)</f>
        <v/>
      </c>
      <c r="J28" s="19">
        <f>SUMIFS(Entreprises!$N$5:$N$639,Entreprises!$A$5:$A$639,$A28,Entreprises!$C$5:$C$639,J$3,Entreprises!$D$5:$D$639,J$2)+SUMIFS(Banques!$P$5:$P$315,Banques!$A$5:$A$315,$A28,Banques!$C$5:$C$315,J$3,Banques!$D$5:$D$315,J$2)</f>
        <v/>
      </c>
      <c r="K28" s="19">
        <f>SUMIFS(Entreprises!$N$5:$N$639,Entreprises!$A$5:$A$639,$A28,Entreprises!$C$5:$C$639,K$3,Entreprises!$D$5:$D$639,K$2)+SUMIFS(Banques!$P$5:$P$315,Banques!$A$5:$A$315,$A28,Banques!$C$5:$C$315,K$3,Banques!$D$5:$D$315,K$2)</f>
        <v/>
      </c>
      <c r="L28" s="19">
        <f>SUMIFS(Entreprises!$N$5:$N$639,Entreprises!$A$5:$A$639,$A28,Entreprises!$C$5:$C$639,L$3,Entreprises!$D$5:$D$639,L$2)+SUMIFS(Banques!$P$5:$P$315,Banques!$A$5:$A$315,$A28,Banques!$C$5:$C$315,L$3,Banques!$D$5:$D$315,L$2)</f>
        <v/>
      </c>
      <c r="M28" s="19">
        <f>SUMIFS(Entreprises!$N$5:$N$639,Entreprises!$A$5:$A$639,$A28,Entreprises!$C$5:$C$639,M$3,Entreprises!$D$5:$D$639,M$2)+SUMIFS(Banques!$P$5:$P$315,Banques!$A$5:$A$315,$A28,Banques!$C$5:$C$315,M$3,Banques!$D$5:$D$315,M$2)</f>
        <v/>
      </c>
      <c r="N28" s="19">
        <f>SUMIFS(Entreprises!$N$5:$N$639,Entreprises!$A$5:$A$639,$A28,Entreprises!$C$5:$C$639,N$3,Entreprises!$D$5:$D$639,N$2)+SUMIFS(Banques!$P$5:$P$315,Banques!$A$5:$A$315,$A28,Banques!$C$5:$C$315,N$3,Banques!$D$5:$D$315,N$2)</f>
        <v/>
      </c>
      <c r="O28" s="19">
        <f>SUMIFS(Entreprises!$N$5:$N$639,Entreprises!$A$5:$A$639,$A28,Entreprises!$C$5:$C$639,O$3,Entreprises!$D$5:$D$639,O$2)+SUMIFS(Banques!$P$5:$P$315,Banques!$A$5:$A$315,$A28,Banques!$C$5:$C$315,O$3,Banques!$D$5:$D$315,O$2)</f>
        <v/>
      </c>
      <c r="P28" s="19">
        <f>SUMIFS(Entreprises!$N$5:$N$639,Entreprises!$A$5:$A$639,$A28,Entreprises!$C$5:$C$639,P$3,Entreprises!$D$5:$D$639,P$2)+SUMIFS(Banques!$P$5:$P$315,Banques!$A$5:$A$315,$A28,Banques!$C$5:$C$315,P$3,Banques!$D$5:$D$315,P$2)</f>
        <v/>
      </c>
      <c r="Q28" s="19">
        <f>SUMIFS(Entreprises!$N$5:$N$639,Entreprises!$A$5:$A$639,$A28,Entreprises!$C$5:$C$639,Q$3,Entreprises!$D$5:$D$639,Q$2)+SUMIFS(Banques!$P$5:$P$315,Banques!$A$5:$A$315,$A28,Banques!$C$5:$C$315,Q$3,Banques!$D$5:$D$315,Q$2)</f>
        <v/>
      </c>
      <c r="R28" s="19">
        <f>SUMIFS(Entreprises!$N$5:$N$639,Entreprises!$A$5:$A$639,$A28,Entreprises!$C$5:$C$639,R$3,Entreprises!$D$5:$D$639,R$2)+SUMIFS(Banques!$P$5:$P$315,Banques!$A$5:$A$315,$A28,Banques!$C$5:$C$315,R$3,Banques!$D$5:$D$315,R$2)</f>
        <v/>
      </c>
      <c r="S28" s="19">
        <f>SUMIFS(Entreprises!$N$5:$N$639,Entreprises!$A$5:$A$639,$A28,Entreprises!$C$5:$C$639,S$3,Entreprises!$D$5:$D$639,S$2)+SUMIFS(Banques!$P$5:$P$315,Banques!$A$5:$A$315,$A28,Banques!$C$5:$C$315,S$3,Banques!$D$5:$D$315,S$2)</f>
        <v/>
      </c>
      <c r="T28" s="19">
        <f>SUMIFS(Entreprises!$N$5:$N$639,Entreprises!$A$5:$A$639,$A28,Entreprises!$C$5:$C$639,T$3,Entreprises!$D$5:$D$639,T$2)+SUMIFS(Banques!$P$5:$P$315,Banques!$A$5:$A$315,$A28,Banques!$C$5:$C$315,T$3,Banques!$D$5:$D$315,T$2)</f>
        <v/>
      </c>
      <c r="U28" s="19">
        <f>SUMIFS(Entreprises!$N$5:$N$639,Entreprises!$A$5:$A$639,$A28,Entreprises!$C$5:$C$639,U$3,Entreprises!$D$5:$D$639,U$2)+SUMIFS(Banques!$P$5:$P$315,Banques!$A$5:$A$315,$A28,Banques!$C$5:$C$315,U$3,Banques!$D$5:$D$315,U$2)</f>
        <v/>
      </c>
    </row>
    <row r="29">
      <c r="A29" s="18" t="inlineStr">
        <is>
          <t>CIEC</t>
        </is>
      </c>
      <c r="B29" s="18">
        <f>IFERROR(VLOOKUP(A29,Titres!$A$2:$D$400,2,FALSE),"")</f>
        <v/>
      </c>
      <c r="C29" s="18">
        <f>IFERROR(VLOOKUP(A29,Titres!$A$2:$D$400,4,FALSE),"")</f>
        <v/>
      </c>
      <c r="D29" s="19">
        <f>SUMIFS(Entreprises!$N$5:$N$639,Entreprises!$A$5:$A$639,$A29,Entreprises!$C$5:$C$639,D$3,Entreprises!$D$5:$D$639,D$2)+SUMIFS(Banques!$P$5:$P$315,Banques!$A$5:$A$315,$A29,Banques!$C$5:$C$315,D$3,Banques!$D$5:$D$315,D$2)</f>
        <v/>
      </c>
      <c r="E29" s="19">
        <f>SUMIFS(Entreprises!$N$5:$N$639,Entreprises!$A$5:$A$639,$A29,Entreprises!$C$5:$C$639,E$3,Entreprises!$D$5:$D$639,E$2)+SUMIFS(Banques!$P$5:$P$315,Banques!$A$5:$A$315,$A29,Banques!$C$5:$C$315,E$3,Banques!$D$5:$D$315,E$2)</f>
        <v/>
      </c>
      <c r="F29" s="19">
        <f>SUMIFS(Entreprises!$N$5:$N$639,Entreprises!$A$5:$A$639,$A29,Entreprises!$C$5:$C$639,F$3,Entreprises!$D$5:$D$639,F$2)+SUMIFS(Banques!$P$5:$P$315,Banques!$A$5:$A$315,$A29,Banques!$C$5:$C$315,F$3,Banques!$D$5:$D$315,F$2)</f>
        <v/>
      </c>
      <c r="G29" s="19">
        <f>SUMIFS(Entreprises!$N$5:$N$639,Entreprises!$A$5:$A$639,$A29,Entreprises!$C$5:$C$639,G$3,Entreprises!$D$5:$D$639,G$2)+SUMIFS(Banques!$P$5:$P$315,Banques!$A$5:$A$315,$A29,Banques!$C$5:$C$315,G$3,Banques!$D$5:$D$315,G$2)</f>
        <v/>
      </c>
      <c r="H29" s="19">
        <f>SUMIFS(Entreprises!$N$5:$N$639,Entreprises!$A$5:$A$639,$A29,Entreprises!$C$5:$C$639,H$3,Entreprises!$D$5:$D$639,H$2)+SUMIFS(Banques!$P$5:$P$315,Banques!$A$5:$A$315,$A29,Banques!$C$5:$C$315,H$3,Banques!$D$5:$D$315,H$2)</f>
        <v/>
      </c>
      <c r="I29" s="19">
        <f>SUMIFS(Entreprises!$N$5:$N$639,Entreprises!$A$5:$A$639,$A29,Entreprises!$C$5:$C$639,I$3,Entreprises!$D$5:$D$639,I$2)+SUMIFS(Banques!$P$5:$P$315,Banques!$A$5:$A$315,$A29,Banques!$C$5:$C$315,I$3,Banques!$D$5:$D$315,I$2)</f>
        <v/>
      </c>
      <c r="J29" s="19">
        <f>SUMIFS(Entreprises!$N$5:$N$639,Entreprises!$A$5:$A$639,$A29,Entreprises!$C$5:$C$639,J$3,Entreprises!$D$5:$D$639,J$2)+SUMIFS(Banques!$P$5:$P$315,Banques!$A$5:$A$315,$A29,Banques!$C$5:$C$315,J$3,Banques!$D$5:$D$315,J$2)</f>
        <v/>
      </c>
      <c r="K29" s="19">
        <f>SUMIFS(Entreprises!$N$5:$N$639,Entreprises!$A$5:$A$639,$A29,Entreprises!$C$5:$C$639,K$3,Entreprises!$D$5:$D$639,K$2)+SUMIFS(Banques!$P$5:$P$315,Banques!$A$5:$A$315,$A29,Banques!$C$5:$C$315,K$3,Banques!$D$5:$D$315,K$2)</f>
        <v/>
      </c>
      <c r="L29" s="19">
        <f>SUMIFS(Entreprises!$N$5:$N$639,Entreprises!$A$5:$A$639,$A29,Entreprises!$C$5:$C$639,L$3,Entreprises!$D$5:$D$639,L$2)+SUMIFS(Banques!$P$5:$P$315,Banques!$A$5:$A$315,$A29,Banques!$C$5:$C$315,L$3,Banques!$D$5:$D$315,L$2)</f>
        <v/>
      </c>
      <c r="M29" s="19">
        <f>SUMIFS(Entreprises!$N$5:$N$639,Entreprises!$A$5:$A$639,$A29,Entreprises!$C$5:$C$639,M$3,Entreprises!$D$5:$D$639,M$2)+SUMIFS(Banques!$P$5:$P$315,Banques!$A$5:$A$315,$A29,Banques!$C$5:$C$315,M$3,Banques!$D$5:$D$315,M$2)</f>
        <v/>
      </c>
      <c r="N29" s="19">
        <f>SUMIFS(Entreprises!$N$5:$N$639,Entreprises!$A$5:$A$639,$A29,Entreprises!$C$5:$C$639,N$3,Entreprises!$D$5:$D$639,N$2)+SUMIFS(Banques!$P$5:$P$315,Banques!$A$5:$A$315,$A29,Banques!$C$5:$C$315,N$3,Banques!$D$5:$D$315,N$2)</f>
        <v/>
      </c>
      <c r="O29" s="19">
        <f>SUMIFS(Entreprises!$N$5:$N$639,Entreprises!$A$5:$A$639,$A29,Entreprises!$C$5:$C$639,O$3,Entreprises!$D$5:$D$639,O$2)+SUMIFS(Banques!$P$5:$P$315,Banques!$A$5:$A$315,$A29,Banques!$C$5:$C$315,O$3,Banques!$D$5:$D$315,O$2)</f>
        <v/>
      </c>
      <c r="P29" s="19">
        <f>SUMIFS(Entreprises!$N$5:$N$639,Entreprises!$A$5:$A$639,$A29,Entreprises!$C$5:$C$639,P$3,Entreprises!$D$5:$D$639,P$2)+SUMIFS(Banques!$P$5:$P$315,Banques!$A$5:$A$315,$A29,Banques!$C$5:$C$315,P$3,Banques!$D$5:$D$315,P$2)</f>
        <v/>
      </c>
      <c r="Q29" s="19">
        <f>SUMIFS(Entreprises!$N$5:$N$639,Entreprises!$A$5:$A$639,$A29,Entreprises!$C$5:$C$639,Q$3,Entreprises!$D$5:$D$639,Q$2)+SUMIFS(Banques!$P$5:$P$315,Banques!$A$5:$A$315,$A29,Banques!$C$5:$C$315,Q$3,Banques!$D$5:$D$315,Q$2)</f>
        <v/>
      </c>
      <c r="R29" s="19">
        <f>SUMIFS(Entreprises!$N$5:$N$639,Entreprises!$A$5:$A$639,$A29,Entreprises!$C$5:$C$639,R$3,Entreprises!$D$5:$D$639,R$2)+SUMIFS(Banques!$P$5:$P$315,Banques!$A$5:$A$315,$A29,Banques!$C$5:$C$315,R$3,Banques!$D$5:$D$315,R$2)</f>
        <v/>
      </c>
      <c r="S29" s="19">
        <f>SUMIFS(Entreprises!$N$5:$N$639,Entreprises!$A$5:$A$639,$A29,Entreprises!$C$5:$C$639,S$3,Entreprises!$D$5:$D$639,S$2)+SUMIFS(Banques!$P$5:$P$315,Banques!$A$5:$A$315,$A29,Banques!$C$5:$C$315,S$3,Banques!$D$5:$D$315,S$2)</f>
        <v/>
      </c>
      <c r="T29" s="19">
        <f>SUMIFS(Entreprises!$N$5:$N$639,Entreprises!$A$5:$A$639,$A29,Entreprises!$C$5:$C$639,T$3,Entreprises!$D$5:$D$639,T$2)+SUMIFS(Banques!$P$5:$P$315,Banques!$A$5:$A$315,$A29,Banques!$C$5:$C$315,T$3,Banques!$D$5:$D$315,T$2)</f>
        <v/>
      </c>
      <c r="U29" s="19">
        <f>SUMIFS(Entreprises!$N$5:$N$639,Entreprises!$A$5:$A$639,$A29,Entreprises!$C$5:$C$639,U$3,Entreprises!$D$5:$D$639,U$2)+SUMIFS(Banques!$P$5:$P$315,Banques!$A$5:$A$315,$A29,Banques!$C$5:$C$315,U$3,Banques!$D$5:$D$315,U$2)</f>
        <v/>
      </c>
    </row>
    <row r="30">
      <c r="A30" s="18" t="inlineStr">
        <is>
          <t>SDCC</t>
        </is>
      </c>
      <c r="B30" s="18">
        <f>IFERROR(VLOOKUP(A30,Titres!$A$2:$D$400,2,FALSE),"")</f>
        <v/>
      </c>
      <c r="C30" s="18">
        <f>IFERROR(VLOOKUP(A30,Titres!$A$2:$D$400,4,FALSE),"")</f>
        <v/>
      </c>
      <c r="D30" s="19">
        <f>SUMIFS(Entreprises!$N$5:$N$639,Entreprises!$A$5:$A$639,$A30,Entreprises!$C$5:$C$639,D$3,Entreprises!$D$5:$D$639,D$2)+SUMIFS(Banques!$P$5:$P$315,Banques!$A$5:$A$315,$A30,Banques!$C$5:$C$315,D$3,Banques!$D$5:$D$315,D$2)</f>
        <v/>
      </c>
      <c r="E30" s="19">
        <f>SUMIFS(Entreprises!$N$5:$N$639,Entreprises!$A$5:$A$639,$A30,Entreprises!$C$5:$C$639,E$3,Entreprises!$D$5:$D$639,E$2)+SUMIFS(Banques!$P$5:$P$315,Banques!$A$5:$A$315,$A30,Banques!$C$5:$C$315,E$3,Banques!$D$5:$D$315,E$2)</f>
        <v/>
      </c>
      <c r="F30" s="19">
        <f>SUMIFS(Entreprises!$N$5:$N$639,Entreprises!$A$5:$A$639,$A30,Entreprises!$C$5:$C$639,F$3,Entreprises!$D$5:$D$639,F$2)+SUMIFS(Banques!$P$5:$P$315,Banques!$A$5:$A$315,$A30,Banques!$C$5:$C$315,F$3,Banques!$D$5:$D$315,F$2)</f>
        <v/>
      </c>
      <c r="G30" s="19">
        <f>SUMIFS(Entreprises!$N$5:$N$639,Entreprises!$A$5:$A$639,$A30,Entreprises!$C$5:$C$639,G$3,Entreprises!$D$5:$D$639,G$2)+SUMIFS(Banques!$P$5:$P$315,Banques!$A$5:$A$315,$A30,Banques!$C$5:$C$315,G$3,Banques!$D$5:$D$315,G$2)</f>
        <v/>
      </c>
      <c r="H30" s="19">
        <f>SUMIFS(Entreprises!$N$5:$N$639,Entreprises!$A$5:$A$639,$A30,Entreprises!$C$5:$C$639,H$3,Entreprises!$D$5:$D$639,H$2)+SUMIFS(Banques!$P$5:$P$315,Banques!$A$5:$A$315,$A30,Banques!$C$5:$C$315,H$3,Banques!$D$5:$D$315,H$2)</f>
        <v/>
      </c>
      <c r="I30" s="19">
        <f>SUMIFS(Entreprises!$N$5:$N$639,Entreprises!$A$5:$A$639,$A30,Entreprises!$C$5:$C$639,I$3,Entreprises!$D$5:$D$639,I$2)+SUMIFS(Banques!$P$5:$P$315,Banques!$A$5:$A$315,$A30,Banques!$C$5:$C$315,I$3,Banques!$D$5:$D$315,I$2)</f>
        <v/>
      </c>
      <c r="J30" s="19">
        <f>SUMIFS(Entreprises!$N$5:$N$639,Entreprises!$A$5:$A$639,$A30,Entreprises!$C$5:$C$639,J$3,Entreprises!$D$5:$D$639,J$2)+SUMIFS(Banques!$P$5:$P$315,Banques!$A$5:$A$315,$A30,Banques!$C$5:$C$315,J$3,Banques!$D$5:$D$315,J$2)</f>
        <v/>
      </c>
      <c r="K30" s="19">
        <f>SUMIFS(Entreprises!$N$5:$N$639,Entreprises!$A$5:$A$639,$A30,Entreprises!$C$5:$C$639,K$3,Entreprises!$D$5:$D$639,K$2)+SUMIFS(Banques!$P$5:$P$315,Banques!$A$5:$A$315,$A30,Banques!$C$5:$C$315,K$3,Banques!$D$5:$D$315,K$2)</f>
        <v/>
      </c>
      <c r="L30" s="19">
        <f>SUMIFS(Entreprises!$N$5:$N$639,Entreprises!$A$5:$A$639,$A30,Entreprises!$C$5:$C$639,L$3,Entreprises!$D$5:$D$639,L$2)+SUMIFS(Banques!$P$5:$P$315,Banques!$A$5:$A$315,$A30,Banques!$C$5:$C$315,L$3,Banques!$D$5:$D$315,L$2)</f>
        <v/>
      </c>
      <c r="M30" s="19">
        <f>SUMIFS(Entreprises!$N$5:$N$639,Entreprises!$A$5:$A$639,$A30,Entreprises!$C$5:$C$639,M$3,Entreprises!$D$5:$D$639,M$2)+SUMIFS(Banques!$P$5:$P$315,Banques!$A$5:$A$315,$A30,Banques!$C$5:$C$315,M$3,Banques!$D$5:$D$315,M$2)</f>
        <v/>
      </c>
      <c r="N30" s="19">
        <f>SUMIFS(Entreprises!$N$5:$N$639,Entreprises!$A$5:$A$639,$A30,Entreprises!$C$5:$C$639,N$3,Entreprises!$D$5:$D$639,N$2)+SUMIFS(Banques!$P$5:$P$315,Banques!$A$5:$A$315,$A30,Banques!$C$5:$C$315,N$3,Banques!$D$5:$D$315,N$2)</f>
        <v/>
      </c>
      <c r="O30" s="19">
        <f>SUMIFS(Entreprises!$N$5:$N$639,Entreprises!$A$5:$A$639,$A30,Entreprises!$C$5:$C$639,O$3,Entreprises!$D$5:$D$639,O$2)+SUMIFS(Banques!$P$5:$P$315,Banques!$A$5:$A$315,$A30,Banques!$C$5:$C$315,O$3,Banques!$D$5:$D$315,O$2)</f>
        <v/>
      </c>
      <c r="P30" s="19">
        <f>SUMIFS(Entreprises!$N$5:$N$639,Entreprises!$A$5:$A$639,$A30,Entreprises!$C$5:$C$639,P$3,Entreprises!$D$5:$D$639,P$2)+SUMIFS(Banques!$P$5:$P$315,Banques!$A$5:$A$315,$A30,Banques!$C$5:$C$315,P$3,Banques!$D$5:$D$315,P$2)</f>
        <v/>
      </c>
      <c r="Q30" s="19">
        <f>SUMIFS(Entreprises!$N$5:$N$639,Entreprises!$A$5:$A$639,$A30,Entreprises!$C$5:$C$639,Q$3,Entreprises!$D$5:$D$639,Q$2)+SUMIFS(Banques!$P$5:$P$315,Banques!$A$5:$A$315,$A30,Banques!$C$5:$C$315,Q$3,Banques!$D$5:$D$315,Q$2)</f>
        <v/>
      </c>
      <c r="R30" s="19">
        <f>SUMIFS(Entreprises!$N$5:$N$639,Entreprises!$A$5:$A$639,$A30,Entreprises!$C$5:$C$639,R$3,Entreprises!$D$5:$D$639,R$2)+SUMIFS(Banques!$P$5:$P$315,Banques!$A$5:$A$315,$A30,Banques!$C$5:$C$315,R$3,Banques!$D$5:$D$315,R$2)</f>
        <v/>
      </c>
      <c r="S30" s="19">
        <f>SUMIFS(Entreprises!$N$5:$N$639,Entreprises!$A$5:$A$639,$A30,Entreprises!$C$5:$C$639,S$3,Entreprises!$D$5:$D$639,S$2)+SUMIFS(Banques!$P$5:$P$315,Banques!$A$5:$A$315,$A30,Banques!$C$5:$C$315,S$3,Banques!$D$5:$D$315,S$2)</f>
        <v/>
      </c>
      <c r="T30" s="19">
        <f>SUMIFS(Entreprises!$N$5:$N$639,Entreprises!$A$5:$A$639,$A30,Entreprises!$C$5:$C$639,T$3,Entreprises!$D$5:$D$639,T$2)+SUMIFS(Banques!$P$5:$P$315,Banques!$A$5:$A$315,$A30,Banques!$C$5:$C$315,T$3,Banques!$D$5:$D$315,T$2)</f>
        <v/>
      </c>
      <c r="U30" s="19">
        <f>SUMIFS(Entreprises!$N$5:$N$639,Entreprises!$A$5:$A$639,$A30,Entreprises!$C$5:$C$639,U$3,Entreprises!$D$5:$D$639,U$2)+SUMIFS(Banques!$P$5:$P$315,Banques!$A$5:$A$315,$A30,Banques!$C$5:$C$315,U$3,Banques!$D$5:$D$315,U$2)</f>
        <v/>
      </c>
    </row>
    <row r="31">
      <c r="A31" s="18" t="inlineStr">
        <is>
          <t>ONTBF</t>
        </is>
      </c>
      <c r="B31" s="18">
        <f>IFERROR(VLOOKUP(A31,Titres!$A$2:$D$400,2,FALSE),"")</f>
        <v/>
      </c>
      <c r="C31" s="18">
        <f>IFERROR(VLOOKUP(A31,Titres!$A$2:$D$400,4,FALSE),"")</f>
        <v/>
      </c>
      <c r="D31" s="19">
        <f>SUMIFS(Entreprises!$N$5:$N$639,Entreprises!$A$5:$A$639,$A31,Entreprises!$C$5:$C$639,D$3,Entreprises!$D$5:$D$639,D$2)+SUMIFS(Banques!$P$5:$P$315,Banques!$A$5:$A$315,$A31,Banques!$C$5:$C$315,D$3,Banques!$D$5:$D$315,D$2)</f>
        <v/>
      </c>
      <c r="E31" s="19">
        <f>SUMIFS(Entreprises!$N$5:$N$639,Entreprises!$A$5:$A$639,$A31,Entreprises!$C$5:$C$639,E$3,Entreprises!$D$5:$D$639,E$2)+SUMIFS(Banques!$P$5:$P$315,Banques!$A$5:$A$315,$A31,Banques!$C$5:$C$315,E$3,Banques!$D$5:$D$315,E$2)</f>
        <v/>
      </c>
      <c r="F31" s="19">
        <f>SUMIFS(Entreprises!$N$5:$N$639,Entreprises!$A$5:$A$639,$A31,Entreprises!$C$5:$C$639,F$3,Entreprises!$D$5:$D$639,F$2)+SUMIFS(Banques!$P$5:$P$315,Banques!$A$5:$A$315,$A31,Banques!$C$5:$C$315,F$3,Banques!$D$5:$D$315,F$2)</f>
        <v/>
      </c>
      <c r="G31" s="19">
        <f>SUMIFS(Entreprises!$N$5:$N$639,Entreprises!$A$5:$A$639,$A31,Entreprises!$C$5:$C$639,G$3,Entreprises!$D$5:$D$639,G$2)+SUMIFS(Banques!$P$5:$P$315,Banques!$A$5:$A$315,$A31,Banques!$C$5:$C$315,G$3,Banques!$D$5:$D$315,G$2)</f>
        <v/>
      </c>
      <c r="H31" s="19">
        <f>SUMIFS(Entreprises!$N$5:$N$639,Entreprises!$A$5:$A$639,$A31,Entreprises!$C$5:$C$639,H$3,Entreprises!$D$5:$D$639,H$2)+SUMIFS(Banques!$P$5:$P$315,Banques!$A$5:$A$315,$A31,Banques!$C$5:$C$315,H$3,Banques!$D$5:$D$315,H$2)</f>
        <v/>
      </c>
      <c r="I31" s="19">
        <f>SUMIFS(Entreprises!$N$5:$N$639,Entreprises!$A$5:$A$639,$A31,Entreprises!$C$5:$C$639,I$3,Entreprises!$D$5:$D$639,I$2)+SUMIFS(Banques!$P$5:$P$315,Banques!$A$5:$A$315,$A31,Banques!$C$5:$C$315,I$3,Banques!$D$5:$D$315,I$2)</f>
        <v/>
      </c>
      <c r="J31" s="19">
        <f>SUMIFS(Entreprises!$N$5:$N$639,Entreprises!$A$5:$A$639,$A31,Entreprises!$C$5:$C$639,J$3,Entreprises!$D$5:$D$639,J$2)+SUMIFS(Banques!$P$5:$P$315,Banques!$A$5:$A$315,$A31,Banques!$C$5:$C$315,J$3,Banques!$D$5:$D$315,J$2)</f>
        <v/>
      </c>
      <c r="K31" s="19">
        <f>SUMIFS(Entreprises!$N$5:$N$639,Entreprises!$A$5:$A$639,$A31,Entreprises!$C$5:$C$639,K$3,Entreprises!$D$5:$D$639,K$2)+SUMIFS(Banques!$P$5:$P$315,Banques!$A$5:$A$315,$A31,Banques!$C$5:$C$315,K$3,Banques!$D$5:$D$315,K$2)</f>
        <v/>
      </c>
      <c r="L31" s="19">
        <f>SUMIFS(Entreprises!$N$5:$N$639,Entreprises!$A$5:$A$639,$A31,Entreprises!$C$5:$C$639,L$3,Entreprises!$D$5:$D$639,L$2)+SUMIFS(Banques!$P$5:$P$315,Banques!$A$5:$A$315,$A31,Banques!$C$5:$C$315,L$3,Banques!$D$5:$D$315,L$2)</f>
        <v/>
      </c>
      <c r="M31" s="19">
        <f>SUMIFS(Entreprises!$N$5:$N$639,Entreprises!$A$5:$A$639,$A31,Entreprises!$C$5:$C$639,M$3,Entreprises!$D$5:$D$639,M$2)+SUMIFS(Banques!$P$5:$P$315,Banques!$A$5:$A$315,$A31,Banques!$C$5:$C$315,M$3,Banques!$D$5:$D$315,M$2)</f>
        <v/>
      </c>
      <c r="N31" s="19">
        <f>SUMIFS(Entreprises!$N$5:$N$639,Entreprises!$A$5:$A$639,$A31,Entreprises!$C$5:$C$639,N$3,Entreprises!$D$5:$D$639,N$2)+SUMIFS(Banques!$P$5:$P$315,Banques!$A$5:$A$315,$A31,Banques!$C$5:$C$315,N$3,Banques!$D$5:$D$315,N$2)</f>
        <v/>
      </c>
      <c r="O31" s="19">
        <f>SUMIFS(Entreprises!$N$5:$N$639,Entreprises!$A$5:$A$639,$A31,Entreprises!$C$5:$C$639,O$3,Entreprises!$D$5:$D$639,O$2)+SUMIFS(Banques!$P$5:$P$315,Banques!$A$5:$A$315,$A31,Banques!$C$5:$C$315,O$3,Banques!$D$5:$D$315,O$2)</f>
        <v/>
      </c>
      <c r="P31" s="19">
        <f>SUMIFS(Entreprises!$N$5:$N$639,Entreprises!$A$5:$A$639,$A31,Entreprises!$C$5:$C$639,P$3,Entreprises!$D$5:$D$639,P$2)+SUMIFS(Banques!$P$5:$P$315,Banques!$A$5:$A$315,$A31,Banques!$C$5:$C$315,P$3,Banques!$D$5:$D$315,P$2)</f>
        <v/>
      </c>
      <c r="Q31" s="19">
        <f>SUMIFS(Entreprises!$N$5:$N$639,Entreprises!$A$5:$A$639,$A31,Entreprises!$C$5:$C$639,Q$3,Entreprises!$D$5:$D$639,Q$2)+SUMIFS(Banques!$P$5:$P$315,Banques!$A$5:$A$315,$A31,Banques!$C$5:$C$315,Q$3,Banques!$D$5:$D$315,Q$2)</f>
        <v/>
      </c>
      <c r="R31" s="19">
        <f>SUMIFS(Entreprises!$N$5:$N$639,Entreprises!$A$5:$A$639,$A31,Entreprises!$C$5:$C$639,R$3,Entreprises!$D$5:$D$639,R$2)+SUMIFS(Banques!$P$5:$P$315,Banques!$A$5:$A$315,$A31,Banques!$C$5:$C$315,R$3,Banques!$D$5:$D$315,R$2)</f>
        <v/>
      </c>
      <c r="S31" s="19">
        <f>SUMIFS(Entreprises!$N$5:$N$639,Entreprises!$A$5:$A$639,$A31,Entreprises!$C$5:$C$639,S$3,Entreprises!$D$5:$D$639,S$2)+SUMIFS(Banques!$P$5:$P$315,Banques!$A$5:$A$315,$A31,Banques!$C$5:$C$315,S$3,Banques!$D$5:$D$315,S$2)</f>
        <v/>
      </c>
      <c r="T31" s="19">
        <f>SUMIFS(Entreprises!$N$5:$N$639,Entreprises!$A$5:$A$639,$A31,Entreprises!$C$5:$C$639,T$3,Entreprises!$D$5:$D$639,T$2)+SUMIFS(Banques!$P$5:$P$315,Banques!$A$5:$A$315,$A31,Banques!$C$5:$C$315,T$3,Banques!$D$5:$D$315,T$2)</f>
        <v/>
      </c>
      <c r="U31" s="19">
        <f>SUMIFS(Entreprises!$N$5:$N$639,Entreprises!$A$5:$A$639,$A31,Entreprises!$C$5:$C$639,U$3,Entreprises!$D$5:$D$639,U$2)+SUMIFS(Banques!$P$5:$P$315,Banques!$A$5:$A$315,$A31,Banques!$C$5:$C$315,U$3,Banques!$D$5:$D$315,U$2)</f>
        <v/>
      </c>
    </row>
    <row r="32">
      <c r="A32" s="18" t="inlineStr">
        <is>
          <t>ORAC</t>
        </is>
      </c>
      <c r="B32" s="18">
        <f>IFERROR(VLOOKUP(A32,Titres!$A$2:$D$400,2,FALSE),"")</f>
        <v/>
      </c>
      <c r="C32" s="18">
        <f>IFERROR(VLOOKUP(A32,Titres!$A$2:$D$400,4,FALSE),"")</f>
        <v/>
      </c>
      <c r="D32" s="19">
        <f>SUMIFS(Entreprises!$N$5:$N$639,Entreprises!$A$5:$A$639,$A32,Entreprises!$C$5:$C$639,D$3,Entreprises!$D$5:$D$639,D$2)+SUMIFS(Banques!$P$5:$P$315,Banques!$A$5:$A$315,$A32,Banques!$C$5:$C$315,D$3,Banques!$D$5:$D$315,D$2)</f>
        <v/>
      </c>
      <c r="E32" s="19">
        <f>SUMIFS(Entreprises!$N$5:$N$639,Entreprises!$A$5:$A$639,$A32,Entreprises!$C$5:$C$639,E$3,Entreprises!$D$5:$D$639,E$2)+SUMIFS(Banques!$P$5:$P$315,Banques!$A$5:$A$315,$A32,Banques!$C$5:$C$315,E$3,Banques!$D$5:$D$315,E$2)</f>
        <v/>
      </c>
      <c r="F32" s="19">
        <f>SUMIFS(Entreprises!$N$5:$N$639,Entreprises!$A$5:$A$639,$A32,Entreprises!$C$5:$C$639,F$3,Entreprises!$D$5:$D$639,F$2)+SUMIFS(Banques!$P$5:$P$315,Banques!$A$5:$A$315,$A32,Banques!$C$5:$C$315,F$3,Banques!$D$5:$D$315,F$2)</f>
        <v/>
      </c>
      <c r="G32" s="19">
        <f>SUMIFS(Entreprises!$N$5:$N$639,Entreprises!$A$5:$A$639,$A32,Entreprises!$C$5:$C$639,G$3,Entreprises!$D$5:$D$639,G$2)+SUMIFS(Banques!$P$5:$P$315,Banques!$A$5:$A$315,$A32,Banques!$C$5:$C$315,G$3,Banques!$D$5:$D$315,G$2)</f>
        <v/>
      </c>
      <c r="H32" s="19">
        <f>SUMIFS(Entreprises!$N$5:$N$639,Entreprises!$A$5:$A$639,$A32,Entreprises!$C$5:$C$639,H$3,Entreprises!$D$5:$D$639,H$2)+SUMIFS(Banques!$P$5:$P$315,Banques!$A$5:$A$315,$A32,Banques!$C$5:$C$315,H$3,Banques!$D$5:$D$315,H$2)</f>
        <v/>
      </c>
      <c r="I32" s="19">
        <f>SUMIFS(Entreprises!$N$5:$N$639,Entreprises!$A$5:$A$639,$A32,Entreprises!$C$5:$C$639,I$3,Entreprises!$D$5:$D$639,I$2)+SUMIFS(Banques!$P$5:$P$315,Banques!$A$5:$A$315,$A32,Banques!$C$5:$C$315,I$3,Banques!$D$5:$D$315,I$2)</f>
        <v/>
      </c>
      <c r="J32" s="19">
        <f>SUMIFS(Entreprises!$N$5:$N$639,Entreprises!$A$5:$A$639,$A32,Entreprises!$C$5:$C$639,J$3,Entreprises!$D$5:$D$639,J$2)+SUMIFS(Banques!$P$5:$P$315,Banques!$A$5:$A$315,$A32,Banques!$C$5:$C$315,J$3,Banques!$D$5:$D$315,J$2)</f>
        <v/>
      </c>
      <c r="K32" s="19">
        <f>SUMIFS(Entreprises!$N$5:$N$639,Entreprises!$A$5:$A$639,$A32,Entreprises!$C$5:$C$639,K$3,Entreprises!$D$5:$D$639,K$2)+SUMIFS(Banques!$P$5:$P$315,Banques!$A$5:$A$315,$A32,Banques!$C$5:$C$315,K$3,Banques!$D$5:$D$315,K$2)</f>
        <v/>
      </c>
      <c r="L32" s="19">
        <f>SUMIFS(Entreprises!$N$5:$N$639,Entreprises!$A$5:$A$639,$A32,Entreprises!$C$5:$C$639,L$3,Entreprises!$D$5:$D$639,L$2)+SUMIFS(Banques!$P$5:$P$315,Banques!$A$5:$A$315,$A32,Banques!$C$5:$C$315,L$3,Banques!$D$5:$D$315,L$2)</f>
        <v/>
      </c>
      <c r="M32" s="19">
        <f>SUMIFS(Entreprises!$N$5:$N$639,Entreprises!$A$5:$A$639,$A32,Entreprises!$C$5:$C$639,M$3,Entreprises!$D$5:$D$639,M$2)+SUMIFS(Banques!$P$5:$P$315,Banques!$A$5:$A$315,$A32,Banques!$C$5:$C$315,M$3,Banques!$D$5:$D$315,M$2)</f>
        <v/>
      </c>
      <c r="N32" s="19">
        <f>SUMIFS(Entreprises!$N$5:$N$639,Entreprises!$A$5:$A$639,$A32,Entreprises!$C$5:$C$639,N$3,Entreprises!$D$5:$D$639,N$2)+SUMIFS(Banques!$P$5:$P$315,Banques!$A$5:$A$315,$A32,Banques!$C$5:$C$315,N$3,Banques!$D$5:$D$315,N$2)</f>
        <v/>
      </c>
      <c r="O32" s="19">
        <f>SUMIFS(Entreprises!$N$5:$N$639,Entreprises!$A$5:$A$639,$A32,Entreprises!$C$5:$C$639,O$3,Entreprises!$D$5:$D$639,O$2)+SUMIFS(Banques!$P$5:$P$315,Banques!$A$5:$A$315,$A32,Banques!$C$5:$C$315,O$3,Banques!$D$5:$D$315,O$2)</f>
        <v/>
      </c>
      <c r="P32" s="19">
        <f>SUMIFS(Entreprises!$N$5:$N$639,Entreprises!$A$5:$A$639,$A32,Entreprises!$C$5:$C$639,P$3,Entreprises!$D$5:$D$639,P$2)+SUMIFS(Banques!$P$5:$P$315,Banques!$A$5:$A$315,$A32,Banques!$C$5:$C$315,P$3,Banques!$D$5:$D$315,P$2)</f>
        <v/>
      </c>
      <c r="Q32" s="19">
        <f>SUMIFS(Entreprises!$N$5:$N$639,Entreprises!$A$5:$A$639,$A32,Entreprises!$C$5:$C$639,Q$3,Entreprises!$D$5:$D$639,Q$2)+SUMIFS(Banques!$P$5:$P$315,Banques!$A$5:$A$315,$A32,Banques!$C$5:$C$315,Q$3,Banques!$D$5:$D$315,Q$2)</f>
        <v/>
      </c>
      <c r="R32" s="19">
        <f>SUMIFS(Entreprises!$N$5:$N$639,Entreprises!$A$5:$A$639,$A32,Entreprises!$C$5:$C$639,R$3,Entreprises!$D$5:$D$639,R$2)+SUMIFS(Banques!$P$5:$P$315,Banques!$A$5:$A$315,$A32,Banques!$C$5:$C$315,R$3,Banques!$D$5:$D$315,R$2)</f>
        <v/>
      </c>
      <c r="S32" s="19">
        <f>SUMIFS(Entreprises!$N$5:$N$639,Entreprises!$A$5:$A$639,$A32,Entreprises!$C$5:$C$639,S$3,Entreprises!$D$5:$D$639,S$2)+SUMIFS(Banques!$P$5:$P$315,Banques!$A$5:$A$315,$A32,Banques!$C$5:$C$315,S$3,Banques!$D$5:$D$315,S$2)</f>
        <v/>
      </c>
      <c r="T32" s="19">
        <f>SUMIFS(Entreprises!$N$5:$N$639,Entreprises!$A$5:$A$639,$A32,Entreprises!$C$5:$C$639,T$3,Entreprises!$D$5:$D$639,T$2)+SUMIFS(Banques!$P$5:$P$315,Banques!$A$5:$A$315,$A32,Banques!$C$5:$C$315,T$3,Banques!$D$5:$D$315,T$2)</f>
        <v/>
      </c>
      <c r="U32" s="19">
        <f>SUMIFS(Entreprises!$N$5:$N$639,Entreprises!$A$5:$A$639,$A32,Entreprises!$C$5:$C$639,U$3,Entreprises!$D$5:$D$639,U$2)+SUMIFS(Banques!$P$5:$P$315,Banques!$A$5:$A$315,$A32,Banques!$C$5:$C$315,U$3,Banques!$D$5:$D$315,U$2)</f>
        <v/>
      </c>
    </row>
    <row r="33">
      <c r="A33" s="18" t="inlineStr">
        <is>
          <t>SNTS</t>
        </is>
      </c>
      <c r="B33" s="18">
        <f>IFERROR(VLOOKUP(A33,Titres!$A$2:$D$400,2,FALSE),"")</f>
        <v/>
      </c>
      <c r="C33" s="18">
        <f>IFERROR(VLOOKUP(A33,Titres!$A$2:$D$400,4,FALSE),"")</f>
        <v/>
      </c>
      <c r="D33" s="19">
        <f>SUMIFS(Entreprises!$N$5:$N$639,Entreprises!$A$5:$A$639,$A33,Entreprises!$C$5:$C$639,D$3,Entreprises!$D$5:$D$639,D$2)+SUMIFS(Banques!$P$5:$P$315,Banques!$A$5:$A$315,$A33,Banques!$C$5:$C$315,D$3,Banques!$D$5:$D$315,D$2)</f>
        <v/>
      </c>
      <c r="E33" s="19">
        <f>SUMIFS(Entreprises!$N$5:$N$639,Entreprises!$A$5:$A$639,$A33,Entreprises!$C$5:$C$639,E$3,Entreprises!$D$5:$D$639,E$2)+SUMIFS(Banques!$P$5:$P$315,Banques!$A$5:$A$315,$A33,Banques!$C$5:$C$315,E$3,Banques!$D$5:$D$315,E$2)</f>
        <v/>
      </c>
      <c r="F33" s="19">
        <f>SUMIFS(Entreprises!$N$5:$N$639,Entreprises!$A$5:$A$639,$A33,Entreprises!$C$5:$C$639,F$3,Entreprises!$D$5:$D$639,F$2)+SUMIFS(Banques!$P$5:$P$315,Banques!$A$5:$A$315,$A33,Banques!$C$5:$C$315,F$3,Banques!$D$5:$D$315,F$2)</f>
        <v/>
      </c>
      <c r="G33" s="19">
        <f>SUMIFS(Entreprises!$N$5:$N$639,Entreprises!$A$5:$A$639,$A33,Entreprises!$C$5:$C$639,G$3,Entreprises!$D$5:$D$639,G$2)+SUMIFS(Banques!$P$5:$P$315,Banques!$A$5:$A$315,$A33,Banques!$C$5:$C$315,G$3,Banques!$D$5:$D$315,G$2)</f>
        <v/>
      </c>
      <c r="H33" s="19">
        <f>SUMIFS(Entreprises!$N$5:$N$639,Entreprises!$A$5:$A$639,$A33,Entreprises!$C$5:$C$639,H$3,Entreprises!$D$5:$D$639,H$2)+SUMIFS(Banques!$P$5:$P$315,Banques!$A$5:$A$315,$A33,Banques!$C$5:$C$315,H$3,Banques!$D$5:$D$315,H$2)</f>
        <v/>
      </c>
      <c r="I33" s="19">
        <f>SUMIFS(Entreprises!$N$5:$N$639,Entreprises!$A$5:$A$639,$A33,Entreprises!$C$5:$C$639,I$3,Entreprises!$D$5:$D$639,I$2)+SUMIFS(Banques!$P$5:$P$315,Banques!$A$5:$A$315,$A33,Banques!$C$5:$C$315,I$3,Banques!$D$5:$D$315,I$2)</f>
        <v/>
      </c>
      <c r="J33" s="19">
        <f>SUMIFS(Entreprises!$N$5:$N$639,Entreprises!$A$5:$A$639,$A33,Entreprises!$C$5:$C$639,J$3,Entreprises!$D$5:$D$639,J$2)+SUMIFS(Banques!$P$5:$P$315,Banques!$A$5:$A$315,$A33,Banques!$C$5:$C$315,J$3,Banques!$D$5:$D$315,J$2)</f>
        <v/>
      </c>
      <c r="K33" s="19">
        <f>SUMIFS(Entreprises!$N$5:$N$639,Entreprises!$A$5:$A$639,$A33,Entreprises!$C$5:$C$639,K$3,Entreprises!$D$5:$D$639,K$2)+SUMIFS(Banques!$P$5:$P$315,Banques!$A$5:$A$315,$A33,Banques!$C$5:$C$315,K$3,Banques!$D$5:$D$315,K$2)</f>
        <v/>
      </c>
      <c r="L33" s="19">
        <f>SUMIFS(Entreprises!$N$5:$N$639,Entreprises!$A$5:$A$639,$A33,Entreprises!$C$5:$C$639,L$3,Entreprises!$D$5:$D$639,L$2)+SUMIFS(Banques!$P$5:$P$315,Banques!$A$5:$A$315,$A33,Banques!$C$5:$C$315,L$3,Banques!$D$5:$D$315,L$2)</f>
        <v/>
      </c>
      <c r="M33" s="19">
        <f>SUMIFS(Entreprises!$N$5:$N$639,Entreprises!$A$5:$A$639,$A33,Entreprises!$C$5:$C$639,M$3,Entreprises!$D$5:$D$639,M$2)+SUMIFS(Banques!$P$5:$P$315,Banques!$A$5:$A$315,$A33,Banques!$C$5:$C$315,M$3,Banques!$D$5:$D$315,M$2)</f>
        <v/>
      </c>
      <c r="N33" s="19">
        <f>SUMIFS(Entreprises!$N$5:$N$639,Entreprises!$A$5:$A$639,$A33,Entreprises!$C$5:$C$639,N$3,Entreprises!$D$5:$D$639,N$2)+SUMIFS(Banques!$P$5:$P$315,Banques!$A$5:$A$315,$A33,Banques!$C$5:$C$315,N$3,Banques!$D$5:$D$315,N$2)</f>
        <v/>
      </c>
      <c r="O33" s="19">
        <f>SUMIFS(Entreprises!$N$5:$N$639,Entreprises!$A$5:$A$639,$A33,Entreprises!$C$5:$C$639,O$3,Entreprises!$D$5:$D$639,O$2)+SUMIFS(Banques!$P$5:$P$315,Banques!$A$5:$A$315,$A33,Banques!$C$5:$C$315,O$3,Banques!$D$5:$D$315,O$2)</f>
        <v/>
      </c>
      <c r="P33" s="19">
        <f>SUMIFS(Entreprises!$N$5:$N$639,Entreprises!$A$5:$A$639,$A33,Entreprises!$C$5:$C$639,P$3,Entreprises!$D$5:$D$639,P$2)+SUMIFS(Banques!$P$5:$P$315,Banques!$A$5:$A$315,$A33,Banques!$C$5:$C$315,P$3,Banques!$D$5:$D$315,P$2)</f>
        <v/>
      </c>
      <c r="Q33" s="19">
        <f>SUMIFS(Entreprises!$N$5:$N$639,Entreprises!$A$5:$A$639,$A33,Entreprises!$C$5:$C$639,Q$3,Entreprises!$D$5:$D$639,Q$2)+SUMIFS(Banques!$P$5:$P$315,Banques!$A$5:$A$315,$A33,Banques!$C$5:$C$315,Q$3,Banques!$D$5:$D$315,Q$2)</f>
        <v/>
      </c>
      <c r="R33" s="19">
        <f>SUMIFS(Entreprises!$N$5:$N$639,Entreprises!$A$5:$A$639,$A33,Entreprises!$C$5:$C$639,R$3,Entreprises!$D$5:$D$639,R$2)+SUMIFS(Banques!$P$5:$P$315,Banques!$A$5:$A$315,$A33,Banques!$C$5:$C$315,R$3,Banques!$D$5:$D$315,R$2)</f>
        <v/>
      </c>
      <c r="S33" s="19">
        <f>SUMIFS(Entreprises!$N$5:$N$639,Entreprises!$A$5:$A$639,$A33,Entreprises!$C$5:$C$639,S$3,Entreprises!$D$5:$D$639,S$2)+SUMIFS(Banques!$P$5:$P$315,Banques!$A$5:$A$315,$A33,Banques!$C$5:$C$315,S$3,Banques!$D$5:$D$315,S$2)</f>
        <v/>
      </c>
      <c r="T33" s="19">
        <f>SUMIFS(Entreprises!$N$5:$N$639,Entreprises!$A$5:$A$639,$A33,Entreprises!$C$5:$C$639,T$3,Entreprises!$D$5:$D$639,T$2)+SUMIFS(Banques!$P$5:$P$315,Banques!$A$5:$A$315,$A33,Banques!$C$5:$C$315,T$3,Banques!$D$5:$D$315,T$2)</f>
        <v/>
      </c>
      <c r="U33" s="19">
        <f>SUMIFS(Entreprises!$N$5:$N$639,Entreprises!$A$5:$A$639,$A33,Entreprises!$C$5:$C$639,U$3,Entreprises!$D$5:$D$639,U$2)+SUMIFS(Banques!$P$5:$P$315,Banques!$A$5:$A$315,$A33,Banques!$C$5:$C$315,U$3,Banques!$D$5:$D$315,U$2)</f>
        <v/>
      </c>
    </row>
    <row r="34">
      <c r="A34" s="18" t="inlineStr">
        <is>
          <t>SHEC</t>
        </is>
      </c>
      <c r="B34" s="18">
        <f>IFERROR(VLOOKUP(A34,Titres!$A$2:$D$400,2,FALSE),"")</f>
        <v/>
      </c>
      <c r="C34" s="18">
        <f>IFERROR(VLOOKUP(A34,Titres!$A$2:$D$400,4,FALSE),"")</f>
        <v/>
      </c>
      <c r="D34" s="19">
        <f>SUMIFS(Entreprises!$N$5:$N$639,Entreprises!$A$5:$A$639,$A34,Entreprises!$C$5:$C$639,D$3,Entreprises!$D$5:$D$639,D$2)+SUMIFS(Banques!$P$5:$P$315,Banques!$A$5:$A$315,$A34,Banques!$C$5:$C$315,D$3,Banques!$D$5:$D$315,D$2)</f>
        <v/>
      </c>
      <c r="E34" s="19">
        <f>SUMIFS(Entreprises!$N$5:$N$639,Entreprises!$A$5:$A$639,$A34,Entreprises!$C$5:$C$639,E$3,Entreprises!$D$5:$D$639,E$2)+SUMIFS(Banques!$P$5:$P$315,Banques!$A$5:$A$315,$A34,Banques!$C$5:$C$315,E$3,Banques!$D$5:$D$315,E$2)</f>
        <v/>
      </c>
      <c r="F34" s="19">
        <f>SUMIFS(Entreprises!$N$5:$N$639,Entreprises!$A$5:$A$639,$A34,Entreprises!$C$5:$C$639,F$3,Entreprises!$D$5:$D$639,F$2)+SUMIFS(Banques!$P$5:$P$315,Banques!$A$5:$A$315,$A34,Banques!$C$5:$C$315,F$3,Banques!$D$5:$D$315,F$2)</f>
        <v/>
      </c>
      <c r="G34" s="19">
        <f>SUMIFS(Entreprises!$N$5:$N$639,Entreprises!$A$5:$A$639,$A34,Entreprises!$C$5:$C$639,G$3,Entreprises!$D$5:$D$639,G$2)+SUMIFS(Banques!$P$5:$P$315,Banques!$A$5:$A$315,$A34,Banques!$C$5:$C$315,G$3,Banques!$D$5:$D$315,G$2)</f>
        <v/>
      </c>
      <c r="H34" s="19">
        <f>SUMIFS(Entreprises!$N$5:$N$639,Entreprises!$A$5:$A$639,$A34,Entreprises!$C$5:$C$639,H$3,Entreprises!$D$5:$D$639,H$2)+SUMIFS(Banques!$P$5:$P$315,Banques!$A$5:$A$315,$A34,Banques!$C$5:$C$315,H$3,Banques!$D$5:$D$315,H$2)</f>
        <v/>
      </c>
      <c r="I34" s="19">
        <f>SUMIFS(Entreprises!$N$5:$N$639,Entreprises!$A$5:$A$639,$A34,Entreprises!$C$5:$C$639,I$3,Entreprises!$D$5:$D$639,I$2)+SUMIFS(Banques!$P$5:$P$315,Banques!$A$5:$A$315,$A34,Banques!$C$5:$C$315,I$3,Banques!$D$5:$D$315,I$2)</f>
        <v/>
      </c>
      <c r="J34" s="19">
        <f>SUMIFS(Entreprises!$N$5:$N$639,Entreprises!$A$5:$A$639,$A34,Entreprises!$C$5:$C$639,J$3,Entreprises!$D$5:$D$639,J$2)+SUMIFS(Banques!$P$5:$P$315,Banques!$A$5:$A$315,$A34,Banques!$C$5:$C$315,J$3,Banques!$D$5:$D$315,J$2)</f>
        <v/>
      </c>
      <c r="K34" s="19">
        <f>SUMIFS(Entreprises!$N$5:$N$639,Entreprises!$A$5:$A$639,$A34,Entreprises!$C$5:$C$639,K$3,Entreprises!$D$5:$D$639,K$2)+SUMIFS(Banques!$P$5:$P$315,Banques!$A$5:$A$315,$A34,Banques!$C$5:$C$315,K$3,Banques!$D$5:$D$315,K$2)</f>
        <v/>
      </c>
      <c r="L34" s="19">
        <f>SUMIFS(Entreprises!$N$5:$N$639,Entreprises!$A$5:$A$639,$A34,Entreprises!$C$5:$C$639,L$3,Entreprises!$D$5:$D$639,L$2)+SUMIFS(Banques!$P$5:$P$315,Banques!$A$5:$A$315,$A34,Banques!$C$5:$C$315,L$3,Banques!$D$5:$D$315,L$2)</f>
        <v/>
      </c>
      <c r="M34" s="19">
        <f>SUMIFS(Entreprises!$N$5:$N$639,Entreprises!$A$5:$A$639,$A34,Entreprises!$C$5:$C$639,M$3,Entreprises!$D$5:$D$639,M$2)+SUMIFS(Banques!$P$5:$P$315,Banques!$A$5:$A$315,$A34,Banques!$C$5:$C$315,M$3,Banques!$D$5:$D$315,M$2)</f>
        <v/>
      </c>
      <c r="N34" s="19">
        <f>SUMIFS(Entreprises!$N$5:$N$639,Entreprises!$A$5:$A$639,$A34,Entreprises!$C$5:$C$639,N$3,Entreprises!$D$5:$D$639,N$2)+SUMIFS(Banques!$P$5:$P$315,Banques!$A$5:$A$315,$A34,Banques!$C$5:$C$315,N$3,Banques!$D$5:$D$315,N$2)</f>
        <v/>
      </c>
      <c r="O34" s="19">
        <f>SUMIFS(Entreprises!$N$5:$N$639,Entreprises!$A$5:$A$639,$A34,Entreprises!$C$5:$C$639,O$3,Entreprises!$D$5:$D$639,O$2)+SUMIFS(Banques!$P$5:$P$315,Banques!$A$5:$A$315,$A34,Banques!$C$5:$C$315,O$3,Banques!$D$5:$D$315,O$2)</f>
        <v/>
      </c>
      <c r="P34" s="19">
        <f>SUMIFS(Entreprises!$N$5:$N$639,Entreprises!$A$5:$A$639,$A34,Entreprises!$C$5:$C$639,P$3,Entreprises!$D$5:$D$639,P$2)+SUMIFS(Banques!$P$5:$P$315,Banques!$A$5:$A$315,$A34,Banques!$C$5:$C$315,P$3,Banques!$D$5:$D$315,P$2)</f>
        <v/>
      </c>
      <c r="Q34" s="19">
        <f>SUMIFS(Entreprises!$N$5:$N$639,Entreprises!$A$5:$A$639,$A34,Entreprises!$C$5:$C$639,Q$3,Entreprises!$D$5:$D$639,Q$2)+SUMIFS(Banques!$P$5:$P$315,Banques!$A$5:$A$315,$A34,Banques!$C$5:$C$315,Q$3,Banques!$D$5:$D$315,Q$2)</f>
        <v/>
      </c>
      <c r="R34" s="19">
        <f>SUMIFS(Entreprises!$N$5:$N$639,Entreprises!$A$5:$A$639,$A34,Entreprises!$C$5:$C$639,R$3,Entreprises!$D$5:$D$639,R$2)+SUMIFS(Banques!$P$5:$P$315,Banques!$A$5:$A$315,$A34,Banques!$C$5:$C$315,R$3,Banques!$D$5:$D$315,R$2)</f>
        <v/>
      </c>
      <c r="S34" s="19">
        <f>SUMIFS(Entreprises!$N$5:$N$639,Entreprises!$A$5:$A$639,$A34,Entreprises!$C$5:$C$639,S$3,Entreprises!$D$5:$D$639,S$2)+SUMIFS(Banques!$P$5:$P$315,Banques!$A$5:$A$315,$A34,Banques!$C$5:$C$315,S$3,Banques!$D$5:$D$315,S$2)</f>
        <v/>
      </c>
      <c r="T34" s="19">
        <f>SUMIFS(Entreprises!$N$5:$N$639,Entreprises!$A$5:$A$639,$A34,Entreprises!$C$5:$C$639,T$3,Entreprises!$D$5:$D$639,T$2)+SUMIFS(Banques!$P$5:$P$315,Banques!$A$5:$A$315,$A34,Banques!$C$5:$C$315,T$3,Banques!$D$5:$D$315,T$2)</f>
        <v/>
      </c>
      <c r="U34" s="19">
        <f>SUMIFS(Entreprises!$N$5:$N$639,Entreprises!$A$5:$A$639,$A34,Entreprises!$C$5:$C$639,U$3,Entreprises!$D$5:$D$639,U$2)+SUMIFS(Banques!$P$5:$P$315,Banques!$A$5:$A$315,$A34,Banques!$C$5:$C$315,U$3,Banques!$D$5:$D$315,U$2)</f>
        <v/>
      </c>
    </row>
    <row r="35">
      <c r="A35" s="18" t="inlineStr">
        <is>
          <t>SMBC</t>
        </is>
      </c>
      <c r="B35" s="18">
        <f>IFERROR(VLOOKUP(A35,Titres!$A$2:$D$400,2,FALSE),"")</f>
        <v/>
      </c>
      <c r="C35" s="18">
        <f>IFERROR(VLOOKUP(A35,Titres!$A$2:$D$400,4,FALSE),"")</f>
        <v/>
      </c>
      <c r="D35" s="19">
        <f>SUMIFS(Entreprises!$N$5:$N$639,Entreprises!$A$5:$A$639,$A35,Entreprises!$C$5:$C$639,D$3,Entreprises!$D$5:$D$639,D$2)+SUMIFS(Banques!$P$5:$P$315,Banques!$A$5:$A$315,$A35,Banques!$C$5:$C$315,D$3,Banques!$D$5:$D$315,D$2)</f>
        <v/>
      </c>
      <c r="E35" s="19">
        <f>SUMIFS(Entreprises!$N$5:$N$639,Entreprises!$A$5:$A$639,$A35,Entreprises!$C$5:$C$639,E$3,Entreprises!$D$5:$D$639,E$2)+SUMIFS(Banques!$P$5:$P$315,Banques!$A$5:$A$315,$A35,Banques!$C$5:$C$315,E$3,Banques!$D$5:$D$315,E$2)</f>
        <v/>
      </c>
      <c r="F35" s="19">
        <f>SUMIFS(Entreprises!$N$5:$N$639,Entreprises!$A$5:$A$639,$A35,Entreprises!$C$5:$C$639,F$3,Entreprises!$D$5:$D$639,F$2)+SUMIFS(Banques!$P$5:$P$315,Banques!$A$5:$A$315,$A35,Banques!$C$5:$C$315,F$3,Banques!$D$5:$D$315,F$2)</f>
        <v/>
      </c>
      <c r="G35" s="19">
        <f>SUMIFS(Entreprises!$N$5:$N$639,Entreprises!$A$5:$A$639,$A35,Entreprises!$C$5:$C$639,G$3,Entreprises!$D$5:$D$639,G$2)+SUMIFS(Banques!$P$5:$P$315,Banques!$A$5:$A$315,$A35,Banques!$C$5:$C$315,G$3,Banques!$D$5:$D$315,G$2)</f>
        <v/>
      </c>
      <c r="H35" s="19">
        <f>SUMIFS(Entreprises!$N$5:$N$639,Entreprises!$A$5:$A$639,$A35,Entreprises!$C$5:$C$639,H$3,Entreprises!$D$5:$D$639,H$2)+SUMIFS(Banques!$P$5:$P$315,Banques!$A$5:$A$315,$A35,Banques!$C$5:$C$315,H$3,Banques!$D$5:$D$315,H$2)</f>
        <v/>
      </c>
      <c r="I35" s="19">
        <f>SUMIFS(Entreprises!$N$5:$N$639,Entreprises!$A$5:$A$639,$A35,Entreprises!$C$5:$C$639,I$3,Entreprises!$D$5:$D$639,I$2)+SUMIFS(Banques!$P$5:$P$315,Banques!$A$5:$A$315,$A35,Banques!$C$5:$C$315,I$3,Banques!$D$5:$D$315,I$2)</f>
        <v/>
      </c>
      <c r="J35" s="19">
        <f>SUMIFS(Entreprises!$N$5:$N$639,Entreprises!$A$5:$A$639,$A35,Entreprises!$C$5:$C$639,J$3,Entreprises!$D$5:$D$639,J$2)+SUMIFS(Banques!$P$5:$P$315,Banques!$A$5:$A$315,$A35,Banques!$C$5:$C$315,J$3,Banques!$D$5:$D$315,J$2)</f>
        <v/>
      </c>
      <c r="K35" s="19">
        <f>SUMIFS(Entreprises!$N$5:$N$639,Entreprises!$A$5:$A$639,$A35,Entreprises!$C$5:$C$639,K$3,Entreprises!$D$5:$D$639,K$2)+SUMIFS(Banques!$P$5:$P$315,Banques!$A$5:$A$315,$A35,Banques!$C$5:$C$315,K$3,Banques!$D$5:$D$315,K$2)</f>
        <v/>
      </c>
      <c r="L35" s="19">
        <f>SUMIFS(Entreprises!$N$5:$N$639,Entreprises!$A$5:$A$639,$A35,Entreprises!$C$5:$C$639,L$3,Entreprises!$D$5:$D$639,L$2)+SUMIFS(Banques!$P$5:$P$315,Banques!$A$5:$A$315,$A35,Banques!$C$5:$C$315,L$3,Banques!$D$5:$D$315,L$2)</f>
        <v/>
      </c>
      <c r="M35" s="19">
        <f>SUMIFS(Entreprises!$N$5:$N$639,Entreprises!$A$5:$A$639,$A35,Entreprises!$C$5:$C$639,M$3,Entreprises!$D$5:$D$639,M$2)+SUMIFS(Banques!$P$5:$P$315,Banques!$A$5:$A$315,$A35,Banques!$C$5:$C$315,M$3,Banques!$D$5:$D$315,M$2)</f>
        <v/>
      </c>
      <c r="N35" s="19">
        <f>SUMIFS(Entreprises!$N$5:$N$639,Entreprises!$A$5:$A$639,$A35,Entreprises!$C$5:$C$639,N$3,Entreprises!$D$5:$D$639,N$2)+SUMIFS(Banques!$P$5:$P$315,Banques!$A$5:$A$315,$A35,Banques!$C$5:$C$315,N$3,Banques!$D$5:$D$315,N$2)</f>
        <v/>
      </c>
      <c r="O35" s="19">
        <f>SUMIFS(Entreprises!$N$5:$N$639,Entreprises!$A$5:$A$639,$A35,Entreprises!$C$5:$C$639,O$3,Entreprises!$D$5:$D$639,O$2)+SUMIFS(Banques!$P$5:$P$315,Banques!$A$5:$A$315,$A35,Banques!$C$5:$C$315,O$3,Banques!$D$5:$D$315,O$2)</f>
        <v/>
      </c>
      <c r="P35" s="19">
        <f>SUMIFS(Entreprises!$N$5:$N$639,Entreprises!$A$5:$A$639,$A35,Entreprises!$C$5:$C$639,P$3,Entreprises!$D$5:$D$639,P$2)+SUMIFS(Banques!$P$5:$P$315,Banques!$A$5:$A$315,$A35,Banques!$C$5:$C$315,P$3,Banques!$D$5:$D$315,P$2)</f>
        <v/>
      </c>
      <c r="Q35" s="19">
        <f>SUMIFS(Entreprises!$N$5:$N$639,Entreprises!$A$5:$A$639,$A35,Entreprises!$C$5:$C$639,Q$3,Entreprises!$D$5:$D$639,Q$2)+SUMIFS(Banques!$P$5:$P$315,Banques!$A$5:$A$315,$A35,Banques!$C$5:$C$315,Q$3,Banques!$D$5:$D$315,Q$2)</f>
        <v/>
      </c>
      <c r="R35" s="19">
        <f>SUMIFS(Entreprises!$N$5:$N$639,Entreprises!$A$5:$A$639,$A35,Entreprises!$C$5:$C$639,R$3,Entreprises!$D$5:$D$639,R$2)+SUMIFS(Banques!$P$5:$P$315,Banques!$A$5:$A$315,$A35,Banques!$C$5:$C$315,R$3,Banques!$D$5:$D$315,R$2)</f>
        <v/>
      </c>
      <c r="S35" s="19">
        <f>SUMIFS(Entreprises!$N$5:$N$639,Entreprises!$A$5:$A$639,$A35,Entreprises!$C$5:$C$639,S$3,Entreprises!$D$5:$D$639,S$2)+SUMIFS(Banques!$P$5:$P$315,Banques!$A$5:$A$315,$A35,Banques!$C$5:$C$315,S$3,Banques!$D$5:$D$315,S$2)</f>
        <v/>
      </c>
      <c r="T35" s="19">
        <f>SUMIFS(Entreprises!$N$5:$N$639,Entreprises!$A$5:$A$639,$A35,Entreprises!$C$5:$C$639,T$3,Entreprises!$D$5:$D$639,T$2)+SUMIFS(Banques!$P$5:$P$315,Banques!$A$5:$A$315,$A35,Banques!$C$5:$C$315,T$3,Banques!$D$5:$D$315,T$2)</f>
        <v/>
      </c>
      <c r="U35" s="19">
        <f>SUMIFS(Entreprises!$N$5:$N$639,Entreprises!$A$5:$A$639,$A35,Entreprises!$C$5:$C$639,U$3,Entreprises!$D$5:$D$639,U$2)+SUMIFS(Banques!$P$5:$P$315,Banques!$A$5:$A$315,$A35,Banques!$C$5:$C$315,U$3,Banques!$D$5:$D$315,U$2)</f>
        <v/>
      </c>
    </row>
    <row r="36">
      <c r="A36" s="18" t="inlineStr">
        <is>
          <t>TTLC</t>
        </is>
      </c>
      <c r="B36" s="18">
        <f>IFERROR(VLOOKUP(A36,Titres!$A$2:$D$400,2,FALSE),"")</f>
        <v/>
      </c>
      <c r="C36" s="18">
        <f>IFERROR(VLOOKUP(A36,Titres!$A$2:$D$400,4,FALSE),"")</f>
        <v/>
      </c>
      <c r="D36" s="19">
        <f>SUMIFS(Entreprises!$N$5:$N$639,Entreprises!$A$5:$A$639,$A36,Entreprises!$C$5:$C$639,D$3,Entreprises!$D$5:$D$639,D$2)+SUMIFS(Banques!$P$5:$P$315,Banques!$A$5:$A$315,$A36,Banques!$C$5:$C$315,D$3,Banques!$D$5:$D$315,D$2)</f>
        <v/>
      </c>
      <c r="E36" s="19">
        <f>SUMIFS(Entreprises!$N$5:$N$639,Entreprises!$A$5:$A$639,$A36,Entreprises!$C$5:$C$639,E$3,Entreprises!$D$5:$D$639,E$2)+SUMIFS(Banques!$P$5:$P$315,Banques!$A$5:$A$315,$A36,Banques!$C$5:$C$315,E$3,Banques!$D$5:$D$315,E$2)</f>
        <v/>
      </c>
      <c r="F36" s="19">
        <f>SUMIFS(Entreprises!$N$5:$N$639,Entreprises!$A$5:$A$639,$A36,Entreprises!$C$5:$C$639,F$3,Entreprises!$D$5:$D$639,F$2)+SUMIFS(Banques!$P$5:$P$315,Banques!$A$5:$A$315,$A36,Banques!$C$5:$C$315,F$3,Banques!$D$5:$D$315,F$2)</f>
        <v/>
      </c>
      <c r="G36" s="19">
        <f>SUMIFS(Entreprises!$N$5:$N$639,Entreprises!$A$5:$A$639,$A36,Entreprises!$C$5:$C$639,G$3,Entreprises!$D$5:$D$639,G$2)+SUMIFS(Banques!$P$5:$P$315,Banques!$A$5:$A$315,$A36,Banques!$C$5:$C$315,G$3,Banques!$D$5:$D$315,G$2)</f>
        <v/>
      </c>
      <c r="H36" s="19">
        <f>SUMIFS(Entreprises!$N$5:$N$639,Entreprises!$A$5:$A$639,$A36,Entreprises!$C$5:$C$639,H$3,Entreprises!$D$5:$D$639,H$2)+SUMIFS(Banques!$P$5:$P$315,Banques!$A$5:$A$315,$A36,Banques!$C$5:$C$315,H$3,Banques!$D$5:$D$315,H$2)</f>
        <v/>
      </c>
      <c r="I36" s="19">
        <f>SUMIFS(Entreprises!$N$5:$N$639,Entreprises!$A$5:$A$639,$A36,Entreprises!$C$5:$C$639,I$3,Entreprises!$D$5:$D$639,I$2)+SUMIFS(Banques!$P$5:$P$315,Banques!$A$5:$A$315,$A36,Banques!$C$5:$C$315,I$3,Banques!$D$5:$D$315,I$2)</f>
        <v/>
      </c>
      <c r="J36" s="19">
        <f>SUMIFS(Entreprises!$N$5:$N$639,Entreprises!$A$5:$A$639,$A36,Entreprises!$C$5:$C$639,J$3,Entreprises!$D$5:$D$639,J$2)+SUMIFS(Banques!$P$5:$P$315,Banques!$A$5:$A$315,$A36,Banques!$C$5:$C$315,J$3,Banques!$D$5:$D$315,J$2)</f>
        <v/>
      </c>
      <c r="K36" s="19">
        <f>SUMIFS(Entreprises!$N$5:$N$639,Entreprises!$A$5:$A$639,$A36,Entreprises!$C$5:$C$639,K$3,Entreprises!$D$5:$D$639,K$2)+SUMIFS(Banques!$P$5:$P$315,Banques!$A$5:$A$315,$A36,Banques!$C$5:$C$315,K$3,Banques!$D$5:$D$315,K$2)</f>
        <v/>
      </c>
      <c r="L36" s="19">
        <f>SUMIFS(Entreprises!$N$5:$N$639,Entreprises!$A$5:$A$639,$A36,Entreprises!$C$5:$C$639,L$3,Entreprises!$D$5:$D$639,L$2)+SUMIFS(Banques!$P$5:$P$315,Banques!$A$5:$A$315,$A36,Banques!$C$5:$C$315,L$3,Banques!$D$5:$D$315,L$2)</f>
        <v/>
      </c>
      <c r="M36" s="19">
        <f>SUMIFS(Entreprises!$N$5:$N$639,Entreprises!$A$5:$A$639,$A36,Entreprises!$C$5:$C$639,M$3,Entreprises!$D$5:$D$639,M$2)+SUMIFS(Banques!$P$5:$P$315,Banques!$A$5:$A$315,$A36,Banques!$C$5:$C$315,M$3,Banques!$D$5:$D$315,M$2)</f>
        <v/>
      </c>
      <c r="N36" s="19">
        <f>SUMIFS(Entreprises!$N$5:$N$639,Entreprises!$A$5:$A$639,$A36,Entreprises!$C$5:$C$639,N$3,Entreprises!$D$5:$D$639,N$2)+SUMIFS(Banques!$P$5:$P$315,Banques!$A$5:$A$315,$A36,Banques!$C$5:$C$315,N$3,Banques!$D$5:$D$315,N$2)</f>
        <v/>
      </c>
      <c r="O36" s="19">
        <f>SUMIFS(Entreprises!$N$5:$N$639,Entreprises!$A$5:$A$639,$A36,Entreprises!$C$5:$C$639,O$3,Entreprises!$D$5:$D$639,O$2)+SUMIFS(Banques!$P$5:$P$315,Banques!$A$5:$A$315,$A36,Banques!$C$5:$C$315,O$3,Banques!$D$5:$D$315,O$2)</f>
        <v/>
      </c>
      <c r="P36" s="19">
        <f>SUMIFS(Entreprises!$N$5:$N$639,Entreprises!$A$5:$A$639,$A36,Entreprises!$C$5:$C$639,P$3,Entreprises!$D$5:$D$639,P$2)+SUMIFS(Banques!$P$5:$P$315,Banques!$A$5:$A$315,$A36,Banques!$C$5:$C$315,P$3,Banques!$D$5:$D$315,P$2)</f>
        <v/>
      </c>
      <c r="Q36" s="19">
        <f>SUMIFS(Entreprises!$N$5:$N$639,Entreprises!$A$5:$A$639,$A36,Entreprises!$C$5:$C$639,Q$3,Entreprises!$D$5:$D$639,Q$2)+SUMIFS(Banques!$P$5:$P$315,Banques!$A$5:$A$315,$A36,Banques!$C$5:$C$315,Q$3,Banques!$D$5:$D$315,Q$2)</f>
        <v/>
      </c>
      <c r="R36" s="19">
        <f>SUMIFS(Entreprises!$N$5:$N$639,Entreprises!$A$5:$A$639,$A36,Entreprises!$C$5:$C$639,R$3,Entreprises!$D$5:$D$639,R$2)+SUMIFS(Banques!$P$5:$P$315,Banques!$A$5:$A$315,$A36,Banques!$C$5:$C$315,R$3,Banques!$D$5:$D$315,R$2)</f>
        <v/>
      </c>
      <c r="S36" s="19">
        <f>SUMIFS(Entreprises!$N$5:$N$639,Entreprises!$A$5:$A$639,$A36,Entreprises!$C$5:$C$639,S$3,Entreprises!$D$5:$D$639,S$2)+SUMIFS(Banques!$P$5:$P$315,Banques!$A$5:$A$315,$A36,Banques!$C$5:$C$315,S$3,Banques!$D$5:$D$315,S$2)</f>
        <v/>
      </c>
      <c r="T36" s="19">
        <f>SUMIFS(Entreprises!$N$5:$N$639,Entreprises!$A$5:$A$639,$A36,Entreprises!$C$5:$C$639,T$3,Entreprises!$D$5:$D$639,T$2)+SUMIFS(Banques!$P$5:$P$315,Banques!$A$5:$A$315,$A36,Banques!$C$5:$C$315,T$3,Banques!$D$5:$D$315,T$2)</f>
        <v/>
      </c>
      <c r="U36" s="19">
        <f>SUMIFS(Entreprises!$N$5:$N$639,Entreprises!$A$5:$A$639,$A36,Entreprises!$C$5:$C$639,U$3,Entreprises!$D$5:$D$639,U$2)+SUMIFS(Banques!$P$5:$P$315,Banques!$A$5:$A$315,$A36,Banques!$C$5:$C$315,U$3,Banques!$D$5:$D$315,U$2)</f>
        <v/>
      </c>
    </row>
    <row r="37">
      <c r="A37" s="18" t="inlineStr">
        <is>
          <t>TTLS</t>
        </is>
      </c>
      <c r="B37" s="18">
        <f>IFERROR(VLOOKUP(A37,Titres!$A$2:$D$400,2,FALSE),"")</f>
        <v/>
      </c>
      <c r="C37" s="18">
        <f>IFERROR(VLOOKUP(A37,Titres!$A$2:$D$400,4,FALSE),"")</f>
        <v/>
      </c>
      <c r="D37" s="19">
        <f>SUMIFS(Entreprises!$N$5:$N$639,Entreprises!$A$5:$A$639,$A37,Entreprises!$C$5:$C$639,D$3,Entreprises!$D$5:$D$639,D$2)+SUMIFS(Banques!$P$5:$P$315,Banques!$A$5:$A$315,$A37,Banques!$C$5:$C$315,D$3,Banques!$D$5:$D$315,D$2)</f>
        <v/>
      </c>
      <c r="E37" s="19">
        <f>SUMIFS(Entreprises!$N$5:$N$639,Entreprises!$A$5:$A$639,$A37,Entreprises!$C$5:$C$639,E$3,Entreprises!$D$5:$D$639,E$2)+SUMIFS(Banques!$P$5:$P$315,Banques!$A$5:$A$315,$A37,Banques!$C$5:$C$315,E$3,Banques!$D$5:$D$315,E$2)</f>
        <v/>
      </c>
      <c r="F37" s="19">
        <f>SUMIFS(Entreprises!$N$5:$N$639,Entreprises!$A$5:$A$639,$A37,Entreprises!$C$5:$C$639,F$3,Entreprises!$D$5:$D$639,F$2)+SUMIFS(Banques!$P$5:$P$315,Banques!$A$5:$A$315,$A37,Banques!$C$5:$C$315,F$3,Banques!$D$5:$D$315,F$2)</f>
        <v/>
      </c>
      <c r="G37" s="19">
        <f>SUMIFS(Entreprises!$N$5:$N$639,Entreprises!$A$5:$A$639,$A37,Entreprises!$C$5:$C$639,G$3,Entreprises!$D$5:$D$639,G$2)+SUMIFS(Banques!$P$5:$P$315,Banques!$A$5:$A$315,$A37,Banques!$C$5:$C$315,G$3,Banques!$D$5:$D$315,G$2)</f>
        <v/>
      </c>
      <c r="H37" s="19">
        <f>SUMIFS(Entreprises!$N$5:$N$639,Entreprises!$A$5:$A$639,$A37,Entreprises!$C$5:$C$639,H$3,Entreprises!$D$5:$D$639,H$2)+SUMIFS(Banques!$P$5:$P$315,Banques!$A$5:$A$315,$A37,Banques!$C$5:$C$315,H$3,Banques!$D$5:$D$315,H$2)</f>
        <v/>
      </c>
      <c r="I37" s="19">
        <f>SUMIFS(Entreprises!$N$5:$N$639,Entreprises!$A$5:$A$639,$A37,Entreprises!$C$5:$C$639,I$3,Entreprises!$D$5:$D$639,I$2)+SUMIFS(Banques!$P$5:$P$315,Banques!$A$5:$A$315,$A37,Banques!$C$5:$C$315,I$3,Banques!$D$5:$D$315,I$2)</f>
        <v/>
      </c>
      <c r="J37" s="19">
        <f>SUMIFS(Entreprises!$N$5:$N$639,Entreprises!$A$5:$A$639,$A37,Entreprises!$C$5:$C$639,J$3,Entreprises!$D$5:$D$639,J$2)+SUMIFS(Banques!$P$5:$P$315,Banques!$A$5:$A$315,$A37,Banques!$C$5:$C$315,J$3,Banques!$D$5:$D$315,J$2)</f>
        <v/>
      </c>
      <c r="K37" s="19">
        <f>SUMIFS(Entreprises!$N$5:$N$639,Entreprises!$A$5:$A$639,$A37,Entreprises!$C$5:$C$639,K$3,Entreprises!$D$5:$D$639,K$2)+SUMIFS(Banques!$P$5:$P$315,Banques!$A$5:$A$315,$A37,Banques!$C$5:$C$315,K$3,Banques!$D$5:$D$315,K$2)</f>
        <v/>
      </c>
      <c r="L37" s="19">
        <f>SUMIFS(Entreprises!$N$5:$N$639,Entreprises!$A$5:$A$639,$A37,Entreprises!$C$5:$C$639,L$3,Entreprises!$D$5:$D$639,L$2)+SUMIFS(Banques!$P$5:$P$315,Banques!$A$5:$A$315,$A37,Banques!$C$5:$C$315,L$3,Banques!$D$5:$D$315,L$2)</f>
        <v/>
      </c>
      <c r="M37" s="19">
        <f>SUMIFS(Entreprises!$N$5:$N$639,Entreprises!$A$5:$A$639,$A37,Entreprises!$C$5:$C$639,M$3,Entreprises!$D$5:$D$639,M$2)+SUMIFS(Banques!$P$5:$P$315,Banques!$A$5:$A$315,$A37,Banques!$C$5:$C$315,M$3,Banques!$D$5:$D$315,M$2)</f>
        <v/>
      </c>
      <c r="N37" s="19">
        <f>SUMIFS(Entreprises!$N$5:$N$639,Entreprises!$A$5:$A$639,$A37,Entreprises!$C$5:$C$639,N$3,Entreprises!$D$5:$D$639,N$2)+SUMIFS(Banques!$P$5:$P$315,Banques!$A$5:$A$315,$A37,Banques!$C$5:$C$315,N$3,Banques!$D$5:$D$315,N$2)</f>
        <v/>
      </c>
      <c r="O37" s="19">
        <f>SUMIFS(Entreprises!$N$5:$N$639,Entreprises!$A$5:$A$639,$A37,Entreprises!$C$5:$C$639,O$3,Entreprises!$D$5:$D$639,O$2)+SUMIFS(Banques!$P$5:$P$315,Banques!$A$5:$A$315,$A37,Banques!$C$5:$C$315,O$3,Banques!$D$5:$D$315,O$2)</f>
        <v/>
      </c>
      <c r="P37" s="19">
        <f>SUMIFS(Entreprises!$N$5:$N$639,Entreprises!$A$5:$A$639,$A37,Entreprises!$C$5:$C$639,P$3,Entreprises!$D$5:$D$639,P$2)+SUMIFS(Banques!$P$5:$P$315,Banques!$A$5:$A$315,$A37,Banques!$C$5:$C$315,P$3,Banques!$D$5:$D$315,P$2)</f>
        <v/>
      </c>
      <c r="Q37" s="19">
        <f>SUMIFS(Entreprises!$N$5:$N$639,Entreprises!$A$5:$A$639,$A37,Entreprises!$C$5:$C$639,Q$3,Entreprises!$D$5:$D$639,Q$2)+SUMIFS(Banques!$P$5:$P$315,Banques!$A$5:$A$315,$A37,Banques!$C$5:$C$315,Q$3,Banques!$D$5:$D$315,Q$2)</f>
        <v/>
      </c>
      <c r="R37" s="19">
        <f>SUMIFS(Entreprises!$N$5:$N$639,Entreprises!$A$5:$A$639,$A37,Entreprises!$C$5:$C$639,R$3,Entreprises!$D$5:$D$639,R$2)+SUMIFS(Banques!$P$5:$P$315,Banques!$A$5:$A$315,$A37,Banques!$C$5:$C$315,R$3,Banques!$D$5:$D$315,R$2)</f>
        <v/>
      </c>
      <c r="S37" s="19">
        <f>SUMIFS(Entreprises!$N$5:$N$639,Entreprises!$A$5:$A$639,$A37,Entreprises!$C$5:$C$639,S$3,Entreprises!$D$5:$D$639,S$2)+SUMIFS(Banques!$P$5:$P$315,Banques!$A$5:$A$315,$A37,Banques!$C$5:$C$315,S$3,Banques!$D$5:$D$315,S$2)</f>
        <v/>
      </c>
      <c r="T37" s="19">
        <f>SUMIFS(Entreprises!$N$5:$N$639,Entreprises!$A$5:$A$639,$A37,Entreprises!$C$5:$C$639,T$3,Entreprises!$D$5:$D$639,T$2)+SUMIFS(Banques!$P$5:$P$315,Banques!$A$5:$A$315,$A37,Banques!$C$5:$C$315,T$3,Banques!$D$5:$D$315,T$2)</f>
        <v/>
      </c>
      <c r="U37" s="19">
        <f>SUMIFS(Entreprises!$N$5:$N$639,Entreprises!$A$5:$A$639,$A37,Entreprises!$C$5:$C$639,U$3,Entreprises!$D$5:$D$639,U$2)+SUMIFS(Banques!$P$5:$P$315,Banques!$A$5:$A$315,$A37,Banques!$C$5:$C$315,U$3,Banques!$D$5:$D$315,U$2)</f>
        <v/>
      </c>
    </row>
    <row r="38">
      <c r="A38" s="18" t="inlineStr">
        <is>
          <t>BBGC</t>
        </is>
      </c>
      <c r="B38" s="18">
        <f>IFERROR(VLOOKUP(A38,Titres!$A$2:$D$400,2,FALSE),"")</f>
        <v/>
      </c>
      <c r="C38" s="18">
        <f>IFERROR(VLOOKUP(A38,Titres!$A$2:$D$400,4,FALSE),"")</f>
        <v/>
      </c>
      <c r="D38" s="19">
        <f>SUMIFS(Entreprises!$N$5:$N$639,Entreprises!$A$5:$A$639,$A38,Entreprises!$C$5:$C$639,D$3,Entreprises!$D$5:$D$639,D$2)+SUMIFS(Banques!$P$5:$P$315,Banques!$A$5:$A$315,$A38,Banques!$C$5:$C$315,D$3,Banques!$D$5:$D$315,D$2)</f>
        <v/>
      </c>
      <c r="E38" s="19">
        <f>SUMIFS(Entreprises!$N$5:$N$639,Entreprises!$A$5:$A$639,$A38,Entreprises!$C$5:$C$639,E$3,Entreprises!$D$5:$D$639,E$2)+SUMIFS(Banques!$P$5:$P$315,Banques!$A$5:$A$315,$A38,Banques!$C$5:$C$315,E$3,Banques!$D$5:$D$315,E$2)</f>
        <v/>
      </c>
      <c r="F38" s="19">
        <f>SUMIFS(Entreprises!$N$5:$N$639,Entreprises!$A$5:$A$639,$A38,Entreprises!$C$5:$C$639,F$3,Entreprises!$D$5:$D$639,F$2)+SUMIFS(Banques!$P$5:$P$315,Banques!$A$5:$A$315,$A38,Banques!$C$5:$C$315,F$3,Banques!$D$5:$D$315,F$2)</f>
        <v/>
      </c>
      <c r="G38" s="19">
        <f>SUMIFS(Entreprises!$N$5:$N$639,Entreprises!$A$5:$A$639,$A38,Entreprises!$C$5:$C$639,G$3,Entreprises!$D$5:$D$639,G$2)+SUMIFS(Banques!$P$5:$P$315,Banques!$A$5:$A$315,$A38,Banques!$C$5:$C$315,G$3,Banques!$D$5:$D$315,G$2)</f>
        <v/>
      </c>
      <c r="H38" s="19">
        <f>SUMIFS(Entreprises!$N$5:$N$639,Entreprises!$A$5:$A$639,$A38,Entreprises!$C$5:$C$639,H$3,Entreprises!$D$5:$D$639,H$2)+SUMIFS(Banques!$P$5:$P$315,Banques!$A$5:$A$315,$A38,Banques!$C$5:$C$315,H$3,Banques!$D$5:$D$315,H$2)</f>
        <v/>
      </c>
      <c r="I38" s="19">
        <f>SUMIFS(Entreprises!$N$5:$N$639,Entreprises!$A$5:$A$639,$A38,Entreprises!$C$5:$C$639,I$3,Entreprises!$D$5:$D$639,I$2)+SUMIFS(Banques!$P$5:$P$315,Banques!$A$5:$A$315,$A38,Banques!$C$5:$C$315,I$3,Banques!$D$5:$D$315,I$2)</f>
        <v/>
      </c>
      <c r="J38" s="19">
        <f>SUMIFS(Entreprises!$N$5:$N$639,Entreprises!$A$5:$A$639,$A38,Entreprises!$C$5:$C$639,J$3,Entreprises!$D$5:$D$639,J$2)+SUMIFS(Banques!$P$5:$P$315,Banques!$A$5:$A$315,$A38,Banques!$C$5:$C$315,J$3,Banques!$D$5:$D$315,J$2)</f>
        <v/>
      </c>
      <c r="K38" s="19">
        <f>SUMIFS(Entreprises!$N$5:$N$639,Entreprises!$A$5:$A$639,$A38,Entreprises!$C$5:$C$639,K$3,Entreprises!$D$5:$D$639,K$2)+SUMIFS(Banques!$P$5:$P$315,Banques!$A$5:$A$315,$A38,Banques!$C$5:$C$315,K$3,Banques!$D$5:$D$315,K$2)</f>
        <v/>
      </c>
      <c r="L38" s="19">
        <f>SUMIFS(Entreprises!$N$5:$N$639,Entreprises!$A$5:$A$639,$A38,Entreprises!$C$5:$C$639,L$3,Entreprises!$D$5:$D$639,L$2)+SUMIFS(Banques!$P$5:$P$315,Banques!$A$5:$A$315,$A38,Banques!$C$5:$C$315,L$3,Banques!$D$5:$D$315,L$2)</f>
        <v/>
      </c>
      <c r="M38" s="19">
        <f>SUMIFS(Entreprises!$N$5:$N$639,Entreprises!$A$5:$A$639,$A38,Entreprises!$C$5:$C$639,M$3,Entreprises!$D$5:$D$639,M$2)+SUMIFS(Banques!$P$5:$P$315,Banques!$A$5:$A$315,$A38,Banques!$C$5:$C$315,M$3,Banques!$D$5:$D$315,M$2)</f>
        <v/>
      </c>
      <c r="N38" s="19">
        <f>SUMIFS(Entreprises!$N$5:$N$639,Entreprises!$A$5:$A$639,$A38,Entreprises!$C$5:$C$639,N$3,Entreprises!$D$5:$D$639,N$2)+SUMIFS(Banques!$P$5:$P$315,Banques!$A$5:$A$315,$A38,Banques!$C$5:$C$315,N$3,Banques!$D$5:$D$315,N$2)</f>
        <v/>
      </c>
      <c r="O38" s="19">
        <f>SUMIFS(Entreprises!$N$5:$N$639,Entreprises!$A$5:$A$639,$A38,Entreprises!$C$5:$C$639,O$3,Entreprises!$D$5:$D$639,O$2)+SUMIFS(Banques!$P$5:$P$315,Banques!$A$5:$A$315,$A38,Banques!$C$5:$C$315,O$3,Banques!$D$5:$D$315,O$2)</f>
        <v/>
      </c>
      <c r="P38" s="19">
        <f>SUMIFS(Entreprises!$N$5:$N$639,Entreprises!$A$5:$A$639,$A38,Entreprises!$C$5:$C$639,P$3,Entreprises!$D$5:$D$639,P$2)+SUMIFS(Banques!$P$5:$P$315,Banques!$A$5:$A$315,$A38,Banques!$C$5:$C$315,P$3,Banques!$D$5:$D$315,P$2)</f>
        <v/>
      </c>
      <c r="Q38" s="19">
        <f>SUMIFS(Entreprises!$N$5:$N$639,Entreprises!$A$5:$A$639,$A38,Entreprises!$C$5:$C$639,Q$3,Entreprises!$D$5:$D$639,Q$2)+SUMIFS(Banques!$P$5:$P$315,Banques!$A$5:$A$315,$A38,Banques!$C$5:$C$315,Q$3,Banques!$D$5:$D$315,Q$2)</f>
        <v/>
      </c>
      <c r="R38" s="19">
        <f>SUMIFS(Entreprises!$N$5:$N$639,Entreprises!$A$5:$A$639,$A38,Entreprises!$C$5:$C$639,R$3,Entreprises!$D$5:$D$639,R$2)+SUMIFS(Banques!$P$5:$P$315,Banques!$A$5:$A$315,$A38,Banques!$C$5:$C$315,R$3,Banques!$D$5:$D$315,R$2)</f>
        <v/>
      </c>
      <c r="S38" s="19">
        <f>SUMIFS(Entreprises!$N$5:$N$639,Entreprises!$A$5:$A$639,$A38,Entreprises!$C$5:$C$639,S$3,Entreprises!$D$5:$D$639,S$2)+SUMIFS(Banques!$P$5:$P$315,Banques!$A$5:$A$315,$A38,Banques!$C$5:$C$315,S$3,Banques!$D$5:$D$315,S$2)</f>
        <v/>
      </c>
      <c r="T38" s="19">
        <f>SUMIFS(Entreprises!$N$5:$N$639,Entreprises!$A$5:$A$639,$A38,Entreprises!$C$5:$C$639,T$3,Entreprises!$D$5:$D$639,T$2)+SUMIFS(Banques!$P$5:$P$315,Banques!$A$5:$A$315,$A38,Banques!$C$5:$C$315,T$3,Banques!$D$5:$D$315,T$2)</f>
        <v/>
      </c>
      <c r="U38" s="19">
        <f>SUMIFS(Entreprises!$N$5:$N$639,Entreprises!$A$5:$A$639,$A38,Entreprises!$C$5:$C$639,U$3,Entreprises!$D$5:$D$639,U$2)+SUMIFS(Banques!$P$5:$P$315,Banques!$A$5:$A$315,$A38,Banques!$C$5:$C$315,U$3,Banques!$D$5:$D$315,U$2)</f>
        <v/>
      </c>
    </row>
    <row r="39">
      <c r="A39" s="18" t="inlineStr">
        <is>
          <t>BICB</t>
        </is>
      </c>
      <c r="B39" s="18">
        <f>IFERROR(VLOOKUP(A39,Titres!$A$2:$D$400,2,FALSE),"")</f>
        <v/>
      </c>
      <c r="C39" s="18">
        <f>IFERROR(VLOOKUP(A39,Titres!$A$2:$D$400,4,FALSE),"")</f>
        <v/>
      </c>
      <c r="D39" s="19">
        <f>SUMIFS(Entreprises!$N$5:$N$639,Entreprises!$A$5:$A$639,$A39,Entreprises!$C$5:$C$639,D$3,Entreprises!$D$5:$D$639,D$2)+SUMIFS(Banques!$P$5:$P$315,Banques!$A$5:$A$315,$A39,Banques!$C$5:$C$315,D$3,Banques!$D$5:$D$315,D$2)</f>
        <v/>
      </c>
      <c r="E39" s="19">
        <f>SUMIFS(Entreprises!$N$5:$N$639,Entreprises!$A$5:$A$639,$A39,Entreprises!$C$5:$C$639,E$3,Entreprises!$D$5:$D$639,E$2)+SUMIFS(Banques!$P$5:$P$315,Banques!$A$5:$A$315,$A39,Banques!$C$5:$C$315,E$3,Banques!$D$5:$D$315,E$2)</f>
        <v/>
      </c>
      <c r="F39" s="19">
        <f>SUMIFS(Entreprises!$N$5:$N$639,Entreprises!$A$5:$A$639,$A39,Entreprises!$C$5:$C$639,F$3,Entreprises!$D$5:$D$639,F$2)+SUMIFS(Banques!$P$5:$P$315,Banques!$A$5:$A$315,$A39,Banques!$C$5:$C$315,F$3,Banques!$D$5:$D$315,F$2)</f>
        <v/>
      </c>
      <c r="G39" s="19">
        <f>SUMIFS(Entreprises!$N$5:$N$639,Entreprises!$A$5:$A$639,$A39,Entreprises!$C$5:$C$639,G$3,Entreprises!$D$5:$D$639,G$2)+SUMIFS(Banques!$P$5:$P$315,Banques!$A$5:$A$315,$A39,Banques!$C$5:$C$315,G$3,Banques!$D$5:$D$315,G$2)</f>
        <v/>
      </c>
      <c r="H39" s="19">
        <f>SUMIFS(Entreprises!$N$5:$N$639,Entreprises!$A$5:$A$639,$A39,Entreprises!$C$5:$C$639,H$3,Entreprises!$D$5:$D$639,H$2)+SUMIFS(Banques!$P$5:$P$315,Banques!$A$5:$A$315,$A39,Banques!$C$5:$C$315,H$3,Banques!$D$5:$D$315,H$2)</f>
        <v/>
      </c>
      <c r="I39" s="19">
        <f>SUMIFS(Entreprises!$N$5:$N$639,Entreprises!$A$5:$A$639,$A39,Entreprises!$C$5:$C$639,I$3,Entreprises!$D$5:$D$639,I$2)+SUMIFS(Banques!$P$5:$P$315,Banques!$A$5:$A$315,$A39,Banques!$C$5:$C$315,I$3,Banques!$D$5:$D$315,I$2)</f>
        <v/>
      </c>
      <c r="J39" s="19">
        <f>SUMIFS(Entreprises!$N$5:$N$639,Entreprises!$A$5:$A$639,$A39,Entreprises!$C$5:$C$639,J$3,Entreprises!$D$5:$D$639,J$2)+SUMIFS(Banques!$P$5:$P$315,Banques!$A$5:$A$315,$A39,Banques!$C$5:$C$315,J$3,Banques!$D$5:$D$315,J$2)</f>
        <v/>
      </c>
      <c r="K39" s="19">
        <f>SUMIFS(Entreprises!$N$5:$N$639,Entreprises!$A$5:$A$639,$A39,Entreprises!$C$5:$C$639,K$3,Entreprises!$D$5:$D$639,K$2)+SUMIFS(Banques!$P$5:$P$315,Banques!$A$5:$A$315,$A39,Banques!$C$5:$C$315,K$3,Banques!$D$5:$D$315,K$2)</f>
        <v/>
      </c>
      <c r="L39" s="19">
        <f>SUMIFS(Entreprises!$N$5:$N$639,Entreprises!$A$5:$A$639,$A39,Entreprises!$C$5:$C$639,L$3,Entreprises!$D$5:$D$639,L$2)+SUMIFS(Banques!$P$5:$P$315,Banques!$A$5:$A$315,$A39,Banques!$C$5:$C$315,L$3,Banques!$D$5:$D$315,L$2)</f>
        <v/>
      </c>
      <c r="M39" s="19">
        <f>SUMIFS(Entreprises!$N$5:$N$639,Entreprises!$A$5:$A$639,$A39,Entreprises!$C$5:$C$639,M$3,Entreprises!$D$5:$D$639,M$2)+SUMIFS(Banques!$P$5:$P$315,Banques!$A$5:$A$315,$A39,Banques!$C$5:$C$315,M$3,Banques!$D$5:$D$315,M$2)</f>
        <v/>
      </c>
      <c r="N39" s="19">
        <f>SUMIFS(Entreprises!$N$5:$N$639,Entreprises!$A$5:$A$639,$A39,Entreprises!$C$5:$C$639,N$3,Entreprises!$D$5:$D$639,N$2)+SUMIFS(Banques!$P$5:$P$315,Banques!$A$5:$A$315,$A39,Banques!$C$5:$C$315,N$3,Banques!$D$5:$D$315,N$2)</f>
        <v/>
      </c>
      <c r="O39" s="19">
        <f>SUMIFS(Entreprises!$N$5:$N$639,Entreprises!$A$5:$A$639,$A39,Entreprises!$C$5:$C$639,O$3,Entreprises!$D$5:$D$639,O$2)+SUMIFS(Banques!$P$5:$P$315,Banques!$A$5:$A$315,$A39,Banques!$C$5:$C$315,O$3,Banques!$D$5:$D$315,O$2)</f>
        <v/>
      </c>
      <c r="P39" s="19">
        <f>SUMIFS(Entreprises!$N$5:$N$639,Entreprises!$A$5:$A$639,$A39,Entreprises!$C$5:$C$639,P$3,Entreprises!$D$5:$D$639,P$2)+SUMIFS(Banques!$P$5:$P$315,Banques!$A$5:$A$315,$A39,Banques!$C$5:$C$315,P$3,Banques!$D$5:$D$315,P$2)</f>
        <v/>
      </c>
      <c r="Q39" s="19">
        <f>SUMIFS(Entreprises!$N$5:$N$639,Entreprises!$A$5:$A$639,$A39,Entreprises!$C$5:$C$639,Q$3,Entreprises!$D$5:$D$639,Q$2)+SUMIFS(Banques!$P$5:$P$315,Banques!$A$5:$A$315,$A39,Banques!$C$5:$C$315,Q$3,Banques!$D$5:$D$315,Q$2)</f>
        <v/>
      </c>
      <c r="R39" s="19">
        <f>SUMIFS(Entreprises!$N$5:$N$639,Entreprises!$A$5:$A$639,$A39,Entreprises!$C$5:$C$639,R$3,Entreprises!$D$5:$D$639,R$2)+SUMIFS(Banques!$P$5:$P$315,Banques!$A$5:$A$315,$A39,Banques!$C$5:$C$315,R$3,Banques!$D$5:$D$315,R$2)</f>
        <v/>
      </c>
      <c r="S39" s="19">
        <f>SUMIFS(Entreprises!$N$5:$N$639,Entreprises!$A$5:$A$639,$A39,Entreprises!$C$5:$C$639,S$3,Entreprises!$D$5:$D$639,S$2)+SUMIFS(Banques!$P$5:$P$315,Banques!$A$5:$A$315,$A39,Banques!$C$5:$C$315,S$3,Banques!$D$5:$D$315,S$2)</f>
        <v/>
      </c>
      <c r="T39" s="19">
        <f>SUMIFS(Entreprises!$N$5:$N$639,Entreprises!$A$5:$A$639,$A39,Entreprises!$C$5:$C$639,T$3,Entreprises!$D$5:$D$639,T$2)+SUMIFS(Banques!$P$5:$P$315,Banques!$A$5:$A$315,$A39,Banques!$C$5:$C$315,T$3,Banques!$D$5:$D$315,T$2)</f>
        <v/>
      </c>
      <c r="U39" s="19">
        <f>SUMIFS(Entreprises!$N$5:$N$639,Entreprises!$A$5:$A$639,$A39,Entreprises!$C$5:$C$639,U$3,Entreprises!$D$5:$D$639,U$2)+SUMIFS(Banques!$P$5:$P$315,Banques!$A$5:$A$315,$A39,Banques!$C$5:$C$315,U$3,Banques!$D$5:$D$315,U$2)</f>
        <v/>
      </c>
    </row>
    <row r="40">
      <c r="A40" s="18" t="inlineStr">
        <is>
          <t>BICC</t>
        </is>
      </c>
      <c r="B40" s="18">
        <f>IFERROR(VLOOKUP(A40,Titres!$A$2:$D$400,2,FALSE),"")</f>
        <v/>
      </c>
      <c r="C40" s="18">
        <f>IFERROR(VLOOKUP(A40,Titres!$A$2:$D$400,4,FALSE),"")</f>
        <v/>
      </c>
      <c r="D40" s="19">
        <f>SUMIFS(Entreprises!$N$5:$N$639,Entreprises!$A$5:$A$639,$A40,Entreprises!$C$5:$C$639,D$3,Entreprises!$D$5:$D$639,D$2)+SUMIFS(Banques!$P$5:$P$315,Banques!$A$5:$A$315,$A40,Banques!$C$5:$C$315,D$3,Banques!$D$5:$D$315,D$2)</f>
        <v/>
      </c>
      <c r="E40" s="19">
        <f>SUMIFS(Entreprises!$N$5:$N$639,Entreprises!$A$5:$A$639,$A40,Entreprises!$C$5:$C$639,E$3,Entreprises!$D$5:$D$639,E$2)+SUMIFS(Banques!$P$5:$P$315,Banques!$A$5:$A$315,$A40,Banques!$C$5:$C$315,E$3,Banques!$D$5:$D$315,E$2)</f>
        <v/>
      </c>
      <c r="F40" s="19">
        <f>SUMIFS(Entreprises!$N$5:$N$639,Entreprises!$A$5:$A$639,$A40,Entreprises!$C$5:$C$639,F$3,Entreprises!$D$5:$D$639,F$2)+SUMIFS(Banques!$P$5:$P$315,Banques!$A$5:$A$315,$A40,Banques!$C$5:$C$315,F$3,Banques!$D$5:$D$315,F$2)</f>
        <v/>
      </c>
      <c r="G40" s="19">
        <f>SUMIFS(Entreprises!$N$5:$N$639,Entreprises!$A$5:$A$639,$A40,Entreprises!$C$5:$C$639,G$3,Entreprises!$D$5:$D$639,G$2)+SUMIFS(Banques!$P$5:$P$315,Banques!$A$5:$A$315,$A40,Banques!$C$5:$C$315,G$3,Banques!$D$5:$D$315,G$2)</f>
        <v/>
      </c>
      <c r="H40" s="19">
        <f>SUMIFS(Entreprises!$N$5:$N$639,Entreprises!$A$5:$A$639,$A40,Entreprises!$C$5:$C$639,H$3,Entreprises!$D$5:$D$639,H$2)+SUMIFS(Banques!$P$5:$P$315,Banques!$A$5:$A$315,$A40,Banques!$C$5:$C$315,H$3,Banques!$D$5:$D$315,H$2)</f>
        <v/>
      </c>
      <c r="I40" s="19">
        <f>SUMIFS(Entreprises!$N$5:$N$639,Entreprises!$A$5:$A$639,$A40,Entreprises!$C$5:$C$639,I$3,Entreprises!$D$5:$D$639,I$2)+SUMIFS(Banques!$P$5:$P$315,Banques!$A$5:$A$315,$A40,Banques!$C$5:$C$315,I$3,Banques!$D$5:$D$315,I$2)</f>
        <v/>
      </c>
      <c r="J40" s="19">
        <f>SUMIFS(Entreprises!$N$5:$N$639,Entreprises!$A$5:$A$639,$A40,Entreprises!$C$5:$C$639,J$3,Entreprises!$D$5:$D$639,J$2)+SUMIFS(Banques!$P$5:$P$315,Banques!$A$5:$A$315,$A40,Banques!$C$5:$C$315,J$3,Banques!$D$5:$D$315,J$2)</f>
        <v/>
      </c>
      <c r="K40" s="19">
        <f>SUMIFS(Entreprises!$N$5:$N$639,Entreprises!$A$5:$A$639,$A40,Entreprises!$C$5:$C$639,K$3,Entreprises!$D$5:$D$639,K$2)+SUMIFS(Banques!$P$5:$P$315,Banques!$A$5:$A$315,$A40,Banques!$C$5:$C$315,K$3,Banques!$D$5:$D$315,K$2)</f>
        <v/>
      </c>
      <c r="L40" s="19">
        <f>SUMIFS(Entreprises!$N$5:$N$639,Entreprises!$A$5:$A$639,$A40,Entreprises!$C$5:$C$639,L$3,Entreprises!$D$5:$D$639,L$2)+SUMIFS(Banques!$P$5:$P$315,Banques!$A$5:$A$315,$A40,Banques!$C$5:$C$315,L$3,Banques!$D$5:$D$315,L$2)</f>
        <v/>
      </c>
      <c r="M40" s="19">
        <f>SUMIFS(Entreprises!$N$5:$N$639,Entreprises!$A$5:$A$639,$A40,Entreprises!$C$5:$C$639,M$3,Entreprises!$D$5:$D$639,M$2)+SUMIFS(Banques!$P$5:$P$315,Banques!$A$5:$A$315,$A40,Banques!$C$5:$C$315,M$3,Banques!$D$5:$D$315,M$2)</f>
        <v/>
      </c>
      <c r="N40" s="19">
        <f>SUMIFS(Entreprises!$N$5:$N$639,Entreprises!$A$5:$A$639,$A40,Entreprises!$C$5:$C$639,N$3,Entreprises!$D$5:$D$639,N$2)+SUMIFS(Banques!$P$5:$P$315,Banques!$A$5:$A$315,$A40,Banques!$C$5:$C$315,N$3,Banques!$D$5:$D$315,N$2)</f>
        <v/>
      </c>
      <c r="O40" s="19">
        <f>SUMIFS(Entreprises!$N$5:$N$639,Entreprises!$A$5:$A$639,$A40,Entreprises!$C$5:$C$639,O$3,Entreprises!$D$5:$D$639,O$2)+SUMIFS(Banques!$P$5:$P$315,Banques!$A$5:$A$315,$A40,Banques!$C$5:$C$315,O$3,Banques!$D$5:$D$315,O$2)</f>
        <v/>
      </c>
      <c r="P40" s="19">
        <f>SUMIFS(Entreprises!$N$5:$N$639,Entreprises!$A$5:$A$639,$A40,Entreprises!$C$5:$C$639,P$3,Entreprises!$D$5:$D$639,P$2)+SUMIFS(Banques!$P$5:$P$315,Banques!$A$5:$A$315,$A40,Banques!$C$5:$C$315,P$3,Banques!$D$5:$D$315,P$2)</f>
        <v/>
      </c>
      <c r="Q40" s="19">
        <f>SUMIFS(Entreprises!$N$5:$N$639,Entreprises!$A$5:$A$639,$A40,Entreprises!$C$5:$C$639,Q$3,Entreprises!$D$5:$D$639,Q$2)+SUMIFS(Banques!$P$5:$P$315,Banques!$A$5:$A$315,$A40,Banques!$C$5:$C$315,Q$3,Banques!$D$5:$D$315,Q$2)</f>
        <v/>
      </c>
      <c r="R40" s="19">
        <f>SUMIFS(Entreprises!$N$5:$N$639,Entreprises!$A$5:$A$639,$A40,Entreprises!$C$5:$C$639,R$3,Entreprises!$D$5:$D$639,R$2)+SUMIFS(Banques!$P$5:$P$315,Banques!$A$5:$A$315,$A40,Banques!$C$5:$C$315,R$3,Banques!$D$5:$D$315,R$2)</f>
        <v/>
      </c>
      <c r="S40" s="19">
        <f>SUMIFS(Entreprises!$N$5:$N$639,Entreprises!$A$5:$A$639,$A40,Entreprises!$C$5:$C$639,S$3,Entreprises!$D$5:$D$639,S$2)+SUMIFS(Banques!$P$5:$P$315,Banques!$A$5:$A$315,$A40,Banques!$C$5:$C$315,S$3,Banques!$D$5:$D$315,S$2)</f>
        <v/>
      </c>
      <c r="T40" s="19">
        <f>SUMIFS(Entreprises!$N$5:$N$639,Entreprises!$A$5:$A$639,$A40,Entreprises!$C$5:$C$639,T$3,Entreprises!$D$5:$D$639,T$2)+SUMIFS(Banques!$P$5:$P$315,Banques!$A$5:$A$315,$A40,Banques!$C$5:$C$315,T$3,Banques!$D$5:$D$315,T$2)</f>
        <v/>
      </c>
      <c r="U40" s="19">
        <f>SUMIFS(Entreprises!$N$5:$N$639,Entreprises!$A$5:$A$639,$A40,Entreprises!$C$5:$C$639,U$3,Entreprises!$D$5:$D$639,U$2)+SUMIFS(Banques!$P$5:$P$315,Banques!$A$5:$A$315,$A40,Banques!$C$5:$C$315,U$3,Banques!$D$5:$D$315,U$2)</f>
        <v/>
      </c>
    </row>
    <row r="41">
      <c r="A41" s="18" t="inlineStr">
        <is>
          <t>BOAB</t>
        </is>
      </c>
      <c r="B41" s="18">
        <f>IFERROR(VLOOKUP(A41,Titres!$A$2:$D$400,2,FALSE),"")</f>
        <v/>
      </c>
      <c r="C41" s="18">
        <f>IFERROR(VLOOKUP(A41,Titres!$A$2:$D$400,4,FALSE),"")</f>
        <v/>
      </c>
      <c r="D41" s="19">
        <f>SUMIFS(Entreprises!$N$5:$N$639,Entreprises!$A$5:$A$639,$A41,Entreprises!$C$5:$C$639,D$3,Entreprises!$D$5:$D$639,D$2)+SUMIFS(Banques!$P$5:$P$315,Banques!$A$5:$A$315,$A41,Banques!$C$5:$C$315,D$3,Banques!$D$5:$D$315,D$2)</f>
        <v/>
      </c>
      <c r="E41" s="19">
        <f>SUMIFS(Entreprises!$N$5:$N$639,Entreprises!$A$5:$A$639,$A41,Entreprises!$C$5:$C$639,E$3,Entreprises!$D$5:$D$639,E$2)+SUMIFS(Banques!$P$5:$P$315,Banques!$A$5:$A$315,$A41,Banques!$C$5:$C$315,E$3,Banques!$D$5:$D$315,E$2)</f>
        <v/>
      </c>
      <c r="F41" s="19">
        <f>SUMIFS(Entreprises!$N$5:$N$639,Entreprises!$A$5:$A$639,$A41,Entreprises!$C$5:$C$639,F$3,Entreprises!$D$5:$D$639,F$2)+SUMIFS(Banques!$P$5:$P$315,Banques!$A$5:$A$315,$A41,Banques!$C$5:$C$315,F$3,Banques!$D$5:$D$315,F$2)</f>
        <v/>
      </c>
      <c r="G41" s="19">
        <f>SUMIFS(Entreprises!$N$5:$N$639,Entreprises!$A$5:$A$639,$A41,Entreprises!$C$5:$C$639,G$3,Entreprises!$D$5:$D$639,G$2)+SUMIFS(Banques!$P$5:$P$315,Banques!$A$5:$A$315,$A41,Banques!$C$5:$C$315,G$3,Banques!$D$5:$D$315,G$2)</f>
        <v/>
      </c>
      <c r="H41" s="19">
        <f>SUMIFS(Entreprises!$N$5:$N$639,Entreprises!$A$5:$A$639,$A41,Entreprises!$C$5:$C$639,H$3,Entreprises!$D$5:$D$639,H$2)+SUMIFS(Banques!$P$5:$P$315,Banques!$A$5:$A$315,$A41,Banques!$C$5:$C$315,H$3,Banques!$D$5:$D$315,H$2)</f>
        <v/>
      </c>
      <c r="I41" s="19">
        <f>SUMIFS(Entreprises!$N$5:$N$639,Entreprises!$A$5:$A$639,$A41,Entreprises!$C$5:$C$639,I$3,Entreprises!$D$5:$D$639,I$2)+SUMIFS(Banques!$P$5:$P$315,Banques!$A$5:$A$315,$A41,Banques!$C$5:$C$315,I$3,Banques!$D$5:$D$315,I$2)</f>
        <v/>
      </c>
      <c r="J41" s="19">
        <f>SUMIFS(Entreprises!$N$5:$N$639,Entreprises!$A$5:$A$639,$A41,Entreprises!$C$5:$C$639,J$3,Entreprises!$D$5:$D$639,J$2)+SUMIFS(Banques!$P$5:$P$315,Banques!$A$5:$A$315,$A41,Banques!$C$5:$C$315,J$3,Banques!$D$5:$D$315,J$2)</f>
        <v/>
      </c>
      <c r="K41" s="19">
        <f>SUMIFS(Entreprises!$N$5:$N$639,Entreprises!$A$5:$A$639,$A41,Entreprises!$C$5:$C$639,K$3,Entreprises!$D$5:$D$639,K$2)+SUMIFS(Banques!$P$5:$P$315,Banques!$A$5:$A$315,$A41,Banques!$C$5:$C$315,K$3,Banques!$D$5:$D$315,K$2)</f>
        <v/>
      </c>
      <c r="L41" s="19">
        <f>SUMIFS(Entreprises!$N$5:$N$639,Entreprises!$A$5:$A$639,$A41,Entreprises!$C$5:$C$639,L$3,Entreprises!$D$5:$D$639,L$2)+SUMIFS(Banques!$P$5:$P$315,Banques!$A$5:$A$315,$A41,Banques!$C$5:$C$315,L$3,Banques!$D$5:$D$315,L$2)</f>
        <v/>
      </c>
      <c r="M41" s="19">
        <f>SUMIFS(Entreprises!$N$5:$N$639,Entreprises!$A$5:$A$639,$A41,Entreprises!$C$5:$C$639,M$3,Entreprises!$D$5:$D$639,M$2)+SUMIFS(Banques!$P$5:$P$315,Banques!$A$5:$A$315,$A41,Banques!$C$5:$C$315,M$3,Banques!$D$5:$D$315,M$2)</f>
        <v/>
      </c>
      <c r="N41" s="19">
        <f>SUMIFS(Entreprises!$N$5:$N$639,Entreprises!$A$5:$A$639,$A41,Entreprises!$C$5:$C$639,N$3,Entreprises!$D$5:$D$639,N$2)+SUMIFS(Banques!$P$5:$P$315,Banques!$A$5:$A$315,$A41,Banques!$C$5:$C$315,N$3,Banques!$D$5:$D$315,N$2)</f>
        <v/>
      </c>
      <c r="O41" s="19">
        <f>SUMIFS(Entreprises!$N$5:$N$639,Entreprises!$A$5:$A$639,$A41,Entreprises!$C$5:$C$639,O$3,Entreprises!$D$5:$D$639,O$2)+SUMIFS(Banques!$P$5:$P$315,Banques!$A$5:$A$315,$A41,Banques!$C$5:$C$315,O$3,Banques!$D$5:$D$315,O$2)</f>
        <v/>
      </c>
      <c r="P41" s="19">
        <f>SUMIFS(Entreprises!$N$5:$N$639,Entreprises!$A$5:$A$639,$A41,Entreprises!$C$5:$C$639,P$3,Entreprises!$D$5:$D$639,P$2)+SUMIFS(Banques!$P$5:$P$315,Banques!$A$5:$A$315,$A41,Banques!$C$5:$C$315,P$3,Banques!$D$5:$D$315,P$2)</f>
        <v/>
      </c>
      <c r="Q41" s="19">
        <f>SUMIFS(Entreprises!$N$5:$N$639,Entreprises!$A$5:$A$639,$A41,Entreprises!$C$5:$C$639,Q$3,Entreprises!$D$5:$D$639,Q$2)+SUMIFS(Banques!$P$5:$P$315,Banques!$A$5:$A$315,$A41,Banques!$C$5:$C$315,Q$3,Banques!$D$5:$D$315,Q$2)</f>
        <v/>
      </c>
      <c r="R41" s="19">
        <f>SUMIFS(Entreprises!$N$5:$N$639,Entreprises!$A$5:$A$639,$A41,Entreprises!$C$5:$C$639,R$3,Entreprises!$D$5:$D$639,R$2)+SUMIFS(Banques!$P$5:$P$315,Banques!$A$5:$A$315,$A41,Banques!$C$5:$C$315,R$3,Banques!$D$5:$D$315,R$2)</f>
        <v/>
      </c>
      <c r="S41" s="19">
        <f>SUMIFS(Entreprises!$N$5:$N$639,Entreprises!$A$5:$A$639,$A41,Entreprises!$C$5:$C$639,S$3,Entreprises!$D$5:$D$639,S$2)+SUMIFS(Banques!$P$5:$P$315,Banques!$A$5:$A$315,$A41,Banques!$C$5:$C$315,S$3,Banques!$D$5:$D$315,S$2)</f>
        <v/>
      </c>
      <c r="T41" s="19">
        <f>SUMIFS(Entreprises!$N$5:$N$639,Entreprises!$A$5:$A$639,$A41,Entreprises!$C$5:$C$639,T$3,Entreprises!$D$5:$D$639,T$2)+SUMIFS(Banques!$P$5:$P$315,Banques!$A$5:$A$315,$A41,Banques!$C$5:$C$315,T$3,Banques!$D$5:$D$315,T$2)</f>
        <v/>
      </c>
      <c r="U41" s="19">
        <f>SUMIFS(Entreprises!$N$5:$N$639,Entreprises!$A$5:$A$639,$A41,Entreprises!$C$5:$C$639,U$3,Entreprises!$D$5:$D$639,U$2)+SUMIFS(Banques!$P$5:$P$315,Banques!$A$5:$A$315,$A41,Banques!$C$5:$C$315,U$3,Banques!$D$5:$D$315,U$2)</f>
        <v/>
      </c>
    </row>
    <row r="42">
      <c r="A42" s="18" t="inlineStr">
        <is>
          <t>BOABF</t>
        </is>
      </c>
      <c r="B42" s="18">
        <f>IFERROR(VLOOKUP(A42,Titres!$A$2:$D$400,2,FALSE),"")</f>
        <v/>
      </c>
      <c r="C42" s="18">
        <f>IFERROR(VLOOKUP(A42,Titres!$A$2:$D$400,4,FALSE),"")</f>
        <v/>
      </c>
      <c r="D42" s="19">
        <f>SUMIFS(Entreprises!$N$5:$N$639,Entreprises!$A$5:$A$639,$A42,Entreprises!$C$5:$C$639,D$3,Entreprises!$D$5:$D$639,D$2)+SUMIFS(Banques!$P$5:$P$315,Banques!$A$5:$A$315,$A42,Banques!$C$5:$C$315,D$3,Banques!$D$5:$D$315,D$2)</f>
        <v/>
      </c>
      <c r="E42" s="19">
        <f>SUMIFS(Entreprises!$N$5:$N$639,Entreprises!$A$5:$A$639,$A42,Entreprises!$C$5:$C$639,E$3,Entreprises!$D$5:$D$639,E$2)+SUMIFS(Banques!$P$5:$P$315,Banques!$A$5:$A$315,$A42,Banques!$C$5:$C$315,E$3,Banques!$D$5:$D$315,E$2)</f>
        <v/>
      </c>
      <c r="F42" s="19">
        <f>SUMIFS(Entreprises!$N$5:$N$639,Entreprises!$A$5:$A$639,$A42,Entreprises!$C$5:$C$639,F$3,Entreprises!$D$5:$D$639,F$2)+SUMIFS(Banques!$P$5:$P$315,Banques!$A$5:$A$315,$A42,Banques!$C$5:$C$315,F$3,Banques!$D$5:$D$315,F$2)</f>
        <v/>
      </c>
      <c r="G42" s="19">
        <f>SUMIFS(Entreprises!$N$5:$N$639,Entreprises!$A$5:$A$639,$A42,Entreprises!$C$5:$C$639,G$3,Entreprises!$D$5:$D$639,G$2)+SUMIFS(Banques!$P$5:$P$315,Banques!$A$5:$A$315,$A42,Banques!$C$5:$C$315,G$3,Banques!$D$5:$D$315,G$2)</f>
        <v/>
      </c>
      <c r="H42" s="19">
        <f>SUMIFS(Entreprises!$N$5:$N$639,Entreprises!$A$5:$A$639,$A42,Entreprises!$C$5:$C$639,H$3,Entreprises!$D$5:$D$639,H$2)+SUMIFS(Banques!$P$5:$P$315,Banques!$A$5:$A$315,$A42,Banques!$C$5:$C$315,H$3,Banques!$D$5:$D$315,H$2)</f>
        <v/>
      </c>
      <c r="I42" s="19">
        <f>SUMIFS(Entreprises!$N$5:$N$639,Entreprises!$A$5:$A$639,$A42,Entreprises!$C$5:$C$639,I$3,Entreprises!$D$5:$D$639,I$2)+SUMIFS(Banques!$P$5:$P$315,Banques!$A$5:$A$315,$A42,Banques!$C$5:$C$315,I$3,Banques!$D$5:$D$315,I$2)</f>
        <v/>
      </c>
      <c r="J42" s="19">
        <f>SUMIFS(Entreprises!$N$5:$N$639,Entreprises!$A$5:$A$639,$A42,Entreprises!$C$5:$C$639,J$3,Entreprises!$D$5:$D$639,J$2)+SUMIFS(Banques!$P$5:$P$315,Banques!$A$5:$A$315,$A42,Banques!$C$5:$C$315,J$3,Banques!$D$5:$D$315,J$2)</f>
        <v/>
      </c>
      <c r="K42" s="19">
        <f>SUMIFS(Entreprises!$N$5:$N$639,Entreprises!$A$5:$A$639,$A42,Entreprises!$C$5:$C$639,K$3,Entreprises!$D$5:$D$639,K$2)+SUMIFS(Banques!$P$5:$P$315,Banques!$A$5:$A$315,$A42,Banques!$C$5:$C$315,K$3,Banques!$D$5:$D$315,K$2)</f>
        <v/>
      </c>
      <c r="L42" s="19">
        <f>SUMIFS(Entreprises!$N$5:$N$639,Entreprises!$A$5:$A$639,$A42,Entreprises!$C$5:$C$639,L$3,Entreprises!$D$5:$D$639,L$2)+SUMIFS(Banques!$P$5:$P$315,Banques!$A$5:$A$315,$A42,Banques!$C$5:$C$315,L$3,Banques!$D$5:$D$315,L$2)</f>
        <v/>
      </c>
      <c r="M42" s="19">
        <f>SUMIFS(Entreprises!$N$5:$N$639,Entreprises!$A$5:$A$639,$A42,Entreprises!$C$5:$C$639,M$3,Entreprises!$D$5:$D$639,M$2)+SUMIFS(Banques!$P$5:$P$315,Banques!$A$5:$A$315,$A42,Banques!$C$5:$C$315,M$3,Banques!$D$5:$D$315,M$2)</f>
        <v/>
      </c>
      <c r="N42" s="19">
        <f>SUMIFS(Entreprises!$N$5:$N$639,Entreprises!$A$5:$A$639,$A42,Entreprises!$C$5:$C$639,N$3,Entreprises!$D$5:$D$639,N$2)+SUMIFS(Banques!$P$5:$P$315,Banques!$A$5:$A$315,$A42,Banques!$C$5:$C$315,N$3,Banques!$D$5:$D$315,N$2)</f>
        <v/>
      </c>
      <c r="O42" s="19">
        <f>SUMIFS(Entreprises!$N$5:$N$639,Entreprises!$A$5:$A$639,$A42,Entreprises!$C$5:$C$639,O$3,Entreprises!$D$5:$D$639,O$2)+SUMIFS(Banques!$P$5:$P$315,Banques!$A$5:$A$315,$A42,Banques!$C$5:$C$315,O$3,Banques!$D$5:$D$315,O$2)</f>
        <v/>
      </c>
      <c r="P42" s="19">
        <f>SUMIFS(Entreprises!$N$5:$N$639,Entreprises!$A$5:$A$639,$A42,Entreprises!$C$5:$C$639,P$3,Entreprises!$D$5:$D$639,P$2)+SUMIFS(Banques!$P$5:$P$315,Banques!$A$5:$A$315,$A42,Banques!$C$5:$C$315,P$3,Banques!$D$5:$D$315,P$2)</f>
        <v/>
      </c>
      <c r="Q42" s="19">
        <f>SUMIFS(Entreprises!$N$5:$N$639,Entreprises!$A$5:$A$639,$A42,Entreprises!$C$5:$C$639,Q$3,Entreprises!$D$5:$D$639,Q$2)+SUMIFS(Banques!$P$5:$P$315,Banques!$A$5:$A$315,$A42,Banques!$C$5:$C$315,Q$3,Banques!$D$5:$D$315,Q$2)</f>
        <v/>
      </c>
      <c r="R42" s="19">
        <f>SUMIFS(Entreprises!$N$5:$N$639,Entreprises!$A$5:$A$639,$A42,Entreprises!$C$5:$C$639,R$3,Entreprises!$D$5:$D$639,R$2)+SUMIFS(Banques!$P$5:$P$315,Banques!$A$5:$A$315,$A42,Banques!$C$5:$C$315,R$3,Banques!$D$5:$D$315,R$2)</f>
        <v/>
      </c>
      <c r="S42" s="19">
        <f>SUMIFS(Entreprises!$N$5:$N$639,Entreprises!$A$5:$A$639,$A42,Entreprises!$C$5:$C$639,S$3,Entreprises!$D$5:$D$639,S$2)+SUMIFS(Banques!$P$5:$P$315,Banques!$A$5:$A$315,$A42,Banques!$C$5:$C$315,S$3,Banques!$D$5:$D$315,S$2)</f>
        <v/>
      </c>
      <c r="T42" s="19">
        <f>SUMIFS(Entreprises!$N$5:$N$639,Entreprises!$A$5:$A$639,$A42,Entreprises!$C$5:$C$639,T$3,Entreprises!$D$5:$D$639,T$2)+SUMIFS(Banques!$P$5:$P$315,Banques!$A$5:$A$315,$A42,Banques!$C$5:$C$315,T$3,Banques!$D$5:$D$315,T$2)</f>
        <v/>
      </c>
      <c r="U42" s="19">
        <f>SUMIFS(Entreprises!$N$5:$N$639,Entreprises!$A$5:$A$639,$A42,Entreprises!$C$5:$C$639,U$3,Entreprises!$D$5:$D$639,U$2)+SUMIFS(Banques!$P$5:$P$315,Banques!$A$5:$A$315,$A42,Banques!$C$5:$C$315,U$3,Banques!$D$5:$D$315,U$2)</f>
        <v/>
      </c>
    </row>
    <row r="43">
      <c r="A43" s="18" t="inlineStr">
        <is>
          <t>BOAC</t>
        </is>
      </c>
      <c r="B43" s="18">
        <f>IFERROR(VLOOKUP(A43,Titres!$A$2:$D$400,2,FALSE),"")</f>
        <v/>
      </c>
      <c r="C43" s="18">
        <f>IFERROR(VLOOKUP(A43,Titres!$A$2:$D$400,4,FALSE),"")</f>
        <v/>
      </c>
      <c r="D43" s="19">
        <f>SUMIFS(Entreprises!$N$5:$N$639,Entreprises!$A$5:$A$639,$A43,Entreprises!$C$5:$C$639,D$3,Entreprises!$D$5:$D$639,D$2)+SUMIFS(Banques!$P$5:$P$315,Banques!$A$5:$A$315,$A43,Banques!$C$5:$C$315,D$3,Banques!$D$5:$D$315,D$2)</f>
        <v/>
      </c>
      <c r="E43" s="19">
        <f>SUMIFS(Entreprises!$N$5:$N$639,Entreprises!$A$5:$A$639,$A43,Entreprises!$C$5:$C$639,E$3,Entreprises!$D$5:$D$639,E$2)+SUMIFS(Banques!$P$5:$P$315,Banques!$A$5:$A$315,$A43,Banques!$C$5:$C$315,E$3,Banques!$D$5:$D$315,E$2)</f>
        <v/>
      </c>
      <c r="F43" s="19">
        <f>SUMIFS(Entreprises!$N$5:$N$639,Entreprises!$A$5:$A$639,$A43,Entreprises!$C$5:$C$639,F$3,Entreprises!$D$5:$D$639,F$2)+SUMIFS(Banques!$P$5:$P$315,Banques!$A$5:$A$315,$A43,Banques!$C$5:$C$315,F$3,Banques!$D$5:$D$315,F$2)</f>
        <v/>
      </c>
      <c r="G43" s="19">
        <f>SUMIFS(Entreprises!$N$5:$N$639,Entreprises!$A$5:$A$639,$A43,Entreprises!$C$5:$C$639,G$3,Entreprises!$D$5:$D$639,G$2)+SUMIFS(Banques!$P$5:$P$315,Banques!$A$5:$A$315,$A43,Banques!$C$5:$C$315,G$3,Banques!$D$5:$D$315,G$2)</f>
        <v/>
      </c>
      <c r="H43" s="19">
        <f>SUMIFS(Entreprises!$N$5:$N$639,Entreprises!$A$5:$A$639,$A43,Entreprises!$C$5:$C$639,H$3,Entreprises!$D$5:$D$639,H$2)+SUMIFS(Banques!$P$5:$P$315,Banques!$A$5:$A$315,$A43,Banques!$C$5:$C$315,H$3,Banques!$D$5:$D$315,H$2)</f>
        <v/>
      </c>
      <c r="I43" s="19">
        <f>SUMIFS(Entreprises!$N$5:$N$639,Entreprises!$A$5:$A$639,$A43,Entreprises!$C$5:$C$639,I$3,Entreprises!$D$5:$D$639,I$2)+SUMIFS(Banques!$P$5:$P$315,Banques!$A$5:$A$315,$A43,Banques!$C$5:$C$315,I$3,Banques!$D$5:$D$315,I$2)</f>
        <v/>
      </c>
      <c r="J43" s="19">
        <f>SUMIFS(Entreprises!$N$5:$N$639,Entreprises!$A$5:$A$639,$A43,Entreprises!$C$5:$C$639,J$3,Entreprises!$D$5:$D$639,J$2)+SUMIFS(Banques!$P$5:$P$315,Banques!$A$5:$A$315,$A43,Banques!$C$5:$C$315,J$3,Banques!$D$5:$D$315,J$2)</f>
        <v/>
      </c>
      <c r="K43" s="19">
        <f>SUMIFS(Entreprises!$N$5:$N$639,Entreprises!$A$5:$A$639,$A43,Entreprises!$C$5:$C$639,K$3,Entreprises!$D$5:$D$639,K$2)+SUMIFS(Banques!$P$5:$P$315,Banques!$A$5:$A$315,$A43,Banques!$C$5:$C$315,K$3,Banques!$D$5:$D$315,K$2)</f>
        <v/>
      </c>
      <c r="L43" s="19">
        <f>SUMIFS(Entreprises!$N$5:$N$639,Entreprises!$A$5:$A$639,$A43,Entreprises!$C$5:$C$639,L$3,Entreprises!$D$5:$D$639,L$2)+SUMIFS(Banques!$P$5:$P$315,Banques!$A$5:$A$315,$A43,Banques!$C$5:$C$315,L$3,Banques!$D$5:$D$315,L$2)</f>
        <v/>
      </c>
      <c r="M43" s="19">
        <f>SUMIFS(Entreprises!$N$5:$N$639,Entreprises!$A$5:$A$639,$A43,Entreprises!$C$5:$C$639,M$3,Entreprises!$D$5:$D$639,M$2)+SUMIFS(Banques!$P$5:$P$315,Banques!$A$5:$A$315,$A43,Banques!$C$5:$C$315,M$3,Banques!$D$5:$D$315,M$2)</f>
        <v/>
      </c>
      <c r="N43" s="19">
        <f>SUMIFS(Entreprises!$N$5:$N$639,Entreprises!$A$5:$A$639,$A43,Entreprises!$C$5:$C$639,N$3,Entreprises!$D$5:$D$639,N$2)+SUMIFS(Banques!$P$5:$P$315,Banques!$A$5:$A$315,$A43,Banques!$C$5:$C$315,N$3,Banques!$D$5:$D$315,N$2)</f>
        <v/>
      </c>
      <c r="O43" s="19">
        <f>SUMIFS(Entreprises!$N$5:$N$639,Entreprises!$A$5:$A$639,$A43,Entreprises!$C$5:$C$639,O$3,Entreprises!$D$5:$D$639,O$2)+SUMIFS(Banques!$P$5:$P$315,Banques!$A$5:$A$315,$A43,Banques!$C$5:$C$315,O$3,Banques!$D$5:$D$315,O$2)</f>
        <v/>
      </c>
      <c r="P43" s="19">
        <f>SUMIFS(Entreprises!$N$5:$N$639,Entreprises!$A$5:$A$639,$A43,Entreprises!$C$5:$C$639,P$3,Entreprises!$D$5:$D$639,P$2)+SUMIFS(Banques!$P$5:$P$315,Banques!$A$5:$A$315,$A43,Banques!$C$5:$C$315,P$3,Banques!$D$5:$D$315,P$2)</f>
        <v/>
      </c>
      <c r="Q43" s="19">
        <f>SUMIFS(Entreprises!$N$5:$N$639,Entreprises!$A$5:$A$639,$A43,Entreprises!$C$5:$C$639,Q$3,Entreprises!$D$5:$D$639,Q$2)+SUMIFS(Banques!$P$5:$P$315,Banques!$A$5:$A$315,$A43,Banques!$C$5:$C$315,Q$3,Banques!$D$5:$D$315,Q$2)</f>
        <v/>
      </c>
      <c r="R43" s="19">
        <f>SUMIFS(Entreprises!$N$5:$N$639,Entreprises!$A$5:$A$639,$A43,Entreprises!$C$5:$C$639,R$3,Entreprises!$D$5:$D$639,R$2)+SUMIFS(Banques!$P$5:$P$315,Banques!$A$5:$A$315,$A43,Banques!$C$5:$C$315,R$3,Banques!$D$5:$D$315,R$2)</f>
        <v/>
      </c>
      <c r="S43" s="19">
        <f>SUMIFS(Entreprises!$N$5:$N$639,Entreprises!$A$5:$A$639,$A43,Entreprises!$C$5:$C$639,S$3,Entreprises!$D$5:$D$639,S$2)+SUMIFS(Banques!$P$5:$P$315,Banques!$A$5:$A$315,$A43,Banques!$C$5:$C$315,S$3,Banques!$D$5:$D$315,S$2)</f>
        <v/>
      </c>
      <c r="T43" s="19">
        <f>SUMIFS(Entreprises!$N$5:$N$639,Entreprises!$A$5:$A$639,$A43,Entreprises!$C$5:$C$639,T$3,Entreprises!$D$5:$D$639,T$2)+SUMIFS(Banques!$P$5:$P$315,Banques!$A$5:$A$315,$A43,Banques!$C$5:$C$315,T$3,Banques!$D$5:$D$315,T$2)</f>
        <v/>
      </c>
      <c r="U43" s="19">
        <f>SUMIFS(Entreprises!$N$5:$N$639,Entreprises!$A$5:$A$639,$A43,Entreprises!$C$5:$C$639,U$3,Entreprises!$D$5:$D$639,U$2)+SUMIFS(Banques!$P$5:$P$315,Banques!$A$5:$A$315,$A43,Banques!$C$5:$C$315,U$3,Banques!$D$5:$D$315,U$2)</f>
        <v/>
      </c>
    </row>
    <row r="44">
      <c r="A44" s="18" t="inlineStr">
        <is>
          <t>BOAM</t>
        </is>
      </c>
      <c r="B44" s="18">
        <f>IFERROR(VLOOKUP(A44,Titres!$A$2:$D$400,2,FALSE),"")</f>
        <v/>
      </c>
      <c r="C44" s="18">
        <f>IFERROR(VLOOKUP(A44,Titres!$A$2:$D$400,4,FALSE),"")</f>
        <v/>
      </c>
      <c r="D44" s="19">
        <f>SUMIFS(Entreprises!$N$5:$N$639,Entreprises!$A$5:$A$639,$A44,Entreprises!$C$5:$C$639,D$3,Entreprises!$D$5:$D$639,D$2)+SUMIFS(Banques!$P$5:$P$315,Banques!$A$5:$A$315,$A44,Banques!$C$5:$C$315,D$3,Banques!$D$5:$D$315,D$2)</f>
        <v/>
      </c>
      <c r="E44" s="19">
        <f>SUMIFS(Entreprises!$N$5:$N$639,Entreprises!$A$5:$A$639,$A44,Entreprises!$C$5:$C$639,E$3,Entreprises!$D$5:$D$639,E$2)+SUMIFS(Banques!$P$5:$P$315,Banques!$A$5:$A$315,$A44,Banques!$C$5:$C$315,E$3,Banques!$D$5:$D$315,E$2)</f>
        <v/>
      </c>
      <c r="F44" s="19">
        <f>SUMIFS(Entreprises!$N$5:$N$639,Entreprises!$A$5:$A$639,$A44,Entreprises!$C$5:$C$639,F$3,Entreprises!$D$5:$D$639,F$2)+SUMIFS(Banques!$P$5:$P$315,Banques!$A$5:$A$315,$A44,Banques!$C$5:$C$315,F$3,Banques!$D$5:$D$315,F$2)</f>
        <v/>
      </c>
      <c r="G44" s="19">
        <f>SUMIFS(Entreprises!$N$5:$N$639,Entreprises!$A$5:$A$639,$A44,Entreprises!$C$5:$C$639,G$3,Entreprises!$D$5:$D$639,G$2)+SUMIFS(Banques!$P$5:$P$315,Banques!$A$5:$A$315,$A44,Banques!$C$5:$C$315,G$3,Banques!$D$5:$D$315,G$2)</f>
        <v/>
      </c>
      <c r="H44" s="19">
        <f>SUMIFS(Entreprises!$N$5:$N$639,Entreprises!$A$5:$A$639,$A44,Entreprises!$C$5:$C$639,H$3,Entreprises!$D$5:$D$639,H$2)+SUMIFS(Banques!$P$5:$P$315,Banques!$A$5:$A$315,$A44,Banques!$C$5:$C$315,H$3,Banques!$D$5:$D$315,H$2)</f>
        <v/>
      </c>
      <c r="I44" s="19">
        <f>SUMIFS(Entreprises!$N$5:$N$639,Entreprises!$A$5:$A$639,$A44,Entreprises!$C$5:$C$639,I$3,Entreprises!$D$5:$D$639,I$2)+SUMIFS(Banques!$P$5:$P$315,Banques!$A$5:$A$315,$A44,Banques!$C$5:$C$315,I$3,Banques!$D$5:$D$315,I$2)</f>
        <v/>
      </c>
      <c r="J44" s="19">
        <f>SUMIFS(Entreprises!$N$5:$N$639,Entreprises!$A$5:$A$639,$A44,Entreprises!$C$5:$C$639,J$3,Entreprises!$D$5:$D$639,J$2)+SUMIFS(Banques!$P$5:$P$315,Banques!$A$5:$A$315,$A44,Banques!$C$5:$C$315,J$3,Banques!$D$5:$D$315,J$2)</f>
        <v/>
      </c>
      <c r="K44" s="19">
        <f>SUMIFS(Entreprises!$N$5:$N$639,Entreprises!$A$5:$A$639,$A44,Entreprises!$C$5:$C$639,K$3,Entreprises!$D$5:$D$639,K$2)+SUMIFS(Banques!$P$5:$P$315,Banques!$A$5:$A$315,$A44,Banques!$C$5:$C$315,K$3,Banques!$D$5:$D$315,K$2)</f>
        <v/>
      </c>
      <c r="L44" s="19">
        <f>SUMIFS(Entreprises!$N$5:$N$639,Entreprises!$A$5:$A$639,$A44,Entreprises!$C$5:$C$639,L$3,Entreprises!$D$5:$D$639,L$2)+SUMIFS(Banques!$P$5:$P$315,Banques!$A$5:$A$315,$A44,Banques!$C$5:$C$315,L$3,Banques!$D$5:$D$315,L$2)</f>
        <v/>
      </c>
      <c r="M44" s="19">
        <f>SUMIFS(Entreprises!$N$5:$N$639,Entreprises!$A$5:$A$639,$A44,Entreprises!$C$5:$C$639,M$3,Entreprises!$D$5:$D$639,M$2)+SUMIFS(Banques!$P$5:$P$315,Banques!$A$5:$A$315,$A44,Banques!$C$5:$C$315,M$3,Banques!$D$5:$D$315,M$2)</f>
        <v/>
      </c>
      <c r="N44" s="19">
        <f>SUMIFS(Entreprises!$N$5:$N$639,Entreprises!$A$5:$A$639,$A44,Entreprises!$C$5:$C$639,N$3,Entreprises!$D$5:$D$639,N$2)+SUMIFS(Banques!$P$5:$P$315,Banques!$A$5:$A$315,$A44,Banques!$C$5:$C$315,N$3,Banques!$D$5:$D$315,N$2)</f>
        <v/>
      </c>
      <c r="O44" s="19">
        <f>SUMIFS(Entreprises!$N$5:$N$639,Entreprises!$A$5:$A$639,$A44,Entreprises!$C$5:$C$639,O$3,Entreprises!$D$5:$D$639,O$2)+SUMIFS(Banques!$P$5:$P$315,Banques!$A$5:$A$315,$A44,Banques!$C$5:$C$315,O$3,Banques!$D$5:$D$315,O$2)</f>
        <v/>
      </c>
      <c r="P44" s="19">
        <f>SUMIFS(Entreprises!$N$5:$N$639,Entreprises!$A$5:$A$639,$A44,Entreprises!$C$5:$C$639,P$3,Entreprises!$D$5:$D$639,P$2)+SUMIFS(Banques!$P$5:$P$315,Banques!$A$5:$A$315,$A44,Banques!$C$5:$C$315,P$3,Banques!$D$5:$D$315,P$2)</f>
        <v/>
      </c>
      <c r="Q44" s="19">
        <f>SUMIFS(Entreprises!$N$5:$N$639,Entreprises!$A$5:$A$639,$A44,Entreprises!$C$5:$C$639,Q$3,Entreprises!$D$5:$D$639,Q$2)+SUMIFS(Banques!$P$5:$P$315,Banques!$A$5:$A$315,$A44,Banques!$C$5:$C$315,Q$3,Banques!$D$5:$D$315,Q$2)</f>
        <v/>
      </c>
      <c r="R44" s="19">
        <f>SUMIFS(Entreprises!$N$5:$N$639,Entreprises!$A$5:$A$639,$A44,Entreprises!$C$5:$C$639,R$3,Entreprises!$D$5:$D$639,R$2)+SUMIFS(Banques!$P$5:$P$315,Banques!$A$5:$A$315,$A44,Banques!$C$5:$C$315,R$3,Banques!$D$5:$D$315,R$2)</f>
        <v/>
      </c>
      <c r="S44" s="19">
        <f>SUMIFS(Entreprises!$N$5:$N$639,Entreprises!$A$5:$A$639,$A44,Entreprises!$C$5:$C$639,S$3,Entreprises!$D$5:$D$639,S$2)+SUMIFS(Banques!$P$5:$P$315,Banques!$A$5:$A$315,$A44,Banques!$C$5:$C$315,S$3,Banques!$D$5:$D$315,S$2)</f>
        <v/>
      </c>
      <c r="T44" s="19">
        <f>SUMIFS(Entreprises!$N$5:$N$639,Entreprises!$A$5:$A$639,$A44,Entreprises!$C$5:$C$639,T$3,Entreprises!$D$5:$D$639,T$2)+SUMIFS(Banques!$P$5:$P$315,Banques!$A$5:$A$315,$A44,Banques!$C$5:$C$315,T$3,Banques!$D$5:$D$315,T$2)</f>
        <v/>
      </c>
      <c r="U44" s="19">
        <f>SUMIFS(Entreprises!$N$5:$N$639,Entreprises!$A$5:$A$639,$A44,Entreprises!$C$5:$C$639,U$3,Entreprises!$D$5:$D$639,U$2)+SUMIFS(Banques!$P$5:$P$315,Banques!$A$5:$A$315,$A44,Banques!$C$5:$C$315,U$3,Banques!$D$5:$D$315,U$2)</f>
        <v/>
      </c>
    </row>
    <row r="45">
      <c r="A45" s="18" t="inlineStr">
        <is>
          <t>BOAN</t>
        </is>
      </c>
      <c r="B45" s="18">
        <f>IFERROR(VLOOKUP(A45,Titres!$A$2:$D$400,2,FALSE),"")</f>
        <v/>
      </c>
      <c r="C45" s="18">
        <f>IFERROR(VLOOKUP(A45,Titres!$A$2:$D$400,4,FALSE),"")</f>
        <v/>
      </c>
      <c r="D45" s="19">
        <f>SUMIFS(Entreprises!$N$5:$N$639,Entreprises!$A$5:$A$639,$A45,Entreprises!$C$5:$C$639,D$3,Entreprises!$D$5:$D$639,D$2)+SUMIFS(Banques!$P$5:$P$315,Banques!$A$5:$A$315,$A45,Banques!$C$5:$C$315,D$3,Banques!$D$5:$D$315,D$2)</f>
        <v/>
      </c>
      <c r="E45" s="19">
        <f>SUMIFS(Entreprises!$N$5:$N$639,Entreprises!$A$5:$A$639,$A45,Entreprises!$C$5:$C$639,E$3,Entreprises!$D$5:$D$639,E$2)+SUMIFS(Banques!$P$5:$P$315,Banques!$A$5:$A$315,$A45,Banques!$C$5:$C$315,E$3,Banques!$D$5:$D$315,E$2)</f>
        <v/>
      </c>
      <c r="F45" s="19">
        <f>SUMIFS(Entreprises!$N$5:$N$639,Entreprises!$A$5:$A$639,$A45,Entreprises!$C$5:$C$639,F$3,Entreprises!$D$5:$D$639,F$2)+SUMIFS(Banques!$P$5:$P$315,Banques!$A$5:$A$315,$A45,Banques!$C$5:$C$315,F$3,Banques!$D$5:$D$315,F$2)</f>
        <v/>
      </c>
      <c r="G45" s="19">
        <f>SUMIFS(Entreprises!$N$5:$N$639,Entreprises!$A$5:$A$639,$A45,Entreprises!$C$5:$C$639,G$3,Entreprises!$D$5:$D$639,G$2)+SUMIFS(Banques!$P$5:$P$315,Banques!$A$5:$A$315,$A45,Banques!$C$5:$C$315,G$3,Banques!$D$5:$D$315,G$2)</f>
        <v/>
      </c>
      <c r="H45" s="19">
        <f>SUMIFS(Entreprises!$N$5:$N$639,Entreprises!$A$5:$A$639,$A45,Entreprises!$C$5:$C$639,H$3,Entreprises!$D$5:$D$639,H$2)+SUMIFS(Banques!$P$5:$P$315,Banques!$A$5:$A$315,$A45,Banques!$C$5:$C$315,H$3,Banques!$D$5:$D$315,H$2)</f>
        <v/>
      </c>
      <c r="I45" s="19">
        <f>SUMIFS(Entreprises!$N$5:$N$639,Entreprises!$A$5:$A$639,$A45,Entreprises!$C$5:$C$639,I$3,Entreprises!$D$5:$D$639,I$2)+SUMIFS(Banques!$P$5:$P$315,Banques!$A$5:$A$315,$A45,Banques!$C$5:$C$315,I$3,Banques!$D$5:$D$315,I$2)</f>
        <v/>
      </c>
      <c r="J45" s="19">
        <f>SUMIFS(Entreprises!$N$5:$N$639,Entreprises!$A$5:$A$639,$A45,Entreprises!$C$5:$C$639,J$3,Entreprises!$D$5:$D$639,J$2)+SUMIFS(Banques!$P$5:$P$315,Banques!$A$5:$A$315,$A45,Banques!$C$5:$C$315,J$3,Banques!$D$5:$D$315,J$2)</f>
        <v/>
      </c>
      <c r="K45" s="19">
        <f>SUMIFS(Entreprises!$N$5:$N$639,Entreprises!$A$5:$A$639,$A45,Entreprises!$C$5:$C$639,K$3,Entreprises!$D$5:$D$639,K$2)+SUMIFS(Banques!$P$5:$P$315,Banques!$A$5:$A$315,$A45,Banques!$C$5:$C$315,K$3,Banques!$D$5:$D$315,K$2)</f>
        <v/>
      </c>
      <c r="L45" s="19">
        <f>SUMIFS(Entreprises!$N$5:$N$639,Entreprises!$A$5:$A$639,$A45,Entreprises!$C$5:$C$639,L$3,Entreprises!$D$5:$D$639,L$2)+SUMIFS(Banques!$P$5:$P$315,Banques!$A$5:$A$315,$A45,Banques!$C$5:$C$315,L$3,Banques!$D$5:$D$315,L$2)</f>
        <v/>
      </c>
      <c r="M45" s="19">
        <f>SUMIFS(Entreprises!$N$5:$N$639,Entreprises!$A$5:$A$639,$A45,Entreprises!$C$5:$C$639,M$3,Entreprises!$D$5:$D$639,M$2)+SUMIFS(Banques!$P$5:$P$315,Banques!$A$5:$A$315,$A45,Banques!$C$5:$C$315,M$3,Banques!$D$5:$D$315,M$2)</f>
        <v/>
      </c>
      <c r="N45" s="19">
        <f>SUMIFS(Entreprises!$N$5:$N$639,Entreprises!$A$5:$A$639,$A45,Entreprises!$C$5:$C$639,N$3,Entreprises!$D$5:$D$639,N$2)+SUMIFS(Banques!$P$5:$P$315,Banques!$A$5:$A$315,$A45,Banques!$C$5:$C$315,N$3,Banques!$D$5:$D$315,N$2)</f>
        <v/>
      </c>
      <c r="O45" s="19">
        <f>SUMIFS(Entreprises!$N$5:$N$639,Entreprises!$A$5:$A$639,$A45,Entreprises!$C$5:$C$639,O$3,Entreprises!$D$5:$D$639,O$2)+SUMIFS(Banques!$P$5:$P$315,Banques!$A$5:$A$315,$A45,Banques!$C$5:$C$315,O$3,Banques!$D$5:$D$315,O$2)</f>
        <v/>
      </c>
      <c r="P45" s="19">
        <f>SUMIFS(Entreprises!$N$5:$N$639,Entreprises!$A$5:$A$639,$A45,Entreprises!$C$5:$C$639,P$3,Entreprises!$D$5:$D$639,P$2)+SUMIFS(Banques!$P$5:$P$315,Banques!$A$5:$A$315,$A45,Banques!$C$5:$C$315,P$3,Banques!$D$5:$D$315,P$2)</f>
        <v/>
      </c>
      <c r="Q45" s="19">
        <f>SUMIFS(Entreprises!$N$5:$N$639,Entreprises!$A$5:$A$639,$A45,Entreprises!$C$5:$C$639,Q$3,Entreprises!$D$5:$D$639,Q$2)+SUMIFS(Banques!$P$5:$P$315,Banques!$A$5:$A$315,$A45,Banques!$C$5:$C$315,Q$3,Banques!$D$5:$D$315,Q$2)</f>
        <v/>
      </c>
      <c r="R45" s="19">
        <f>SUMIFS(Entreprises!$N$5:$N$639,Entreprises!$A$5:$A$639,$A45,Entreprises!$C$5:$C$639,R$3,Entreprises!$D$5:$D$639,R$2)+SUMIFS(Banques!$P$5:$P$315,Banques!$A$5:$A$315,$A45,Banques!$C$5:$C$315,R$3,Banques!$D$5:$D$315,R$2)</f>
        <v/>
      </c>
      <c r="S45" s="19">
        <f>SUMIFS(Entreprises!$N$5:$N$639,Entreprises!$A$5:$A$639,$A45,Entreprises!$C$5:$C$639,S$3,Entreprises!$D$5:$D$639,S$2)+SUMIFS(Banques!$P$5:$P$315,Banques!$A$5:$A$315,$A45,Banques!$C$5:$C$315,S$3,Banques!$D$5:$D$315,S$2)</f>
        <v/>
      </c>
      <c r="T45" s="19">
        <f>SUMIFS(Entreprises!$N$5:$N$639,Entreprises!$A$5:$A$639,$A45,Entreprises!$C$5:$C$639,T$3,Entreprises!$D$5:$D$639,T$2)+SUMIFS(Banques!$P$5:$P$315,Banques!$A$5:$A$315,$A45,Banques!$C$5:$C$315,T$3,Banques!$D$5:$D$315,T$2)</f>
        <v/>
      </c>
      <c r="U45" s="19">
        <f>SUMIFS(Entreprises!$N$5:$N$639,Entreprises!$A$5:$A$639,$A45,Entreprises!$C$5:$C$639,U$3,Entreprises!$D$5:$D$639,U$2)+SUMIFS(Banques!$P$5:$P$315,Banques!$A$5:$A$315,$A45,Banques!$C$5:$C$315,U$3,Banques!$D$5:$D$315,U$2)</f>
        <v/>
      </c>
    </row>
    <row r="46">
      <c r="A46" s="18" t="inlineStr">
        <is>
          <t>BOAS</t>
        </is>
      </c>
      <c r="B46" s="18">
        <f>IFERROR(VLOOKUP(A46,Titres!$A$2:$D$400,2,FALSE),"")</f>
        <v/>
      </c>
      <c r="C46" s="18">
        <f>IFERROR(VLOOKUP(A46,Titres!$A$2:$D$400,4,FALSE),"")</f>
        <v/>
      </c>
      <c r="D46" s="19">
        <f>SUMIFS(Entreprises!$N$5:$N$639,Entreprises!$A$5:$A$639,$A46,Entreprises!$C$5:$C$639,D$3,Entreprises!$D$5:$D$639,D$2)+SUMIFS(Banques!$P$5:$P$315,Banques!$A$5:$A$315,$A46,Banques!$C$5:$C$315,D$3,Banques!$D$5:$D$315,D$2)</f>
        <v/>
      </c>
      <c r="E46" s="19">
        <f>SUMIFS(Entreprises!$N$5:$N$639,Entreprises!$A$5:$A$639,$A46,Entreprises!$C$5:$C$639,E$3,Entreprises!$D$5:$D$639,E$2)+SUMIFS(Banques!$P$5:$P$315,Banques!$A$5:$A$315,$A46,Banques!$C$5:$C$315,E$3,Banques!$D$5:$D$315,E$2)</f>
        <v/>
      </c>
      <c r="F46" s="19">
        <f>SUMIFS(Entreprises!$N$5:$N$639,Entreprises!$A$5:$A$639,$A46,Entreprises!$C$5:$C$639,F$3,Entreprises!$D$5:$D$639,F$2)+SUMIFS(Banques!$P$5:$P$315,Banques!$A$5:$A$315,$A46,Banques!$C$5:$C$315,F$3,Banques!$D$5:$D$315,F$2)</f>
        <v/>
      </c>
      <c r="G46" s="19">
        <f>SUMIFS(Entreprises!$N$5:$N$639,Entreprises!$A$5:$A$639,$A46,Entreprises!$C$5:$C$639,G$3,Entreprises!$D$5:$D$639,G$2)+SUMIFS(Banques!$P$5:$P$315,Banques!$A$5:$A$315,$A46,Banques!$C$5:$C$315,G$3,Banques!$D$5:$D$315,G$2)</f>
        <v/>
      </c>
      <c r="H46" s="19">
        <f>SUMIFS(Entreprises!$N$5:$N$639,Entreprises!$A$5:$A$639,$A46,Entreprises!$C$5:$C$639,H$3,Entreprises!$D$5:$D$639,H$2)+SUMIFS(Banques!$P$5:$P$315,Banques!$A$5:$A$315,$A46,Banques!$C$5:$C$315,H$3,Banques!$D$5:$D$315,H$2)</f>
        <v/>
      </c>
      <c r="I46" s="19">
        <f>SUMIFS(Entreprises!$N$5:$N$639,Entreprises!$A$5:$A$639,$A46,Entreprises!$C$5:$C$639,I$3,Entreprises!$D$5:$D$639,I$2)+SUMIFS(Banques!$P$5:$P$315,Banques!$A$5:$A$315,$A46,Banques!$C$5:$C$315,I$3,Banques!$D$5:$D$315,I$2)</f>
        <v/>
      </c>
      <c r="J46" s="19">
        <f>SUMIFS(Entreprises!$N$5:$N$639,Entreprises!$A$5:$A$639,$A46,Entreprises!$C$5:$C$639,J$3,Entreprises!$D$5:$D$639,J$2)+SUMIFS(Banques!$P$5:$P$315,Banques!$A$5:$A$315,$A46,Banques!$C$5:$C$315,J$3,Banques!$D$5:$D$315,J$2)</f>
        <v/>
      </c>
      <c r="K46" s="19">
        <f>SUMIFS(Entreprises!$N$5:$N$639,Entreprises!$A$5:$A$639,$A46,Entreprises!$C$5:$C$639,K$3,Entreprises!$D$5:$D$639,K$2)+SUMIFS(Banques!$P$5:$P$315,Banques!$A$5:$A$315,$A46,Banques!$C$5:$C$315,K$3,Banques!$D$5:$D$315,K$2)</f>
        <v/>
      </c>
      <c r="L46" s="19">
        <f>SUMIFS(Entreprises!$N$5:$N$639,Entreprises!$A$5:$A$639,$A46,Entreprises!$C$5:$C$639,L$3,Entreprises!$D$5:$D$639,L$2)+SUMIFS(Banques!$P$5:$P$315,Banques!$A$5:$A$315,$A46,Banques!$C$5:$C$315,L$3,Banques!$D$5:$D$315,L$2)</f>
        <v/>
      </c>
      <c r="M46" s="19">
        <f>SUMIFS(Entreprises!$N$5:$N$639,Entreprises!$A$5:$A$639,$A46,Entreprises!$C$5:$C$639,M$3,Entreprises!$D$5:$D$639,M$2)+SUMIFS(Banques!$P$5:$P$315,Banques!$A$5:$A$315,$A46,Banques!$C$5:$C$315,M$3,Banques!$D$5:$D$315,M$2)</f>
        <v/>
      </c>
      <c r="N46" s="19">
        <f>SUMIFS(Entreprises!$N$5:$N$639,Entreprises!$A$5:$A$639,$A46,Entreprises!$C$5:$C$639,N$3,Entreprises!$D$5:$D$639,N$2)+SUMIFS(Banques!$P$5:$P$315,Banques!$A$5:$A$315,$A46,Banques!$C$5:$C$315,N$3,Banques!$D$5:$D$315,N$2)</f>
        <v/>
      </c>
      <c r="O46" s="19">
        <f>SUMIFS(Entreprises!$N$5:$N$639,Entreprises!$A$5:$A$639,$A46,Entreprises!$C$5:$C$639,O$3,Entreprises!$D$5:$D$639,O$2)+SUMIFS(Banques!$P$5:$P$315,Banques!$A$5:$A$315,$A46,Banques!$C$5:$C$315,O$3,Banques!$D$5:$D$315,O$2)</f>
        <v/>
      </c>
      <c r="P46" s="19">
        <f>SUMIFS(Entreprises!$N$5:$N$639,Entreprises!$A$5:$A$639,$A46,Entreprises!$C$5:$C$639,P$3,Entreprises!$D$5:$D$639,P$2)+SUMIFS(Banques!$P$5:$P$315,Banques!$A$5:$A$315,$A46,Banques!$C$5:$C$315,P$3,Banques!$D$5:$D$315,P$2)</f>
        <v/>
      </c>
      <c r="Q46" s="19">
        <f>SUMIFS(Entreprises!$N$5:$N$639,Entreprises!$A$5:$A$639,$A46,Entreprises!$C$5:$C$639,Q$3,Entreprises!$D$5:$D$639,Q$2)+SUMIFS(Banques!$P$5:$P$315,Banques!$A$5:$A$315,$A46,Banques!$C$5:$C$315,Q$3,Banques!$D$5:$D$315,Q$2)</f>
        <v/>
      </c>
      <c r="R46" s="19">
        <f>SUMIFS(Entreprises!$N$5:$N$639,Entreprises!$A$5:$A$639,$A46,Entreprises!$C$5:$C$639,R$3,Entreprises!$D$5:$D$639,R$2)+SUMIFS(Banques!$P$5:$P$315,Banques!$A$5:$A$315,$A46,Banques!$C$5:$C$315,R$3,Banques!$D$5:$D$315,R$2)</f>
        <v/>
      </c>
      <c r="S46" s="19">
        <f>SUMIFS(Entreprises!$N$5:$N$639,Entreprises!$A$5:$A$639,$A46,Entreprises!$C$5:$C$639,S$3,Entreprises!$D$5:$D$639,S$2)+SUMIFS(Banques!$P$5:$P$315,Banques!$A$5:$A$315,$A46,Banques!$C$5:$C$315,S$3,Banques!$D$5:$D$315,S$2)</f>
        <v/>
      </c>
      <c r="T46" s="19">
        <f>SUMIFS(Entreprises!$N$5:$N$639,Entreprises!$A$5:$A$639,$A46,Entreprises!$C$5:$C$639,T$3,Entreprises!$D$5:$D$639,T$2)+SUMIFS(Banques!$P$5:$P$315,Banques!$A$5:$A$315,$A46,Banques!$C$5:$C$315,T$3,Banques!$D$5:$D$315,T$2)</f>
        <v/>
      </c>
      <c r="U46" s="19">
        <f>SUMIFS(Entreprises!$N$5:$N$639,Entreprises!$A$5:$A$639,$A46,Entreprises!$C$5:$C$639,U$3,Entreprises!$D$5:$D$639,U$2)+SUMIFS(Banques!$P$5:$P$315,Banques!$A$5:$A$315,$A46,Banques!$C$5:$C$315,U$3,Banques!$D$5:$D$315,U$2)</f>
        <v/>
      </c>
    </row>
    <row r="47">
      <c r="A47" s="18" t="inlineStr">
        <is>
          <t>CBIBF</t>
        </is>
      </c>
      <c r="B47" s="18">
        <f>IFERROR(VLOOKUP(A47,Titres!$A$2:$D$400,2,FALSE),"")</f>
        <v/>
      </c>
      <c r="C47" s="18">
        <f>IFERROR(VLOOKUP(A47,Titres!$A$2:$D$400,4,FALSE),"")</f>
        <v/>
      </c>
      <c r="D47" s="19">
        <f>SUMIFS(Entreprises!$N$5:$N$639,Entreprises!$A$5:$A$639,$A47,Entreprises!$C$5:$C$639,D$3,Entreprises!$D$5:$D$639,D$2)+SUMIFS(Banques!$P$5:$P$315,Banques!$A$5:$A$315,$A47,Banques!$C$5:$C$315,D$3,Banques!$D$5:$D$315,D$2)</f>
        <v/>
      </c>
      <c r="E47" s="19">
        <f>SUMIFS(Entreprises!$N$5:$N$639,Entreprises!$A$5:$A$639,$A47,Entreprises!$C$5:$C$639,E$3,Entreprises!$D$5:$D$639,E$2)+SUMIFS(Banques!$P$5:$P$315,Banques!$A$5:$A$315,$A47,Banques!$C$5:$C$315,E$3,Banques!$D$5:$D$315,E$2)</f>
        <v/>
      </c>
      <c r="F47" s="19">
        <f>SUMIFS(Entreprises!$N$5:$N$639,Entreprises!$A$5:$A$639,$A47,Entreprises!$C$5:$C$639,F$3,Entreprises!$D$5:$D$639,F$2)+SUMIFS(Banques!$P$5:$P$315,Banques!$A$5:$A$315,$A47,Banques!$C$5:$C$315,F$3,Banques!$D$5:$D$315,F$2)</f>
        <v/>
      </c>
      <c r="G47" s="19">
        <f>SUMIFS(Entreprises!$N$5:$N$639,Entreprises!$A$5:$A$639,$A47,Entreprises!$C$5:$C$639,G$3,Entreprises!$D$5:$D$639,G$2)+SUMIFS(Banques!$P$5:$P$315,Banques!$A$5:$A$315,$A47,Banques!$C$5:$C$315,G$3,Banques!$D$5:$D$315,G$2)</f>
        <v/>
      </c>
      <c r="H47" s="19">
        <f>SUMIFS(Entreprises!$N$5:$N$639,Entreprises!$A$5:$A$639,$A47,Entreprises!$C$5:$C$639,H$3,Entreprises!$D$5:$D$639,H$2)+SUMIFS(Banques!$P$5:$P$315,Banques!$A$5:$A$315,$A47,Banques!$C$5:$C$315,H$3,Banques!$D$5:$D$315,H$2)</f>
        <v/>
      </c>
      <c r="I47" s="19">
        <f>SUMIFS(Entreprises!$N$5:$N$639,Entreprises!$A$5:$A$639,$A47,Entreprises!$C$5:$C$639,I$3,Entreprises!$D$5:$D$639,I$2)+SUMIFS(Banques!$P$5:$P$315,Banques!$A$5:$A$315,$A47,Banques!$C$5:$C$315,I$3,Banques!$D$5:$D$315,I$2)</f>
        <v/>
      </c>
      <c r="J47" s="19">
        <f>SUMIFS(Entreprises!$N$5:$N$639,Entreprises!$A$5:$A$639,$A47,Entreprises!$C$5:$C$639,J$3,Entreprises!$D$5:$D$639,J$2)+SUMIFS(Banques!$P$5:$P$315,Banques!$A$5:$A$315,$A47,Banques!$C$5:$C$315,J$3,Banques!$D$5:$D$315,J$2)</f>
        <v/>
      </c>
      <c r="K47" s="19">
        <f>SUMIFS(Entreprises!$N$5:$N$639,Entreprises!$A$5:$A$639,$A47,Entreprises!$C$5:$C$639,K$3,Entreprises!$D$5:$D$639,K$2)+SUMIFS(Banques!$P$5:$P$315,Banques!$A$5:$A$315,$A47,Banques!$C$5:$C$315,K$3,Banques!$D$5:$D$315,K$2)</f>
        <v/>
      </c>
      <c r="L47" s="19">
        <f>SUMIFS(Entreprises!$N$5:$N$639,Entreprises!$A$5:$A$639,$A47,Entreprises!$C$5:$C$639,L$3,Entreprises!$D$5:$D$639,L$2)+SUMIFS(Banques!$P$5:$P$315,Banques!$A$5:$A$315,$A47,Banques!$C$5:$C$315,L$3,Banques!$D$5:$D$315,L$2)</f>
        <v/>
      </c>
      <c r="M47" s="19">
        <f>SUMIFS(Entreprises!$N$5:$N$639,Entreprises!$A$5:$A$639,$A47,Entreprises!$C$5:$C$639,M$3,Entreprises!$D$5:$D$639,M$2)+SUMIFS(Banques!$P$5:$P$315,Banques!$A$5:$A$315,$A47,Banques!$C$5:$C$315,M$3,Banques!$D$5:$D$315,M$2)</f>
        <v/>
      </c>
      <c r="N47" s="19">
        <f>SUMIFS(Entreprises!$N$5:$N$639,Entreprises!$A$5:$A$639,$A47,Entreprises!$C$5:$C$639,N$3,Entreprises!$D$5:$D$639,N$2)+SUMIFS(Banques!$P$5:$P$315,Banques!$A$5:$A$315,$A47,Banques!$C$5:$C$315,N$3,Banques!$D$5:$D$315,N$2)</f>
        <v/>
      </c>
      <c r="O47" s="19">
        <f>SUMIFS(Entreprises!$N$5:$N$639,Entreprises!$A$5:$A$639,$A47,Entreprises!$C$5:$C$639,O$3,Entreprises!$D$5:$D$639,O$2)+SUMIFS(Banques!$P$5:$P$315,Banques!$A$5:$A$315,$A47,Banques!$C$5:$C$315,O$3,Banques!$D$5:$D$315,O$2)</f>
        <v/>
      </c>
      <c r="P47" s="19">
        <f>SUMIFS(Entreprises!$N$5:$N$639,Entreprises!$A$5:$A$639,$A47,Entreprises!$C$5:$C$639,P$3,Entreprises!$D$5:$D$639,P$2)+SUMIFS(Banques!$P$5:$P$315,Banques!$A$5:$A$315,$A47,Banques!$C$5:$C$315,P$3,Banques!$D$5:$D$315,P$2)</f>
        <v/>
      </c>
      <c r="Q47" s="19">
        <f>SUMIFS(Entreprises!$N$5:$N$639,Entreprises!$A$5:$A$639,$A47,Entreprises!$C$5:$C$639,Q$3,Entreprises!$D$5:$D$639,Q$2)+SUMIFS(Banques!$P$5:$P$315,Banques!$A$5:$A$315,$A47,Banques!$C$5:$C$315,Q$3,Banques!$D$5:$D$315,Q$2)</f>
        <v/>
      </c>
      <c r="R47" s="19">
        <f>SUMIFS(Entreprises!$N$5:$N$639,Entreprises!$A$5:$A$639,$A47,Entreprises!$C$5:$C$639,R$3,Entreprises!$D$5:$D$639,R$2)+SUMIFS(Banques!$P$5:$P$315,Banques!$A$5:$A$315,$A47,Banques!$C$5:$C$315,R$3,Banques!$D$5:$D$315,R$2)</f>
        <v/>
      </c>
      <c r="S47" s="19">
        <f>SUMIFS(Entreprises!$N$5:$N$639,Entreprises!$A$5:$A$639,$A47,Entreprises!$C$5:$C$639,S$3,Entreprises!$D$5:$D$639,S$2)+SUMIFS(Banques!$P$5:$P$315,Banques!$A$5:$A$315,$A47,Banques!$C$5:$C$315,S$3,Banques!$D$5:$D$315,S$2)</f>
        <v/>
      </c>
      <c r="T47" s="19">
        <f>SUMIFS(Entreprises!$N$5:$N$639,Entreprises!$A$5:$A$639,$A47,Entreprises!$C$5:$C$639,T$3,Entreprises!$D$5:$D$639,T$2)+SUMIFS(Banques!$P$5:$P$315,Banques!$A$5:$A$315,$A47,Banques!$C$5:$C$315,T$3,Banques!$D$5:$D$315,T$2)</f>
        <v/>
      </c>
      <c r="U47" s="19">
        <f>SUMIFS(Entreprises!$N$5:$N$639,Entreprises!$A$5:$A$639,$A47,Entreprises!$C$5:$C$639,U$3,Entreprises!$D$5:$D$639,U$2)+SUMIFS(Banques!$P$5:$P$315,Banques!$A$5:$A$315,$A47,Banques!$C$5:$C$315,U$3,Banques!$D$5:$D$315,U$2)</f>
        <v/>
      </c>
    </row>
    <row r="48">
      <c r="A48" s="18" t="inlineStr">
        <is>
          <t>ECOC</t>
        </is>
      </c>
      <c r="B48" s="18">
        <f>IFERROR(VLOOKUP(A48,Titres!$A$2:$D$400,2,FALSE),"")</f>
        <v/>
      </c>
      <c r="C48" s="18">
        <f>IFERROR(VLOOKUP(A48,Titres!$A$2:$D$400,4,FALSE),"")</f>
        <v/>
      </c>
      <c r="D48" s="19">
        <f>SUMIFS(Entreprises!$N$5:$N$639,Entreprises!$A$5:$A$639,$A48,Entreprises!$C$5:$C$639,D$3,Entreprises!$D$5:$D$639,D$2)+SUMIFS(Banques!$P$5:$P$315,Banques!$A$5:$A$315,$A48,Banques!$C$5:$C$315,D$3,Banques!$D$5:$D$315,D$2)</f>
        <v/>
      </c>
      <c r="E48" s="19">
        <f>SUMIFS(Entreprises!$N$5:$N$639,Entreprises!$A$5:$A$639,$A48,Entreprises!$C$5:$C$639,E$3,Entreprises!$D$5:$D$639,E$2)+SUMIFS(Banques!$P$5:$P$315,Banques!$A$5:$A$315,$A48,Banques!$C$5:$C$315,E$3,Banques!$D$5:$D$315,E$2)</f>
        <v/>
      </c>
      <c r="F48" s="19">
        <f>SUMIFS(Entreprises!$N$5:$N$639,Entreprises!$A$5:$A$639,$A48,Entreprises!$C$5:$C$639,F$3,Entreprises!$D$5:$D$639,F$2)+SUMIFS(Banques!$P$5:$P$315,Banques!$A$5:$A$315,$A48,Banques!$C$5:$C$315,F$3,Banques!$D$5:$D$315,F$2)</f>
        <v/>
      </c>
      <c r="G48" s="19">
        <f>SUMIFS(Entreprises!$N$5:$N$639,Entreprises!$A$5:$A$639,$A48,Entreprises!$C$5:$C$639,G$3,Entreprises!$D$5:$D$639,G$2)+SUMIFS(Banques!$P$5:$P$315,Banques!$A$5:$A$315,$A48,Banques!$C$5:$C$315,G$3,Banques!$D$5:$D$315,G$2)</f>
        <v/>
      </c>
      <c r="H48" s="19">
        <f>SUMIFS(Entreprises!$N$5:$N$639,Entreprises!$A$5:$A$639,$A48,Entreprises!$C$5:$C$639,H$3,Entreprises!$D$5:$D$639,H$2)+SUMIFS(Banques!$P$5:$P$315,Banques!$A$5:$A$315,$A48,Banques!$C$5:$C$315,H$3,Banques!$D$5:$D$315,H$2)</f>
        <v/>
      </c>
      <c r="I48" s="19">
        <f>SUMIFS(Entreprises!$N$5:$N$639,Entreprises!$A$5:$A$639,$A48,Entreprises!$C$5:$C$639,I$3,Entreprises!$D$5:$D$639,I$2)+SUMIFS(Banques!$P$5:$P$315,Banques!$A$5:$A$315,$A48,Banques!$C$5:$C$315,I$3,Banques!$D$5:$D$315,I$2)</f>
        <v/>
      </c>
      <c r="J48" s="19">
        <f>SUMIFS(Entreprises!$N$5:$N$639,Entreprises!$A$5:$A$639,$A48,Entreprises!$C$5:$C$639,J$3,Entreprises!$D$5:$D$639,J$2)+SUMIFS(Banques!$P$5:$P$315,Banques!$A$5:$A$315,$A48,Banques!$C$5:$C$315,J$3,Banques!$D$5:$D$315,J$2)</f>
        <v/>
      </c>
      <c r="K48" s="19">
        <f>SUMIFS(Entreprises!$N$5:$N$639,Entreprises!$A$5:$A$639,$A48,Entreprises!$C$5:$C$639,K$3,Entreprises!$D$5:$D$639,K$2)+SUMIFS(Banques!$P$5:$P$315,Banques!$A$5:$A$315,$A48,Banques!$C$5:$C$315,K$3,Banques!$D$5:$D$315,K$2)</f>
        <v/>
      </c>
      <c r="L48" s="19">
        <f>SUMIFS(Entreprises!$N$5:$N$639,Entreprises!$A$5:$A$639,$A48,Entreprises!$C$5:$C$639,L$3,Entreprises!$D$5:$D$639,L$2)+SUMIFS(Banques!$P$5:$P$315,Banques!$A$5:$A$315,$A48,Banques!$C$5:$C$315,L$3,Banques!$D$5:$D$315,L$2)</f>
        <v/>
      </c>
      <c r="M48" s="19">
        <f>SUMIFS(Entreprises!$N$5:$N$639,Entreprises!$A$5:$A$639,$A48,Entreprises!$C$5:$C$639,M$3,Entreprises!$D$5:$D$639,M$2)+SUMIFS(Banques!$P$5:$P$315,Banques!$A$5:$A$315,$A48,Banques!$C$5:$C$315,M$3,Banques!$D$5:$D$315,M$2)</f>
        <v/>
      </c>
      <c r="N48" s="19">
        <f>SUMIFS(Entreprises!$N$5:$N$639,Entreprises!$A$5:$A$639,$A48,Entreprises!$C$5:$C$639,N$3,Entreprises!$D$5:$D$639,N$2)+SUMIFS(Banques!$P$5:$P$315,Banques!$A$5:$A$315,$A48,Banques!$C$5:$C$315,N$3,Banques!$D$5:$D$315,N$2)</f>
        <v/>
      </c>
      <c r="O48" s="19">
        <f>SUMIFS(Entreprises!$N$5:$N$639,Entreprises!$A$5:$A$639,$A48,Entreprises!$C$5:$C$639,O$3,Entreprises!$D$5:$D$639,O$2)+SUMIFS(Banques!$P$5:$P$315,Banques!$A$5:$A$315,$A48,Banques!$C$5:$C$315,O$3,Banques!$D$5:$D$315,O$2)</f>
        <v/>
      </c>
      <c r="P48" s="19">
        <f>SUMIFS(Entreprises!$N$5:$N$639,Entreprises!$A$5:$A$639,$A48,Entreprises!$C$5:$C$639,P$3,Entreprises!$D$5:$D$639,P$2)+SUMIFS(Banques!$P$5:$P$315,Banques!$A$5:$A$315,$A48,Banques!$C$5:$C$315,P$3,Banques!$D$5:$D$315,P$2)</f>
        <v/>
      </c>
      <c r="Q48" s="19">
        <f>SUMIFS(Entreprises!$N$5:$N$639,Entreprises!$A$5:$A$639,$A48,Entreprises!$C$5:$C$639,Q$3,Entreprises!$D$5:$D$639,Q$2)+SUMIFS(Banques!$P$5:$P$315,Banques!$A$5:$A$315,$A48,Banques!$C$5:$C$315,Q$3,Banques!$D$5:$D$315,Q$2)</f>
        <v/>
      </c>
      <c r="R48" s="19">
        <f>SUMIFS(Entreprises!$N$5:$N$639,Entreprises!$A$5:$A$639,$A48,Entreprises!$C$5:$C$639,R$3,Entreprises!$D$5:$D$639,R$2)+SUMIFS(Banques!$P$5:$P$315,Banques!$A$5:$A$315,$A48,Banques!$C$5:$C$315,R$3,Banques!$D$5:$D$315,R$2)</f>
        <v/>
      </c>
      <c r="S48" s="19">
        <f>SUMIFS(Entreprises!$N$5:$N$639,Entreprises!$A$5:$A$639,$A48,Entreprises!$C$5:$C$639,S$3,Entreprises!$D$5:$D$639,S$2)+SUMIFS(Banques!$P$5:$P$315,Banques!$A$5:$A$315,$A48,Banques!$C$5:$C$315,S$3,Banques!$D$5:$D$315,S$2)</f>
        <v/>
      </c>
      <c r="T48" s="19">
        <f>SUMIFS(Entreprises!$N$5:$N$639,Entreprises!$A$5:$A$639,$A48,Entreprises!$C$5:$C$639,T$3,Entreprises!$D$5:$D$639,T$2)+SUMIFS(Banques!$P$5:$P$315,Banques!$A$5:$A$315,$A48,Banques!$C$5:$C$315,T$3,Banques!$D$5:$D$315,T$2)</f>
        <v/>
      </c>
      <c r="U48" s="19">
        <f>SUMIFS(Entreprises!$N$5:$N$639,Entreprises!$A$5:$A$639,$A48,Entreprises!$C$5:$C$639,U$3,Entreprises!$D$5:$D$639,U$2)+SUMIFS(Banques!$P$5:$P$315,Banques!$A$5:$A$315,$A48,Banques!$C$5:$C$315,U$3,Banques!$D$5:$D$315,U$2)</f>
        <v/>
      </c>
    </row>
    <row r="49">
      <c r="A49" s="18" t="inlineStr">
        <is>
          <t>NSBC</t>
        </is>
      </c>
      <c r="B49" s="18">
        <f>IFERROR(VLOOKUP(A49,Titres!$A$2:$D$400,2,FALSE),"")</f>
        <v/>
      </c>
      <c r="C49" s="18">
        <f>IFERROR(VLOOKUP(A49,Titres!$A$2:$D$400,4,FALSE),"")</f>
        <v/>
      </c>
      <c r="D49" s="19">
        <f>SUMIFS(Entreprises!$N$5:$N$639,Entreprises!$A$5:$A$639,$A49,Entreprises!$C$5:$C$639,D$3,Entreprises!$D$5:$D$639,D$2)+SUMIFS(Banques!$P$5:$P$315,Banques!$A$5:$A$315,$A49,Banques!$C$5:$C$315,D$3,Banques!$D$5:$D$315,D$2)</f>
        <v/>
      </c>
      <c r="E49" s="19">
        <f>SUMIFS(Entreprises!$N$5:$N$639,Entreprises!$A$5:$A$639,$A49,Entreprises!$C$5:$C$639,E$3,Entreprises!$D$5:$D$639,E$2)+SUMIFS(Banques!$P$5:$P$315,Banques!$A$5:$A$315,$A49,Banques!$C$5:$C$315,E$3,Banques!$D$5:$D$315,E$2)</f>
        <v/>
      </c>
      <c r="F49" s="19">
        <f>SUMIFS(Entreprises!$N$5:$N$639,Entreprises!$A$5:$A$639,$A49,Entreprises!$C$5:$C$639,F$3,Entreprises!$D$5:$D$639,F$2)+SUMIFS(Banques!$P$5:$P$315,Banques!$A$5:$A$315,$A49,Banques!$C$5:$C$315,F$3,Banques!$D$5:$D$315,F$2)</f>
        <v/>
      </c>
      <c r="G49" s="19">
        <f>SUMIFS(Entreprises!$N$5:$N$639,Entreprises!$A$5:$A$639,$A49,Entreprises!$C$5:$C$639,G$3,Entreprises!$D$5:$D$639,G$2)+SUMIFS(Banques!$P$5:$P$315,Banques!$A$5:$A$315,$A49,Banques!$C$5:$C$315,G$3,Banques!$D$5:$D$315,G$2)</f>
        <v/>
      </c>
      <c r="H49" s="19">
        <f>SUMIFS(Entreprises!$N$5:$N$639,Entreprises!$A$5:$A$639,$A49,Entreprises!$C$5:$C$639,H$3,Entreprises!$D$5:$D$639,H$2)+SUMIFS(Banques!$P$5:$P$315,Banques!$A$5:$A$315,$A49,Banques!$C$5:$C$315,H$3,Banques!$D$5:$D$315,H$2)</f>
        <v/>
      </c>
      <c r="I49" s="19">
        <f>SUMIFS(Entreprises!$N$5:$N$639,Entreprises!$A$5:$A$639,$A49,Entreprises!$C$5:$C$639,I$3,Entreprises!$D$5:$D$639,I$2)+SUMIFS(Banques!$P$5:$P$315,Banques!$A$5:$A$315,$A49,Banques!$C$5:$C$315,I$3,Banques!$D$5:$D$315,I$2)</f>
        <v/>
      </c>
      <c r="J49" s="19">
        <f>SUMIFS(Entreprises!$N$5:$N$639,Entreprises!$A$5:$A$639,$A49,Entreprises!$C$5:$C$639,J$3,Entreprises!$D$5:$D$639,J$2)+SUMIFS(Banques!$P$5:$P$315,Banques!$A$5:$A$315,$A49,Banques!$C$5:$C$315,J$3,Banques!$D$5:$D$315,J$2)</f>
        <v/>
      </c>
      <c r="K49" s="19">
        <f>SUMIFS(Entreprises!$N$5:$N$639,Entreprises!$A$5:$A$639,$A49,Entreprises!$C$5:$C$639,K$3,Entreprises!$D$5:$D$639,K$2)+SUMIFS(Banques!$P$5:$P$315,Banques!$A$5:$A$315,$A49,Banques!$C$5:$C$315,K$3,Banques!$D$5:$D$315,K$2)</f>
        <v/>
      </c>
      <c r="L49" s="19">
        <f>SUMIFS(Entreprises!$N$5:$N$639,Entreprises!$A$5:$A$639,$A49,Entreprises!$C$5:$C$639,L$3,Entreprises!$D$5:$D$639,L$2)+SUMIFS(Banques!$P$5:$P$315,Banques!$A$5:$A$315,$A49,Banques!$C$5:$C$315,L$3,Banques!$D$5:$D$315,L$2)</f>
        <v/>
      </c>
      <c r="M49" s="19">
        <f>SUMIFS(Entreprises!$N$5:$N$639,Entreprises!$A$5:$A$639,$A49,Entreprises!$C$5:$C$639,M$3,Entreprises!$D$5:$D$639,M$2)+SUMIFS(Banques!$P$5:$P$315,Banques!$A$5:$A$315,$A49,Banques!$C$5:$C$315,M$3,Banques!$D$5:$D$315,M$2)</f>
        <v/>
      </c>
      <c r="N49" s="19">
        <f>SUMIFS(Entreprises!$N$5:$N$639,Entreprises!$A$5:$A$639,$A49,Entreprises!$C$5:$C$639,N$3,Entreprises!$D$5:$D$639,N$2)+SUMIFS(Banques!$P$5:$P$315,Banques!$A$5:$A$315,$A49,Banques!$C$5:$C$315,N$3,Banques!$D$5:$D$315,N$2)</f>
        <v/>
      </c>
      <c r="O49" s="19">
        <f>SUMIFS(Entreprises!$N$5:$N$639,Entreprises!$A$5:$A$639,$A49,Entreprises!$C$5:$C$639,O$3,Entreprises!$D$5:$D$639,O$2)+SUMIFS(Banques!$P$5:$P$315,Banques!$A$5:$A$315,$A49,Banques!$C$5:$C$315,O$3,Banques!$D$5:$D$315,O$2)</f>
        <v/>
      </c>
      <c r="P49" s="19">
        <f>SUMIFS(Entreprises!$N$5:$N$639,Entreprises!$A$5:$A$639,$A49,Entreprises!$C$5:$C$639,P$3,Entreprises!$D$5:$D$639,P$2)+SUMIFS(Banques!$P$5:$P$315,Banques!$A$5:$A$315,$A49,Banques!$C$5:$C$315,P$3,Banques!$D$5:$D$315,P$2)</f>
        <v/>
      </c>
      <c r="Q49" s="19">
        <f>SUMIFS(Entreprises!$N$5:$N$639,Entreprises!$A$5:$A$639,$A49,Entreprises!$C$5:$C$639,Q$3,Entreprises!$D$5:$D$639,Q$2)+SUMIFS(Banques!$P$5:$P$315,Banques!$A$5:$A$315,$A49,Banques!$C$5:$C$315,Q$3,Banques!$D$5:$D$315,Q$2)</f>
        <v/>
      </c>
      <c r="R49" s="19">
        <f>SUMIFS(Entreprises!$N$5:$N$639,Entreprises!$A$5:$A$639,$A49,Entreprises!$C$5:$C$639,R$3,Entreprises!$D$5:$D$639,R$2)+SUMIFS(Banques!$P$5:$P$315,Banques!$A$5:$A$315,$A49,Banques!$C$5:$C$315,R$3,Banques!$D$5:$D$315,R$2)</f>
        <v/>
      </c>
      <c r="S49" s="19">
        <f>SUMIFS(Entreprises!$N$5:$N$639,Entreprises!$A$5:$A$639,$A49,Entreprises!$C$5:$C$639,S$3,Entreprises!$D$5:$D$639,S$2)+SUMIFS(Banques!$P$5:$P$315,Banques!$A$5:$A$315,$A49,Banques!$C$5:$C$315,S$3,Banques!$D$5:$D$315,S$2)</f>
        <v/>
      </c>
      <c r="T49" s="19">
        <f>SUMIFS(Entreprises!$N$5:$N$639,Entreprises!$A$5:$A$639,$A49,Entreprises!$C$5:$C$639,T$3,Entreprises!$D$5:$D$639,T$2)+SUMIFS(Banques!$P$5:$P$315,Banques!$A$5:$A$315,$A49,Banques!$C$5:$C$315,T$3,Banques!$D$5:$D$315,T$2)</f>
        <v/>
      </c>
      <c r="U49" s="19">
        <f>SUMIFS(Entreprises!$N$5:$N$639,Entreprises!$A$5:$A$639,$A49,Entreprises!$C$5:$C$639,U$3,Entreprises!$D$5:$D$639,U$2)+SUMIFS(Banques!$P$5:$P$315,Banques!$A$5:$A$315,$A49,Banques!$C$5:$C$315,U$3,Banques!$D$5:$D$315,U$2)</f>
        <v/>
      </c>
    </row>
    <row r="50">
      <c r="A50" s="18" t="inlineStr">
        <is>
          <t>SAFC</t>
        </is>
      </c>
      <c r="B50" s="18">
        <f>IFERROR(VLOOKUP(A50,Titres!$A$2:$D$400,2,FALSE),"")</f>
        <v/>
      </c>
      <c r="C50" s="18">
        <f>IFERROR(VLOOKUP(A50,Titres!$A$2:$D$400,4,FALSE),"")</f>
        <v/>
      </c>
      <c r="D50" s="19">
        <f>SUMIFS(Entreprises!$N$5:$N$639,Entreprises!$A$5:$A$639,$A50,Entreprises!$C$5:$C$639,D$3,Entreprises!$D$5:$D$639,D$2)+SUMIFS(Banques!$P$5:$P$315,Banques!$A$5:$A$315,$A50,Banques!$C$5:$C$315,D$3,Banques!$D$5:$D$315,D$2)</f>
        <v/>
      </c>
      <c r="E50" s="19">
        <f>SUMIFS(Entreprises!$N$5:$N$639,Entreprises!$A$5:$A$639,$A50,Entreprises!$C$5:$C$639,E$3,Entreprises!$D$5:$D$639,E$2)+SUMIFS(Banques!$P$5:$P$315,Banques!$A$5:$A$315,$A50,Banques!$C$5:$C$315,E$3,Banques!$D$5:$D$315,E$2)</f>
        <v/>
      </c>
      <c r="F50" s="19">
        <f>SUMIFS(Entreprises!$N$5:$N$639,Entreprises!$A$5:$A$639,$A50,Entreprises!$C$5:$C$639,F$3,Entreprises!$D$5:$D$639,F$2)+SUMIFS(Banques!$P$5:$P$315,Banques!$A$5:$A$315,$A50,Banques!$C$5:$C$315,F$3,Banques!$D$5:$D$315,F$2)</f>
        <v/>
      </c>
      <c r="G50" s="19">
        <f>SUMIFS(Entreprises!$N$5:$N$639,Entreprises!$A$5:$A$639,$A50,Entreprises!$C$5:$C$639,G$3,Entreprises!$D$5:$D$639,G$2)+SUMIFS(Banques!$P$5:$P$315,Banques!$A$5:$A$315,$A50,Banques!$C$5:$C$315,G$3,Banques!$D$5:$D$315,G$2)</f>
        <v/>
      </c>
      <c r="H50" s="19">
        <f>SUMIFS(Entreprises!$N$5:$N$639,Entreprises!$A$5:$A$639,$A50,Entreprises!$C$5:$C$639,H$3,Entreprises!$D$5:$D$639,H$2)+SUMIFS(Banques!$P$5:$P$315,Banques!$A$5:$A$315,$A50,Banques!$C$5:$C$315,H$3,Banques!$D$5:$D$315,H$2)</f>
        <v/>
      </c>
      <c r="I50" s="19">
        <f>SUMIFS(Entreprises!$N$5:$N$639,Entreprises!$A$5:$A$639,$A50,Entreprises!$C$5:$C$639,I$3,Entreprises!$D$5:$D$639,I$2)+SUMIFS(Banques!$P$5:$P$315,Banques!$A$5:$A$315,$A50,Banques!$C$5:$C$315,I$3,Banques!$D$5:$D$315,I$2)</f>
        <v/>
      </c>
      <c r="J50" s="19">
        <f>SUMIFS(Entreprises!$N$5:$N$639,Entreprises!$A$5:$A$639,$A50,Entreprises!$C$5:$C$639,J$3,Entreprises!$D$5:$D$639,J$2)+SUMIFS(Banques!$P$5:$P$315,Banques!$A$5:$A$315,$A50,Banques!$C$5:$C$315,J$3,Banques!$D$5:$D$315,J$2)</f>
        <v/>
      </c>
      <c r="K50" s="19">
        <f>SUMIFS(Entreprises!$N$5:$N$639,Entreprises!$A$5:$A$639,$A50,Entreprises!$C$5:$C$639,K$3,Entreprises!$D$5:$D$639,K$2)+SUMIFS(Banques!$P$5:$P$315,Banques!$A$5:$A$315,$A50,Banques!$C$5:$C$315,K$3,Banques!$D$5:$D$315,K$2)</f>
        <v/>
      </c>
      <c r="L50" s="19">
        <f>SUMIFS(Entreprises!$N$5:$N$639,Entreprises!$A$5:$A$639,$A50,Entreprises!$C$5:$C$639,L$3,Entreprises!$D$5:$D$639,L$2)+SUMIFS(Banques!$P$5:$P$315,Banques!$A$5:$A$315,$A50,Banques!$C$5:$C$315,L$3,Banques!$D$5:$D$315,L$2)</f>
        <v/>
      </c>
      <c r="M50" s="19">
        <f>SUMIFS(Entreprises!$N$5:$N$639,Entreprises!$A$5:$A$639,$A50,Entreprises!$C$5:$C$639,M$3,Entreprises!$D$5:$D$639,M$2)+SUMIFS(Banques!$P$5:$P$315,Banques!$A$5:$A$315,$A50,Banques!$C$5:$C$315,M$3,Banques!$D$5:$D$315,M$2)</f>
        <v/>
      </c>
      <c r="N50" s="19">
        <f>SUMIFS(Entreprises!$N$5:$N$639,Entreprises!$A$5:$A$639,$A50,Entreprises!$C$5:$C$639,N$3,Entreprises!$D$5:$D$639,N$2)+SUMIFS(Banques!$P$5:$P$315,Banques!$A$5:$A$315,$A50,Banques!$C$5:$C$315,N$3,Banques!$D$5:$D$315,N$2)</f>
        <v/>
      </c>
      <c r="O50" s="19">
        <f>SUMIFS(Entreprises!$N$5:$N$639,Entreprises!$A$5:$A$639,$A50,Entreprises!$C$5:$C$639,O$3,Entreprises!$D$5:$D$639,O$2)+SUMIFS(Banques!$P$5:$P$315,Banques!$A$5:$A$315,$A50,Banques!$C$5:$C$315,O$3,Banques!$D$5:$D$315,O$2)</f>
        <v/>
      </c>
      <c r="P50" s="19">
        <f>SUMIFS(Entreprises!$N$5:$N$639,Entreprises!$A$5:$A$639,$A50,Entreprises!$C$5:$C$639,P$3,Entreprises!$D$5:$D$639,P$2)+SUMIFS(Banques!$P$5:$P$315,Banques!$A$5:$A$315,$A50,Banques!$C$5:$C$315,P$3,Banques!$D$5:$D$315,P$2)</f>
        <v/>
      </c>
      <c r="Q50" s="19">
        <f>SUMIFS(Entreprises!$N$5:$N$639,Entreprises!$A$5:$A$639,$A50,Entreprises!$C$5:$C$639,Q$3,Entreprises!$D$5:$D$639,Q$2)+SUMIFS(Banques!$P$5:$P$315,Banques!$A$5:$A$315,$A50,Banques!$C$5:$C$315,Q$3,Banques!$D$5:$D$315,Q$2)</f>
        <v/>
      </c>
      <c r="R50" s="19">
        <f>SUMIFS(Entreprises!$N$5:$N$639,Entreprises!$A$5:$A$639,$A50,Entreprises!$C$5:$C$639,R$3,Entreprises!$D$5:$D$639,R$2)+SUMIFS(Banques!$P$5:$P$315,Banques!$A$5:$A$315,$A50,Banques!$C$5:$C$315,R$3,Banques!$D$5:$D$315,R$2)</f>
        <v/>
      </c>
      <c r="S50" s="19">
        <f>SUMIFS(Entreprises!$N$5:$N$639,Entreprises!$A$5:$A$639,$A50,Entreprises!$C$5:$C$639,S$3,Entreprises!$D$5:$D$639,S$2)+SUMIFS(Banques!$P$5:$P$315,Banques!$A$5:$A$315,$A50,Banques!$C$5:$C$315,S$3,Banques!$D$5:$D$315,S$2)</f>
        <v/>
      </c>
      <c r="T50" s="19">
        <f>SUMIFS(Entreprises!$N$5:$N$639,Entreprises!$A$5:$A$639,$A50,Entreprises!$C$5:$C$639,T$3,Entreprises!$D$5:$D$639,T$2)+SUMIFS(Banques!$P$5:$P$315,Banques!$A$5:$A$315,$A50,Banques!$C$5:$C$315,T$3,Banques!$D$5:$D$315,T$2)</f>
        <v/>
      </c>
      <c r="U50" s="19">
        <f>SUMIFS(Entreprises!$N$5:$N$639,Entreprises!$A$5:$A$639,$A50,Entreprises!$C$5:$C$639,U$3,Entreprises!$D$5:$D$639,U$2)+SUMIFS(Banques!$P$5:$P$315,Banques!$A$5:$A$315,$A50,Banques!$C$5:$C$315,U$3,Banques!$D$5:$D$315,U$2)</f>
        <v/>
      </c>
    </row>
    <row r="51">
      <c r="A51" s="18" t="inlineStr">
        <is>
          <t>SGBC</t>
        </is>
      </c>
      <c r="B51" s="18">
        <f>IFERROR(VLOOKUP(A51,Titres!$A$2:$D$400,2,FALSE),"")</f>
        <v/>
      </c>
      <c r="C51" s="18">
        <f>IFERROR(VLOOKUP(A51,Titres!$A$2:$D$400,4,FALSE),"")</f>
        <v/>
      </c>
      <c r="D51" s="19">
        <f>SUMIFS(Entreprises!$N$5:$N$639,Entreprises!$A$5:$A$639,$A51,Entreprises!$C$5:$C$639,D$3,Entreprises!$D$5:$D$639,D$2)+SUMIFS(Banques!$P$5:$P$315,Banques!$A$5:$A$315,$A51,Banques!$C$5:$C$315,D$3,Banques!$D$5:$D$315,D$2)</f>
        <v/>
      </c>
      <c r="E51" s="19">
        <f>SUMIFS(Entreprises!$N$5:$N$639,Entreprises!$A$5:$A$639,$A51,Entreprises!$C$5:$C$639,E$3,Entreprises!$D$5:$D$639,E$2)+SUMIFS(Banques!$P$5:$P$315,Banques!$A$5:$A$315,$A51,Banques!$C$5:$C$315,E$3,Banques!$D$5:$D$315,E$2)</f>
        <v/>
      </c>
      <c r="F51" s="19">
        <f>SUMIFS(Entreprises!$N$5:$N$639,Entreprises!$A$5:$A$639,$A51,Entreprises!$C$5:$C$639,F$3,Entreprises!$D$5:$D$639,F$2)+SUMIFS(Banques!$P$5:$P$315,Banques!$A$5:$A$315,$A51,Banques!$C$5:$C$315,F$3,Banques!$D$5:$D$315,F$2)</f>
        <v/>
      </c>
      <c r="G51" s="19">
        <f>SUMIFS(Entreprises!$N$5:$N$639,Entreprises!$A$5:$A$639,$A51,Entreprises!$C$5:$C$639,G$3,Entreprises!$D$5:$D$639,G$2)+SUMIFS(Banques!$P$5:$P$315,Banques!$A$5:$A$315,$A51,Banques!$C$5:$C$315,G$3,Banques!$D$5:$D$315,G$2)</f>
        <v/>
      </c>
      <c r="H51" s="19">
        <f>SUMIFS(Entreprises!$N$5:$N$639,Entreprises!$A$5:$A$639,$A51,Entreprises!$C$5:$C$639,H$3,Entreprises!$D$5:$D$639,H$2)+SUMIFS(Banques!$P$5:$P$315,Banques!$A$5:$A$315,$A51,Banques!$C$5:$C$315,H$3,Banques!$D$5:$D$315,H$2)</f>
        <v/>
      </c>
      <c r="I51" s="19">
        <f>SUMIFS(Entreprises!$N$5:$N$639,Entreprises!$A$5:$A$639,$A51,Entreprises!$C$5:$C$639,I$3,Entreprises!$D$5:$D$639,I$2)+SUMIFS(Banques!$P$5:$P$315,Banques!$A$5:$A$315,$A51,Banques!$C$5:$C$315,I$3,Banques!$D$5:$D$315,I$2)</f>
        <v/>
      </c>
      <c r="J51" s="19">
        <f>SUMIFS(Entreprises!$N$5:$N$639,Entreprises!$A$5:$A$639,$A51,Entreprises!$C$5:$C$639,J$3,Entreprises!$D$5:$D$639,J$2)+SUMIFS(Banques!$P$5:$P$315,Banques!$A$5:$A$315,$A51,Banques!$C$5:$C$315,J$3,Banques!$D$5:$D$315,J$2)</f>
        <v/>
      </c>
      <c r="K51" s="19">
        <f>SUMIFS(Entreprises!$N$5:$N$639,Entreprises!$A$5:$A$639,$A51,Entreprises!$C$5:$C$639,K$3,Entreprises!$D$5:$D$639,K$2)+SUMIFS(Banques!$P$5:$P$315,Banques!$A$5:$A$315,$A51,Banques!$C$5:$C$315,K$3,Banques!$D$5:$D$315,K$2)</f>
        <v/>
      </c>
      <c r="L51" s="19">
        <f>SUMIFS(Entreprises!$N$5:$N$639,Entreprises!$A$5:$A$639,$A51,Entreprises!$C$5:$C$639,L$3,Entreprises!$D$5:$D$639,L$2)+SUMIFS(Banques!$P$5:$P$315,Banques!$A$5:$A$315,$A51,Banques!$C$5:$C$315,L$3,Banques!$D$5:$D$315,L$2)</f>
        <v/>
      </c>
      <c r="M51" s="19">
        <f>SUMIFS(Entreprises!$N$5:$N$639,Entreprises!$A$5:$A$639,$A51,Entreprises!$C$5:$C$639,M$3,Entreprises!$D$5:$D$639,M$2)+SUMIFS(Banques!$P$5:$P$315,Banques!$A$5:$A$315,$A51,Banques!$C$5:$C$315,M$3,Banques!$D$5:$D$315,M$2)</f>
        <v/>
      </c>
      <c r="N51" s="19">
        <f>SUMIFS(Entreprises!$N$5:$N$639,Entreprises!$A$5:$A$639,$A51,Entreprises!$C$5:$C$639,N$3,Entreprises!$D$5:$D$639,N$2)+SUMIFS(Banques!$P$5:$P$315,Banques!$A$5:$A$315,$A51,Banques!$C$5:$C$315,N$3,Banques!$D$5:$D$315,N$2)</f>
        <v/>
      </c>
      <c r="O51" s="19">
        <f>SUMIFS(Entreprises!$N$5:$N$639,Entreprises!$A$5:$A$639,$A51,Entreprises!$C$5:$C$639,O$3,Entreprises!$D$5:$D$639,O$2)+SUMIFS(Banques!$P$5:$P$315,Banques!$A$5:$A$315,$A51,Banques!$C$5:$C$315,O$3,Banques!$D$5:$D$315,O$2)</f>
        <v/>
      </c>
      <c r="P51" s="19">
        <f>SUMIFS(Entreprises!$N$5:$N$639,Entreprises!$A$5:$A$639,$A51,Entreprises!$C$5:$C$639,P$3,Entreprises!$D$5:$D$639,P$2)+SUMIFS(Banques!$P$5:$P$315,Banques!$A$5:$A$315,$A51,Banques!$C$5:$C$315,P$3,Banques!$D$5:$D$315,P$2)</f>
        <v/>
      </c>
      <c r="Q51" s="19">
        <f>SUMIFS(Entreprises!$N$5:$N$639,Entreprises!$A$5:$A$639,$A51,Entreprises!$C$5:$C$639,Q$3,Entreprises!$D$5:$D$639,Q$2)+SUMIFS(Banques!$P$5:$P$315,Banques!$A$5:$A$315,$A51,Banques!$C$5:$C$315,Q$3,Banques!$D$5:$D$315,Q$2)</f>
        <v/>
      </c>
      <c r="R51" s="19">
        <f>SUMIFS(Entreprises!$N$5:$N$639,Entreprises!$A$5:$A$639,$A51,Entreprises!$C$5:$C$639,R$3,Entreprises!$D$5:$D$639,R$2)+SUMIFS(Banques!$P$5:$P$315,Banques!$A$5:$A$315,$A51,Banques!$C$5:$C$315,R$3,Banques!$D$5:$D$315,R$2)</f>
        <v/>
      </c>
      <c r="S51" s="19">
        <f>SUMIFS(Entreprises!$N$5:$N$639,Entreprises!$A$5:$A$639,$A51,Entreprises!$C$5:$C$639,S$3,Entreprises!$D$5:$D$639,S$2)+SUMIFS(Banques!$P$5:$P$315,Banques!$A$5:$A$315,$A51,Banques!$C$5:$C$315,S$3,Banques!$D$5:$D$315,S$2)</f>
        <v/>
      </c>
      <c r="T51" s="19">
        <f>SUMIFS(Entreprises!$N$5:$N$639,Entreprises!$A$5:$A$639,$A51,Entreprises!$C$5:$C$639,T$3,Entreprises!$D$5:$D$639,T$2)+SUMIFS(Banques!$P$5:$P$315,Banques!$A$5:$A$315,$A51,Banques!$C$5:$C$315,T$3,Banques!$D$5:$D$315,T$2)</f>
        <v/>
      </c>
      <c r="U51" s="19">
        <f>SUMIFS(Entreprises!$N$5:$N$639,Entreprises!$A$5:$A$639,$A51,Entreprises!$C$5:$C$639,U$3,Entreprises!$D$5:$D$639,U$2)+SUMIFS(Banques!$P$5:$P$315,Banques!$A$5:$A$315,$A51,Banques!$C$5:$C$315,U$3,Banques!$D$5:$D$315,U$2)</f>
        <v/>
      </c>
    </row>
    <row r="52">
      <c r="A52" s="18" t="inlineStr">
        <is>
          <t>SIBC</t>
        </is>
      </c>
      <c r="B52" s="18">
        <f>IFERROR(VLOOKUP(A52,Titres!$A$2:$D$400,2,FALSE),"")</f>
        <v/>
      </c>
      <c r="C52" s="18">
        <f>IFERROR(VLOOKUP(A52,Titres!$A$2:$D$400,4,FALSE),"")</f>
        <v/>
      </c>
      <c r="D52" s="19">
        <f>SUMIFS(Entreprises!$N$5:$N$639,Entreprises!$A$5:$A$639,$A52,Entreprises!$C$5:$C$639,D$3,Entreprises!$D$5:$D$639,D$2)+SUMIFS(Banques!$P$5:$P$315,Banques!$A$5:$A$315,$A52,Banques!$C$5:$C$315,D$3,Banques!$D$5:$D$315,D$2)</f>
        <v/>
      </c>
      <c r="E52" s="19">
        <f>SUMIFS(Entreprises!$N$5:$N$639,Entreprises!$A$5:$A$639,$A52,Entreprises!$C$5:$C$639,E$3,Entreprises!$D$5:$D$639,E$2)+SUMIFS(Banques!$P$5:$P$315,Banques!$A$5:$A$315,$A52,Banques!$C$5:$C$315,E$3,Banques!$D$5:$D$315,E$2)</f>
        <v/>
      </c>
      <c r="F52" s="19">
        <f>SUMIFS(Entreprises!$N$5:$N$639,Entreprises!$A$5:$A$639,$A52,Entreprises!$C$5:$C$639,F$3,Entreprises!$D$5:$D$639,F$2)+SUMIFS(Banques!$P$5:$P$315,Banques!$A$5:$A$315,$A52,Banques!$C$5:$C$315,F$3,Banques!$D$5:$D$315,F$2)</f>
        <v/>
      </c>
      <c r="G52" s="19">
        <f>SUMIFS(Entreprises!$N$5:$N$639,Entreprises!$A$5:$A$639,$A52,Entreprises!$C$5:$C$639,G$3,Entreprises!$D$5:$D$639,G$2)+SUMIFS(Banques!$P$5:$P$315,Banques!$A$5:$A$315,$A52,Banques!$C$5:$C$315,G$3,Banques!$D$5:$D$315,G$2)</f>
        <v/>
      </c>
      <c r="H52" s="19">
        <f>SUMIFS(Entreprises!$N$5:$N$639,Entreprises!$A$5:$A$639,$A52,Entreprises!$C$5:$C$639,H$3,Entreprises!$D$5:$D$639,H$2)+SUMIFS(Banques!$P$5:$P$315,Banques!$A$5:$A$315,$A52,Banques!$C$5:$C$315,H$3,Banques!$D$5:$D$315,H$2)</f>
        <v/>
      </c>
      <c r="I52" s="19">
        <f>SUMIFS(Entreprises!$N$5:$N$639,Entreprises!$A$5:$A$639,$A52,Entreprises!$C$5:$C$639,I$3,Entreprises!$D$5:$D$639,I$2)+SUMIFS(Banques!$P$5:$P$315,Banques!$A$5:$A$315,$A52,Banques!$C$5:$C$315,I$3,Banques!$D$5:$D$315,I$2)</f>
        <v/>
      </c>
      <c r="J52" s="19">
        <f>SUMIFS(Entreprises!$N$5:$N$639,Entreprises!$A$5:$A$639,$A52,Entreprises!$C$5:$C$639,J$3,Entreprises!$D$5:$D$639,J$2)+SUMIFS(Banques!$P$5:$P$315,Banques!$A$5:$A$315,$A52,Banques!$C$5:$C$315,J$3,Banques!$D$5:$D$315,J$2)</f>
        <v/>
      </c>
      <c r="K52" s="19">
        <f>SUMIFS(Entreprises!$N$5:$N$639,Entreprises!$A$5:$A$639,$A52,Entreprises!$C$5:$C$639,K$3,Entreprises!$D$5:$D$639,K$2)+SUMIFS(Banques!$P$5:$P$315,Banques!$A$5:$A$315,$A52,Banques!$C$5:$C$315,K$3,Banques!$D$5:$D$315,K$2)</f>
        <v/>
      </c>
      <c r="L52" s="19">
        <f>SUMIFS(Entreprises!$N$5:$N$639,Entreprises!$A$5:$A$639,$A52,Entreprises!$C$5:$C$639,L$3,Entreprises!$D$5:$D$639,L$2)+SUMIFS(Banques!$P$5:$P$315,Banques!$A$5:$A$315,$A52,Banques!$C$5:$C$315,L$3,Banques!$D$5:$D$315,L$2)</f>
        <v/>
      </c>
      <c r="M52" s="19">
        <f>SUMIFS(Entreprises!$N$5:$N$639,Entreprises!$A$5:$A$639,$A52,Entreprises!$C$5:$C$639,M$3,Entreprises!$D$5:$D$639,M$2)+SUMIFS(Banques!$P$5:$P$315,Banques!$A$5:$A$315,$A52,Banques!$C$5:$C$315,M$3,Banques!$D$5:$D$315,M$2)</f>
        <v/>
      </c>
      <c r="N52" s="19">
        <f>SUMIFS(Entreprises!$N$5:$N$639,Entreprises!$A$5:$A$639,$A52,Entreprises!$C$5:$C$639,N$3,Entreprises!$D$5:$D$639,N$2)+SUMIFS(Banques!$P$5:$P$315,Banques!$A$5:$A$315,$A52,Banques!$C$5:$C$315,N$3,Banques!$D$5:$D$315,N$2)</f>
        <v/>
      </c>
      <c r="O52" s="19">
        <f>SUMIFS(Entreprises!$N$5:$N$639,Entreprises!$A$5:$A$639,$A52,Entreprises!$C$5:$C$639,O$3,Entreprises!$D$5:$D$639,O$2)+SUMIFS(Banques!$P$5:$P$315,Banques!$A$5:$A$315,$A52,Banques!$C$5:$C$315,O$3,Banques!$D$5:$D$315,O$2)</f>
        <v/>
      </c>
      <c r="P52" s="19">
        <f>SUMIFS(Entreprises!$N$5:$N$639,Entreprises!$A$5:$A$639,$A52,Entreprises!$C$5:$C$639,P$3,Entreprises!$D$5:$D$639,P$2)+SUMIFS(Banques!$P$5:$P$315,Banques!$A$5:$A$315,$A52,Banques!$C$5:$C$315,P$3,Banques!$D$5:$D$315,P$2)</f>
        <v/>
      </c>
      <c r="Q52" s="19">
        <f>SUMIFS(Entreprises!$N$5:$N$639,Entreprises!$A$5:$A$639,$A52,Entreprises!$C$5:$C$639,Q$3,Entreprises!$D$5:$D$639,Q$2)+SUMIFS(Banques!$P$5:$P$315,Banques!$A$5:$A$315,$A52,Banques!$C$5:$C$315,Q$3,Banques!$D$5:$D$315,Q$2)</f>
        <v/>
      </c>
      <c r="R52" s="19">
        <f>SUMIFS(Entreprises!$N$5:$N$639,Entreprises!$A$5:$A$639,$A52,Entreprises!$C$5:$C$639,R$3,Entreprises!$D$5:$D$639,R$2)+SUMIFS(Banques!$P$5:$P$315,Banques!$A$5:$A$315,$A52,Banques!$C$5:$C$315,R$3,Banques!$D$5:$D$315,R$2)</f>
        <v/>
      </c>
      <c r="S52" s="19">
        <f>SUMIFS(Entreprises!$N$5:$N$639,Entreprises!$A$5:$A$639,$A52,Entreprises!$C$5:$C$639,S$3,Entreprises!$D$5:$D$639,S$2)+SUMIFS(Banques!$P$5:$P$315,Banques!$A$5:$A$315,$A52,Banques!$C$5:$C$315,S$3,Banques!$D$5:$D$315,S$2)</f>
        <v/>
      </c>
      <c r="T52" s="19">
        <f>SUMIFS(Entreprises!$N$5:$N$639,Entreprises!$A$5:$A$639,$A52,Entreprises!$C$5:$C$639,T$3,Entreprises!$D$5:$D$639,T$2)+SUMIFS(Banques!$P$5:$P$315,Banques!$A$5:$A$315,$A52,Banques!$C$5:$C$315,T$3,Banques!$D$5:$D$315,T$2)</f>
        <v/>
      </c>
      <c r="U52" s="19">
        <f>SUMIFS(Entreprises!$N$5:$N$639,Entreprises!$A$5:$A$639,$A52,Entreprises!$C$5:$C$639,U$3,Entreprises!$D$5:$D$639,U$2)+SUMIFS(Banques!$P$5:$P$315,Banques!$A$5:$A$315,$A52,Banques!$C$5:$C$315,U$3,Banques!$D$5:$D$315,U$2)</f>
        <v/>
      </c>
    </row>
  </sheetData>
  <mergeCells count="1">
    <mergeCell ref="A2:C3"/>
  </mergeCells>
  <conditionalFormatting sqref="D5:U52">
    <cfRule type="colorScale" priority="1">
      <colorScale>
        <cfvo type="num" val="0"/>
        <cfvo type="num" val="1"/>
        <color rgb="00FFFFFF"/>
        <color rgb="006FB3D6"/>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18" customWidth="1" min="3" max="3"/>
    <col width="30" customWidth="1" min="4" max="4"/>
    <col width="34" customWidth="1" min="5" max="5"/>
    <col width="16" customWidth="1" min="6" max="6"/>
  </cols>
  <sheetData>
    <row r="1">
      <c r="A1" s="20" t="inlineStr">
        <is>
          <t>Ticker</t>
        </is>
      </c>
      <c r="B1" s="20" t="inlineStr">
        <is>
          <t>Société</t>
        </is>
      </c>
      <c r="C1" s="20" t="inlineStr">
        <is>
          <t>Pays</t>
        </is>
      </c>
      <c r="D1" s="20" t="inlineStr">
        <is>
          <t>Secteur</t>
        </is>
      </c>
      <c r="E1" s="20" t="inlineStr">
        <is>
          <t>Type de comptes</t>
        </is>
      </c>
      <c r="F1" s="20" t="inlineStr">
        <is>
          <t>Feuille de saisie</t>
        </is>
      </c>
    </row>
    <row r="2">
      <c r="A2" s="18" t="inlineStr">
        <is>
          <t>NTLC</t>
        </is>
      </c>
      <c r="B2" s="18" t="inlineStr">
        <is>
          <t>NESTLE COTE D'IVOIRE</t>
        </is>
      </c>
      <c r="C2" s="18" t="inlineStr">
        <is>
          <t>CÔTE D'IVOIRE</t>
        </is>
      </c>
      <c r="D2" s="18" t="inlineStr">
        <is>
          <t>Consommation de base</t>
        </is>
      </c>
      <c r="E2" s="18" t="inlineStr">
        <is>
          <t>Entreprise (SYSCOHADA)</t>
        </is>
      </c>
      <c r="F2" s="18" t="inlineStr">
        <is>
          <t>Entreprises</t>
        </is>
      </c>
    </row>
    <row r="3">
      <c r="A3" s="18" t="inlineStr">
        <is>
          <t>PALC</t>
        </is>
      </c>
      <c r="B3" s="18" t="inlineStr">
        <is>
          <t>PALM COTE D'IVOIRE</t>
        </is>
      </c>
      <c r="C3" s="18" t="inlineStr">
        <is>
          <t>CÔTE D'IVOIRE</t>
        </is>
      </c>
      <c r="D3" s="18" t="inlineStr">
        <is>
          <t>Consommation de base</t>
        </is>
      </c>
      <c r="E3" s="18" t="inlineStr">
        <is>
          <t>Entreprise (SYSCOHADA)</t>
        </is>
      </c>
      <c r="F3" s="18" t="inlineStr">
        <is>
          <t>Entreprises</t>
        </is>
      </c>
    </row>
    <row r="4">
      <c r="A4" s="18" t="inlineStr">
        <is>
          <t>SCRC</t>
        </is>
      </c>
      <c r="B4" s="18" t="inlineStr">
        <is>
          <t>SUCRIVOIRE COTE D'IVOIRE</t>
        </is>
      </c>
      <c r="C4" s="18" t="inlineStr">
        <is>
          <t>CÔTE D'IVOIRE</t>
        </is>
      </c>
      <c r="D4" s="18" t="inlineStr">
        <is>
          <t>Consommation de base</t>
        </is>
      </c>
      <c r="E4" s="18" t="inlineStr">
        <is>
          <t>Entreprise (SYSCOHADA)</t>
        </is>
      </c>
      <c r="F4" s="18" t="inlineStr">
        <is>
          <t>Entreprises</t>
        </is>
      </c>
    </row>
    <row r="5">
      <c r="A5" s="18" t="inlineStr">
        <is>
          <t>SICC</t>
        </is>
      </c>
      <c r="B5" s="18" t="inlineStr">
        <is>
          <t>SICOR COTE D'IVOIRE</t>
        </is>
      </c>
      <c r="C5" s="18" t="inlineStr">
        <is>
          <t>CÔTE D'IVOIRE</t>
        </is>
      </c>
      <c r="D5" s="18" t="inlineStr">
        <is>
          <t>Consommation de base</t>
        </is>
      </c>
      <c r="E5" s="18" t="inlineStr">
        <is>
          <t>Entreprise (SYSCOHADA)</t>
        </is>
      </c>
      <c r="F5" s="18" t="inlineStr">
        <is>
          <t>Entreprises</t>
        </is>
      </c>
    </row>
    <row r="6">
      <c r="A6" s="18" t="inlineStr">
        <is>
          <t>SLBC</t>
        </is>
      </c>
      <c r="B6" s="18" t="inlineStr">
        <is>
          <t>SOLIBRA COTE D'IVOIRE</t>
        </is>
      </c>
      <c r="C6" s="18" t="inlineStr">
        <is>
          <t>CÔTE D'IVOIRE</t>
        </is>
      </c>
      <c r="D6" s="18" t="inlineStr">
        <is>
          <t>Consommation de base</t>
        </is>
      </c>
      <c r="E6" s="18" t="inlineStr">
        <is>
          <t>Entreprise (SYSCOHADA)</t>
        </is>
      </c>
      <c r="F6" s="18" t="inlineStr">
        <is>
          <t>Entreprises</t>
        </is>
      </c>
    </row>
    <row r="7">
      <c r="A7" s="18" t="inlineStr">
        <is>
          <t>SOGC</t>
        </is>
      </c>
      <c r="B7" s="18" t="inlineStr">
        <is>
          <t>SOGB COTE D'IVOIRE</t>
        </is>
      </c>
      <c r="C7" s="18" t="inlineStr">
        <is>
          <t>CÔTE D'IVOIRE</t>
        </is>
      </c>
      <c r="D7" s="18" t="inlineStr">
        <is>
          <t>Consommation de base</t>
        </is>
      </c>
      <c r="E7" s="18" t="inlineStr">
        <is>
          <t>Entreprise (SYSCOHADA)</t>
        </is>
      </c>
      <c r="F7" s="18" t="inlineStr">
        <is>
          <t>Entreprises</t>
        </is>
      </c>
    </row>
    <row r="8">
      <c r="A8" s="18" t="inlineStr">
        <is>
          <t>SPHC</t>
        </is>
      </c>
      <c r="B8" s="18" t="inlineStr">
        <is>
          <t>SAPH COTE D'IVOIRE</t>
        </is>
      </c>
      <c r="C8" s="18" t="inlineStr">
        <is>
          <t>CÔTE D'IVOIRE</t>
        </is>
      </c>
      <c r="D8" s="18" t="inlineStr">
        <is>
          <t>Consommation de base</t>
        </is>
      </c>
      <c r="E8" s="18" t="inlineStr">
        <is>
          <t>Entreprise (SYSCOHADA)</t>
        </is>
      </c>
      <c r="F8" s="18" t="inlineStr">
        <is>
          <t>Entreprises</t>
        </is>
      </c>
    </row>
    <row r="9">
      <c r="A9" s="18" t="inlineStr">
        <is>
          <t>STBC</t>
        </is>
      </c>
      <c r="B9" s="18" t="inlineStr">
        <is>
          <t>SITAB COTE D'IVOIRE</t>
        </is>
      </c>
      <c r="C9" s="18" t="inlineStr">
        <is>
          <t>CÔTE D'IVOIRE</t>
        </is>
      </c>
      <c r="D9" s="18" t="inlineStr">
        <is>
          <t>Consommation de base</t>
        </is>
      </c>
      <c r="E9" s="18" t="inlineStr">
        <is>
          <t>Entreprise (SYSCOHADA)</t>
        </is>
      </c>
      <c r="F9" s="18" t="inlineStr">
        <is>
          <t>Entreprises</t>
        </is>
      </c>
    </row>
    <row r="10">
      <c r="A10" s="18" t="inlineStr">
        <is>
          <t>UNLC</t>
        </is>
      </c>
      <c r="B10" s="18" t="inlineStr">
        <is>
          <t>UNILEVER COTE D'IVOIRE</t>
        </is>
      </c>
      <c r="C10" s="18" t="inlineStr">
        <is>
          <t>CÔTE D'IVOIRE</t>
        </is>
      </c>
      <c r="D10" s="18" t="inlineStr">
        <is>
          <t>Consommation de base</t>
        </is>
      </c>
      <c r="E10" s="18" t="inlineStr">
        <is>
          <t>Entreprise (SYSCOHADA)</t>
        </is>
      </c>
      <c r="F10" s="18" t="inlineStr">
        <is>
          <t>Entreprises</t>
        </is>
      </c>
    </row>
    <row r="11">
      <c r="A11" s="18" t="inlineStr">
        <is>
          <t>ABJC</t>
        </is>
      </c>
      <c r="B11" s="18" t="inlineStr">
        <is>
          <t>SERVAIR ABIDJAN COTE D'IVOIRE</t>
        </is>
      </c>
      <c r="C11" s="18" t="inlineStr">
        <is>
          <t>CÔTE D'IVOIRE</t>
        </is>
      </c>
      <c r="D11" s="18" t="inlineStr">
        <is>
          <t>Consommation discrétionnaire</t>
        </is>
      </c>
      <c r="E11" s="18" t="inlineStr">
        <is>
          <t>Entreprise (SYSCOHADA)</t>
        </is>
      </c>
      <c r="F11" s="18" t="inlineStr">
        <is>
          <t>Entreprises</t>
        </is>
      </c>
    </row>
    <row r="12">
      <c r="A12" s="18" t="inlineStr">
        <is>
          <t>BNBC</t>
        </is>
      </c>
      <c r="B12" s="18" t="inlineStr">
        <is>
          <t>BERNABE COTE D'IVOIRE</t>
        </is>
      </c>
      <c r="C12" s="18" t="inlineStr">
        <is>
          <t>CÔTE D'IVOIRE</t>
        </is>
      </c>
      <c r="D12" s="18" t="inlineStr">
        <is>
          <t>Consommation discrétionnaire</t>
        </is>
      </c>
      <c r="E12" s="18" t="inlineStr">
        <is>
          <t>Entreprise (SYSCOHADA)</t>
        </is>
      </c>
      <c r="F12" s="18" t="inlineStr">
        <is>
          <t>Entreprises</t>
        </is>
      </c>
    </row>
    <row r="13">
      <c r="A13" s="18" t="inlineStr">
        <is>
          <t>CFAC</t>
        </is>
      </c>
      <c r="B13" s="18" t="inlineStr">
        <is>
          <t>CFAO MOTORS COTE D'IVOIRE</t>
        </is>
      </c>
      <c r="C13" s="18" t="inlineStr">
        <is>
          <t>CÔTE D'IVOIRE</t>
        </is>
      </c>
      <c r="D13" s="18" t="inlineStr">
        <is>
          <t>Consommation discrétionnaire</t>
        </is>
      </c>
      <c r="E13" s="18" t="inlineStr">
        <is>
          <t>Entreprise (SYSCOHADA)</t>
        </is>
      </c>
      <c r="F13" s="18" t="inlineStr">
        <is>
          <t>Entreprises</t>
        </is>
      </c>
    </row>
    <row r="14">
      <c r="A14" s="18" t="inlineStr">
        <is>
          <t>LNBB</t>
        </is>
      </c>
      <c r="B14" s="18" t="inlineStr">
        <is>
          <t>LOTERIE NATIONALE DU BENIN</t>
        </is>
      </c>
      <c r="C14" s="18" t="inlineStr">
        <is>
          <t>BENIN</t>
        </is>
      </c>
      <c r="D14" s="18" t="inlineStr">
        <is>
          <t>Consommation discrétionnaire</t>
        </is>
      </c>
      <c r="E14" s="18" t="inlineStr">
        <is>
          <t>Entreprise (SYSCOHADA)</t>
        </is>
      </c>
      <c r="F14" s="18" t="inlineStr">
        <is>
          <t>Entreprises</t>
        </is>
      </c>
    </row>
    <row r="15">
      <c r="A15" s="18" t="inlineStr">
        <is>
          <t>NEIC</t>
        </is>
      </c>
      <c r="B15" s="18" t="inlineStr">
        <is>
          <t>NEI-CEDA COTE D'IVOIRE</t>
        </is>
      </c>
      <c r="C15" s="18" t="inlineStr">
        <is>
          <t>CÔTE D'IVOIRE</t>
        </is>
      </c>
      <c r="D15" s="18" t="inlineStr">
        <is>
          <t>Consommation discrétionnaire</t>
        </is>
      </c>
      <c r="E15" s="18" t="inlineStr">
        <is>
          <t>Entreprise (SYSCOHADA)</t>
        </is>
      </c>
      <c r="F15" s="18" t="inlineStr">
        <is>
          <t>Entreprises</t>
        </is>
      </c>
    </row>
    <row r="16">
      <c r="A16" s="18" t="inlineStr">
        <is>
          <t>PRSC</t>
        </is>
      </c>
      <c r="B16" s="18" t="inlineStr">
        <is>
          <t>TRACTAFRIC MOTORS COTE D'IVOIRE</t>
        </is>
      </c>
      <c r="C16" s="18" t="inlineStr">
        <is>
          <t>CÔTE D'IVOIRE</t>
        </is>
      </c>
      <c r="D16" s="18" t="inlineStr">
        <is>
          <t>Consommation discrétionnaire</t>
        </is>
      </c>
      <c r="E16" s="18" t="inlineStr">
        <is>
          <t>Entreprise (SYSCOHADA)</t>
        </is>
      </c>
      <c r="F16" s="18" t="inlineStr">
        <is>
          <t>Entreprises</t>
        </is>
      </c>
    </row>
    <row r="17">
      <c r="A17" s="18" t="inlineStr">
        <is>
          <t>UNXC</t>
        </is>
      </c>
      <c r="B17" s="18" t="inlineStr">
        <is>
          <t>UNIWAX COTE D'IVOIRE</t>
        </is>
      </c>
      <c r="C17" s="18" t="inlineStr">
        <is>
          <t>CÔTE D'IVOIRE</t>
        </is>
      </c>
      <c r="D17" s="18" t="inlineStr">
        <is>
          <t>Consommation discrétionnaire</t>
        </is>
      </c>
      <c r="E17" s="18" t="inlineStr">
        <is>
          <t>Entreprise (SYSCOHADA)</t>
        </is>
      </c>
      <c r="F17" s="18" t="inlineStr">
        <is>
          <t>Entreprises</t>
        </is>
      </c>
    </row>
    <row r="18">
      <c r="A18" s="18" t="inlineStr">
        <is>
          <t>CABC</t>
        </is>
      </c>
      <c r="B18" s="18" t="inlineStr">
        <is>
          <t>SICABLE COTE D'IVOIRE</t>
        </is>
      </c>
      <c r="C18" s="18" t="inlineStr">
        <is>
          <t>CÔTE D'IVOIRE</t>
        </is>
      </c>
      <c r="D18" s="18" t="inlineStr">
        <is>
          <t>Industriels</t>
        </is>
      </c>
      <c r="E18" s="18" t="inlineStr">
        <is>
          <t>Entreprise (SYSCOHADA)</t>
        </is>
      </c>
      <c r="F18" s="18" t="inlineStr">
        <is>
          <t>Entreprises</t>
        </is>
      </c>
    </row>
    <row r="19">
      <c r="A19" s="18" t="inlineStr">
        <is>
          <t>FTSC</t>
        </is>
      </c>
      <c r="B19" s="18" t="inlineStr">
        <is>
          <t>FILTISAC COTE D'IVOIRE</t>
        </is>
      </c>
      <c r="C19" s="18" t="inlineStr">
        <is>
          <t>CÔTE D'IVOIRE</t>
        </is>
      </c>
      <c r="D19" s="18" t="inlineStr">
        <is>
          <t>Industriels</t>
        </is>
      </c>
      <c r="E19" s="18" t="inlineStr">
        <is>
          <t>Entreprise (SYSCOHADA)</t>
        </is>
      </c>
      <c r="F19" s="18" t="inlineStr">
        <is>
          <t>Entreprises</t>
        </is>
      </c>
    </row>
    <row r="20">
      <c r="A20" s="18" t="inlineStr">
        <is>
          <t>SDSC</t>
        </is>
      </c>
      <c r="B20" s="18" t="inlineStr">
        <is>
          <t>BOLLORE TRANSPORT &amp; LOGISTICS COTE D'IVOIRE</t>
        </is>
      </c>
      <c r="C20" s="18" t="inlineStr">
        <is>
          <t>CÔTE D'IVOIRE</t>
        </is>
      </c>
      <c r="D20" s="18" t="inlineStr">
        <is>
          <t>Industriels</t>
        </is>
      </c>
      <c r="E20" s="18" t="inlineStr">
        <is>
          <t>Entreprise (SYSCOHADA)</t>
        </is>
      </c>
      <c r="F20" s="18" t="inlineStr">
        <is>
          <t>Entreprises</t>
        </is>
      </c>
    </row>
    <row r="21">
      <c r="A21" s="18" t="inlineStr">
        <is>
          <t>SEMC</t>
        </is>
      </c>
      <c r="B21" s="18" t="inlineStr">
        <is>
          <t>EVIOSYS PACKAGING SIEM COTE D'IVOIRE</t>
        </is>
      </c>
      <c r="C21" s="18" t="inlineStr">
        <is>
          <t>CÔTE D'IVOIRE</t>
        </is>
      </c>
      <c r="D21" s="18" t="inlineStr">
        <is>
          <t>Industriels</t>
        </is>
      </c>
      <c r="E21" s="18" t="inlineStr">
        <is>
          <t>Entreprise (SYSCOHADA)</t>
        </is>
      </c>
      <c r="F21" s="18" t="inlineStr">
        <is>
          <t>Entreprises</t>
        </is>
      </c>
    </row>
    <row r="22">
      <c r="A22" s="18" t="inlineStr">
        <is>
          <t>SIVC</t>
        </is>
      </c>
      <c r="B22" s="18" t="inlineStr">
        <is>
          <t>AIR LIQUIDE COTE D'IVOIRE</t>
        </is>
      </c>
      <c r="C22" s="18" t="inlineStr">
        <is>
          <t>CÔTE D'IVOIRE</t>
        </is>
      </c>
      <c r="D22" s="18" t="inlineStr">
        <is>
          <t>Industriels</t>
        </is>
      </c>
      <c r="E22" s="18" t="inlineStr">
        <is>
          <t>Entreprise (SYSCOHADA)</t>
        </is>
      </c>
      <c r="F22" s="18" t="inlineStr">
        <is>
          <t>Entreprises</t>
        </is>
      </c>
    </row>
    <row r="23">
      <c r="A23" s="18" t="inlineStr">
        <is>
          <t>STAC</t>
        </is>
      </c>
      <c r="B23" s="18" t="inlineStr">
        <is>
          <t>SETAO COTE D'IVOIRE</t>
        </is>
      </c>
      <c r="C23" s="18" t="inlineStr">
        <is>
          <t>CÔTE D'IVOIRE</t>
        </is>
      </c>
      <c r="D23" s="18" t="inlineStr">
        <is>
          <t>Industriels</t>
        </is>
      </c>
      <c r="E23" s="18" t="inlineStr">
        <is>
          <t>Entreprise (SYSCOHADA)</t>
        </is>
      </c>
      <c r="F23" s="18" t="inlineStr">
        <is>
          <t>Entreprises</t>
        </is>
      </c>
    </row>
    <row r="24">
      <c r="A24" s="18" t="inlineStr">
        <is>
          <t>ETIT</t>
        </is>
      </c>
      <c r="B24" s="18" t="inlineStr">
        <is>
          <t>ECOBANK TRANSNATIONAL INCORPORATED TOGO</t>
        </is>
      </c>
      <c r="C24" s="18" t="inlineStr">
        <is>
          <t>TOGO</t>
        </is>
      </c>
      <c r="D24" s="18" t="inlineStr">
        <is>
          <t>Services financiers</t>
        </is>
      </c>
      <c r="E24" s="18" t="inlineStr">
        <is>
          <t>Entreprise (normes IFRS)</t>
        </is>
      </c>
      <c r="F24" s="18" t="inlineStr">
        <is>
          <t>Entreprises</t>
        </is>
      </c>
    </row>
    <row r="25">
      <c r="A25" s="18" t="inlineStr">
        <is>
          <t>ORGT</t>
        </is>
      </c>
      <c r="B25" s="18" t="inlineStr">
        <is>
          <t>ORAGROUP TOGO</t>
        </is>
      </c>
      <c r="C25" s="18" t="inlineStr">
        <is>
          <t>TOGO</t>
        </is>
      </c>
      <c r="D25" s="18" t="inlineStr">
        <is>
          <t>Services financiers</t>
        </is>
      </c>
      <c r="E25" s="18" t="inlineStr">
        <is>
          <t>Entreprise (normes IFRS)</t>
        </is>
      </c>
      <c r="F25" s="18" t="inlineStr">
        <is>
          <t>Entreprises</t>
        </is>
      </c>
    </row>
    <row r="26">
      <c r="A26" s="18" t="inlineStr">
        <is>
          <t>CIEC</t>
        </is>
      </c>
      <c r="B26" s="18" t="inlineStr">
        <is>
          <t>CIE COTE D'IVOIRE</t>
        </is>
      </c>
      <c r="C26" s="18" t="inlineStr">
        <is>
          <t>CÔTE D'IVOIRE</t>
        </is>
      </c>
      <c r="D26" s="18" t="inlineStr">
        <is>
          <t>Services publics</t>
        </is>
      </c>
      <c r="E26" s="18" t="inlineStr">
        <is>
          <t>Entreprise (SYSCOHADA)</t>
        </is>
      </c>
      <c r="F26" s="18" t="inlineStr">
        <is>
          <t>Entreprises</t>
        </is>
      </c>
    </row>
    <row r="27">
      <c r="A27" s="18" t="inlineStr">
        <is>
          <t>SDCC</t>
        </is>
      </c>
      <c r="B27" s="18" t="inlineStr">
        <is>
          <t>SODE COTE D'IVOIRE</t>
        </is>
      </c>
      <c r="C27" s="18" t="inlineStr">
        <is>
          <t>CÔTE D'IVOIRE</t>
        </is>
      </c>
      <c r="D27" s="18" t="inlineStr">
        <is>
          <t>Services publics</t>
        </is>
      </c>
      <c r="E27" s="18" t="inlineStr">
        <is>
          <t>Entreprise (SYSCOHADA)</t>
        </is>
      </c>
      <c r="F27" s="18" t="inlineStr">
        <is>
          <t>Entreprises</t>
        </is>
      </c>
    </row>
    <row r="28">
      <c r="A28" s="18" t="inlineStr">
        <is>
          <t>ONTBF</t>
        </is>
      </c>
      <c r="B28" s="18" t="inlineStr">
        <is>
          <t>ONATEL BURKINA FASO</t>
        </is>
      </c>
      <c r="C28" s="18" t="inlineStr">
        <is>
          <t>BURKINA FASO</t>
        </is>
      </c>
      <c r="D28" s="18" t="inlineStr">
        <is>
          <t>Télécommunications</t>
        </is>
      </c>
      <c r="E28" s="18" t="inlineStr">
        <is>
          <t>Entreprise (SYSCOHADA)</t>
        </is>
      </c>
      <c r="F28" s="18" t="inlineStr">
        <is>
          <t>Entreprises</t>
        </is>
      </c>
    </row>
    <row r="29">
      <c r="A29" s="18" t="inlineStr">
        <is>
          <t>ORAC</t>
        </is>
      </c>
      <c r="B29" s="18" t="inlineStr">
        <is>
          <t>ORANGE COTE D'IVOIRE</t>
        </is>
      </c>
      <c r="C29" s="18" t="inlineStr">
        <is>
          <t>CÔTE D'IVOIRE</t>
        </is>
      </c>
      <c r="D29" s="18" t="inlineStr">
        <is>
          <t>Télécommunications</t>
        </is>
      </c>
      <c r="E29" s="18" t="inlineStr">
        <is>
          <t>Entreprise (normes IFRS)</t>
        </is>
      </c>
      <c r="F29" s="18" t="inlineStr">
        <is>
          <t>Entreprises</t>
        </is>
      </c>
    </row>
    <row r="30">
      <c r="A30" s="18" t="inlineStr">
        <is>
          <t>SNTS</t>
        </is>
      </c>
      <c r="B30" s="18" t="inlineStr">
        <is>
          <t>SONATEL SENEGAL</t>
        </is>
      </c>
      <c r="C30" s="18" t="inlineStr">
        <is>
          <t>SÉNÉGAL</t>
        </is>
      </c>
      <c r="D30" s="18" t="inlineStr">
        <is>
          <t>Télécommunications</t>
        </is>
      </c>
      <c r="E30" s="18" t="inlineStr">
        <is>
          <t>Entreprise (normes IFRS)</t>
        </is>
      </c>
      <c r="F30" s="18" t="inlineStr">
        <is>
          <t>Entreprises</t>
        </is>
      </c>
    </row>
    <row r="31">
      <c r="A31" s="18" t="inlineStr">
        <is>
          <t>SHEC</t>
        </is>
      </c>
      <c r="B31" s="18" t="inlineStr">
        <is>
          <t>VIVO ENERGY COTE D'IVOIRE</t>
        </is>
      </c>
      <c r="C31" s="18" t="inlineStr">
        <is>
          <t>CÔTE D'IVOIRE</t>
        </is>
      </c>
      <c r="D31" s="18" t="inlineStr">
        <is>
          <t>Énergie</t>
        </is>
      </c>
      <c r="E31" s="18" t="inlineStr">
        <is>
          <t>Entreprise (SYSCOHADA)</t>
        </is>
      </c>
      <c r="F31" s="18" t="inlineStr">
        <is>
          <t>Entreprises</t>
        </is>
      </c>
    </row>
    <row r="32">
      <c r="A32" s="18" t="inlineStr">
        <is>
          <t>SMBC</t>
        </is>
      </c>
      <c r="B32" s="18" t="inlineStr">
        <is>
          <t>SMB COTE D'IVOIRE</t>
        </is>
      </c>
      <c r="C32" s="18" t="inlineStr">
        <is>
          <t>CÔTE D'IVOIRE</t>
        </is>
      </c>
      <c r="D32" s="18" t="inlineStr">
        <is>
          <t>Énergie</t>
        </is>
      </c>
      <c r="E32" s="18" t="inlineStr">
        <is>
          <t>Entreprise (SYSCOHADA)</t>
        </is>
      </c>
      <c r="F32" s="18" t="inlineStr">
        <is>
          <t>Entreprises</t>
        </is>
      </c>
    </row>
    <row r="33">
      <c r="A33" s="18" t="inlineStr">
        <is>
          <t>TTLC</t>
        </is>
      </c>
      <c r="B33" s="18" t="inlineStr">
        <is>
          <t>TOTAL COTE D'IVOIRE</t>
        </is>
      </c>
      <c r="C33" s="18" t="inlineStr">
        <is>
          <t>CÔTE D'IVOIRE</t>
        </is>
      </c>
      <c r="D33" s="18" t="inlineStr">
        <is>
          <t>Énergie</t>
        </is>
      </c>
      <c r="E33" s="18" t="inlineStr">
        <is>
          <t>Entreprise (SYSCOHADA)</t>
        </is>
      </c>
      <c r="F33" s="18" t="inlineStr">
        <is>
          <t>Entreprises</t>
        </is>
      </c>
    </row>
    <row r="34">
      <c r="A34" s="18" t="inlineStr">
        <is>
          <t>TTLS</t>
        </is>
      </c>
      <c r="B34" s="18" t="inlineStr">
        <is>
          <t>TOTAL SENEGAL</t>
        </is>
      </c>
      <c r="C34" s="18" t="inlineStr">
        <is>
          <t>SÉNÉGAL</t>
        </is>
      </c>
      <c r="D34" s="18" t="inlineStr">
        <is>
          <t>Énergie</t>
        </is>
      </c>
      <c r="E34" s="18" t="inlineStr">
        <is>
          <t>Entreprise (SYSCOHADA)</t>
        </is>
      </c>
      <c r="F34" s="18" t="inlineStr">
        <is>
          <t>Entreprises</t>
        </is>
      </c>
    </row>
    <row r="35">
      <c r="A35" s="18" t="inlineStr">
        <is>
          <t>BBGC</t>
        </is>
      </c>
      <c r="B35" s="18" t="inlineStr">
        <is>
          <t>BRIDGE BANK GROUP COTE D'IVOIRE</t>
        </is>
      </c>
      <c r="C35" s="18" t="inlineStr">
        <is>
          <t>CÔTE D'IVOIRE</t>
        </is>
      </c>
      <c r="D35" s="18" t="inlineStr">
        <is>
          <t>Services financiers</t>
        </is>
      </c>
      <c r="E35" s="18" t="inlineStr">
        <is>
          <t>Banque ou établissement financier</t>
        </is>
      </c>
      <c r="F35" s="18" t="inlineStr">
        <is>
          <t>Banques</t>
        </is>
      </c>
    </row>
    <row r="36">
      <c r="A36" s="18" t="inlineStr">
        <is>
          <t>BICB</t>
        </is>
      </c>
      <c r="B36" s="18" t="inlineStr">
        <is>
          <t>BIIC BENIN</t>
        </is>
      </c>
      <c r="C36" s="18" t="inlineStr">
        <is>
          <t>BENIN</t>
        </is>
      </c>
      <c r="D36" s="18" t="inlineStr">
        <is>
          <t>Services financiers</t>
        </is>
      </c>
      <c r="E36" s="18" t="inlineStr">
        <is>
          <t>Banque ou établissement financier</t>
        </is>
      </c>
      <c r="F36" s="18" t="inlineStr">
        <is>
          <t>Banques</t>
        </is>
      </c>
    </row>
    <row r="37">
      <c r="A37" s="18" t="inlineStr">
        <is>
          <t>BICC</t>
        </is>
      </c>
      <c r="B37" s="18" t="inlineStr">
        <is>
          <t>BICI COTE D'IVOIRE</t>
        </is>
      </c>
      <c r="C37" s="18" t="inlineStr">
        <is>
          <t>CÔTE D'IVOIRE</t>
        </is>
      </c>
      <c r="D37" s="18" t="inlineStr">
        <is>
          <t>Services financiers</t>
        </is>
      </c>
      <c r="E37" s="18" t="inlineStr">
        <is>
          <t>Banque ou établissement financier</t>
        </is>
      </c>
      <c r="F37" s="18" t="inlineStr">
        <is>
          <t>Banques</t>
        </is>
      </c>
    </row>
    <row r="38">
      <c r="A38" s="18" t="inlineStr">
        <is>
          <t>BOAB</t>
        </is>
      </c>
      <c r="B38" s="18" t="inlineStr">
        <is>
          <t>BANK OF AFRICA BENIN</t>
        </is>
      </c>
      <c r="C38" s="18" t="inlineStr">
        <is>
          <t>BENIN</t>
        </is>
      </c>
      <c r="D38" s="18" t="inlineStr">
        <is>
          <t>Services financiers</t>
        </is>
      </c>
      <c r="E38" s="18" t="inlineStr">
        <is>
          <t>Banque ou établissement financier</t>
        </is>
      </c>
      <c r="F38" s="18" t="inlineStr">
        <is>
          <t>Banques</t>
        </is>
      </c>
    </row>
    <row r="39">
      <c r="A39" s="18" t="inlineStr">
        <is>
          <t>BOABF</t>
        </is>
      </c>
      <c r="B39" s="18" t="inlineStr">
        <is>
          <t>BANK OF AFRICA BURKINA FASO</t>
        </is>
      </c>
      <c r="C39" s="18" t="inlineStr">
        <is>
          <t>BURKINA FASO</t>
        </is>
      </c>
      <c r="D39" s="18" t="inlineStr">
        <is>
          <t>Services financiers</t>
        </is>
      </c>
      <c r="E39" s="18" t="inlineStr">
        <is>
          <t>Banque ou établissement financier</t>
        </is>
      </c>
      <c r="F39" s="18" t="inlineStr">
        <is>
          <t>Banques</t>
        </is>
      </c>
    </row>
    <row r="40">
      <c r="A40" s="18" t="inlineStr">
        <is>
          <t>BOAC</t>
        </is>
      </c>
      <c r="B40" s="18" t="inlineStr">
        <is>
          <t>BANK OF AFRICA COTE D'IVOIRE</t>
        </is>
      </c>
      <c r="C40" s="18" t="inlineStr">
        <is>
          <t>CÔTE D'IVOIRE</t>
        </is>
      </c>
      <c r="D40" s="18" t="inlineStr">
        <is>
          <t>Services financiers</t>
        </is>
      </c>
      <c r="E40" s="18" t="inlineStr">
        <is>
          <t>Banque ou établissement financier</t>
        </is>
      </c>
      <c r="F40" s="18" t="inlineStr">
        <is>
          <t>Banques</t>
        </is>
      </c>
    </row>
    <row r="41">
      <c r="A41" s="18" t="inlineStr">
        <is>
          <t>BOAM</t>
        </is>
      </c>
      <c r="B41" s="18" t="inlineStr">
        <is>
          <t>BANK OF AFRICA MALI</t>
        </is>
      </c>
      <c r="C41" s="18" t="inlineStr">
        <is>
          <t>MALI</t>
        </is>
      </c>
      <c r="D41" s="18" t="inlineStr">
        <is>
          <t>Services financiers</t>
        </is>
      </c>
      <c r="E41" s="18" t="inlineStr">
        <is>
          <t>Banque ou établissement financier</t>
        </is>
      </c>
      <c r="F41" s="18" t="inlineStr">
        <is>
          <t>Banques</t>
        </is>
      </c>
    </row>
    <row r="42">
      <c r="A42" s="18" t="inlineStr">
        <is>
          <t>BOAN</t>
        </is>
      </c>
      <c r="B42" s="18" t="inlineStr">
        <is>
          <t>BANK OF AFRICA NIGER</t>
        </is>
      </c>
      <c r="C42" s="18" t="inlineStr">
        <is>
          <t>NIGER</t>
        </is>
      </c>
      <c r="D42" s="18" t="inlineStr">
        <is>
          <t>Services financiers</t>
        </is>
      </c>
      <c r="E42" s="18" t="inlineStr">
        <is>
          <t>Banque ou établissement financier</t>
        </is>
      </c>
      <c r="F42" s="18" t="inlineStr">
        <is>
          <t>Banques</t>
        </is>
      </c>
    </row>
    <row r="43">
      <c r="A43" s="18" t="inlineStr">
        <is>
          <t>BOAS</t>
        </is>
      </c>
      <c r="B43" s="18" t="inlineStr">
        <is>
          <t>BANK OF AFRICA SENEGAL</t>
        </is>
      </c>
      <c r="C43" s="18" t="inlineStr">
        <is>
          <t>SÉNÉGAL</t>
        </is>
      </c>
      <c r="D43" s="18" t="inlineStr">
        <is>
          <t>Services financiers</t>
        </is>
      </c>
      <c r="E43" s="18" t="inlineStr">
        <is>
          <t>Banque ou établissement financier</t>
        </is>
      </c>
      <c r="F43" s="18" t="inlineStr">
        <is>
          <t>Banques</t>
        </is>
      </c>
    </row>
    <row r="44">
      <c r="A44" s="18" t="inlineStr">
        <is>
          <t>CBIBF</t>
        </is>
      </c>
      <c r="B44" s="18" t="inlineStr">
        <is>
          <t>CORIS BANK INTERNATIONAL BURKINA FASO</t>
        </is>
      </c>
      <c r="C44" s="18" t="inlineStr">
        <is>
          <t>BURKINA FASO</t>
        </is>
      </c>
      <c r="D44" s="18" t="inlineStr">
        <is>
          <t>Services financiers</t>
        </is>
      </c>
      <c r="E44" s="18" t="inlineStr">
        <is>
          <t>Banque ou établissement financier</t>
        </is>
      </c>
      <c r="F44" s="18" t="inlineStr">
        <is>
          <t>Banques</t>
        </is>
      </c>
    </row>
    <row r="45">
      <c r="A45" s="18" t="inlineStr">
        <is>
          <t>ECOC</t>
        </is>
      </c>
      <c r="B45" s="18" t="inlineStr">
        <is>
          <t>ECOBANK COTE D'IVOIRE</t>
        </is>
      </c>
      <c r="C45" s="18" t="inlineStr">
        <is>
          <t>CÔTE D'IVOIRE</t>
        </is>
      </c>
      <c r="D45" s="18" t="inlineStr">
        <is>
          <t>Services financiers</t>
        </is>
      </c>
      <c r="E45" s="18" t="inlineStr">
        <is>
          <t>Banque ou établissement financier</t>
        </is>
      </c>
      <c r="F45" s="18" t="inlineStr">
        <is>
          <t>Banques</t>
        </is>
      </c>
    </row>
    <row r="46">
      <c r="A46" s="18" t="inlineStr">
        <is>
          <t>NSBC</t>
        </is>
      </c>
      <c r="B46" s="18" t="inlineStr">
        <is>
          <t>NSIA BANQUE COTE D'IVOIRE</t>
        </is>
      </c>
      <c r="C46" s="18" t="inlineStr">
        <is>
          <t>CÔTE D'IVOIRE</t>
        </is>
      </c>
      <c r="D46" s="18" t="inlineStr">
        <is>
          <t>Services financiers</t>
        </is>
      </c>
      <c r="E46" s="18" t="inlineStr">
        <is>
          <t>Banque ou établissement financier</t>
        </is>
      </c>
      <c r="F46" s="18" t="inlineStr">
        <is>
          <t>Banques</t>
        </is>
      </c>
    </row>
    <row r="47">
      <c r="A47" s="18" t="inlineStr">
        <is>
          <t>SAFC</t>
        </is>
      </c>
      <c r="B47" s="18" t="inlineStr">
        <is>
          <t>SAFCA COTE D'IVOIRE</t>
        </is>
      </c>
      <c r="C47" s="18" t="inlineStr">
        <is>
          <t>CÔTE D'IVOIRE</t>
        </is>
      </c>
      <c r="D47" s="18" t="inlineStr">
        <is>
          <t>Services financiers</t>
        </is>
      </c>
      <c r="E47" s="18" t="inlineStr">
        <is>
          <t>Banque ou établissement financier</t>
        </is>
      </c>
      <c r="F47" s="18" t="inlineStr">
        <is>
          <t>Banques</t>
        </is>
      </c>
    </row>
    <row r="48">
      <c r="A48" s="18" t="inlineStr">
        <is>
          <t>SGBC</t>
        </is>
      </c>
      <c r="B48" s="18" t="inlineStr">
        <is>
          <t>SOCIETE GENERALE COTE D'IVOIRE</t>
        </is>
      </c>
      <c r="C48" s="18" t="inlineStr">
        <is>
          <t>CÔTE D'IVOIRE</t>
        </is>
      </c>
      <c r="D48" s="18" t="inlineStr">
        <is>
          <t>Services financiers</t>
        </is>
      </c>
      <c r="E48" s="18" t="inlineStr">
        <is>
          <t>Banque ou établissement financier</t>
        </is>
      </c>
      <c r="F48" s="18" t="inlineStr">
        <is>
          <t>Banques</t>
        </is>
      </c>
    </row>
    <row r="49">
      <c r="A49" s="18" t="inlineStr">
        <is>
          <t>SIBC</t>
        </is>
      </c>
      <c r="B49" s="18" t="inlineStr">
        <is>
          <t>SOCIETE IVOIRIENNE DE BANQUE COTE D'IVOIRE</t>
        </is>
      </c>
      <c r="C49" s="18" t="inlineStr">
        <is>
          <t>CÔTE D'IVOIRE</t>
        </is>
      </c>
      <c r="D49" s="18" t="inlineStr">
        <is>
          <t>Services financiers</t>
        </is>
      </c>
      <c r="E49" s="18" t="inlineStr">
        <is>
          <t>Banque ou établissement financier</t>
        </is>
      </c>
      <c r="F49" s="18" t="inlineStr">
        <is>
          <t>Banques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2026-10-19T18:14:28Z</dcterms:created>
  <dcterms:modified xmlns:dcterms="http://purl.org/dc/terms/" xmlns:xsi="http://www.w3.org/2001/XMLSchema-instance" xsi:type="dcterms:W3CDTF">2026-10-19T18:14:29Z</dcterms:modified>
</cp:coreProperties>
</file>