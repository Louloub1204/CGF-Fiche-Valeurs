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Entreprises" sheetId="2" state="visible" r:id="rId2"/>
    <sheet xmlns:r="http://schemas.openxmlformats.org/officeDocument/2006/relationships" name="Banques" sheetId="3" state="visible" r:id="rId3"/>
    <sheet xmlns:r="http://schemas.openxmlformats.org/officeDocument/2006/relationships" name="Suivi" sheetId="4" state="visible" r:id="rId4"/>
    <sheet xmlns:r="http://schemas.openxmlformats.org/officeDocument/2006/relationships" name="Titres" sheetId="5" state="visible" r:id="rId5"/>
  </sheets>
  <definedNames>
    <definedName name="_xlnm._FilterDatabase" localSheetId="1" hidden="1">'Entreprises'!$A$4:$O$639</definedName>
    <definedName name="_xlnm._FilterDatabase" localSheetId="2" hidden="1">'Banques'!$A$4:$Q$315</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0.0"/>
    <numFmt numFmtId="167" formatCode="0%;-0%;&quot;-&quot;"/>
  </numFmts>
  <fonts count="12">
    <font>
      <name val="Calibri"/>
      <family val="2"/>
      <color theme="1"/>
      <sz val="11"/>
      <scheme val="minor"/>
    </font>
    <font>
      <name val="Calibri"/>
      <b val="1"/>
      <color rgb="00FFFFFF"/>
      <sz val="10"/>
    </font>
    <font>
      <name val="Calibri"/>
      <sz val="10"/>
    </font>
    <font>
      <name val="Calibri"/>
      <b val="1"/>
      <color rgb="00004B77"/>
      <sz val="14"/>
    </font>
    <font>
      <name val="Calibri"/>
      <i val="1"/>
      <color rgb="00555555"/>
      <sz val="9"/>
    </font>
    <font>
      <name val="Calibri"/>
      <color rgb="00000000"/>
      <sz val="10"/>
    </font>
    <font>
      <name val="Calibri"/>
      <color rgb="000000FF"/>
      <sz val="10"/>
    </font>
    <font>
      <color rgb="00FFFFFF"/>
      <sz val="6"/>
    </font>
    <font>
      <name val="Calibri"/>
      <b val="1"/>
      <color rgb="00004B77"/>
      <sz val="18"/>
    </font>
    <font>
      <name val="Calibri"/>
      <i val="1"/>
      <color rgb="00555555"/>
      <sz val="10"/>
    </font>
    <font>
      <name val="Calibri"/>
      <b val="1"/>
      <color rgb="00004B77"/>
      <sz val="11"/>
    </font>
    <font>
      <name val="Calibri"/>
      <color rgb="00777777"/>
      <sz val="8"/>
    </font>
  </fonts>
  <fills count="4">
    <fill>
      <patternFill/>
    </fill>
    <fill>
      <patternFill patternType="gray125"/>
    </fill>
    <fill>
      <patternFill patternType="solid">
        <fgColor rgb="00004B77"/>
      </patternFill>
    </fill>
    <fill>
      <patternFill patternType="solid">
        <fgColor rgb="00F3F6F8"/>
      </patternFill>
    </fill>
  </fills>
  <borders count="3">
    <border>
      <left/>
      <right/>
      <top/>
      <bottom/>
      <diagonal/>
    </border>
    <border>
      <left style="thin">
        <color rgb="00DCE4EA"/>
      </left>
      <right style="thin">
        <color rgb="00DCE4EA"/>
      </right>
      <top style="thin">
        <color rgb="00DCE4EA"/>
      </top>
      <bottom style="thin">
        <color rgb="00DCE4EA"/>
      </bottom>
    </border>
    <border>
      <bottom style="thin">
        <color rgb="00DCE4EA"/>
      </bottom>
    </border>
  </borders>
  <cellStyleXfs count="1">
    <xf numFmtId="0" fontId="0" fillId="0" borderId="0"/>
  </cellStyleXfs>
  <cellXfs count="20">
    <xf numFmtId="0" fontId="0" fillId="0" borderId="0" pivotButton="0" quotePrefix="0" xfId="0"/>
    <xf numFmtId="0" fontId="8" fillId="0" borderId="0" pivotButton="0" quotePrefix="0" xfId="0"/>
    <xf numFmtId="0" fontId="9" fillId="0" borderId="0" pivotButton="0" quotePrefix="0" xfId="0"/>
    <xf numFmtId="0" fontId="10" fillId="0" borderId="2" applyAlignment="1" pivotButton="0" quotePrefix="0" xfId="0">
      <alignment vertical="top"/>
    </xf>
    <xf numFmtId="0" fontId="2" fillId="0" borderId="2" applyAlignment="1" pivotButton="0" quotePrefix="0" xfId="0">
      <alignment vertical="top" wrapText="1"/>
    </xf>
    <xf numFmtId="0" fontId="11" fillId="0" borderId="0" pivotButton="0" quotePrefix="0" xfId="0"/>
    <xf numFmtId="0" fontId="3" fillId="0" borderId="0" pivotButton="0" quotePrefix="0" xfId="0"/>
    <xf numFmtId="0" fontId="4" fillId="0" borderId="0" applyAlignment="1" pivotButton="0" quotePrefix="0" xfId="0">
      <alignment vertical="top" wrapText="1"/>
    </xf>
    <xf numFmtId="0" fontId="1" fillId="2" borderId="1" applyAlignment="1" pivotButton="0" quotePrefix="0" xfId="0">
      <alignment horizontal="center" vertical="center" wrapText="1"/>
    </xf>
    <xf numFmtId="0" fontId="6" fillId="0" borderId="1" pivotButton="0" quotePrefix="0" xfId="0"/>
    <xf numFmtId="0" fontId="5" fillId="3" borderId="1" pivotButton="0" quotePrefix="0" xfId="0"/>
    <xf numFmtId="0" fontId="6" fillId="0" borderId="1" applyAlignment="1" pivotButton="0" quotePrefix="0" xfId="0">
      <alignment horizontal="center"/>
    </xf>
    <xf numFmtId="165" fontId="6" fillId="0" borderId="1" pivotButton="0" quotePrefix="0" xfId="0"/>
    <xf numFmtId="166" fontId="6" fillId="0" borderId="1" applyAlignment="1" pivotButton="0" quotePrefix="0" xfId="0">
      <alignment horizontal="right"/>
    </xf>
    <xf numFmtId="9" fontId="5" fillId="0" borderId="1" pivotButton="0" quotePrefix="0" xfId="0"/>
    <xf numFmtId="0" fontId="5" fillId="0" borderId="1" pivotButton="0" quotePrefix="0" xfId="0"/>
    <xf numFmtId="0" fontId="7" fillId="0" borderId="0" pivotButton="0" quotePrefix="0" xfId="0"/>
    <xf numFmtId="0" fontId="2" fillId="0" borderId="1" pivotButton="0" quotePrefix="0" xfId="0"/>
    <xf numFmtId="167" fontId="5" fillId="0" borderId="1" applyAlignment="1" pivotButton="0" quotePrefix="0" xfId="0">
      <alignment horizontal="center"/>
    </xf>
    <xf numFmtId="0" fontId="1" fillId="2" borderId="0" applyAlignment="1" pivotButton="0" quotePrefix="0" xfId="0">
      <alignment horizontal="center" vertical="center" wrapText="1"/>
    </xf>
  </cellXfs>
  <cellStyles count="1">
    <cellStyle name="Normal" xfId="0" builtinId="0" hidden="0"/>
  </cellStyles>
  <dxfs count="2">
    <dxf>
      <font>
        <b val="1"/>
        <color rgb="009B1C1C"/>
      </font>
      <fill>
        <patternFill patternType="solid">
          <bgColor rgb="00F8D7DA"/>
        </patternFill>
      </fill>
    </dxf>
    <dxf>
      <font>
        <b val="1"/>
        <color rgb="001E7B34"/>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16"/>
  <sheetViews>
    <sheetView showGridLines="0" workbookViewId="0">
      <selection activeCell="A1" sqref="A1"/>
    </sheetView>
  </sheetViews>
  <sheetFormatPr baseColWidth="8" defaultRowHeight="15"/>
  <cols>
    <col width="3" customWidth="1" min="1" max="1"/>
    <col width="28" customWidth="1" min="2" max="2"/>
    <col width="105" customWidth="1" min="3" max="3"/>
  </cols>
  <sheetData>
    <row r="2">
      <c r="B2" s="1" t="inlineStr">
        <is>
          <t>Publications intermédiaires - CGF Gestion</t>
        </is>
      </c>
    </row>
    <row r="3">
      <c r="B3" s="2" t="inlineStr">
        <is>
          <t>Fichier de suivi à charger dans l'application « Fiche de valeur BRVM », au même titre que le classeur des états financiers et la base de données SMF.</t>
        </is>
      </c>
    </row>
    <row r="5" ht="56" customHeight="1">
      <c r="B5" s="3" t="inlineStr">
        <is>
          <t>Objet</t>
        </is>
      </c>
      <c r="C5" s="4" t="inlineStr">
        <is>
          <t>Suivre, titre par titre, les indicateurs publiés en cours d'exercice : T1 (1er trimestre), S1 (1er semestre) et T3 (3e trimestre). L'application en tire la dynamique de l'exercice en cours : croissance cumulée face à la même période de l'an dernier, tendance d'une publication à l'autre, 12 mois glissants. Cette dynamique s'ajoute aux états financiers complets du dernier exercice clos.</t>
        </is>
      </c>
    </row>
    <row r="6" ht="154" customHeight="1">
      <c r="B6" s="3" t="inlineStr">
        <is>
          <t>Comment renseigner</t>
        </is>
      </c>
      <c r="C6" s="4" t="inlineStr">
        <is>
          <t>1. Choisissez la feuille « Entreprises » ou « Banques » selon le type du titre (feuille « Titres »).
2. Trouvez la ligne du titre, de l'exercice et de la période, ou ajoutez une ligne sous les dernières.
3. Saisissez les montants de la publication en millions de FCFA, cumulés depuis le 1er janvier.
4. Une publication donne N et N-1 : renseignez aussi la ligne de l'exercice précédent (même période).
5. Indiquez le statut, la date de publication et la source (lien richbourse ou brvm.org).
6. Contrôlez la colonne « Contrôle de cohérence » et suivez l'avancement dans « Suivi ».</t>
        </is>
      </c>
    </row>
    <row r="7" ht="42" customHeight="1">
      <c r="B7" s="3" t="inlineStr">
        <is>
          <t>Cumul et périodes</t>
        </is>
      </c>
      <c r="C7" s="4" t="inlineStr">
        <is>
          <t>Toutes les valeurs sont cumulées depuis le 1er janvier : T1 = 3 mois, S1 = 6 mois, T3 = 9 mois. Si une société publie un trimestre isolé, additionnez les trimestres. Les encours bancaires (crédits, dépôts) sont ceux de la fin de période.</t>
        </is>
      </c>
    </row>
    <row r="8" ht="30" customHeight="1">
      <c r="B8" s="3" t="inlineStr">
        <is>
          <t>Unité et signes</t>
        </is>
      </c>
      <c r="C8" s="4" t="inlineStr">
        <is>
          <t>Millions de FCFA. Les charges se saisissent en négatif (frais de gestion, coût du risque). Les autres soldes sont repris tels que publiés. Si le document est en milliers ou en milliards, convertissez en millions.</t>
        </is>
      </c>
    </row>
    <row r="9" ht="30" customHeight="1">
      <c r="B9" s="3" t="inlineStr">
        <is>
          <t>Retraitements</t>
        </is>
      </c>
      <c r="C9" s="4" t="inlineStr">
        <is>
          <t>Si le comparatif N-1 d'une publication diffère du chiffre publié l'an dernier (retraitement), retenez le chiffre de la publication la plus récente et indiquez-le dans la source.</t>
        </is>
      </c>
    </row>
    <row r="10" ht="30" customHeight="1">
      <c r="B10" s="3" t="inlineStr">
        <is>
          <t>Statuts</t>
        </is>
      </c>
      <c r="C10" s="4" t="inlineStr">
        <is>
          <t>Publié : chiffres figurant dans le document publié. Provisoire : communiqué ou chiffres non encore certifiés. À vérifier : valeur à contrôler.</t>
        </is>
      </c>
    </row>
    <row r="11" ht="30" customHeight="1">
      <c r="B11" s="3" t="inlineStr">
        <is>
          <t>Règles de priorité</t>
        </is>
      </c>
      <c r="C11" s="4" t="inlineStr">
        <is>
          <t>Le fichier prime sur la lecture automatique de richbourse.com, qui comble seulement les périodes ou indicateurs absents. Un document PDF chargé dans l'application prime sur la lecture automatique.</t>
        </is>
      </c>
    </row>
    <row r="12" ht="42" customHeight="1">
      <c r="B12" s="3" t="inlineStr">
        <is>
          <t>12 mois glissants</t>
        </is>
      </c>
      <c r="C12" s="4" t="inlineStr">
        <is>
          <t>12 mois glissants = exercice N-1 + cumul N - cumul N-1 de la même période. Ils neutralisent la saisonnalité et alimentent le PER glissant, la croissance et la tendance. Ils exigent le dernier exercice clos dans les états financiers ou la base SMF.</t>
        </is>
      </c>
    </row>
    <row r="13" ht="30" customHeight="1">
      <c r="B13" s="3" t="inlineStr">
        <is>
          <t>Où trouver les chiffres</t>
        </is>
      </c>
      <c r="C13" s="4" t="inlineStr">
        <is>
          <t>brvm.org (avis et communiqués), richbourse.com (rubrique Etats financiers : rapports d'activités T1, S1, T3), sites des sociétés.</t>
        </is>
      </c>
    </row>
    <row r="14" ht="30" customHeight="1">
      <c r="B14" s="3" t="inlineStr">
        <is>
          <t>Code couleur</t>
        </is>
      </c>
      <c r="C14" s="4" t="inlineStr">
        <is>
          <t>Texte bleu : saisie. Texte noir : formule, ne pas modifier. Fond gris : colonne calculée.</t>
        </is>
      </c>
    </row>
    <row r="16">
      <c r="B16" s="5" t="inlineStr">
        <is>
          <t>Société de gestion collective au capital de 500 000 000 FCFA - N° agrément CREPMF SG-003/2001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639"/>
  <sheetViews>
    <sheetView zoomScale="90" workbookViewId="0">
      <pane xSplit="7" ySplit="4" topLeftCell="H5"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9" customWidth="1" min="3" max="3"/>
    <col width="9" customWidth="1" min="4" max="4"/>
    <col width="12" customWidth="1" min="5" max="5"/>
    <col width="14" customWidth="1" min="6" max="6"/>
    <col width="40" customWidth="1" min="7" max="7"/>
    <col width="15" customWidth="1" min="8" max="8"/>
    <col width="15" customWidth="1" min="9" max="9"/>
    <col width="15" customWidth="1" min="10" max="10"/>
    <col width="15" customWidth="1" min="11" max="11"/>
    <col width="15" customWidth="1" min="12" max="12"/>
    <col width="15" customWidth="1" min="13" max="13"/>
    <col width="11" customWidth="1" min="14" max="14"/>
    <col width="30" customWidth="1" min="15" max="15"/>
  </cols>
  <sheetData>
    <row r="1">
      <c r="A1" s="6" t="inlineStr">
        <is>
          <t>Publications intermédiaires (T1, S1, T3) - entreprises</t>
        </is>
      </c>
    </row>
    <row r="2" ht="40" customHeight="1">
      <c r="A2" s="7" t="inlineStr">
        <is>
          <t>Une ligne par titre, exercice et période. Montants cumulés depuis le 1er janvier (T1 = 3 mois, S1 = 6 mois, T3 = 9 mois), en millions de FCFA, tels que publiés. Charges en négatif. Une publication donne l'exercice N et le comparatif N-1 : renseignez les deux lignes. Texte bleu : saisie. Voir « Lisez-moi ».</t>
        </is>
      </c>
    </row>
    <row r="4" ht="54" customHeight="1">
      <c r="A4" s="8" t="inlineStr">
        <is>
          <t>Ticker</t>
        </is>
      </c>
      <c r="B4" s="8" t="inlineStr">
        <is>
          <t>Société</t>
        </is>
      </c>
      <c r="C4" s="8" t="inlineStr">
        <is>
          <t>Exercice</t>
        </is>
      </c>
      <c r="D4" s="8" t="inlineStr">
        <is>
          <t>Période</t>
        </is>
      </c>
      <c r="E4" s="8" t="inlineStr">
        <is>
          <t>Statut</t>
        </is>
      </c>
      <c r="F4" s="8" t="inlineStr">
        <is>
          <t>Date de publication</t>
        </is>
      </c>
      <c r="G4" s="8" t="inlineStr">
        <is>
          <t>Source (lien ou référence)</t>
        </is>
      </c>
      <c r="H4" s="8" t="inlineStr">
        <is>
          <t>Chiffre d'affaires</t>
        </is>
      </c>
      <c r="I4" s="8" t="inlineStr">
        <is>
          <t>Valeur ajoutée</t>
        </is>
      </c>
      <c r="J4" s="8" t="inlineStr">
        <is>
          <t>EBE (excédent brut d'exploitation)</t>
        </is>
      </c>
      <c r="K4" s="8" t="inlineStr">
        <is>
          <t>Résultat d'exploitation</t>
        </is>
      </c>
      <c r="L4" s="8" t="inlineStr">
        <is>
          <t>Résultat des activités ordinaires (RAO)</t>
        </is>
      </c>
      <c r="M4" s="8" t="inlineStr">
        <is>
          <t>Résultat net</t>
        </is>
      </c>
      <c r="N4" s="8" t="inlineStr">
        <is>
          <t>Complétude</t>
        </is>
      </c>
      <c r="O4" s="8" t="inlineStr">
        <is>
          <t>Contrôle de cohérence</t>
        </is>
      </c>
    </row>
    <row r="5">
      <c r="A5" s="9" t="inlineStr">
        <is>
          <t>NTLC</t>
        </is>
      </c>
      <c r="B5" s="10">
        <f>IF(A5="","",IFERROR(VLOOKUP(A5,Titres!$A$2:$B$400,2,FALSE),"Ticker inconnu"))</f>
        <v/>
      </c>
      <c r="C5" s="11" t="n">
        <v>2021</v>
      </c>
      <c r="D5" s="11" t="inlineStr">
        <is>
          <t>T1</t>
        </is>
      </c>
      <c r="E5" s="9" t="n"/>
      <c r="F5" s="12" t="n"/>
      <c r="G5" s="9" t="n"/>
      <c r="H5" s="13" t="n"/>
      <c r="I5" s="13" t="n"/>
      <c r="J5" s="13" t="n"/>
      <c r="K5" s="13" t="n"/>
      <c r="L5" s="13" t="n"/>
      <c r="M5" s="13" t="n"/>
      <c r="N5" s="14">
        <f>IF(A5="","",COUNT(H5:M5)/6)</f>
        <v/>
      </c>
      <c r="O5" s="15">
        <f>IF(COUNT(H5:M5)=0,"",IF(LEN(IF(COUNT(I5,J5)=2,IF(J5&gt;I5+1,"EBE &gt; VA ",""),"")&amp;IF(COUNT(H5,M5)=2,IF(ABS(M5)&gt;ABS(H5),"RN &gt; CA ",""),"")&amp;IF(COUNT(H5,K5)=2,IF(ABS(K5)&gt;ABS(H5),"RE &gt; CA ",""),""))=0,"OK",IF(COUNT(I5,J5)=2,IF(J5&gt;I5+1,"EBE &gt; VA ",""),"")&amp;IF(COUNT(H5,M5)=2,IF(ABS(M5)&gt;ABS(H5),"RN &gt; CA ",""),"")&amp;IF(COUNT(H5,K5)=2,IF(ABS(K5)&gt;ABS(H5),"RE &gt; CA ",""),"")))</f>
        <v/>
      </c>
    </row>
    <row r="6">
      <c r="A6" s="9" t="inlineStr">
        <is>
          <t>NTLC</t>
        </is>
      </c>
      <c r="B6" s="10">
        <f>IF(A6="","",IFERROR(VLOOKUP(A6,Titres!$A$2:$B$400,2,FALSE),"Ticker inconnu"))</f>
        <v/>
      </c>
      <c r="C6" s="11" t="n">
        <v>2021</v>
      </c>
      <c r="D6" s="11" t="inlineStr">
        <is>
          <t>S1</t>
        </is>
      </c>
      <c r="E6" s="9" t="n"/>
      <c r="F6" s="12" t="n"/>
      <c r="G6" s="9" t="n"/>
      <c r="H6" s="13" t="n"/>
      <c r="I6" s="13" t="n"/>
      <c r="J6" s="13" t="n"/>
      <c r="K6" s="13" t="n"/>
      <c r="L6" s="13" t="n"/>
      <c r="M6" s="13" t="n"/>
      <c r="N6" s="14">
        <f>IF(A6="","",COUNT(H6:M6)/6)</f>
        <v/>
      </c>
      <c r="O6" s="15">
        <f>IF(COUNT(H6:M6)=0,"",IF(LEN(IF(COUNT(I6,J6)=2,IF(J6&gt;I6+1,"EBE &gt; VA ",""),"")&amp;IF(COUNT(H6,M6)=2,IF(ABS(M6)&gt;ABS(H6),"RN &gt; CA ",""),"")&amp;IF(COUNT(H6,K6)=2,IF(ABS(K6)&gt;ABS(H6),"RE &gt; CA ",""),""))=0,"OK",IF(COUNT(I6,J6)=2,IF(J6&gt;I6+1,"EBE &gt; VA ",""),"")&amp;IF(COUNT(H6,M6)=2,IF(ABS(M6)&gt;ABS(H6),"RN &gt; CA ",""),"")&amp;IF(COUNT(H6,K6)=2,IF(ABS(K6)&gt;ABS(H6),"RE &gt; CA ",""),"")))</f>
        <v/>
      </c>
    </row>
    <row r="7">
      <c r="A7" s="9" t="inlineStr">
        <is>
          <t>NTLC</t>
        </is>
      </c>
      <c r="B7" s="10">
        <f>IF(A7="","",IFERROR(VLOOKUP(A7,Titres!$A$2:$B$400,2,FALSE),"Ticker inconnu"))</f>
        <v/>
      </c>
      <c r="C7" s="11" t="n">
        <v>2021</v>
      </c>
      <c r="D7" s="11" t="inlineStr">
        <is>
          <t>T3</t>
        </is>
      </c>
      <c r="E7" s="9" t="n"/>
      <c r="F7" s="12" t="n"/>
      <c r="G7" s="9" t="n"/>
      <c r="H7" s="13" t="n"/>
      <c r="I7" s="13" t="n"/>
      <c r="J7" s="13" t="n"/>
      <c r="K7" s="13" t="n"/>
      <c r="L7" s="13" t="n"/>
      <c r="M7" s="13" t="n"/>
      <c r="N7" s="14">
        <f>IF(A7="","",COUNT(H7:M7)/6)</f>
        <v/>
      </c>
      <c r="O7" s="15">
        <f>IF(COUNT(H7:M7)=0,"",IF(LEN(IF(COUNT(I7,J7)=2,IF(J7&gt;I7+1,"EBE &gt; VA ",""),"")&amp;IF(COUNT(H7,M7)=2,IF(ABS(M7)&gt;ABS(H7),"RN &gt; CA ",""),"")&amp;IF(COUNT(H7,K7)=2,IF(ABS(K7)&gt;ABS(H7),"RE &gt; CA ",""),""))=0,"OK",IF(COUNT(I7,J7)=2,IF(J7&gt;I7+1,"EBE &gt; VA ",""),"")&amp;IF(COUNT(H7,M7)=2,IF(ABS(M7)&gt;ABS(H7),"RN &gt; CA ",""),"")&amp;IF(COUNT(H7,K7)=2,IF(ABS(K7)&gt;ABS(H7),"RE &gt; CA ",""),"")))</f>
        <v/>
      </c>
    </row>
    <row r="8">
      <c r="A8" s="9" t="inlineStr">
        <is>
          <t>NTLC</t>
        </is>
      </c>
      <c r="B8" s="10">
        <f>IF(A8="","",IFERROR(VLOOKUP(A8,Titres!$A$2:$B$400,2,FALSE),"Ticker inconnu"))</f>
        <v/>
      </c>
      <c r="C8" s="11" t="n">
        <v>2022</v>
      </c>
      <c r="D8" s="11" t="inlineStr">
        <is>
          <t>T1</t>
        </is>
      </c>
      <c r="E8" s="9" t="n"/>
      <c r="F8" s="12" t="n"/>
      <c r="G8" s="9" t="n"/>
      <c r="H8" s="13" t="n"/>
      <c r="I8" s="13" t="n"/>
      <c r="J8" s="13" t="n"/>
      <c r="K8" s="13" t="n"/>
      <c r="L8" s="13" t="n"/>
      <c r="M8" s="13" t="n"/>
      <c r="N8" s="14">
        <f>IF(A8="","",COUNT(H8:M8)/6)</f>
        <v/>
      </c>
      <c r="O8" s="15">
        <f>IF(COUNT(H8:M8)=0,"",IF(LEN(IF(COUNT(I8,J8)=2,IF(J8&gt;I8+1,"EBE &gt; VA ",""),"")&amp;IF(COUNT(H8,M8)=2,IF(ABS(M8)&gt;ABS(H8),"RN &gt; CA ",""),"")&amp;IF(COUNT(H8,K8)=2,IF(ABS(K8)&gt;ABS(H8),"RE &gt; CA ",""),""))=0,"OK",IF(COUNT(I8,J8)=2,IF(J8&gt;I8+1,"EBE &gt; VA ",""),"")&amp;IF(COUNT(H8,M8)=2,IF(ABS(M8)&gt;ABS(H8),"RN &gt; CA ",""),"")&amp;IF(COUNT(H8,K8)=2,IF(ABS(K8)&gt;ABS(H8),"RE &gt; CA ",""),"")))</f>
        <v/>
      </c>
    </row>
    <row r="9">
      <c r="A9" s="9" t="inlineStr">
        <is>
          <t>NTLC</t>
        </is>
      </c>
      <c r="B9" s="10">
        <f>IF(A9="","",IFERROR(VLOOKUP(A9,Titres!$A$2:$B$400,2,FALSE),"Ticker inconnu"))</f>
        <v/>
      </c>
      <c r="C9" s="11" t="n">
        <v>2022</v>
      </c>
      <c r="D9" s="11" t="inlineStr">
        <is>
          <t>S1</t>
        </is>
      </c>
      <c r="E9" s="9" t="n"/>
      <c r="F9" s="12" t="n"/>
      <c r="G9" s="9" t="n"/>
      <c r="H9" s="13" t="n"/>
      <c r="I9" s="13" t="n"/>
      <c r="J9" s="13" t="n"/>
      <c r="K9" s="13" t="n"/>
      <c r="L9" s="13" t="n"/>
      <c r="M9" s="13" t="n"/>
      <c r="N9" s="14">
        <f>IF(A9="","",COUNT(H9:M9)/6)</f>
        <v/>
      </c>
      <c r="O9" s="15">
        <f>IF(COUNT(H9:M9)=0,"",IF(LEN(IF(COUNT(I9,J9)=2,IF(J9&gt;I9+1,"EBE &gt; VA ",""),"")&amp;IF(COUNT(H9,M9)=2,IF(ABS(M9)&gt;ABS(H9),"RN &gt; CA ",""),"")&amp;IF(COUNT(H9,K9)=2,IF(ABS(K9)&gt;ABS(H9),"RE &gt; CA ",""),""))=0,"OK",IF(COUNT(I9,J9)=2,IF(J9&gt;I9+1,"EBE &gt; VA ",""),"")&amp;IF(COUNT(H9,M9)=2,IF(ABS(M9)&gt;ABS(H9),"RN &gt; CA ",""),"")&amp;IF(COUNT(H9,K9)=2,IF(ABS(K9)&gt;ABS(H9),"RE &gt; CA ",""),"")))</f>
        <v/>
      </c>
    </row>
    <row r="10">
      <c r="A10" s="9" t="inlineStr">
        <is>
          <t>NTLC</t>
        </is>
      </c>
      <c r="B10" s="10">
        <f>IF(A10="","",IFERROR(VLOOKUP(A10,Titres!$A$2:$B$400,2,FALSE),"Ticker inconnu"))</f>
        <v/>
      </c>
      <c r="C10" s="11" t="n">
        <v>2022</v>
      </c>
      <c r="D10" s="11" t="inlineStr">
        <is>
          <t>T3</t>
        </is>
      </c>
      <c r="E10" s="9" t="n"/>
      <c r="F10" s="12" t="n"/>
      <c r="G10" s="9" t="n"/>
      <c r="H10" s="13" t="n"/>
      <c r="I10" s="13" t="n"/>
      <c r="J10" s="13" t="n"/>
      <c r="K10" s="13" t="n"/>
      <c r="L10" s="13" t="n"/>
      <c r="M10" s="13" t="n"/>
      <c r="N10" s="14">
        <f>IF(A10="","",COUNT(H10:M10)/6)</f>
        <v/>
      </c>
      <c r="O10" s="15">
        <f>IF(COUNT(H10:M10)=0,"",IF(LEN(IF(COUNT(I10,J10)=2,IF(J10&gt;I10+1,"EBE &gt; VA ",""),"")&amp;IF(COUNT(H10,M10)=2,IF(ABS(M10)&gt;ABS(H10),"RN &gt; CA ",""),"")&amp;IF(COUNT(H10,K10)=2,IF(ABS(K10)&gt;ABS(H10),"RE &gt; CA ",""),""))=0,"OK",IF(COUNT(I10,J10)=2,IF(J10&gt;I10+1,"EBE &gt; VA ",""),"")&amp;IF(COUNT(H10,M10)=2,IF(ABS(M10)&gt;ABS(H10),"RN &gt; CA ",""),"")&amp;IF(COUNT(H10,K10)=2,IF(ABS(K10)&gt;ABS(H10),"RE &gt; CA ",""),"")))</f>
        <v/>
      </c>
    </row>
    <row r="11">
      <c r="A11" s="9" t="inlineStr">
        <is>
          <t>NTLC</t>
        </is>
      </c>
      <c r="B11" s="10">
        <f>IF(A11="","",IFERROR(VLOOKUP(A11,Titres!$A$2:$B$400,2,FALSE),"Ticker inconnu"))</f>
        <v/>
      </c>
      <c r="C11" s="11" t="n">
        <v>2023</v>
      </c>
      <c r="D11" s="11" t="inlineStr">
        <is>
          <t>T1</t>
        </is>
      </c>
      <c r="E11" s="9" t="n"/>
      <c r="F11" s="12" t="n"/>
      <c r="G11" s="9" t="n"/>
      <c r="H11" s="13" t="n"/>
      <c r="I11" s="13" t="n"/>
      <c r="J11" s="13" t="n"/>
      <c r="K11" s="13" t="n"/>
      <c r="L11" s="13" t="n"/>
      <c r="M11" s="13" t="n"/>
      <c r="N11" s="14">
        <f>IF(A11="","",COUNT(H11:M11)/6)</f>
        <v/>
      </c>
      <c r="O11" s="15">
        <f>IF(COUNT(H11:M11)=0,"",IF(LEN(IF(COUNT(I11,J11)=2,IF(J11&gt;I11+1,"EBE &gt; VA ",""),"")&amp;IF(COUNT(H11,M11)=2,IF(ABS(M11)&gt;ABS(H11),"RN &gt; CA ",""),"")&amp;IF(COUNT(H11,K11)=2,IF(ABS(K11)&gt;ABS(H11),"RE &gt; CA ",""),""))=0,"OK",IF(COUNT(I11,J11)=2,IF(J11&gt;I11+1,"EBE &gt; VA ",""),"")&amp;IF(COUNT(H11,M11)=2,IF(ABS(M11)&gt;ABS(H11),"RN &gt; CA ",""),"")&amp;IF(COUNT(H11,K11)=2,IF(ABS(K11)&gt;ABS(H11),"RE &gt; CA ",""),"")))</f>
        <v/>
      </c>
    </row>
    <row r="12">
      <c r="A12" s="9" t="inlineStr">
        <is>
          <t>NTLC</t>
        </is>
      </c>
      <c r="B12" s="10">
        <f>IF(A12="","",IFERROR(VLOOKUP(A12,Titres!$A$2:$B$400,2,FALSE),"Ticker inconnu"))</f>
        <v/>
      </c>
      <c r="C12" s="11" t="n">
        <v>2023</v>
      </c>
      <c r="D12" s="11" t="inlineStr">
        <is>
          <t>S1</t>
        </is>
      </c>
      <c r="E12" s="9" t="n"/>
      <c r="F12" s="12" t="n"/>
      <c r="G12" s="9" t="n"/>
      <c r="H12" s="13" t="n"/>
      <c r="I12" s="13" t="n"/>
      <c r="J12" s="13" t="n"/>
      <c r="K12" s="13" t="n"/>
      <c r="L12" s="13" t="n"/>
      <c r="M12" s="13" t="n"/>
      <c r="N12" s="14">
        <f>IF(A12="","",COUNT(H12:M12)/6)</f>
        <v/>
      </c>
      <c r="O12" s="15">
        <f>IF(COUNT(H12:M12)=0,"",IF(LEN(IF(COUNT(I12,J12)=2,IF(J12&gt;I12+1,"EBE &gt; VA ",""),"")&amp;IF(COUNT(H12,M12)=2,IF(ABS(M12)&gt;ABS(H12),"RN &gt; CA ",""),"")&amp;IF(COUNT(H12,K12)=2,IF(ABS(K12)&gt;ABS(H12),"RE &gt; CA ",""),""))=0,"OK",IF(COUNT(I12,J12)=2,IF(J12&gt;I12+1,"EBE &gt; VA ",""),"")&amp;IF(COUNT(H12,M12)=2,IF(ABS(M12)&gt;ABS(H12),"RN &gt; CA ",""),"")&amp;IF(COUNT(H12,K12)=2,IF(ABS(K12)&gt;ABS(H12),"RE &gt; CA ",""),"")))</f>
        <v/>
      </c>
    </row>
    <row r="13">
      <c r="A13" s="9" t="inlineStr">
        <is>
          <t>NTLC</t>
        </is>
      </c>
      <c r="B13" s="10">
        <f>IF(A13="","",IFERROR(VLOOKUP(A13,Titres!$A$2:$B$400,2,FALSE),"Ticker inconnu"))</f>
        <v/>
      </c>
      <c r="C13" s="11" t="n">
        <v>2023</v>
      </c>
      <c r="D13" s="11" t="inlineStr">
        <is>
          <t>T3</t>
        </is>
      </c>
      <c r="E13" s="9" t="n"/>
      <c r="F13" s="12" t="n"/>
      <c r="G13" s="9" t="n"/>
      <c r="H13" s="13" t="n"/>
      <c r="I13" s="13" t="n"/>
      <c r="J13" s="13" t="n"/>
      <c r="K13" s="13" t="n"/>
      <c r="L13" s="13" t="n"/>
      <c r="M13" s="13" t="n"/>
      <c r="N13" s="14">
        <f>IF(A13="","",COUNT(H13:M13)/6)</f>
        <v/>
      </c>
      <c r="O13" s="15">
        <f>IF(COUNT(H13:M13)=0,"",IF(LEN(IF(COUNT(I13,J13)=2,IF(J13&gt;I13+1,"EBE &gt; VA ",""),"")&amp;IF(COUNT(H13,M13)=2,IF(ABS(M13)&gt;ABS(H13),"RN &gt; CA ",""),"")&amp;IF(COUNT(H13,K13)=2,IF(ABS(K13)&gt;ABS(H13),"RE &gt; CA ",""),""))=0,"OK",IF(COUNT(I13,J13)=2,IF(J13&gt;I13+1,"EBE &gt; VA ",""),"")&amp;IF(COUNT(H13,M13)=2,IF(ABS(M13)&gt;ABS(H13),"RN &gt; CA ",""),"")&amp;IF(COUNT(H13,K13)=2,IF(ABS(K13)&gt;ABS(H13),"RE &gt; CA ",""),"")))</f>
        <v/>
      </c>
    </row>
    <row r="14">
      <c r="A14" s="9" t="inlineStr">
        <is>
          <t>NTLC</t>
        </is>
      </c>
      <c r="B14" s="10">
        <f>IF(A14="","",IFERROR(VLOOKUP(A14,Titres!$A$2:$B$400,2,FALSE),"Ticker inconnu"))</f>
        <v/>
      </c>
      <c r="C14" s="11" t="n">
        <v>2024</v>
      </c>
      <c r="D14" s="11" t="inlineStr">
        <is>
          <t>T1</t>
        </is>
      </c>
      <c r="E14" s="9" t="n"/>
      <c r="F14" s="12" t="n"/>
      <c r="G14" s="9" t="n"/>
      <c r="H14" s="13" t="n"/>
      <c r="I14" s="13" t="n"/>
      <c r="J14" s="13" t="n"/>
      <c r="K14" s="13" t="n"/>
      <c r="L14" s="13" t="n"/>
      <c r="M14" s="13" t="n"/>
      <c r="N14" s="14">
        <f>IF(A14="","",COUNT(H14:M14)/6)</f>
        <v/>
      </c>
      <c r="O14" s="15">
        <f>IF(COUNT(H14:M14)=0,"",IF(LEN(IF(COUNT(I14,J14)=2,IF(J14&gt;I14+1,"EBE &gt; VA ",""),"")&amp;IF(COUNT(H14,M14)=2,IF(ABS(M14)&gt;ABS(H14),"RN &gt; CA ",""),"")&amp;IF(COUNT(H14,K14)=2,IF(ABS(K14)&gt;ABS(H14),"RE &gt; CA ",""),""))=0,"OK",IF(COUNT(I14,J14)=2,IF(J14&gt;I14+1,"EBE &gt; VA ",""),"")&amp;IF(COUNT(H14,M14)=2,IF(ABS(M14)&gt;ABS(H14),"RN &gt; CA ",""),"")&amp;IF(COUNT(H14,K14)=2,IF(ABS(K14)&gt;ABS(H14),"RE &gt; CA ",""),"")))</f>
        <v/>
      </c>
    </row>
    <row r="15">
      <c r="A15" s="9" t="inlineStr">
        <is>
          <t>NTLC</t>
        </is>
      </c>
      <c r="B15" s="10">
        <f>IF(A15="","",IFERROR(VLOOKUP(A15,Titres!$A$2:$B$400,2,FALSE),"Ticker inconnu"))</f>
        <v/>
      </c>
      <c r="C15" s="11" t="n">
        <v>2024</v>
      </c>
      <c r="D15" s="11" t="inlineStr">
        <is>
          <t>S1</t>
        </is>
      </c>
      <c r="E15" s="9" t="n"/>
      <c r="F15" s="12" t="n"/>
      <c r="G15" s="9" t="n"/>
      <c r="H15" s="13" t="n"/>
      <c r="I15" s="13" t="n"/>
      <c r="J15" s="13" t="n"/>
      <c r="K15" s="13" t="n"/>
      <c r="L15" s="13" t="n"/>
      <c r="M15" s="13" t="n"/>
      <c r="N15" s="14">
        <f>IF(A15="","",COUNT(H15:M15)/6)</f>
        <v/>
      </c>
      <c r="O15" s="15">
        <f>IF(COUNT(H15:M15)=0,"",IF(LEN(IF(COUNT(I15,J15)=2,IF(J15&gt;I15+1,"EBE &gt; VA ",""),"")&amp;IF(COUNT(H15,M15)=2,IF(ABS(M15)&gt;ABS(H15),"RN &gt; CA ",""),"")&amp;IF(COUNT(H15,K15)=2,IF(ABS(K15)&gt;ABS(H15),"RE &gt; CA ",""),""))=0,"OK",IF(COUNT(I15,J15)=2,IF(J15&gt;I15+1,"EBE &gt; VA ",""),"")&amp;IF(COUNT(H15,M15)=2,IF(ABS(M15)&gt;ABS(H15),"RN &gt; CA ",""),"")&amp;IF(COUNT(H15,K15)=2,IF(ABS(K15)&gt;ABS(H15),"RE &gt; CA ",""),"")))</f>
        <v/>
      </c>
    </row>
    <row r="16">
      <c r="A16" s="9" t="inlineStr">
        <is>
          <t>NTLC</t>
        </is>
      </c>
      <c r="B16" s="10">
        <f>IF(A16="","",IFERROR(VLOOKUP(A16,Titres!$A$2:$B$400,2,FALSE),"Ticker inconnu"))</f>
        <v/>
      </c>
      <c r="C16" s="11" t="n">
        <v>2024</v>
      </c>
      <c r="D16" s="11" t="inlineStr">
        <is>
          <t>T3</t>
        </is>
      </c>
      <c r="E16" s="9" t="n"/>
      <c r="F16" s="12" t="n"/>
      <c r="G16" s="9" t="n"/>
      <c r="H16" s="13" t="n"/>
      <c r="I16" s="13" t="n"/>
      <c r="J16" s="13" t="n"/>
      <c r="K16" s="13" t="n"/>
      <c r="L16" s="13" t="n"/>
      <c r="M16" s="13" t="n"/>
      <c r="N16" s="14">
        <f>IF(A16="","",COUNT(H16:M16)/6)</f>
        <v/>
      </c>
      <c r="O16" s="15">
        <f>IF(COUNT(H16:M16)=0,"",IF(LEN(IF(COUNT(I16,J16)=2,IF(J16&gt;I16+1,"EBE &gt; VA ",""),"")&amp;IF(COUNT(H16,M16)=2,IF(ABS(M16)&gt;ABS(H16),"RN &gt; CA ",""),"")&amp;IF(COUNT(H16,K16)=2,IF(ABS(K16)&gt;ABS(H16),"RE &gt; CA ",""),""))=0,"OK",IF(COUNT(I16,J16)=2,IF(J16&gt;I16+1,"EBE &gt; VA ",""),"")&amp;IF(COUNT(H16,M16)=2,IF(ABS(M16)&gt;ABS(H16),"RN &gt; CA ",""),"")&amp;IF(COUNT(H16,K16)=2,IF(ABS(K16)&gt;ABS(H16),"RE &gt; CA ",""),"")))</f>
        <v/>
      </c>
    </row>
    <row r="17">
      <c r="A17" s="9" t="inlineStr">
        <is>
          <t>NTLC</t>
        </is>
      </c>
      <c r="B17" s="10">
        <f>IF(A17="","",IFERROR(VLOOKUP(A17,Titres!$A$2:$B$400,2,FALSE),"Ticker inconnu"))</f>
        <v/>
      </c>
      <c r="C17" s="11" t="n">
        <v>2025</v>
      </c>
      <c r="D17" s="11" t="inlineStr">
        <is>
          <t>T1</t>
        </is>
      </c>
      <c r="E17" s="9" t="inlineStr">
        <is>
          <t>Publié</t>
        </is>
      </c>
      <c r="F17" s="12" t="n">
        <v>46142</v>
      </c>
      <c r="G17" s="9" t="inlineStr">
        <is>
          <t>https://www.richbourse.com/common/actualite/afficher-fichier/30-04-2026-nestle-ci-rapport-dactivites-1er-trimestre-2026 (comparatif N-1)</t>
        </is>
      </c>
      <c r="H17" s="13" t="n">
        <v>54079.13</v>
      </c>
      <c r="I17" s="13" t="n"/>
      <c r="J17" s="13" t="n"/>
      <c r="K17" s="13" t="n"/>
      <c r="L17" s="13" t="n">
        <v>9487.852999999999</v>
      </c>
      <c r="M17" s="13" t="n">
        <v>5479.04</v>
      </c>
      <c r="N17" s="14">
        <f>IF(A17="","",COUNT(H17:M17)/6)</f>
        <v/>
      </c>
      <c r="O17" s="15">
        <f>IF(COUNT(H17:M17)=0,"",IF(LEN(IF(COUNT(I17,J17)=2,IF(J17&gt;I17+1,"EBE &gt; VA ",""),"")&amp;IF(COUNT(H17,M17)=2,IF(ABS(M17)&gt;ABS(H17),"RN &gt; CA ",""),"")&amp;IF(COUNT(H17,K17)=2,IF(ABS(K17)&gt;ABS(H17),"RE &gt; CA ",""),""))=0,"OK",IF(COUNT(I17,J17)=2,IF(J17&gt;I17+1,"EBE &gt; VA ",""),"")&amp;IF(COUNT(H17,M17)=2,IF(ABS(M17)&gt;ABS(H17),"RN &gt; CA ",""),"")&amp;IF(COUNT(H17,K17)=2,IF(ABS(K17)&gt;ABS(H17),"RE &gt; CA ",""),"")))</f>
        <v/>
      </c>
    </row>
    <row r="18">
      <c r="A18" s="9" t="inlineStr">
        <is>
          <t>NTLC</t>
        </is>
      </c>
      <c r="B18" s="10">
        <f>IF(A18="","",IFERROR(VLOOKUP(A18,Titres!$A$2:$B$400,2,FALSE),"Ticker inconnu"))</f>
        <v/>
      </c>
      <c r="C18" s="11" t="n">
        <v>2025</v>
      </c>
      <c r="D18" s="11" t="inlineStr">
        <is>
          <t>S1</t>
        </is>
      </c>
      <c r="E18" s="9" t="n"/>
      <c r="F18" s="12" t="n"/>
      <c r="G18" s="9" t="n"/>
      <c r="H18" s="13" t="n"/>
      <c r="I18" s="13" t="n"/>
      <c r="J18" s="13" t="n"/>
      <c r="K18" s="13" t="n"/>
      <c r="L18" s="13" t="n"/>
      <c r="M18" s="13" t="n"/>
      <c r="N18" s="14">
        <f>IF(A18="","",COUNT(H18:M18)/6)</f>
        <v/>
      </c>
      <c r="O18" s="15">
        <f>IF(COUNT(H18:M18)=0,"",IF(LEN(IF(COUNT(I18,J18)=2,IF(J18&gt;I18+1,"EBE &gt; VA ",""),"")&amp;IF(COUNT(H18,M18)=2,IF(ABS(M18)&gt;ABS(H18),"RN &gt; CA ",""),"")&amp;IF(COUNT(H18,K18)=2,IF(ABS(K18)&gt;ABS(H18),"RE &gt; CA ",""),""))=0,"OK",IF(COUNT(I18,J18)=2,IF(J18&gt;I18+1,"EBE &gt; VA ",""),"")&amp;IF(COUNT(H18,M18)=2,IF(ABS(M18)&gt;ABS(H18),"RN &gt; CA ",""),"")&amp;IF(COUNT(H18,K18)=2,IF(ABS(K18)&gt;ABS(H18),"RE &gt; CA ",""),"")))</f>
        <v/>
      </c>
    </row>
    <row r="19">
      <c r="A19" s="9" t="inlineStr">
        <is>
          <t>NTLC</t>
        </is>
      </c>
      <c r="B19" s="10">
        <f>IF(A19="","",IFERROR(VLOOKUP(A19,Titres!$A$2:$B$400,2,FALSE),"Ticker inconnu"))</f>
        <v/>
      </c>
      <c r="C19" s="11" t="n">
        <v>2025</v>
      </c>
      <c r="D19" s="11" t="inlineStr">
        <is>
          <t>T3</t>
        </is>
      </c>
      <c r="E19" s="9" t="n"/>
      <c r="F19" s="12" t="n"/>
      <c r="G19" s="9" t="n"/>
      <c r="H19" s="13" t="n"/>
      <c r="I19" s="13" t="n"/>
      <c r="J19" s="13" t="n"/>
      <c r="K19" s="13" t="n"/>
      <c r="L19" s="13" t="n"/>
      <c r="M19" s="13" t="n"/>
      <c r="N19" s="14">
        <f>IF(A19="","",COUNT(H19:M19)/6)</f>
        <v/>
      </c>
      <c r="O19" s="15">
        <f>IF(COUNT(H19:M19)=0,"",IF(LEN(IF(COUNT(I19,J19)=2,IF(J19&gt;I19+1,"EBE &gt; VA ",""),"")&amp;IF(COUNT(H19,M19)=2,IF(ABS(M19)&gt;ABS(H19),"RN &gt; CA ",""),"")&amp;IF(COUNT(H19,K19)=2,IF(ABS(K19)&gt;ABS(H19),"RE &gt; CA ",""),""))=0,"OK",IF(COUNT(I19,J19)=2,IF(J19&gt;I19+1,"EBE &gt; VA ",""),"")&amp;IF(COUNT(H19,M19)=2,IF(ABS(M19)&gt;ABS(H19),"RN &gt; CA ",""),"")&amp;IF(COUNT(H19,K19)=2,IF(ABS(K19)&gt;ABS(H19),"RE &gt; CA ",""),"")))</f>
        <v/>
      </c>
    </row>
    <row r="20">
      <c r="A20" s="9" t="inlineStr">
        <is>
          <t>NTLC</t>
        </is>
      </c>
      <c r="B20" s="10">
        <f>IF(A20="","",IFERROR(VLOOKUP(A20,Titres!$A$2:$B$400,2,FALSE),"Ticker inconnu"))</f>
        <v/>
      </c>
      <c r="C20" s="11" t="n">
        <v>2026</v>
      </c>
      <c r="D20" s="11" t="inlineStr">
        <is>
          <t>T1</t>
        </is>
      </c>
      <c r="E20" s="9" t="inlineStr">
        <is>
          <t>Publié</t>
        </is>
      </c>
      <c r="F20" s="12" t="n">
        <v>46142</v>
      </c>
      <c r="G20" s="9" t="inlineStr">
        <is>
          <t>https://www.richbourse.com/common/actualite/afficher-fichier/30-04-2026-nestle-ci-rapport-dactivites-1er-trimestre-2026</t>
        </is>
      </c>
      <c r="H20" s="13" t="n">
        <v>70821.658</v>
      </c>
      <c r="I20" s="13" t="n"/>
      <c r="J20" s="13" t="n"/>
      <c r="K20" s="13" t="n"/>
      <c r="L20" s="13" t="n">
        <v>10874.637</v>
      </c>
      <c r="M20" s="13" t="n">
        <v>7525.623</v>
      </c>
      <c r="N20" s="14">
        <f>IF(A20="","",COUNT(H20:M20)/6)</f>
        <v/>
      </c>
      <c r="O20" s="15">
        <f>IF(COUNT(H20:M20)=0,"",IF(LEN(IF(COUNT(I20,J20)=2,IF(J20&gt;I20+1,"EBE &gt; VA ",""),"")&amp;IF(COUNT(H20,M20)=2,IF(ABS(M20)&gt;ABS(H20),"RN &gt; CA ",""),"")&amp;IF(COUNT(H20,K20)=2,IF(ABS(K20)&gt;ABS(H20),"RE &gt; CA ",""),""))=0,"OK",IF(COUNT(I20,J20)=2,IF(J20&gt;I20+1,"EBE &gt; VA ",""),"")&amp;IF(COUNT(H20,M20)=2,IF(ABS(M20)&gt;ABS(H20),"RN &gt; CA ",""),"")&amp;IF(COUNT(H20,K20)=2,IF(ABS(K20)&gt;ABS(H20),"RE &gt; CA ",""),"")))</f>
        <v/>
      </c>
    </row>
    <row r="21">
      <c r="A21" s="9" t="inlineStr">
        <is>
          <t>NTLC</t>
        </is>
      </c>
      <c r="B21" s="10">
        <f>IF(A21="","",IFERROR(VLOOKUP(A21,Titres!$A$2:$B$400,2,FALSE),"Ticker inconnu"))</f>
        <v/>
      </c>
      <c r="C21" s="11" t="n">
        <v>2026</v>
      </c>
      <c r="D21" s="11" t="inlineStr">
        <is>
          <t>S1</t>
        </is>
      </c>
      <c r="E21" s="9" t="n"/>
      <c r="F21" s="12" t="n"/>
      <c r="G21" s="9" t="n"/>
      <c r="H21" s="13" t="n"/>
      <c r="I21" s="13" t="n"/>
      <c r="J21" s="13" t="n"/>
      <c r="K21" s="13" t="n"/>
      <c r="L21" s="13" t="n"/>
      <c r="M21" s="13" t="n"/>
      <c r="N21" s="14">
        <f>IF(A21="","",COUNT(H21:M21)/6)</f>
        <v/>
      </c>
      <c r="O21" s="15">
        <f>IF(COUNT(H21:M21)=0,"",IF(LEN(IF(COUNT(I21,J21)=2,IF(J21&gt;I21+1,"EBE &gt; VA ",""),"")&amp;IF(COUNT(H21,M21)=2,IF(ABS(M21)&gt;ABS(H21),"RN &gt; CA ",""),"")&amp;IF(COUNT(H21,K21)=2,IF(ABS(K21)&gt;ABS(H21),"RE &gt; CA ",""),""))=0,"OK",IF(COUNT(I21,J21)=2,IF(J21&gt;I21+1,"EBE &gt; VA ",""),"")&amp;IF(COUNT(H21,M21)=2,IF(ABS(M21)&gt;ABS(H21),"RN &gt; CA ",""),"")&amp;IF(COUNT(H21,K21)=2,IF(ABS(K21)&gt;ABS(H21),"RE &gt; CA ",""),"")))</f>
        <v/>
      </c>
    </row>
    <row r="22">
      <c r="A22" s="9" t="inlineStr">
        <is>
          <t>NTLC</t>
        </is>
      </c>
      <c r="B22" s="10">
        <f>IF(A22="","",IFERROR(VLOOKUP(A22,Titres!$A$2:$B$400,2,FALSE),"Ticker inconnu"))</f>
        <v/>
      </c>
      <c r="C22" s="11" t="n">
        <v>2026</v>
      </c>
      <c r="D22" s="11" t="inlineStr">
        <is>
          <t>T3</t>
        </is>
      </c>
      <c r="E22" s="9" t="n"/>
      <c r="F22" s="12" t="n"/>
      <c r="G22" s="9" t="n"/>
      <c r="H22" s="13" t="n"/>
      <c r="I22" s="13" t="n"/>
      <c r="J22" s="13" t="n"/>
      <c r="K22" s="13" t="n"/>
      <c r="L22" s="13" t="n"/>
      <c r="M22" s="13" t="n"/>
      <c r="N22" s="14">
        <f>IF(A22="","",COUNT(H22:M22)/6)</f>
        <v/>
      </c>
      <c r="O22" s="15">
        <f>IF(COUNT(H22:M22)=0,"",IF(LEN(IF(COUNT(I22,J22)=2,IF(J22&gt;I22+1,"EBE &gt; VA ",""),"")&amp;IF(COUNT(H22,M22)=2,IF(ABS(M22)&gt;ABS(H22),"RN &gt; CA ",""),"")&amp;IF(COUNT(H22,K22)=2,IF(ABS(K22)&gt;ABS(H22),"RE &gt; CA ",""),""))=0,"OK",IF(COUNT(I22,J22)=2,IF(J22&gt;I22+1,"EBE &gt; VA ",""),"")&amp;IF(COUNT(H22,M22)=2,IF(ABS(M22)&gt;ABS(H22),"RN &gt; CA ",""),"")&amp;IF(COUNT(H22,K22)=2,IF(ABS(K22)&gt;ABS(H22),"RE &gt; CA ",""),"")))</f>
        <v/>
      </c>
    </row>
    <row r="23">
      <c r="A23" s="9" t="inlineStr">
        <is>
          <t>PALC</t>
        </is>
      </c>
      <c r="B23" s="10">
        <f>IF(A23="","",IFERROR(VLOOKUP(A23,Titres!$A$2:$B$400,2,FALSE),"Ticker inconnu"))</f>
        <v/>
      </c>
      <c r="C23" s="11" t="n">
        <v>2021</v>
      </c>
      <c r="D23" s="11" t="inlineStr">
        <is>
          <t>T1</t>
        </is>
      </c>
      <c r="E23" s="9" t="n"/>
      <c r="F23" s="12" t="n"/>
      <c r="G23" s="9" t="n"/>
      <c r="H23" s="13" t="n"/>
      <c r="I23" s="13" t="n"/>
      <c r="J23" s="13" t="n"/>
      <c r="K23" s="13" t="n"/>
      <c r="L23" s="13" t="n"/>
      <c r="M23" s="13" t="n"/>
      <c r="N23" s="14">
        <f>IF(A23="","",COUNT(H23:M23)/6)</f>
        <v/>
      </c>
      <c r="O23" s="15">
        <f>IF(COUNT(H23:M23)=0,"",IF(LEN(IF(COUNT(I23,J23)=2,IF(J23&gt;I23+1,"EBE &gt; VA ",""),"")&amp;IF(COUNT(H23,M23)=2,IF(ABS(M23)&gt;ABS(H23),"RN &gt; CA ",""),"")&amp;IF(COUNT(H23,K23)=2,IF(ABS(K23)&gt;ABS(H23),"RE &gt; CA ",""),""))=0,"OK",IF(COUNT(I23,J23)=2,IF(J23&gt;I23+1,"EBE &gt; VA ",""),"")&amp;IF(COUNT(H23,M23)=2,IF(ABS(M23)&gt;ABS(H23),"RN &gt; CA ",""),"")&amp;IF(COUNT(H23,K23)=2,IF(ABS(K23)&gt;ABS(H23),"RE &gt; CA ",""),"")))</f>
        <v/>
      </c>
    </row>
    <row r="24">
      <c r="A24" s="9" t="inlineStr">
        <is>
          <t>PALC</t>
        </is>
      </c>
      <c r="B24" s="10">
        <f>IF(A24="","",IFERROR(VLOOKUP(A24,Titres!$A$2:$B$400,2,FALSE),"Ticker inconnu"))</f>
        <v/>
      </c>
      <c r="C24" s="11" t="n">
        <v>2021</v>
      </c>
      <c r="D24" s="11" t="inlineStr">
        <is>
          <t>S1</t>
        </is>
      </c>
      <c r="E24" s="9" t="n"/>
      <c r="F24" s="12" t="n"/>
      <c r="G24" s="9" t="n"/>
      <c r="H24" s="13" t="n"/>
      <c r="I24" s="13" t="n"/>
      <c r="J24" s="13" t="n"/>
      <c r="K24" s="13" t="n"/>
      <c r="L24" s="13" t="n"/>
      <c r="M24" s="13" t="n"/>
      <c r="N24" s="14">
        <f>IF(A24="","",COUNT(H24:M24)/6)</f>
        <v/>
      </c>
      <c r="O24" s="15">
        <f>IF(COUNT(H24:M24)=0,"",IF(LEN(IF(COUNT(I24,J24)=2,IF(J24&gt;I24+1,"EBE &gt; VA ",""),"")&amp;IF(COUNT(H24,M24)=2,IF(ABS(M24)&gt;ABS(H24),"RN &gt; CA ",""),"")&amp;IF(COUNT(H24,K24)=2,IF(ABS(K24)&gt;ABS(H24),"RE &gt; CA ",""),""))=0,"OK",IF(COUNT(I24,J24)=2,IF(J24&gt;I24+1,"EBE &gt; VA ",""),"")&amp;IF(COUNT(H24,M24)=2,IF(ABS(M24)&gt;ABS(H24),"RN &gt; CA ",""),"")&amp;IF(COUNT(H24,K24)=2,IF(ABS(K24)&gt;ABS(H24),"RE &gt; CA ",""),"")))</f>
        <v/>
      </c>
    </row>
    <row r="25">
      <c r="A25" s="9" t="inlineStr">
        <is>
          <t>PALC</t>
        </is>
      </c>
      <c r="B25" s="10">
        <f>IF(A25="","",IFERROR(VLOOKUP(A25,Titres!$A$2:$B$400,2,FALSE),"Ticker inconnu"))</f>
        <v/>
      </c>
      <c r="C25" s="11" t="n">
        <v>2021</v>
      </c>
      <c r="D25" s="11" t="inlineStr">
        <is>
          <t>T3</t>
        </is>
      </c>
      <c r="E25" s="9" t="n"/>
      <c r="F25" s="12" t="n"/>
      <c r="G25" s="9" t="n"/>
      <c r="H25" s="13" t="n"/>
      <c r="I25" s="13" t="n"/>
      <c r="J25" s="13" t="n"/>
      <c r="K25" s="13" t="n"/>
      <c r="L25" s="13" t="n"/>
      <c r="M25" s="13" t="n"/>
      <c r="N25" s="14">
        <f>IF(A25="","",COUNT(H25:M25)/6)</f>
        <v/>
      </c>
      <c r="O25" s="15">
        <f>IF(COUNT(H25:M25)=0,"",IF(LEN(IF(COUNT(I25,J25)=2,IF(J25&gt;I25+1,"EBE &gt; VA ",""),"")&amp;IF(COUNT(H25,M25)=2,IF(ABS(M25)&gt;ABS(H25),"RN &gt; CA ",""),"")&amp;IF(COUNT(H25,K25)=2,IF(ABS(K25)&gt;ABS(H25),"RE &gt; CA ",""),""))=0,"OK",IF(COUNT(I25,J25)=2,IF(J25&gt;I25+1,"EBE &gt; VA ",""),"")&amp;IF(COUNT(H25,M25)=2,IF(ABS(M25)&gt;ABS(H25),"RN &gt; CA ",""),"")&amp;IF(COUNT(H25,K25)=2,IF(ABS(K25)&gt;ABS(H25),"RE &gt; CA ",""),"")))</f>
        <v/>
      </c>
    </row>
    <row r="26">
      <c r="A26" s="9" t="inlineStr">
        <is>
          <t>PALC</t>
        </is>
      </c>
      <c r="B26" s="10">
        <f>IF(A26="","",IFERROR(VLOOKUP(A26,Titres!$A$2:$B$400,2,FALSE),"Ticker inconnu"))</f>
        <v/>
      </c>
      <c r="C26" s="11" t="n">
        <v>2022</v>
      </c>
      <c r="D26" s="11" t="inlineStr">
        <is>
          <t>T1</t>
        </is>
      </c>
      <c r="E26" s="9" t="n"/>
      <c r="F26" s="12" t="n"/>
      <c r="G26" s="9" t="n"/>
      <c r="H26" s="13" t="n"/>
      <c r="I26" s="13" t="n"/>
      <c r="J26" s="13" t="n"/>
      <c r="K26" s="13" t="n"/>
      <c r="L26" s="13" t="n"/>
      <c r="M26" s="13" t="n"/>
      <c r="N26" s="14">
        <f>IF(A26="","",COUNT(H26:M26)/6)</f>
        <v/>
      </c>
      <c r="O26" s="15">
        <f>IF(COUNT(H26:M26)=0,"",IF(LEN(IF(COUNT(I26,J26)=2,IF(J26&gt;I26+1,"EBE &gt; VA ",""),"")&amp;IF(COUNT(H26,M26)=2,IF(ABS(M26)&gt;ABS(H26),"RN &gt; CA ",""),"")&amp;IF(COUNT(H26,K26)=2,IF(ABS(K26)&gt;ABS(H26),"RE &gt; CA ",""),""))=0,"OK",IF(COUNT(I26,J26)=2,IF(J26&gt;I26+1,"EBE &gt; VA ",""),"")&amp;IF(COUNT(H26,M26)=2,IF(ABS(M26)&gt;ABS(H26),"RN &gt; CA ",""),"")&amp;IF(COUNT(H26,K26)=2,IF(ABS(K26)&gt;ABS(H26),"RE &gt; CA ",""),"")))</f>
        <v/>
      </c>
    </row>
    <row r="27">
      <c r="A27" s="9" t="inlineStr">
        <is>
          <t>PALC</t>
        </is>
      </c>
      <c r="B27" s="10">
        <f>IF(A27="","",IFERROR(VLOOKUP(A27,Titres!$A$2:$B$400,2,FALSE),"Ticker inconnu"))</f>
        <v/>
      </c>
      <c r="C27" s="11" t="n">
        <v>2022</v>
      </c>
      <c r="D27" s="11" t="inlineStr">
        <is>
          <t>S1</t>
        </is>
      </c>
      <c r="E27" s="9" t="n"/>
      <c r="F27" s="12" t="n"/>
      <c r="G27" s="9" t="n"/>
      <c r="H27" s="13" t="n"/>
      <c r="I27" s="13" t="n"/>
      <c r="J27" s="13" t="n"/>
      <c r="K27" s="13" t="n"/>
      <c r="L27" s="13" t="n"/>
      <c r="M27" s="13" t="n"/>
      <c r="N27" s="14">
        <f>IF(A27="","",COUNT(H27:M27)/6)</f>
        <v/>
      </c>
      <c r="O27" s="15">
        <f>IF(COUNT(H27:M27)=0,"",IF(LEN(IF(COUNT(I27,J27)=2,IF(J27&gt;I27+1,"EBE &gt; VA ",""),"")&amp;IF(COUNT(H27,M27)=2,IF(ABS(M27)&gt;ABS(H27),"RN &gt; CA ",""),"")&amp;IF(COUNT(H27,K27)=2,IF(ABS(K27)&gt;ABS(H27),"RE &gt; CA ",""),""))=0,"OK",IF(COUNT(I27,J27)=2,IF(J27&gt;I27+1,"EBE &gt; VA ",""),"")&amp;IF(COUNT(H27,M27)=2,IF(ABS(M27)&gt;ABS(H27),"RN &gt; CA ",""),"")&amp;IF(COUNT(H27,K27)=2,IF(ABS(K27)&gt;ABS(H27),"RE &gt; CA ",""),"")))</f>
        <v/>
      </c>
    </row>
    <row r="28">
      <c r="A28" s="9" t="inlineStr">
        <is>
          <t>PALC</t>
        </is>
      </c>
      <c r="B28" s="10">
        <f>IF(A28="","",IFERROR(VLOOKUP(A28,Titres!$A$2:$B$400,2,FALSE),"Ticker inconnu"))</f>
        <v/>
      </c>
      <c r="C28" s="11" t="n">
        <v>2022</v>
      </c>
      <c r="D28" s="11" t="inlineStr">
        <is>
          <t>T3</t>
        </is>
      </c>
      <c r="E28" s="9" t="n"/>
      <c r="F28" s="12" t="n"/>
      <c r="G28" s="9" t="n"/>
      <c r="H28" s="13" t="n"/>
      <c r="I28" s="13" t="n"/>
      <c r="J28" s="13" t="n"/>
      <c r="K28" s="13" t="n"/>
      <c r="L28" s="13" t="n"/>
      <c r="M28" s="13" t="n"/>
      <c r="N28" s="14">
        <f>IF(A28="","",COUNT(H28:M28)/6)</f>
        <v/>
      </c>
      <c r="O28" s="15">
        <f>IF(COUNT(H28:M28)=0,"",IF(LEN(IF(COUNT(I28,J28)=2,IF(J28&gt;I28+1,"EBE &gt; VA ",""),"")&amp;IF(COUNT(H28,M28)=2,IF(ABS(M28)&gt;ABS(H28),"RN &gt; CA ",""),"")&amp;IF(COUNT(H28,K28)=2,IF(ABS(K28)&gt;ABS(H28),"RE &gt; CA ",""),""))=0,"OK",IF(COUNT(I28,J28)=2,IF(J28&gt;I28+1,"EBE &gt; VA ",""),"")&amp;IF(COUNT(H28,M28)=2,IF(ABS(M28)&gt;ABS(H28),"RN &gt; CA ",""),"")&amp;IF(COUNT(H28,K28)=2,IF(ABS(K28)&gt;ABS(H28),"RE &gt; CA ",""),"")))</f>
        <v/>
      </c>
    </row>
    <row r="29">
      <c r="A29" s="9" t="inlineStr">
        <is>
          <t>PALC</t>
        </is>
      </c>
      <c r="B29" s="10">
        <f>IF(A29="","",IFERROR(VLOOKUP(A29,Titres!$A$2:$B$400,2,FALSE),"Ticker inconnu"))</f>
        <v/>
      </c>
      <c r="C29" s="11" t="n">
        <v>2023</v>
      </c>
      <c r="D29" s="11" t="inlineStr">
        <is>
          <t>T1</t>
        </is>
      </c>
      <c r="E29" s="9" t="n"/>
      <c r="F29" s="12" t="n"/>
      <c r="G29" s="9" t="n"/>
      <c r="H29" s="13" t="n"/>
      <c r="I29" s="13" t="n"/>
      <c r="J29" s="13" t="n"/>
      <c r="K29" s="13" t="n"/>
      <c r="L29" s="13" t="n"/>
      <c r="M29" s="13" t="n"/>
      <c r="N29" s="14">
        <f>IF(A29="","",COUNT(H29:M29)/6)</f>
        <v/>
      </c>
      <c r="O29" s="15">
        <f>IF(COUNT(H29:M29)=0,"",IF(LEN(IF(COUNT(I29,J29)=2,IF(J29&gt;I29+1,"EBE &gt; VA ",""),"")&amp;IF(COUNT(H29,M29)=2,IF(ABS(M29)&gt;ABS(H29),"RN &gt; CA ",""),"")&amp;IF(COUNT(H29,K29)=2,IF(ABS(K29)&gt;ABS(H29),"RE &gt; CA ",""),""))=0,"OK",IF(COUNT(I29,J29)=2,IF(J29&gt;I29+1,"EBE &gt; VA ",""),"")&amp;IF(COUNT(H29,M29)=2,IF(ABS(M29)&gt;ABS(H29),"RN &gt; CA ",""),"")&amp;IF(COUNT(H29,K29)=2,IF(ABS(K29)&gt;ABS(H29),"RE &gt; CA ",""),"")))</f>
        <v/>
      </c>
    </row>
    <row r="30">
      <c r="A30" s="9" t="inlineStr">
        <is>
          <t>PALC</t>
        </is>
      </c>
      <c r="B30" s="10">
        <f>IF(A30="","",IFERROR(VLOOKUP(A30,Titres!$A$2:$B$400,2,FALSE),"Ticker inconnu"))</f>
        <v/>
      </c>
      <c r="C30" s="11" t="n">
        <v>2023</v>
      </c>
      <c r="D30" s="11" t="inlineStr">
        <is>
          <t>S1</t>
        </is>
      </c>
      <c r="E30" s="9" t="n"/>
      <c r="F30" s="12" t="n"/>
      <c r="G30" s="9" t="n"/>
      <c r="H30" s="13" t="n"/>
      <c r="I30" s="13" t="n"/>
      <c r="J30" s="13" t="n"/>
      <c r="K30" s="13" t="n"/>
      <c r="L30" s="13" t="n"/>
      <c r="M30" s="13" t="n"/>
      <c r="N30" s="14">
        <f>IF(A30="","",COUNT(H30:M30)/6)</f>
        <v/>
      </c>
      <c r="O30" s="15">
        <f>IF(COUNT(H30:M30)=0,"",IF(LEN(IF(COUNT(I30,J30)=2,IF(J30&gt;I30+1,"EBE &gt; VA ",""),"")&amp;IF(COUNT(H30,M30)=2,IF(ABS(M30)&gt;ABS(H30),"RN &gt; CA ",""),"")&amp;IF(COUNT(H30,K30)=2,IF(ABS(K30)&gt;ABS(H30),"RE &gt; CA ",""),""))=0,"OK",IF(COUNT(I30,J30)=2,IF(J30&gt;I30+1,"EBE &gt; VA ",""),"")&amp;IF(COUNT(H30,M30)=2,IF(ABS(M30)&gt;ABS(H30),"RN &gt; CA ",""),"")&amp;IF(COUNT(H30,K30)=2,IF(ABS(K30)&gt;ABS(H30),"RE &gt; CA ",""),"")))</f>
        <v/>
      </c>
    </row>
    <row r="31">
      <c r="A31" s="9" t="inlineStr">
        <is>
          <t>PALC</t>
        </is>
      </c>
      <c r="B31" s="10">
        <f>IF(A31="","",IFERROR(VLOOKUP(A31,Titres!$A$2:$B$400,2,FALSE),"Ticker inconnu"))</f>
        <v/>
      </c>
      <c r="C31" s="11" t="n">
        <v>2023</v>
      </c>
      <c r="D31" s="11" t="inlineStr">
        <is>
          <t>T3</t>
        </is>
      </c>
      <c r="E31" s="9" t="n"/>
      <c r="F31" s="12" t="n"/>
      <c r="G31" s="9" t="n"/>
      <c r="H31" s="13" t="n"/>
      <c r="I31" s="13" t="n"/>
      <c r="J31" s="13" t="n"/>
      <c r="K31" s="13" t="n"/>
      <c r="L31" s="13" t="n"/>
      <c r="M31" s="13" t="n"/>
      <c r="N31" s="14">
        <f>IF(A31="","",COUNT(H31:M31)/6)</f>
        <v/>
      </c>
      <c r="O31" s="15">
        <f>IF(COUNT(H31:M31)=0,"",IF(LEN(IF(COUNT(I31,J31)=2,IF(J31&gt;I31+1,"EBE &gt; VA ",""),"")&amp;IF(COUNT(H31,M31)=2,IF(ABS(M31)&gt;ABS(H31),"RN &gt; CA ",""),"")&amp;IF(COUNT(H31,K31)=2,IF(ABS(K31)&gt;ABS(H31),"RE &gt; CA ",""),""))=0,"OK",IF(COUNT(I31,J31)=2,IF(J31&gt;I31+1,"EBE &gt; VA ",""),"")&amp;IF(COUNT(H31,M31)=2,IF(ABS(M31)&gt;ABS(H31),"RN &gt; CA ",""),"")&amp;IF(COUNT(H31,K31)=2,IF(ABS(K31)&gt;ABS(H31),"RE &gt; CA ",""),"")))</f>
        <v/>
      </c>
    </row>
    <row r="32">
      <c r="A32" s="9" t="inlineStr">
        <is>
          <t>PALC</t>
        </is>
      </c>
      <c r="B32" s="10">
        <f>IF(A32="","",IFERROR(VLOOKUP(A32,Titres!$A$2:$B$400,2,FALSE),"Ticker inconnu"))</f>
        <v/>
      </c>
      <c r="C32" s="11" t="n">
        <v>2024</v>
      </c>
      <c r="D32" s="11" t="inlineStr">
        <is>
          <t>T1</t>
        </is>
      </c>
      <c r="E32" s="9" t="n"/>
      <c r="F32" s="12" t="n"/>
      <c r="G32" s="9" t="n"/>
      <c r="H32" s="13" t="n"/>
      <c r="I32" s="13" t="n"/>
      <c r="J32" s="13" t="n"/>
      <c r="K32" s="13" t="n"/>
      <c r="L32" s="13" t="n"/>
      <c r="M32" s="13" t="n"/>
      <c r="N32" s="14">
        <f>IF(A32="","",COUNT(H32:M32)/6)</f>
        <v/>
      </c>
      <c r="O32" s="15">
        <f>IF(COUNT(H32:M32)=0,"",IF(LEN(IF(COUNT(I32,J32)=2,IF(J32&gt;I32+1,"EBE &gt; VA ",""),"")&amp;IF(COUNT(H32,M32)=2,IF(ABS(M32)&gt;ABS(H32),"RN &gt; CA ",""),"")&amp;IF(COUNT(H32,K32)=2,IF(ABS(K32)&gt;ABS(H32),"RE &gt; CA ",""),""))=0,"OK",IF(COUNT(I32,J32)=2,IF(J32&gt;I32+1,"EBE &gt; VA ",""),"")&amp;IF(COUNT(H32,M32)=2,IF(ABS(M32)&gt;ABS(H32),"RN &gt; CA ",""),"")&amp;IF(COUNT(H32,K32)=2,IF(ABS(K32)&gt;ABS(H32),"RE &gt; CA ",""),"")))</f>
        <v/>
      </c>
    </row>
    <row r="33">
      <c r="A33" s="9" t="inlineStr">
        <is>
          <t>PALC</t>
        </is>
      </c>
      <c r="B33" s="10">
        <f>IF(A33="","",IFERROR(VLOOKUP(A33,Titres!$A$2:$B$400,2,FALSE),"Ticker inconnu"))</f>
        <v/>
      </c>
      <c r="C33" s="11" t="n">
        <v>2024</v>
      </c>
      <c r="D33" s="11" t="inlineStr">
        <is>
          <t>S1</t>
        </is>
      </c>
      <c r="E33" s="9" t="n"/>
      <c r="F33" s="12" t="n"/>
      <c r="G33" s="9" t="n"/>
      <c r="H33" s="13" t="n"/>
      <c r="I33" s="13" t="n"/>
      <c r="J33" s="13" t="n"/>
      <c r="K33" s="13" t="n"/>
      <c r="L33" s="13" t="n"/>
      <c r="M33" s="13" t="n"/>
      <c r="N33" s="14">
        <f>IF(A33="","",COUNT(H33:M33)/6)</f>
        <v/>
      </c>
      <c r="O33" s="15">
        <f>IF(COUNT(H33:M33)=0,"",IF(LEN(IF(COUNT(I33,J33)=2,IF(J33&gt;I33+1,"EBE &gt; VA ",""),"")&amp;IF(COUNT(H33,M33)=2,IF(ABS(M33)&gt;ABS(H33),"RN &gt; CA ",""),"")&amp;IF(COUNT(H33,K33)=2,IF(ABS(K33)&gt;ABS(H33),"RE &gt; CA ",""),""))=0,"OK",IF(COUNT(I33,J33)=2,IF(J33&gt;I33+1,"EBE &gt; VA ",""),"")&amp;IF(COUNT(H33,M33)=2,IF(ABS(M33)&gt;ABS(H33),"RN &gt; CA ",""),"")&amp;IF(COUNT(H33,K33)=2,IF(ABS(K33)&gt;ABS(H33),"RE &gt; CA ",""),"")))</f>
        <v/>
      </c>
    </row>
    <row r="34">
      <c r="A34" s="9" t="inlineStr">
        <is>
          <t>PALC</t>
        </is>
      </c>
      <c r="B34" s="10">
        <f>IF(A34="","",IFERROR(VLOOKUP(A34,Titres!$A$2:$B$400,2,FALSE),"Ticker inconnu"))</f>
        <v/>
      </c>
      <c r="C34" s="11" t="n">
        <v>2024</v>
      </c>
      <c r="D34" s="11" t="inlineStr">
        <is>
          <t>T3</t>
        </is>
      </c>
      <c r="E34" s="9" t="n"/>
      <c r="F34" s="12" t="n"/>
      <c r="G34" s="9" t="n"/>
      <c r="H34" s="13" t="n"/>
      <c r="I34" s="13" t="n"/>
      <c r="J34" s="13" t="n"/>
      <c r="K34" s="13" t="n"/>
      <c r="L34" s="13" t="n"/>
      <c r="M34" s="13" t="n"/>
      <c r="N34" s="14">
        <f>IF(A34="","",COUNT(H34:M34)/6)</f>
        <v/>
      </c>
      <c r="O34" s="15">
        <f>IF(COUNT(H34:M34)=0,"",IF(LEN(IF(COUNT(I34,J34)=2,IF(J34&gt;I34+1,"EBE &gt; VA ",""),"")&amp;IF(COUNT(H34,M34)=2,IF(ABS(M34)&gt;ABS(H34),"RN &gt; CA ",""),"")&amp;IF(COUNT(H34,K34)=2,IF(ABS(K34)&gt;ABS(H34),"RE &gt; CA ",""),""))=0,"OK",IF(COUNT(I34,J34)=2,IF(J34&gt;I34+1,"EBE &gt; VA ",""),"")&amp;IF(COUNT(H34,M34)=2,IF(ABS(M34)&gt;ABS(H34),"RN &gt; CA ",""),"")&amp;IF(COUNT(H34,K34)=2,IF(ABS(K34)&gt;ABS(H34),"RE &gt; CA ",""),"")))</f>
        <v/>
      </c>
    </row>
    <row r="35">
      <c r="A35" s="9" t="inlineStr">
        <is>
          <t>PALC</t>
        </is>
      </c>
      <c r="B35" s="10">
        <f>IF(A35="","",IFERROR(VLOOKUP(A35,Titres!$A$2:$B$400,2,FALSE),"Ticker inconnu"))</f>
        <v/>
      </c>
      <c r="C35" s="11" t="n">
        <v>2025</v>
      </c>
      <c r="D35" s="11" t="inlineStr">
        <is>
          <t>T1</t>
        </is>
      </c>
      <c r="E35" s="9" t="inlineStr">
        <is>
          <t>Publié</t>
        </is>
      </c>
      <c r="F35" s="12" t="n">
        <v>46141</v>
      </c>
      <c r="G35" s="9" t="inlineStr">
        <is>
          <t>https://www.richbourse.com/common/actualite/afficher-fichier/29-04-2026-palm-ci-rapport-dactivites-1er-trimestre-2026 (comparatif N-1)</t>
        </is>
      </c>
      <c r="H35" s="13" t="n">
        <v>67519.35799999999</v>
      </c>
      <c r="I35" s="13" t="n"/>
      <c r="J35" s="13" t="n"/>
      <c r="K35" s="13" t="n"/>
      <c r="L35" s="13" t="n">
        <v>15417.398</v>
      </c>
      <c r="M35" s="13" t="n">
        <v>11562.398</v>
      </c>
      <c r="N35" s="14">
        <f>IF(A35="","",COUNT(H35:M35)/6)</f>
        <v/>
      </c>
      <c r="O35" s="15">
        <f>IF(COUNT(H35:M35)=0,"",IF(LEN(IF(COUNT(I35,J35)=2,IF(J35&gt;I35+1,"EBE &gt; VA ",""),"")&amp;IF(COUNT(H35,M35)=2,IF(ABS(M35)&gt;ABS(H35),"RN &gt; CA ",""),"")&amp;IF(COUNT(H35,K35)=2,IF(ABS(K35)&gt;ABS(H35),"RE &gt; CA ",""),""))=0,"OK",IF(COUNT(I35,J35)=2,IF(J35&gt;I35+1,"EBE &gt; VA ",""),"")&amp;IF(COUNT(H35,M35)=2,IF(ABS(M35)&gt;ABS(H35),"RN &gt; CA ",""),"")&amp;IF(COUNT(H35,K35)=2,IF(ABS(K35)&gt;ABS(H35),"RE &gt; CA ",""),"")))</f>
        <v/>
      </c>
    </row>
    <row r="36">
      <c r="A36" s="9" t="inlineStr">
        <is>
          <t>PALC</t>
        </is>
      </c>
      <c r="B36" s="10">
        <f>IF(A36="","",IFERROR(VLOOKUP(A36,Titres!$A$2:$B$400,2,FALSE),"Ticker inconnu"))</f>
        <v/>
      </c>
      <c r="C36" s="11" t="n">
        <v>2025</v>
      </c>
      <c r="D36" s="11" t="inlineStr">
        <is>
          <t>S1</t>
        </is>
      </c>
      <c r="E36" s="9" t="inlineStr">
        <is>
          <t>Publié</t>
        </is>
      </c>
      <c r="F36" s="12" t="n">
        <v>46302</v>
      </c>
      <c r="G36" s="9" t="inlineStr">
        <is>
          <t>https://www.richbourse.com/common/actualite/afficher-fichier/07-10-2026-palm-ci-rapport-d-activites-1er-semestre-2026 (comparatif N-1)</t>
        </is>
      </c>
      <c r="H36" s="13" t="n">
        <v>134789.05</v>
      </c>
      <c r="I36" s="13" t="n"/>
      <c r="J36" s="13" t="n"/>
      <c r="K36" s="13" t="n">
        <v>29803.435</v>
      </c>
      <c r="L36" s="13" t="n">
        <v>31070.451</v>
      </c>
      <c r="M36" s="13" t="n">
        <v>22908.673</v>
      </c>
      <c r="N36" s="14">
        <f>IF(A36="","",COUNT(H36:M36)/6)</f>
        <v/>
      </c>
      <c r="O36" s="15">
        <f>IF(COUNT(H36:M36)=0,"",IF(LEN(IF(COUNT(I36,J36)=2,IF(J36&gt;I36+1,"EBE &gt; VA ",""),"")&amp;IF(COUNT(H36,M36)=2,IF(ABS(M36)&gt;ABS(H36),"RN &gt; CA ",""),"")&amp;IF(COUNT(H36,K36)=2,IF(ABS(K36)&gt;ABS(H36),"RE &gt; CA ",""),""))=0,"OK",IF(COUNT(I36,J36)=2,IF(J36&gt;I36+1,"EBE &gt; VA ",""),"")&amp;IF(COUNT(H36,M36)=2,IF(ABS(M36)&gt;ABS(H36),"RN &gt; CA ",""),"")&amp;IF(COUNT(H36,K36)=2,IF(ABS(K36)&gt;ABS(H36),"RE &gt; CA ",""),"")))</f>
        <v/>
      </c>
    </row>
    <row r="37">
      <c r="A37" s="9" t="inlineStr">
        <is>
          <t>PALC</t>
        </is>
      </c>
      <c r="B37" s="10">
        <f>IF(A37="","",IFERROR(VLOOKUP(A37,Titres!$A$2:$B$400,2,FALSE),"Ticker inconnu"))</f>
        <v/>
      </c>
      <c r="C37" s="11" t="n">
        <v>2025</v>
      </c>
      <c r="D37" s="11" t="inlineStr">
        <is>
          <t>T3</t>
        </is>
      </c>
      <c r="E37" s="9" t="n"/>
      <c r="F37" s="12" t="n"/>
      <c r="G37" s="9" t="n"/>
      <c r="H37" s="13" t="n"/>
      <c r="I37" s="13" t="n"/>
      <c r="J37" s="13" t="n"/>
      <c r="K37" s="13" t="n"/>
      <c r="L37" s="13" t="n"/>
      <c r="M37" s="13" t="n"/>
      <c r="N37" s="14">
        <f>IF(A37="","",COUNT(H37:M37)/6)</f>
        <v/>
      </c>
      <c r="O37" s="15">
        <f>IF(COUNT(H37:M37)=0,"",IF(LEN(IF(COUNT(I37,J37)=2,IF(J37&gt;I37+1,"EBE &gt; VA ",""),"")&amp;IF(COUNT(H37,M37)=2,IF(ABS(M37)&gt;ABS(H37),"RN &gt; CA ",""),"")&amp;IF(COUNT(H37,K37)=2,IF(ABS(K37)&gt;ABS(H37),"RE &gt; CA ",""),""))=0,"OK",IF(COUNT(I37,J37)=2,IF(J37&gt;I37+1,"EBE &gt; VA ",""),"")&amp;IF(COUNT(H37,M37)=2,IF(ABS(M37)&gt;ABS(H37),"RN &gt; CA ",""),"")&amp;IF(COUNT(H37,K37)=2,IF(ABS(K37)&gt;ABS(H37),"RE &gt; CA ",""),"")))</f>
        <v/>
      </c>
    </row>
    <row r="38">
      <c r="A38" s="9" t="inlineStr">
        <is>
          <t>PALC</t>
        </is>
      </c>
      <c r="B38" s="10">
        <f>IF(A38="","",IFERROR(VLOOKUP(A38,Titres!$A$2:$B$400,2,FALSE),"Ticker inconnu"))</f>
        <v/>
      </c>
      <c r="C38" s="11" t="n">
        <v>2026</v>
      </c>
      <c r="D38" s="11" t="inlineStr">
        <is>
          <t>T1</t>
        </is>
      </c>
      <c r="E38" s="9" t="inlineStr">
        <is>
          <t>Publié</t>
        </is>
      </c>
      <c r="F38" s="12" t="n">
        <v>46141</v>
      </c>
      <c r="G38" s="9" t="inlineStr">
        <is>
          <t>https://www.richbourse.com/common/actualite/afficher-fichier/29-04-2026-palm-ci-rapport-dactivites-1er-trimestre-2026</t>
        </is>
      </c>
      <c r="H38" s="13" t="n">
        <v>49384.116</v>
      </c>
      <c r="I38" s="13" t="n"/>
      <c r="J38" s="13" t="n"/>
      <c r="K38" s="13" t="n"/>
      <c r="L38" s="13" t="n">
        <v>2120.132</v>
      </c>
      <c r="M38" s="13" t="n">
        <v>1594.48</v>
      </c>
      <c r="N38" s="14">
        <f>IF(A38="","",COUNT(H38:M38)/6)</f>
        <v/>
      </c>
      <c r="O38" s="15">
        <f>IF(COUNT(H38:M38)=0,"",IF(LEN(IF(COUNT(I38,J38)=2,IF(J38&gt;I38+1,"EBE &gt; VA ",""),"")&amp;IF(COUNT(H38,M38)=2,IF(ABS(M38)&gt;ABS(H38),"RN &gt; CA ",""),"")&amp;IF(COUNT(H38,K38)=2,IF(ABS(K38)&gt;ABS(H38),"RE &gt; CA ",""),""))=0,"OK",IF(COUNT(I38,J38)=2,IF(J38&gt;I38+1,"EBE &gt; VA ",""),"")&amp;IF(COUNT(H38,M38)=2,IF(ABS(M38)&gt;ABS(H38),"RN &gt; CA ",""),"")&amp;IF(COUNT(H38,K38)=2,IF(ABS(K38)&gt;ABS(H38),"RE &gt; CA ",""),"")))</f>
        <v/>
      </c>
    </row>
    <row r="39">
      <c r="A39" s="9" t="inlineStr">
        <is>
          <t>PALC</t>
        </is>
      </c>
      <c r="B39" s="10">
        <f>IF(A39="","",IFERROR(VLOOKUP(A39,Titres!$A$2:$B$400,2,FALSE),"Ticker inconnu"))</f>
        <v/>
      </c>
      <c r="C39" s="11" t="n">
        <v>2026</v>
      </c>
      <c r="D39" s="11" t="inlineStr">
        <is>
          <t>S1</t>
        </is>
      </c>
      <c r="E39" s="9" t="inlineStr">
        <is>
          <t>Publié</t>
        </is>
      </c>
      <c r="F39" s="12" t="n">
        <v>46302</v>
      </c>
      <c r="G39" s="9" t="inlineStr">
        <is>
          <t>https://www.richbourse.com/common/actualite/afficher-fichier/07-10-2026-palm-ci-rapport-d-activites-1er-semestre-2026</t>
        </is>
      </c>
      <c r="H39" s="13" t="n">
        <v>114725.471</v>
      </c>
      <c r="I39" s="13" t="n"/>
      <c r="J39" s="13" t="n"/>
      <c r="K39" s="13" t="n">
        <v>17621.502</v>
      </c>
      <c r="L39" s="13" t="n">
        <v>18295.076</v>
      </c>
      <c r="M39" s="13" t="n">
        <v>13526.883</v>
      </c>
      <c r="N39" s="14">
        <f>IF(A39="","",COUNT(H39:M39)/6)</f>
        <v/>
      </c>
      <c r="O39" s="15">
        <f>IF(COUNT(H39:M39)=0,"",IF(LEN(IF(COUNT(I39,J39)=2,IF(J39&gt;I39+1,"EBE &gt; VA ",""),"")&amp;IF(COUNT(H39,M39)=2,IF(ABS(M39)&gt;ABS(H39),"RN &gt; CA ",""),"")&amp;IF(COUNT(H39,K39)=2,IF(ABS(K39)&gt;ABS(H39),"RE &gt; CA ",""),""))=0,"OK",IF(COUNT(I39,J39)=2,IF(J39&gt;I39+1,"EBE &gt; VA ",""),"")&amp;IF(COUNT(H39,M39)=2,IF(ABS(M39)&gt;ABS(H39),"RN &gt; CA ",""),"")&amp;IF(COUNT(H39,K39)=2,IF(ABS(K39)&gt;ABS(H39),"RE &gt; CA ",""),"")))</f>
        <v/>
      </c>
    </row>
    <row r="40">
      <c r="A40" s="9" t="inlineStr">
        <is>
          <t>PALC</t>
        </is>
      </c>
      <c r="B40" s="10">
        <f>IF(A40="","",IFERROR(VLOOKUP(A40,Titres!$A$2:$B$400,2,FALSE),"Ticker inconnu"))</f>
        <v/>
      </c>
      <c r="C40" s="11" t="n">
        <v>2026</v>
      </c>
      <c r="D40" s="11" t="inlineStr">
        <is>
          <t>T3</t>
        </is>
      </c>
      <c r="E40" s="9" t="n"/>
      <c r="F40" s="12" t="n"/>
      <c r="G40" s="9" t="n"/>
      <c r="H40" s="13" t="n"/>
      <c r="I40" s="13" t="n"/>
      <c r="J40" s="13" t="n"/>
      <c r="K40" s="13" t="n"/>
      <c r="L40" s="13" t="n"/>
      <c r="M40" s="13" t="n"/>
      <c r="N40" s="14">
        <f>IF(A40="","",COUNT(H40:M40)/6)</f>
        <v/>
      </c>
      <c r="O40" s="15">
        <f>IF(COUNT(H40:M40)=0,"",IF(LEN(IF(COUNT(I40,J40)=2,IF(J40&gt;I40+1,"EBE &gt; VA ",""),"")&amp;IF(COUNT(H40,M40)=2,IF(ABS(M40)&gt;ABS(H40),"RN &gt; CA ",""),"")&amp;IF(COUNT(H40,K40)=2,IF(ABS(K40)&gt;ABS(H40),"RE &gt; CA ",""),""))=0,"OK",IF(COUNT(I40,J40)=2,IF(J40&gt;I40+1,"EBE &gt; VA ",""),"")&amp;IF(COUNT(H40,M40)=2,IF(ABS(M40)&gt;ABS(H40),"RN &gt; CA ",""),"")&amp;IF(COUNT(H40,K40)=2,IF(ABS(K40)&gt;ABS(H40),"RE &gt; CA ",""),"")))</f>
        <v/>
      </c>
    </row>
    <row r="41">
      <c r="A41" s="9" t="inlineStr">
        <is>
          <t>SCRC</t>
        </is>
      </c>
      <c r="B41" s="10">
        <f>IF(A41="","",IFERROR(VLOOKUP(A41,Titres!$A$2:$B$400,2,FALSE),"Ticker inconnu"))</f>
        <v/>
      </c>
      <c r="C41" s="11" t="n">
        <v>2021</v>
      </c>
      <c r="D41" s="11" t="inlineStr">
        <is>
          <t>T1</t>
        </is>
      </c>
      <c r="E41" s="9" t="n"/>
      <c r="F41" s="12" t="n"/>
      <c r="G41" s="9" t="n"/>
      <c r="H41" s="13" t="n"/>
      <c r="I41" s="13" t="n"/>
      <c r="J41" s="13" t="n"/>
      <c r="K41" s="13" t="n"/>
      <c r="L41" s="13" t="n"/>
      <c r="M41" s="13" t="n"/>
      <c r="N41" s="14">
        <f>IF(A41="","",COUNT(H41:M41)/6)</f>
        <v/>
      </c>
      <c r="O41" s="15">
        <f>IF(COUNT(H41:M41)=0,"",IF(LEN(IF(COUNT(I41,J41)=2,IF(J41&gt;I41+1,"EBE &gt; VA ",""),"")&amp;IF(COUNT(H41,M41)=2,IF(ABS(M41)&gt;ABS(H41),"RN &gt; CA ",""),"")&amp;IF(COUNT(H41,K41)=2,IF(ABS(K41)&gt;ABS(H41),"RE &gt; CA ",""),""))=0,"OK",IF(COUNT(I41,J41)=2,IF(J41&gt;I41+1,"EBE &gt; VA ",""),"")&amp;IF(COUNT(H41,M41)=2,IF(ABS(M41)&gt;ABS(H41),"RN &gt; CA ",""),"")&amp;IF(COUNT(H41,K41)=2,IF(ABS(K41)&gt;ABS(H41),"RE &gt; CA ",""),"")))</f>
        <v/>
      </c>
    </row>
    <row r="42">
      <c r="A42" s="9" t="inlineStr">
        <is>
          <t>SCRC</t>
        </is>
      </c>
      <c r="B42" s="10">
        <f>IF(A42="","",IFERROR(VLOOKUP(A42,Titres!$A$2:$B$400,2,FALSE),"Ticker inconnu"))</f>
        <v/>
      </c>
      <c r="C42" s="11" t="n">
        <v>2021</v>
      </c>
      <c r="D42" s="11" t="inlineStr">
        <is>
          <t>S1</t>
        </is>
      </c>
      <c r="E42" s="9" t="n"/>
      <c r="F42" s="12" t="n"/>
      <c r="G42" s="9" t="n"/>
      <c r="H42" s="13" t="n"/>
      <c r="I42" s="13" t="n"/>
      <c r="J42" s="13" t="n"/>
      <c r="K42" s="13" t="n"/>
      <c r="L42" s="13" t="n"/>
      <c r="M42" s="13" t="n"/>
      <c r="N42" s="14">
        <f>IF(A42="","",COUNT(H42:M42)/6)</f>
        <v/>
      </c>
      <c r="O42" s="15">
        <f>IF(COUNT(H42:M42)=0,"",IF(LEN(IF(COUNT(I42,J42)=2,IF(J42&gt;I42+1,"EBE &gt; VA ",""),"")&amp;IF(COUNT(H42,M42)=2,IF(ABS(M42)&gt;ABS(H42),"RN &gt; CA ",""),"")&amp;IF(COUNT(H42,K42)=2,IF(ABS(K42)&gt;ABS(H42),"RE &gt; CA ",""),""))=0,"OK",IF(COUNT(I42,J42)=2,IF(J42&gt;I42+1,"EBE &gt; VA ",""),"")&amp;IF(COUNT(H42,M42)=2,IF(ABS(M42)&gt;ABS(H42),"RN &gt; CA ",""),"")&amp;IF(COUNT(H42,K42)=2,IF(ABS(K42)&gt;ABS(H42),"RE &gt; CA ",""),"")))</f>
        <v/>
      </c>
    </row>
    <row r="43">
      <c r="A43" s="9" t="inlineStr">
        <is>
          <t>SCRC</t>
        </is>
      </c>
      <c r="B43" s="10">
        <f>IF(A43="","",IFERROR(VLOOKUP(A43,Titres!$A$2:$B$400,2,FALSE),"Ticker inconnu"))</f>
        <v/>
      </c>
      <c r="C43" s="11" t="n">
        <v>2021</v>
      </c>
      <c r="D43" s="11" t="inlineStr">
        <is>
          <t>T3</t>
        </is>
      </c>
      <c r="E43" s="9" t="n"/>
      <c r="F43" s="12" t="n"/>
      <c r="G43" s="9" t="n"/>
      <c r="H43" s="13" t="n"/>
      <c r="I43" s="13" t="n"/>
      <c r="J43" s="13" t="n"/>
      <c r="K43" s="13" t="n"/>
      <c r="L43" s="13" t="n"/>
      <c r="M43" s="13" t="n"/>
      <c r="N43" s="14">
        <f>IF(A43="","",COUNT(H43:M43)/6)</f>
        <v/>
      </c>
      <c r="O43" s="15">
        <f>IF(COUNT(H43:M43)=0,"",IF(LEN(IF(COUNT(I43,J43)=2,IF(J43&gt;I43+1,"EBE &gt; VA ",""),"")&amp;IF(COUNT(H43,M43)=2,IF(ABS(M43)&gt;ABS(H43),"RN &gt; CA ",""),"")&amp;IF(COUNT(H43,K43)=2,IF(ABS(K43)&gt;ABS(H43),"RE &gt; CA ",""),""))=0,"OK",IF(COUNT(I43,J43)=2,IF(J43&gt;I43+1,"EBE &gt; VA ",""),"")&amp;IF(COUNT(H43,M43)=2,IF(ABS(M43)&gt;ABS(H43),"RN &gt; CA ",""),"")&amp;IF(COUNT(H43,K43)=2,IF(ABS(K43)&gt;ABS(H43),"RE &gt; CA ",""),"")))</f>
        <v/>
      </c>
    </row>
    <row r="44">
      <c r="A44" s="9" t="inlineStr">
        <is>
          <t>SCRC</t>
        </is>
      </c>
      <c r="B44" s="10">
        <f>IF(A44="","",IFERROR(VLOOKUP(A44,Titres!$A$2:$B$400,2,FALSE),"Ticker inconnu"))</f>
        <v/>
      </c>
      <c r="C44" s="11" t="n">
        <v>2022</v>
      </c>
      <c r="D44" s="11" t="inlineStr">
        <is>
          <t>T1</t>
        </is>
      </c>
      <c r="E44" s="9" t="n"/>
      <c r="F44" s="12" t="n"/>
      <c r="G44" s="9" t="n"/>
      <c r="H44" s="13" t="n"/>
      <c r="I44" s="13" t="n"/>
      <c r="J44" s="13" t="n"/>
      <c r="K44" s="13" t="n"/>
      <c r="L44" s="13" t="n"/>
      <c r="M44" s="13" t="n"/>
      <c r="N44" s="14">
        <f>IF(A44="","",COUNT(H44:M44)/6)</f>
        <v/>
      </c>
      <c r="O44" s="15">
        <f>IF(COUNT(H44:M44)=0,"",IF(LEN(IF(COUNT(I44,J44)=2,IF(J44&gt;I44+1,"EBE &gt; VA ",""),"")&amp;IF(COUNT(H44,M44)=2,IF(ABS(M44)&gt;ABS(H44),"RN &gt; CA ",""),"")&amp;IF(COUNT(H44,K44)=2,IF(ABS(K44)&gt;ABS(H44),"RE &gt; CA ",""),""))=0,"OK",IF(COUNT(I44,J44)=2,IF(J44&gt;I44+1,"EBE &gt; VA ",""),"")&amp;IF(COUNT(H44,M44)=2,IF(ABS(M44)&gt;ABS(H44),"RN &gt; CA ",""),"")&amp;IF(COUNT(H44,K44)=2,IF(ABS(K44)&gt;ABS(H44),"RE &gt; CA ",""),"")))</f>
        <v/>
      </c>
    </row>
    <row r="45">
      <c r="A45" s="9" t="inlineStr">
        <is>
          <t>SCRC</t>
        </is>
      </c>
      <c r="B45" s="10">
        <f>IF(A45="","",IFERROR(VLOOKUP(A45,Titres!$A$2:$B$400,2,FALSE),"Ticker inconnu"))</f>
        <v/>
      </c>
      <c r="C45" s="11" t="n">
        <v>2022</v>
      </c>
      <c r="D45" s="11" t="inlineStr">
        <is>
          <t>S1</t>
        </is>
      </c>
      <c r="E45" s="9" t="n"/>
      <c r="F45" s="12" t="n"/>
      <c r="G45" s="9" t="n"/>
      <c r="H45" s="13" t="n"/>
      <c r="I45" s="13" t="n"/>
      <c r="J45" s="13" t="n"/>
      <c r="K45" s="13" t="n"/>
      <c r="L45" s="13" t="n"/>
      <c r="M45" s="13" t="n"/>
      <c r="N45" s="14">
        <f>IF(A45="","",COUNT(H45:M45)/6)</f>
        <v/>
      </c>
      <c r="O45" s="15">
        <f>IF(COUNT(H45:M45)=0,"",IF(LEN(IF(COUNT(I45,J45)=2,IF(J45&gt;I45+1,"EBE &gt; VA ",""),"")&amp;IF(COUNT(H45,M45)=2,IF(ABS(M45)&gt;ABS(H45),"RN &gt; CA ",""),"")&amp;IF(COUNT(H45,K45)=2,IF(ABS(K45)&gt;ABS(H45),"RE &gt; CA ",""),""))=0,"OK",IF(COUNT(I45,J45)=2,IF(J45&gt;I45+1,"EBE &gt; VA ",""),"")&amp;IF(COUNT(H45,M45)=2,IF(ABS(M45)&gt;ABS(H45),"RN &gt; CA ",""),"")&amp;IF(COUNT(H45,K45)=2,IF(ABS(K45)&gt;ABS(H45),"RE &gt; CA ",""),"")))</f>
        <v/>
      </c>
    </row>
    <row r="46">
      <c r="A46" s="9" t="inlineStr">
        <is>
          <t>SCRC</t>
        </is>
      </c>
      <c r="B46" s="10">
        <f>IF(A46="","",IFERROR(VLOOKUP(A46,Titres!$A$2:$B$400,2,FALSE),"Ticker inconnu"))</f>
        <v/>
      </c>
      <c r="C46" s="11" t="n">
        <v>2022</v>
      </c>
      <c r="D46" s="11" t="inlineStr">
        <is>
          <t>T3</t>
        </is>
      </c>
      <c r="E46" s="9" t="n"/>
      <c r="F46" s="12" t="n"/>
      <c r="G46" s="9" t="n"/>
      <c r="H46" s="13" t="n"/>
      <c r="I46" s="13" t="n"/>
      <c r="J46" s="13" t="n"/>
      <c r="K46" s="13" t="n"/>
      <c r="L46" s="13" t="n"/>
      <c r="M46" s="13" t="n"/>
      <c r="N46" s="14">
        <f>IF(A46="","",COUNT(H46:M46)/6)</f>
        <v/>
      </c>
      <c r="O46" s="15">
        <f>IF(COUNT(H46:M46)=0,"",IF(LEN(IF(COUNT(I46,J46)=2,IF(J46&gt;I46+1,"EBE &gt; VA ",""),"")&amp;IF(COUNT(H46,M46)=2,IF(ABS(M46)&gt;ABS(H46),"RN &gt; CA ",""),"")&amp;IF(COUNT(H46,K46)=2,IF(ABS(K46)&gt;ABS(H46),"RE &gt; CA ",""),""))=0,"OK",IF(COUNT(I46,J46)=2,IF(J46&gt;I46+1,"EBE &gt; VA ",""),"")&amp;IF(COUNT(H46,M46)=2,IF(ABS(M46)&gt;ABS(H46),"RN &gt; CA ",""),"")&amp;IF(COUNT(H46,K46)=2,IF(ABS(K46)&gt;ABS(H46),"RE &gt; CA ",""),"")))</f>
        <v/>
      </c>
    </row>
    <row r="47">
      <c r="A47" s="9" t="inlineStr">
        <is>
          <t>SCRC</t>
        </is>
      </c>
      <c r="B47" s="10">
        <f>IF(A47="","",IFERROR(VLOOKUP(A47,Titres!$A$2:$B$400,2,FALSE),"Ticker inconnu"))</f>
        <v/>
      </c>
      <c r="C47" s="11" t="n">
        <v>2023</v>
      </c>
      <c r="D47" s="11" t="inlineStr">
        <is>
          <t>T1</t>
        </is>
      </c>
      <c r="E47" s="9" t="n"/>
      <c r="F47" s="12" t="n"/>
      <c r="G47" s="9" t="n"/>
      <c r="H47" s="13" t="n"/>
      <c r="I47" s="13" t="n"/>
      <c r="J47" s="13" t="n"/>
      <c r="K47" s="13" t="n"/>
      <c r="L47" s="13" t="n"/>
      <c r="M47" s="13" t="n"/>
      <c r="N47" s="14">
        <f>IF(A47="","",COUNT(H47:M47)/6)</f>
        <v/>
      </c>
      <c r="O47" s="15">
        <f>IF(COUNT(H47:M47)=0,"",IF(LEN(IF(COUNT(I47,J47)=2,IF(J47&gt;I47+1,"EBE &gt; VA ",""),"")&amp;IF(COUNT(H47,M47)=2,IF(ABS(M47)&gt;ABS(H47),"RN &gt; CA ",""),"")&amp;IF(COUNT(H47,K47)=2,IF(ABS(K47)&gt;ABS(H47),"RE &gt; CA ",""),""))=0,"OK",IF(COUNT(I47,J47)=2,IF(J47&gt;I47+1,"EBE &gt; VA ",""),"")&amp;IF(COUNT(H47,M47)=2,IF(ABS(M47)&gt;ABS(H47),"RN &gt; CA ",""),"")&amp;IF(COUNT(H47,K47)=2,IF(ABS(K47)&gt;ABS(H47),"RE &gt; CA ",""),"")))</f>
        <v/>
      </c>
    </row>
    <row r="48">
      <c r="A48" s="9" t="inlineStr">
        <is>
          <t>SCRC</t>
        </is>
      </c>
      <c r="B48" s="10">
        <f>IF(A48="","",IFERROR(VLOOKUP(A48,Titres!$A$2:$B$400,2,FALSE),"Ticker inconnu"))</f>
        <v/>
      </c>
      <c r="C48" s="11" t="n">
        <v>2023</v>
      </c>
      <c r="D48" s="11" t="inlineStr">
        <is>
          <t>S1</t>
        </is>
      </c>
      <c r="E48" s="9" t="n"/>
      <c r="F48" s="12" t="n"/>
      <c r="G48" s="9" t="n"/>
      <c r="H48" s="13" t="n"/>
      <c r="I48" s="13" t="n"/>
      <c r="J48" s="13" t="n"/>
      <c r="K48" s="13" t="n"/>
      <c r="L48" s="13" t="n"/>
      <c r="M48" s="13" t="n"/>
      <c r="N48" s="14">
        <f>IF(A48="","",COUNT(H48:M48)/6)</f>
        <v/>
      </c>
      <c r="O48" s="15">
        <f>IF(COUNT(H48:M48)=0,"",IF(LEN(IF(COUNT(I48,J48)=2,IF(J48&gt;I48+1,"EBE &gt; VA ",""),"")&amp;IF(COUNT(H48,M48)=2,IF(ABS(M48)&gt;ABS(H48),"RN &gt; CA ",""),"")&amp;IF(COUNT(H48,K48)=2,IF(ABS(K48)&gt;ABS(H48),"RE &gt; CA ",""),""))=0,"OK",IF(COUNT(I48,J48)=2,IF(J48&gt;I48+1,"EBE &gt; VA ",""),"")&amp;IF(COUNT(H48,M48)=2,IF(ABS(M48)&gt;ABS(H48),"RN &gt; CA ",""),"")&amp;IF(COUNT(H48,K48)=2,IF(ABS(K48)&gt;ABS(H48),"RE &gt; CA ",""),"")))</f>
        <v/>
      </c>
    </row>
    <row r="49">
      <c r="A49" s="9" t="inlineStr">
        <is>
          <t>SCRC</t>
        </is>
      </c>
      <c r="B49" s="10">
        <f>IF(A49="","",IFERROR(VLOOKUP(A49,Titres!$A$2:$B$400,2,FALSE),"Ticker inconnu"))</f>
        <v/>
      </c>
      <c r="C49" s="11" t="n">
        <v>2023</v>
      </c>
      <c r="D49" s="11" t="inlineStr">
        <is>
          <t>T3</t>
        </is>
      </c>
      <c r="E49" s="9" t="n"/>
      <c r="F49" s="12" t="n"/>
      <c r="G49" s="9" t="n"/>
      <c r="H49" s="13" t="n"/>
      <c r="I49" s="13" t="n"/>
      <c r="J49" s="13" t="n"/>
      <c r="K49" s="13" t="n"/>
      <c r="L49" s="13" t="n"/>
      <c r="M49" s="13" t="n"/>
      <c r="N49" s="14">
        <f>IF(A49="","",COUNT(H49:M49)/6)</f>
        <v/>
      </c>
      <c r="O49" s="15">
        <f>IF(COUNT(H49:M49)=0,"",IF(LEN(IF(COUNT(I49,J49)=2,IF(J49&gt;I49+1,"EBE &gt; VA ",""),"")&amp;IF(COUNT(H49,M49)=2,IF(ABS(M49)&gt;ABS(H49),"RN &gt; CA ",""),"")&amp;IF(COUNT(H49,K49)=2,IF(ABS(K49)&gt;ABS(H49),"RE &gt; CA ",""),""))=0,"OK",IF(COUNT(I49,J49)=2,IF(J49&gt;I49+1,"EBE &gt; VA ",""),"")&amp;IF(COUNT(H49,M49)=2,IF(ABS(M49)&gt;ABS(H49),"RN &gt; CA ",""),"")&amp;IF(COUNT(H49,K49)=2,IF(ABS(K49)&gt;ABS(H49),"RE &gt; CA ",""),"")))</f>
        <v/>
      </c>
    </row>
    <row r="50">
      <c r="A50" s="9" t="inlineStr">
        <is>
          <t>SCRC</t>
        </is>
      </c>
      <c r="B50" s="10">
        <f>IF(A50="","",IFERROR(VLOOKUP(A50,Titres!$A$2:$B$400,2,FALSE),"Ticker inconnu"))</f>
        <v/>
      </c>
      <c r="C50" s="11" t="n">
        <v>2024</v>
      </c>
      <c r="D50" s="11" t="inlineStr">
        <is>
          <t>T1</t>
        </is>
      </c>
      <c r="E50" s="9" t="n"/>
      <c r="F50" s="12" t="n"/>
      <c r="G50" s="9" t="n"/>
      <c r="H50" s="13" t="n"/>
      <c r="I50" s="13" t="n"/>
      <c r="J50" s="13" t="n"/>
      <c r="K50" s="13" t="n"/>
      <c r="L50" s="13" t="n"/>
      <c r="M50" s="13" t="n"/>
      <c r="N50" s="14">
        <f>IF(A50="","",COUNT(H50:M50)/6)</f>
        <v/>
      </c>
      <c r="O50" s="15">
        <f>IF(COUNT(H50:M50)=0,"",IF(LEN(IF(COUNT(I50,J50)=2,IF(J50&gt;I50+1,"EBE &gt; VA ",""),"")&amp;IF(COUNT(H50,M50)=2,IF(ABS(M50)&gt;ABS(H50),"RN &gt; CA ",""),"")&amp;IF(COUNT(H50,K50)=2,IF(ABS(K50)&gt;ABS(H50),"RE &gt; CA ",""),""))=0,"OK",IF(COUNT(I50,J50)=2,IF(J50&gt;I50+1,"EBE &gt; VA ",""),"")&amp;IF(COUNT(H50,M50)=2,IF(ABS(M50)&gt;ABS(H50),"RN &gt; CA ",""),"")&amp;IF(COUNT(H50,K50)=2,IF(ABS(K50)&gt;ABS(H50),"RE &gt; CA ",""),"")))</f>
        <v/>
      </c>
    </row>
    <row r="51">
      <c r="A51" s="9" t="inlineStr">
        <is>
          <t>SCRC</t>
        </is>
      </c>
      <c r="B51" s="10">
        <f>IF(A51="","",IFERROR(VLOOKUP(A51,Titres!$A$2:$B$400,2,FALSE),"Ticker inconnu"))</f>
        <v/>
      </c>
      <c r="C51" s="11" t="n">
        <v>2024</v>
      </c>
      <c r="D51" s="11" t="inlineStr">
        <is>
          <t>S1</t>
        </is>
      </c>
      <c r="E51" s="9" t="n"/>
      <c r="F51" s="12" t="n"/>
      <c r="G51" s="9" t="n"/>
      <c r="H51" s="13" t="n"/>
      <c r="I51" s="13" t="n"/>
      <c r="J51" s="13" t="n"/>
      <c r="K51" s="13" t="n"/>
      <c r="L51" s="13" t="n"/>
      <c r="M51" s="13" t="n"/>
      <c r="N51" s="14">
        <f>IF(A51="","",COUNT(H51:M51)/6)</f>
        <v/>
      </c>
      <c r="O51" s="15">
        <f>IF(COUNT(H51:M51)=0,"",IF(LEN(IF(COUNT(I51,J51)=2,IF(J51&gt;I51+1,"EBE &gt; VA ",""),"")&amp;IF(COUNT(H51,M51)=2,IF(ABS(M51)&gt;ABS(H51),"RN &gt; CA ",""),"")&amp;IF(COUNT(H51,K51)=2,IF(ABS(K51)&gt;ABS(H51),"RE &gt; CA ",""),""))=0,"OK",IF(COUNT(I51,J51)=2,IF(J51&gt;I51+1,"EBE &gt; VA ",""),"")&amp;IF(COUNT(H51,M51)=2,IF(ABS(M51)&gt;ABS(H51),"RN &gt; CA ",""),"")&amp;IF(COUNT(H51,K51)=2,IF(ABS(K51)&gt;ABS(H51),"RE &gt; CA ",""),"")))</f>
        <v/>
      </c>
    </row>
    <row r="52">
      <c r="A52" s="9" t="inlineStr">
        <is>
          <t>SCRC</t>
        </is>
      </c>
      <c r="B52" s="10">
        <f>IF(A52="","",IFERROR(VLOOKUP(A52,Titres!$A$2:$B$400,2,FALSE),"Ticker inconnu"))</f>
        <v/>
      </c>
      <c r="C52" s="11" t="n">
        <v>2024</v>
      </c>
      <c r="D52" s="11" t="inlineStr">
        <is>
          <t>T3</t>
        </is>
      </c>
      <c r="E52" s="9" t="n"/>
      <c r="F52" s="12" t="n"/>
      <c r="G52" s="9" t="n"/>
      <c r="H52" s="13" t="n"/>
      <c r="I52" s="13" t="n"/>
      <c r="J52" s="13" t="n"/>
      <c r="K52" s="13" t="n"/>
      <c r="L52" s="13" t="n"/>
      <c r="M52" s="13" t="n"/>
      <c r="N52" s="14">
        <f>IF(A52="","",COUNT(H52:M52)/6)</f>
        <v/>
      </c>
      <c r="O52" s="15">
        <f>IF(COUNT(H52:M52)=0,"",IF(LEN(IF(COUNT(I52,J52)=2,IF(J52&gt;I52+1,"EBE &gt; VA ",""),"")&amp;IF(COUNT(H52,M52)=2,IF(ABS(M52)&gt;ABS(H52),"RN &gt; CA ",""),"")&amp;IF(COUNT(H52,K52)=2,IF(ABS(K52)&gt;ABS(H52),"RE &gt; CA ",""),""))=0,"OK",IF(COUNT(I52,J52)=2,IF(J52&gt;I52+1,"EBE &gt; VA ",""),"")&amp;IF(COUNT(H52,M52)=2,IF(ABS(M52)&gt;ABS(H52),"RN &gt; CA ",""),"")&amp;IF(COUNT(H52,K52)=2,IF(ABS(K52)&gt;ABS(H52),"RE &gt; CA ",""),"")))</f>
        <v/>
      </c>
    </row>
    <row r="53">
      <c r="A53" s="9" t="inlineStr">
        <is>
          <t>SCRC</t>
        </is>
      </c>
      <c r="B53" s="10">
        <f>IF(A53="","",IFERROR(VLOOKUP(A53,Titres!$A$2:$B$400,2,FALSE),"Ticker inconnu"))</f>
        <v/>
      </c>
      <c r="C53" s="11" t="n">
        <v>2025</v>
      </c>
      <c r="D53" s="11" t="inlineStr">
        <is>
          <t>T1</t>
        </is>
      </c>
      <c r="E53" s="9" t="n"/>
      <c r="F53" s="12" t="n"/>
      <c r="G53" s="9" t="n"/>
      <c r="H53" s="13" t="n"/>
      <c r="I53" s="13" t="n"/>
      <c r="J53" s="13" t="n"/>
      <c r="K53" s="13" t="n"/>
      <c r="L53" s="13" t="n"/>
      <c r="M53" s="13" t="n"/>
      <c r="N53" s="14">
        <f>IF(A53="","",COUNT(H53:M53)/6)</f>
        <v/>
      </c>
      <c r="O53" s="15">
        <f>IF(COUNT(H53:M53)=0,"",IF(LEN(IF(COUNT(I53,J53)=2,IF(J53&gt;I53+1,"EBE &gt; VA ",""),"")&amp;IF(COUNT(H53,M53)=2,IF(ABS(M53)&gt;ABS(H53),"RN &gt; CA ",""),"")&amp;IF(COUNT(H53,K53)=2,IF(ABS(K53)&gt;ABS(H53),"RE &gt; CA ",""),""))=0,"OK",IF(COUNT(I53,J53)=2,IF(J53&gt;I53+1,"EBE &gt; VA ",""),"")&amp;IF(COUNT(H53,M53)=2,IF(ABS(M53)&gt;ABS(H53),"RN &gt; CA ",""),"")&amp;IF(COUNT(H53,K53)=2,IF(ABS(K53)&gt;ABS(H53),"RE &gt; CA ",""),"")))</f>
        <v/>
      </c>
    </row>
    <row r="54">
      <c r="A54" s="9" t="inlineStr">
        <is>
          <t>SCRC</t>
        </is>
      </c>
      <c r="B54" s="10">
        <f>IF(A54="","",IFERROR(VLOOKUP(A54,Titres!$A$2:$B$400,2,FALSE),"Ticker inconnu"))</f>
        <v/>
      </c>
      <c r="C54" s="11" t="n">
        <v>2025</v>
      </c>
      <c r="D54" s="11" t="inlineStr">
        <is>
          <t>S1</t>
        </is>
      </c>
      <c r="E54" s="9" t="n"/>
      <c r="F54" s="12" t="n"/>
      <c r="G54" s="9" t="n"/>
      <c r="H54" s="13" t="n"/>
      <c r="I54" s="13" t="n"/>
      <c r="J54" s="13" t="n"/>
      <c r="K54" s="13" t="n"/>
      <c r="L54" s="13" t="n"/>
      <c r="M54" s="13" t="n"/>
      <c r="N54" s="14">
        <f>IF(A54="","",COUNT(H54:M54)/6)</f>
        <v/>
      </c>
      <c r="O54" s="15">
        <f>IF(COUNT(H54:M54)=0,"",IF(LEN(IF(COUNT(I54,J54)=2,IF(J54&gt;I54+1,"EBE &gt; VA ",""),"")&amp;IF(COUNT(H54,M54)=2,IF(ABS(M54)&gt;ABS(H54),"RN &gt; CA ",""),"")&amp;IF(COUNT(H54,K54)=2,IF(ABS(K54)&gt;ABS(H54),"RE &gt; CA ",""),""))=0,"OK",IF(COUNT(I54,J54)=2,IF(J54&gt;I54+1,"EBE &gt; VA ",""),"")&amp;IF(COUNT(H54,M54)=2,IF(ABS(M54)&gt;ABS(H54),"RN &gt; CA ",""),"")&amp;IF(COUNT(H54,K54)=2,IF(ABS(K54)&gt;ABS(H54),"RE &gt; CA ",""),"")))</f>
        <v/>
      </c>
    </row>
    <row r="55">
      <c r="A55" s="9" t="inlineStr">
        <is>
          <t>SCRC</t>
        </is>
      </c>
      <c r="B55" s="10">
        <f>IF(A55="","",IFERROR(VLOOKUP(A55,Titres!$A$2:$B$400,2,FALSE),"Ticker inconnu"))</f>
        <v/>
      </c>
      <c r="C55" s="11" t="n">
        <v>2025</v>
      </c>
      <c r="D55" s="11" t="inlineStr">
        <is>
          <t>T3</t>
        </is>
      </c>
      <c r="E55" s="9" t="n"/>
      <c r="F55" s="12" t="n"/>
      <c r="G55" s="9" t="n"/>
      <c r="H55" s="13" t="n"/>
      <c r="I55" s="13" t="n"/>
      <c r="J55" s="13" t="n"/>
      <c r="K55" s="13" t="n"/>
      <c r="L55" s="13" t="n"/>
      <c r="M55" s="13" t="n"/>
      <c r="N55" s="14">
        <f>IF(A55="","",COUNT(H55:M55)/6)</f>
        <v/>
      </c>
      <c r="O55" s="15">
        <f>IF(COUNT(H55:M55)=0,"",IF(LEN(IF(COUNT(I55,J55)=2,IF(J55&gt;I55+1,"EBE &gt; VA ",""),"")&amp;IF(COUNT(H55,M55)=2,IF(ABS(M55)&gt;ABS(H55),"RN &gt; CA ",""),"")&amp;IF(COUNT(H55,K55)=2,IF(ABS(K55)&gt;ABS(H55),"RE &gt; CA ",""),""))=0,"OK",IF(COUNT(I55,J55)=2,IF(J55&gt;I55+1,"EBE &gt; VA ",""),"")&amp;IF(COUNT(H55,M55)=2,IF(ABS(M55)&gt;ABS(H55),"RN &gt; CA ",""),"")&amp;IF(COUNT(H55,K55)=2,IF(ABS(K55)&gt;ABS(H55),"RE &gt; CA ",""),"")))</f>
        <v/>
      </c>
    </row>
    <row r="56">
      <c r="A56" s="9" t="inlineStr">
        <is>
          <t>SCRC</t>
        </is>
      </c>
      <c r="B56" s="10">
        <f>IF(A56="","",IFERROR(VLOOKUP(A56,Titres!$A$2:$B$400,2,FALSE),"Ticker inconnu"))</f>
        <v/>
      </c>
      <c r="C56" s="11" t="n">
        <v>2026</v>
      </c>
      <c r="D56" s="11" t="inlineStr">
        <is>
          <t>T1</t>
        </is>
      </c>
      <c r="E56" s="9" t="n"/>
      <c r="F56" s="12" t="n"/>
      <c r="G56" s="9" t="n"/>
      <c r="H56" s="13" t="n"/>
      <c r="I56" s="13" t="n"/>
      <c r="J56" s="13" t="n"/>
      <c r="K56" s="13" t="n"/>
      <c r="L56" s="13" t="n"/>
      <c r="M56" s="13" t="n"/>
      <c r="N56" s="14">
        <f>IF(A56="","",COUNT(H56:M56)/6)</f>
        <v/>
      </c>
      <c r="O56" s="15">
        <f>IF(COUNT(H56:M56)=0,"",IF(LEN(IF(COUNT(I56,J56)=2,IF(J56&gt;I56+1,"EBE &gt; VA ",""),"")&amp;IF(COUNT(H56,M56)=2,IF(ABS(M56)&gt;ABS(H56),"RN &gt; CA ",""),"")&amp;IF(COUNT(H56,K56)=2,IF(ABS(K56)&gt;ABS(H56),"RE &gt; CA ",""),""))=0,"OK",IF(COUNT(I56,J56)=2,IF(J56&gt;I56+1,"EBE &gt; VA ",""),"")&amp;IF(COUNT(H56,M56)=2,IF(ABS(M56)&gt;ABS(H56),"RN &gt; CA ",""),"")&amp;IF(COUNT(H56,K56)=2,IF(ABS(K56)&gt;ABS(H56),"RE &gt; CA ",""),"")))</f>
        <v/>
      </c>
    </row>
    <row r="57">
      <c r="A57" s="9" t="inlineStr">
        <is>
          <t>SCRC</t>
        </is>
      </c>
      <c r="B57" s="10">
        <f>IF(A57="","",IFERROR(VLOOKUP(A57,Titres!$A$2:$B$400,2,FALSE),"Ticker inconnu"))</f>
        <v/>
      </c>
      <c r="C57" s="11" t="n">
        <v>2026</v>
      </c>
      <c r="D57" s="11" t="inlineStr">
        <is>
          <t>S1</t>
        </is>
      </c>
      <c r="E57" s="9" t="n"/>
      <c r="F57" s="12" t="n"/>
      <c r="G57" s="9" t="n"/>
      <c r="H57" s="13" t="n"/>
      <c r="I57" s="13" t="n"/>
      <c r="J57" s="13" t="n"/>
      <c r="K57" s="13" t="n"/>
      <c r="L57" s="13" t="n"/>
      <c r="M57" s="13" t="n"/>
      <c r="N57" s="14">
        <f>IF(A57="","",COUNT(H57:M57)/6)</f>
        <v/>
      </c>
      <c r="O57" s="15">
        <f>IF(COUNT(H57:M57)=0,"",IF(LEN(IF(COUNT(I57,J57)=2,IF(J57&gt;I57+1,"EBE &gt; VA ",""),"")&amp;IF(COUNT(H57,M57)=2,IF(ABS(M57)&gt;ABS(H57),"RN &gt; CA ",""),"")&amp;IF(COUNT(H57,K57)=2,IF(ABS(K57)&gt;ABS(H57),"RE &gt; CA ",""),""))=0,"OK",IF(COUNT(I57,J57)=2,IF(J57&gt;I57+1,"EBE &gt; VA ",""),"")&amp;IF(COUNT(H57,M57)=2,IF(ABS(M57)&gt;ABS(H57),"RN &gt; CA ",""),"")&amp;IF(COUNT(H57,K57)=2,IF(ABS(K57)&gt;ABS(H57),"RE &gt; CA ",""),"")))</f>
        <v/>
      </c>
    </row>
    <row r="58">
      <c r="A58" s="9" t="inlineStr">
        <is>
          <t>SCRC</t>
        </is>
      </c>
      <c r="B58" s="10">
        <f>IF(A58="","",IFERROR(VLOOKUP(A58,Titres!$A$2:$B$400,2,FALSE),"Ticker inconnu"))</f>
        <v/>
      </c>
      <c r="C58" s="11" t="n">
        <v>2026</v>
      </c>
      <c r="D58" s="11" t="inlineStr">
        <is>
          <t>T3</t>
        </is>
      </c>
      <c r="E58" s="9" t="n"/>
      <c r="F58" s="12" t="n"/>
      <c r="G58" s="9" t="n"/>
      <c r="H58" s="13" t="n"/>
      <c r="I58" s="13" t="n"/>
      <c r="J58" s="13" t="n"/>
      <c r="K58" s="13" t="n"/>
      <c r="L58" s="13" t="n"/>
      <c r="M58" s="13" t="n"/>
      <c r="N58" s="14">
        <f>IF(A58="","",COUNT(H58:M58)/6)</f>
        <v/>
      </c>
      <c r="O58" s="15">
        <f>IF(COUNT(H58:M58)=0,"",IF(LEN(IF(COUNT(I58,J58)=2,IF(J58&gt;I58+1,"EBE &gt; VA ",""),"")&amp;IF(COUNT(H58,M58)=2,IF(ABS(M58)&gt;ABS(H58),"RN &gt; CA ",""),"")&amp;IF(COUNT(H58,K58)=2,IF(ABS(K58)&gt;ABS(H58),"RE &gt; CA ",""),""))=0,"OK",IF(COUNT(I58,J58)=2,IF(J58&gt;I58+1,"EBE &gt; VA ",""),"")&amp;IF(COUNT(H58,M58)=2,IF(ABS(M58)&gt;ABS(H58),"RN &gt; CA ",""),"")&amp;IF(COUNT(H58,K58)=2,IF(ABS(K58)&gt;ABS(H58),"RE &gt; CA ",""),"")))</f>
        <v/>
      </c>
    </row>
    <row r="59">
      <c r="A59" s="9" t="inlineStr">
        <is>
          <t>SICC</t>
        </is>
      </c>
      <c r="B59" s="10">
        <f>IF(A59="","",IFERROR(VLOOKUP(A59,Titres!$A$2:$B$400,2,FALSE),"Ticker inconnu"))</f>
        <v/>
      </c>
      <c r="C59" s="11" t="n">
        <v>2021</v>
      </c>
      <c r="D59" s="11" t="inlineStr">
        <is>
          <t>T1</t>
        </is>
      </c>
      <c r="E59" s="9" t="n"/>
      <c r="F59" s="12" t="n"/>
      <c r="G59" s="9" t="n"/>
      <c r="H59" s="13" t="n"/>
      <c r="I59" s="13" t="n"/>
      <c r="J59" s="13" t="n"/>
      <c r="K59" s="13" t="n"/>
      <c r="L59" s="13" t="n"/>
      <c r="M59" s="13" t="n"/>
      <c r="N59" s="14">
        <f>IF(A59="","",COUNT(H59:M59)/6)</f>
        <v/>
      </c>
      <c r="O59" s="15">
        <f>IF(COUNT(H59:M59)=0,"",IF(LEN(IF(COUNT(I59,J59)=2,IF(J59&gt;I59+1,"EBE &gt; VA ",""),"")&amp;IF(COUNT(H59,M59)=2,IF(ABS(M59)&gt;ABS(H59),"RN &gt; CA ",""),"")&amp;IF(COUNT(H59,K59)=2,IF(ABS(K59)&gt;ABS(H59),"RE &gt; CA ",""),""))=0,"OK",IF(COUNT(I59,J59)=2,IF(J59&gt;I59+1,"EBE &gt; VA ",""),"")&amp;IF(COUNT(H59,M59)=2,IF(ABS(M59)&gt;ABS(H59),"RN &gt; CA ",""),"")&amp;IF(COUNT(H59,K59)=2,IF(ABS(K59)&gt;ABS(H59),"RE &gt; CA ",""),"")))</f>
        <v/>
      </c>
    </row>
    <row r="60">
      <c r="A60" s="9" t="inlineStr">
        <is>
          <t>SICC</t>
        </is>
      </c>
      <c r="B60" s="10">
        <f>IF(A60="","",IFERROR(VLOOKUP(A60,Titres!$A$2:$B$400,2,FALSE),"Ticker inconnu"))</f>
        <v/>
      </c>
      <c r="C60" s="11" t="n">
        <v>2021</v>
      </c>
      <c r="D60" s="11" t="inlineStr">
        <is>
          <t>S1</t>
        </is>
      </c>
      <c r="E60" s="9" t="n"/>
      <c r="F60" s="12" t="n"/>
      <c r="G60" s="9" t="n"/>
      <c r="H60" s="13" t="n"/>
      <c r="I60" s="13" t="n"/>
      <c r="J60" s="13" t="n"/>
      <c r="K60" s="13" t="n"/>
      <c r="L60" s="13" t="n"/>
      <c r="M60" s="13" t="n"/>
      <c r="N60" s="14">
        <f>IF(A60="","",COUNT(H60:M60)/6)</f>
        <v/>
      </c>
      <c r="O60" s="15">
        <f>IF(COUNT(H60:M60)=0,"",IF(LEN(IF(COUNT(I60,J60)=2,IF(J60&gt;I60+1,"EBE &gt; VA ",""),"")&amp;IF(COUNT(H60,M60)=2,IF(ABS(M60)&gt;ABS(H60),"RN &gt; CA ",""),"")&amp;IF(COUNT(H60,K60)=2,IF(ABS(K60)&gt;ABS(H60),"RE &gt; CA ",""),""))=0,"OK",IF(COUNT(I60,J60)=2,IF(J60&gt;I60+1,"EBE &gt; VA ",""),"")&amp;IF(COUNT(H60,M60)=2,IF(ABS(M60)&gt;ABS(H60),"RN &gt; CA ",""),"")&amp;IF(COUNT(H60,K60)=2,IF(ABS(K60)&gt;ABS(H60),"RE &gt; CA ",""),"")))</f>
        <v/>
      </c>
    </row>
    <row r="61">
      <c r="A61" s="9" t="inlineStr">
        <is>
          <t>SICC</t>
        </is>
      </c>
      <c r="B61" s="10">
        <f>IF(A61="","",IFERROR(VLOOKUP(A61,Titres!$A$2:$B$400,2,FALSE),"Ticker inconnu"))</f>
        <v/>
      </c>
      <c r="C61" s="11" t="n">
        <v>2021</v>
      </c>
      <c r="D61" s="11" t="inlineStr">
        <is>
          <t>T3</t>
        </is>
      </c>
      <c r="E61" s="9" t="n"/>
      <c r="F61" s="12" t="n"/>
      <c r="G61" s="9" t="n"/>
      <c r="H61" s="13" t="n"/>
      <c r="I61" s="13" t="n"/>
      <c r="J61" s="13" t="n"/>
      <c r="K61" s="13" t="n"/>
      <c r="L61" s="13" t="n"/>
      <c r="M61" s="13" t="n"/>
      <c r="N61" s="14">
        <f>IF(A61="","",COUNT(H61:M61)/6)</f>
        <v/>
      </c>
      <c r="O61" s="15">
        <f>IF(COUNT(H61:M61)=0,"",IF(LEN(IF(COUNT(I61,J61)=2,IF(J61&gt;I61+1,"EBE &gt; VA ",""),"")&amp;IF(COUNT(H61,M61)=2,IF(ABS(M61)&gt;ABS(H61),"RN &gt; CA ",""),"")&amp;IF(COUNT(H61,K61)=2,IF(ABS(K61)&gt;ABS(H61),"RE &gt; CA ",""),""))=0,"OK",IF(COUNT(I61,J61)=2,IF(J61&gt;I61+1,"EBE &gt; VA ",""),"")&amp;IF(COUNT(H61,M61)=2,IF(ABS(M61)&gt;ABS(H61),"RN &gt; CA ",""),"")&amp;IF(COUNT(H61,K61)=2,IF(ABS(K61)&gt;ABS(H61),"RE &gt; CA ",""),"")))</f>
        <v/>
      </c>
    </row>
    <row r="62">
      <c r="A62" s="9" t="inlineStr">
        <is>
          <t>SICC</t>
        </is>
      </c>
      <c r="B62" s="10">
        <f>IF(A62="","",IFERROR(VLOOKUP(A62,Titres!$A$2:$B$400,2,FALSE),"Ticker inconnu"))</f>
        <v/>
      </c>
      <c r="C62" s="11" t="n">
        <v>2022</v>
      </c>
      <c r="D62" s="11" t="inlineStr">
        <is>
          <t>T1</t>
        </is>
      </c>
      <c r="E62" s="9" t="n"/>
      <c r="F62" s="12" t="n"/>
      <c r="G62" s="9" t="n"/>
      <c r="H62" s="13" t="n"/>
      <c r="I62" s="13" t="n"/>
      <c r="J62" s="13" t="n"/>
      <c r="K62" s="13" t="n"/>
      <c r="L62" s="13" t="n"/>
      <c r="M62" s="13" t="n"/>
      <c r="N62" s="14">
        <f>IF(A62="","",COUNT(H62:M62)/6)</f>
        <v/>
      </c>
      <c r="O62" s="15">
        <f>IF(COUNT(H62:M62)=0,"",IF(LEN(IF(COUNT(I62,J62)=2,IF(J62&gt;I62+1,"EBE &gt; VA ",""),"")&amp;IF(COUNT(H62,M62)=2,IF(ABS(M62)&gt;ABS(H62),"RN &gt; CA ",""),"")&amp;IF(COUNT(H62,K62)=2,IF(ABS(K62)&gt;ABS(H62),"RE &gt; CA ",""),""))=0,"OK",IF(COUNT(I62,J62)=2,IF(J62&gt;I62+1,"EBE &gt; VA ",""),"")&amp;IF(COUNT(H62,M62)=2,IF(ABS(M62)&gt;ABS(H62),"RN &gt; CA ",""),"")&amp;IF(COUNT(H62,K62)=2,IF(ABS(K62)&gt;ABS(H62),"RE &gt; CA ",""),"")))</f>
        <v/>
      </c>
    </row>
    <row r="63">
      <c r="A63" s="9" t="inlineStr">
        <is>
          <t>SICC</t>
        </is>
      </c>
      <c r="B63" s="10">
        <f>IF(A63="","",IFERROR(VLOOKUP(A63,Titres!$A$2:$B$400,2,FALSE),"Ticker inconnu"))</f>
        <v/>
      </c>
      <c r="C63" s="11" t="n">
        <v>2022</v>
      </c>
      <c r="D63" s="11" t="inlineStr">
        <is>
          <t>S1</t>
        </is>
      </c>
      <c r="E63" s="9" t="n"/>
      <c r="F63" s="12" t="n"/>
      <c r="G63" s="9" t="n"/>
      <c r="H63" s="13" t="n"/>
      <c r="I63" s="13" t="n"/>
      <c r="J63" s="13" t="n"/>
      <c r="K63" s="13" t="n"/>
      <c r="L63" s="13" t="n"/>
      <c r="M63" s="13" t="n"/>
      <c r="N63" s="14">
        <f>IF(A63="","",COUNT(H63:M63)/6)</f>
        <v/>
      </c>
      <c r="O63" s="15">
        <f>IF(COUNT(H63:M63)=0,"",IF(LEN(IF(COUNT(I63,J63)=2,IF(J63&gt;I63+1,"EBE &gt; VA ",""),"")&amp;IF(COUNT(H63,M63)=2,IF(ABS(M63)&gt;ABS(H63),"RN &gt; CA ",""),"")&amp;IF(COUNT(H63,K63)=2,IF(ABS(K63)&gt;ABS(H63),"RE &gt; CA ",""),""))=0,"OK",IF(COUNT(I63,J63)=2,IF(J63&gt;I63+1,"EBE &gt; VA ",""),"")&amp;IF(COUNT(H63,M63)=2,IF(ABS(M63)&gt;ABS(H63),"RN &gt; CA ",""),"")&amp;IF(COUNT(H63,K63)=2,IF(ABS(K63)&gt;ABS(H63),"RE &gt; CA ",""),"")))</f>
        <v/>
      </c>
    </row>
    <row r="64">
      <c r="A64" s="9" t="inlineStr">
        <is>
          <t>SICC</t>
        </is>
      </c>
      <c r="B64" s="10">
        <f>IF(A64="","",IFERROR(VLOOKUP(A64,Titres!$A$2:$B$400,2,FALSE),"Ticker inconnu"))</f>
        <v/>
      </c>
      <c r="C64" s="11" t="n">
        <v>2022</v>
      </c>
      <c r="D64" s="11" t="inlineStr">
        <is>
          <t>T3</t>
        </is>
      </c>
      <c r="E64" s="9" t="n"/>
      <c r="F64" s="12" t="n"/>
      <c r="G64" s="9" t="n"/>
      <c r="H64" s="13" t="n"/>
      <c r="I64" s="13" t="n"/>
      <c r="J64" s="13" t="n"/>
      <c r="K64" s="13" t="n"/>
      <c r="L64" s="13" t="n"/>
      <c r="M64" s="13" t="n"/>
      <c r="N64" s="14">
        <f>IF(A64="","",COUNT(H64:M64)/6)</f>
        <v/>
      </c>
      <c r="O64" s="15">
        <f>IF(COUNT(H64:M64)=0,"",IF(LEN(IF(COUNT(I64,J64)=2,IF(J64&gt;I64+1,"EBE &gt; VA ",""),"")&amp;IF(COUNT(H64,M64)=2,IF(ABS(M64)&gt;ABS(H64),"RN &gt; CA ",""),"")&amp;IF(COUNT(H64,K64)=2,IF(ABS(K64)&gt;ABS(H64),"RE &gt; CA ",""),""))=0,"OK",IF(COUNT(I64,J64)=2,IF(J64&gt;I64+1,"EBE &gt; VA ",""),"")&amp;IF(COUNT(H64,M64)=2,IF(ABS(M64)&gt;ABS(H64),"RN &gt; CA ",""),"")&amp;IF(COUNT(H64,K64)=2,IF(ABS(K64)&gt;ABS(H64),"RE &gt; CA ",""),"")))</f>
        <v/>
      </c>
    </row>
    <row r="65">
      <c r="A65" s="9" t="inlineStr">
        <is>
          <t>SICC</t>
        </is>
      </c>
      <c r="B65" s="10">
        <f>IF(A65="","",IFERROR(VLOOKUP(A65,Titres!$A$2:$B$400,2,FALSE),"Ticker inconnu"))</f>
        <v/>
      </c>
      <c r="C65" s="11" t="n">
        <v>2023</v>
      </c>
      <c r="D65" s="11" t="inlineStr">
        <is>
          <t>T1</t>
        </is>
      </c>
      <c r="E65" s="9" t="n"/>
      <c r="F65" s="12" t="n"/>
      <c r="G65" s="9" t="n"/>
      <c r="H65" s="13" t="n"/>
      <c r="I65" s="13" t="n"/>
      <c r="J65" s="13" t="n"/>
      <c r="K65" s="13" t="n"/>
      <c r="L65" s="13" t="n"/>
      <c r="M65" s="13" t="n"/>
      <c r="N65" s="14">
        <f>IF(A65="","",COUNT(H65:M65)/6)</f>
        <v/>
      </c>
      <c r="O65" s="15">
        <f>IF(COUNT(H65:M65)=0,"",IF(LEN(IF(COUNT(I65,J65)=2,IF(J65&gt;I65+1,"EBE &gt; VA ",""),"")&amp;IF(COUNT(H65,M65)=2,IF(ABS(M65)&gt;ABS(H65),"RN &gt; CA ",""),"")&amp;IF(COUNT(H65,K65)=2,IF(ABS(K65)&gt;ABS(H65),"RE &gt; CA ",""),""))=0,"OK",IF(COUNT(I65,J65)=2,IF(J65&gt;I65+1,"EBE &gt; VA ",""),"")&amp;IF(COUNT(H65,M65)=2,IF(ABS(M65)&gt;ABS(H65),"RN &gt; CA ",""),"")&amp;IF(COUNT(H65,K65)=2,IF(ABS(K65)&gt;ABS(H65),"RE &gt; CA ",""),"")))</f>
        <v/>
      </c>
    </row>
    <row r="66">
      <c r="A66" s="9" t="inlineStr">
        <is>
          <t>SICC</t>
        </is>
      </c>
      <c r="B66" s="10">
        <f>IF(A66="","",IFERROR(VLOOKUP(A66,Titres!$A$2:$B$400,2,FALSE),"Ticker inconnu"))</f>
        <v/>
      </c>
      <c r="C66" s="11" t="n">
        <v>2023</v>
      </c>
      <c r="D66" s="11" t="inlineStr">
        <is>
          <t>S1</t>
        </is>
      </c>
      <c r="E66" s="9" t="n"/>
      <c r="F66" s="12" t="n"/>
      <c r="G66" s="9" t="n"/>
      <c r="H66" s="13" t="n"/>
      <c r="I66" s="13" t="n"/>
      <c r="J66" s="13" t="n"/>
      <c r="K66" s="13" t="n"/>
      <c r="L66" s="13" t="n"/>
      <c r="M66" s="13" t="n"/>
      <c r="N66" s="14">
        <f>IF(A66="","",COUNT(H66:M66)/6)</f>
        <v/>
      </c>
      <c r="O66" s="15">
        <f>IF(COUNT(H66:M66)=0,"",IF(LEN(IF(COUNT(I66,J66)=2,IF(J66&gt;I66+1,"EBE &gt; VA ",""),"")&amp;IF(COUNT(H66,M66)=2,IF(ABS(M66)&gt;ABS(H66),"RN &gt; CA ",""),"")&amp;IF(COUNT(H66,K66)=2,IF(ABS(K66)&gt;ABS(H66),"RE &gt; CA ",""),""))=0,"OK",IF(COUNT(I66,J66)=2,IF(J66&gt;I66+1,"EBE &gt; VA ",""),"")&amp;IF(COUNT(H66,M66)=2,IF(ABS(M66)&gt;ABS(H66),"RN &gt; CA ",""),"")&amp;IF(COUNT(H66,K66)=2,IF(ABS(K66)&gt;ABS(H66),"RE &gt; CA ",""),"")))</f>
        <v/>
      </c>
    </row>
    <row r="67">
      <c r="A67" s="9" t="inlineStr">
        <is>
          <t>SICC</t>
        </is>
      </c>
      <c r="B67" s="10">
        <f>IF(A67="","",IFERROR(VLOOKUP(A67,Titres!$A$2:$B$400,2,FALSE),"Ticker inconnu"))</f>
        <v/>
      </c>
      <c r="C67" s="11" t="n">
        <v>2023</v>
      </c>
      <c r="D67" s="11" t="inlineStr">
        <is>
          <t>T3</t>
        </is>
      </c>
      <c r="E67" s="9" t="n"/>
      <c r="F67" s="12" t="n"/>
      <c r="G67" s="9" t="n"/>
      <c r="H67" s="13" t="n"/>
      <c r="I67" s="13" t="n"/>
      <c r="J67" s="13" t="n"/>
      <c r="K67" s="13" t="n"/>
      <c r="L67" s="13" t="n"/>
      <c r="M67" s="13" t="n"/>
      <c r="N67" s="14">
        <f>IF(A67="","",COUNT(H67:M67)/6)</f>
        <v/>
      </c>
      <c r="O67" s="15">
        <f>IF(COUNT(H67:M67)=0,"",IF(LEN(IF(COUNT(I67,J67)=2,IF(J67&gt;I67+1,"EBE &gt; VA ",""),"")&amp;IF(COUNT(H67,M67)=2,IF(ABS(M67)&gt;ABS(H67),"RN &gt; CA ",""),"")&amp;IF(COUNT(H67,K67)=2,IF(ABS(K67)&gt;ABS(H67),"RE &gt; CA ",""),""))=0,"OK",IF(COUNT(I67,J67)=2,IF(J67&gt;I67+1,"EBE &gt; VA ",""),"")&amp;IF(COUNT(H67,M67)=2,IF(ABS(M67)&gt;ABS(H67),"RN &gt; CA ",""),"")&amp;IF(COUNT(H67,K67)=2,IF(ABS(K67)&gt;ABS(H67),"RE &gt; CA ",""),"")))</f>
        <v/>
      </c>
    </row>
    <row r="68">
      <c r="A68" s="9" t="inlineStr">
        <is>
          <t>SICC</t>
        </is>
      </c>
      <c r="B68" s="10">
        <f>IF(A68="","",IFERROR(VLOOKUP(A68,Titres!$A$2:$B$400,2,FALSE),"Ticker inconnu"))</f>
        <v/>
      </c>
      <c r="C68" s="11" t="n">
        <v>2024</v>
      </c>
      <c r="D68" s="11" t="inlineStr">
        <is>
          <t>T1</t>
        </is>
      </c>
      <c r="E68" s="9" t="n"/>
      <c r="F68" s="12" t="n"/>
      <c r="G68" s="9" t="n"/>
      <c r="H68" s="13" t="n"/>
      <c r="I68" s="13" t="n"/>
      <c r="J68" s="13" t="n"/>
      <c r="K68" s="13" t="n"/>
      <c r="L68" s="13" t="n"/>
      <c r="M68" s="13" t="n"/>
      <c r="N68" s="14">
        <f>IF(A68="","",COUNT(H68:M68)/6)</f>
        <v/>
      </c>
      <c r="O68" s="15">
        <f>IF(COUNT(H68:M68)=0,"",IF(LEN(IF(COUNT(I68,J68)=2,IF(J68&gt;I68+1,"EBE &gt; VA ",""),"")&amp;IF(COUNT(H68,M68)=2,IF(ABS(M68)&gt;ABS(H68),"RN &gt; CA ",""),"")&amp;IF(COUNT(H68,K68)=2,IF(ABS(K68)&gt;ABS(H68),"RE &gt; CA ",""),""))=0,"OK",IF(COUNT(I68,J68)=2,IF(J68&gt;I68+1,"EBE &gt; VA ",""),"")&amp;IF(COUNT(H68,M68)=2,IF(ABS(M68)&gt;ABS(H68),"RN &gt; CA ",""),"")&amp;IF(COUNT(H68,K68)=2,IF(ABS(K68)&gt;ABS(H68),"RE &gt; CA ",""),"")))</f>
        <v/>
      </c>
    </row>
    <row r="69">
      <c r="A69" s="9" t="inlineStr">
        <is>
          <t>SICC</t>
        </is>
      </c>
      <c r="B69" s="10">
        <f>IF(A69="","",IFERROR(VLOOKUP(A69,Titres!$A$2:$B$400,2,FALSE),"Ticker inconnu"))</f>
        <v/>
      </c>
      <c r="C69" s="11" t="n">
        <v>2024</v>
      </c>
      <c r="D69" s="11" t="inlineStr">
        <is>
          <t>S1</t>
        </is>
      </c>
      <c r="E69" s="9" t="n"/>
      <c r="F69" s="12" t="n"/>
      <c r="G69" s="9" t="n"/>
      <c r="H69" s="13" t="n"/>
      <c r="I69" s="13" t="n"/>
      <c r="J69" s="13" t="n"/>
      <c r="K69" s="13" t="n"/>
      <c r="L69" s="13" t="n"/>
      <c r="M69" s="13" t="n"/>
      <c r="N69" s="14">
        <f>IF(A69="","",COUNT(H69:M69)/6)</f>
        <v/>
      </c>
      <c r="O69" s="15">
        <f>IF(COUNT(H69:M69)=0,"",IF(LEN(IF(COUNT(I69,J69)=2,IF(J69&gt;I69+1,"EBE &gt; VA ",""),"")&amp;IF(COUNT(H69,M69)=2,IF(ABS(M69)&gt;ABS(H69),"RN &gt; CA ",""),"")&amp;IF(COUNT(H69,K69)=2,IF(ABS(K69)&gt;ABS(H69),"RE &gt; CA ",""),""))=0,"OK",IF(COUNT(I69,J69)=2,IF(J69&gt;I69+1,"EBE &gt; VA ",""),"")&amp;IF(COUNT(H69,M69)=2,IF(ABS(M69)&gt;ABS(H69),"RN &gt; CA ",""),"")&amp;IF(COUNT(H69,K69)=2,IF(ABS(K69)&gt;ABS(H69),"RE &gt; CA ",""),"")))</f>
        <v/>
      </c>
    </row>
    <row r="70">
      <c r="A70" s="9" t="inlineStr">
        <is>
          <t>SICC</t>
        </is>
      </c>
      <c r="B70" s="10">
        <f>IF(A70="","",IFERROR(VLOOKUP(A70,Titres!$A$2:$B$400,2,FALSE),"Ticker inconnu"))</f>
        <v/>
      </c>
      <c r="C70" s="11" t="n">
        <v>2024</v>
      </c>
      <c r="D70" s="11" t="inlineStr">
        <is>
          <t>T3</t>
        </is>
      </c>
      <c r="E70" s="9" t="n"/>
      <c r="F70" s="12" t="n"/>
      <c r="G70" s="9" t="n"/>
      <c r="H70" s="13" t="n"/>
      <c r="I70" s="13" t="n"/>
      <c r="J70" s="13" t="n"/>
      <c r="K70" s="13" t="n"/>
      <c r="L70" s="13" t="n"/>
      <c r="M70" s="13" t="n"/>
      <c r="N70" s="14">
        <f>IF(A70="","",COUNT(H70:M70)/6)</f>
        <v/>
      </c>
      <c r="O70" s="15">
        <f>IF(COUNT(H70:M70)=0,"",IF(LEN(IF(COUNT(I70,J70)=2,IF(J70&gt;I70+1,"EBE &gt; VA ",""),"")&amp;IF(COUNT(H70,M70)=2,IF(ABS(M70)&gt;ABS(H70),"RN &gt; CA ",""),"")&amp;IF(COUNT(H70,K70)=2,IF(ABS(K70)&gt;ABS(H70),"RE &gt; CA ",""),""))=0,"OK",IF(COUNT(I70,J70)=2,IF(J70&gt;I70+1,"EBE &gt; VA ",""),"")&amp;IF(COUNT(H70,M70)=2,IF(ABS(M70)&gt;ABS(H70),"RN &gt; CA ",""),"")&amp;IF(COUNT(H70,K70)=2,IF(ABS(K70)&gt;ABS(H70),"RE &gt; CA ",""),"")))</f>
        <v/>
      </c>
    </row>
    <row r="71">
      <c r="A71" s="9" t="inlineStr">
        <is>
          <t>SICC</t>
        </is>
      </c>
      <c r="B71" s="10">
        <f>IF(A71="","",IFERROR(VLOOKUP(A71,Titres!$A$2:$B$400,2,FALSE),"Ticker inconnu"))</f>
        <v/>
      </c>
      <c r="C71" s="11" t="n">
        <v>2025</v>
      </c>
      <c r="D71" s="11" t="inlineStr">
        <is>
          <t>T1</t>
        </is>
      </c>
      <c r="E71" s="9" t="n"/>
      <c r="F71" s="12" t="n"/>
      <c r="G71" s="9" t="n"/>
      <c r="H71" s="13" t="n"/>
      <c r="I71" s="13" t="n"/>
      <c r="J71" s="13" t="n"/>
      <c r="K71" s="13" t="n"/>
      <c r="L71" s="13" t="n"/>
      <c r="M71" s="13" t="n"/>
      <c r="N71" s="14">
        <f>IF(A71="","",COUNT(H71:M71)/6)</f>
        <v/>
      </c>
      <c r="O71" s="15">
        <f>IF(COUNT(H71:M71)=0,"",IF(LEN(IF(COUNT(I71,J71)=2,IF(J71&gt;I71+1,"EBE &gt; VA ",""),"")&amp;IF(COUNT(H71,M71)=2,IF(ABS(M71)&gt;ABS(H71),"RN &gt; CA ",""),"")&amp;IF(COUNT(H71,K71)=2,IF(ABS(K71)&gt;ABS(H71),"RE &gt; CA ",""),""))=0,"OK",IF(COUNT(I71,J71)=2,IF(J71&gt;I71+1,"EBE &gt; VA ",""),"")&amp;IF(COUNT(H71,M71)=2,IF(ABS(M71)&gt;ABS(H71),"RN &gt; CA ",""),"")&amp;IF(COUNT(H71,K71)=2,IF(ABS(K71)&gt;ABS(H71),"RE &gt; CA ",""),"")))</f>
        <v/>
      </c>
    </row>
    <row r="72">
      <c r="A72" s="9" t="inlineStr">
        <is>
          <t>SICC</t>
        </is>
      </c>
      <c r="B72" s="10">
        <f>IF(A72="","",IFERROR(VLOOKUP(A72,Titres!$A$2:$B$400,2,FALSE),"Ticker inconnu"))</f>
        <v/>
      </c>
      <c r="C72" s="11" t="n">
        <v>2025</v>
      </c>
      <c r="D72" s="11" t="inlineStr">
        <is>
          <t>S1</t>
        </is>
      </c>
      <c r="E72" s="9" t="n"/>
      <c r="F72" s="12" t="n"/>
      <c r="G72" s="9" t="n"/>
      <c r="H72" s="13" t="n"/>
      <c r="I72" s="13" t="n"/>
      <c r="J72" s="13" t="n"/>
      <c r="K72" s="13" t="n"/>
      <c r="L72" s="13" t="n"/>
      <c r="M72" s="13" t="n"/>
      <c r="N72" s="14">
        <f>IF(A72="","",COUNT(H72:M72)/6)</f>
        <v/>
      </c>
      <c r="O72" s="15">
        <f>IF(COUNT(H72:M72)=0,"",IF(LEN(IF(COUNT(I72,J72)=2,IF(J72&gt;I72+1,"EBE &gt; VA ",""),"")&amp;IF(COUNT(H72,M72)=2,IF(ABS(M72)&gt;ABS(H72),"RN &gt; CA ",""),"")&amp;IF(COUNT(H72,K72)=2,IF(ABS(K72)&gt;ABS(H72),"RE &gt; CA ",""),""))=0,"OK",IF(COUNT(I72,J72)=2,IF(J72&gt;I72+1,"EBE &gt; VA ",""),"")&amp;IF(COUNT(H72,M72)=2,IF(ABS(M72)&gt;ABS(H72),"RN &gt; CA ",""),"")&amp;IF(COUNT(H72,K72)=2,IF(ABS(K72)&gt;ABS(H72),"RE &gt; CA ",""),"")))</f>
        <v/>
      </c>
    </row>
    <row r="73">
      <c r="A73" s="9" t="inlineStr">
        <is>
          <t>SICC</t>
        </is>
      </c>
      <c r="B73" s="10">
        <f>IF(A73="","",IFERROR(VLOOKUP(A73,Titres!$A$2:$B$400,2,FALSE),"Ticker inconnu"))</f>
        <v/>
      </c>
      <c r="C73" s="11" t="n">
        <v>2025</v>
      </c>
      <c r="D73" s="11" t="inlineStr">
        <is>
          <t>T3</t>
        </is>
      </c>
      <c r="E73" s="9" t="n"/>
      <c r="F73" s="12" t="n"/>
      <c r="G73" s="9" t="n"/>
      <c r="H73" s="13" t="n"/>
      <c r="I73" s="13" t="n"/>
      <c r="J73" s="13" t="n"/>
      <c r="K73" s="13" t="n"/>
      <c r="L73" s="13" t="n"/>
      <c r="M73" s="13" t="n"/>
      <c r="N73" s="14">
        <f>IF(A73="","",COUNT(H73:M73)/6)</f>
        <v/>
      </c>
      <c r="O73" s="15">
        <f>IF(COUNT(H73:M73)=0,"",IF(LEN(IF(COUNT(I73,J73)=2,IF(J73&gt;I73+1,"EBE &gt; VA ",""),"")&amp;IF(COUNT(H73,M73)=2,IF(ABS(M73)&gt;ABS(H73),"RN &gt; CA ",""),"")&amp;IF(COUNT(H73,K73)=2,IF(ABS(K73)&gt;ABS(H73),"RE &gt; CA ",""),""))=0,"OK",IF(COUNT(I73,J73)=2,IF(J73&gt;I73+1,"EBE &gt; VA ",""),"")&amp;IF(COUNT(H73,M73)=2,IF(ABS(M73)&gt;ABS(H73),"RN &gt; CA ",""),"")&amp;IF(COUNT(H73,K73)=2,IF(ABS(K73)&gt;ABS(H73),"RE &gt; CA ",""),"")))</f>
        <v/>
      </c>
    </row>
    <row r="74">
      <c r="A74" s="9" t="inlineStr">
        <is>
          <t>SICC</t>
        </is>
      </c>
      <c r="B74" s="10">
        <f>IF(A74="","",IFERROR(VLOOKUP(A74,Titres!$A$2:$B$400,2,FALSE),"Ticker inconnu"))</f>
        <v/>
      </c>
      <c r="C74" s="11" t="n">
        <v>2026</v>
      </c>
      <c r="D74" s="11" t="inlineStr">
        <is>
          <t>T1</t>
        </is>
      </c>
      <c r="E74" s="9" t="n"/>
      <c r="F74" s="12" t="n"/>
      <c r="G74" s="9" t="n"/>
      <c r="H74" s="13" t="n"/>
      <c r="I74" s="13" t="n"/>
      <c r="J74" s="13" t="n"/>
      <c r="K74" s="13" t="n"/>
      <c r="L74" s="13" t="n"/>
      <c r="M74" s="13" t="n"/>
      <c r="N74" s="14">
        <f>IF(A74="","",COUNT(H74:M74)/6)</f>
        <v/>
      </c>
      <c r="O74" s="15">
        <f>IF(COUNT(H74:M74)=0,"",IF(LEN(IF(COUNT(I74,J74)=2,IF(J74&gt;I74+1,"EBE &gt; VA ",""),"")&amp;IF(COUNT(H74,M74)=2,IF(ABS(M74)&gt;ABS(H74),"RN &gt; CA ",""),"")&amp;IF(COUNT(H74,K74)=2,IF(ABS(K74)&gt;ABS(H74),"RE &gt; CA ",""),""))=0,"OK",IF(COUNT(I74,J74)=2,IF(J74&gt;I74+1,"EBE &gt; VA ",""),"")&amp;IF(COUNT(H74,M74)=2,IF(ABS(M74)&gt;ABS(H74),"RN &gt; CA ",""),"")&amp;IF(COUNT(H74,K74)=2,IF(ABS(K74)&gt;ABS(H74),"RE &gt; CA ",""),"")))</f>
        <v/>
      </c>
    </row>
    <row r="75">
      <c r="A75" s="9" t="inlineStr">
        <is>
          <t>SICC</t>
        </is>
      </c>
      <c r="B75" s="10">
        <f>IF(A75="","",IFERROR(VLOOKUP(A75,Titres!$A$2:$B$400,2,FALSE),"Ticker inconnu"))</f>
        <v/>
      </c>
      <c r="C75" s="11" t="n">
        <v>2026</v>
      </c>
      <c r="D75" s="11" t="inlineStr">
        <is>
          <t>S1</t>
        </is>
      </c>
      <c r="E75" s="9" t="n"/>
      <c r="F75" s="12" t="n"/>
      <c r="G75" s="9" t="n"/>
      <c r="H75" s="13" t="n"/>
      <c r="I75" s="13" t="n"/>
      <c r="J75" s="13" t="n"/>
      <c r="K75" s="13" t="n"/>
      <c r="L75" s="13" t="n"/>
      <c r="M75" s="13" t="n"/>
      <c r="N75" s="14">
        <f>IF(A75="","",COUNT(H75:M75)/6)</f>
        <v/>
      </c>
      <c r="O75" s="15">
        <f>IF(COUNT(H75:M75)=0,"",IF(LEN(IF(COUNT(I75,J75)=2,IF(J75&gt;I75+1,"EBE &gt; VA ",""),"")&amp;IF(COUNT(H75,M75)=2,IF(ABS(M75)&gt;ABS(H75),"RN &gt; CA ",""),"")&amp;IF(COUNT(H75,K75)=2,IF(ABS(K75)&gt;ABS(H75),"RE &gt; CA ",""),""))=0,"OK",IF(COUNT(I75,J75)=2,IF(J75&gt;I75+1,"EBE &gt; VA ",""),"")&amp;IF(COUNT(H75,M75)=2,IF(ABS(M75)&gt;ABS(H75),"RN &gt; CA ",""),"")&amp;IF(COUNT(H75,K75)=2,IF(ABS(K75)&gt;ABS(H75),"RE &gt; CA ",""),"")))</f>
        <v/>
      </c>
    </row>
    <row r="76">
      <c r="A76" s="9" t="inlineStr">
        <is>
          <t>SICC</t>
        </is>
      </c>
      <c r="B76" s="10">
        <f>IF(A76="","",IFERROR(VLOOKUP(A76,Titres!$A$2:$B$400,2,FALSE),"Ticker inconnu"))</f>
        <v/>
      </c>
      <c r="C76" s="11" t="n">
        <v>2026</v>
      </c>
      <c r="D76" s="11" t="inlineStr">
        <is>
          <t>T3</t>
        </is>
      </c>
      <c r="E76" s="9" t="n"/>
      <c r="F76" s="12" t="n"/>
      <c r="G76" s="9" t="n"/>
      <c r="H76" s="13" t="n"/>
      <c r="I76" s="13" t="n"/>
      <c r="J76" s="13" t="n"/>
      <c r="K76" s="13" t="n"/>
      <c r="L76" s="13" t="n"/>
      <c r="M76" s="13" t="n"/>
      <c r="N76" s="14">
        <f>IF(A76="","",COUNT(H76:M76)/6)</f>
        <v/>
      </c>
      <c r="O76" s="15">
        <f>IF(COUNT(H76:M76)=0,"",IF(LEN(IF(COUNT(I76,J76)=2,IF(J76&gt;I76+1,"EBE &gt; VA ",""),"")&amp;IF(COUNT(H76,M76)=2,IF(ABS(M76)&gt;ABS(H76),"RN &gt; CA ",""),"")&amp;IF(COUNT(H76,K76)=2,IF(ABS(K76)&gt;ABS(H76),"RE &gt; CA ",""),""))=0,"OK",IF(COUNT(I76,J76)=2,IF(J76&gt;I76+1,"EBE &gt; VA ",""),"")&amp;IF(COUNT(H76,M76)=2,IF(ABS(M76)&gt;ABS(H76),"RN &gt; CA ",""),"")&amp;IF(COUNT(H76,K76)=2,IF(ABS(K76)&gt;ABS(H76),"RE &gt; CA ",""),"")))</f>
        <v/>
      </c>
    </row>
    <row r="77">
      <c r="A77" s="9" t="inlineStr">
        <is>
          <t>SLBC</t>
        </is>
      </c>
      <c r="B77" s="10">
        <f>IF(A77="","",IFERROR(VLOOKUP(A77,Titres!$A$2:$B$400,2,FALSE),"Ticker inconnu"))</f>
        <v/>
      </c>
      <c r="C77" s="11" t="n">
        <v>2021</v>
      </c>
      <c r="D77" s="11" t="inlineStr">
        <is>
          <t>T1</t>
        </is>
      </c>
      <c r="E77" s="9" t="n"/>
      <c r="F77" s="12" t="n"/>
      <c r="G77" s="9" t="n"/>
      <c r="H77" s="13" t="n"/>
      <c r="I77" s="13" t="n"/>
      <c r="J77" s="13" t="n"/>
      <c r="K77" s="13" t="n"/>
      <c r="L77" s="13" t="n"/>
      <c r="M77" s="13" t="n"/>
      <c r="N77" s="14">
        <f>IF(A77="","",COUNT(H77:M77)/6)</f>
        <v/>
      </c>
      <c r="O77" s="15">
        <f>IF(COUNT(H77:M77)=0,"",IF(LEN(IF(COUNT(I77,J77)=2,IF(J77&gt;I77+1,"EBE &gt; VA ",""),"")&amp;IF(COUNT(H77,M77)=2,IF(ABS(M77)&gt;ABS(H77),"RN &gt; CA ",""),"")&amp;IF(COUNT(H77,K77)=2,IF(ABS(K77)&gt;ABS(H77),"RE &gt; CA ",""),""))=0,"OK",IF(COUNT(I77,J77)=2,IF(J77&gt;I77+1,"EBE &gt; VA ",""),"")&amp;IF(COUNT(H77,M77)=2,IF(ABS(M77)&gt;ABS(H77),"RN &gt; CA ",""),"")&amp;IF(COUNT(H77,K77)=2,IF(ABS(K77)&gt;ABS(H77),"RE &gt; CA ",""),"")))</f>
        <v/>
      </c>
    </row>
    <row r="78">
      <c r="A78" s="9" t="inlineStr">
        <is>
          <t>SLBC</t>
        </is>
      </c>
      <c r="B78" s="10">
        <f>IF(A78="","",IFERROR(VLOOKUP(A78,Titres!$A$2:$B$400,2,FALSE),"Ticker inconnu"))</f>
        <v/>
      </c>
      <c r="C78" s="11" t="n">
        <v>2021</v>
      </c>
      <c r="D78" s="11" t="inlineStr">
        <is>
          <t>S1</t>
        </is>
      </c>
      <c r="E78" s="9" t="n"/>
      <c r="F78" s="12" t="n"/>
      <c r="G78" s="9" t="n"/>
      <c r="H78" s="13" t="n"/>
      <c r="I78" s="13" t="n"/>
      <c r="J78" s="13" t="n"/>
      <c r="K78" s="13" t="n"/>
      <c r="L78" s="13" t="n"/>
      <c r="M78" s="13" t="n"/>
      <c r="N78" s="14">
        <f>IF(A78="","",COUNT(H78:M78)/6)</f>
        <v/>
      </c>
      <c r="O78" s="15">
        <f>IF(COUNT(H78:M78)=0,"",IF(LEN(IF(COUNT(I78,J78)=2,IF(J78&gt;I78+1,"EBE &gt; VA ",""),"")&amp;IF(COUNT(H78,M78)=2,IF(ABS(M78)&gt;ABS(H78),"RN &gt; CA ",""),"")&amp;IF(COUNT(H78,K78)=2,IF(ABS(K78)&gt;ABS(H78),"RE &gt; CA ",""),""))=0,"OK",IF(COUNT(I78,J78)=2,IF(J78&gt;I78+1,"EBE &gt; VA ",""),"")&amp;IF(COUNT(H78,M78)=2,IF(ABS(M78)&gt;ABS(H78),"RN &gt; CA ",""),"")&amp;IF(COUNT(H78,K78)=2,IF(ABS(K78)&gt;ABS(H78),"RE &gt; CA ",""),"")))</f>
        <v/>
      </c>
    </row>
    <row r="79">
      <c r="A79" s="9" t="inlineStr">
        <is>
          <t>SLBC</t>
        </is>
      </c>
      <c r="B79" s="10">
        <f>IF(A79="","",IFERROR(VLOOKUP(A79,Titres!$A$2:$B$400,2,FALSE),"Ticker inconnu"))</f>
        <v/>
      </c>
      <c r="C79" s="11" t="n">
        <v>2021</v>
      </c>
      <c r="D79" s="11" t="inlineStr">
        <is>
          <t>T3</t>
        </is>
      </c>
      <c r="E79" s="9" t="n"/>
      <c r="F79" s="12" t="n"/>
      <c r="G79" s="9" t="n"/>
      <c r="H79" s="13" t="n"/>
      <c r="I79" s="13" t="n"/>
      <c r="J79" s="13" t="n"/>
      <c r="K79" s="13" t="n"/>
      <c r="L79" s="13" t="n"/>
      <c r="M79" s="13" t="n"/>
      <c r="N79" s="14">
        <f>IF(A79="","",COUNT(H79:M79)/6)</f>
        <v/>
      </c>
      <c r="O79" s="15">
        <f>IF(COUNT(H79:M79)=0,"",IF(LEN(IF(COUNT(I79,J79)=2,IF(J79&gt;I79+1,"EBE &gt; VA ",""),"")&amp;IF(COUNT(H79,M79)=2,IF(ABS(M79)&gt;ABS(H79),"RN &gt; CA ",""),"")&amp;IF(COUNT(H79,K79)=2,IF(ABS(K79)&gt;ABS(H79),"RE &gt; CA ",""),""))=0,"OK",IF(COUNT(I79,J79)=2,IF(J79&gt;I79+1,"EBE &gt; VA ",""),"")&amp;IF(COUNT(H79,M79)=2,IF(ABS(M79)&gt;ABS(H79),"RN &gt; CA ",""),"")&amp;IF(COUNT(H79,K79)=2,IF(ABS(K79)&gt;ABS(H79),"RE &gt; CA ",""),"")))</f>
        <v/>
      </c>
    </row>
    <row r="80">
      <c r="A80" s="9" t="inlineStr">
        <is>
          <t>SLBC</t>
        </is>
      </c>
      <c r="B80" s="10">
        <f>IF(A80="","",IFERROR(VLOOKUP(A80,Titres!$A$2:$B$400,2,FALSE),"Ticker inconnu"))</f>
        <v/>
      </c>
      <c r="C80" s="11" t="n">
        <v>2022</v>
      </c>
      <c r="D80" s="11" t="inlineStr">
        <is>
          <t>T1</t>
        </is>
      </c>
      <c r="E80" s="9" t="n"/>
      <c r="F80" s="12" t="n"/>
      <c r="G80" s="9" t="n"/>
      <c r="H80" s="13" t="n"/>
      <c r="I80" s="13" t="n"/>
      <c r="J80" s="13" t="n"/>
      <c r="K80" s="13" t="n"/>
      <c r="L80" s="13" t="n"/>
      <c r="M80" s="13" t="n"/>
      <c r="N80" s="14">
        <f>IF(A80="","",COUNT(H80:M80)/6)</f>
        <v/>
      </c>
      <c r="O80" s="15">
        <f>IF(COUNT(H80:M80)=0,"",IF(LEN(IF(COUNT(I80,J80)=2,IF(J80&gt;I80+1,"EBE &gt; VA ",""),"")&amp;IF(COUNT(H80,M80)=2,IF(ABS(M80)&gt;ABS(H80),"RN &gt; CA ",""),"")&amp;IF(COUNT(H80,K80)=2,IF(ABS(K80)&gt;ABS(H80),"RE &gt; CA ",""),""))=0,"OK",IF(COUNT(I80,J80)=2,IF(J80&gt;I80+1,"EBE &gt; VA ",""),"")&amp;IF(COUNT(H80,M80)=2,IF(ABS(M80)&gt;ABS(H80),"RN &gt; CA ",""),"")&amp;IF(COUNT(H80,K80)=2,IF(ABS(K80)&gt;ABS(H80),"RE &gt; CA ",""),"")))</f>
        <v/>
      </c>
    </row>
    <row r="81">
      <c r="A81" s="9" t="inlineStr">
        <is>
          <t>SLBC</t>
        </is>
      </c>
      <c r="B81" s="10">
        <f>IF(A81="","",IFERROR(VLOOKUP(A81,Titres!$A$2:$B$400,2,FALSE),"Ticker inconnu"))</f>
        <v/>
      </c>
      <c r="C81" s="11" t="n">
        <v>2022</v>
      </c>
      <c r="D81" s="11" t="inlineStr">
        <is>
          <t>S1</t>
        </is>
      </c>
      <c r="E81" s="9" t="n"/>
      <c r="F81" s="12" t="n"/>
      <c r="G81" s="9" t="n"/>
      <c r="H81" s="13" t="n"/>
      <c r="I81" s="13" t="n"/>
      <c r="J81" s="13" t="n"/>
      <c r="K81" s="13" t="n"/>
      <c r="L81" s="13" t="n"/>
      <c r="M81" s="13" t="n"/>
      <c r="N81" s="14">
        <f>IF(A81="","",COUNT(H81:M81)/6)</f>
        <v/>
      </c>
      <c r="O81" s="15">
        <f>IF(COUNT(H81:M81)=0,"",IF(LEN(IF(COUNT(I81,J81)=2,IF(J81&gt;I81+1,"EBE &gt; VA ",""),"")&amp;IF(COUNT(H81,M81)=2,IF(ABS(M81)&gt;ABS(H81),"RN &gt; CA ",""),"")&amp;IF(COUNT(H81,K81)=2,IF(ABS(K81)&gt;ABS(H81),"RE &gt; CA ",""),""))=0,"OK",IF(COUNT(I81,J81)=2,IF(J81&gt;I81+1,"EBE &gt; VA ",""),"")&amp;IF(COUNT(H81,M81)=2,IF(ABS(M81)&gt;ABS(H81),"RN &gt; CA ",""),"")&amp;IF(COUNT(H81,K81)=2,IF(ABS(K81)&gt;ABS(H81),"RE &gt; CA ",""),"")))</f>
        <v/>
      </c>
    </row>
    <row r="82">
      <c r="A82" s="9" t="inlineStr">
        <is>
          <t>SLBC</t>
        </is>
      </c>
      <c r="B82" s="10">
        <f>IF(A82="","",IFERROR(VLOOKUP(A82,Titres!$A$2:$B$400,2,FALSE),"Ticker inconnu"))</f>
        <v/>
      </c>
      <c r="C82" s="11" t="n">
        <v>2022</v>
      </c>
      <c r="D82" s="11" t="inlineStr">
        <is>
          <t>T3</t>
        </is>
      </c>
      <c r="E82" s="9" t="n"/>
      <c r="F82" s="12" t="n"/>
      <c r="G82" s="9" t="n"/>
      <c r="H82" s="13" t="n"/>
      <c r="I82" s="13" t="n"/>
      <c r="J82" s="13" t="n"/>
      <c r="K82" s="13" t="n"/>
      <c r="L82" s="13" t="n"/>
      <c r="M82" s="13" t="n"/>
      <c r="N82" s="14">
        <f>IF(A82="","",COUNT(H82:M82)/6)</f>
        <v/>
      </c>
      <c r="O82" s="15">
        <f>IF(COUNT(H82:M82)=0,"",IF(LEN(IF(COUNT(I82,J82)=2,IF(J82&gt;I82+1,"EBE &gt; VA ",""),"")&amp;IF(COUNT(H82,M82)=2,IF(ABS(M82)&gt;ABS(H82),"RN &gt; CA ",""),"")&amp;IF(COUNT(H82,K82)=2,IF(ABS(K82)&gt;ABS(H82),"RE &gt; CA ",""),""))=0,"OK",IF(COUNT(I82,J82)=2,IF(J82&gt;I82+1,"EBE &gt; VA ",""),"")&amp;IF(COUNT(H82,M82)=2,IF(ABS(M82)&gt;ABS(H82),"RN &gt; CA ",""),"")&amp;IF(COUNT(H82,K82)=2,IF(ABS(K82)&gt;ABS(H82),"RE &gt; CA ",""),"")))</f>
        <v/>
      </c>
    </row>
    <row r="83">
      <c r="A83" s="9" t="inlineStr">
        <is>
          <t>SLBC</t>
        </is>
      </c>
      <c r="B83" s="10">
        <f>IF(A83="","",IFERROR(VLOOKUP(A83,Titres!$A$2:$B$400,2,FALSE),"Ticker inconnu"))</f>
        <v/>
      </c>
      <c r="C83" s="11" t="n">
        <v>2023</v>
      </c>
      <c r="D83" s="11" t="inlineStr">
        <is>
          <t>T1</t>
        </is>
      </c>
      <c r="E83" s="9" t="n"/>
      <c r="F83" s="12" t="n"/>
      <c r="G83" s="9" t="n"/>
      <c r="H83" s="13" t="n"/>
      <c r="I83" s="13" t="n"/>
      <c r="J83" s="13" t="n"/>
      <c r="K83" s="13" t="n"/>
      <c r="L83" s="13" t="n"/>
      <c r="M83" s="13" t="n"/>
      <c r="N83" s="14">
        <f>IF(A83="","",COUNT(H83:M83)/6)</f>
        <v/>
      </c>
      <c r="O83" s="15">
        <f>IF(COUNT(H83:M83)=0,"",IF(LEN(IF(COUNT(I83,J83)=2,IF(J83&gt;I83+1,"EBE &gt; VA ",""),"")&amp;IF(COUNT(H83,M83)=2,IF(ABS(M83)&gt;ABS(H83),"RN &gt; CA ",""),"")&amp;IF(COUNT(H83,K83)=2,IF(ABS(K83)&gt;ABS(H83),"RE &gt; CA ",""),""))=0,"OK",IF(COUNT(I83,J83)=2,IF(J83&gt;I83+1,"EBE &gt; VA ",""),"")&amp;IF(COUNT(H83,M83)=2,IF(ABS(M83)&gt;ABS(H83),"RN &gt; CA ",""),"")&amp;IF(COUNT(H83,K83)=2,IF(ABS(K83)&gt;ABS(H83),"RE &gt; CA ",""),"")))</f>
        <v/>
      </c>
    </row>
    <row r="84">
      <c r="A84" s="9" t="inlineStr">
        <is>
          <t>SLBC</t>
        </is>
      </c>
      <c r="B84" s="10">
        <f>IF(A84="","",IFERROR(VLOOKUP(A84,Titres!$A$2:$B$400,2,FALSE),"Ticker inconnu"))</f>
        <v/>
      </c>
      <c r="C84" s="11" t="n">
        <v>2023</v>
      </c>
      <c r="D84" s="11" t="inlineStr">
        <is>
          <t>S1</t>
        </is>
      </c>
      <c r="E84" s="9" t="n"/>
      <c r="F84" s="12" t="n"/>
      <c r="G84" s="9" t="n"/>
      <c r="H84" s="13" t="n"/>
      <c r="I84" s="13" t="n"/>
      <c r="J84" s="13" t="n"/>
      <c r="K84" s="13" t="n"/>
      <c r="L84" s="13" t="n"/>
      <c r="M84" s="13" t="n"/>
      <c r="N84" s="14">
        <f>IF(A84="","",COUNT(H84:M84)/6)</f>
        <v/>
      </c>
      <c r="O84" s="15">
        <f>IF(COUNT(H84:M84)=0,"",IF(LEN(IF(COUNT(I84,J84)=2,IF(J84&gt;I84+1,"EBE &gt; VA ",""),"")&amp;IF(COUNT(H84,M84)=2,IF(ABS(M84)&gt;ABS(H84),"RN &gt; CA ",""),"")&amp;IF(COUNT(H84,K84)=2,IF(ABS(K84)&gt;ABS(H84),"RE &gt; CA ",""),""))=0,"OK",IF(COUNT(I84,J84)=2,IF(J84&gt;I84+1,"EBE &gt; VA ",""),"")&amp;IF(COUNT(H84,M84)=2,IF(ABS(M84)&gt;ABS(H84),"RN &gt; CA ",""),"")&amp;IF(COUNT(H84,K84)=2,IF(ABS(K84)&gt;ABS(H84),"RE &gt; CA ",""),"")))</f>
        <v/>
      </c>
    </row>
    <row r="85">
      <c r="A85" s="9" t="inlineStr">
        <is>
          <t>SLBC</t>
        </is>
      </c>
      <c r="B85" s="10">
        <f>IF(A85="","",IFERROR(VLOOKUP(A85,Titres!$A$2:$B$400,2,FALSE),"Ticker inconnu"))</f>
        <v/>
      </c>
      <c r="C85" s="11" t="n">
        <v>2023</v>
      </c>
      <c r="D85" s="11" t="inlineStr">
        <is>
          <t>T3</t>
        </is>
      </c>
      <c r="E85" s="9" t="n"/>
      <c r="F85" s="12" t="n"/>
      <c r="G85" s="9" t="n"/>
      <c r="H85" s="13" t="n"/>
      <c r="I85" s="13" t="n"/>
      <c r="J85" s="13" t="n"/>
      <c r="K85" s="13" t="n"/>
      <c r="L85" s="13" t="n"/>
      <c r="M85" s="13" t="n"/>
      <c r="N85" s="14">
        <f>IF(A85="","",COUNT(H85:M85)/6)</f>
        <v/>
      </c>
      <c r="O85" s="15">
        <f>IF(COUNT(H85:M85)=0,"",IF(LEN(IF(COUNT(I85,J85)=2,IF(J85&gt;I85+1,"EBE &gt; VA ",""),"")&amp;IF(COUNT(H85,M85)=2,IF(ABS(M85)&gt;ABS(H85),"RN &gt; CA ",""),"")&amp;IF(COUNT(H85,K85)=2,IF(ABS(K85)&gt;ABS(H85),"RE &gt; CA ",""),""))=0,"OK",IF(COUNT(I85,J85)=2,IF(J85&gt;I85+1,"EBE &gt; VA ",""),"")&amp;IF(COUNT(H85,M85)=2,IF(ABS(M85)&gt;ABS(H85),"RN &gt; CA ",""),"")&amp;IF(COUNT(H85,K85)=2,IF(ABS(K85)&gt;ABS(H85),"RE &gt; CA ",""),"")))</f>
        <v/>
      </c>
    </row>
    <row r="86">
      <c r="A86" s="9" t="inlineStr">
        <is>
          <t>SLBC</t>
        </is>
      </c>
      <c r="B86" s="10">
        <f>IF(A86="","",IFERROR(VLOOKUP(A86,Titres!$A$2:$B$400,2,FALSE),"Ticker inconnu"))</f>
        <v/>
      </c>
      <c r="C86" s="11" t="n">
        <v>2024</v>
      </c>
      <c r="D86" s="11" t="inlineStr">
        <is>
          <t>T1</t>
        </is>
      </c>
      <c r="E86" s="9" t="n"/>
      <c r="F86" s="12" t="n"/>
      <c r="G86" s="9" t="n"/>
      <c r="H86" s="13" t="n"/>
      <c r="I86" s="13" t="n"/>
      <c r="J86" s="13" t="n"/>
      <c r="K86" s="13" t="n"/>
      <c r="L86" s="13" t="n"/>
      <c r="M86" s="13" t="n"/>
      <c r="N86" s="14">
        <f>IF(A86="","",COUNT(H86:M86)/6)</f>
        <v/>
      </c>
      <c r="O86" s="15">
        <f>IF(COUNT(H86:M86)=0,"",IF(LEN(IF(COUNT(I86,J86)=2,IF(J86&gt;I86+1,"EBE &gt; VA ",""),"")&amp;IF(COUNT(H86,M86)=2,IF(ABS(M86)&gt;ABS(H86),"RN &gt; CA ",""),"")&amp;IF(COUNT(H86,K86)=2,IF(ABS(K86)&gt;ABS(H86),"RE &gt; CA ",""),""))=0,"OK",IF(COUNT(I86,J86)=2,IF(J86&gt;I86+1,"EBE &gt; VA ",""),"")&amp;IF(COUNT(H86,M86)=2,IF(ABS(M86)&gt;ABS(H86),"RN &gt; CA ",""),"")&amp;IF(COUNT(H86,K86)=2,IF(ABS(K86)&gt;ABS(H86),"RE &gt; CA ",""),"")))</f>
        <v/>
      </c>
    </row>
    <row r="87">
      <c r="A87" s="9" t="inlineStr">
        <is>
          <t>SLBC</t>
        </is>
      </c>
      <c r="B87" s="10">
        <f>IF(A87="","",IFERROR(VLOOKUP(A87,Titres!$A$2:$B$400,2,FALSE),"Ticker inconnu"))</f>
        <v/>
      </c>
      <c r="C87" s="11" t="n">
        <v>2024</v>
      </c>
      <c r="D87" s="11" t="inlineStr">
        <is>
          <t>S1</t>
        </is>
      </c>
      <c r="E87" s="9" t="n"/>
      <c r="F87" s="12" t="n"/>
      <c r="G87" s="9" t="n"/>
      <c r="H87" s="13" t="n"/>
      <c r="I87" s="13" t="n"/>
      <c r="J87" s="13" t="n"/>
      <c r="K87" s="13" t="n"/>
      <c r="L87" s="13" t="n"/>
      <c r="M87" s="13" t="n"/>
      <c r="N87" s="14">
        <f>IF(A87="","",COUNT(H87:M87)/6)</f>
        <v/>
      </c>
      <c r="O87" s="15">
        <f>IF(COUNT(H87:M87)=0,"",IF(LEN(IF(COUNT(I87,J87)=2,IF(J87&gt;I87+1,"EBE &gt; VA ",""),"")&amp;IF(COUNT(H87,M87)=2,IF(ABS(M87)&gt;ABS(H87),"RN &gt; CA ",""),"")&amp;IF(COUNT(H87,K87)=2,IF(ABS(K87)&gt;ABS(H87),"RE &gt; CA ",""),""))=0,"OK",IF(COUNT(I87,J87)=2,IF(J87&gt;I87+1,"EBE &gt; VA ",""),"")&amp;IF(COUNT(H87,M87)=2,IF(ABS(M87)&gt;ABS(H87),"RN &gt; CA ",""),"")&amp;IF(COUNT(H87,K87)=2,IF(ABS(K87)&gt;ABS(H87),"RE &gt; CA ",""),"")))</f>
        <v/>
      </c>
    </row>
    <row r="88">
      <c r="A88" s="9" t="inlineStr">
        <is>
          <t>SLBC</t>
        </is>
      </c>
      <c r="B88" s="10">
        <f>IF(A88="","",IFERROR(VLOOKUP(A88,Titres!$A$2:$B$400,2,FALSE),"Ticker inconnu"))</f>
        <v/>
      </c>
      <c r="C88" s="11" t="n">
        <v>2024</v>
      </c>
      <c r="D88" s="11" t="inlineStr">
        <is>
          <t>T3</t>
        </is>
      </c>
      <c r="E88" s="9" t="n"/>
      <c r="F88" s="12" t="n"/>
      <c r="G88" s="9" t="n"/>
      <c r="H88" s="13" t="n"/>
      <c r="I88" s="13" t="n"/>
      <c r="J88" s="13" t="n"/>
      <c r="K88" s="13" t="n"/>
      <c r="L88" s="13" t="n"/>
      <c r="M88" s="13" t="n"/>
      <c r="N88" s="14">
        <f>IF(A88="","",COUNT(H88:M88)/6)</f>
        <v/>
      </c>
      <c r="O88" s="15">
        <f>IF(COUNT(H88:M88)=0,"",IF(LEN(IF(COUNT(I88,J88)=2,IF(J88&gt;I88+1,"EBE &gt; VA ",""),"")&amp;IF(COUNT(H88,M88)=2,IF(ABS(M88)&gt;ABS(H88),"RN &gt; CA ",""),"")&amp;IF(COUNT(H88,K88)=2,IF(ABS(K88)&gt;ABS(H88),"RE &gt; CA ",""),""))=0,"OK",IF(COUNT(I88,J88)=2,IF(J88&gt;I88+1,"EBE &gt; VA ",""),"")&amp;IF(COUNT(H88,M88)=2,IF(ABS(M88)&gt;ABS(H88),"RN &gt; CA ",""),"")&amp;IF(COUNT(H88,K88)=2,IF(ABS(K88)&gt;ABS(H88),"RE &gt; CA ",""),"")))</f>
        <v/>
      </c>
    </row>
    <row r="89">
      <c r="A89" s="9" t="inlineStr">
        <is>
          <t>SLBC</t>
        </is>
      </c>
      <c r="B89" s="10">
        <f>IF(A89="","",IFERROR(VLOOKUP(A89,Titres!$A$2:$B$400,2,FALSE),"Ticker inconnu"))</f>
        <v/>
      </c>
      <c r="C89" s="11" t="n">
        <v>2025</v>
      </c>
      <c r="D89" s="11" t="inlineStr">
        <is>
          <t>T1</t>
        </is>
      </c>
      <c r="E89" s="9" t="n"/>
      <c r="F89" s="12" t="n"/>
      <c r="G89" s="9" t="n"/>
      <c r="H89" s="13" t="n"/>
      <c r="I89" s="13" t="n"/>
      <c r="J89" s="13" t="n"/>
      <c r="K89" s="13" t="n"/>
      <c r="L89" s="13" t="n"/>
      <c r="M89" s="13" t="n"/>
      <c r="N89" s="14">
        <f>IF(A89="","",COUNT(H89:M89)/6)</f>
        <v/>
      </c>
      <c r="O89" s="15">
        <f>IF(COUNT(H89:M89)=0,"",IF(LEN(IF(COUNT(I89,J89)=2,IF(J89&gt;I89+1,"EBE &gt; VA ",""),"")&amp;IF(COUNT(H89,M89)=2,IF(ABS(M89)&gt;ABS(H89),"RN &gt; CA ",""),"")&amp;IF(COUNT(H89,K89)=2,IF(ABS(K89)&gt;ABS(H89),"RE &gt; CA ",""),""))=0,"OK",IF(COUNT(I89,J89)=2,IF(J89&gt;I89+1,"EBE &gt; VA ",""),"")&amp;IF(COUNT(H89,M89)=2,IF(ABS(M89)&gt;ABS(H89),"RN &gt; CA ",""),"")&amp;IF(COUNT(H89,K89)=2,IF(ABS(K89)&gt;ABS(H89),"RE &gt; CA ",""),"")))</f>
        <v/>
      </c>
    </row>
    <row r="90">
      <c r="A90" s="9" t="inlineStr">
        <is>
          <t>SLBC</t>
        </is>
      </c>
      <c r="B90" s="10">
        <f>IF(A90="","",IFERROR(VLOOKUP(A90,Titres!$A$2:$B$400,2,FALSE),"Ticker inconnu"))</f>
        <v/>
      </c>
      <c r="C90" s="11" t="n">
        <v>2025</v>
      </c>
      <c r="D90" s="11" t="inlineStr">
        <is>
          <t>S1</t>
        </is>
      </c>
      <c r="E90" s="9" t="n"/>
      <c r="F90" s="12" t="n"/>
      <c r="G90" s="9" t="n"/>
      <c r="H90" s="13" t="n"/>
      <c r="I90" s="13" t="n"/>
      <c r="J90" s="13" t="n"/>
      <c r="K90" s="13" t="n"/>
      <c r="L90" s="13" t="n"/>
      <c r="M90" s="13" t="n"/>
      <c r="N90" s="14">
        <f>IF(A90="","",COUNT(H90:M90)/6)</f>
        <v/>
      </c>
      <c r="O90" s="15">
        <f>IF(COUNT(H90:M90)=0,"",IF(LEN(IF(COUNT(I90,J90)=2,IF(J90&gt;I90+1,"EBE &gt; VA ",""),"")&amp;IF(COUNT(H90,M90)=2,IF(ABS(M90)&gt;ABS(H90),"RN &gt; CA ",""),"")&amp;IF(COUNT(H90,K90)=2,IF(ABS(K90)&gt;ABS(H90),"RE &gt; CA ",""),""))=0,"OK",IF(COUNT(I90,J90)=2,IF(J90&gt;I90+1,"EBE &gt; VA ",""),"")&amp;IF(COUNT(H90,M90)=2,IF(ABS(M90)&gt;ABS(H90),"RN &gt; CA ",""),"")&amp;IF(COUNT(H90,K90)=2,IF(ABS(K90)&gt;ABS(H90),"RE &gt; CA ",""),"")))</f>
        <v/>
      </c>
    </row>
    <row r="91">
      <c r="A91" s="9" t="inlineStr">
        <is>
          <t>SLBC</t>
        </is>
      </c>
      <c r="B91" s="10">
        <f>IF(A91="","",IFERROR(VLOOKUP(A91,Titres!$A$2:$B$400,2,FALSE),"Ticker inconnu"))</f>
        <v/>
      </c>
      <c r="C91" s="11" t="n">
        <v>2025</v>
      </c>
      <c r="D91" s="11" t="inlineStr">
        <is>
          <t>T3</t>
        </is>
      </c>
      <c r="E91" s="9" t="n"/>
      <c r="F91" s="12" t="n"/>
      <c r="G91" s="9" t="n"/>
      <c r="H91" s="13" t="n"/>
      <c r="I91" s="13" t="n"/>
      <c r="J91" s="13" t="n"/>
      <c r="K91" s="13" t="n"/>
      <c r="L91" s="13" t="n"/>
      <c r="M91" s="13" t="n"/>
      <c r="N91" s="14">
        <f>IF(A91="","",COUNT(H91:M91)/6)</f>
        <v/>
      </c>
      <c r="O91" s="15">
        <f>IF(COUNT(H91:M91)=0,"",IF(LEN(IF(COUNT(I91,J91)=2,IF(J91&gt;I91+1,"EBE &gt; VA ",""),"")&amp;IF(COUNT(H91,M91)=2,IF(ABS(M91)&gt;ABS(H91),"RN &gt; CA ",""),"")&amp;IF(COUNT(H91,K91)=2,IF(ABS(K91)&gt;ABS(H91),"RE &gt; CA ",""),""))=0,"OK",IF(COUNT(I91,J91)=2,IF(J91&gt;I91+1,"EBE &gt; VA ",""),"")&amp;IF(COUNT(H91,M91)=2,IF(ABS(M91)&gt;ABS(H91),"RN &gt; CA ",""),"")&amp;IF(COUNT(H91,K91)=2,IF(ABS(K91)&gt;ABS(H91),"RE &gt; CA ",""),"")))</f>
        <v/>
      </c>
    </row>
    <row r="92">
      <c r="A92" s="9" t="inlineStr">
        <is>
          <t>SLBC</t>
        </is>
      </c>
      <c r="B92" s="10">
        <f>IF(A92="","",IFERROR(VLOOKUP(A92,Titres!$A$2:$B$400,2,FALSE),"Ticker inconnu"))</f>
        <v/>
      </c>
      <c r="C92" s="11" t="n">
        <v>2026</v>
      </c>
      <c r="D92" s="11" t="inlineStr">
        <is>
          <t>T1</t>
        </is>
      </c>
      <c r="E92" s="9" t="n"/>
      <c r="F92" s="12" t="n"/>
      <c r="G92" s="9" t="n"/>
      <c r="H92" s="13" t="n"/>
      <c r="I92" s="13" t="n"/>
      <c r="J92" s="13" t="n"/>
      <c r="K92" s="13" t="n"/>
      <c r="L92" s="13" t="n"/>
      <c r="M92" s="13" t="n"/>
      <c r="N92" s="14">
        <f>IF(A92="","",COUNT(H92:M92)/6)</f>
        <v/>
      </c>
      <c r="O92" s="15">
        <f>IF(COUNT(H92:M92)=0,"",IF(LEN(IF(COUNT(I92,J92)=2,IF(J92&gt;I92+1,"EBE &gt; VA ",""),"")&amp;IF(COUNT(H92,M92)=2,IF(ABS(M92)&gt;ABS(H92),"RN &gt; CA ",""),"")&amp;IF(COUNT(H92,K92)=2,IF(ABS(K92)&gt;ABS(H92),"RE &gt; CA ",""),""))=0,"OK",IF(COUNT(I92,J92)=2,IF(J92&gt;I92+1,"EBE &gt; VA ",""),"")&amp;IF(COUNT(H92,M92)=2,IF(ABS(M92)&gt;ABS(H92),"RN &gt; CA ",""),"")&amp;IF(COUNT(H92,K92)=2,IF(ABS(K92)&gt;ABS(H92),"RE &gt; CA ",""),"")))</f>
        <v/>
      </c>
    </row>
    <row r="93">
      <c r="A93" s="9" t="inlineStr">
        <is>
          <t>SLBC</t>
        </is>
      </c>
      <c r="B93" s="10">
        <f>IF(A93="","",IFERROR(VLOOKUP(A93,Titres!$A$2:$B$400,2,FALSE),"Ticker inconnu"))</f>
        <v/>
      </c>
      <c r="C93" s="11" t="n">
        <v>2026</v>
      </c>
      <c r="D93" s="11" t="inlineStr">
        <is>
          <t>S1</t>
        </is>
      </c>
      <c r="E93" s="9" t="n"/>
      <c r="F93" s="12" t="n"/>
      <c r="G93" s="9" t="n"/>
      <c r="H93" s="13" t="n"/>
      <c r="I93" s="13" t="n"/>
      <c r="J93" s="13" t="n"/>
      <c r="K93" s="13" t="n"/>
      <c r="L93" s="13" t="n"/>
      <c r="M93" s="13" t="n"/>
      <c r="N93" s="14">
        <f>IF(A93="","",COUNT(H93:M93)/6)</f>
        <v/>
      </c>
      <c r="O93" s="15">
        <f>IF(COUNT(H93:M93)=0,"",IF(LEN(IF(COUNT(I93,J93)=2,IF(J93&gt;I93+1,"EBE &gt; VA ",""),"")&amp;IF(COUNT(H93,M93)=2,IF(ABS(M93)&gt;ABS(H93),"RN &gt; CA ",""),"")&amp;IF(COUNT(H93,K93)=2,IF(ABS(K93)&gt;ABS(H93),"RE &gt; CA ",""),""))=0,"OK",IF(COUNT(I93,J93)=2,IF(J93&gt;I93+1,"EBE &gt; VA ",""),"")&amp;IF(COUNT(H93,M93)=2,IF(ABS(M93)&gt;ABS(H93),"RN &gt; CA ",""),"")&amp;IF(COUNT(H93,K93)=2,IF(ABS(K93)&gt;ABS(H93),"RE &gt; CA ",""),"")))</f>
        <v/>
      </c>
    </row>
    <row r="94">
      <c r="A94" s="9" t="inlineStr">
        <is>
          <t>SLBC</t>
        </is>
      </c>
      <c r="B94" s="10">
        <f>IF(A94="","",IFERROR(VLOOKUP(A94,Titres!$A$2:$B$400,2,FALSE),"Ticker inconnu"))</f>
        <v/>
      </c>
      <c r="C94" s="11" t="n">
        <v>2026</v>
      </c>
      <c r="D94" s="11" t="inlineStr">
        <is>
          <t>T3</t>
        </is>
      </c>
      <c r="E94" s="9" t="n"/>
      <c r="F94" s="12" t="n"/>
      <c r="G94" s="9" t="n"/>
      <c r="H94" s="13" t="n"/>
      <c r="I94" s="13" t="n"/>
      <c r="J94" s="13" t="n"/>
      <c r="K94" s="13" t="n"/>
      <c r="L94" s="13" t="n"/>
      <c r="M94" s="13" t="n"/>
      <c r="N94" s="14">
        <f>IF(A94="","",COUNT(H94:M94)/6)</f>
        <v/>
      </c>
      <c r="O94" s="15">
        <f>IF(COUNT(H94:M94)=0,"",IF(LEN(IF(COUNT(I94,J94)=2,IF(J94&gt;I94+1,"EBE &gt; VA ",""),"")&amp;IF(COUNT(H94,M94)=2,IF(ABS(M94)&gt;ABS(H94),"RN &gt; CA ",""),"")&amp;IF(COUNT(H94,K94)=2,IF(ABS(K94)&gt;ABS(H94),"RE &gt; CA ",""),""))=0,"OK",IF(COUNT(I94,J94)=2,IF(J94&gt;I94+1,"EBE &gt; VA ",""),"")&amp;IF(COUNT(H94,M94)=2,IF(ABS(M94)&gt;ABS(H94),"RN &gt; CA ",""),"")&amp;IF(COUNT(H94,K94)=2,IF(ABS(K94)&gt;ABS(H94),"RE &gt; CA ",""),"")))</f>
        <v/>
      </c>
    </row>
    <row r="95">
      <c r="A95" s="9" t="inlineStr">
        <is>
          <t>SOGC</t>
        </is>
      </c>
      <c r="B95" s="10">
        <f>IF(A95="","",IFERROR(VLOOKUP(A95,Titres!$A$2:$B$400,2,FALSE),"Ticker inconnu"))</f>
        <v/>
      </c>
      <c r="C95" s="11" t="n">
        <v>2021</v>
      </c>
      <c r="D95" s="11" t="inlineStr">
        <is>
          <t>T1</t>
        </is>
      </c>
      <c r="E95" s="9" t="n"/>
      <c r="F95" s="12" t="n"/>
      <c r="G95" s="9" t="n"/>
      <c r="H95" s="13" t="n"/>
      <c r="I95" s="13" t="n"/>
      <c r="J95" s="13" t="n"/>
      <c r="K95" s="13" t="n"/>
      <c r="L95" s="13" t="n"/>
      <c r="M95" s="13" t="n"/>
      <c r="N95" s="14">
        <f>IF(A95="","",COUNT(H95:M95)/6)</f>
        <v/>
      </c>
      <c r="O95" s="15">
        <f>IF(COUNT(H95:M95)=0,"",IF(LEN(IF(COUNT(I95,J95)=2,IF(J95&gt;I95+1,"EBE &gt; VA ",""),"")&amp;IF(COUNT(H95,M95)=2,IF(ABS(M95)&gt;ABS(H95),"RN &gt; CA ",""),"")&amp;IF(COUNT(H95,K95)=2,IF(ABS(K95)&gt;ABS(H95),"RE &gt; CA ",""),""))=0,"OK",IF(COUNT(I95,J95)=2,IF(J95&gt;I95+1,"EBE &gt; VA ",""),"")&amp;IF(COUNT(H95,M95)=2,IF(ABS(M95)&gt;ABS(H95),"RN &gt; CA ",""),"")&amp;IF(COUNT(H95,K95)=2,IF(ABS(K95)&gt;ABS(H95),"RE &gt; CA ",""),"")))</f>
        <v/>
      </c>
    </row>
    <row r="96">
      <c r="A96" s="9" t="inlineStr">
        <is>
          <t>SOGC</t>
        </is>
      </c>
      <c r="B96" s="10">
        <f>IF(A96="","",IFERROR(VLOOKUP(A96,Titres!$A$2:$B$400,2,FALSE),"Ticker inconnu"))</f>
        <v/>
      </c>
      <c r="C96" s="11" t="n">
        <v>2021</v>
      </c>
      <c r="D96" s="11" t="inlineStr">
        <is>
          <t>S1</t>
        </is>
      </c>
      <c r="E96" s="9" t="n"/>
      <c r="F96" s="12" t="n"/>
      <c r="G96" s="9" t="n"/>
      <c r="H96" s="13" t="n"/>
      <c r="I96" s="13" t="n"/>
      <c r="J96" s="13" t="n"/>
      <c r="K96" s="13" t="n"/>
      <c r="L96" s="13" t="n"/>
      <c r="M96" s="13" t="n"/>
      <c r="N96" s="14">
        <f>IF(A96="","",COUNT(H96:M96)/6)</f>
        <v/>
      </c>
      <c r="O96" s="15">
        <f>IF(COUNT(H96:M96)=0,"",IF(LEN(IF(COUNT(I96,J96)=2,IF(J96&gt;I96+1,"EBE &gt; VA ",""),"")&amp;IF(COUNT(H96,M96)=2,IF(ABS(M96)&gt;ABS(H96),"RN &gt; CA ",""),"")&amp;IF(COUNT(H96,K96)=2,IF(ABS(K96)&gt;ABS(H96),"RE &gt; CA ",""),""))=0,"OK",IF(COUNT(I96,J96)=2,IF(J96&gt;I96+1,"EBE &gt; VA ",""),"")&amp;IF(COUNT(H96,M96)=2,IF(ABS(M96)&gt;ABS(H96),"RN &gt; CA ",""),"")&amp;IF(COUNT(H96,K96)=2,IF(ABS(K96)&gt;ABS(H96),"RE &gt; CA ",""),"")))</f>
        <v/>
      </c>
    </row>
    <row r="97">
      <c r="A97" s="9" t="inlineStr">
        <is>
          <t>SOGC</t>
        </is>
      </c>
      <c r="B97" s="10">
        <f>IF(A97="","",IFERROR(VLOOKUP(A97,Titres!$A$2:$B$400,2,FALSE),"Ticker inconnu"))</f>
        <v/>
      </c>
      <c r="C97" s="11" t="n">
        <v>2021</v>
      </c>
      <c r="D97" s="11" t="inlineStr">
        <is>
          <t>T3</t>
        </is>
      </c>
      <c r="E97" s="9" t="n"/>
      <c r="F97" s="12" t="n"/>
      <c r="G97" s="9" t="n"/>
      <c r="H97" s="13" t="n"/>
      <c r="I97" s="13" t="n"/>
      <c r="J97" s="13" t="n"/>
      <c r="K97" s="13" t="n"/>
      <c r="L97" s="13" t="n"/>
      <c r="M97" s="13" t="n"/>
      <c r="N97" s="14">
        <f>IF(A97="","",COUNT(H97:M97)/6)</f>
        <v/>
      </c>
      <c r="O97" s="15">
        <f>IF(COUNT(H97:M97)=0,"",IF(LEN(IF(COUNT(I97,J97)=2,IF(J97&gt;I97+1,"EBE &gt; VA ",""),"")&amp;IF(COUNT(H97,M97)=2,IF(ABS(M97)&gt;ABS(H97),"RN &gt; CA ",""),"")&amp;IF(COUNT(H97,K97)=2,IF(ABS(K97)&gt;ABS(H97),"RE &gt; CA ",""),""))=0,"OK",IF(COUNT(I97,J97)=2,IF(J97&gt;I97+1,"EBE &gt; VA ",""),"")&amp;IF(COUNT(H97,M97)=2,IF(ABS(M97)&gt;ABS(H97),"RN &gt; CA ",""),"")&amp;IF(COUNT(H97,K97)=2,IF(ABS(K97)&gt;ABS(H97),"RE &gt; CA ",""),"")))</f>
        <v/>
      </c>
    </row>
    <row r="98">
      <c r="A98" s="9" t="inlineStr">
        <is>
          <t>SOGC</t>
        </is>
      </c>
      <c r="B98" s="10">
        <f>IF(A98="","",IFERROR(VLOOKUP(A98,Titres!$A$2:$B$400,2,FALSE),"Ticker inconnu"))</f>
        <v/>
      </c>
      <c r="C98" s="11" t="n">
        <v>2022</v>
      </c>
      <c r="D98" s="11" t="inlineStr">
        <is>
          <t>T1</t>
        </is>
      </c>
      <c r="E98" s="9" t="n"/>
      <c r="F98" s="12" t="n"/>
      <c r="G98" s="9" t="n"/>
      <c r="H98" s="13" t="n"/>
      <c r="I98" s="13" t="n"/>
      <c r="J98" s="13" t="n"/>
      <c r="K98" s="13" t="n"/>
      <c r="L98" s="13" t="n"/>
      <c r="M98" s="13" t="n"/>
      <c r="N98" s="14">
        <f>IF(A98="","",COUNT(H98:M98)/6)</f>
        <v/>
      </c>
      <c r="O98" s="15">
        <f>IF(COUNT(H98:M98)=0,"",IF(LEN(IF(COUNT(I98,J98)=2,IF(J98&gt;I98+1,"EBE &gt; VA ",""),"")&amp;IF(COUNT(H98,M98)=2,IF(ABS(M98)&gt;ABS(H98),"RN &gt; CA ",""),"")&amp;IF(COUNT(H98,K98)=2,IF(ABS(K98)&gt;ABS(H98),"RE &gt; CA ",""),""))=0,"OK",IF(COUNT(I98,J98)=2,IF(J98&gt;I98+1,"EBE &gt; VA ",""),"")&amp;IF(COUNT(H98,M98)=2,IF(ABS(M98)&gt;ABS(H98),"RN &gt; CA ",""),"")&amp;IF(COUNT(H98,K98)=2,IF(ABS(K98)&gt;ABS(H98),"RE &gt; CA ",""),"")))</f>
        <v/>
      </c>
    </row>
    <row r="99">
      <c r="A99" s="9" t="inlineStr">
        <is>
          <t>SOGC</t>
        </is>
      </c>
      <c r="B99" s="10">
        <f>IF(A99="","",IFERROR(VLOOKUP(A99,Titres!$A$2:$B$400,2,FALSE),"Ticker inconnu"))</f>
        <v/>
      </c>
      <c r="C99" s="11" t="n">
        <v>2022</v>
      </c>
      <c r="D99" s="11" t="inlineStr">
        <is>
          <t>S1</t>
        </is>
      </c>
      <c r="E99" s="9" t="n"/>
      <c r="F99" s="12" t="n"/>
      <c r="G99" s="9" t="n"/>
      <c r="H99" s="13" t="n"/>
      <c r="I99" s="13" t="n"/>
      <c r="J99" s="13" t="n"/>
      <c r="K99" s="13" t="n"/>
      <c r="L99" s="13" t="n"/>
      <c r="M99" s="13" t="n"/>
      <c r="N99" s="14">
        <f>IF(A99="","",COUNT(H99:M99)/6)</f>
        <v/>
      </c>
      <c r="O99" s="15">
        <f>IF(COUNT(H99:M99)=0,"",IF(LEN(IF(COUNT(I99,J99)=2,IF(J99&gt;I99+1,"EBE &gt; VA ",""),"")&amp;IF(COUNT(H99,M99)=2,IF(ABS(M99)&gt;ABS(H99),"RN &gt; CA ",""),"")&amp;IF(COUNT(H99,K99)=2,IF(ABS(K99)&gt;ABS(H99),"RE &gt; CA ",""),""))=0,"OK",IF(COUNT(I99,J99)=2,IF(J99&gt;I99+1,"EBE &gt; VA ",""),"")&amp;IF(COUNT(H99,M99)=2,IF(ABS(M99)&gt;ABS(H99),"RN &gt; CA ",""),"")&amp;IF(COUNT(H99,K99)=2,IF(ABS(K99)&gt;ABS(H99),"RE &gt; CA ",""),"")))</f>
        <v/>
      </c>
    </row>
    <row r="100">
      <c r="A100" s="9" t="inlineStr">
        <is>
          <t>SOGC</t>
        </is>
      </c>
      <c r="B100" s="10">
        <f>IF(A100="","",IFERROR(VLOOKUP(A100,Titres!$A$2:$B$400,2,FALSE),"Ticker inconnu"))</f>
        <v/>
      </c>
      <c r="C100" s="11" t="n">
        <v>2022</v>
      </c>
      <c r="D100" s="11" t="inlineStr">
        <is>
          <t>T3</t>
        </is>
      </c>
      <c r="E100" s="9" t="n"/>
      <c r="F100" s="12" t="n"/>
      <c r="G100" s="9" t="n"/>
      <c r="H100" s="13" t="n"/>
      <c r="I100" s="13" t="n"/>
      <c r="J100" s="13" t="n"/>
      <c r="K100" s="13" t="n"/>
      <c r="L100" s="13" t="n"/>
      <c r="M100" s="13" t="n"/>
      <c r="N100" s="14">
        <f>IF(A100="","",COUNT(H100:M100)/6)</f>
        <v/>
      </c>
      <c r="O100" s="15">
        <f>IF(COUNT(H100:M100)=0,"",IF(LEN(IF(COUNT(I100,J100)=2,IF(J100&gt;I100+1,"EBE &gt; VA ",""),"")&amp;IF(COUNT(H100,M100)=2,IF(ABS(M100)&gt;ABS(H100),"RN &gt; CA ",""),"")&amp;IF(COUNT(H100,K100)=2,IF(ABS(K100)&gt;ABS(H100),"RE &gt; CA ",""),""))=0,"OK",IF(COUNT(I100,J100)=2,IF(J100&gt;I100+1,"EBE &gt; VA ",""),"")&amp;IF(COUNT(H100,M100)=2,IF(ABS(M100)&gt;ABS(H100),"RN &gt; CA ",""),"")&amp;IF(COUNT(H100,K100)=2,IF(ABS(K100)&gt;ABS(H100),"RE &gt; CA ",""),"")))</f>
        <v/>
      </c>
    </row>
    <row r="101">
      <c r="A101" s="9" t="inlineStr">
        <is>
          <t>SOGC</t>
        </is>
      </c>
      <c r="B101" s="10">
        <f>IF(A101="","",IFERROR(VLOOKUP(A101,Titres!$A$2:$B$400,2,FALSE),"Ticker inconnu"))</f>
        <v/>
      </c>
      <c r="C101" s="11" t="n">
        <v>2023</v>
      </c>
      <c r="D101" s="11" t="inlineStr">
        <is>
          <t>T1</t>
        </is>
      </c>
      <c r="E101" s="9" t="n"/>
      <c r="F101" s="12" t="n"/>
      <c r="G101" s="9" t="n"/>
      <c r="H101" s="13" t="n"/>
      <c r="I101" s="13" t="n"/>
      <c r="J101" s="13" t="n"/>
      <c r="K101" s="13" t="n"/>
      <c r="L101" s="13" t="n"/>
      <c r="M101" s="13" t="n"/>
      <c r="N101" s="14">
        <f>IF(A101="","",COUNT(H101:M101)/6)</f>
        <v/>
      </c>
      <c r="O101" s="15">
        <f>IF(COUNT(H101:M101)=0,"",IF(LEN(IF(COUNT(I101,J101)=2,IF(J101&gt;I101+1,"EBE &gt; VA ",""),"")&amp;IF(COUNT(H101,M101)=2,IF(ABS(M101)&gt;ABS(H101),"RN &gt; CA ",""),"")&amp;IF(COUNT(H101,K101)=2,IF(ABS(K101)&gt;ABS(H101),"RE &gt; CA ",""),""))=0,"OK",IF(COUNT(I101,J101)=2,IF(J101&gt;I101+1,"EBE &gt; VA ",""),"")&amp;IF(COUNT(H101,M101)=2,IF(ABS(M101)&gt;ABS(H101),"RN &gt; CA ",""),"")&amp;IF(COUNT(H101,K101)=2,IF(ABS(K101)&gt;ABS(H101),"RE &gt; CA ",""),"")))</f>
        <v/>
      </c>
    </row>
    <row r="102">
      <c r="A102" s="9" t="inlineStr">
        <is>
          <t>SOGC</t>
        </is>
      </c>
      <c r="B102" s="10">
        <f>IF(A102="","",IFERROR(VLOOKUP(A102,Titres!$A$2:$B$400,2,FALSE),"Ticker inconnu"))</f>
        <v/>
      </c>
      <c r="C102" s="11" t="n">
        <v>2023</v>
      </c>
      <c r="D102" s="11" t="inlineStr">
        <is>
          <t>S1</t>
        </is>
      </c>
      <c r="E102" s="9" t="n"/>
      <c r="F102" s="12" t="n"/>
      <c r="G102" s="9" t="n"/>
      <c r="H102" s="13" t="n"/>
      <c r="I102" s="13" t="n"/>
      <c r="J102" s="13" t="n"/>
      <c r="K102" s="13" t="n"/>
      <c r="L102" s="13" t="n"/>
      <c r="M102" s="13" t="n"/>
      <c r="N102" s="14">
        <f>IF(A102="","",COUNT(H102:M102)/6)</f>
        <v/>
      </c>
      <c r="O102" s="15">
        <f>IF(COUNT(H102:M102)=0,"",IF(LEN(IF(COUNT(I102,J102)=2,IF(J102&gt;I102+1,"EBE &gt; VA ",""),"")&amp;IF(COUNT(H102,M102)=2,IF(ABS(M102)&gt;ABS(H102),"RN &gt; CA ",""),"")&amp;IF(COUNT(H102,K102)=2,IF(ABS(K102)&gt;ABS(H102),"RE &gt; CA ",""),""))=0,"OK",IF(COUNT(I102,J102)=2,IF(J102&gt;I102+1,"EBE &gt; VA ",""),"")&amp;IF(COUNT(H102,M102)=2,IF(ABS(M102)&gt;ABS(H102),"RN &gt; CA ",""),"")&amp;IF(COUNT(H102,K102)=2,IF(ABS(K102)&gt;ABS(H102),"RE &gt; CA ",""),"")))</f>
        <v/>
      </c>
    </row>
    <row r="103">
      <c r="A103" s="9" t="inlineStr">
        <is>
          <t>SOGC</t>
        </is>
      </c>
      <c r="B103" s="10">
        <f>IF(A103="","",IFERROR(VLOOKUP(A103,Titres!$A$2:$B$400,2,FALSE),"Ticker inconnu"))</f>
        <v/>
      </c>
      <c r="C103" s="11" t="n">
        <v>2023</v>
      </c>
      <c r="D103" s="11" t="inlineStr">
        <is>
          <t>T3</t>
        </is>
      </c>
      <c r="E103" s="9" t="n"/>
      <c r="F103" s="12" t="n"/>
      <c r="G103" s="9" t="n"/>
      <c r="H103" s="13" t="n"/>
      <c r="I103" s="13" t="n"/>
      <c r="J103" s="13" t="n"/>
      <c r="K103" s="13" t="n"/>
      <c r="L103" s="13" t="n"/>
      <c r="M103" s="13" t="n"/>
      <c r="N103" s="14">
        <f>IF(A103="","",COUNT(H103:M103)/6)</f>
        <v/>
      </c>
      <c r="O103" s="15">
        <f>IF(COUNT(H103:M103)=0,"",IF(LEN(IF(COUNT(I103,J103)=2,IF(J103&gt;I103+1,"EBE &gt; VA ",""),"")&amp;IF(COUNT(H103,M103)=2,IF(ABS(M103)&gt;ABS(H103),"RN &gt; CA ",""),"")&amp;IF(COUNT(H103,K103)=2,IF(ABS(K103)&gt;ABS(H103),"RE &gt; CA ",""),""))=0,"OK",IF(COUNT(I103,J103)=2,IF(J103&gt;I103+1,"EBE &gt; VA ",""),"")&amp;IF(COUNT(H103,M103)=2,IF(ABS(M103)&gt;ABS(H103),"RN &gt; CA ",""),"")&amp;IF(COUNT(H103,K103)=2,IF(ABS(K103)&gt;ABS(H103),"RE &gt; CA ",""),"")))</f>
        <v/>
      </c>
    </row>
    <row r="104">
      <c r="A104" s="9" t="inlineStr">
        <is>
          <t>SOGC</t>
        </is>
      </c>
      <c r="B104" s="10">
        <f>IF(A104="","",IFERROR(VLOOKUP(A104,Titres!$A$2:$B$400,2,FALSE),"Ticker inconnu"))</f>
        <v/>
      </c>
      <c r="C104" s="11" t="n">
        <v>2024</v>
      </c>
      <c r="D104" s="11" t="inlineStr">
        <is>
          <t>T1</t>
        </is>
      </c>
      <c r="E104" s="9" t="n"/>
      <c r="F104" s="12" t="n"/>
      <c r="G104" s="9" t="n"/>
      <c r="H104" s="13" t="n"/>
      <c r="I104" s="13" t="n"/>
      <c r="J104" s="13" t="n"/>
      <c r="K104" s="13" t="n"/>
      <c r="L104" s="13" t="n"/>
      <c r="M104" s="13" t="n"/>
      <c r="N104" s="14">
        <f>IF(A104="","",COUNT(H104:M104)/6)</f>
        <v/>
      </c>
      <c r="O104" s="15">
        <f>IF(COUNT(H104:M104)=0,"",IF(LEN(IF(COUNT(I104,J104)=2,IF(J104&gt;I104+1,"EBE &gt; VA ",""),"")&amp;IF(COUNT(H104,M104)=2,IF(ABS(M104)&gt;ABS(H104),"RN &gt; CA ",""),"")&amp;IF(COUNT(H104,K104)=2,IF(ABS(K104)&gt;ABS(H104),"RE &gt; CA ",""),""))=0,"OK",IF(COUNT(I104,J104)=2,IF(J104&gt;I104+1,"EBE &gt; VA ",""),"")&amp;IF(COUNT(H104,M104)=2,IF(ABS(M104)&gt;ABS(H104),"RN &gt; CA ",""),"")&amp;IF(COUNT(H104,K104)=2,IF(ABS(K104)&gt;ABS(H104),"RE &gt; CA ",""),"")))</f>
        <v/>
      </c>
    </row>
    <row r="105">
      <c r="A105" s="9" t="inlineStr">
        <is>
          <t>SOGC</t>
        </is>
      </c>
      <c r="B105" s="10">
        <f>IF(A105="","",IFERROR(VLOOKUP(A105,Titres!$A$2:$B$400,2,FALSE),"Ticker inconnu"))</f>
        <v/>
      </c>
      <c r="C105" s="11" t="n">
        <v>2024</v>
      </c>
      <c r="D105" s="11" t="inlineStr">
        <is>
          <t>S1</t>
        </is>
      </c>
      <c r="E105" s="9" t="n"/>
      <c r="F105" s="12" t="n"/>
      <c r="G105" s="9" t="n"/>
      <c r="H105" s="13" t="n"/>
      <c r="I105" s="13" t="n"/>
      <c r="J105" s="13" t="n"/>
      <c r="K105" s="13" t="n"/>
      <c r="L105" s="13" t="n"/>
      <c r="M105" s="13" t="n"/>
      <c r="N105" s="14">
        <f>IF(A105="","",COUNT(H105:M105)/6)</f>
        <v/>
      </c>
      <c r="O105" s="15">
        <f>IF(COUNT(H105:M105)=0,"",IF(LEN(IF(COUNT(I105,J105)=2,IF(J105&gt;I105+1,"EBE &gt; VA ",""),"")&amp;IF(COUNT(H105,M105)=2,IF(ABS(M105)&gt;ABS(H105),"RN &gt; CA ",""),"")&amp;IF(COUNT(H105,K105)=2,IF(ABS(K105)&gt;ABS(H105),"RE &gt; CA ",""),""))=0,"OK",IF(COUNT(I105,J105)=2,IF(J105&gt;I105+1,"EBE &gt; VA ",""),"")&amp;IF(COUNT(H105,M105)=2,IF(ABS(M105)&gt;ABS(H105),"RN &gt; CA ",""),"")&amp;IF(COUNT(H105,K105)=2,IF(ABS(K105)&gt;ABS(H105),"RE &gt; CA ",""),"")))</f>
        <v/>
      </c>
    </row>
    <row r="106">
      <c r="A106" s="9" t="inlineStr">
        <is>
          <t>SOGC</t>
        </is>
      </c>
      <c r="B106" s="10">
        <f>IF(A106="","",IFERROR(VLOOKUP(A106,Titres!$A$2:$B$400,2,FALSE),"Ticker inconnu"))</f>
        <v/>
      </c>
      <c r="C106" s="11" t="n">
        <v>2024</v>
      </c>
      <c r="D106" s="11" t="inlineStr">
        <is>
          <t>T3</t>
        </is>
      </c>
      <c r="E106" s="9" t="n"/>
      <c r="F106" s="12" t="n"/>
      <c r="G106" s="9" t="n"/>
      <c r="H106" s="13" t="n"/>
      <c r="I106" s="13" t="n"/>
      <c r="J106" s="13" t="n"/>
      <c r="K106" s="13" t="n"/>
      <c r="L106" s="13" t="n"/>
      <c r="M106" s="13" t="n"/>
      <c r="N106" s="14">
        <f>IF(A106="","",COUNT(H106:M106)/6)</f>
        <v/>
      </c>
      <c r="O106" s="15">
        <f>IF(COUNT(H106:M106)=0,"",IF(LEN(IF(COUNT(I106,J106)=2,IF(J106&gt;I106+1,"EBE &gt; VA ",""),"")&amp;IF(COUNT(H106,M106)=2,IF(ABS(M106)&gt;ABS(H106),"RN &gt; CA ",""),"")&amp;IF(COUNT(H106,K106)=2,IF(ABS(K106)&gt;ABS(H106),"RE &gt; CA ",""),""))=0,"OK",IF(COUNT(I106,J106)=2,IF(J106&gt;I106+1,"EBE &gt; VA ",""),"")&amp;IF(COUNT(H106,M106)=2,IF(ABS(M106)&gt;ABS(H106),"RN &gt; CA ",""),"")&amp;IF(COUNT(H106,K106)=2,IF(ABS(K106)&gt;ABS(H106),"RE &gt; CA ",""),"")))</f>
        <v/>
      </c>
    </row>
    <row r="107">
      <c r="A107" s="9" t="inlineStr">
        <is>
          <t>SOGC</t>
        </is>
      </c>
      <c r="B107" s="10">
        <f>IF(A107="","",IFERROR(VLOOKUP(A107,Titres!$A$2:$B$400,2,FALSE),"Ticker inconnu"))</f>
        <v/>
      </c>
      <c r="C107" s="11" t="n">
        <v>2025</v>
      </c>
      <c r="D107" s="11" t="inlineStr">
        <is>
          <t>T1</t>
        </is>
      </c>
      <c r="E107" s="9" t="n"/>
      <c r="F107" s="12" t="n"/>
      <c r="G107" s="9" t="n"/>
      <c r="H107" s="13" t="n"/>
      <c r="I107" s="13" t="n"/>
      <c r="J107" s="13" t="n"/>
      <c r="K107" s="13" t="n"/>
      <c r="L107" s="13" t="n"/>
      <c r="M107" s="13" t="n"/>
      <c r="N107" s="14">
        <f>IF(A107="","",COUNT(H107:M107)/6)</f>
        <v/>
      </c>
      <c r="O107" s="15">
        <f>IF(COUNT(H107:M107)=0,"",IF(LEN(IF(COUNT(I107,J107)=2,IF(J107&gt;I107+1,"EBE &gt; VA ",""),"")&amp;IF(COUNT(H107,M107)=2,IF(ABS(M107)&gt;ABS(H107),"RN &gt; CA ",""),"")&amp;IF(COUNT(H107,K107)=2,IF(ABS(K107)&gt;ABS(H107),"RE &gt; CA ",""),""))=0,"OK",IF(COUNT(I107,J107)=2,IF(J107&gt;I107+1,"EBE &gt; VA ",""),"")&amp;IF(COUNT(H107,M107)=2,IF(ABS(M107)&gt;ABS(H107),"RN &gt; CA ",""),"")&amp;IF(COUNT(H107,K107)=2,IF(ABS(K107)&gt;ABS(H107),"RE &gt; CA ",""),"")))</f>
        <v/>
      </c>
    </row>
    <row r="108">
      <c r="A108" s="9" t="inlineStr">
        <is>
          <t>SOGC</t>
        </is>
      </c>
      <c r="B108" s="10">
        <f>IF(A108="","",IFERROR(VLOOKUP(A108,Titres!$A$2:$B$400,2,FALSE),"Ticker inconnu"))</f>
        <v/>
      </c>
      <c r="C108" s="11" t="n">
        <v>2025</v>
      </c>
      <c r="D108" s="11" t="inlineStr">
        <is>
          <t>S1</t>
        </is>
      </c>
      <c r="E108" s="9" t="n"/>
      <c r="F108" s="12" t="n"/>
      <c r="G108" s="9" t="n"/>
      <c r="H108" s="13" t="n"/>
      <c r="I108" s="13" t="n"/>
      <c r="J108" s="13" t="n"/>
      <c r="K108" s="13" t="n"/>
      <c r="L108" s="13" t="n"/>
      <c r="M108" s="13" t="n"/>
      <c r="N108" s="14">
        <f>IF(A108="","",COUNT(H108:M108)/6)</f>
        <v/>
      </c>
      <c r="O108" s="15">
        <f>IF(COUNT(H108:M108)=0,"",IF(LEN(IF(COUNT(I108,J108)=2,IF(J108&gt;I108+1,"EBE &gt; VA ",""),"")&amp;IF(COUNT(H108,M108)=2,IF(ABS(M108)&gt;ABS(H108),"RN &gt; CA ",""),"")&amp;IF(COUNT(H108,K108)=2,IF(ABS(K108)&gt;ABS(H108),"RE &gt; CA ",""),""))=0,"OK",IF(COUNT(I108,J108)=2,IF(J108&gt;I108+1,"EBE &gt; VA ",""),"")&amp;IF(COUNT(H108,M108)=2,IF(ABS(M108)&gt;ABS(H108),"RN &gt; CA ",""),"")&amp;IF(COUNT(H108,K108)=2,IF(ABS(K108)&gt;ABS(H108),"RE &gt; CA ",""),"")))</f>
        <v/>
      </c>
    </row>
    <row r="109">
      <c r="A109" s="9" t="inlineStr">
        <is>
          <t>SOGC</t>
        </is>
      </c>
      <c r="B109" s="10">
        <f>IF(A109="","",IFERROR(VLOOKUP(A109,Titres!$A$2:$B$400,2,FALSE),"Ticker inconnu"))</f>
        <v/>
      </c>
      <c r="C109" s="11" t="n">
        <v>2025</v>
      </c>
      <c r="D109" s="11" t="inlineStr">
        <is>
          <t>T3</t>
        </is>
      </c>
      <c r="E109" s="9" t="n"/>
      <c r="F109" s="12" t="n"/>
      <c r="G109" s="9" t="n"/>
      <c r="H109" s="13" t="n"/>
      <c r="I109" s="13" t="n"/>
      <c r="J109" s="13" t="n"/>
      <c r="K109" s="13" t="n"/>
      <c r="L109" s="13" t="n"/>
      <c r="M109" s="13" t="n"/>
      <c r="N109" s="14">
        <f>IF(A109="","",COUNT(H109:M109)/6)</f>
        <v/>
      </c>
      <c r="O109" s="15">
        <f>IF(COUNT(H109:M109)=0,"",IF(LEN(IF(COUNT(I109,J109)=2,IF(J109&gt;I109+1,"EBE &gt; VA ",""),"")&amp;IF(COUNT(H109,M109)=2,IF(ABS(M109)&gt;ABS(H109),"RN &gt; CA ",""),"")&amp;IF(COUNT(H109,K109)=2,IF(ABS(K109)&gt;ABS(H109),"RE &gt; CA ",""),""))=0,"OK",IF(COUNT(I109,J109)=2,IF(J109&gt;I109+1,"EBE &gt; VA ",""),"")&amp;IF(COUNT(H109,M109)=2,IF(ABS(M109)&gt;ABS(H109),"RN &gt; CA ",""),"")&amp;IF(COUNT(H109,K109)=2,IF(ABS(K109)&gt;ABS(H109),"RE &gt; CA ",""),"")))</f>
        <v/>
      </c>
    </row>
    <row r="110">
      <c r="A110" s="9" t="inlineStr">
        <is>
          <t>SOGC</t>
        </is>
      </c>
      <c r="B110" s="10">
        <f>IF(A110="","",IFERROR(VLOOKUP(A110,Titres!$A$2:$B$400,2,FALSE),"Ticker inconnu"))</f>
        <v/>
      </c>
      <c r="C110" s="11" t="n">
        <v>2026</v>
      </c>
      <c r="D110" s="11" t="inlineStr">
        <is>
          <t>T1</t>
        </is>
      </c>
      <c r="E110" s="9" t="n"/>
      <c r="F110" s="12" t="n"/>
      <c r="G110" s="9" t="n"/>
      <c r="H110" s="13" t="n"/>
      <c r="I110" s="13" t="n"/>
      <c r="J110" s="13" t="n"/>
      <c r="K110" s="13" t="n"/>
      <c r="L110" s="13" t="n"/>
      <c r="M110" s="13" t="n"/>
      <c r="N110" s="14">
        <f>IF(A110="","",COUNT(H110:M110)/6)</f>
        <v/>
      </c>
      <c r="O110" s="15">
        <f>IF(COUNT(H110:M110)=0,"",IF(LEN(IF(COUNT(I110,J110)=2,IF(J110&gt;I110+1,"EBE &gt; VA ",""),"")&amp;IF(COUNT(H110,M110)=2,IF(ABS(M110)&gt;ABS(H110),"RN &gt; CA ",""),"")&amp;IF(COUNT(H110,K110)=2,IF(ABS(K110)&gt;ABS(H110),"RE &gt; CA ",""),""))=0,"OK",IF(COUNT(I110,J110)=2,IF(J110&gt;I110+1,"EBE &gt; VA ",""),"")&amp;IF(COUNT(H110,M110)=2,IF(ABS(M110)&gt;ABS(H110),"RN &gt; CA ",""),"")&amp;IF(COUNT(H110,K110)=2,IF(ABS(K110)&gt;ABS(H110),"RE &gt; CA ",""),"")))</f>
        <v/>
      </c>
    </row>
    <row r="111">
      <c r="A111" s="9" t="inlineStr">
        <is>
          <t>SOGC</t>
        </is>
      </c>
      <c r="B111" s="10">
        <f>IF(A111="","",IFERROR(VLOOKUP(A111,Titres!$A$2:$B$400,2,FALSE),"Ticker inconnu"))</f>
        <v/>
      </c>
      <c r="C111" s="11" t="n">
        <v>2026</v>
      </c>
      <c r="D111" s="11" t="inlineStr">
        <is>
          <t>S1</t>
        </is>
      </c>
      <c r="E111" s="9" t="n"/>
      <c r="F111" s="12" t="n"/>
      <c r="G111" s="9" t="n"/>
      <c r="H111" s="13" t="n"/>
      <c r="I111" s="13" t="n"/>
      <c r="J111" s="13" t="n"/>
      <c r="K111" s="13" t="n"/>
      <c r="L111" s="13" t="n"/>
      <c r="M111" s="13" t="n"/>
      <c r="N111" s="14">
        <f>IF(A111="","",COUNT(H111:M111)/6)</f>
        <v/>
      </c>
      <c r="O111" s="15">
        <f>IF(COUNT(H111:M111)=0,"",IF(LEN(IF(COUNT(I111,J111)=2,IF(J111&gt;I111+1,"EBE &gt; VA ",""),"")&amp;IF(COUNT(H111,M111)=2,IF(ABS(M111)&gt;ABS(H111),"RN &gt; CA ",""),"")&amp;IF(COUNT(H111,K111)=2,IF(ABS(K111)&gt;ABS(H111),"RE &gt; CA ",""),""))=0,"OK",IF(COUNT(I111,J111)=2,IF(J111&gt;I111+1,"EBE &gt; VA ",""),"")&amp;IF(COUNT(H111,M111)=2,IF(ABS(M111)&gt;ABS(H111),"RN &gt; CA ",""),"")&amp;IF(COUNT(H111,K111)=2,IF(ABS(K111)&gt;ABS(H111),"RE &gt; CA ",""),"")))</f>
        <v/>
      </c>
    </row>
    <row r="112">
      <c r="A112" s="9" t="inlineStr">
        <is>
          <t>SOGC</t>
        </is>
      </c>
      <c r="B112" s="10">
        <f>IF(A112="","",IFERROR(VLOOKUP(A112,Titres!$A$2:$B$400,2,FALSE),"Ticker inconnu"))</f>
        <v/>
      </c>
      <c r="C112" s="11" t="n">
        <v>2026</v>
      </c>
      <c r="D112" s="11" t="inlineStr">
        <is>
          <t>T3</t>
        </is>
      </c>
      <c r="E112" s="9" t="n"/>
      <c r="F112" s="12" t="n"/>
      <c r="G112" s="9" t="n"/>
      <c r="H112" s="13" t="n"/>
      <c r="I112" s="13" t="n"/>
      <c r="J112" s="13" t="n"/>
      <c r="K112" s="13" t="n"/>
      <c r="L112" s="13" t="n"/>
      <c r="M112" s="13" t="n"/>
      <c r="N112" s="14">
        <f>IF(A112="","",COUNT(H112:M112)/6)</f>
        <v/>
      </c>
      <c r="O112" s="15">
        <f>IF(COUNT(H112:M112)=0,"",IF(LEN(IF(COUNT(I112,J112)=2,IF(J112&gt;I112+1,"EBE &gt; VA ",""),"")&amp;IF(COUNT(H112,M112)=2,IF(ABS(M112)&gt;ABS(H112),"RN &gt; CA ",""),"")&amp;IF(COUNT(H112,K112)=2,IF(ABS(K112)&gt;ABS(H112),"RE &gt; CA ",""),""))=0,"OK",IF(COUNT(I112,J112)=2,IF(J112&gt;I112+1,"EBE &gt; VA ",""),"")&amp;IF(COUNT(H112,M112)=2,IF(ABS(M112)&gt;ABS(H112),"RN &gt; CA ",""),"")&amp;IF(COUNT(H112,K112)=2,IF(ABS(K112)&gt;ABS(H112),"RE &gt; CA ",""),"")))</f>
        <v/>
      </c>
    </row>
    <row r="113">
      <c r="A113" s="9" t="inlineStr">
        <is>
          <t>SPHC</t>
        </is>
      </c>
      <c r="B113" s="10">
        <f>IF(A113="","",IFERROR(VLOOKUP(A113,Titres!$A$2:$B$400,2,FALSE),"Ticker inconnu"))</f>
        <v/>
      </c>
      <c r="C113" s="11" t="n">
        <v>2021</v>
      </c>
      <c r="D113" s="11" t="inlineStr">
        <is>
          <t>T1</t>
        </is>
      </c>
      <c r="E113" s="9" t="n"/>
      <c r="F113" s="12" t="n"/>
      <c r="G113" s="9" t="n"/>
      <c r="H113" s="13" t="n"/>
      <c r="I113" s="13" t="n"/>
      <c r="J113" s="13" t="n"/>
      <c r="K113" s="13" t="n"/>
      <c r="L113" s="13" t="n"/>
      <c r="M113" s="13" t="n"/>
      <c r="N113" s="14">
        <f>IF(A113="","",COUNT(H113:M113)/6)</f>
        <v/>
      </c>
      <c r="O113" s="15">
        <f>IF(COUNT(H113:M113)=0,"",IF(LEN(IF(COUNT(I113,J113)=2,IF(J113&gt;I113+1,"EBE &gt; VA ",""),"")&amp;IF(COUNT(H113,M113)=2,IF(ABS(M113)&gt;ABS(H113),"RN &gt; CA ",""),"")&amp;IF(COUNT(H113,K113)=2,IF(ABS(K113)&gt;ABS(H113),"RE &gt; CA ",""),""))=0,"OK",IF(COUNT(I113,J113)=2,IF(J113&gt;I113+1,"EBE &gt; VA ",""),"")&amp;IF(COUNT(H113,M113)=2,IF(ABS(M113)&gt;ABS(H113),"RN &gt; CA ",""),"")&amp;IF(COUNT(H113,K113)=2,IF(ABS(K113)&gt;ABS(H113),"RE &gt; CA ",""),"")))</f>
        <v/>
      </c>
    </row>
    <row r="114">
      <c r="A114" s="9" t="inlineStr">
        <is>
          <t>SPHC</t>
        </is>
      </c>
      <c r="B114" s="10">
        <f>IF(A114="","",IFERROR(VLOOKUP(A114,Titres!$A$2:$B$400,2,FALSE),"Ticker inconnu"))</f>
        <v/>
      </c>
      <c r="C114" s="11" t="n">
        <v>2021</v>
      </c>
      <c r="D114" s="11" t="inlineStr">
        <is>
          <t>S1</t>
        </is>
      </c>
      <c r="E114" s="9" t="n"/>
      <c r="F114" s="12" t="n"/>
      <c r="G114" s="9" t="n"/>
      <c r="H114" s="13" t="n"/>
      <c r="I114" s="13" t="n"/>
      <c r="J114" s="13" t="n"/>
      <c r="K114" s="13" t="n"/>
      <c r="L114" s="13" t="n"/>
      <c r="M114" s="13" t="n"/>
      <c r="N114" s="14">
        <f>IF(A114="","",COUNT(H114:M114)/6)</f>
        <v/>
      </c>
      <c r="O114" s="15">
        <f>IF(COUNT(H114:M114)=0,"",IF(LEN(IF(COUNT(I114,J114)=2,IF(J114&gt;I114+1,"EBE &gt; VA ",""),"")&amp;IF(COUNT(H114,M114)=2,IF(ABS(M114)&gt;ABS(H114),"RN &gt; CA ",""),"")&amp;IF(COUNT(H114,K114)=2,IF(ABS(K114)&gt;ABS(H114),"RE &gt; CA ",""),""))=0,"OK",IF(COUNT(I114,J114)=2,IF(J114&gt;I114+1,"EBE &gt; VA ",""),"")&amp;IF(COUNT(H114,M114)=2,IF(ABS(M114)&gt;ABS(H114),"RN &gt; CA ",""),"")&amp;IF(COUNT(H114,K114)=2,IF(ABS(K114)&gt;ABS(H114),"RE &gt; CA ",""),"")))</f>
        <v/>
      </c>
    </row>
    <row r="115">
      <c r="A115" s="9" t="inlineStr">
        <is>
          <t>SPHC</t>
        </is>
      </c>
      <c r="B115" s="10">
        <f>IF(A115="","",IFERROR(VLOOKUP(A115,Titres!$A$2:$B$400,2,FALSE),"Ticker inconnu"))</f>
        <v/>
      </c>
      <c r="C115" s="11" t="n">
        <v>2021</v>
      </c>
      <c r="D115" s="11" t="inlineStr">
        <is>
          <t>T3</t>
        </is>
      </c>
      <c r="E115" s="9" t="n"/>
      <c r="F115" s="12" t="n"/>
      <c r="G115" s="9" t="n"/>
      <c r="H115" s="13" t="n"/>
      <c r="I115" s="13" t="n"/>
      <c r="J115" s="13" t="n"/>
      <c r="K115" s="13" t="n"/>
      <c r="L115" s="13" t="n"/>
      <c r="M115" s="13" t="n"/>
      <c r="N115" s="14">
        <f>IF(A115="","",COUNT(H115:M115)/6)</f>
        <v/>
      </c>
      <c r="O115" s="15">
        <f>IF(COUNT(H115:M115)=0,"",IF(LEN(IF(COUNT(I115,J115)=2,IF(J115&gt;I115+1,"EBE &gt; VA ",""),"")&amp;IF(COUNT(H115,M115)=2,IF(ABS(M115)&gt;ABS(H115),"RN &gt; CA ",""),"")&amp;IF(COUNT(H115,K115)=2,IF(ABS(K115)&gt;ABS(H115),"RE &gt; CA ",""),""))=0,"OK",IF(COUNT(I115,J115)=2,IF(J115&gt;I115+1,"EBE &gt; VA ",""),"")&amp;IF(COUNT(H115,M115)=2,IF(ABS(M115)&gt;ABS(H115),"RN &gt; CA ",""),"")&amp;IF(COUNT(H115,K115)=2,IF(ABS(K115)&gt;ABS(H115),"RE &gt; CA ",""),"")))</f>
        <v/>
      </c>
    </row>
    <row r="116">
      <c r="A116" s="9" t="inlineStr">
        <is>
          <t>SPHC</t>
        </is>
      </c>
      <c r="B116" s="10">
        <f>IF(A116="","",IFERROR(VLOOKUP(A116,Titres!$A$2:$B$400,2,FALSE),"Ticker inconnu"))</f>
        <v/>
      </c>
      <c r="C116" s="11" t="n">
        <v>2022</v>
      </c>
      <c r="D116" s="11" t="inlineStr">
        <is>
          <t>T1</t>
        </is>
      </c>
      <c r="E116" s="9" t="n"/>
      <c r="F116" s="12" t="n"/>
      <c r="G116" s="9" t="n"/>
      <c r="H116" s="13" t="n"/>
      <c r="I116" s="13" t="n"/>
      <c r="J116" s="13" t="n"/>
      <c r="K116" s="13" t="n"/>
      <c r="L116" s="13" t="n"/>
      <c r="M116" s="13" t="n"/>
      <c r="N116" s="14">
        <f>IF(A116="","",COUNT(H116:M116)/6)</f>
        <v/>
      </c>
      <c r="O116" s="15">
        <f>IF(COUNT(H116:M116)=0,"",IF(LEN(IF(COUNT(I116,J116)=2,IF(J116&gt;I116+1,"EBE &gt; VA ",""),"")&amp;IF(COUNT(H116,M116)=2,IF(ABS(M116)&gt;ABS(H116),"RN &gt; CA ",""),"")&amp;IF(COUNT(H116,K116)=2,IF(ABS(K116)&gt;ABS(H116),"RE &gt; CA ",""),""))=0,"OK",IF(COUNT(I116,J116)=2,IF(J116&gt;I116+1,"EBE &gt; VA ",""),"")&amp;IF(COUNT(H116,M116)=2,IF(ABS(M116)&gt;ABS(H116),"RN &gt; CA ",""),"")&amp;IF(COUNT(H116,K116)=2,IF(ABS(K116)&gt;ABS(H116),"RE &gt; CA ",""),"")))</f>
        <v/>
      </c>
    </row>
    <row r="117">
      <c r="A117" s="9" t="inlineStr">
        <is>
          <t>SPHC</t>
        </is>
      </c>
      <c r="B117" s="10">
        <f>IF(A117="","",IFERROR(VLOOKUP(A117,Titres!$A$2:$B$400,2,FALSE),"Ticker inconnu"))</f>
        <v/>
      </c>
      <c r="C117" s="11" t="n">
        <v>2022</v>
      </c>
      <c r="D117" s="11" t="inlineStr">
        <is>
          <t>S1</t>
        </is>
      </c>
      <c r="E117" s="9" t="n"/>
      <c r="F117" s="12" t="n"/>
      <c r="G117" s="9" t="n"/>
      <c r="H117" s="13" t="n"/>
      <c r="I117" s="13" t="n"/>
      <c r="J117" s="13" t="n"/>
      <c r="K117" s="13" t="n"/>
      <c r="L117" s="13" t="n"/>
      <c r="M117" s="13" t="n"/>
      <c r="N117" s="14">
        <f>IF(A117="","",COUNT(H117:M117)/6)</f>
        <v/>
      </c>
      <c r="O117" s="15">
        <f>IF(COUNT(H117:M117)=0,"",IF(LEN(IF(COUNT(I117,J117)=2,IF(J117&gt;I117+1,"EBE &gt; VA ",""),"")&amp;IF(COUNT(H117,M117)=2,IF(ABS(M117)&gt;ABS(H117),"RN &gt; CA ",""),"")&amp;IF(COUNT(H117,K117)=2,IF(ABS(K117)&gt;ABS(H117),"RE &gt; CA ",""),""))=0,"OK",IF(COUNT(I117,J117)=2,IF(J117&gt;I117+1,"EBE &gt; VA ",""),"")&amp;IF(COUNT(H117,M117)=2,IF(ABS(M117)&gt;ABS(H117),"RN &gt; CA ",""),"")&amp;IF(COUNT(H117,K117)=2,IF(ABS(K117)&gt;ABS(H117),"RE &gt; CA ",""),"")))</f>
        <v/>
      </c>
    </row>
    <row r="118">
      <c r="A118" s="9" t="inlineStr">
        <is>
          <t>SPHC</t>
        </is>
      </c>
      <c r="B118" s="10">
        <f>IF(A118="","",IFERROR(VLOOKUP(A118,Titres!$A$2:$B$400,2,FALSE),"Ticker inconnu"))</f>
        <v/>
      </c>
      <c r="C118" s="11" t="n">
        <v>2022</v>
      </c>
      <c r="D118" s="11" t="inlineStr">
        <is>
          <t>T3</t>
        </is>
      </c>
      <c r="E118" s="9" t="n"/>
      <c r="F118" s="12" t="n"/>
      <c r="G118" s="9" t="n"/>
      <c r="H118" s="13" t="n"/>
      <c r="I118" s="13" t="n"/>
      <c r="J118" s="13" t="n"/>
      <c r="K118" s="13" t="n"/>
      <c r="L118" s="13" t="n"/>
      <c r="M118" s="13" t="n"/>
      <c r="N118" s="14">
        <f>IF(A118="","",COUNT(H118:M118)/6)</f>
        <v/>
      </c>
      <c r="O118" s="15">
        <f>IF(COUNT(H118:M118)=0,"",IF(LEN(IF(COUNT(I118,J118)=2,IF(J118&gt;I118+1,"EBE &gt; VA ",""),"")&amp;IF(COUNT(H118,M118)=2,IF(ABS(M118)&gt;ABS(H118),"RN &gt; CA ",""),"")&amp;IF(COUNT(H118,K118)=2,IF(ABS(K118)&gt;ABS(H118),"RE &gt; CA ",""),""))=0,"OK",IF(COUNT(I118,J118)=2,IF(J118&gt;I118+1,"EBE &gt; VA ",""),"")&amp;IF(COUNT(H118,M118)=2,IF(ABS(M118)&gt;ABS(H118),"RN &gt; CA ",""),"")&amp;IF(COUNT(H118,K118)=2,IF(ABS(K118)&gt;ABS(H118),"RE &gt; CA ",""),"")))</f>
        <v/>
      </c>
    </row>
    <row r="119">
      <c r="A119" s="9" t="inlineStr">
        <is>
          <t>SPHC</t>
        </is>
      </c>
      <c r="B119" s="10">
        <f>IF(A119="","",IFERROR(VLOOKUP(A119,Titres!$A$2:$B$400,2,FALSE),"Ticker inconnu"))</f>
        <v/>
      </c>
      <c r="C119" s="11" t="n">
        <v>2023</v>
      </c>
      <c r="D119" s="11" t="inlineStr">
        <is>
          <t>T1</t>
        </is>
      </c>
      <c r="E119" s="9" t="n"/>
      <c r="F119" s="12" t="n"/>
      <c r="G119" s="9" t="n"/>
      <c r="H119" s="13" t="n"/>
      <c r="I119" s="13" t="n"/>
      <c r="J119" s="13" t="n"/>
      <c r="K119" s="13" t="n"/>
      <c r="L119" s="13" t="n"/>
      <c r="M119" s="13" t="n"/>
      <c r="N119" s="14">
        <f>IF(A119="","",COUNT(H119:M119)/6)</f>
        <v/>
      </c>
      <c r="O119" s="15">
        <f>IF(COUNT(H119:M119)=0,"",IF(LEN(IF(COUNT(I119,J119)=2,IF(J119&gt;I119+1,"EBE &gt; VA ",""),"")&amp;IF(COUNT(H119,M119)=2,IF(ABS(M119)&gt;ABS(H119),"RN &gt; CA ",""),"")&amp;IF(COUNT(H119,K119)=2,IF(ABS(K119)&gt;ABS(H119),"RE &gt; CA ",""),""))=0,"OK",IF(COUNT(I119,J119)=2,IF(J119&gt;I119+1,"EBE &gt; VA ",""),"")&amp;IF(COUNT(H119,M119)=2,IF(ABS(M119)&gt;ABS(H119),"RN &gt; CA ",""),"")&amp;IF(COUNT(H119,K119)=2,IF(ABS(K119)&gt;ABS(H119),"RE &gt; CA ",""),"")))</f>
        <v/>
      </c>
    </row>
    <row r="120">
      <c r="A120" s="9" t="inlineStr">
        <is>
          <t>SPHC</t>
        </is>
      </c>
      <c r="B120" s="10">
        <f>IF(A120="","",IFERROR(VLOOKUP(A120,Titres!$A$2:$B$400,2,FALSE),"Ticker inconnu"))</f>
        <v/>
      </c>
      <c r="C120" s="11" t="n">
        <v>2023</v>
      </c>
      <c r="D120" s="11" t="inlineStr">
        <is>
          <t>S1</t>
        </is>
      </c>
      <c r="E120" s="9" t="n"/>
      <c r="F120" s="12" t="n"/>
      <c r="G120" s="9" t="n"/>
      <c r="H120" s="13" t="n"/>
      <c r="I120" s="13" t="n"/>
      <c r="J120" s="13" t="n"/>
      <c r="K120" s="13" t="n"/>
      <c r="L120" s="13" t="n"/>
      <c r="M120" s="13" t="n"/>
      <c r="N120" s="14">
        <f>IF(A120="","",COUNT(H120:M120)/6)</f>
        <v/>
      </c>
      <c r="O120" s="15">
        <f>IF(COUNT(H120:M120)=0,"",IF(LEN(IF(COUNT(I120,J120)=2,IF(J120&gt;I120+1,"EBE &gt; VA ",""),"")&amp;IF(COUNT(H120,M120)=2,IF(ABS(M120)&gt;ABS(H120),"RN &gt; CA ",""),"")&amp;IF(COUNT(H120,K120)=2,IF(ABS(K120)&gt;ABS(H120),"RE &gt; CA ",""),""))=0,"OK",IF(COUNT(I120,J120)=2,IF(J120&gt;I120+1,"EBE &gt; VA ",""),"")&amp;IF(COUNT(H120,M120)=2,IF(ABS(M120)&gt;ABS(H120),"RN &gt; CA ",""),"")&amp;IF(COUNT(H120,K120)=2,IF(ABS(K120)&gt;ABS(H120),"RE &gt; CA ",""),"")))</f>
        <v/>
      </c>
    </row>
    <row r="121">
      <c r="A121" s="9" t="inlineStr">
        <is>
          <t>SPHC</t>
        </is>
      </c>
      <c r="B121" s="10">
        <f>IF(A121="","",IFERROR(VLOOKUP(A121,Titres!$A$2:$B$400,2,FALSE),"Ticker inconnu"))</f>
        <v/>
      </c>
      <c r="C121" s="11" t="n">
        <v>2023</v>
      </c>
      <c r="D121" s="11" t="inlineStr">
        <is>
          <t>T3</t>
        </is>
      </c>
      <c r="E121" s="9" t="n"/>
      <c r="F121" s="12" t="n"/>
      <c r="G121" s="9" t="n"/>
      <c r="H121" s="13" t="n"/>
      <c r="I121" s="13" t="n"/>
      <c r="J121" s="13" t="n"/>
      <c r="K121" s="13" t="n"/>
      <c r="L121" s="13" t="n"/>
      <c r="M121" s="13" t="n"/>
      <c r="N121" s="14">
        <f>IF(A121="","",COUNT(H121:M121)/6)</f>
        <v/>
      </c>
      <c r="O121" s="15">
        <f>IF(COUNT(H121:M121)=0,"",IF(LEN(IF(COUNT(I121,J121)=2,IF(J121&gt;I121+1,"EBE &gt; VA ",""),"")&amp;IF(COUNT(H121,M121)=2,IF(ABS(M121)&gt;ABS(H121),"RN &gt; CA ",""),"")&amp;IF(COUNT(H121,K121)=2,IF(ABS(K121)&gt;ABS(H121),"RE &gt; CA ",""),""))=0,"OK",IF(COUNT(I121,J121)=2,IF(J121&gt;I121+1,"EBE &gt; VA ",""),"")&amp;IF(COUNT(H121,M121)=2,IF(ABS(M121)&gt;ABS(H121),"RN &gt; CA ",""),"")&amp;IF(COUNT(H121,K121)=2,IF(ABS(K121)&gt;ABS(H121),"RE &gt; CA ",""),"")))</f>
        <v/>
      </c>
    </row>
    <row r="122">
      <c r="A122" s="9" t="inlineStr">
        <is>
          <t>SPHC</t>
        </is>
      </c>
      <c r="B122" s="10">
        <f>IF(A122="","",IFERROR(VLOOKUP(A122,Titres!$A$2:$B$400,2,FALSE),"Ticker inconnu"))</f>
        <v/>
      </c>
      <c r="C122" s="11" t="n">
        <v>2024</v>
      </c>
      <c r="D122" s="11" t="inlineStr">
        <is>
          <t>T1</t>
        </is>
      </c>
      <c r="E122" s="9" t="n"/>
      <c r="F122" s="12" t="n"/>
      <c r="G122" s="9" t="n"/>
      <c r="H122" s="13" t="n"/>
      <c r="I122" s="13" t="n"/>
      <c r="J122" s="13" t="n"/>
      <c r="K122" s="13" t="n"/>
      <c r="L122" s="13" t="n"/>
      <c r="M122" s="13" t="n"/>
      <c r="N122" s="14">
        <f>IF(A122="","",COUNT(H122:M122)/6)</f>
        <v/>
      </c>
      <c r="O122" s="15">
        <f>IF(COUNT(H122:M122)=0,"",IF(LEN(IF(COUNT(I122,J122)=2,IF(J122&gt;I122+1,"EBE &gt; VA ",""),"")&amp;IF(COUNT(H122,M122)=2,IF(ABS(M122)&gt;ABS(H122),"RN &gt; CA ",""),"")&amp;IF(COUNT(H122,K122)=2,IF(ABS(K122)&gt;ABS(H122),"RE &gt; CA ",""),""))=0,"OK",IF(COUNT(I122,J122)=2,IF(J122&gt;I122+1,"EBE &gt; VA ",""),"")&amp;IF(COUNT(H122,M122)=2,IF(ABS(M122)&gt;ABS(H122),"RN &gt; CA ",""),"")&amp;IF(COUNT(H122,K122)=2,IF(ABS(K122)&gt;ABS(H122),"RE &gt; CA ",""),"")))</f>
        <v/>
      </c>
    </row>
    <row r="123">
      <c r="A123" s="9" t="inlineStr">
        <is>
          <t>SPHC</t>
        </is>
      </c>
      <c r="B123" s="10">
        <f>IF(A123="","",IFERROR(VLOOKUP(A123,Titres!$A$2:$B$400,2,FALSE),"Ticker inconnu"))</f>
        <v/>
      </c>
      <c r="C123" s="11" t="n">
        <v>2024</v>
      </c>
      <c r="D123" s="11" t="inlineStr">
        <is>
          <t>S1</t>
        </is>
      </c>
      <c r="E123" s="9" t="n"/>
      <c r="F123" s="12" t="n"/>
      <c r="G123" s="9" t="n"/>
      <c r="H123" s="13" t="n"/>
      <c r="I123" s="13" t="n"/>
      <c r="J123" s="13" t="n"/>
      <c r="K123" s="13" t="n"/>
      <c r="L123" s="13" t="n"/>
      <c r="M123" s="13" t="n"/>
      <c r="N123" s="14">
        <f>IF(A123="","",COUNT(H123:M123)/6)</f>
        <v/>
      </c>
      <c r="O123" s="15">
        <f>IF(COUNT(H123:M123)=0,"",IF(LEN(IF(COUNT(I123,J123)=2,IF(J123&gt;I123+1,"EBE &gt; VA ",""),"")&amp;IF(COUNT(H123,M123)=2,IF(ABS(M123)&gt;ABS(H123),"RN &gt; CA ",""),"")&amp;IF(COUNT(H123,K123)=2,IF(ABS(K123)&gt;ABS(H123),"RE &gt; CA ",""),""))=0,"OK",IF(COUNT(I123,J123)=2,IF(J123&gt;I123+1,"EBE &gt; VA ",""),"")&amp;IF(COUNT(H123,M123)=2,IF(ABS(M123)&gt;ABS(H123),"RN &gt; CA ",""),"")&amp;IF(COUNT(H123,K123)=2,IF(ABS(K123)&gt;ABS(H123),"RE &gt; CA ",""),"")))</f>
        <v/>
      </c>
    </row>
    <row r="124">
      <c r="A124" s="9" t="inlineStr">
        <is>
          <t>SPHC</t>
        </is>
      </c>
      <c r="B124" s="10">
        <f>IF(A124="","",IFERROR(VLOOKUP(A124,Titres!$A$2:$B$400,2,FALSE),"Ticker inconnu"))</f>
        <v/>
      </c>
      <c r="C124" s="11" t="n">
        <v>2024</v>
      </c>
      <c r="D124" s="11" t="inlineStr">
        <is>
          <t>T3</t>
        </is>
      </c>
      <c r="E124" s="9" t="n"/>
      <c r="F124" s="12" t="n"/>
      <c r="G124" s="9" t="n"/>
      <c r="H124" s="13" t="n"/>
      <c r="I124" s="13" t="n"/>
      <c r="J124" s="13" t="n"/>
      <c r="K124" s="13" t="n"/>
      <c r="L124" s="13" t="n"/>
      <c r="M124" s="13" t="n"/>
      <c r="N124" s="14">
        <f>IF(A124="","",COUNT(H124:M124)/6)</f>
        <v/>
      </c>
      <c r="O124" s="15">
        <f>IF(COUNT(H124:M124)=0,"",IF(LEN(IF(COUNT(I124,J124)=2,IF(J124&gt;I124+1,"EBE &gt; VA ",""),"")&amp;IF(COUNT(H124,M124)=2,IF(ABS(M124)&gt;ABS(H124),"RN &gt; CA ",""),"")&amp;IF(COUNT(H124,K124)=2,IF(ABS(K124)&gt;ABS(H124),"RE &gt; CA ",""),""))=0,"OK",IF(COUNT(I124,J124)=2,IF(J124&gt;I124+1,"EBE &gt; VA ",""),"")&amp;IF(COUNT(H124,M124)=2,IF(ABS(M124)&gt;ABS(H124),"RN &gt; CA ",""),"")&amp;IF(COUNT(H124,K124)=2,IF(ABS(K124)&gt;ABS(H124),"RE &gt; CA ",""),"")))</f>
        <v/>
      </c>
    </row>
    <row r="125">
      <c r="A125" s="9" t="inlineStr">
        <is>
          <t>SPHC</t>
        </is>
      </c>
      <c r="B125" s="10">
        <f>IF(A125="","",IFERROR(VLOOKUP(A125,Titres!$A$2:$B$400,2,FALSE),"Ticker inconnu"))</f>
        <v/>
      </c>
      <c r="C125" s="11" t="n">
        <v>2025</v>
      </c>
      <c r="D125" s="11" t="inlineStr">
        <is>
          <t>T1</t>
        </is>
      </c>
      <c r="E125" s="9" t="inlineStr">
        <is>
          <t>Publié</t>
        </is>
      </c>
      <c r="F125" s="12" t="n">
        <v>46141</v>
      </c>
      <c r="G125" s="9" t="inlineStr">
        <is>
          <t>https://www.richbourse.com/common/actualite/afficher-fichier/29-04-2026-saph-ci-rapport-dactivites-1er-trimestre-2026 (comparatif N-1)</t>
        </is>
      </c>
      <c r="H125" s="13" t="n">
        <v>94319</v>
      </c>
      <c r="I125" s="13" t="n"/>
      <c r="J125" s="13" t="n"/>
      <c r="K125" s="13" t="n">
        <v>16772</v>
      </c>
      <c r="L125" s="13" t="n">
        <v>15763</v>
      </c>
      <c r="M125" s="13" t="n">
        <v>11804</v>
      </c>
      <c r="N125" s="14">
        <f>IF(A125="","",COUNT(H125:M125)/6)</f>
        <v/>
      </c>
      <c r="O125" s="15">
        <f>IF(COUNT(H125:M125)=0,"",IF(LEN(IF(COUNT(I125,J125)=2,IF(J125&gt;I125+1,"EBE &gt; VA ",""),"")&amp;IF(COUNT(H125,M125)=2,IF(ABS(M125)&gt;ABS(H125),"RN &gt; CA ",""),"")&amp;IF(COUNT(H125,K125)=2,IF(ABS(K125)&gt;ABS(H125),"RE &gt; CA ",""),""))=0,"OK",IF(COUNT(I125,J125)=2,IF(J125&gt;I125+1,"EBE &gt; VA ",""),"")&amp;IF(COUNT(H125,M125)=2,IF(ABS(M125)&gt;ABS(H125),"RN &gt; CA ",""),"")&amp;IF(COUNT(H125,K125)=2,IF(ABS(K125)&gt;ABS(H125),"RE &gt; CA ",""),"")))</f>
        <v/>
      </c>
    </row>
    <row r="126">
      <c r="A126" s="9" t="inlineStr">
        <is>
          <t>SPHC</t>
        </is>
      </c>
      <c r="B126" s="10">
        <f>IF(A126="","",IFERROR(VLOOKUP(A126,Titres!$A$2:$B$400,2,FALSE),"Ticker inconnu"))</f>
        <v/>
      </c>
      <c r="C126" s="11" t="n">
        <v>2025</v>
      </c>
      <c r="D126" s="11" t="inlineStr">
        <is>
          <t>S1</t>
        </is>
      </c>
      <c r="E126" s="9" t="n"/>
      <c r="F126" s="12" t="n"/>
      <c r="G126" s="9" t="n"/>
      <c r="H126" s="13" t="n"/>
      <c r="I126" s="13" t="n"/>
      <c r="J126" s="13" t="n"/>
      <c r="K126" s="13" t="n"/>
      <c r="L126" s="13" t="n"/>
      <c r="M126" s="13" t="n"/>
      <c r="N126" s="14">
        <f>IF(A126="","",COUNT(H126:M126)/6)</f>
        <v/>
      </c>
      <c r="O126" s="15">
        <f>IF(COUNT(H126:M126)=0,"",IF(LEN(IF(COUNT(I126,J126)=2,IF(J126&gt;I126+1,"EBE &gt; VA ",""),"")&amp;IF(COUNT(H126,M126)=2,IF(ABS(M126)&gt;ABS(H126),"RN &gt; CA ",""),"")&amp;IF(COUNT(H126,K126)=2,IF(ABS(K126)&gt;ABS(H126),"RE &gt; CA ",""),""))=0,"OK",IF(COUNT(I126,J126)=2,IF(J126&gt;I126+1,"EBE &gt; VA ",""),"")&amp;IF(COUNT(H126,M126)=2,IF(ABS(M126)&gt;ABS(H126),"RN &gt; CA ",""),"")&amp;IF(COUNT(H126,K126)=2,IF(ABS(K126)&gt;ABS(H126),"RE &gt; CA ",""),"")))</f>
        <v/>
      </c>
    </row>
    <row r="127">
      <c r="A127" s="9" t="inlineStr">
        <is>
          <t>SPHC</t>
        </is>
      </c>
      <c r="B127" s="10">
        <f>IF(A127="","",IFERROR(VLOOKUP(A127,Titres!$A$2:$B$400,2,FALSE),"Ticker inconnu"))</f>
        <v/>
      </c>
      <c r="C127" s="11" t="n">
        <v>2025</v>
      </c>
      <c r="D127" s="11" t="inlineStr">
        <is>
          <t>T3</t>
        </is>
      </c>
      <c r="E127" s="9" t="n"/>
      <c r="F127" s="12" t="n"/>
      <c r="G127" s="9" t="n"/>
      <c r="H127" s="13" t="n"/>
      <c r="I127" s="13" t="n"/>
      <c r="J127" s="13" t="n"/>
      <c r="K127" s="13" t="n"/>
      <c r="L127" s="13" t="n"/>
      <c r="M127" s="13" t="n"/>
      <c r="N127" s="14">
        <f>IF(A127="","",COUNT(H127:M127)/6)</f>
        <v/>
      </c>
      <c r="O127" s="15">
        <f>IF(COUNT(H127:M127)=0,"",IF(LEN(IF(COUNT(I127,J127)=2,IF(J127&gt;I127+1,"EBE &gt; VA ",""),"")&amp;IF(COUNT(H127,M127)=2,IF(ABS(M127)&gt;ABS(H127),"RN &gt; CA ",""),"")&amp;IF(COUNT(H127,K127)=2,IF(ABS(K127)&gt;ABS(H127),"RE &gt; CA ",""),""))=0,"OK",IF(COUNT(I127,J127)=2,IF(J127&gt;I127+1,"EBE &gt; VA ",""),"")&amp;IF(COUNT(H127,M127)=2,IF(ABS(M127)&gt;ABS(H127),"RN &gt; CA ",""),"")&amp;IF(COUNT(H127,K127)=2,IF(ABS(K127)&gt;ABS(H127),"RE &gt; CA ",""),"")))</f>
        <v/>
      </c>
    </row>
    <row r="128">
      <c r="A128" s="9" t="inlineStr">
        <is>
          <t>SPHC</t>
        </is>
      </c>
      <c r="B128" s="10">
        <f>IF(A128="","",IFERROR(VLOOKUP(A128,Titres!$A$2:$B$400,2,FALSE),"Ticker inconnu"))</f>
        <v/>
      </c>
      <c r="C128" s="11" t="n">
        <v>2026</v>
      </c>
      <c r="D128" s="11" t="inlineStr">
        <is>
          <t>T1</t>
        </is>
      </c>
      <c r="E128" s="9" t="inlineStr">
        <is>
          <t>Publié</t>
        </is>
      </c>
      <c r="F128" s="12" t="n">
        <v>46141</v>
      </c>
      <c r="G128" s="9" t="inlineStr">
        <is>
          <t>https://www.richbourse.com/common/actualite/afficher-fichier/29-04-2026-saph-ci-rapport-dactivites-1er-trimestre-2026</t>
        </is>
      </c>
      <c r="H128" s="13" t="n">
        <v>71772</v>
      </c>
      <c r="I128" s="13" t="n"/>
      <c r="J128" s="13" t="n"/>
      <c r="K128" s="13" t="n">
        <v>4456</v>
      </c>
      <c r="L128" s="13" t="n">
        <v>3575</v>
      </c>
      <c r="M128" s="13" t="n">
        <v>2633</v>
      </c>
      <c r="N128" s="14">
        <f>IF(A128="","",COUNT(H128:M128)/6)</f>
        <v/>
      </c>
      <c r="O128" s="15">
        <f>IF(COUNT(H128:M128)=0,"",IF(LEN(IF(COUNT(I128,J128)=2,IF(J128&gt;I128+1,"EBE &gt; VA ",""),"")&amp;IF(COUNT(H128,M128)=2,IF(ABS(M128)&gt;ABS(H128),"RN &gt; CA ",""),"")&amp;IF(COUNT(H128,K128)=2,IF(ABS(K128)&gt;ABS(H128),"RE &gt; CA ",""),""))=0,"OK",IF(COUNT(I128,J128)=2,IF(J128&gt;I128+1,"EBE &gt; VA ",""),"")&amp;IF(COUNT(H128,M128)=2,IF(ABS(M128)&gt;ABS(H128),"RN &gt; CA ",""),"")&amp;IF(COUNT(H128,K128)=2,IF(ABS(K128)&gt;ABS(H128),"RE &gt; CA ",""),"")))</f>
        <v/>
      </c>
    </row>
    <row r="129">
      <c r="A129" s="9" t="inlineStr">
        <is>
          <t>SPHC</t>
        </is>
      </c>
      <c r="B129" s="10">
        <f>IF(A129="","",IFERROR(VLOOKUP(A129,Titres!$A$2:$B$400,2,FALSE),"Ticker inconnu"))</f>
        <v/>
      </c>
      <c r="C129" s="11" t="n">
        <v>2026</v>
      </c>
      <c r="D129" s="11" t="inlineStr">
        <is>
          <t>S1</t>
        </is>
      </c>
      <c r="E129" s="9" t="n"/>
      <c r="F129" s="12" t="n"/>
      <c r="G129" s="9" t="n"/>
      <c r="H129" s="13" t="n"/>
      <c r="I129" s="13" t="n"/>
      <c r="J129" s="13" t="n"/>
      <c r="K129" s="13" t="n"/>
      <c r="L129" s="13" t="n"/>
      <c r="M129" s="13" t="n"/>
      <c r="N129" s="14">
        <f>IF(A129="","",COUNT(H129:M129)/6)</f>
        <v/>
      </c>
      <c r="O129" s="15">
        <f>IF(COUNT(H129:M129)=0,"",IF(LEN(IF(COUNT(I129,J129)=2,IF(J129&gt;I129+1,"EBE &gt; VA ",""),"")&amp;IF(COUNT(H129,M129)=2,IF(ABS(M129)&gt;ABS(H129),"RN &gt; CA ",""),"")&amp;IF(COUNT(H129,K129)=2,IF(ABS(K129)&gt;ABS(H129),"RE &gt; CA ",""),""))=0,"OK",IF(COUNT(I129,J129)=2,IF(J129&gt;I129+1,"EBE &gt; VA ",""),"")&amp;IF(COUNT(H129,M129)=2,IF(ABS(M129)&gt;ABS(H129),"RN &gt; CA ",""),"")&amp;IF(COUNT(H129,K129)=2,IF(ABS(K129)&gt;ABS(H129),"RE &gt; CA ",""),"")))</f>
        <v/>
      </c>
    </row>
    <row r="130">
      <c r="A130" s="9" t="inlineStr">
        <is>
          <t>SPHC</t>
        </is>
      </c>
      <c r="B130" s="10">
        <f>IF(A130="","",IFERROR(VLOOKUP(A130,Titres!$A$2:$B$400,2,FALSE),"Ticker inconnu"))</f>
        <v/>
      </c>
      <c r="C130" s="11" t="n">
        <v>2026</v>
      </c>
      <c r="D130" s="11" t="inlineStr">
        <is>
          <t>T3</t>
        </is>
      </c>
      <c r="E130" s="9" t="n"/>
      <c r="F130" s="12" t="n"/>
      <c r="G130" s="9" t="n"/>
      <c r="H130" s="13" t="n"/>
      <c r="I130" s="13" t="n"/>
      <c r="J130" s="13" t="n"/>
      <c r="K130" s="13" t="n"/>
      <c r="L130" s="13" t="n"/>
      <c r="M130" s="13" t="n"/>
      <c r="N130" s="14">
        <f>IF(A130="","",COUNT(H130:M130)/6)</f>
        <v/>
      </c>
      <c r="O130" s="15">
        <f>IF(COUNT(H130:M130)=0,"",IF(LEN(IF(COUNT(I130,J130)=2,IF(J130&gt;I130+1,"EBE &gt; VA ",""),"")&amp;IF(COUNT(H130,M130)=2,IF(ABS(M130)&gt;ABS(H130),"RN &gt; CA ",""),"")&amp;IF(COUNT(H130,K130)=2,IF(ABS(K130)&gt;ABS(H130),"RE &gt; CA ",""),""))=0,"OK",IF(COUNT(I130,J130)=2,IF(J130&gt;I130+1,"EBE &gt; VA ",""),"")&amp;IF(COUNT(H130,M130)=2,IF(ABS(M130)&gt;ABS(H130),"RN &gt; CA ",""),"")&amp;IF(COUNT(H130,K130)=2,IF(ABS(K130)&gt;ABS(H130),"RE &gt; CA ",""),"")))</f>
        <v/>
      </c>
    </row>
    <row r="131">
      <c r="A131" s="9" t="inlineStr">
        <is>
          <t>STBC</t>
        </is>
      </c>
      <c r="B131" s="10">
        <f>IF(A131="","",IFERROR(VLOOKUP(A131,Titres!$A$2:$B$400,2,FALSE),"Ticker inconnu"))</f>
        <v/>
      </c>
      <c r="C131" s="11" t="n">
        <v>2021</v>
      </c>
      <c r="D131" s="11" t="inlineStr">
        <is>
          <t>T1</t>
        </is>
      </c>
      <c r="E131" s="9" t="n"/>
      <c r="F131" s="12" t="n"/>
      <c r="G131" s="9" t="n"/>
      <c r="H131" s="13" t="n"/>
      <c r="I131" s="13" t="n"/>
      <c r="J131" s="13" t="n"/>
      <c r="K131" s="13" t="n"/>
      <c r="L131" s="13" t="n"/>
      <c r="M131" s="13" t="n"/>
      <c r="N131" s="14">
        <f>IF(A131="","",COUNT(H131:M131)/6)</f>
        <v/>
      </c>
      <c r="O131" s="15">
        <f>IF(COUNT(H131:M131)=0,"",IF(LEN(IF(COUNT(I131,J131)=2,IF(J131&gt;I131+1,"EBE &gt; VA ",""),"")&amp;IF(COUNT(H131,M131)=2,IF(ABS(M131)&gt;ABS(H131),"RN &gt; CA ",""),"")&amp;IF(COUNT(H131,K131)=2,IF(ABS(K131)&gt;ABS(H131),"RE &gt; CA ",""),""))=0,"OK",IF(COUNT(I131,J131)=2,IF(J131&gt;I131+1,"EBE &gt; VA ",""),"")&amp;IF(COUNT(H131,M131)=2,IF(ABS(M131)&gt;ABS(H131),"RN &gt; CA ",""),"")&amp;IF(COUNT(H131,K131)=2,IF(ABS(K131)&gt;ABS(H131),"RE &gt; CA ",""),"")))</f>
        <v/>
      </c>
    </row>
    <row r="132">
      <c r="A132" s="9" t="inlineStr">
        <is>
          <t>STBC</t>
        </is>
      </c>
      <c r="B132" s="10">
        <f>IF(A132="","",IFERROR(VLOOKUP(A132,Titres!$A$2:$B$400,2,FALSE),"Ticker inconnu"))</f>
        <v/>
      </c>
      <c r="C132" s="11" t="n">
        <v>2021</v>
      </c>
      <c r="D132" s="11" t="inlineStr">
        <is>
          <t>S1</t>
        </is>
      </c>
      <c r="E132" s="9" t="n"/>
      <c r="F132" s="12" t="n"/>
      <c r="G132" s="9" t="n"/>
      <c r="H132" s="13" t="n"/>
      <c r="I132" s="13" t="n"/>
      <c r="J132" s="13" t="n"/>
      <c r="K132" s="13" t="n"/>
      <c r="L132" s="13" t="n"/>
      <c r="M132" s="13" t="n"/>
      <c r="N132" s="14">
        <f>IF(A132="","",COUNT(H132:M132)/6)</f>
        <v/>
      </c>
      <c r="O132" s="15">
        <f>IF(COUNT(H132:M132)=0,"",IF(LEN(IF(COUNT(I132,J132)=2,IF(J132&gt;I132+1,"EBE &gt; VA ",""),"")&amp;IF(COUNT(H132,M132)=2,IF(ABS(M132)&gt;ABS(H132),"RN &gt; CA ",""),"")&amp;IF(COUNT(H132,K132)=2,IF(ABS(K132)&gt;ABS(H132),"RE &gt; CA ",""),""))=0,"OK",IF(COUNT(I132,J132)=2,IF(J132&gt;I132+1,"EBE &gt; VA ",""),"")&amp;IF(COUNT(H132,M132)=2,IF(ABS(M132)&gt;ABS(H132),"RN &gt; CA ",""),"")&amp;IF(COUNT(H132,K132)=2,IF(ABS(K132)&gt;ABS(H132),"RE &gt; CA ",""),"")))</f>
        <v/>
      </c>
    </row>
    <row r="133">
      <c r="A133" s="9" t="inlineStr">
        <is>
          <t>STBC</t>
        </is>
      </c>
      <c r="B133" s="10">
        <f>IF(A133="","",IFERROR(VLOOKUP(A133,Titres!$A$2:$B$400,2,FALSE),"Ticker inconnu"))</f>
        <v/>
      </c>
      <c r="C133" s="11" t="n">
        <v>2021</v>
      </c>
      <c r="D133" s="11" t="inlineStr">
        <is>
          <t>T3</t>
        </is>
      </c>
      <c r="E133" s="9" t="n"/>
      <c r="F133" s="12" t="n"/>
      <c r="G133" s="9" t="n"/>
      <c r="H133" s="13" t="n"/>
      <c r="I133" s="13" t="n"/>
      <c r="J133" s="13" t="n"/>
      <c r="K133" s="13" t="n"/>
      <c r="L133" s="13" t="n"/>
      <c r="M133" s="13" t="n"/>
      <c r="N133" s="14">
        <f>IF(A133="","",COUNT(H133:M133)/6)</f>
        <v/>
      </c>
      <c r="O133" s="15">
        <f>IF(COUNT(H133:M133)=0,"",IF(LEN(IF(COUNT(I133,J133)=2,IF(J133&gt;I133+1,"EBE &gt; VA ",""),"")&amp;IF(COUNT(H133,M133)=2,IF(ABS(M133)&gt;ABS(H133),"RN &gt; CA ",""),"")&amp;IF(COUNT(H133,K133)=2,IF(ABS(K133)&gt;ABS(H133),"RE &gt; CA ",""),""))=0,"OK",IF(COUNT(I133,J133)=2,IF(J133&gt;I133+1,"EBE &gt; VA ",""),"")&amp;IF(COUNT(H133,M133)=2,IF(ABS(M133)&gt;ABS(H133),"RN &gt; CA ",""),"")&amp;IF(COUNT(H133,K133)=2,IF(ABS(K133)&gt;ABS(H133),"RE &gt; CA ",""),"")))</f>
        <v/>
      </c>
    </row>
    <row r="134">
      <c r="A134" s="9" t="inlineStr">
        <is>
          <t>STBC</t>
        </is>
      </c>
      <c r="B134" s="10">
        <f>IF(A134="","",IFERROR(VLOOKUP(A134,Titres!$A$2:$B$400,2,FALSE),"Ticker inconnu"))</f>
        <v/>
      </c>
      <c r="C134" s="11" t="n">
        <v>2022</v>
      </c>
      <c r="D134" s="11" t="inlineStr">
        <is>
          <t>T1</t>
        </is>
      </c>
      <c r="E134" s="9" t="n"/>
      <c r="F134" s="12" t="n"/>
      <c r="G134" s="9" t="n"/>
      <c r="H134" s="13" t="n"/>
      <c r="I134" s="13" t="n"/>
      <c r="J134" s="13" t="n"/>
      <c r="K134" s="13" t="n"/>
      <c r="L134" s="13" t="n"/>
      <c r="M134" s="13" t="n"/>
      <c r="N134" s="14">
        <f>IF(A134="","",COUNT(H134:M134)/6)</f>
        <v/>
      </c>
      <c r="O134" s="15">
        <f>IF(COUNT(H134:M134)=0,"",IF(LEN(IF(COUNT(I134,J134)=2,IF(J134&gt;I134+1,"EBE &gt; VA ",""),"")&amp;IF(COUNT(H134,M134)=2,IF(ABS(M134)&gt;ABS(H134),"RN &gt; CA ",""),"")&amp;IF(COUNT(H134,K134)=2,IF(ABS(K134)&gt;ABS(H134),"RE &gt; CA ",""),""))=0,"OK",IF(COUNT(I134,J134)=2,IF(J134&gt;I134+1,"EBE &gt; VA ",""),"")&amp;IF(COUNT(H134,M134)=2,IF(ABS(M134)&gt;ABS(H134),"RN &gt; CA ",""),"")&amp;IF(COUNT(H134,K134)=2,IF(ABS(K134)&gt;ABS(H134),"RE &gt; CA ",""),"")))</f>
        <v/>
      </c>
    </row>
    <row r="135">
      <c r="A135" s="9" t="inlineStr">
        <is>
          <t>STBC</t>
        </is>
      </c>
      <c r="B135" s="10">
        <f>IF(A135="","",IFERROR(VLOOKUP(A135,Titres!$A$2:$B$400,2,FALSE),"Ticker inconnu"))</f>
        <v/>
      </c>
      <c r="C135" s="11" t="n">
        <v>2022</v>
      </c>
      <c r="D135" s="11" t="inlineStr">
        <is>
          <t>S1</t>
        </is>
      </c>
      <c r="E135" s="9" t="n"/>
      <c r="F135" s="12" t="n"/>
      <c r="G135" s="9" t="n"/>
      <c r="H135" s="13" t="n"/>
      <c r="I135" s="13" t="n"/>
      <c r="J135" s="13" t="n"/>
      <c r="K135" s="13" t="n"/>
      <c r="L135" s="13" t="n"/>
      <c r="M135" s="13" t="n"/>
      <c r="N135" s="14">
        <f>IF(A135="","",COUNT(H135:M135)/6)</f>
        <v/>
      </c>
      <c r="O135" s="15">
        <f>IF(COUNT(H135:M135)=0,"",IF(LEN(IF(COUNT(I135,J135)=2,IF(J135&gt;I135+1,"EBE &gt; VA ",""),"")&amp;IF(COUNT(H135,M135)=2,IF(ABS(M135)&gt;ABS(H135),"RN &gt; CA ",""),"")&amp;IF(COUNT(H135,K135)=2,IF(ABS(K135)&gt;ABS(H135),"RE &gt; CA ",""),""))=0,"OK",IF(COUNT(I135,J135)=2,IF(J135&gt;I135+1,"EBE &gt; VA ",""),"")&amp;IF(COUNT(H135,M135)=2,IF(ABS(M135)&gt;ABS(H135),"RN &gt; CA ",""),"")&amp;IF(COUNT(H135,K135)=2,IF(ABS(K135)&gt;ABS(H135),"RE &gt; CA ",""),"")))</f>
        <v/>
      </c>
    </row>
    <row r="136">
      <c r="A136" s="9" t="inlineStr">
        <is>
          <t>STBC</t>
        </is>
      </c>
      <c r="B136" s="10">
        <f>IF(A136="","",IFERROR(VLOOKUP(A136,Titres!$A$2:$B$400,2,FALSE),"Ticker inconnu"))</f>
        <v/>
      </c>
      <c r="C136" s="11" t="n">
        <v>2022</v>
      </c>
      <c r="D136" s="11" t="inlineStr">
        <is>
          <t>T3</t>
        </is>
      </c>
      <c r="E136" s="9" t="n"/>
      <c r="F136" s="12" t="n"/>
      <c r="G136" s="9" t="n"/>
      <c r="H136" s="13" t="n"/>
      <c r="I136" s="13" t="n"/>
      <c r="J136" s="13" t="n"/>
      <c r="K136" s="13" t="n"/>
      <c r="L136" s="13" t="n"/>
      <c r="M136" s="13" t="n"/>
      <c r="N136" s="14">
        <f>IF(A136="","",COUNT(H136:M136)/6)</f>
        <v/>
      </c>
      <c r="O136" s="15">
        <f>IF(COUNT(H136:M136)=0,"",IF(LEN(IF(COUNT(I136,J136)=2,IF(J136&gt;I136+1,"EBE &gt; VA ",""),"")&amp;IF(COUNT(H136,M136)=2,IF(ABS(M136)&gt;ABS(H136),"RN &gt; CA ",""),"")&amp;IF(COUNT(H136,K136)=2,IF(ABS(K136)&gt;ABS(H136),"RE &gt; CA ",""),""))=0,"OK",IF(COUNT(I136,J136)=2,IF(J136&gt;I136+1,"EBE &gt; VA ",""),"")&amp;IF(COUNT(H136,M136)=2,IF(ABS(M136)&gt;ABS(H136),"RN &gt; CA ",""),"")&amp;IF(COUNT(H136,K136)=2,IF(ABS(K136)&gt;ABS(H136),"RE &gt; CA ",""),"")))</f>
        <v/>
      </c>
    </row>
    <row r="137">
      <c r="A137" s="9" t="inlineStr">
        <is>
          <t>STBC</t>
        </is>
      </c>
      <c r="B137" s="10">
        <f>IF(A137="","",IFERROR(VLOOKUP(A137,Titres!$A$2:$B$400,2,FALSE),"Ticker inconnu"))</f>
        <v/>
      </c>
      <c r="C137" s="11" t="n">
        <v>2023</v>
      </c>
      <c r="D137" s="11" t="inlineStr">
        <is>
          <t>T1</t>
        </is>
      </c>
      <c r="E137" s="9" t="n"/>
      <c r="F137" s="12" t="n"/>
      <c r="G137" s="9" t="n"/>
      <c r="H137" s="13" t="n"/>
      <c r="I137" s="13" t="n"/>
      <c r="J137" s="13" t="n"/>
      <c r="K137" s="13" t="n"/>
      <c r="L137" s="13" t="n"/>
      <c r="M137" s="13" t="n"/>
      <c r="N137" s="14">
        <f>IF(A137="","",COUNT(H137:M137)/6)</f>
        <v/>
      </c>
      <c r="O137" s="15">
        <f>IF(COUNT(H137:M137)=0,"",IF(LEN(IF(COUNT(I137,J137)=2,IF(J137&gt;I137+1,"EBE &gt; VA ",""),"")&amp;IF(COUNT(H137,M137)=2,IF(ABS(M137)&gt;ABS(H137),"RN &gt; CA ",""),"")&amp;IF(COUNT(H137,K137)=2,IF(ABS(K137)&gt;ABS(H137),"RE &gt; CA ",""),""))=0,"OK",IF(COUNT(I137,J137)=2,IF(J137&gt;I137+1,"EBE &gt; VA ",""),"")&amp;IF(COUNT(H137,M137)=2,IF(ABS(M137)&gt;ABS(H137),"RN &gt; CA ",""),"")&amp;IF(COUNT(H137,K137)=2,IF(ABS(K137)&gt;ABS(H137),"RE &gt; CA ",""),"")))</f>
        <v/>
      </c>
    </row>
    <row r="138">
      <c r="A138" s="9" t="inlineStr">
        <is>
          <t>STBC</t>
        </is>
      </c>
      <c r="B138" s="10">
        <f>IF(A138="","",IFERROR(VLOOKUP(A138,Titres!$A$2:$B$400,2,FALSE),"Ticker inconnu"))</f>
        <v/>
      </c>
      <c r="C138" s="11" t="n">
        <v>2023</v>
      </c>
      <c r="D138" s="11" t="inlineStr">
        <is>
          <t>S1</t>
        </is>
      </c>
      <c r="E138" s="9" t="n"/>
      <c r="F138" s="12" t="n"/>
      <c r="G138" s="9" t="n"/>
      <c r="H138" s="13" t="n"/>
      <c r="I138" s="13" t="n"/>
      <c r="J138" s="13" t="n"/>
      <c r="K138" s="13" t="n"/>
      <c r="L138" s="13" t="n"/>
      <c r="M138" s="13" t="n"/>
      <c r="N138" s="14">
        <f>IF(A138="","",COUNT(H138:M138)/6)</f>
        <v/>
      </c>
      <c r="O138" s="15">
        <f>IF(COUNT(H138:M138)=0,"",IF(LEN(IF(COUNT(I138,J138)=2,IF(J138&gt;I138+1,"EBE &gt; VA ",""),"")&amp;IF(COUNT(H138,M138)=2,IF(ABS(M138)&gt;ABS(H138),"RN &gt; CA ",""),"")&amp;IF(COUNT(H138,K138)=2,IF(ABS(K138)&gt;ABS(H138),"RE &gt; CA ",""),""))=0,"OK",IF(COUNT(I138,J138)=2,IF(J138&gt;I138+1,"EBE &gt; VA ",""),"")&amp;IF(COUNT(H138,M138)=2,IF(ABS(M138)&gt;ABS(H138),"RN &gt; CA ",""),"")&amp;IF(COUNT(H138,K138)=2,IF(ABS(K138)&gt;ABS(H138),"RE &gt; CA ",""),"")))</f>
        <v/>
      </c>
    </row>
    <row r="139">
      <c r="A139" s="9" t="inlineStr">
        <is>
          <t>STBC</t>
        </is>
      </c>
      <c r="B139" s="10">
        <f>IF(A139="","",IFERROR(VLOOKUP(A139,Titres!$A$2:$B$400,2,FALSE),"Ticker inconnu"))</f>
        <v/>
      </c>
      <c r="C139" s="11" t="n">
        <v>2023</v>
      </c>
      <c r="D139" s="11" t="inlineStr">
        <is>
          <t>T3</t>
        </is>
      </c>
      <c r="E139" s="9" t="n"/>
      <c r="F139" s="12" t="n"/>
      <c r="G139" s="9" t="n"/>
      <c r="H139" s="13" t="n"/>
      <c r="I139" s="13" t="n"/>
      <c r="J139" s="13" t="n"/>
      <c r="K139" s="13" t="n"/>
      <c r="L139" s="13" t="n"/>
      <c r="M139" s="13" t="n"/>
      <c r="N139" s="14">
        <f>IF(A139="","",COUNT(H139:M139)/6)</f>
        <v/>
      </c>
      <c r="O139" s="15">
        <f>IF(COUNT(H139:M139)=0,"",IF(LEN(IF(COUNT(I139,J139)=2,IF(J139&gt;I139+1,"EBE &gt; VA ",""),"")&amp;IF(COUNT(H139,M139)=2,IF(ABS(M139)&gt;ABS(H139),"RN &gt; CA ",""),"")&amp;IF(COUNT(H139,K139)=2,IF(ABS(K139)&gt;ABS(H139),"RE &gt; CA ",""),""))=0,"OK",IF(COUNT(I139,J139)=2,IF(J139&gt;I139+1,"EBE &gt; VA ",""),"")&amp;IF(COUNT(H139,M139)=2,IF(ABS(M139)&gt;ABS(H139),"RN &gt; CA ",""),"")&amp;IF(COUNT(H139,K139)=2,IF(ABS(K139)&gt;ABS(H139),"RE &gt; CA ",""),"")))</f>
        <v/>
      </c>
    </row>
    <row r="140">
      <c r="A140" s="9" t="inlineStr">
        <is>
          <t>STBC</t>
        </is>
      </c>
      <c r="B140" s="10">
        <f>IF(A140="","",IFERROR(VLOOKUP(A140,Titres!$A$2:$B$400,2,FALSE),"Ticker inconnu"))</f>
        <v/>
      </c>
      <c r="C140" s="11" t="n">
        <v>2024</v>
      </c>
      <c r="D140" s="11" t="inlineStr">
        <is>
          <t>T1</t>
        </is>
      </c>
      <c r="E140" s="9" t="n"/>
      <c r="F140" s="12" t="n"/>
      <c r="G140" s="9" t="n"/>
      <c r="H140" s="13" t="n"/>
      <c r="I140" s="13" t="n"/>
      <c r="J140" s="13" t="n"/>
      <c r="K140" s="13" t="n"/>
      <c r="L140" s="13" t="n"/>
      <c r="M140" s="13" t="n"/>
      <c r="N140" s="14">
        <f>IF(A140="","",COUNT(H140:M140)/6)</f>
        <v/>
      </c>
      <c r="O140" s="15">
        <f>IF(COUNT(H140:M140)=0,"",IF(LEN(IF(COUNT(I140,J140)=2,IF(J140&gt;I140+1,"EBE &gt; VA ",""),"")&amp;IF(COUNT(H140,M140)=2,IF(ABS(M140)&gt;ABS(H140),"RN &gt; CA ",""),"")&amp;IF(COUNT(H140,K140)=2,IF(ABS(K140)&gt;ABS(H140),"RE &gt; CA ",""),""))=0,"OK",IF(COUNT(I140,J140)=2,IF(J140&gt;I140+1,"EBE &gt; VA ",""),"")&amp;IF(COUNT(H140,M140)=2,IF(ABS(M140)&gt;ABS(H140),"RN &gt; CA ",""),"")&amp;IF(COUNT(H140,K140)=2,IF(ABS(K140)&gt;ABS(H140),"RE &gt; CA ",""),"")))</f>
        <v/>
      </c>
    </row>
    <row r="141">
      <c r="A141" s="9" t="inlineStr">
        <is>
          <t>STBC</t>
        </is>
      </c>
      <c r="B141" s="10">
        <f>IF(A141="","",IFERROR(VLOOKUP(A141,Titres!$A$2:$B$400,2,FALSE),"Ticker inconnu"))</f>
        <v/>
      </c>
      <c r="C141" s="11" t="n">
        <v>2024</v>
      </c>
      <c r="D141" s="11" t="inlineStr">
        <is>
          <t>S1</t>
        </is>
      </c>
      <c r="E141" s="9" t="n"/>
      <c r="F141" s="12" t="n"/>
      <c r="G141" s="9" t="n"/>
      <c r="H141" s="13" t="n"/>
      <c r="I141" s="13" t="n"/>
      <c r="J141" s="13" t="n"/>
      <c r="K141" s="13" t="n"/>
      <c r="L141" s="13" t="n"/>
      <c r="M141" s="13" t="n"/>
      <c r="N141" s="14">
        <f>IF(A141="","",COUNT(H141:M141)/6)</f>
        <v/>
      </c>
      <c r="O141" s="15">
        <f>IF(COUNT(H141:M141)=0,"",IF(LEN(IF(COUNT(I141,J141)=2,IF(J141&gt;I141+1,"EBE &gt; VA ",""),"")&amp;IF(COUNT(H141,M141)=2,IF(ABS(M141)&gt;ABS(H141),"RN &gt; CA ",""),"")&amp;IF(COUNT(H141,K141)=2,IF(ABS(K141)&gt;ABS(H141),"RE &gt; CA ",""),""))=0,"OK",IF(COUNT(I141,J141)=2,IF(J141&gt;I141+1,"EBE &gt; VA ",""),"")&amp;IF(COUNT(H141,M141)=2,IF(ABS(M141)&gt;ABS(H141),"RN &gt; CA ",""),"")&amp;IF(COUNT(H141,K141)=2,IF(ABS(K141)&gt;ABS(H141),"RE &gt; CA ",""),"")))</f>
        <v/>
      </c>
    </row>
    <row r="142">
      <c r="A142" s="9" t="inlineStr">
        <is>
          <t>STBC</t>
        </is>
      </c>
      <c r="B142" s="10">
        <f>IF(A142="","",IFERROR(VLOOKUP(A142,Titres!$A$2:$B$400,2,FALSE),"Ticker inconnu"))</f>
        <v/>
      </c>
      <c r="C142" s="11" t="n">
        <v>2024</v>
      </c>
      <c r="D142" s="11" t="inlineStr">
        <is>
          <t>T3</t>
        </is>
      </c>
      <c r="E142" s="9" t="n"/>
      <c r="F142" s="12" t="n"/>
      <c r="G142" s="9" t="n"/>
      <c r="H142" s="13" t="n"/>
      <c r="I142" s="13" t="n"/>
      <c r="J142" s="13" t="n"/>
      <c r="K142" s="13" t="n"/>
      <c r="L142" s="13" t="n"/>
      <c r="M142" s="13" t="n"/>
      <c r="N142" s="14">
        <f>IF(A142="","",COUNT(H142:M142)/6)</f>
        <v/>
      </c>
      <c r="O142" s="15">
        <f>IF(COUNT(H142:M142)=0,"",IF(LEN(IF(COUNT(I142,J142)=2,IF(J142&gt;I142+1,"EBE &gt; VA ",""),"")&amp;IF(COUNT(H142,M142)=2,IF(ABS(M142)&gt;ABS(H142),"RN &gt; CA ",""),"")&amp;IF(COUNT(H142,K142)=2,IF(ABS(K142)&gt;ABS(H142),"RE &gt; CA ",""),""))=0,"OK",IF(COUNT(I142,J142)=2,IF(J142&gt;I142+1,"EBE &gt; VA ",""),"")&amp;IF(COUNT(H142,M142)=2,IF(ABS(M142)&gt;ABS(H142),"RN &gt; CA ",""),"")&amp;IF(COUNT(H142,K142)=2,IF(ABS(K142)&gt;ABS(H142),"RE &gt; CA ",""),"")))</f>
        <v/>
      </c>
    </row>
    <row r="143">
      <c r="A143" s="9" t="inlineStr">
        <is>
          <t>STBC</t>
        </is>
      </c>
      <c r="B143" s="10">
        <f>IF(A143="","",IFERROR(VLOOKUP(A143,Titres!$A$2:$B$400,2,FALSE),"Ticker inconnu"))</f>
        <v/>
      </c>
      <c r="C143" s="11" t="n">
        <v>2025</v>
      </c>
      <c r="D143" s="11" t="inlineStr">
        <is>
          <t>T1</t>
        </is>
      </c>
      <c r="E143" s="9" t="n"/>
      <c r="F143" s="12" t="n"/>
      <c r="G143" s="9" t="n"/>
      <c r="H143" s="13" t="n"/>
      <c r="I143" s="13" t="n"/>
      <c r="J143" s="13" t="n"/>
      <c r="K143" s="13" t="n"/>
      <c r="L143" s="13" t="n"/>
      <c r="M143" s="13" t="n"/>
      <c r="N143" s="14">
        <f>IF(A143="","",COUNT(H143:M143)/6)</f>
        <v/>
      </c>
      <c r="O143" s="15">
        <f>IF(COUNT(H143:M143)=0,"",IF(LEN(IF(COUNT(I143,J143)=2,IF(J143&gt;I143+1,"EBE &gt; VA ",""),"")&amp;IF(COUNT(H143,M143)=2,IF(ABS(M143)&gt;ABS(H143),"RN &gt; CA ",""),"")&amp;IF(COUNT(H143,K143)=2,IF(ABS(K143)&gt;ABS(H143),"RE &gt; CA ",""),""))=0,"OK",IF(COUNT(I143,J143)=2,IF(J143&gt;I143+1,"EBE &gt; VA ",""),"")&amp;IF(COUNT(H143,M143)=2,IF(ABS(M143)&gt;ABS(H143),"RN &gt; CA ",""),"")&amp;IF(COUNT(H143,K143)=2,IF(ABS(K143)&gt;ABS(H143),"RE &gt; CA ",""),"")))</f>
        <v/>
      </c>
    </row>
    <row r="144">
      <c r="A144" s="9" t="inlineStr">
        <is>
          <t>STBC</t>
        </is>
      </c>
      <c r="B144" s="10">
        <f>IF(A144="","",IFERROR(VLOOKUP(A144,Titres!$A$2:$B$400,2,FALSE),"Ticker inconnu"))</f>
        <v/>
      </c>
      <c r="C144" s="11" t="n">
        <v>2025</v>
      </c>
      <c r="D144" s="11" t="inlineStr">
        <is>
          <t>S1</t>
        </is>
      </c>
      <c r="E144" s="9" t="n"/>
      <c r="F144" s="12" t="n"/>
      <c r="G144" s="9" t="n"/>
      <c r="H144" s="13" t="n"/>
      <c r="I144" s="13" t="n"/>
      <c r="J144" s="13" t="n"/>
      <c r="K144" s="13" t="n"/>
      <c r="L144" s="13" t="n"/>
      <c r="M144" s="13" t="n"/>
      <c r="N144" s="14">
        <f>IF(A144="","",COUNT(H144:M144)/6)</f>
        <v/>
      </c>
      <c r="O144" s="15">
        <f>IF(COUNT(H144:M144)=0,"",IF(LEN(IF(COUNT(I144,J144)=2,IF(J144&gt;I144+1,"EBE &gt; VA ",""),"")&amp;IF(COUNT(H144,M144)=2,IF(ABS(M144)&gt;ABS(H144),"RN &gt; CA ",""),"")&amp;IF(COUNT(H144,K144)=2,IF(ABS(K144)&gt;ABS(H144),"RE &gt; CA ",""),""))=0,"OK",IF(COUNT(I144,J144)=2,IF(J144&gt;I144+1,"EBE &gt; VA ",""),"")&amp;IF(COUNT(H144,M144)=2,IF(ABS(M144)&gt;ABS(H144),"RN &gt; CA ",""),"")&amp;IF(COUNT(H144,K144)=2,IF(ABS(K144)&gt;ABS(H144),"RE &gt; CA ",""),"")))</f>
        <v/>
      </c>
    </row>
    <row r="145">
      <c r="A145" s="9" t="inlineStr">
        <is>
          <t>STBC</t>
        </is>
      </c>
      <c r="B145" s="10">
        <f>IF(A145="","",IFERROR(VLOOKUP(A145,Titres!$A$2:$B$400,2,FALSE),"Ticker inconnu"))</f>
        <v/>
      </c>
      <c r="C145" s="11" t="n">
        <v>2025</v>
      </c>
      <c r="D145" s="11" t="inlineStr">
        <is>
          <t>T3</t>
        </is>
      </c>
      <c r="E145" s="9" t="n"/>
      <c r="F145" s="12" t="n"/>
      <c r="G145" s="9" t="n"/>
      <c r="H145" s="13" t="n"/>
      <c r="I145" s="13" t="n"/>
      <c r="J145" s="13" t="n"/>
      <c r="K145" s="13" t="n"/>
      <c r="L145" s="13" t="n"/>
      <c r="M145" s="13" t="n"/>
      <c r="N145" s="14">
        <f>IF(A145="","",COUNT(H145:M145)/6)</f>
        <v/>
      </c>
      <c r="O145" s="15">
        <f>IF(COUNT(H145:M145)=0,"",IF(LEN(IF(COUNT(I145,J145)=2,IF(J145&gt;I145+1,"EBE &gt; VA ",""),"")&amp;IF(COUNT(H145,M145)=2,IF(ABS(M145)&gt;ABS(H145),"RN &gt; CA ",""),"")&amp;IF(COUNT(H145,K145)=2,IF(ABS(K145)&gt;ABS(H145),"RE &gt; CA ",""),""))=0,"OK",IF(COUNT(I145,J145)=2,IF(J145&gt;I145+1,"EBE &gt; VA ",""),"")&amp;IF(COUNT(H145,M145)=2,IF(ABS(M145)&gt;ABS(H145),"RN &gt; CA ",""),"")&amp;IF(COUNT(H145,K145)=2,IF(ABS(K145)&gt;ABS(H145),"RE &gt; CA ",""),"")))</f>
        <v/>
      </c>
    </row>
    <row r="146">
      <c r="A146" s="9" t="inlineStr">
        <is>
          <t>STBC</t>
        </is>
      </c>
      <c r="B146" s="10">
        <f>IF(A146="","",IFERROR(VLOOKUP(A146,Titres!$A$2:$B$400,2,FALSE),"Ticker inconnu"))</f>
        <v/>
      </c>
      <c r="C146" s="11" t="n">
        <v>2026</v>
      </c>
      <c r="D146" s="11" t="inlineStr">
        <is>
          <t>T1</t>
        </is>
      </c>
      <c r="E146" s="9" t="n"/>
      <c r="F146" s="12" t="n"/>
      <c r="G146" s="9" t="n"/>
      <c r="H146" s="13" t="n"/>
      <c r="I146" s="13" t="n"/>
      <c r="J146" s="13" t="n"/>
      <c r="K146" s="13" t="n"/>
      <c r="L146" s="13" t="n"/>
      <c r="M146" s="13" t="n"/>
      <c r="N146" s="14">
        <f>IF(A146="","",COUNT(H146:M146)/6)</f>
        <v/>
      </c>
      <c r="O146" s="15">
        <f>IF(COUNT(H146:M146)=0,"",IF(LEN(IF(COUNT(I146,J146)=2,IF(J146&gt;I146+1,"EBE &gt; VA ",""),"")&amp;IF(COUNT(H146,M146)=2,IF(ABS(M146)&gt;ABS(H146),"RN &gt; CA ",""),"")&amp;IF(COUNT(H146,K146)=2,IF(ABS(K146)&gt;ABS(H146),"RE &gt; CA ",""),""))=0,"OK",IF(COUNT(I146,J146)=2,IF(J146&gt;I146+1,"EBE &gt; VA ",""),"")&amp;IF(COUNT(H146,M146)=2,IF(ABS(M146)&gt;ABS(H146),"RN &gt; CA ",""),"")&amp;IF(COUNT(H146,K146)=2,IF(ABS(K146)&gt;ABS(H146),"RE &gt; CA ",""),"")))</f>
        <v/>
      </c>
    </row>
    <row r="147">
      <c r="A147" s="9" t="inlineStr">
        <is>
          <t>STBC</t>
        </is>
      </c>
      <c r="B147" s="10">
        <f>IF(A147="","",IFERROR(VLOOKUP(A147,Titres!$A$2:$B$400,2,FALSE),"Ticker inconnu"))</f>
        <v/>
      </c>
      <c r="C147" s="11" t="n">
        <v>2026</v>
      </c>
      <c r="D147" s="11" t="inlineStr">
        <is>
          <t>S1</t>
        </is>
      </c>
      <c r="E147" s="9" t="n"/>
      <c r="F147" s="12" t="n"/>
      <c r="G147" s="9" t="n"/>
      <c r="H147" s="13" t="n"/>
      <c r="I147" s="13" t="n"/>
      <c r="J147" s="13" t="n"/>
      <c r="K147" s="13" t="n"/>
      <c r="L147" s="13" t="n"/>
      <c r="M147" s="13" t="n"/>
      <c r="N147" s="14">
        <f>IF(A147="","",COUNT(H147:M147)/6)</f>
        <v/>
      </c>
      <c r="O147" s="15">
        <f>IF(COUNT(H147:M147)=0,"",IF(LEN(IF(COUNT(I147,J147)=2,IF(J147&gt;I147+1,"EBE &gt; VA ",""),"")&amp;IF(COUNT(H147,M147)=2,IF(ABS(M147)&gt;ABS(H147),"RN &gt; CA ",""),"")&amp;IF(COUNT(H147,K147)=2,IF(ABS(K147)&gt;ABS(H147),"RE &gt; CA ",""),""))=0,"OK",IF(COUNT(I147,J147)=2,IF(J147&gt;I147+1,"EBE &gt; VA ",""),"")&amp;IF(COUNT(H147,M147)=2,IF(ABS(M147)&gt;ABS(H147),"RN &gt; CA ",""),"")&amp;IF(COUNT(H147,K147)=2,IF(ABS(K147)&gt;ABS(H147),"RE &gt; CA ",""),"")))</f>
        <v/>
      </c>
    </row>
    <row r="148">
      <c r="A148" s="9" t="inlineStr">
        <is>
          <t>STBC</t>
        </is>
      </c>
      <c r="B148" s="10">
        <f>IF(A148="","",IFERROR(VLOOKUP(A148,Titres!$A$2:$B$400,2,FALSE),"Ticker inconnu"))</f>
        <v/>
      </c>
      <c r="C148" s="11" t="n">
        <v>2026</v>
      </c>
      <c r="D148" s="11" t="inlineStr">
        <is>
          <t>T3</t>
        </is>
      </c>
      <c r="E148" s="9" t="n"/>
      <c r="F148" s="12" t="n"/>
      <c r="G148" s="9" t="n"/>
      <c r="H148" s="13" t="n"/>
      <c r="I148" s="13" t="n"/>
      <c r="J148" s="13" t="n"/>
      <c r="K148" s="13" t="n"/>
      <c r="L148" s="13" t="n"/>
      <c r="M148" s="13" t="n"/>
      <c r="N148" s="14">
        <f>IF(A148="","",COUNT(H148:M148)/6)</f>
        <v/>
      </c>
      <c r="O148" s="15">
        <f>IF(COUNT(H148:M148)=0,"",IF(LEN(IF(COUNT(I148,J148)=2,IF(J148&gt;I148+1,"EBE &gt; VA ",""),"")&amp;IF(COUNT(H148,M148)=2,IF(ABS(M148)&gt;ABS(H148),"RN &gt; CA ",""),"")&amp;IF(COUNT(H148,K148)=2,IF(ABS(K148)&gt;ABS(H148),"RE &gt; CA ",""),""))=0,"OK",IF(COUNT(I148,J148)=2,IF(J148&gt;I148+1,"EBE &gt; VA ",""),"")&amp;IF(COUNT(H148,M148)=2,IF(ABS(M148)&gt;ABS(H148),"RN &gt; CA ",""),"")&amp;IF(COUNT(H148,K148)=2,IF(ABS(K148)&gt;ABS(H148),"RE &gt; CA ",""),"")))</f>
        <v/>
      </c>
    </row>
    <row r="149">
      <c r="A149" s="9" t="inlineStr">
        <is>
          <t>UNLC</t>
        </is>
      </c>
      <c r="B149" s="10">
        <f>IF(A149="","",IFERROR(VLOOKUP(A149,Titres!$A$2:$B$400,2,FALSE),"Ticker inconnu"))</f>
        <v/>
      </c>
      <c r="C149" s="11" t="n">
        <v>2021</v>
      </c>
      <c r="D149" s="11" t="inlineStr">
        <is>
          <t>T1</t>
        </is>
      </c>
      <c r="E149" s="9" t="n"/>
      <c r="F149" s="12" t="n"/>
      <c r="G149" s="9" t="n"/>
      <c r="H149" s="13" t="n"/>
      <c r="I149" s="13" t="n"/>
      <c r="J149" s="13" t="n"/>
      <c r="K149" s="13" t="n"/>
      <c r="L149" s="13" t="n"/>
      <c r="M149" s="13" t="n"/>
      <c r="N149" s="14">
        <f>IF(A149="","",COUNT(H149:M149)/6)</f>
        <v/>
      </c>
      <c r="O149" s="15">
        <f>IF(COUNT(H149:M149)=0,"",IF(LEN(IF(COUNT(I149,J149)=2,IF(J149&gt;I149+1,"EBE &gt; VA ",""),"")&amp;IF(COUNT(H149,M149)=2,IF(ABS(M149)&gt;ABS(H149),"RN &gt; CA ",""),"")&amp;IF(COUNT(H149,K149)=2,IF(ABS(K149)&gt;ABS(H149),"RE &gt; CA ",""),""))=0,"OK",IF(COUNT(I149,J149)=2,IF(J149&gt;I149+1,"EBE &gt; VA ",""),"")&amp;IF(COUNT(H149,M149)=2,IF(ABS(M149)&gt;ABS(H149),"RN &gt; CA ",""),"")&amp;IF(COUNT(H149,K149)=2,IF(ABS(K149)&gt;ABS(H149),"RE &gt; CA ",""),"")))</f>
        <v/>
      </c>
    </row>
    <row r="150">
      <c r="A150" s="9" t="inlineStr">
        <is>
          <t>UNLC</t>
        </is>
      </c>
      <c r="B150" s="10">
        <f>IF(A150="","",IFERROR(VLOOKUP(A150,Titres!$A$2:$B$400,2,FALSE),"Ticker inconnu"))</f>
        <v/>
      </c>
      <c r="C150" s="11" t="n">
        <v>2021</v>
      </c>
      <c r="D150" s="11" t="inlineStr">
        <is>
          <t>S1</t>
        </is>
      </c>
      <c r="E150" s="9" t="n"/>
      <c r="F150" s="12" t="n"/>
      <c r="G150" s="9" t="n"/>
      <c r="H150" s="13" t="n"/>
      <c r="I150" s="13" t="n"/>
      <c r="J150" s="13" t="n"/>
      <c r="K150" s="13" t="n"/>
      <c r="L150" s="13" t="n"/>
      <c r="M150" s="13" t="n"/>
      <c r="N150" s="14">
        <f>IF(A150="","",COUNT(H150:M150)/6)</f>
        <v/>
      </c>
      <c r="O150" s="15">
        <f>IF(COUNT(H150:M150)=0,"",IF(LEN(IF(COUNT(I150,J150)=2,IF(J150&gt;I150+1,"EBE &gt; VA ",""),"")&amp;IF(COUNT(H150,M150)=2,IF(ABS(M150)&gt;ABS(H150),"RN &gt; CA ",""),"")&amp;IF(COUNT(H150,K150)=2,IF(ABS(K150)&gt;ABS(H150),"RE &gt; CA ",""),""))=0,"OK",IF(COUNT(I150,J150)=2,IF(J150&gt;I150+1,"EBE &gt; VA ",""),"")&amp;IF(COUNT(H150,M150)=2,IF(ABS(M150)&gt;ABS(H150),"RN &gt; CA ",""),"")&amp;IF(COUNT(H150,K150)=2,IF(ABS(K150)&gt;ABS(H150),"RE &gt; CA ",""),"")))</f>
        <v/>
      </c>
    </row>
    <row r="151">
      <c r="A151" s="9" t="inlineStr">
        <is>
          <t>UNLC</t>
        </is>
      </c>
      <c r="B151" s="10">
        <f>IF(A151="","",IFERROR(VLOOKUP(A151,Titres!$A$2:$B$400,2,FALSE),"Ticker inconnu"))</f>
        <v/>
      </c>
      <c r="C151" s="11" t="n">
        <v>2021</v>
      </c>
      <c r="D151" s="11" t="inlineStr">
        <is>
          <t>T3</t>
        </is>
      </c>
      <c r="E151" s="9" t="n"/>
      <c r="F151" s="12" t="n"/>
      <c r="G151" s="9" t="n"/>
      <c r="H151" s="13" t="n"/>
      <c r="I151" s="13" t="n"/>
      <c r="J151" s="13" t="n"/>
      <c r="K151" s="13" t="n"/>
      <c r="L151" s="13" t="n"/>
      <c r="M151" s="13" t="n"/>
      <c r="N151" s="14">
        <f>IF(A151="","",COUNT(H151:M151)/6)</f>
        <v/>
      </c>
      <c r="O151" s="15">
        <f>IF(COUNT(H151:M151)=0,"",IF(LEN(IF(COUNT(I151,J151)=2,IF(J151&gt;I151+1,"EBE &gt; VA ",""),"")&amp;IF(COUNT(H151,M151)=2,IF(ABS(M151)&gt;ABS(H151),"RN &gt; CA ",""),"")&amp;IF(COUNT(H151,K151)=2,IF(ABS(K151)&gt;ABS(H151),"RE &gt; CA ",""),""))=0,"OK",IF(COUNT(I151,J151)=2,IF(J151&gt;I151+1,"EBE &gt; VA ",""),"")&amp;IF(COUNT(H151,M151)=2,IF(ABS(M151)&gt;ABS(H151),"RN &gt; CA ",""),"")&amp;IF(COUNT(H151,K151)=2,IF(ABS(K151)&gt;ABS(H151),"RE &gt; CA ",""),"")))</f>
        <v/>
      </c>
    </row>
    <row r="152">
      <c r="A152" s="9" t="inlineStr">
        <is>
          <t>UNLC</t>
        </is>
      </c>
      <c r="B152" s="10">
        <f>IF(A152="","",IFERROR(VLOOKUP(A152,Titres!$A$2:$B$400,2,FALSE),"Ticker inconnu"))</f>
        <v/>
      </c>
      <c r="C152" s="11" t="n">
        <v>2022</v>
      </c>
      <c r="D152" s="11" t="inlineStr">
        <is>
          <t>T1</t>
        </is>
      </c>
      <c r="E152" s="9" t="n"/>
      <c r="F152" s="12" t="n"/>
      <c r="G152" s="9" t="n"/>
      <c r="H152" s="13" t="n"/>
      <c r="I152" s="13" t="n"/>
      <c r="J152" s="13" t="n"/>
      <c r="K152" s="13" t="n"/>
      <c r="L152" s="13" t="n"/>
      <c r="M152" s="13" t="n"/>
      <c r="N152" s="14">
        <f>IF(A152="","",COUNT(H152:M152)/6)</f>
        <v/>
      </c>
      <c r="O152" s="15">
        <f>IF(COUNT(H152:M152)=0,"",IF(LEN(IF(COUNT(I152,J152)=2,IF(J152&gt;I152+1,"EBE &gt; VA ",""),"")&amp;IF(COUNT(H152,M152)=2,IF(ABS(M152)&gt;ABS(H152),"RN &gt; CA ",""),"")&amp;IF(COUNT(H152,K152)=2,IF(ABS(K152)&gt;ABS(H152),"RE &gt; CA ",""),""))=0,"OK",IF(COUNT(I152,J152)=2,IF(J152&gt;I152+1,"EBE &gt; VA ",""),"")&amp;IF(COUNT(H152,M152)=2,IF(ABS(M152)&gt;ABS(H152),"RN &gt; CA ",""),"")&amp;IF(COUNT(H152,K152)=2,IF(ABS(K152)&gt;ABS(H152),"RE &gt; CA ",""),"")))</f>
        <v/>
      </c>
    </row>
    <row r="153">
      <c r="A153" s="9" t="inlineStr">
        <is>
          <t>UNLC</t>
        </is>
      </c>
      <c r="B153" s="10">
        <f>IF(A153="","",IFERROR(VLOOKUP(A153,Titres!$A$2:$B$400,2,FALSE),"Ticker inconnu"))</f>
        <v/>
      </c>
      <c r="C153" s="11" t="n">
        <v>2022</v>
      </c>
      <c r="D153" s="11" t="inlineStr">
        <is>
          <t>S1</t>
        </is>
      </c>
      <c r="E153" s="9" t="n"/>
      <c r="F153" s="12" t="n"/>
      <c r="G153" s="9" t="n"/>
      <c r="H153" s="13" t="n"/>
      <c r="I153" s="13" t="n"/>
      <c r="J153" s="13" t="n"/>
      <c r="K153" s="13" t="n"/>
      <c r="L153" s="13" t="n"/>
      <c r="M153" s="13" t="n"/>
      <c r="N153" s="14">
        <f>IF(A153="","",COUNT(H153:M153)/6)</f>
        <v/>
      </c>
      <c r="O153" s="15">
        <f>IF(COUNT(H153:M153)=0,"",IF(LEN(IF(COUNT(I153,J153)=2,IF(J153&gt;I153+1,"EBE &gt; VA ",""),"")&amp;IF(COUNT(H153,M153)=2,IF(ABS(M153)&gt;ABS(H153),"RN &gt; CA ",""),"")&amp;IF(COUNT(H153,K153)=2,IF(ABS(K153)&gt;ABS(H153),"RE &gt; CA ",""),""))=0,"OK",IF(COUNT(I153,J153)=2,IF(J153&gt;I153+1,"EBE &gt; VA ",""),"")&amp;IF(COUNT(H153,M153)=2,IF(ABS(M153)&gt;ABS(H153),"RN &gt; CA ",""),"")&amp;IF(COUNT(H153,K153)=2,IF(ABS(K153)&gt;ABS(H153),"RE &gt; CA ",""),"")))</f>
        <v/>
      </c>
    </row>
    <row r="154">
      <c r="A154" s="9" t="inlineStr">
        <is>
          <t>UNLC</t>
        </is>
      </c>
      <c r="B154" s="10">
        <f>IF(A154="","",IFERROR(VLOOKUP(A154,Titres!$A$2:$B$400,2,FALSE),"Ticker inconnu"))</f>
        <v/>
      </c>
      <c r="C154" s="11" t="n">
        <v>2022</v>
      </c>
      <c r="D154" s="11" t="inlineStr">
        <is>
          <t>T3</t>
        </is>
      </c>
      <c r="E154" s="9" t="n"/>
      <c r="F154" s="12" t="n"/>
      <c r="G154" s="9" t="n"/>
      <c r="H154" s="13" t="n"/>
      <c r="I154" s="13" t="n"/>
      <c r="J154" s="13" t="n"/>
      <c r="K154" s="13" t="n"/>
      <c r="L154" s="13" t="n"/>
      <c r="M154" s="13" t="n"/>
      <c r="N154" s="14">
        <f>IF(A154="","",COUNT(H154:M154)/6)</f>
        <v/>
      </c>
      <c r="O154" s="15">
        <f>IF(COUNT(H154:M154)=0,"",IF(LEN(IF(COUNT(I154,J154)=2,IF(J154&gt;I154+1,"EBE &gt; VA ",""),"")&amp;IF(COUNT(H154,M154)=2,IF(ABS(M154)&gt;ABS(H154),"RN &gt; CA ",""),"")&amp;IF(COUNT(H154,K154)=2,IF(ABS(K154)&gt;ABS(H154),"RE &gt; CA ",""),""))=0,"OK",IF(COUNT(I154,J154)=2,IF(J154&gt;I154+1,"EBE &gt; VA ",""),"")&amp;IF(COUNT(H154,M154)=2,IF(ABS(M154)&gt;ABS(H154),"RN &gt; CA ",""),"")&amp;IF(COUNT(H154,K154)=2,IF(ABS(K154)&gt;ABS(H154),"RE &gt; CA ",""),"")))</f>
        <v/>
      </c>
    </row>
    <row r="155">
      <c r="A155" s="9" t="inlineStr">
        <is>
          <t>UNLC</t>
        </is>
      </c>
      <c r="B155" s="10">
        <f>IF(A155="","",IFERROR(VLOOKUP(A155,Titres!$A$2:$B$400,2,FALSE),"Ticker inconnu"))</f>
        <v/>
      </c>
      <c r="C155" s="11" t="n">
        <v>2023</v>
      </c>
      <c r="D155" s="11" t="inlineStr">
        <is>
          <t>T1</t>
        </is>
      </c>
      <c r="E155" s="9" t="n"/>
      <c r="F155" s="12" t="n"/>
      <c r="G155" s="9" t="n"/>
      <c r="H155" s="13" t="n"/>
      <c r="I155" s="13" t="n"/>
      <c r="J155" s="13" t="n"/>
      <c r="K155" s="13" t="n"/>
      <c r="L155" s="13" t="n"/>
      <c r="M155" s="13" t="n"/>
      <c r="N155" s="14">
        <f>IF(A155="","",COUNT(H155:M155)/6)</f>
        <v/>
      </c>
      <c r="O155" s="15">
        <f>IF(COUNT(H155:M155)=0,"",IF(LEN(IF(COUNT(I155,J155)=2,IF(J155&gt;I155+1,"EBE &gt; VA ",""),"")&amp;IF(COUNT(H155,M155)=2,IF(ABS(M155)&gt;ABS(H155),"RN &gt; CA ",""),"")&amp;IF(COUNT(H155,K155)=2,IF(ABS(K155)&gt;ABS(H155),"RE &gt; CA ",""),""))=0,"OK",IF(COUNT(I155,J155)=2,IF(J155&gt;I155+1,"EBE &gt; VA ",""),"")&amp;IF(COUNT(H155,M155)=2,IF(ABS(M155)&gt;ABS(H155),"RN &gt; CA ",""),"")&amp;IF(COUNT(H155,K155)=2,IF(ABS(K155)&gt;ABS(H155),"RE &gt; CA ",""),"")))</f>
        <v/>
      </c>
    </row>
    <row r="156">
      <c r="A156" s="9" t="inlineStr">
        <is>
          <t>UNLC</t>
        </is>
      </c>
      <c r="B156" s="10">
        <f>IF(A156="","",IFERROR(VLOOKUP(A156,Titres!$A$2:$B$400,2,FALSE),"Ticker inconnu"))</f>
        <v/>
      </c>
      <c r="C156" s="11" t="n">
        <v>2023</v>
      </c>
      <c r="D156" s="11" t="inlineStr">
        <is>
          <t>S1</t>
        </is>
      </c>
      <c r="E156" s="9" t="n"/>
      <c r="F156" s="12" t="n"/>
      <c r="G156" s="9" t="n"/>
      <c r="H156" s="13" t="n"/>
      <c r="I156" s="13" t="n"/>
      <c r="J156" s="13" t="n"/>
      <c r="K156" s="13" t="n"/>
      <c r="L156" s="13" t="n"/>
      <c r="M156" s="13" t="n"/>
      <c r="N156" s="14">
        <f>IF(A156="","",COUNT(H156:M156)/6)</f>
        <v/>
      </c>
      <c r="O156" s="15">
        <f>IF(COUNT(H156:M156)=0,"",IF(LEN(IF(COUNT(I156,J156)=2,IF(J156&gt;I156+1,"EBE &gt; VA ",""),"")&amp;IF(COUNT(H156,M156)=2,IF(ABS(M156)&gt;ABS(H156),"RN &gt; CA ",""),"")&amp;IF(COUNT(H156,K156)=2,IF(ABS(K156)&gt;ABS(H156),"RE &gt; CA ",""),""))=0,"OK",IF(COUNT(I156,J156)=2,IF(J156&gt;I156+1,"EBE &gt; VA ",""),"")&amp;IF(COUNT(H156,M156)=2,IF(ABS(M156)&gt;ABS(H156),"RN &gt; CA ",""),"")&amp;IF(COUNT(H156,K156)=2,IF(ABS(K156)&gt;ABS(H156),"RE &gt; CA ",""),"")))</f>
        <v/>
      </c>
    </row>
    <row r="157">
      <c r="A157" s="9" t="inlineStr">
        <is>
          <t>UNLC</t>
        </is>
      </c>
      <c r="B157" s="10">
        <f>IF(A157="","",IFERROR(VLOOKUP(A157,Titres!$A$2:$B$400,2,FALSE),"Ticker inconnu"))</f>
        <v/>
      </c>
      <c r="C157" s="11" t="n">
        <v>2023</v>
      </c>
      <c r="D157" s="11" t="inlineStr">
        <is>
          <t>T3</t>
        </is>
      </c>
      <c r="E157" s="9" t="n"/>
      <c r="F157" s="12" t="n"/>
      <c r="G157" s="9" t="n"/>
      <c r="H157" s="13" t="n"/>
      <c r="I157" s="13" t="n"/>
      <c r="J157" s="13" t="n"/>
      <c r="K157" s="13" t="n"/>
      <c r="L157" s="13" t="n"/>
      <c r="M157" s="13" t="n"/>
      <c r="N157" s="14">
        <f>IF(A157="","",COUNT(H157:M157)/6)</f>
        <v/>
      </c>
      <c r="O157" s="15">
        <f>IF(COUNT(H157:M157)=0,"",IF(LEN(IF(COUNT(I157,J157)=2,IF(J157&gt;I157+1,"EBE &gt; VA ",""),"")&amp;IF(COUNT(H157,M157)=2,IF(ABS(M157)&gt;ABS(H157),"RN &gt; CA ",""),"")&amp;IF(COUNT(H157,K157)=2,IF(ABS(K157)&gt;ABS(H157),"RE &gt; CA ",""),""))=0,"OK",IF(COUNT(I157,J157)=2,IF(J157&gt;I157+1,"EBE &gt; VA ",""),"")&amp;IF(COUNT(H157,M157)=2,IF(ABS(M157)&gt;ABS(H157),"RN &gt; CA ",""),"")&amp;IF(COUNT(H157,K157)=2,IF(ABS(K157)&gt;ABS(H157),"RE &gt; CA ",""),"")))</f>
        <v/>
      </c>
    </row>
    <row r="158">
      <c r="A158" s="9" t="inlineStr">
        <is>
          <t>UNLC</t>
        </is>
      </c>
      <c r="B158" s="10">
        <f>IF(A158="","",IFERROR(VLOOKUP(A158,Titres!$A$2:$B$400,2,FALSE),"Ticker inconnu"))</f>
        <v/>
      </c>
      <c r="C158" s="11" t="n">
        <v>2024</v>
      </c>
      <c r="D158" s="11" t="inlineStr">
        <is>
          <t>T1</t>
        </is>
      </c>
      <c r="E158" s="9" t="n"/>
      <c r="F158" s="12" t="n"/>
      <c r="G158" s="9" t="n"/>
      <c r="H158" s="13" t="n"/>
      <c r="I158" s="13" t="n"/>
      <c r="J158" s="13" t="n"/>
      <c r="K158" s="13" t="n"/>
      <c r="L158" s="13" t="n"/>
      <c r="M158" s="13" t="n"/>
      <c r="N158" s="14">
        <f>IF(A158="","",COUNT(H158:M158)/6)</f>
        <v/>
      </c>
      <c r="O158" s="15">
        <f>IF(COUNT(H158:M158)=0,"",IF(LEN(IF(COUNT(I158,J158)=2,IF(J158&gt;I158+1,"EBE &gt; VA ",""),"")&amp;IF(COUNT(H158,M158)=2,IF(ABS(M158)&gt;ABS(H158),"RN &gt; CA ",""),"")&amp;IF(COUNT(H158,K158)=2,IF(ABS(K158)&gt;ABS(H158),"RE &gt; CA ",""),""))=0,"OK",IF(COUNT(I158,J158)=2,IF(J158&gt;I158+1,"EBE &gt; VA ",""),"")&amp;IF(COUNT(H158,M158)=2,IF(ABS(M158)&gt;ABS(H158),"RN &gt; CA ",""),"")&amp;IF(COUNT(H158,K158)=2,IF(ABS(K158)&gt;ABS(H158),"RE &gt; CA ",""),"")))</f>
        <v/>
      </c>
    </row>
    <row r="159">
      <c r="A159" s="9" t="inlineStr">
        <is>
          <t>UNLC</t>
        </is>
      </c>
      <c r="B159" s="10">
        <f>IF(A159="","",IFERROR(VLOOKUP(A159,Titres!$A$2:$B$400,2,FALSE),"Ticker inconnu"))</f>
        <v/>
      </c>
      <c r="C159" s="11" t="n">
        <v>2024</v>
      </c>
      <c r="D159" s="11" t="inlineStr">
        <is>
          <t>S1</t>
        </is>
      </c>
      <c r="E159" s="9" t="n"/>
      <c r="F159" s="12" t="n"/>
      <c r="G159" s="9" t="n"/>
      <c r="H159" s="13" t="n"/>
      <c r="I159" s="13" t="n"/>
      <c r="J159" s="13" t="n"/>
      <c r="K159" s="13" t="n"/>
      <c r="L159" s="13" t="n"/>
      <c r="M159" s="13" t="n"/>
      <c r="N159" s="14">
        <f>IF(A159="","",COUNT(H159:M159)/6)</f>
        <v/>
      </c>
      <c r="O159" s="15">
        <f>IF(COUNT(H159:M159)=0,"",IF(LEN(IF(COUNT(I159,J159)=2,IF(J159&gt;I159+1,"EBE &gt; VA ",""),"")&amp;IF(COUNT(H159,M159)=2,IF(ABS(M159)&gt;ABS(H159),"RN &gt; CA ",""),"")&amp;IF(COUNT(H159,K159)=2,IF(ABS(K159)&gt;ABS(H159),"RE &gt; CA ",""),""))=0,"OK",IF(COUNT(I159,J159)=2,IF(J159&gt;I159+1,"EBE &gt; VA ",""),"")&amp;IF(COUNT(H159,M159)=2,IF(ABS(M159)&gt;ABS(H159),"RN &gt; CA ",""),"")&amp;IF(COUNT(H159,K159)=2,IF(ABS(K159)&gt;ABS(H159),"RE &gt; CA ",""),"")))</f>
        <v/>
      </c>
    </row>
    <row r="160">
      <c r="A160" s="9" t="inlineStr">
        <is>
          <t>UNLC</t>
        </is>
      </c>
      <c r="B160" s="10">
        <f>IF(A160="","",IFERROR(VLOOKUP(A160,Titres!$A$2:$B$400,2,FALSE),"Ticker inconnu"))</f>
        <v/>
      </c>
      <c r="C160" s="11" t="n">
        <v>2024</v>
      </c>
      <c r="D160" s="11" t="inlineStr">
        <is>
          <t>T3</t>
        </is>
      </c>
      <c r="E160" s="9" t="n"/>
      <c r="F160" s="12" t="n"/>
      <c r="G160" s="9" t="n"/>
      <c r="H160" s="13" t="n"/>
      <c r="I160" s="13" t="n"/>
      <c r="J160" s="13" t="n"/>
      <c r="K160" s="13" t="n"/>
      <c r="L160" s="13" t="n"/>
      <c r="M160" s="13" t="n"/>
      <c r="N160" s="14">
        <f>IF(A160="","",COUNT(H160:M160)/6)</f>
        <v/>
      </c>
      <c r="O160" s="15">
        <f>IF(COUNT(H160:M160)=0,"",IF(LEN(IF(COUNT(I160,J160)=2,IF(J160&gt;I160+1,"EBE &gt; VA ",""),"")&amp;IF(COUNT(H160,M160)=2,IF(ABS(M160)&gt;ABS(H160),"RN &gt; CA ",""),"")&amp;IF(COUNT(H160,K160)=2,IF(ABS(K160)&gt;ABS(H160),"RE &gt; CA ",""),""))=0,"OK",IF(COUNT(I160,J160)=2,IF(J160&gt;I160+1,"EBE &gt; VA ",""),"")&amp;IF(COUNT(H160,M160)=2,IF(ABS(M160)&gt;ABS(H160),"RN &gt; CA ",""),"")&amp;IF(COUNT(H160,K160)=2,IF(ABS(K160)&gt;ABS(H160),"RE &gt; CA ",""),"")))</f>
        <v/>
      </c>
    </row>
    <row r="161">
      <c r="A161" s="9" t="inlineStr">
        <is>
          <t>UNLC</t>
        </is>
      </c>
      <c r="B161" s="10">
        <f>IF(A161="","",IFERROR(VLOOKUP(A161,Titres!$A$2:$B$400,2,FALSE),"Ticker inconnu"))</f>
        <v/>
      </c>
      <c r="C161" s="11" t="n">
        <v>2025</v>
      </c>
      <c r="D161" s="11" t="inlineStr">
        <is>
          <t>T1</t>
        </is>
      </c>
      <c r="E161" s="9" t="n"/>
      <c r="F161" s="12" t="n"/>
      <c r="G161" s="9" t="n"/>
      <c r="H161" s="13" t="n"/>
      <c r="I161" s="13" t="n"/>
      <c r="J161" s="13" t="n"/>
      <c r="K161" s="13" t="n"/>
      <c r="L161" s="13" t="n"/>
      <c r="M161" s="13" t="n"/>
      <c r="N161" s="14">
        <f>IF(A161="","",COUNT(H161:M161)/6)</f>
        <v/>
      </c>
      <c r="O161" s="15">
        <f>IF(COUNT(H161:M161)=0,"",IF(LEN(IF(COUNT(I161,J161)=2,IF(J161&gt;I161+1,"EBE &gt; VA ",""),"")&amp;IF(COUNT(H161,M161)=2,IF(ABS(M161)&gt;ABS(H161),"RN &gt; CA ",""),"")&amp;IF(COUNT(H161,K161)=2,IF(ABS(K161)&gt;ABS(H161),"RE &gt; CA ",""),""))=0,"OK",IF(COUNT(I161,J161)=2,IF(J161&gt;I161+1,"EBE &gt; VA ",""),"")&amp;IF(COUNT(H161,M161)=2,IF(ABS(M161)&gt;ABS(H161),"RN &gt; CA ",""),"")&amp;IF(COUNT(H161,K161)=2,IF(ABS(K161)&gt;ABS(H161),"RE &gt; CA ",""),"")))</f>
        <v/>
      </c>
    </row>
    <row r="162">
      <c r="A162" s="9" t="inlineStr">
        <is>
          <t>UNLC</t>
        </is>
      </c>
      <c r="B162" s="10">
        <f>IF(A162="","",IFERROR(VLOOKUP(A162,Titres!$A$2:$B$400,2,FALSE),"Ticker inconnu"))</f>
        <v/>
      </c>
      <c r="C162" s="11" t="n">
        <v>2025</v>
      </c>
      <c r="D162" s="11" t="inlineStr">
        <is>
          <t>S1</t>
        </is>
      </c>
      <c r="E162" s="9" t="n"/>
      <c r="F162" s="12" t="n"/>
      <c r="G162" s="9" t="n"/>
      <c r="H162" s="13" t="n"/>
      <c r="I162" s="13" t="n"/>
      <c r="J162" s="13" t="n"/>
      <c r="K162" s="13" t="n"/>
      <c r="L162" s="13" t="n"/>
      <c r="M162" s="13" t="n"/>
      <c r="N162" s="14">
        <f>IF(A162="","",COUNT(H162:M162)/6)</f>
        <v/>
      </c>
      <c r="O162" s="15">
        <f>IF(COUNT(H162:M162)=0,"",IF(LEN(IF(COUNT(I162,J162)=2,IF(J162&gt;I162+1,"EBE &gt; VA ",""),"")&amp;IF(COUNT(H162,M162)=2,IF(ABS(M162)&gt;ABS(H162),"RN &gt; CA ",""),"")&amp;IF(COUNT(H162,K162)=2,IF(ABS(K162)&gt;ABS(H162),"RE &gt; CA ",""),""))=0,"OK",IF(COUNT(I162,J162)=2,IF(J162&gt;I162+1,"EBE &gt; VA ",""),"")&amp;IF(COUNT(H162,M162)=2,IF(ABS(M162)&gt;ABS(H162),"RN &gt; CA ",""),"")&amp;IF(COUNT(H162,K162)=2,IF(ABS(K162)&gt;ABS(H162),"RE &gt; CA ",""),"")))</f>
        <v/>
      </c>
    </row>
    <row r="163">
      <c r="A163" s="9" t="inlineStr">
        <is>
          <t>UNLC</t>
        </is>
      </c>
      <c r="B163" s="10">
        <f>IF(A163="","",IFERROR(VLOOKUP(A163,Titres!$A$2:$B$400,2,FALSE),"Ticker inconnu"))</f>
        <v/>
      </c>
      <c r="C163" s="11" t="n">
        <v>2025</v>
      </c>
      <c r="D163" s="11" t="inlineStr">
        <is>
          <t>T3</t>
        </is>
      </c>
      <c r="E163" s="9" t="n"/>
      <c r="F163" s="12" t="n"/>
      <c r="G163" s="9" t="n"/>
      <c r="H163" s="13" t="n"/>
      <c r="I163" s="13" t="n"/>
      <c r="J163" s="13" t="n"/>
      <c r="K163" s="13" t="n"/>
      <c r="L163" s="13" t="n"/>
      <c r="M163" s="13" t="n"/>
      <c r="N163" s="14">
        <f>IF(A163="","",COUNT(H163:M163)/6)</f>
        <v/>
      </c>
      <c r="O163" s="15">
        <f>IF(COUNT(H163:M163)=0,"",IF(LEN(IF(COUNT(I163,J163)=2,IF(J163&gt;I163+1,"EBE &gt; VA ",""),"")&amp;IF(COUNT(H163,M163)=2,IF(ABS(M163)&gt;ABS(H163),"RN &gt; CA ",""),"")&amp;IF(COUNT(H163,K163)=2,IF(ABS(K163)&gt;ABS(H163),"RE &gt; CA ",""),""))=0,"OK",IF(COUNT(I163,J163)=2,IF(J163&gt;I163+1,"EBE &gt; VA ",""),"")&amp;IF(COUNT(H163,M163)=2,IF(ABS(M163)&gt;ABS(H163),"RN &gt; CA ",""),"")&amp;IF(COUNT(H163,K163)=2,IF(ABS(K163)&gt;ABS(H163),"RE &gt; CA ",""),"")))</f>
        <v/>
      </c>
    </row>
    <row r="164">
      <c r="A164" s="9" t="inlineStr">
        <is>
          <t>UNLC</t>
        </is>
      </c>
      <c r="B164" s="10">
        <f>IF(A164="","",IFERROR(VLOOKUP(A164,Titres!$A$2:$B$400,2,FALSE),"Ticker inconnu"))</f>
        <v/>
      </c>
      <c r="C164" s="11" t="n">
        <v>2026</v>
      </c>
      <c r="D164" s="11" t="inlineStr">
        <is>
          <t>T1</t>
        </is>
      </c>
      <c r="E164" s="9" t="n"/>
      <c r="F164" s="12" t="n"/>
      <c r="G164" s="9" t="n"/>
      <c r="H164" s="13" t="n"/>
      <c r="I164" s="13" t="n"/>
      <c r="J164" s="13" t="n"/>
      <c r="K164" s="13" t="n"/>
      <c r="L164" s="13" t="n"/>
      <c r="M164" s="13" t="n"/>
      <c r="N164" s="14">
        <f>IF(A164="","",COUNT(H164:M164)/6)</f>
        <v/>
      </c>
      <c r="O164" s="15">
        <f>IF(COUNT(H164:M164)=0,"",IF(LEN(IF(COUNT(I164,J164)=2,IF(J164&gt;I164+1,"EBE &gt; VA ",""),"")&amp;IF(COUNT(H164,M164)=2,IF(ABS(M164)&gt;ABS(H164),"RN &gt; CA ",""),"")&amp;IF(COUNT(H164,K164)=2,IF(ABS(K164)&gt;ABS(H164),"RE &gt; CA ",""),""))=0,"OK",IF(COUNT(I164,J164)=2,IF(J164&gt;I164+1,"EBE &gt; VA ",""),"")&amp;IF(COUNT(H164,M164)=2,IF(ABS(M164)&gt;ABS(H164),"RN &gt; CA ",""),"")&amp;IF(COUNT(H164,K164)=2,IF(ABS(K164)&gt;ABS(H164),"RE &gt; CA ",""),"")))</f>
        <v/>
      </c>
    </row>
    <row r="165">
      <c r="A165" s="9" t="inlineStr">
        <is>
          <t>UNLC</t>
        </is>
      </c>
      <c r="B165" s="10">
        <f>IF(A165="","",IFERROR(VLOOKUP(A165,Titres!$A$2:$B$400,2,FALSE),"Ticker inconnu"))</f>
        <v/>
      </c>
      <c r="C165" s="11" t="n">
        <v>2026</v>
      </c>
      <c r="D165" s="11" t="inlineStr">
        <is>
          <t>S1</t>
        </is>
      </c>
      <c r="E165" s="9" t="n"/>
      <c r="F165" s="12" t="n"/>
      <c r="G165" s="9" t="n"/>
      <c r="H165" s="13" t="n"/>
      <c r="I165" s="13" t="n"/>
      <c r="J165" s="13" t="n"/>
      <c r="K165" s="13" t="n"/>
      <c r="L165" s="13" t="n"/>
      <c r="M165" s="13" t="n"/>
      <c r="N165" s="14">
        <f>IF(A165="","",COUNT(H165:M165)/6)</f>
        <v/>
      </c>
      <c r="O165" s="15">
        <f>IF(COUNT(H165:M165)=0,"",IF(LEN(IF(COUNT(I165,J165)=2,IF(J165&gt;I165+1,"EBE &gt; VA ",""),"")&amp;IF(COUNT(H165,M165)=2,IF(ABS(M165)&gt;ABS(H165),"RN &gt; CA ",""),"")&amp;IF(COUNT(H165,K165)=2,IF(ABS(K165)&gt;ABS(H165),"RE &gt; CA ",""),""))=0,"OK",IF(COUNT(I165,J165)=2,IF(J165&gt;I165+1,"EBE &gt; VA ",""),"")&amp;IF(COUNT(H165,M165)=2,IF(ABS(M165)&gt;ABS(H165),"RN &gt; CA ",""),"")&amp;IF(COUNT(H165,K165)=2,IF(ABS(K165)&gt;ABS(H165),"RE &gt; CA ",""),"")))</f>
        <v/>
      </c>
    </row>
    <row r="166">
      <c r="A166" s="9" t="inlineStr">
        <is>
          <t>UNLC</t>
        </is>
      </c>
      <c r="B166" s="10">
        <f>IF(A166="","",IFERROR(VLOOKUP(A166,Titres!$A$2:$B$400,2,FALSE),"Ticker inconnu"))</f>
        <v/>
      </c>
      <c r="C166" s="11" t="n">
        <v>2026</v>
      </c>
      <c r="D166" s="11" t="inlineStr">
        <is>
          <t>T3</t>
        </is>
      </c>
      <c r="E166" s="9" t="n"/>
      <c r="F166" s="12" t="n"/>
      <c r="G166" s="9" t="n"/>
      <c r="H166" s="13" t="n"/>
      <c r="I166" s="13" t="n"/>
      <c r="J166" s="13" t="n"/>
      <c r="K166" s="13" t="n"/>
      <c r="L166" s="13" t="n"/>
      <c r="M166" s="13" t="n"/>
      <c r="N166" s="14">
        <f>IF(A166="","",COUNT(H166:M166)/6)</f>
        <v/>
      </c>
      <c r="O166" s="15">
        <f>IF(COUNT(H166:M166)=0,"",IF(LEN(IF(COUNT(I166,J166)=2,IF(J166&gt;I166+1,"EBE &gt; VA ",""),"")&amp;IF(COUNT(H166,M166)=2,IF(ABS(M166)&gt;ABS(H166),"RN &gt; CA ",""),"")&amp;IF(COUNT(H166,K166)=2,IF(ABS(K166)&gt;ABS(H166),"RE &gt; CA ",""),""))=0,"OK",IF(COUNT(I166,J166)=2,IF(J166&gt;I166+1,"EBE &gt; VA ",""),"")&amp;IF(COUNT(H166,M166)=2,IF(ABS(M166)&gt;ABS(H166),"RN &gt; CA ",""),"")&amp;IF(COUNT(H166,K166)=2,IF(ABS(K166)&gt;ABS(H166),"RE &gt; CA ",""),"")))</f>
        <v/>
      </c>
    </row>
    <row r="167">
      <c r="A167" s="9" t="inlineStr">
        <is>
          <t>ABJC</t>
        </is>
      </c>
      <c r="B167" s="10">
        <f>IF(A167="","",IFERROR(VLOOKUP(A167,Titres!$A$2:$B$400,2,FALSE),"Ticker inconnu"))</f>
        <v/>
      </c>
      <c r="C167" s="11" t="n">
        <v>2021</v>
      </c>
      <c r="D167" s="11" t="inlineStr">
        <is>
          <t>T1</t>
        </is>
      </c>
      <c r="E167" s="9" t="n"/>
      <c r="F167" s="12" t="n"/>
      <c r="G167" s="9" t="n"/>
      <c r="H167" s="13" t="n"/>
      <c r="I167" s="13" t="n"/>
      <c r="J167" s="13" t="n"/>
      <c r="K167" s="13" t="n"/>
      <c r="L167" s="13" t="n"/>
      <c r="M167" s="13" t="n"/>
      <c r="N167" s="14">
        <f>IF(A167="","",COUNT(H167:M167)/6)</f>
        <v/>
      </c>
      <c r="O167" s="15">
        <f>IF(COUNT(H167:M167)=0,"",IF(LEN(IF(COUNT(I167,J167)=2,IF(J167&gt;I167+1,"EBE &gt; VA ",""),"")&amp;IF(COUNT(H167,M167)=2,IF(ABS(M167)&gt;ABS(H167),"RN &gt; CA ",""),"")&amp;IF(COUNT(H167,K167)=2,IF(ABS(K167)&gt;ABS(H167),"RE &gt; CA ",""),""))=0,"OK",IF(COUNT(I167,J167)=2,IF(J167&gt;I167+1,"EBE &gt; VA ",""),"")&amp;IF(COUNT(H167,M167)=2,IF(ABS(M167)&gt;ABS(H167),"RN &gt; CA ",""),"")&amp;IF(COUNT(H167,K167)=2,IF(ABS(K167)&gt;ABS(H167),"RE &gt; CA ",""),"")))</f>
        <v/>
      </c>
    </row>
    <row r="168">
      <c r="A168" s="9" t="inlineStr">
        <is>
          <t>ABJC</t>
        </is>
      </c>
      <c r="B168" s="10">
        <f>IF(A168="","",IFERROR(VLOOKUP(A168,Titres!$A$2:$B$400,2,FALSE),"Ticker inconnu"))</f>
        <v/>
      </c>
      <c r="C168" s="11" t="n">
        <v>2021</v>
      </c>
      <c r="D168" s="11" t="inlineStr">
        <is>
          <t>S1</t>
        </is>
      </c>
      <c r="E168" s="9" t="n"/>
      <c r="F168" s="12" t="n"/>
      <c r="G168" s="9" t="n"/>
      <c r="H168" s="13" t="n"/>
      <c r="I168" s="13" t="n"/>
      <c r="J168" s="13" t="n"/>
      <c r="K168" s="13" t="n"/>
      <c r="L168" s="13" t="n"/>
      <c r="M168" s="13" t="n"/>
      <c r="N168" s="14">
        <f>IF(A168="","",COUNT(H168:M168)/6)</f>
        <v/>
      </c>
      <c r="O168" s="15">
        <f>IF(COUNT(H168:M168)=0,"",IF(LEN(IF(COUNT(I168,J168)=2,IF(J168&gt;I168+1,"EBE &gt; VA ",""),"")&amp;IF(COUNT(H168,M168)=2,IF(ABS(M168)&gt;ABS(H168),"RN &gt; CA ",""),"")&amp;IF(COUNT(H168,K168)=2,IF(ABS(K168)&gt;ABS(H168),"RE &gt; CA ",""),""))=0,"OK",IF(COUNT(I168,J168)=2,IF(J168&gt;I168+1,"EBE &gt; VA ",""),"")&amp;IF(COUNT(H168,M168)=2,IF(ABS(M168)&gt;ABS(H168),"RN &gt; CA ",""),"")&amp;IF(COUNT(H168,K168)=2,IF(ABS(K168)&gt;ABS(H168),"RE &gt; CA ",""),"")))</f>
        <v/>
      </c>
    </row>
    <row r="169">
      <c r="A169" s="9" t="inlineStr">
        <is>
          <t>ABJC</t>
        </is>
      </c>
      <c r="B169" s="10">
        <f>IF(A169="","",IFERROR(VLOOKUP(A169,Titres!$A$2:$B$400,2,FALSE),"Ticker inconnu"))</f>
        <v/>
      </c>
      <c r="C169" s="11" t="n">
        <v>2021</v>
      </c>
      <c r="D169" s="11" t="inlineStr">
        <is>
          <t>T3</t>
        </is>
      </c>
      <c r="E169" s="9" t="n"/>
      <c r="F169" s="12" t="n"/>
      <c r="G169" s="9" t="n"/>
      <c r="H169" s="13" t="n"/>
      <c r="I169" s="13" t="n"/>
      <c r="J169" s="13" t="n"/>
      <c r="K169" s="13" t="n"/>
      <c r="L169" s="13" t="n"/>
      <c r="M169" s="13" t="n"/>
      <c r="N169" s="14">
        <f>IF(A169="","",COUNT(H169:M169)/6)</f>
        <v/>
      </c>
      <c r="O169" s="15">
        <f>IF(COUNT(H169:M169)=0,"",IF(LEN(IF(COUNT(I169,J169)=2,IF(J169&gt;I169+1,"EBE &gt; VA ",""),"")&amp;IF(COUNT(H169,M169)=2,IF(ABS(M169)&gt;ABS(H169),"RN &gt; CA ",""),"")&amp;IF(COUNT(H169,K169)=2,IF(ABS(K169)&gt;ABS(H169),"RE &gt; CA ",""),""))=0,"OK",IF(COUNT(I169,J169)=2,IF(J169&gt;I169+1,"EBE &gt; VA ",""),"")&amp;IF(COUNT(H169,M169)=2,IF(ABS(M169)&gt;ABS(H169),"RN &gt; CA ",""),"")&amp;IF(COUNT(H169,K169)=2,IF(ABS(K169)&gt;ABS(H169),"RE &gt; CA ",""),"")))</f>
        <v/>
      </c>
    </row>
    <row r="170">
      <c r="A170" s="9" t="inlineStr">
        <is>
          <t>ABJC</t>
        </is>
      </c>
      <c r="B170" s="10">
        <f>IF(A170="","",IFERROR(VLOOKUP(A170,Titres!$A$2:$B$400,2,FALSE),"Ticker inconnu"))</f>
        <v/>
      </c>
      <c r="C170" s="11" t="n">
        <v>2022</v>
      </c>
      <c r="D170" s="11" t="inlineStr">
        <is>
          <t>T1</t>
        </is>
      </c>
      <c r="E170" s="9" t="n"/>
      <c r="F170" s="12" t="n"/>
      <c r="G170" s="9" t="n"/>
      <c r="H170" s="13" t="n"/>
      <c r="I170" s="13" t="n"/>
      <c r="J170" s="13" t="n"/>
      <c r="K170" s="13" t="n"/>
      <c r="L170" s="13" t="n"/>
      <c r="M170" s="13" t="n"/>
      <c r="N170" s="14">
        <f>IF(A170="","",COUNT(H170:M170)/6)</f>
        <v/>
      </c>
      <c r="O170" s="15">
        <f>IF(COUNT(H170:M170)=0,"",IF(LEN(IF(COUNT(I170,J170)=2,IF(J170&gt;I170+1,"EBE &gt; VA ",""),"")&amp;IF(COUNT(H170,M170)=2,IF(ABS(M170)&gt;ABS(H170),"RN &gt; CA ",""),"")&amp;IF(COUNT(H170,K170)=2,IF(ABS(K170)&gt;ABS(H170),"RE &gt; CA ",""),""))=0,"OK",IF(COUNT(I170,J170)=2,IF(J170&gt;I170+1,"EBE &gt; VA ",""),"")&amp;IF(COUNT(H170,M170)=2,IF(ABS(M170)&gt;ABS(H170),"RN &gt; CA ",""),"")&amp;IF(COUNT(H170,K170)=2,IF(ABS(K170)&gt;ABS(H170),"RE &gt; CA ",""),"")))</f>
        <v/>
      </c>
    </row>
    <row r="171">
      <c r="A171" s="9" t="inlineStr">
        <is>
          <t>ABJC</t>
        </is>
      </c>
      <c r="B171" s="10">
        <f>IF(A171="","",IFERROR(VLOOKUP(A171,Titres!$A$2:$B$400,2,FALSE),"Ticker inconnu"))</f>
        <v/>
      </c>
      <c r="C171" s="11" t="n">
        <v>2022</v>
      </c>
      <c r="D171" s="11" t="inlineStr">
        <is>
          <t>S1</t>
        </is>
      </c>
      <c r="E171" s="9" t="n"/>
      <c r="F171" s="12" t="n"/>
      <c r="G171" s="9" t="n"/>
      <c r="H171" s="13" t="n"/>
      <c r="I171" s="13" t="n"/>
      <c r="J171" s="13" t="n"/>
      <c r="K171" s="13" t="n"/>
      <c r="L171" s="13" t="n"/>
      <c r="M171" s="13" t="n"/>
      <c r="N171" s="14">
        <f>IF(A171="","",COUNT(H171:M171)/6)</f>
        <v/>
      </c>
      <c r="O171" s="15">
        <f>IF(COUNT(H171:M171)=0,"",IF(LEN(IF(COUNT(I171,J171)=2,IF(J171&gt;I171+1,"EBE &gt; VA ",""),"")&amp;IF(COUNT(H171,M171)=2,IF(ABS(M171)&gt;ABS(H171),"RN &gt; CA ",""),"")&amp;IF(COUNT(H171,K171)=2,IF(ABS(K171)&gt;ABS(H171),"RE &gt; CA ",""),""))=0,"OK",IF(COUNT(I171,J171)=2,IF(J171&gt;I171+1,"EBE &gt; VA ",""),"")&amp;IF(COUNT(H171,M171)=2,IF(ABS(M171)&gt;ABS(H171),"RN &gt; CA ",""),"")&amp;IF(COUNT(H171,K171)=2,IF(ABS(K171)&gt;ABS(H171),"RE &gt; CA ",""),"")))</f>
        <v/>
      </c>
    </row>
    <row r="172">
      <c r="A172" s="9" t="inlineStr">
        <is>
          <t>ABJC</t>
        </is>
      </c>
      <c r="B172" s="10">
        <f>IF(A172="","",IFERROR(VLOOKUP(A172,Titres!$A$2:$B$400,2,FALSE),"Ticker inconnu"))</f>
        <v/>
      </c>
      <c r="C172" s="11" t="n">
        <v>2022</v>
      </c>
      <c r="D172" s="11" t="inlineStr">
        <is>
          <t>T3</t>
        </is>
      </c>
      <c r="E172" s="9" t="n"/>
      <c r="F172" s="12" t="n"/>
      <c r="G172" s="9" t="n"/>
      <c r="H172" s="13" t="n"/>
      <c r="I172" s="13" t="n"/>
      <c r="J172" s="13" t="n"/>
      <c r="K172" s="13" t="n"/>
      <c r="L172" s="13" t="n"/>
      <c r="M172" s="13" t="n"/>
      <c r="N172" s="14">
        <f>IF(A172="","",COUNT(H172:M172)/6)</f>
        <v/>
      </c>
      <c r="O172" s="15">
        <f>IF(COUNT(H172:M172)=0,"",IF(LEN(IF(COUNT(I172,J172)=2,IF(J172&gt;I172+1,"EBE &gt; VA ",""),"")&amp;IF(COUNT(H172,M172)=2,IF(ABS(M172)&gt;ABS(H172),"RN &gt; CA ",""),"")&amp;IF(COUNT(H172,K172)=2,IF(ABS(K172)&gt;ABS(H172),"RE &gt; CA ",""),""))=0,"OK",IF(COUNT(I172,J172)=2,IF(J172&gt;I172+1,"EBE &gt; VA ",""),"")&amp;IF(COUNT(H172,M172)=2,IF(ABS(M172)&gt;ABS(H172),"RN &gt; CA ",""),"")&amp;IF(COUNT(H172,K172)=2,IF(ABS(K172)&gt;ABS(H172),"RE &gt; CA ",""),"")))</f>
        <v/>
      </c>
    </row>
    <row r="173">
      <c r="A173" s="9" t="inlineStr">
        <is>
          <t>ABJC</t>
        </is>
      </c>
      <c r="B173" s="10">
        <f>IF(A173="","",IFERROR(VLOOKUP(A173,Titres!$A$2:$B$400,2,FALSE),"Ticker inconnu"))</f>
        <v/>
      </c>
      <c r="C173" s="11" t="n">
        <v>2023</v>
      </c>
      <c r="D173" s="11" t="inlineStr">
        <is>
          <t>T1</t>
        </is>
      </c>
      <c r="E173" s="9" t="n"/>
      <c r="F173" s="12" t="n"/>
      <c r="G173" s="9" t="n"/>
      <c r="H173" s="13" t="n"/>
      <c r="I173" s="13" t="n"/>
      <c r="J173" s="13" t="n"/>
      <c r="K173" s="13" t="n"/>
      <c r="L173" s="13" t="n"/>
      <c r="M173" s="13" t="n"/>
      <c r="N173" s="14">
        <f>IF(A173="","",COUNT(H173:M173)/6)</f>
        <v/>
      </c>
      <c r="O173" s="15">
        <f>IF(COUNT(H173:M173)=0,"",IF(LEN(IF(COUNT(I173,J173)=2,IF(J173&gt;I173+1,"EBE &gt; VA ",""),"")&amp;IF(COUNT(H173,M173)=2,IF(ABS(M173)&gt;ABS(H173),"RN &gt; CA ",""),"")&amp;IF(COUNT(H173,K173)=2,IF(ABS(K173)&gt;ABS(H173),"RE &gt; CA ",""),""))=0,"OK",IF(COUNT(I173,J173)=2,IF(J173&gt;I173+1,"EBE &gt; VA ",""),"")&amp;IF(COUNT(H173,M173)=2,IF(ABS(M173)&gt;ABS(H173),"RN &gt; CA ",""),"")&amp;IF(COUNT(H173,K173)=2,IF(ABS(K173)&gt;ABS(H173),"RE &gt; CA ",""),"")))</f>
        <v/>
      </c>
    </row>
    <row r="174">
      <c r="A174" s="9" t="inlineStr">
        <is>
          <t>ABJC</t>
        </is>
      </c>
      <c r="B174" s="10">
        <f>IF(A174="","",IFERROR(VLOOKUP(A174,Titres!$A$2:$B$400,2,FALSE),"Ticker inconnu"))</f>
        <v/>
      </c>
      <c r="C174" s="11" t="n">
        <v>2023</v>
      </c>
      <c r="D174" s="11" t="inlineStr">
        <is>
          <t>S1</t>
        </is>
      </c>
      <c r="E174" s="9" t="n"/>
      <c r="F174" s="12" t="n"/>
      <c r="G174" s="9" t="n"/>
      <c r="H174" s="13" t="n"/>
      <c r="I174" s="13" t="n"/>
      <c r="J174" s="13" t="n"/>
      <c r="K174" s="13" t="n"/>
      <c r="L174" s="13" t="n"/>
      <c r="M174" s="13" t="n"/>
      <c r="N174" s="14">
        <f>IF(A174="","",COUNT(H174:M174)/6)</f>
        <v/>
      </c>
      <c r="O174" s="15">
        <f>IF(COUNT(H174:M174)=0,"",IF(LEN(IF(COUNT(I174,J174)=2,IF(J174&gt;I174+1,"EBE &gt; VA ",""),"")&amp;IF(COUNT(H174,M174)=2,IF(ABS(M174)&gt;ABS(H174),"RN &gt; CA ",""),"")&amp;IF(COUNT(H174,K174)=2,IF(ABS(K174)&gt;ABS(H174),"RE &gt; CA ",""),""))=0,"OK",IF(COUNT(I174,J174)=2,IF(J174&gt;I174+1,"EBE &gt; VA ",""),"")&amp;IF(COUNT(H174,M174)=2,IF(ABS(M174)&gt;ABS(H174),"RN &gt; CA ",""),"")&amp;IF(COUNT(H174,K174)=2,IF(ABS(K174)&gt;ABS(H174),"RE &gt; CA ",""),"")))</f>
        <v/>
      </c>
    </row>
    <row r="175">
      <c r="A175" s="9" t="inlineStr">
        <is>
          <t>ABJC</t>
        </is>
      </c>
      <c r="B175" s="10">
        <f>IF(A175="","",IFERROR(VLOOKUP(A175,Titres!$A$2:$B$400,2,FALSE),"Ticker inconnu"))</f>
        <v/>
      </c>
      <c r="C175" s="11" t="n">
        <v>2023</v>
      </c>
      <c r="D175" s="11" t="inlineStr">
        <is>
          <t>T3</t>
        </is>
      </c>
      <c r="E175" s="9" t="n"/>
      <c r="F175" s="12" t="n"/>
      <c r="G175" s="9" t="n"/>
      <c r="H175" s="13" t="n"/>
      <c r="I175" s="13" t="n"/>
      <c r="J175" s="13" t="n"/>
      <c r="K175" s="13" t="n"/>
      <c r="L175" s="13" t="n"/>
      <c r="M175" s="13" t="n"/>
      <c r="N175" s="14">
        <f>IF(A175="","",COUNT(H175:M175)/6)</f>
        <v/>
      </c>
      <c r="O175" s="15">
        <f>IF(COUNT(H175:M175)=0,"",IF(LEN(IF(COUNT(I175,J175)=2,IF(J175&gt;I175+1,"EBE &gt; VA ",""),"")&amp;IF(COUNT(H175,M175)=2,IF(ABS(M175)&gt;ABS(H175),"RN &gt; CA ",""),"")&amp;IF(COUNT(H175,K175)=2,IF(ABS(K175)&gt;ABS(H175),"RE &gt; CA ",""),""))=0,"OK",IF(COUNT(I175,J175)=2,IF(J175&gt;I175+1,"EBE &gt; VA ",""),"")&amp;IF(COUNT(H175,M175)=2,IF(ABS(M175)&gt;ABS(H175),"RN &gt; CA ",""),"")&amp;IF(COUNT(H175,K175)=2,IF(ABS(K175)&gt;ABS(H175),"RE &gt; CA ",""),"")))</f>
        <v/>
      </c>
    </row>
    <row r="176">
      <c r="A176" s="9" t="inlineStr">
        <is>
          <t>ABJC</t>
        </is>
      </c>
      <c r="B176" s="10">
        <f>IF(A176="","",IFERROR(VLOOKUP(A176,Titres!$A$2:$B$400,2,FALSE),"Ticker inconnu"))</f>
        <v/>
      </c>
      <c r="C176" s="11" t="n">
        <v>2024</v>
      </c>
      <c r="D176" s="11" t="inlineStr">
        <is>
          <t>T1</t>
        </is>
      </c>
      <c r="E176" s="9" t="n"/>
      <c r="F176" s="12" t="n"/>
      <c r="G176" s="9" t="n"/>
      <c r="H176" s="13" t="n"/>
      <c r="I176" s="13" t="n"/>
      <c r="J176" s="13" t="n"/>
      <c r="K176" s="13" t="n"/>
      <c r="L176" s="13" t="n"/>
      <c r="M176" s="13" t="n"/>
      <c r="N176" s="14">
        <f>IF(A176="","",COUNT(H176:M176)/6)</f>
        <v/>
      </c>
      <c r="O176" s="15">
        <f>IF(COUNT(H176:M176)=0,"",IF(LEN(IF(COUNT(I176,J176)=2,IF(J176&gt;I176+1,"EBE &gt; VA ",""),"")&amp;IF(COUNT(H176,M176)=2,IF(ABS(M176)&gt;ABS(H176),"RN &gt; CA ",""),"")&amp;IF(COUNT(H176,K176)=2,IF(ABS(K176)&gt;ABS(H176),"RE &gt; CA ",""),""))=0,"OK",IF(COUNT(I176,J176)=2,IF(J176&gt;I176+1,"EBE &gt; VA ",""),"")&amp;IF(COUNT(H176,M176)=2,IF(ABS(M176)&gt;ABS(H176),"RN &gt; CA ",""),"")&amp;IF(COUNT(H176,K176)=2,IF(ABS(K176)&gt;ABS(H176),"RE &gt; CA ",""),"")))</f>
        <v/>
      </c>
    </row>
    <row r="177">
      <c r="A177" s="9" t="inlineStr">
        <is>
          <t>ABJC</t>
        </is>
      </c>
      <c r="B177" s="10">
        <f>IF(A177="","",IFERROR(VLOOKUP(A177,Titres!$A$2:$B$400,2,FALSE),"Ticker inconnu"))</f>
        <v/>
      </c>
      <c r="C177" s="11" t="n">
        <v>2024</v>
      </c>
      <c r="D177" s="11" t="inlineStr">
        <is>
          <t>S1</t>
        </is>
      </c>
      <c r="E177" s="9" t="n"/>
      <c r="F177" s="12" t="n"/>
      <c r="G177" s="9" t="n"/>
      <c r="H177" s="13" t="n"/>
      <c r="I177" s="13" t="n"/>
      <c r="J177" s="13" t="n"/>
      <c r="K177" s="13" t="n"/>
      <c r="L177" s="13" t="n"/>
      <c r="M177" s="13" t="n"/>
      <c r="N177" s="14">
        <f>IF(A177="","",COUNT(H177:M177)/6)</f>
        <v/>
      </c>
      <c r="O177" s="15">
        <f>IF(COUNT(H177:M177)=0,"",IF(LEN(IF(COUNT(I177,J177)=2,IF(J177&gt;I177+1,"EBE &gt; VA ",""),"")&amp;IF(COUNT(H177,M177)=2,IF(ABS(M177)&gt;ABS(H177),"RN &gt; CA ",""),"")&amp;IF(COUNT(H177,K177)=2,IF(ABS(K177)&gt;ABS(H177),"RE &gt; CA ",""),""))=0,"OK",IF(COUNT(I177,J177)=2,IF(J177&gt;I177+1,"EBE &gt; VA ",""),"")&amp;IF(COUNT(H177,M177)=2,IF(ABS(M177)&gt;ABS(H177),"RN &gt; CA ",""),"")&amp;IF(COUNT(H177,K177)=2,IF(ABS(K177)&gt;ABS(H177),"RE &gt; CA ",""),"")))</f>
        <v/>
      </c>
    </row>
    <row r="178">
      <c r="A178" s="9" t="inlineStr">
        <is>
          <t>ABJC</t>
        </is>
      </c>
      <c r="B178" s="10">
        <f>IF(A178="","",IFERROR(VLOOKUP(A178,Titres!$A$2:$B$400,2,FALSE),"Ticker inconnu"))</f>
        <v/>
      </c>
      <c r="C178" s="11" t="n">
        <v>2024</v>
      </c>
      <c r="D178" s="11" t="inlineStr">
        <is>
          <t>T3</t>
        </is>
      </c>
      <c r="E178" s="9" t="n"/>
      <c r="F178" s="12" t="n"/>
      <c r="G178" s="9" t="n"/>
      <c r="H178" s="13" t="n"/>
      <c r="I178" s="13" t="n"/>
      <c r="J178" s="13" t="n"/>
      <c r="K178" s="13" t="n"/>
      <c r="L178" s="13" t="n"/>
      <c r="M178" s="13" t="n"/>
      <c r="N178" s="14">
        <f>IF(A178="","",COUNT(H178:M178)/6)</f>
        <v/>
      </c>
      <c r="O178" s="15">
        <f>IF(COUNT(H178:M178)=0,"",IF(LEN(IF(COUNT(I178,J178)=2,IF(J178&gt;I178+1,"EBE &gt; VA ",""),"")&amp;IF(COUNT(H178,M178)=2,IF(ABS(M178)&gt;ABS(H178),"RN &gt; CA ",""),"")&amp;IF(COUNT(H178,K178)=2,IF(ABS(K178)&gt;ABS(H178),"RE &gt; CA ",""),""))=0,"OK",IF(COUNT(I178,J178)=2,IF(J178&gt;I178+1,"EBE &gt; VA ",""),"")&amp;IF(COUNT(H178,M178)=2,IF(ABS(M178)&gt;ABS(H178),"RN &gt; CA ",""),"")&amp;IF(COUNT(H178,K178)=2,IF(ABS(K178)&gt;ABS(H178),"RE &gt; CA ",""),"")))</f>
        <v/>
      </c>
    </row>
    <row r="179">
      <c r="A179" s="9" t="inlineStr">
        <is>
          <t>ABJC</t>
        </is>
      </c>
      <c r="B179" s="10">
        <f>IF(A179="","",IFERROR(VLOOKUP(A179,Titres!$A$2:$B$400,2,FALSE),"Ticker inconnu"))</f>
        <v/>
      </c>
      <c r="C179" s="11" t="n">
        <v>2025</v>
      </c>
      <c r="D179" s="11" t="inlineStr">
        <is>
          <t>T1</t>
        </is>
      </c>
      <c r="E179" s="9" t="n"/>
      <c r="F179" s="12" t="n"/>
      <c r="G179" s="9" t="n"/>
      <c r="H179" s="13" t="n"/>
      <c r="I179" s="13" t="n"/>
      <c r="J179" s="13" t="n"/>
      <c r="K179" s="13" t="n"/>
      <c r="L179" s="13" t="n"/>
      <c r="M179" s="13" t="n"/>
      <c r="N179" s="14">
        <f>IF(A179="","",COUNT(H179:M179)/6)</f>
        <v/>
      </c>
      <c r="O179" s="15">
        <f>IF(COUNT(H179:M179)=0,"",IF(LEN(IF(COUNT(I179,J179)=2,IF(J179&gt;I179+1,"EBE &gt; VA ",""),"")&amp;IF(COUNT(H179,M179)=2,IF(ABS(M179)&gt;ABS(H179),"RN &gt; CA ",""),"")&amp;IF(COUNT(H179,K179)=2,IF(ABS(K179)&gt;ABS(H179),"RE &gt; CA ",""),""))=0,"OK",IF(COUNT(I179,J179)=2,IF(J179&gt;I179+1,"EBE &gt; VA ",""),"")&amp;IF(COUNT(H179,M179)=2,IF(ABS(M179)&gt;ABS(H179),"RN &gt; CA ",""),"")&amp;IF(COUNT(H179,K179)=2,IF(ABS(K179)&gt;ABS(H179),"RE &gt; CA ",""),"")))</f>
        <v/>
      </c>
    </row>
    <row r="180">
      <c r="A180" s="9" t="inlineStr">
        <is>
          <t>ABJC</t>
        </is>
      </c>
      <c r="B180" s="10">
        <f>IF(A180="","",IFERROR(VLOOKUP(A180,Titres!$A$2:$B$400,2,FALSE),"Ticker inconnu"))</f>
        <v/>
      </c>
      <c r="C180" s="11" t="n">
        <v>2025</v>
      </c>
      <c r="D180" s="11" t="inlineStr">
        <is>
          <t>S1</t>
        </is>
      </c>
      <c r="E180" s="9" t="n"/>
      <c r="F180" s="12" t="n"/>
      <c r="G180" s="9" t="n"/>
      <c r="H180" s="13" t="n"/>
      <c r="I180" s="13" t="n"/>
      <c r="J180" s="13" t="n"/>
      <c r="K180" s="13" t="n"/>
      <c r="L180" s="13" t="n"/>
      <c r="M180" s="13" t="n"/>
      <c r="N180" s="14">
        <f>IF(A180="","",COUNT(H180:M180)/6)</f>
        <v/>
      </c>
      <c r="O180" s="15">
        <f>IF(COUNT(H180:M180)=0,"",IF(LEN(IF(COUNT(I180,J180)=2,IF(J180&gt;I180+1,"EBE &gt; VA ",""),"")&amp;IF(COUNT(H180,M180)=2,IF(ABS(M180)&gt;ABS(H180),"RN &gt; CA ",""),"")&amp;IF(COUNT(H180,K180)=2,IF(ABS(K180)&gt;ABS(H180),"RE &gt; CA ",""),""))=0,"OK",IF(COUNT(I180,J180)=2,IF(J180&gt;I180+1,"EBE &gt; VA ",""),"")&amp;IF(COUNT(H180,M180)=2,IF(ABS(M180)&gt;ABS(H180),"RN &gt; CA ",""),"")&amp;IF(COUNT(H180,K180)=2,IF(ABS(K180)&gt;ABS(H180),"RE &gt; CA ",""),"")))</f>
        <v/>
      </c>
    </row>
    <row r="181">
      <c r="A181" s="9" t="inlineStr">
        <is>
          <t>ABJC</t>
        </is>
      </c>
      <c r="B181" s="10">
        <f>IF(A181="","",IFERROR(VLOOKUP(A181,Titres!$A$2:$B$400,2,FALSE),"Ticker inconnu"))</f>
        <v/>
      </c>
      <c r="C181" s="11" t="n">
        <v>2025</v>
      </c>
      <c r="D181" s="11" t="inlineStr">
        <is>
          <t>T3</t>
        </is>
      </c>
      <c r="E181" s="9" t="n"/>
      <c r="F181" s="12" t="n"/>
      <c r="G181" s="9" t="n"/>
      <c r="H181" s="13" t="n"/>
      <c r="I181" s="13" t="n"/>
      <c r="J181" s="13" t="n"/>
      <c r="K181" s="13" t="n"/>
      <c r="L181" s="13" t="n"/>
      <c r="M181" s="13" t="n"/>
      <c r="N181" s="14">
        <f>IF(A181="","",COUNT(H181:M181)/6)</f>
        <v/>
      </c>
      <c r="O181" s="15">
        <f>IF(COUNT(H181:M181)=0,"",IF(LEN(IF(COUNT(I181,J181)=2,IF(J181&gt;I181+1,"EBE &gt; VA ",""),"")&amp;IF(COUNT(H181,M181)=2,IF(ABS(M181)&gt;ABS(H181),"RN &gt; CA ",""),"")&amp;IF(COUNT(H181,K181)=2,IF(ABS(K181)&gt;ABS(H181),"RE &gt; CA ",""),""))=0,"OK",IF(COUNT(I181,J181)=2,IF(J181&gt;I181+1,"EBE &gt; VA ",""),"")&amp;IF(COUNT(H181,M181)=2,IF(ABS(M181)&gt;ABS(H181),"RN &gt; CA ",""),"")&amp;IF(COUNT(H181,K181)=2,IF(ABS(K181)&gt;ABS(H181),"RE &gt; CA ",""),"")))</f>
        <v/>
      </c>
    </row>
    <row r="182">
      <c r="A182" s="9" t="inlineStr">
        <is>
          <t>ABJC</t>
        </is>
      </c>
      <c r="B182" s="10">
        <f>IF(A182="","",IFERROR(VLOOKUP(A182,Titres!$A$2:$B$400,2,FALSE),"Ticker inconnu"))</f>
        <v/>
      </c>
      <c r="C182" s="11" t="n">
        <v>2026</v>
      </c>
      <c r="D182" s="11" t="inlineStr">
        <is>
          <t>T1</t>
        </is>
      </c>
      <c r="E182" s="9" t="n"/>
      <c r="F182" s="12" t="n"/>
      <c r="G182" s="9" t="n"/>
      <c r="H182" s="13" t="n"/>
      <c r="I182" s="13" t="n"/>
      <c r="J182" s="13" t="n"/>
      <c r="K182" s="13" t="n"/>
      <c r="L182" s="13" t="n"/>
      <c r="M182" s="13" t="n"/>
      <c r="N182" s="14">
        <f>IF(A182="","",COUNT(H182:M182)/6)</f>
        <v/>
      </c>
      <c r="O182" s="15">
        <f>IF(COUNT(H182:M182)=0,"",IF(LEN(IF(COUNT(I182,J182)=2,IF(J182&gt;I182+1,"EBE &gt; VA ",""),"")&amp;IF(COUNT(H182,M182)=2,IF(ABS(M182)&gt;ABS(H182),"RN &gt; CA ",""),"")&amp;IF(COUNT(H182,K182)=2,IF(ABS(K182)&gt;ABS(H182),"RE &gt; CA ",""),""))=0,"OK",IF(COUNT(I182,J182)=2,IF(J182&gt;I182+1,"EBE &gt; VA ",""),"")&amp;IF(COUNT(H182,M182)=2,IF(ABS(M182)&gt;ABS(H182),"RN &gt; CA ",""),"")&amp;IF(COUNT(H182,K182)=2,IF(ABS(K182)&gt;ABS(H182),"RE &gt; CA ",""),"")))</f>
        <v/>
      </c>
    </row>
    <row r="183">
      <c r="A183" s="9" t="inlineStr">
        <is>
          <t>ABJC</t>
        </is>
      </c>
      <c r="B183" s="10">
        <f>IF(A183="","",IFERROR(VLOOKUP(A183,Titres!$A$2:$B$400,2,FALSE),"Ticker inconnu"))</f>
        <v/>
      </c>
      <c r="C183" s="11" t="n">
        <v>2026</v>
      </c>
      <c r="D183" s="11" t="inlineStr">
        <is>
          <t>S1</t>
        </is>
      </c>
      <c r="E183" s="9" t="n"/>
      <c r="F183" s="12" t="n"/>
      <c r="G183" s="9" t="n"/>
      <c r="H183" s="13" t="n"/>
      <c r="I183" s="13" t="n"/>
      <c r="J183" s="13" t="n"/>
      <c r="K183" s="13" t="n"/>
      <c r="L183" s="13" t="n"/>
      <c r="M183" s="13" t="n"/>
      <c r="N183" s="14">
        <f>IF(A183="","",COUNT(H183:M183)/6)</f>
        <v/>
      </c>
      <c r="O183" s="15">
        <f>IF(COUNT(H183:M183)=0,"",IF(LEN(IF(COUNT(I183,J183)=2,IF(J183&gt;I183+1,"EBE &gt; VA ",""),"")&amp;IF(COUNT(H183,M183)=2,IF(ABS(M183)&gt;ABS(H183),"RN &gt; CA ",""),"")&amp;IF(COUNT(H183,K183)=2,IF(ABS(K183)&gt;ABS(H183),"RE &gt; CA ",""),""))=0,"OK",IF(COUNT(I183,J183)=2,IF(J183&gt;I183+1,"EBE &gt; VA ",""),"")&amp;IF(COUNT(H183,M183)=2,IF(ABS(M183)&gt;ABS(H183),"RN &gt; CA ",""),"")&amp;IF(COUNT(H183,K183)=2,IF(ABS(K183)&gt;ABS(H183),"RE &gt; CA ",""),"")))</f>
        <v/>
      </c>
    </row>
    <row r="184">
      <c r="A184" s="9" t="inlineStr">
        <is>
          <t>ABJC</t>
        </is>
      </c>
      <c r="B184" s="10">
        <f>IF(A184="","",IFERROR(VLOOKUP(A184,Titres!$A$2:$B$400,2,FALSE),"Ticker inconnu"))</f>
        <v/>
      </c>
      <c r="C184" s="11" t="n">
        <v>2026</v>
      </c>
      <c r="D184" s="11" t="inlineStr">
        <is>
          <t>T3</t>
        </is>
      </c>
      <c r="E184" s="9" t="n"/>
      <c r="F184" s="12" t="n"/>
      <c r="G184" s="9" t="n"/>
      <c r="H184" s="13" t="n"/>
      <c r="I184" s="13" t="n"/>
      <c r="J184" s="13" t="n"/>
      <c r="K184" s="13" t="n"/>
      <c r="L184" s="13" t="n"/>
      <c r="M184" s="13" t="n"/>
      <c r="N184" s="14">
        <f>IF(A184="","",COUNT(H184:M184)/6)</f>
        <v/>
      </c>
      <c r="O184" s="15">
        <f>IF(COUNT(H184:M184)=0,"",IF(LEN(IF(COUNT(I184,J184)=2,IF(J184&gt;I184+1,"EBE &gt; VA ",""),"")&amp;IF(COUNT(H184,M184)=2,IF(ABS(M184)&gt;ABS(H184),"RN &gt; CA ",""),"")&amp;IF(COUNT(H184,K184)=2,IF(ABS(K184)&gt;ABS(H184),"RE &gt; CA ",""),""))=0,"OK",IF(COUNT(I184,J184)=2,IF(J184&gt;I184+1,"EBE &gt; VA ",""),"")&amp;IF(COUNT(H184,M184)=2,IF(ABS(M184)&gt;ABS(H184),"RN &gt; CA ",""),"")&amp;IF(COUNT(H184,K184)=2,IF(ABS(K184)&gt;ABS(H184),"RE &gt; CA ",""),"")))</f>
        <v/>
      </c>
    </row>
    <row r="185">
      <c r="A185" s="9" t="inlineStr">
        <is>
          <t>BNBC</t>
        </is>
      </c>
      <c r="B185" s="10">
        <f>IF(A185="","",IFERROR(VLOOKUP(A185,Titres!$A$2:$B$400,2,FALSE),"Ticker inconnu"))</f>
        <v/>
      </c>
      <c r="C185" s="11" t="n">
        <v>2021</v>
      </c>
      <c r="D185" s="11" t="inlineStr">
        <is>
          <t>T1</t>
        </is>
      </c>
      <c r="E185" s="9" t="n"/>
      <c r="F185" s="12" t="n"/>
      <c r="G185" s="9" t="n"/>
      <c r="H185" s="13" t="n"/>
      <c r="I185" s="13" t="n"/>
      <c r="J185" s="13" t="n"/>
      <c r="K185" s="13" t="n"/>
      <c r="L185" s="13" t="n"/>
      <c r="M185" s="13" t="n"/>
      <c r="N185" s="14">
        <f>IF(A185="","",COUNT(H185:M185)/6)</f>
        <v/>
      </c>
      <c r="O185" s="15">
        <f>IF(COUNT(H185:M185)=0,"",IF(LEN(IF(COUNT(I185,J185)=2,IF(J185&gt;I185+1,"EBE &gt; VA ",""),"")&amp;IF(COUNT(H185,M185)=2,IF(ABS(M185)&gt;ABS(H185),"RN &gt; CA ",""),"")&amp;IF(COUNT(H185,K185)=2,IF(ABS(K185)&gt;ABS(H185),"RE &gt; CA ",""),""))=0,"OK",IF(COUNT(I185,J185)=2,IF(J185&gt;I185+1,"EBE &gt; VA ",""),"")&amp;IF(COUNT(H185,M185)=2,IF(ABS(M185)&gt;ABS(H185),"RN &gt; CA ",""),"")&amp;IF(COUNT(H185,K185)=2,IF(ABS(K185)&gt;ABS(H185),"RE &gt; CA ",""),"")))</f>
        <v/>
      </c>
    </row>
    <row r="186">
      <c r="A186" s="9" t="inlineStr">
        <is>
          <t>BNBC</t>
        </is>
      </c>
      <c r="B186" s="10">
        <f>IF(A186="","",IFERROR(VLOOKUP(A186,Titres!$A$2:$B$400,2,FALSE),"Ticker inconnu"))</f>
        <v/>
      </c>
      <c r="C186" s="11" t="n">
        <v>2021</v>
      </c>
      <c r="D186" s="11" t="inlineStr">
        <is>
          <t>S1</t>
        </is>
      </c>
      <c r="E186" s="9" t="n"/>
      <c r="F186" s="12" t="n"/>
      <c r="G186" s="9" t="n"/>
      <c r="H186" s="13" t="n"/>
      <c r="I186" s="13" t="n"/>
      <c r="J186" s="13" t="n"/>
      <c r="K186" s="13" t="n"/>
      <c r="L186" s="13" t="n"/>
      <c r="M186" s="13" t="n"/>
      <c r="N186" s="14">
        <f>IF(A186="","",COUNT(H186:M186)/6)</f>
        <v/>
      </c>
      <c r="O186" s="15">
        <f>IF(COUNT(H186:M186)=0,"",IF(LEN(IF(COUNT(I186,J186)=2,IF(J186&gt;I186+1,"EBE &gt; VA ",""),"")&amp;IF(COUNT(H186,M186)=2,IF(ABS(M186)&gt;ABS(H186),"RN &gt; CA ",""),"")&amp;IF(COUNT(H186,K186)=2,IF(ABS(K186)&gt;ABS(H186),"RE &gt; CA ",""),""))=0,"OK",IF(COUNT(I186,J186)=2,IF(J186&gt;I186+1,"EBE &gt; VA ",""),"")&amp;IF(COUNT(H186,M186)=2,IF(ABS(M186)&gt;ABS(H186),"RN &gt; CA ",""),"")&amp;IF(COUNT(H186,K186)=2,IF(ABS(K186)&gt;ABS(H186),"RE &gt; CA ",""),"")))</f>
        <v/>
      </c>
    </row>
    <row r="187">
      <c r="A187" s="9" t="inlineStr">
        <is>
          <t>BNBC</t>
        </is>
      </c>
      <c r="B187" s="10">
        <f>IF(A187="","",IFERROR(VLOOKUP(A187,Titres!$A$2:$B$400,2,FALSE),"Ticker inconnu"))</f>
        <v/>
      </c>
      <c r="C187" s="11" t="n">
        <v>2021</v>
      </c>
      <c r="D187" s="11" t="inlineStr">
        <is>
          <t>T3</t>
        </is>
      </c>
      <c r="E187" s="9" t="n"/>
      <c r="F187" s="12" t="n"/>
      <c r="G187" s="9" t="n"/>
      <c r="H187" s="13" t="n"/>
      <c r="I187" s="13" t="n"/>
      <c r="J187" s="13" t="n"/>
      <c r="K187" s="13" t="n"/>
      <c r="L187" s="13" t="n"/>
      <c r="M187" s="13" t="n"/>
      <c r="N187" s="14">
        <f>IF(A187="","",COUNT(H187:M187)/6)</f>
        <v/>
      </c>
      <c r="O187" s="15">
        <f>IF(COUNT(H187:M187)=0,"",IF(LEN(IF(COUNT(I187,J187)=2,IF(J187&gt;I187+1,"EBE &gt; VA ",""),"")&amp;IF(COUNT(H187,M187)=2,IF(ABS(M187)&gt;ABS(H187),"RN &gt; CA ",""),"")&amp;IF(COUNT(H187,K187)=2,IF(ABS(K187)&gt;ABS(H187),"RE &gt; CA ",""),""))=0,"OK",IF(COUNT(I187,J187)=2,IF(J187&gt;I187+1,"EBE &gt; VA ",""),"")&amp;IF(COUNT(H187,M187)=2,IF(ABS(M187)&gt;ABS(H187),"RN &gt; CA ",""),"")&amp;IF(COUNT(H187,K187)=2,IF(ABS(K187)&gt;ABS(H187),"RE &gt; CA ",""),"")))</f>
        <v/>
      </c>
    </row>
    <row r="188">
      <c r="A188" s="9" t="inlineStr">
        <is>
          <t>BNBC</t>
        </is>
      </c>
      <c r="B188" s="10">
        <f>IF(A188="","",IFERROR(VLOOKUP(A188,Titres!$A$2:$B$400,2,FALSE),"Ticker inconnu"))</f>
        <v/>
      </c>
      <c r="C188" s="11" t="n">
        <v>2022</v>
      </c>
      <c r="D188" s="11" t="inlineStr">
        <is>
          <t>T1</t>
        </is>
      </c>
      <c r="E188" s="9" t="n"/>
      <c r="F188" s="12" t="n"/>
      <c r="G188" s="9" t="n"/>
      <c r="H188" s="13" t="n"/>
      <c r="I188" s="13" t="n"/>
      <c r="J188" s="13" t="n"/>
      <c r="K188" s="13" t="n"/>
      <c r="L188" s="13" t="n"/>
      <c r="M188" s="13" t="n"/>
      <c r="N188" s="14">
        <f>IF(A188="","",COUNT(H188:M188)/6)</f>
        <v/>
      </c>
      <c r="O188" s="15">
        <f>IF(COUNT(H188:M188)=0,"",IF(LEN(IF(COUNT(I188,J188)=2,IF(J188&gt;I188+1,"EBE &gt; VA ",""),"")&amp;IF(COUNT(H188,M188)=2,IF(ABS(M188)&gt;ABS(H188),"RN &gt; CA ",""),"")&amp;IF(COUNT(H188,K188)=2,IF(ABS(K188)&gt;ABS(H188),"RE &gt; CA ",""),""))=0,"OK",IF(COUNT(I188,J188)=2,IF(J188&gt;I188+1,"EBE &gt; VA ",""),"")&amp;IF(COUNT(H188,M188)=2,IF(ABS(M188)&gt;ABS(H188),"RN &gt; CA ",""),"")&amp;IF(COUNT(H188,K188)=2,IF(ABS(K188)&gt;ABS(H188),"RE &gt; CA ",""),"")))</f>
        <v/>
      </c>
    </row>
    <row r="189">
      <c r="A189" s="9" t="inlineStr">
        <is>
          <t>BNBC</t>
        </is>
      </c>
      <c r="B189" s="10">
        <f>IF(A189="","",IFERROR(VLOOKUP(A189,Titres!$A$2:$B$400,2,FALSE),"Ticker inconnu"))</f>
        <v/>
      </c>
      <c r="C189" s="11" t="n">
        <v>2022</v>
      </c>
      <c r="D189" s="11" t="inlineStr">
        <is>
          <t>S1</t>
        </is>
      </c>
      <c r="E189" s="9" t="n"/>
      <c r="F189" s="12" t="n"/>
      <c r="G189" s="9" t="n"/>
      <c r="H189" s="13" t="n"/>
      <c r="I189" s="13" t="n"/>
      <c r="J189" s="13" t="n"/>
      <c r="K189" s="13" t="n"/>
      <c r="L189" s="13" t="n"/>
      <c r="M189" s="13" t="n"/>
      <c r="N189" s="14">
        <f>IF(A189="","",COUNT(H189:M189)/6)</f>
        <v/>
      </c>
      <c r="O189" s="15">
        <f>IF(COUNT(H189:M189)=0,"",IF(LEN(IF(COUNT(I189,J189)=2,IF(J189&gt;I189+1,"EBE &gt; VA ",""),"")&amp;IF(COUNT(H189,M189)=2,IF(ABS(M189)&gt;ABS(H189),"RN &gt; CA ",""),"")&amp;IF(COUNT(H189,K189)=2,IF(ABS(K189)&gt;ABS(H189),"RE &gt; CA ",""),""))=0,"OK",IF(COUNT(I189,J189)=2,IF(J189&gt;I189+1,"EBE &gt; VA ",""),"")&amp;IF(COUNT(H189,M189)=2,IF(ABS(M189)&gt;ABS(H189),"RN &gt; CA ",""),"")&amp;IF(COUNT(H189,K189)=2,IF(ABS(K189)&gt;ABS(H189),"RE &gt; CA ",""),"")))</f>
        <v/>
      </c>
    </row>
    <row r="190">
      <c r="A190" s="9" t="inlineStr">
        <is>
          <t>BNBC</t>
        </is>
      </c>
      <c r="B190" s="10">
        <f>IF(A190="","",IFERROR(VLOOKUP(A190,Titres!$A$2:$B$400,2,FALSE),"Ticker inconnu"))</f>
        <v/>
      </c>
      <c r="C190" s="11" t="n">
        <v>2022</v>
      </c>
      <c r="D190" s="11" t="inlineStr">
        <is>
          <t>T3</t>
        </is>
      </c>
      <c r="E190" s="9" t="n"/>
      <c r="F190" s="12" t="n"/>
      <c r="G190" s="9" t="n"/>
      <c r="H190" s="13" t="n"/>
      <c r="I190" s="13" t="n"/>
      <c r="J190" s="13" t="n"/>
      <c r="K190" s="13" t="n"/>
      <c r="L190" s="13" t="n"/>
      <c r="M190" s="13" t="n"/>
      <c r="N190" s="14">
        <f>IF(A190="","",COUNT(H190:M190)/6)</f>
        <v/>
      </c>
      <c r="O190" s="15">
        <f>IF(COUNT(H190:M190)=0,"",IF(LEN(IF(COUNT(I190,J190)=2,IF(J190&gt;I190+1,"EBE &gt; VA ",""),"")&amp;IF(COUNT(H190,M190)=2,IF(ABS(M190)&gt;ABS(H190),"RN &gt; CA ",""),"")&amp;IF(COUNT(H190,K190)=2,IF(ABS(K190)&gt;ABS(H190),"RE &gt; CA ",""),""))=0,"OK",IF(COUNT(I190,J190)=2,IF(J190&gt;I190+1,"EBE &gt; VA ",""),"")&amp;IF(COUNT(H190,M190)=2,IF(ABS(M190)&gt;ABS(H190),"RN &gt; CA ",""),"")&amp;IF(COUNT(H190,K190)=2,IF(ABS(K190)&gt;ABS(H190),"RE &gt; CA ",""),"")))</f>
        <v/>
      </c>
    </row>
    <row r="191">
      <c r="A191" s="9" t="inlineStr">
        <is>
          <t>BNBC</t>
        </is>
      </c>
      <c r="B191" s="10">
        <f>IF(A191="","",IFERROR(VLOOKUP(A191,Titres!$A$2:$B$400,2,FALSE),"Ticker inconnu"))</f>
        <v/>
      </c>
      <c r="C191" s="11" t="n">
        <v>2023</v>
      </c>
      <c r="D191" s="11" t="inlineStr">
        <is>
          <t>T1</t>
        </is>
      </c>
      <c r="E191" s="9" t="n"/>
      <c r="F191" s="12" t="n"/>
      <c r="G191" s="9" t="n"/>
      <c r="H191" s="13" t="n"/>
      <c r="I191" s="13" t="n"/>
      <c r="J191" s="13" t="n"/>
      <c r="K191" s="13" t="n"/>
      <c r="L191" s="13" t="n"/>
      <c r="M191" s="13" t="n"/>
      <c r="N191" s="14">
        <f>IF(A191="","",COUNT(H191:M191)/6)</f>
        <v/>
      </c>
      <c r="O191" s="15">
        <f>IF(COUNT(H191:M191)=0,"",IF(LEN(IF(COUNT(I191,J191)=2,IF(J191&gt;I191+1,"EBE &gt; VA ",""),"")&amp;IF(COUNT(H191,M191)=2,IF(ABS(M191)&gt;ABS(H191),"RN &gt; CA ",""),"")&amp;IF(COUNT(H191,K191)=2,IF(ABS(K191)&gt;ABS(H191),"RE &gt; CA ",""),""))=0,"OK",IF(COUNT(I191,J191)=2,IF(J191&gt;I191+1,"EBE &gt; VA ",""),"")&amp;IF(COUNT(H191,M191)=2,IF(ABS(M191)&gt;ABS(H191),"RN &gt; CA ",""),"")&amp;IF(COUNT(H191,K191)=2,IF(ABS(K191)&gt;ABS(H191),"RE &gt; CA ",""),"")))</f>
        <v/>
      </c>
    </row>
    <row r="192">
      <c r="A192" s="9" t="inlineStr">
        <is>
          <t>BNBC</t>
        </is>
      </c>
      <c r="B192" s="10">
        <f>IF(A192="","",IFERROR(VLOOKUP(A192,Titres!$A$2:$B$400,2,FALSE),"Ticker inconnu"))</f>
        <v/>
      </c>
      <c r="C192" s="11" t="n">
        <v>2023</v>
      </c>
      <c r="D192" s="11" t="inlineStr">
        <is>
          <t>S1</t>
        </is>
      </c>
      <c r="E192" s="9" t="n"/>
      <c r="F192" s="12" t="n"/>
      <c r="G192" s="9" t="n"/>
      <c r="H192" s="13" t="n"/>
      <c r="I192" s="13" t="n"/>
      <c r="J192" s="13" t="n"/>
      <c r="K192" s="13" t="n"/>
      <c r="L192" s="13" t="n"/>
      <c r="M192" s="13" t="n"/>
      <c r="N192" s="14">
        <f>IF(A192="","",COUNT(H192:M192)/6)</f>
        <v/>
      </c>
      <c r="O192" s="15">
        <f>IF(COUNT(H192:M192)=0,"",IF(LEN(IF(COUNT(I192,J192)=2,IF(J192&gt;I192+1,"EBE &gt; VA ",""),"")&amp;IF(COUNT(H192,M192)=2,IF(ABS(M192)&gt;ABS(H192),"RN &gt; CA ",""),"")&amp;IF(COUNT(H192,K192)=2,IF(ABS(K192)&gt;ABS(H192),"RE &gt; CA ",""),""))=0,"OK",IF(COUNT(I192,J192)=2,IF(J192&gt;I192+1,"EBE &gt; VA ",""),"")&amp;IF(COUNT(H192,M192)=2,IF(ABS(M192)&gt;ABS(H192),"RN &gt; CA ",""),"")&amp;IF(COUNT(H192,K192)=2,IF(ABS(K192)&gt;ABS(H192),"RE &gt; CA ",""),"")))</f>
        <v/>
      </c>
    </row>
    <row r="193">
      <c r="A193" s="9" t="inlineStr">
        <is>
          <t>BNBC</t>
        </is>
      </c>
      <c r="B193" s="10">
        <f>IF(A193="","",IFERROR(VLOOKUP(A193,Titres!$A$2:$B$400,2,FALSE),"Ticker inconnu"))</f>
        <v/>
      </c>
      <c r="C193" s="11" t="n">
        <v>2023</v>
      </c>
      <c r="D193" s="11" t="inlineStr">
        <is>
          <t>T3</t>
        </is>
      </c>
      <c r="E193" s="9" t="n"/>
      <c r="F193" s="12" t="n"/>
      <c r="G193" s="9" t="n"/>
      <c r="H193" s="13" t="n"/>
      <c r="I193" s="13" t="n"/>
      <c r="J193" s="13" t="n"/>
      <c r="K193" s="13" t="n"/>
      <c r="L193" s="13" t="n"/>
      <c r="M193" s="13" t="n"/>
      <c r="N193" s="14">
        <f>IF(A193="","",COUNT(H193:M193)/6)</f>
        <v/>
      </c>
      <c r="O193" s="15">
        <f>IF(COUNT(H193:M193)=0,"",IF(LEN(IF(COUNT(I193,J193)=2,IF(J193&gt;I193+1,"EBE &gt; VA ",""),"")&amp;IF(COUNT(H193,M193)=2,IF(ABS(M193)&gt;ABS(H193),"RN &gt; CA ",""),"")&amp;IF(COUNT(H193,K193)=2,IF(ABS(K193)&gt;ABS(H193),"RE &gt; CA ",""),""))=0,"OK",IF(COUNT(I193,J193)=2,IF(J193&gt;I193+1,"EBE &gt; VA ",""),"")&amp;IF(COUNT(H193,M193)=2,IF(ABS(M193)&gt;ABS(H193),"RN &gt; CA ",""),"")&amp;IF(COUNT(H193,K193)=2,IF(ABS(K193)&gt;ABS(H193),"RE &gt; CA ",""),"")))</f>
        <v/>
      </c>
    </row>
    <row r="194">
      <c r="A194" s="9" t="inlineStr">
        <is>
          <t>BNBC</t>
        </is>
      </c>
      <c r="B194" s="10">
        <f>IF(A194="","",IFERROR(VLOOKUP(A194,Titres!$A$2:$B$400,2,FALSE),"Ticker inconnu"))</f>
        <v/>
      </c>
      <c r="C194" s="11" t="n">
        <v>2024</v>
      </c>
      <c r="D194" s="11" t="inlineStr">
        <is>
          <t>T1</t>
        </is>
      </c>
      <c r="E194" s="9" t="n"/>
      <c r="F194" s="12" t="n"/>
      <c r="G194" s="9" t="n"/>
      <c r="H194" s="13" t="n"/>
      <c r="I194" s="13" t="n"/>
      <c r="J194" s="13" t="n"/>
      <c r="K194" s="13" t="n"/>
      <c r="L194" s="13" t="n"/>
      <c r="M194" s="13" t="n"/>
      <c r="N194" s="14">
        <f>IF(A194="","",COUNT(H194:M194)/6)</f>
        <v/>
      </c>
      <c r="O194" s="15">
        <f>IF(COUNT(H194:M194)=0,"",IF(LEN(IF(COUNT(I194,J194)=2,IF(J194&gt;I194+1,"EBE &gt; VA ",""),"")&amp;IF(COUNT(H194,M194)=2,IF(ABS(M194)&gt;ABS(H194),"RN &gt; CA ",""),"")&amp;IF(COUNT(H194,K194)=2,IF(ABS(K194)&gt;ABS(H194),"RE &gt; CA ",""),""))=0,"OK",IF(COUNT(I194,J194)=2,IF(J194&gt;I194+1,"EBE &gt; VA ",""),"")&amp;IF(COUNT(H194,M194)=2,IF(ABS(M194)&gt;ABS(H194),"RN &gt; CA ",""),"")&amp;IF(COUNT(H194,K194)=2,IF(ABS(K194)&gt;ABS(H194),"RE &gt; CA ",""),"")))</f>
        <v/>
      </c>
    </row>
    <row r="195">
      <c r="A195" s="9" t="inlineStr">
        <is>
          <t>BNBC</t>
        </is>
      </c>
      <c r="B195" s="10">
        <f>IF(A195="","",IFERROR(VLOOKUP(A195,Titres!$A$2:$B$400,2,FALSE),"Ticker inconnu"))</f>
        <v/>
      </c>
      <c r="C195" s="11" t="n">
        <v>2024</v>
      </c>
      <c r="D195" s="11" t="inlineStr">
        <is>
          <t>S1</t>
        </is>
      </c>
      <c r="E195" s="9" t="n"/>
      <c r="F195" s="12" t="n"/>
      <c r="G195" s="9" t="n"/>
      <c r="H195" s="13" t="n"/>
      <c r="I195" s="13" t="n"/>
      <c r="J195" s="13" t="n"/>
      <c r="K195" s="13" t="n"/>
      <c r="L195" s="13" t="n"/>
      <c r="M195" s="13" t="n"/>
      <c r="N195" s="14">
        <f>IF(A195="","",COUNT(H195:M195)/6)</f>
        <v/>
      </c>
      <c r="O195" s="15">
        <f>IF(COUNT(H195:M195)=0,"",IF(LEN(IF(COUNT(I195,J195)=2,IF(J195&gt;I195+1,"EBE &gt; VA ",""),"")&amp;IF(COUNT(H195,M195)=2,IF(ABS(M195)&gt;ABS(H195),"RN &gt; CA ",""),"")&amp;IF(COUNT(H195,K195)=2,IF(ABS(K195)&gt;ABS(H195),"RE &gt; CA ",""),""))=0,"OK",IF(COUNT(I195,J195)=2,IF(J195&gt;I195+1,"EBE &gt; VA ",""),"")&amp;IF(COUNT(H195,M195)=2,IF(ABS(M195)&gt;ABS(H195),"RN &gt; CA ",""),"")&amp;IF(COUNT(H195,K195)=2,IF(ABS(K195)&gt;ABS(H195),"RE &gt; CA ",""),"")))</f>
        <v/>
      </c>
    </row>
    <row r="196">
      <c r="A196" s="9" t="inlineStr">
        <is>
          <t>BNBC</t>
        </is>
      </c>
      <c r="B196" s="10">
        <f>IF(A196="","",IFERROR(VLOOKUP(A196,Titres!$A$2:$B$400,2,FALSE),"Ticker inconnu"))</f>
        <v/>
      </c>
      <c r="C196" s="11" t="n">
        <v>2024</v>
      </c>
      <c r="D196" s="11" t="inlineStr">
        <is>
          <t>T3</t>
        </is>
      </c>
      <c r="E196" s="9" t="n"/>
      <c r="F196" s="12" t="n"/>
      <c r="G196" s="9" t="n"/>
      <c r="H196" s="13" t="n"/>
      <c r="I196" s="13" t="n"/>
      <c r="J196" s="13" t="n"/>
      <c r="K196" s="13" t="n"/>
      <c r="L196" s="13" t="n"/>
      <c r="M196" s="13" t="n"/>
      <c r="N196" s="14">
        <f>IF(A196="","",COUNT(H196:M196)/6)</f>
        <v/>
      </c>
      <c r="O196" s="15">
        <f>IF(COUNT(H196:M196)=0,"",IF(LEN(IF(COUNT(I196,J196)=2,IF(J196&gt;I196+1,"EBE &gt; VA ",""),"")&amp;IF(COUNT(H196,M196)=2,IF(ABS(M196)&gt;ABS(H196),"RN &gt; CA ",""),"")&amp;IF(COUNT(H196,K196)=2,IF(ABS(K196)&gt;ABS(H196),"RE &gt; CA ",""),""))=0,"OK",IF(COUNT(I196,J196)=2,IF(J196&gt;I196+1,"EBE &gt; VA ",""),"")&amp;IF(COUNT(H196,M196)=2,IF(ABS(M196)&gt;ABS(H196),"RN &gt; CA ",""),"")&amp;IF(COUNT(H196,K196)=2,IF(ABS(K196)&gt;ABS(H196),"RE &gt; CA ",""),"")))</f>
        <v/>
      </c>
    </row>
    <row r="197">
      <c r="A197" s="9" t="inlineStr">
        <is>
          <t>BNBC</t>
        </is>
      </c>
      <c r="B197" s="10">
        <f>IF(A197="","",IFERROR(VLOOKUP(A197,Titres!$A$2:$B$400,2,FALSE),"Ticker inconnu"))</f>
        <v/>
      </c>
      <c r="C197" s="11" t="n">
        <v>2025</v>
      </c>
      <c r="D197" s="11" t="inlineStr">
        <is>
          <t>T1</t>
        </is>
      </c>
      <c r="E197" s="9" t="inlineStr">
        <is>
          <t>Publié</t>
        </is>
      </c>
      <c r="F197" s="12" t="n">
        <v>46142</v>
      </c>
      <c r="G197" s="9" t="inlineStr">
        <is>
          <t>https://www.richbourse.com/common/actualite/afficher-fichier/30-04-2026-bernabe-ci-rapport-dactivites-1er-trimestre-2026 (comparatif N-1)</t>
        </is>
      </c>
      <c r="H197" s="13" t="n">
        <v>11207.24</v>
      </c>
      <c r="I197" s="13" t="n"/>
      <c r="J197" s="13" t="n"/>
      <c r="K197" s="13" t="n"/>
      <c r="L197" s="13" t="n">
        <v>-21.53</v>
      </c>
      <c r="M197" s="13" t="n">
        <v>-16.147</v>
      </c>
      <c r="N197" s="14">
        <f>IF(A197="","",COUNT(H197:M197)/6)</f>
        <v/>
      </c>
      <c r="O197" s="15">
        <f>IF(COUNT(H197:M197)=0,"",IF(LEN(IF(COUNT(I197,J197)=2,IF(J197&gt;I197+1,"EBE &gt; VA ",""),"")&amp;IF(COUNT(H197,M197)=2,IF(ABS(M197)&gt;ABS(H197),"RN &gt; CA ",""),"")&amp;IF(COUNT(H197,K197)=2,IF(ABS(K197)&gt;ABS(H197),"RE &gt; CA ",""),""))=0,"OK",IF(COUNT(I197,J197)=2,IF(J197&gt;I197+1,"EBE &gt; VA ",""),"")&amp;IF(COUNT(H197,M197)=2,IF(ABS(M197)&gt;ABS(H197),"RN &gt; CA ",""),"")&amp;IF(COUNT(H197,K197)=2,IF(ABS(K197)&gt;ABS(H197),"RE &gt; CA ",""),"")))</f>
        <v/>
      </c>
    </row>
    <row r="198">
      <c r="A198" s="9" t="inlineStr">
        <is>
          <t>BNBC</t>
        </is>
      </c>
      <c r="B198" s="10">
        <f>IF(A198="","",IFERROR(VLOOKUP(A198,Titres!$A$2:$B$400,2,FALSE),"Ticker inconnu"))</f>
        <v/>
      </c>
      <c r="C198" s="11" t="n">
        <v>2025</v>
      </c>
      <c r="D198" s="11" t="inlineStr">
        <is>
          <t>S1</t>
        </is>
      </c>
      <c r="E198" s="9" t="n"/>
      <c r="F198" s="12" t="n"/>
      <c r="G198" s="9" t="n"/>
      <c r="H198" s="13" t="n"/>
      <c r="I198" s="13" t="n"/>
      <c r="J198" s="13" t="n"/>
      <c r="K198" s="13" t="n"/>
      <c r="L198" s="13" t="n"/>
      <c r="M198" s="13" t="n"/>
      <c r="N198" s="14">
        <f>IF(A198="","",COUNT(H198:M198)/6)</f>
        <v/>
      </c>
      <c r="O198" s="15">
        <f>IF(COUNT(H198:M198)=0,"",IF(LEN(IF(COUNT(I198,J198)=2,IF(J198&gt;I198+1,"EBE &gt; VA ",""),"")&amp;IF(COUNT(H198,M198)=2,IF(ABS(M198)&gt;ABS(H198),"RN &gt; CA ",""),"")&amp;IF(COUNT(H198,K198)=2,IF(ABS(K198)&gt;ABS(H198),"RE &gt; CA ",""),""))=0,"OK",IF(COUNT(I198,J198)=2,IF(J198&gt;I198+1,"EBE &gt; VA ",""),"")&amp;IF(COUNT(H198,M198)=2,IF(ABS(M198)&gt;ABS(H198),"RN &gt; CA ",""),"")&amp;IF(COUNT(H198,K198)=2,IF(ABS(K198)&gt;ABS(H198),"RE &gt; CA ",""),"")))</f>
        <v/>
      </c>
    </row>
    <row r="199">
      <c r="A199" s="9" t="inlineStr">
        <is>
          <t>BNBC</t>
        </is>
      </c>
      <c r="B199" s="10">
        <f>IF(A199="","",IFERROR(VLOOKUP(A199,Titres!$A$2:$B$400,2,FALSE),"Ticker inconnu"))</f>
        <v/>
      </c>
      <c r="C199" s="11" t="n">
        <v>2025</v>
      </c>
      <c r="D199" s="11" t="inlineStr">
        <is>
          <t>T3</t>
        </is>
      </c>
      <c r="E199" s="9" t="n"/>
      <c r="F199" s="12" t="n"/>
      <c r="G199" s="9" t="n"/>
      <c r="H199" s="13" t="n"/>
      <c r="I199" s="13" t="n"/>
      <c r="J199" s="13" t="n"/>
      <c r="K199" s="13" t="n"/>
      <c r="L199" s="13" t="n"/>
      <c r="M199" s="13" t="n"/>
      <c r="N199" s="14">
        <f>IF(A199="","",COUNT(H199:M199)/6)</f>
        <v/>
      </c>
      <c r="O199" s="15">
        <f>IF(COUNT(H199:M199)=0,"",IF(LEN(IF(COUNT(I199,J199)=2,IF(J199&gt;I199+1,"EBE &gt; VA ",""),"")&amp;IF(COUNT(H199,M199)=2,IF(ABS(M199)&gt;ABS(H199),"RN &gt; CA ",""),"")&amp;IF(COUNT(H199,K199)=2,IF(ABS(K199)&gt;ABS(H199),"RE &gt; CA ",""),""))=0,"OK",IF(COUNT(I199,J199)=2,IF(J199&gt;I199+1,"EBE &gt; VA ",""),"")&amp;IF(COUNT(H199,M199)=2,IF(ABS(M199)&gt;ABS(H199),"RN &gt; CA ",""),"")&amp;IF(COUNT(H199,K199)=2,IF(ABS(K199)&gt;ABS(H199),"RE &gt; CA ",""),"")))</f>
        <v/>
      </c>
    </row>
    <row r="200">
      <c r="A200" s="9" t="inlineStr">
        <is>
          <t>BNBC</t>
        </is>
      </c>
      <c r="B200" s="10">
        <f>IF(A200="","",IFERROR(VLOOKUP(A200,Titres!$A$2:$B$400,2,FALSE),"Ticker inconnu"))</f>
        <v/>
      </c>
      <c r="C200" s="11" t="n">
        <v>2026</v>
      </c>
      <c r="D200" s="11" t="inlineStr">
        <is>
          <t>T1</t>
        </is>
      </c>
      <c r="E200" s="9" t="inlineStr">
        <is>
          <t>Publié</t>
        </is>
      </c>
      <c r="F200" s="12" t="n">
        <v>46142</v>
      </c>
      <c r="G200" s="9" t="inlineStr">
        <is>
          <t>https://www.richbourse.com/common/actualite/afficher-fichier/30-04-2026-bernabe-ci-rapport-dactivites-1er-trimestre-2026</t>
        </is>
      </c>
      <c r="H200" s="13" t="n">
        <v>11194.069</v>
      </c>
      <c r="I200" s="13" t="n"/>
      <c r="J200" s="13" t="n"/>
      <c r="K200" s="13" t="n"/>
      <c r="L200" s="13" t="n">
        <v>65.566</v>
      </c>
      <c r="M200" s="13" t="n">
        <v>65.566</v>
      </c>
      <c r="N200" s="14">
        <f>IF(A200="","",COUNT(H200:M200)/6)</f>
        <v/>
      </c>
      <c r="O200" s="15">
        <f>IF(COUNT(H200:M200)=0,"",IF(LEN(IF(COUNT(I200,J200)=2,IF(J200&gt;I200+1,"EBE &gt; VA ",""),"")&amp;IF(COUNT(H200,M200)=2,IF(ABS(M200)&gt;ABS(H200),"RN &gt; CA ",""),"")&amp;IF(COUNT(H200,K200)=2,IF(ABS(K200)&gt;ABS(H200),"RE &gt; CA ",""),""))=0,"OK",IF(COUNT(I200,J200)=2,IF(J200&gt;I200+1,"EBE &gt; VA ",""),"")&amp;IF(COUNT(H200,M200)=2,IF(ABS(M200)&gt;ABS(H200),"RN &gt; CA ",""),"")&amp;IF(COUNT(H200,K200)=2,IF(ABS(K200)&gt;ABS(H200),"RE &gt; CA ",""),"")))</f>
        <v/>
      </c>
    </row>
    <row r="201">
      <c r="A201" s="9" t="inlineStr">
        <is>
          <t>BNBC</t>
        </is>
      </c>
      <c r="B201" s="10">
        <f>IF(A201="","",IFERROR(VLOOKUP(A201,Titres!$A$2:$B$400,2,FALSE),"Ticker inconnu"))</f>
        <v/>
      </c>
      <c r="C201" s="11" t="n">
        <v>2026</v>
      </c>
      <c r="D201" s="11" t="inlineStr">
        <is>
          <t>S1</t>
        </is>
      </c>
      <c r="E201" s="9" t="n"/>
      <c r="F201" s="12" t="n"/>
      <c r="G201" s="9" t="n"/>
      <c r="H201" s="13" t="n"/>
      <c r="I201" s="13" t="n"/>
      <c r="J201" s="13" t="n"/>
      <c r="K201" s="13" t="n"/>
      <c r="L201" s="13" t="n"/>
      <c r="M201" s="13" t="n"/>
      <c r="N201" s="14">
        <f>IF(A201="","",COUNT(H201:M201)/6)</f>
        <v/>
      </c>
      <c r="O201" s="15">
        <f>IF(COUNT(H201:M201)=0,"",IF(LEN(IF(COUNT(I201,J201)=2,IF(J201&gt;I201+1,"EBE &gt; VA ",""),"")&amp;IF(COUNT(H201,M201)=2,IF(ABS(M201)&gt;ABS(H201),"RN &gt; CA ",""),"")&amp;IF(COUNT(H201,K201)=2,IF(ABS(K201)&gt;ABS(H201),"RE &gt; CA ",""),""))=0,"OK",IF(COUNT(I201,J201)=2,IF(J201&gt;I201+1,"EBE &gt; VA ",""),"")&amp;IF(COUNT(H201,M201)=2,IF(ABS(M201)&gt;ABS(H201),"RN &gt; CA ",""),"")&amp;IF(COUNT(H201,K201)=2,IF(ABS(K201)&gt;ABS(H201),"RE &gt; CA ",""),"")))</f>
        <v/>
      </c>
    </row>
    <row r="202">
      <c r="A202" s="9" t="inlineStr">
        <is>
          <t>BNBC</t>
        </is>
      </c>
      <c r="B202" s="10">
        <f>IF(A202="","",IFERROR(VLOOKUP(A202,Titres!$A$2:$B$400,2,FALSE),"Ticker inconnu"))</f>
        <v/>
      </c>
      <c r="C202" s="11" t="n">
        <v>2026</v>
      </c>
      <c r="D202" s="11" t="inlineStr">
        <is>
          <t>T3</t>
        </is>
      </c>
      <c r="E202" s="9" t="n"/>
      <c r="F202" s="12" t="n"/>
      <c r="G202" s="9" t="n"/>
      <c r="H202" s="13" t="n"/>
      <c r="I202" s="13" t="n"/>
      <c r="J202" s="13" t="n"/>
      <c r="K202" s="13" t="n"/>
      <c r="L202" s="13" t="n"/>
      <c r="M202" s="13" t="n"/>
      <c r="N202" s="14">
        <f>IF(A202="","",COUNT(H202:M202)/6)</f>
        <v/>
      </c>
      <c r="O202" s="15">
        <f>IF(COUNT(H202:M202)=0,"",IF(LEN(IF(COUNT(I202,J202)=2,IF(J202&gt;I202+1,"EBE &gt; VA ",""),"")&amp;IF(COUNT(H202,M202)=2,IF(ABS(M202)&gt;ABS(H202),"RN &gt; CA ",""),"")&amp;IF(COUNT(H202,K202)=2,IF(ABS(K202)&gt;ABS(H202),"RE &gt; CA ",""),""))=0,"OK",IF(COUNT(I202,J202)=2,IF(J202&gt;I202+1,"EBE &gt; VA ",""),"")&amp;IF(COUNT(H202,M202)=2,IF(ABS(M202)&gt;ABS(H202),"RN &gt; CA ",""),"")&amp;IF(COUNT(H202,K202)=2,IF(ABS(K202)&gt;ABS(H202),"RE &gt; CA ",""),"")))</f>
        <v/>
      </c>
    </row>
    <row r="203">
      <c r="A203" s="9" t="inlineStr">
        <is>
          <t>CFAC</t>
        </is>
      </c>
      <c r="B203" s="10">
        <f>IF(A203="","",IFERROR(VLOOKUP(A203,Titres!$A$2:$B$400,2,FALSE),"Ticker inconnu"))</f>
        <v/>
      </c>
      <c r="C203" s="11" t="n">
        <v>2021</v>
      </c>
      <c r="D203" s="11" t="inlineStr">
        <is>
          <t>T1</t>
        </is>
      </c>
      <c r="E203" s="9" t="n"/>
      <c r="F203" s="12" t="n"/>
      <c r="G203" s="9" t="n"/>
      <c r="H203" s="13" t="n"/>
      <c r="I203" s="13" t="n"/>
      <c r="J203" s="13" t="n"/>
      <c r="K203" s="13" t="n"/>
      <c r="L203" s="13" t="n"/>
      <c r="M203" s="13" t="n"/>
      <c r="N203" s="14">
        <f>IF(A203="","",COUNT(H203:M203)/6)</f>
        <v/>
      </c>
      <c r="O203" s="15">
        <f>IF(COUNT(H203:M203)=0,"",IF(LEN(IF(COUNT(I203,J203)=2,IF(J203&gt;I203+1,"EBE &gt; VA ",""),"")&amp;IF(COUNT(H203,M203)=2,IF(ABS(M203)&gt;ABS(H203),"RN &gt; CA ",""),"")&amp;IF(COUNT(H203,K203)=2,IF(ABS(K203)&gt;ABS(H203),"RE &gt; CA ",""),""))=0,"OK",IF(COUNT(I203,J203)=2,IF(J203&gt;I203+1,"EBE &gt; VA ",""),"")&amp;IF(COUNT(H203,M203)=2,IF(ABS(M203)&gt;ABS(H203),"RN &gt; CA ",""),"")&amp;IF(COUNT(H203,K203)=2,IF(ABS(K203)&gt;ABS(H203),"RE &gt; CA ",""),"")))</f>
        <v/>
      </c>
    </row>
    <row r="204">
      <c r="A204" s="9" t="inlineStr">
        <is>
          <t>CFAC</t>
        </is>
      </c>
      <c r="B204" s="10">
        <f>IF(A204="","",IFERROR(VLOOKUP(A204,Titres!$A$2:$B$400,2,FALSE),"Ticker inconnu"))</f>
        <v/>
      </c>
      <c r="C204" s="11" t="n">
        <v>2021</v>
      </c>
      <c r="D204" s="11" t="inlineStr">
        <is>
          <t>S1</t>
        </is>
      </c>
      <c r="E204" s="9" t="n"/>
      <c r="F204" s="12" t="n"/>
      <c r="G204" s="9" t="n"/>
      <c r="H204" s="13" t="n"/>
      <c r="I204" s="13" t="n"/>
      <c r="J204" s="13" t="n"/>
      <c r="K204" s="13" t="n"/>
      <c r="L204" s="13" t="n"/>
      <c r="M204" s="13" t="n"/>
      <c r="N204" s="14">
        <f>IF(A204="","",COUNT(H204:M204)/6)</f>
        <v/>
      </c>
      <c r="O204" s="15">
        <f>IF(COUNT(H204:M204)=0,"",IF(LEN(IF(COUNT(I204,J204)=2,IF(J204&gt;I204+1,"EBE &gt; VA ",""),"")&amp;IF(COUNT(H204,M204)=2,IF(ABS(M204)&gt;ABS(H204),"RN &gt; CA ",""),"")&amp;IF(COUNT(H204,K204)=2,IF(ABS(K204)&gt;ABS(H204),"RE &gt; CA ",""),""))=0,"OK",IF(COUNT(I204,J204)=2,IF(J204&gt;I204+1,"EBE &gt; VA ",""),"")&amp;IF(COUNT(H204,M204)=2,IF(ABS(M204)&gt;ABS(H204),"RN &gt; CA ",""),"")&amp;IF(COUNT(H204,K204)=2,IF(ABS(K204)&gt;ABS(H204),"RE &gt; CA ",""),"")))</f>
        <v/>
      </c>
    </row>
    <row r="205">
      <c r="A205" s="9" t="inlineStr">
        <is>
          <t>CFAC</t>
        </is>
      </c>
      <c r="B205" s="10">
        <f>IF(A205="","",IFERROR(VLOOKUP(A205,Titres!$A$2:$B$400,2,FALSE),"Ticker inconnu"))</f>
        <v/>
      </c>
      <c r="C205" s="11" t="n">
        <v>2021</v>
      </c>
      <c r="D205" s="11" t="inlineStr">
        <is>
          <t>T3</t>
        </is>
      </c>
      <c r="E205" s="9" t="n"/>
      <c r="F205" s="12" t="n"/>
      <c r="G205" s="9" t="n"/>
      <c r="H205" s="13" t="n"/>
      <c r="I205" s="13" t="n"/>
      <c r="J205" s="13" t="n"/>
      <c r="K205" s="13" t="n"/>
      <c r="L205" s="13" t="n"/>
      <c r="M205" s="13" t="n"/>
      <c r="N205" s="14">
        <f>IF(A205="","",COUNT(H205:M205)/6)</f>
        <v/>
      </c>
      <c r="O205" s="15">
        <f>IF(COUNT(H205:M205)=0,"",IF(LEN(IF(COUNT(I205,J205)=2,IF(J205&gt;I205+1,"EBE &gt; VA ",""),"")&amp;IF(COUNT(H205,M205)=2,IF(ABS(M205)&gt;ABS(H205),"RN &gt; CA ",""),"")&amp;IF(COUNT(H205,K205)=2,IF(ABS(K205)&gt;ABS(H205),"RE &gt; CA ",""),""))=0,"OK",IF(COUNT(I205,J205)=2,IF(J205&gt;I205+1,"EBE &gt; VA ",""),"")&amp;IF(COUNT(H205,M205)=2,IF(ABS(M205)&gt;ABS(H205),"RN &gt; CA ",""),"")&amp;IF(COUNT(H205,K205)=2,IF(ABS(K205)&gt;ABS(H205),"RE &gt; CA ",""),"")))</f>
        <v/>
      </c>
    </row>
    <row r="206">
      <c r="A206" s="9" t="inlineStr">
        <is>
          <t>CFAC</t>
        </is>
      </c>
      <c r="B206" s="10">
        <f>IF(A206="","",IFERROR(VLOOKUP(A206,Titres!$A$2:$B$400,2,FALSE),"Ticker inconnu"))</f>
        <v/>
      </c>
      <c r="C206" s="11" t="n">
        <v>2022</v>
      </c>
      <c r="D206" s="11" t="inlineStr">
        <is>
          <t>T1</t>
        </is>
      </c>
      <c r="E206" s="9" t="n"/>
      <c r="F206" s="12" t="n"/>
      <c r="G206" s="9" t="n"/>
      <c r="H206" s="13" t="n"/>
      <c r="I206" s="13" t="n"/>
      <c r="J206" s="13" t="n"/>
      <c r="K206" s="13" t="n"/>
      <c r="L206" s="13" t="n"/>
      <c r="M206" s="13" t="n"/>
      <c r="N206" s="14">
        <f>IF(A206="","",COUNT(H206:M206)/6)</f>
        <v/>
      </c>
      <c r="O206" s="15">
        <f>IF(COUNT(H206:M206)=0,"",IF(LEN(IF(COUNT(I206,J206)=2,IF(J206&gt;I206+1,"EBE &gt; VA ",""),"")&amp;IF(COUNT(H206,M206)=2,IF(ABS(M206)&gt;ABS(H206),"RN &gt; CA ",""),"")&amp;IF(COUNT(H206,K206)=2,IF(ABS(K206)&gt;ABS(H206),"RE &gt; CA ",""),""))=0,"OK",IF(COUNT(I206,J206)=2,IF(J206&gt;I206+1,"EBE &gt; VA ",""),"")&amp;IF(COUNT(H206,M206)=2,IF(ABS(M206)&gt;ABS(H206),"RN &gt; CA ",""),"")&amp;IF(COUNT(H206,K206)=2,IF(ABS(K206)&gt;ABS(H206),"RE &gt; CA ",""),"")))</f>
        <v/>
      </c>
    </row>
    <row r="207">
      <c r="A207" s="9" t="inlineStr">
        <is>
          <t>CFAC</t>
        </is>
      </c>
      <c r="B207" s="10">
        <f>IF(A207="","",IFERROR(VLOOKUP(A207,Titres!$A$2:$B$400,2,FALSE),"Ticker inconnu"))</f>
        <v/>
      </c>
      <c r="C207" s="11" t="n">
        <v>2022</v>
      </c>
      <c r="D207" s="11" t="inlineStr">
        <is>
          <t>S1</t>
        </is>
      </c>
      <c r="E207" s="9" t="n"/>
      <c r="F207" s="12" t="n"/>
      <c r="G207" s="9" t="n"/>
      <c r="H207" s="13" t="n"/>
      <c r="I207" s="13" t="n"/>
      <c r="J207" s="13" t="n"/>
      <c r="K207" s="13" t="n"/>
      <c r="L207" s="13" t="n"/>
      <c r="M207" s="13" t="n"/>
      <c r="N207" s="14">
        <f>IF(A207="","",COUNT(H207:M207)/6)</f>
        <v/>
      </c>
      <c r="O207" s="15">
        <f>IF(COUNT(H207:M207)=0,"",IF(LEN(IF(COUNT(I207,J207)=2,IF(J207&gt;I207+1,"EBE &gt; VA ",""),"")&amp;IF(COUNT(H207,M207)=2,IF(ABS(M207)&gt;ABS(H207),"RN &gt; CA ",""),"")&amp;IF(COUNT(H207,K207)=2,IF(ABS(K207)&gt;ABS(H207),"RE &gt; CA ",""),""))=0,"OK",IF(COUNT(I207,J207)=2,IF(J207&gt;I207+1,"EBE &gt; VA ",""),"")&amp;IF(COUNT(H207,M207)=2,IF(ABS(M207)&gt;ABS(H207),"RN &gt; CA ",""),"")&amp;IF(COUNT(H207,K207)=2,IF(ABS(K207)&gt;ABS(H207),"RE &gt; CA ",""),"")))</f>
        <v/>
      </c>
    </row>
    <row r="208">
      <c r="A208" s="9" t="inlineStr">
        <is>
          <t>CFAC</t>
        </is>
      </c>
      <c r="B208" s="10">
        <f>IF(A208="","",IFERROR(VLOOKUP(A208,Titres!$A$2:$B$400,2,FALSE),"Ticker inconnu"))</f>
        <v/>
      </c>
      <c r="C208" s="11" t="n">
        <v>2022</v>
      </c>
      <c r="D208" s="11" t="inlineStr">
        <is>
          <t>T3</t>
        </is>
      </c>
      <c r="E208" s="9" t="n"/>
      <c r="F208" s="12" t="n"/>
      <c r="G208" s="9" t="n"/>
      <c r="H208" s="13" t="n"/>
      <c r="I208" s="13" t="n"/>
      <c r="J208" s="13" t="n"/>
      <c r="K208" s="13" t="n"/>
      <c r="L208" s="13" t="n"/>
      <c r="M208" s="13" t="n"/>
      <c r="N208" s="14">
        <f>IF(A208="","",COUNT(H208:M208)/6)</f>
        <v/>
      </c>
      <c r="O208" s="15">
        <f>IF(COUNT(H208:M208)=0,"",IF(LEN(IF(COUNT(I208,J208)=2,IF(J208&gt;I208+1,"EBE &gt; VA ",""),"")&amp;IF(COUNT(H208,M208)=2,IF(ABS(M208)&gt;ABS(H208),"RN &gt; CA ",""),"")&amp;IF(COUNT(H208,K208)=2,IF(ABS(K208)&gt;ABS(H208),"RE &gt; CA ",""),""))=0,"OK",IF(COUNT(I208,J208)=2,IF(J208&gt;I208+1,"EBE &gt; VA ",""),"")&amp;IF(COUNT(H208,M208)=2,IF(ABS(M208)&gt;ABS(H208),"RN &gt; CA ",""),"")&amp;IF(COUNT(H208,K208)=2,IF(ABS(K208)&gt;ABS(H208),"RE &gt; CA ",""),"")))</f>
        <v/>
      </c>
    </row>
    <row r="209">
      <c r="A209" s="9" t="inlineStr">
        <is>
          <t>CFAC</t>
        </is>
      </c>
      <c r="B209" s="10">
        <f>IF(A209="","",IFERROR(VLOOKUP(A209,Titres!$A$2:$B$400,2,FALSE),"Ticker inconnu"))</f>
        <v/>
      </c>
      <c r="C209" s="11" t="n">
        <v>2023</v>
      </c>
      <c r="D209" s="11" t="inlineStr">
        <is>
          <t>T1</t>
        </is>
      </c>
      <c r="E209" s="9" t="n"/>
      <c r="F209" s="12" t="n"/>
      <c r="G209" s="9" t="n"/>
      <c r="H209" s="13" t="n"/>
      <c r="I209" s="13" t="n"/>
      <c r="J209" s="13" t="n"/>
      <c r="K209" s="13" t="n"/>
      <c r="L209" s="13" t="n"/>
      <c r="M209" s="13" t="n"/>
      <c r="N209" s="14">
        <f>IF(A209="","",COUNT(H209:M209)/6)</f>
        <v/>
      </c>
      <c r="O209" s="15">
        <f>IF(COUNT(H209:M209)=0,"",IF(LEN(IF(COUNT(I209,J209)=2,IF(J209&gt;I209+1,"EBE &gt; VA ",""),"")&amp;IF(COUNT(H209,M209)=2,IF(ABS(M209)&gt;ABS(H209),"RN &gt; CA ",""),"")&amp;IF(COUNT(H209,K209)=2,IF(ABS(K209)&gt;ABS(H209),"RE &gt; CA ",""),""))=0,"OK",IF(COUNT(I209,J209)=2,IF(J209&gt;I209+1,"EBE &gt; VA ",""),"")&amp;IF(COUNT(H209,M209)=2,IF(ABS(M209)&gt;ABS(H209),"RN &gt; CA ",""),"")&amp;IF(COUNT(H209,K209)=2,IF(ABS(K209)&gt;ABS(H209),"RE &gt; CA ",""),"")))</f>
        <v/>
      </c>
    </row>
    <row r="210">
      <c r="A210" s="9" t="inlineStr">
        <is>
          <t>CFAC</t>
        </is>
      </c>
      <c r="B210" s="10">
        <f>IF(A210="","",IFERROR(VLOOKUP(A210,Titres!$A$2:$B$400,2,FALSE),"Ticker inconnu"))</f>
        <v/>
      </c>
      <c r="C210" s="11" t="n">
        <v>2023</v>
      </c>
      <c r="D210" s="11" t="inlineStr">
        <is>
          <t>S1</t>
        </is>
      </c>
      <c r="E210" s="9" t="n"/>
      <c r="F210" s="12" t="n"/>
      <c r="G210" s="9" t="n"/>
      <c r="H210" s="13" t="n"/>
      <c r="I210" s="13" t="n"/>
      <c r="J210" s="13" t="n"/>
      <c r="K210" s="13" t="n"/>
      <c r="L210" s="13" t="n"/>
      <c r="M210" s="13" t="n"/>
      <c r="N210" s="14">
        <f>IF(A210="","",COUNT(H210:M210)/6)</f>
        <v/>
      </c>
      <c r="O210" s="15">
        <f>IF(COUNT(H210:M210)=0,"",IF(LEN(IF(COUNT(I210,J210)=2,IF(J210&gt;I210+1,"EBE &gt; VA ",""),"")&amp;IF(COUNT(H210,M210)=2,IF(ABS(M210)&gt;ABS(H210),"RN &gt; CA ",""),"")&amp;IF(COUNT(H210,K210)=2,IF(ABS(K210)&gt;ABS(H210),"RE &gt; CA ",""),""))=0,"OK",IF(COUNT(I210,J210)=2,IF(J210&gt;I210+1,"EBE &gt; VA ",""),"")&amp;IF(COUNT(H210,M210)=2,IF(ABS(M210)&gt;ABS(H210),"RN &gt; CA ",""),"")&amp;IF(COUNT(H210,K210)=2,IF(ABS(K210)&gt;ABS(H210),"RE &gt; CA ",""),"")))</f>
        <v/>
      </c>
    </row>
    <row r="211">
      <c r="A211" s="9" t="inlineStr">
        <is>
          <t>CFAC</t>
        </is>
      </c>
      <c r="B211" s="10">
        <f>IF(A211="","",IFERROR(VLOOKUP(A211,Titres!$A$2:$B$400,2,FALSE),"Ticker inconnu"))</f>
        <v/>
      </c>
      <c r="C211" s="11" t="n">
        <v>2023</v>
      </c>
      <c r="D211" s="11" t="inlineStr">
        <is>
          <t>T3</t>
        </is>
      </c>
      <c r="E211" s="9" t="n"/>
      <c r="F211" s="12" t="n"/>
      <c r="G211" s="9" t="n"/>
      <c r="H211" s="13" t="n"/>
      <c r="I211" s="13" t="n"/>
      <c r="J211" s="13" t="n"/>
      <c r="K211" s="13" t="n"/>
      <c r="L211" s="13" t="n"/>
      <c r="M211" s="13" t="n"/>
      <c r="N211" s="14">
        <f>IF(A211="","",COUNT(H211:M211)/6)</f>
        <v/>
      </c>
      <c r="O211" s="15">
        <f>IF(COUNT(H211:M211)=0,"",IF(LEN(IF(COUNT(I211,J211)=2,IF(J211&gt;I211+1,"EBE &gt; VA ",""),"")&amp;IF(COUNT(H211,M211)=2,IF(ABS(M211)&gt;ABS(H211),"RN &gt; CA ",""),"")&amp;IF(COUNT(H211,K211)=2,IF(ABS(K211)&gt;ABS(H211),"RE &gt; CA ",""),""))=0,"OK",IF(COUNT(I211,J211)=2,IF(J211&gt;I211+1,"EBE &gt; VA ",""),"")&amp;IF(COUNT(H211,M211)=2,IF(ABS(M211)&gt;ABS(H211),"RN &gt; CA ",""),"")&amp;IF(COUNT(H211,K211)=2,IF(ABS(K211)&gt;ABS(H211),"RE &gt; CA ",""),"")))</f>
        <v/>
      </c>
    </row>
    <row r="212">
      <c r="A212" s="9" t="inlineStr">
        <is>
          <t>CFAC</t>
        </is>
      </c>
      <c r="B212" s="10">
        <f>IF(A212="","",IFERROR(VLOOKUP(A212,Titres!$A$2:$B$400,2,FALSE),"Ticker inconnu"))</f>
        <v/>
      </c>
      <c r="C212" s="11" t="n">
        <v>2024</v>
      </c>
      <c r="D212" s="11" t="inlineStr">
        <is>
          <t>T1</t>
        </is>
      </c>
      <c r="E212" s="9" t="n"/>
      <c r="F212" s="12" t="n"/>
      <c r="G212" s="9" t="n"/>
      <c r="H212" s="13" t="n"/>
      <c r="I212" s="13" t="n"/>
      <c r="J212" s="13" t="n"/>
      <c r="K212" s="13" t="n"/>
      <c r="L212" s="13" t="n"/>
      <c r="M212" s="13" t="n"/>
      <c r="N212" s="14">
        <f>IF(A212="","",COUNT(H212:M212)/6)</f>
        <v/>
      </c>
      <c r="O212" s="15">
        <f>IF(COUNT(H212:M212)=0,"",IF(LEN(IF(COUNT(I212,J212)=2,IF(J212&gt;I212+1,"EBE &gt; VA ",""),"")&amp;IF(COUNT(H212,M212)=2,IF(ABS(M212)&gt;ABS(H212),"RN &gt; CA ",""),"")&amp;IF(COUNT(H212,K212)=2,IF(ABS(K212)&gt;ABS(H212),"RE &gt; CA ",""),""))=0,"OK",IF(COUNT(I212,J212)=2,IF(J212&gt;I212+1,"EBE &gt; VA ",""),"")&amp;IF(COUNT(H212,M212)=2,IF(ABS(M212)&gt;ABS(H212),"RN &gt; CA ",""),"")&amp;IF(COUNT(H212,K212)=2,IF(ABS(K212)&gt;ABS(H212),"RE &gt; CA ",""),"")))</f>
        <v/>
      </c>
    </row>
    <row r="213">
      <c r="A213" s="9" t="inlineStr">
        <is>
          <t>CFAC</t>
        </is>
      </c>
      <c r="B213" s="10">
        <f>IF(A213="","",IFERROR(VLOOKUP(A213,Titres!$A$2:$B$400,2,FALSE),"Ticker inconnu"))</f>
        <v/>
      </c>
      <c r="C213" s="11" t="n">
        <v>2024</v>
      </c>
      <c r="D213" s="11" t="inlineStr">
        <is>
          <t>S1</t>
        </is>
      </c>
      <c r="E213" s="9" t="n"/>
      <c r="F213" s="12" t="n"/>
      <c r="G213" s="9" t="n"/>
      <c r="H213" s="13" t="n"/>
      <c r="I213" s="13" t="n"/>
      <c r="J213" s="13" t="n"/>
      <c r="K213" s="13" t="n"/>
      <c r="L213" s="13" t="n"/>
      <c r="M213" s="13" t="n"/>
      <c r="N213" s="14">
        <f>IF(A213="","",COUNT(H213:M213)/6)</f>
        <v/>
      </c>
      <c r="O213" s="15">
        <f>IF(COUNT(H213:M213)=0,"",IF(LEN(IF(COUNT(I213,J213)=2,IF(J213&gt;I213+1,"EBE &gt; VA ",""),"")&amp;IF(COUNT(H213,M213)=2,IF(ABS(M213)&gt;ABS(H213),"RN &gt; CA ",""),"")&amp;IF(COUNT(H213,K213)=2,IF(ABS(K213)&gt;ABS(H213),"RE &gt; CA ",""),""))=0,"OK",IF(COUNT(I213,J213)=2,IF(J213&gt;I213+1,"EBE &gt; VA ",""),"")&amp;IF(COUNT(H213,M213)=2,IF(ABS(M213)&gt;ABS(H213),"RN &gt; CA ",""),"")&amp;IF(COUNT(H213,K213)=2,IF(ABS(K213)&gt;ABS(H213),"RE &gt; CA ",""),"")))</f>
        <v/>
      </c>
    </row>
    <row r="214">
      <c r="A214" s="9" t="inlineStr">
        <is>
          <t>CFAC</t>
        </is>
      </c>
      <c r="B214" s="10">
        <f>IF(A214="","",IFERROR(VLOOKUP(A214,Titres!$A$2:$B$400,2,FALSE),"Ticker inconnu"))</f>
        <v/>
      </c>
      <c r="C214" s="11" t="n">
        <v>2024</v>
      </c>
      <c r="D214" s="11" t="inlineStr">
        <is>
          <t>T3</t>
        </is>
      </c>
      <c r="E214" s="9" t="n"/>
      <c r="F214" s="12" t="n"/>
      <c r="G214" s="9" t="n"/>
      <c r="H214" s="13" t="n"/>
      <c r="I214" s="13" t="n"/>
      <c r="J214" s="13" t="n"/>
      <c r="K214" s="13" t="n"/>
      <c r="L214" s="13" t="n"/>
      <c r="M214" s="13" t="n"/>
      <c r="N214" s="14">
        <f>IF(A214="","",COUNT(H214:M214)/6)</f>
        <v/>
      </c>
      <c r="O214" s="15">
        <f>IF(COUNT(H214:M214)=0,"",IF(LEN(IF(COUNT(I214,J214)=2,IF(J214&gt;I214+1,"EBE &gt; VA ",""),"")&amp;IF(COUNT(H214,M214)=2,IF(ABS(M214)&gt;ABS(H214),"RN &gt; CA ",""),"")&amp;IF(COUNT(H214,K214)=2,IF(ABS(K214)&gt;ABS(H214),"RE &gt; CA ",""),""))=0,"OK",IF(COUNT(I214,J214)=2,IF(J214&gt;I214+1,"EBE &gt; VA ",""),"")&amp;IF(COUNT(H214,M214)=2,IF(ABS(M214)&gt;ABS(H214),"RN &gt; CA ",""),"")&amp;IF(COUNT(H214,K214)=2,IF(ABS(K214)&gt;ABS(H214),"RE &gt; CA ",""),"")))</f>
        <v/>
      </c>
    </row>
    <row r="215">
      <c r="A215" s="9" t="inlineStr">
        <is>
          <t>CFAC</t>
        </is>
      </c>
      <c r="B215" s="10">
        <f>IF(A215="","",IFERROR(VLOOKUP(A215,Titres!$A$2:$B$400,2,FALSE),"Ticker inconnu"))</f>
        <v/>
      </c>
      <c r="C215" s="11" t="n">
        <v>2025</v>
      </c>
      <c r="D215" s="11" t="inlineStr">
        <is>
          <t>T1</t>
        </is>
      </c>
      <c r="E215" s="9" t="n"/>
      <c r="F215" s="12" t="n"/>
      <c r="G215" s="9" t="n"/>
      <c r="H215" s="13" t="n"/>
      <c r="I215" s="13" t="n"/>
      <c r="J215" s="13" t="n"/>
      <c r="K215" s="13" t="n"/>
      <c r="L215" s="13" t="n"/>
      <c r="M215" s="13" t="n"/>
      <c r="N215" s="14">
        <f>IF(A215="","",COUNT(H215:M215)/6)</f>
        <v/>
      </c>
      <c r="O215" s="15">
        <f>IF(COUNT(H215:M215)=0,"",IF(LEN(IF(COUNT(I215,J215)=2,IF(J215&gt;I215+1,"EBE &gt; VA ",""),"")&amp;IF(COUNT(H215,M215)=2,IF(ABS(M215)&gt;ABS(H215),"RN &gt; CA ",""),"")&amp;IF(COUNT(H215,K215)=2,IF(ABS(K215)&gt;ABS(H215),"RE &gt; CA ",""),""))=0,"OK",IF(COUNT(I215,J215)=2,IF(J215&gt;I215+1,"EBE &gt; VA ",""),"")&amp;IF(COUNT(H215,M215)=2,IF(ABS(M215)&gt;ABS(H215),"RN &gt; CA ",""),"")&amp;IF(COUNT(H215,K215)=2,IF(ABS(K215)&gt;ABS(H215),"RE &gt; CA ",""),"")))</f>
        <v/>
      </c>
    </row>
    <row r="216">
      <c r="A216" s="9" t="inlineStr">
        <is>
          <t>CFAC</t>
        </is>
      </c>
      <c r="B216" s="10">
        <f>IF(A216="","",IFERROR(VLOOKUP(A216,Titres!$A$2:$B$400,2,FALSE),"Ticker inconnu"))</f>
        <v/>
      </c>
      <c r="C216" s="11" t="n">
        <v>2025</v>
      </c>
      <c r="D216" s="11" t="inlineStr">
        <is>
          <t>S1</t>
        </is>
      </c>
      <c r="E216" s="9" t="n"/>
      <c r="F216" s="12" t="n"/>
      <c r="G216" s="9" t="n"/>
      <c r="H216" s="13" t="n"/>
      <c r="I216" s="13" t="n"/>
      <c r="J216" s="13" t="n"/>
      <c r="K216" s="13" t="n"/>
      <c r="L216" s="13" t="n"/>
      <c r="M216" s="13" t="n"/>
      <c r="N216" s="14">
        <f>IF(A216="","",COUNT(H216:M216)/6)</f>
        <v/>
      </c>
      <c r="O216" s="15">
        <f>IF(COUNT(H216:M216)=0,"",IF(LEN(IF(COUNT(I216,J216)=2,IF(J216&gt;I216+1,"EBE &gt; VA ",""),"")&amp;IF(COUNT(H216,M216)=2,IF(ABS(M216)&gt;ABS(H216),"RN &gt; CA ",""),"")&amp;IF(COUNT(H216,K216)=2,IF(ABS(K216)&gt;ABS(H216),"RE &gt; CA ",""),""))=0,"OK",IF(COUNT(I216,J216)=2,IF(J216&gt;I216+1,"EBE &gt; VA ",""),"")&amp;IF(COUNT(H216,M216)=2,IF(ABS(M216)&gt;ABS(H216),"RN &gt; CA ",""),"")&amp;IF(COUNT(H216,K216)=2,IF(ABS(K216)&gt;ABS(H216),"RE &gt; CA ",""),"")))</f>
        <v/>
      </c>
    </row>
    <row r="217">
      <c r="A217" s="9" t="inlineStr">
        <is>
          <t>CFAC</t>
        </is>
      </c>
      <c r="B217" s="10">
        <f>IF(A217="","",IFERROR(VLOOKUP(A217,Titres!$A$2:$B$400,2,FALSE),"Ticker inconnu"))</f>
        <v/>
      </c>
      <c r="C217" s="11" t="n">
        <v>2025</v>
      </c>
      <c r="D217" s="11" t="inlineStr">
        <is>
          <t>T3</t>
        </is>
      </c>
      <c r="E217" s="9" t="n"/>
      <c r="F217" s="12" t="n"/>
      <c r="G217" s="9" t="n"/>
      <c r="H217" s="13" t="n"/>
      <c r="I217" s="13" t="n"/>
      <c r="J217" s="13" t="n"/>
      <c r="K217" s="13" t="n"/>
      <c r="L217" s="13" t="n"/>
      <c r="M217" s="13" t="n"/>
      <c r="N217" s="14">
        <f>IF(A217="","",COUNT(H217:M217)/6)</f>
        <v/>
      </c>
      <c r="O217" s="15">
        <f>IF(COUNT(H217:M217)=0,"",IF(LEN(IF(COUNT(I217,J217)=2,IF(J217&gt;I217+1,"EBE &gt; VA ",""),"")&amp;IF(COUNT(H217,M217)=2,IF(ABS(M217)&gt;ABS(H217),"RN &gt; CA ",""),"")&amp;IF(COUNT(H217,K217)=2,IF(ABS(K217)&gt;ABS(H217),"RE &gt; CA ",""),""))=0,"OK",IF(COUNT(I217,J217)=2,IF(J217&gt;I217+1,"EBE &gt; VA ",""),"")&amp;IF(COUNT(H217,M217)=2,IF(ABS(M217)&gt;ABS(H217),"RN &gt; CA ",""),"")&amp;IF(COUNT(H217,K217)=2,IF(ABS(K217)&gt;ABS(H217),"RE &gt; CA ",""),"")))</f>
        <v/>
      </c>
    </row>
    <row r="218">
      <c r="A218" s="9" t="inlineStr">
        <is>
          <t>CFAC</t>
        </is>
      </c>
      <c r="B218" s="10">
        <f>IF(A218="","",IFERROR(VLOOKUP(A218,Titres!$A$2:$B$400,2,FALSE),"Ticker inconnu"))</f>
        <v/>
      </c>
      <c r="C218" s="11" t="n">
        <v>2026</v>
      </c>
      <c r="D218" s="11" t="inlineStr">
        <is>
          <t>T1</t>
        </is>
      </c>
      <c r="E218" s="9" t="n"/>
      <c r="F218" s="12" t="n"/>
      <c r="G218" s="9" t="n"/>
      <c r="H218" s="13" t="n"/>
      <c r="I218" s="13" t="n"/>
      <c r="J218" s="13" t="n"/>
      <c r="K218" s="13" t="n"/>
      <c r="L218" s="13" t="n"/>
      <c r="M218" s="13" t="n"/>
      <c r="N218" s="14">
        <f>IF(A218="","",COUNT(H218:M218)/6)</f>
        <v/>
      </c>
      <c r="O218" s="15">
        <f>IF(COUNT(H218:M218)=0,"",IF(LEN(IF(COUNT(I218,J218)=2,IF(J218&gt;I218+1,"EBE &gt; VA ",""),"")&amp;IF(COUNT(H218,M218)=2,IF(ABS(M218)&gt;ABS(H218),"RN &gt; CA ",""),"")&amp;IF(COUNT(H218,K218)=2,IF(ABS(K218)&gt;ABS(H218),"RE &gt; CA ",""),""))=0,"OK",IF(COUNT(I218,J218)=2,IF(J218&gt;I218+1,"EBE &gt; VA ",""),"")&amp;IF(COUNT(H218,M218)=2,IF(ABS(M218)&gt;ABS(H218),"RN &gt; CA ",""),"")&amp;IF(COUNT(H218,K218)=2,IF(ABS(K218)&gt;ABS(H218),"RE &gt; CA ",""),"")))</f>
        <v/>
      </c>
    </row>
    <row r="219">
      <c r="A219" s="9" t="inlineStr">
        <is>
          <t>CFAC</t>
        </is>
      </c>
      <c r="B219" s="10">
        <f>IF(A219="","",IFERROR(VLOOKUP(A219,Titres!$A$2:$B$400,2,FALSE),"Ticker inconnu"))</f>
        <v/>
      </c>
      <c r="C219" s="11" t="n">
        <v>2026</v>
      </c>
      <c r="D219" s="11" t="inlineStr">
        <is>
          <t>S1</t>
        </is>
      </c>
      <c r="E219" s="9" t="n"/>
      <c r="F219" s="12" t="n"/>
      <c r="G219" s="9" t="n"/>
      <c r="H219" s="13" t="n"/>
      <c r="I219" s="13" t="n"/>
      <c r="J219" s="13" t="n"/>
      <c r="K219" s="13" t="n"/>
      <c r="L219" s="13" t="n"/>
      <c r="M219" s="13" t="n"/>
      <c r="N219" s="14">
        <f>IF(A219="","",COUNT(H219:M219)/6)</f>
        <v/>
      </c>
      <c r="O219" s="15">
        <f>IF(COUNT(H219:M219)=0,"",IF(LEN(IF(COUNT(I219,J219)=2,IF(J219&gt;I219+1,"EBE &gt; VA ",""),"")&amp;IF(COUNT(H219,M219)=2,IF(ABS(M219)&gt;ABS(H219),"RN &gt; CA ",""),"")&amp;IF(COUNT(H219,K219)=2,IF(ABS(K219)&gt;ABS(H219),"RE &gt; CA ",""),""))=0,"OK",IF(COUNT(I219,J219)=2,IF(J219&gt;I219+1,"EBE &gt; VA ",""),"")&amp;IF(COUNT(H219,M219)=2,IF(ABS(M219)&gt;ABS(H219),"RN &gt; CA ",""),"")&amp;IF(COUNT(H219,K219)=2,IF(ABS(K219)&gt;ABS(H219),"RE &gt; CA ",""),"")))</f>
        <v/>
      </c>
    </row>
    <row r="220">
      <c r="A220" s="9" t="inlineStr">
        <is>
          <t>CFAC</t>
        </is>
      </c>
      <c r="B220" s="10">
        <f>IF(A220="","",IFERROR(VLOOKUP(A220,Titres!$A$2:$B$400,2,FALSE),"Ticker inconnu"))</f>
        <v/>
      </c>
      <c r="C220" s="11" t="n">
        <v>2026</v>
      </c>
      <c r="D220" s="11" t="inlineStr">
        <is>
          <t>T3</t>
        </is>
      </c>
      <c r="E220" s="9" t="n"/>
      <c r="F220" s="12" t="n"/>
      <c r="G220" s="9" t="n"/>
      <c r="H220" s="13" t="n"/>
      <c r="I220" s="13" t="n"/>
      <c r="J220" s="13" t="n"/>
      <c r="K220" s="13" t="n"/>
      <c r="L220" s="13" t="n"/>
      <c r="M220" s="13" t="n"/>
      <c r="N220" s="14">
        <f>IF(A220="","",COUNT(H220:M220)/6)</f>
        <v/>
      </c>
      <c r="O220" s="15">
        <f>IF(COUNT(H220:M220)=0,"",IF(LEN(IF(COUNT(I220,J220)=2,IF(J220&gt;I220+1,"EBE &gt; VA ",""),"")&amp;IF(COUNT(H220,M220)=2,IF(ABS(M220)&gt;ABS(H220),"RN &gt; CA ",""),"")&amp;IF(COUNT(H220,K220)=2,IF(ABS(K220)&gt;ABS(H220),"RE &gt; CA ",""),""))=0,"OK",IF(COUNT(I220,J220)=2,IF(J220&gt;I220+1,"EBE &gt; VA ",""),"")&amp;IF(COUNT(H220,M220)=2,IF(ABS(M220)&gt;ABS(H220),"RN &gt; CA ",""),"")&amp;IF(COUNT(H220,K220)=2,IF(ABS(K220)&gt;ABS(H220),"RE &gt; CA ",""),"")))</f>
        <v/>
      </c>
    </row>
    <row r="221">
      <c r="A221" s="9" t="inlineStr">
        <is>
          <t>LNBB</t>
        </is>
      </c>
      <c r="B221" s="10">
        <f>IF(A221="","",IFERROR(VLOOKUP(A221,Titres!$A$2:$B$400,2,FALSE),"Ticker inconnu"))</f>
        <v/>
      </c>
      <c r="C221" s="11" t="n">
        <v>2021</v>
      </c>
      <c r="D221" s="11" t="inlineStr">
        <is>
          <t>T1</t>
        </is>
      </c>
      <c r="E221" s="9" t="n"/>
      <c r="F221" s="12" t="n"/>
      <c r="G221" s="9" t="n"/>
      <c r="H221" s="13" t="n"/>
      <c r="I221" s="13" t="n"/>
      <c r="J221" s="13" t="n"/>
      <c r="K221" s="13" t="n"/>
      <c r="L221" s="13" t="n"/>
      <c r="M221" s="13" t="n"/>
      <c r="N221" s="14">
        <f>IF(A221="","",COUNT(H221:M221)/6)</f>
        <v/>
      </c>
      <c r="O221" s="15">
        <f>IF(COUNT(H221:M221)=0,"",IF(LEN(IF(COUNT(I221,J221)=2,IF(J221&gt;I221+1,"EBE &gt; VA ",""),"")&amp;IF(COUNT(H221,M221)=2,IF(ABS(M221)&gt;ABS(H221),"RN &gt; CA ",""),"")&amp;IF(COUNT(H221,K221)=2,IF(ABS(K221)&gt;ABS(H221),"RE &gt; CA ",""),""))=0,"OK",IF(COUNT(I221,J221)=2,IF(J221&gt;I221+1,"EBE &gt; VA ",""),"")&amp;IF(COUNT(H221,M221)=2,IF(ABS(M221)&gt;ABS(H221),"RN &gt; CA ",""),"")&amp;IF(COUNT(H221,K221)=2,IF(ABS(K221)&gt;ABS(H221),"RE &gt; CA ",""),"")))</f>
        <v/>
      </c>
    </row>
    <row r="222">
      <c r="A222" s="9" t="inlineStr">
        <is>
          <t>LNBB</t>
        </is>
      </c>
      <c r="B222" s="10">
        <f>IF(A222="","",IFERROR(VLOOKUP(A222,Titres!$A$2:$B$400,2,FALSE),"Ticker inconnu"))</f>
        <v/>
      </c>
      <c r="C222" s="11" t="n">
        <v>2021</v>
      </c>
      <c r="D222" s="11" t="inlineStr">
        <is>
          <t>S1</t>
        </is>
      </c>
      <c r="E222" s="9" t="n"/>
      <c r="F222" s="12" t="n"/>
      <c r="G222" s="9" t="n"/>
      <c r="H222" s="13" t="n"/>
      <c r="I222" s="13" t="n"/>
      <c r="J222" s="13" t="n"/>
      <c r="K222" s="13" t="n"/>
      <c r="L222" s="13" t="n"/>
      <c r="M222" s="13" t="n"/>
      <c r="N222" s="14">
        <f>IF(A222="","",COUNT(H222:M222)/6)</f>
        <v/>
      </c>
      <c r="O222" s="15">
        <f>IF(COUNT(H222:M222)=0,"",IF(LEN(IF(COUNT(I222,J222)=2,IF(J222&gt;I222+1,"EBE &gt; VA ",""),"")&amp;IF(COUNT(H222,M222)=2,IF(ABS(M222)&gt;ABS(H222),"RN &gt; CA ",""),"")&amp;IF(COUNT(H222,K222)=2,IF(ABS(K222)&gt;ABS(H222),"RE &gt; CA ",""),""))=0,"OK",IF(COUNT(I222,J222)=2,IF(J222&gt;I222+1,"EBE &gt; VA ",""),"")&amp;IF(COUNT(H222,M222)=2,IF(ABS(M222)&gt;ABS(H222),"RN &gt; CA ",""),"")&amp;IF(COUNT(H222,K222)=2,IF(ABS(K222)&gt;ABS(H222),"RE &gt; CA ",""),"")))</f>
        <v/>
      </c>
    </row>
    <row r="223">
      <c r="A223" s="9" t="inlineStr">
        <is>
          <t>LNBB</t>
        </is>
      </c>
      <c r="B223" s="10">
        <f>IF(A223="","",IFERROR(VLOOKUP(A223,Titres!$A$2:$B$400,2,FALSE),"Ticker inconnu"))</f>
        <v/>
      </c>
      <c r="C223" s="11" t="n">
        <v>2021</v>
      </c>
      <c r="D223" s="11" t="inlineStr">
        <is>
          <t>T3</t>
        </is>
      </c>
      <c r="E223" s="9" t="n"/>
      <c r="F223" s="12" t="n"/>
      <c r="G223" s="9" t="n"/>
      <c r="H223" s="13" t="n"/>
      <c r="I223" s="13" t="n"/>
      <c r="J223" s="13" t="n"/>
      <c r="K223" s="13" t="n"/>
      <c r="L223" s="13" t="n"/>
      <c r="M223" s="13" t="n"/>
      <c r="N223" s="14">
        <f>IF(A223="","",COUNT(H223:M223)/6)</f>
        <v/>
      </c>
      <c r="O223" s="15">
        <f>IF(COUNT(H223:M223)=0,"",IF(LEN(IF(COUNT(I223,J223)=2,IF(J223&gt;I223+1,"EBE &gt; VA ",""),"")&amp;IF(COUNT(H223,M223)=2,IF(ABS(M223)&gt;ABS(H223),"RN &gt; CA ",""),"")&amp;IF(COUNT(H223,K223)=2,IF(ABS(K223)&gt;ABS(H223),"RE &gt; CA ",""),""))=0,"OK",IF(COUNT(I223,J223)=2,IF(J223&gt;I223+1,"EBE &gt; VA ",""),"")&amp;IF(COUNT(H223,M223)=2,IF(ABS(M223)&gt;ABS(H223),"RN &gt; CA ",""),"")&amp;IF(COUNT(H223,K223)=2,IF(ABS(K223)&gt;ABS(H223),"RE &gt; CA ",""),"")))</f>
        <v/>
      </c>
    </row>
    <row r="224">
      <c r="A224" s="9" t="inlineStr">
        <is>
          <t>LNBB</t>
        </is>
      </c>
      <c r="B224" s="10">
        <f>IF(A224="","",IFERROR(VLOOKUP(A224,Titres!$A$2:$B$400,2,FALSE),"Ticker inconnu"))</f>
        <v/>
      </c>
      <c r="C224" s="11" t="n">
        <v>2022</v>
      </c>
      <c r="D224" s="11" t="inlineStr">
        <is>
          <t>T1</t>
        </is>
      </c>
      <c r="E224" s="9" t="n"/>
      <c r="F224" s="12" t="n"/>
      <c r="G224" s="9" t="n"/>
      <c r="H224" s="13" t="n"/>
      <c r="I224" s="13" t="n"/>
      <c r="J224" s="13" t="n"/>
      <c r="K224" s="13" t="n"/>
      <c r="L224" s="13" t="n"/>
      <c r="M224" s="13" t="n"/>
      <c r="N224" s="14">
        <f>IF(A224="","",COUNT(H224:M224)/6)</f>
        <v/>
      </c>
      <c r="O224" s="15">
        <f>IF(COUNT(H224:M224)=0,"",IF(LEN(IF(COUNT(I224,J224)=2,IF(J224&gt;I224+1,"EBE &gt; VA ",""),"")&amp;IF(COUNT(H224,M224)=2,IF(ABS(M224)&gt;ABS(H224),"RN &gt; CA ",""),"")&amp;IF(COUNT(H224,K224)=2,IF(ABS(K224)&gt;ABS(H224),"RE &gt; CA ",""),""))=0,"OK",IF(COUNT(I224,J224)=2,IF(J224&gt;I224+1,"EBE &gt; VA ",""),"")&amp;IF(COUNT(H224,M224)=2,IF(ABS(M224)&gt;ABS(H224),"RN &gt; CA ",""),"")&amp;IF(COUNT(H224,K224)=2,IF(ABS(K224)&gt;ABS(H224),"RE &gt; CA ",""),"")))</f>
        <v/>
      </c>
    </row>
    <row r="225">
      <c r="A225" s="9" t="inlineStr">
        <is>
          <t>LNBB</t>
        </is>
      </c>
      <c r="B225" s="10">
        <f>IF(A225="","",IFERROR(VLOOKUP(A225,Titres!$A$2:$B$400,2,FALSE),"Ticker inconnu"))</f>
        <v/>
      </c>
      <c r="C225" s="11" t="n">
        <v>2022</v>
      </c>
      <c r="D225" s="11" t="inlineStr">
        <is>
          <t>S1</t>
        </is>
      </c>
      <c r="E225" s="9" t="n"/>
      <c r="F225" s="12" t="n"/>
      <c r="G225" s="9" t="n"/>
      <c r="H225" s="13" t="n"/>
      <c r="I225" s="13" t="n"/>
      <c r="J225" s="13" t="n"/>
      <c r="K225" s="13" t="n"/>
      <c r="L225" s="13" t="n"/>
      <c r="M225" s="13" t="n"/>
      <c r="N225" s="14">
        <f>IF(A225="","",COUNT(H225:M225)/6)</f>
        <v/>
      </c>
      <c r="O225" s="15">
        <f>IF(COUNT(H225:M225)=0,"",IF(LEN(IF(COUNT(I225,J225)=2,IF(J225&gt;I225+1,"EBE &gt; VA ",""),"")&amp;IF(COUNT(H225,M225)=2,IF(ABS(M225)&gt;ABS(H225),"RN &gt; CA ",""),"")&amp;IF(COUNT(H225,K225)=2,IF(ABS(K225)&gt;ABS(H225),"RE &gt; CA ",""),""))=0,"OK",IF(COUNT(I225,J225)=2,IF(J225&gt;I225+1,"EBE &gt; VA ",""),"")&amp;IF(COUNT(H225,M225)=2,IF(ABS(M225)&gt;ABS(H225),"RN &gt; CA ",""),"")&amp;IF(COUNT(H225,K225)=2,IF(ABS(K225)&gt;ABS(H225),"RE &gt; CA ",""),"")))</f>
        <v/>
      </c>
    </row>
    <row r="226">
      <c r="A226" s="9" t="inlineStr">
        <is>
          <t>LNBB</t>
        </is>
      </c>
      <c r="B226" s="10">
        <f>IF(A226="","",IFERROR(VLOOKUP(A226,Titres!$A$2:$B$400,2,FALSE),"Ticker inconnu"))</f>
        <v/>
      </c>
      <c r="C226" s="11" t="n">
        <v>2022</v>
      </c>
      <c r="D226" s="11" t="inlineStr">
        <is>
          <t>T3</t>
        </is>
      </c>
      <c r="E226" s="9" t="n"/>
      <c r="F226" s="12" t="n"/>
      <c r="G226" s="9" t="n"/>
      <c r="H226" s="13" t="n"/>
      <c r="I226" s="13" t="n"/>
      <c r="J226" s="13" t="n"/>
      <c r="K226" s="13" t="n"/>
      <c r="L226" s="13" t="n"/>
      <c r="M226" s="13" t="n"/>
      <c r="N226" s="14">
        <f>IF(A226="","",COUNT(H226:M226)/6)</f>
        <v/>
      </c>
      <c r="O226" s="15">
        <f>IF(COUNT(H226:M226)=0,"",IF(LEN(IF(COUNT(I226,J226)=2,IF(J226&gt;I226+1,"EBE &gt; VA ",""),"")&amp;IF(COUNT(H226,M226)=2,IF(ABS(M226)&gt;ABS(H226),"RN &gt; CA ",""),"")&amp;IF(COUNT(H226,K226)=2,IF(ABS(K226)&gt;ABS(H226),"RE &gt; CA ",""),""))=0,"OK",IF(COUNT(I226,J226)=2,IF(J226&gt;I226+1,"EBE &gt; VA ",""),"")&amp;IF(COUNT(H226,M226)=2,IF(ABS(M226)&gt;ABS(H226),"RN &gt; CA ",""),"")&amp;IF(COUNT(H226,K226)=2,IF(ABS(K226)&gt;ABS(H226),"RE &gt; CA ",""),"")))</f>
        <v/>
      </c>
    </row>
    <row r="227">
      <c r="A227" s="9" t="inlineStr">
        <is>
          <t>LNBB</t>
        </is>
      </c>
      <c r="B227" s="10">
        <f>IF(A227="","",IFERROR(VLOOKUP(A227,Titres!$A$2:$B$400,2,FALSE),"Ticker inconnu"))</f>
        <v/>
      </c>
      <c r="C227" s="11" t="n">
        <v>2023</v>
      </c>
      <c r="D227" s="11" t="inlineStr">
        <is>
          <t>T1</t>
        </is>
      </c>
      <c r="E227" s="9" t="n"/>
      <c r="F227" s="12" t="n"/>
      <c r="G227" s="9" t="n"/>
      <c r="H227" s="13" t="n"/>
      <c r="I227" s="13" t="n"/>
      <c r="J227" s="13" t="n"/>
      <c r="K227" s="13" t="n"/>
      <c r="L227" s="13" t="n"/>
      <c r="M227" s="13" t="n"/>
      <c r="N227" s="14">
        <f>IF(A227="","",COUNT(H227:M227)/6)</f>
        <v/>
      </c>
      <c r="O227" s="15">
        <f>IF(COUNT(H227:M227)=0,"",IF(LEN(IF(COUNT(I227,J227)=2,IF(J227&gt;I227+1,"EBE &gt; VA ",""),"")&amp;IF(COUNT(H227,M227)=2,IF(ABS(M227)&gt;ABS(H227),"RN &gt; CA ",""),"")&amp;IF(COUNT(H227,K227)=2,IF(ABS(K227)&gt;ABS(H227),"RE &gt; CA ",""),""))=0,"OK",IF(COUNT(I227,J227)=2,IF(J227&gt;I227+1,"EBE &gt; VA ",""),"")&amp;IF(COUNT(H227,M227)=2,IF(ABS(M227)&gt;ABS(H227),"RN &gt; CA ",""),"")&amp;IF(COUNT(H227,K227)=2,IF(ABS(K227)&gt;ABS(H227),"RE &gt; CA ",""),"")))</f>
        <v/>
      </c>
    </row>
    <row r="228">
      <c r="A228" s="9" t="inlineStr">
        <is>
          <t>LNBB</t>
        </is>
      </c>
      <c r="B228" s="10">
        <f>IF(A228="","",IFERROR(VLOOKUP(A228,Titres!$A$2:$B$400,2,FALSE),"Ticker inconnu"))</f>
        <v/>
      </c>
      <c r="C228" s="11" t="n">
        <v>2023</v>
      </c>
      <c r="D228" s="11" t="inlineStr">
        <is>
          <t>S1</t>
        </is>
      </c>
      <c r="E228" s="9" t="n"/>
      <c r="F228" s="12" t="n"/>
      <c r="G228" s="9" t="n"/>
      <c r="H228" s="13" t="n"/>
      <c r="I228" s="13" t="n"/>
      <c r="J228" s="13" t="n"/>
      <c r="K228" s="13" t="n"/>
      <c r="L228" s="13" t="n"/>
      <c r="M228" s="13" t="n"/>
      <c r="N228" s="14">
        <f>IF(A228="","",COUNT(H228:M228)/6)</f>
        <v/>
      </c>
      <c r="O228" s="15">
        <f>IF(COUNT(H228:M228)=0,"",IF(LEN(IF(COUNT(I228,J228)=2,IF(J228&gt;I228+1,"EBE &gt; VA ",""),"")&amp;IF(COUNT(H228,M228)=2,IF(ABS(M228)&gt;ABS(H228),"RN &gt; CA ",""),"")&amp;IF(COUNT(H228,K228)=2,IF(ABS(K228)&gt;ABS(H228),"RE &gt; CA ",""),""))=0,"OK",IF(COUNT(I228,J228)=2,IF(J228&gt;I228+1,"EBE &gt; VA ",""),"")&amp;IF(COUNT(H228,M228)=2,IF(ABS(M228)&gt;ABS(H228),"RN &gt; CA ",""),"")&amp;IF(COUNT(H228,K228)=2,IF(ABS(K228)&gt;ABS(H228),"RE &gt; CA ",""),"")))</f>
        <v/>
      </c>
    </row>
    <row r="229">
      <c r="A229" s="9" t="inlineStr">
        <is>
          <t>LNBB</t>
        </is>
      </c>
      <c r="B229" s="10">
        <f>IF(A229="","",IFERROR(VLOOKUP(A229,Titres!$A$2:$B$400,2,FALSE),"Ticker inconnu"))</f>
        <v/>
      </c>
      <c r="C229" s="11" t="n">
        <v>2023</v>
      </c>
      <c r="D229" s="11" t="inlineStr">
        <is>
          <t>T3</t>
        </is>
      </c>
      <c r="E229" s="9" t="n"/>
      <c r="F229" s="12" t="n"/>
      <c r="G229" s="9" t="n"/>
      <c r="H229" s="13" t="n"/>
      <c r="I229" s="13" t="n"/>
      <c r="J229" s="13" t="n"/>
      <c r="K229" s="13" t="n"/>
      <c r="L229" s="13" t="n"/>
      <c r="M229" s="13" t="n"/>
      <c r="N229" s="14">
        <f>IF(A229="","",COUNT(H229:M229)/6)</f>
        <v/>
      </c>
      <c r="O229" s="15">
        <f>IF(COUNT(H229:M229)=0,"",IF(LEN(IF(COUNT(I229,J229)=2,IF(J229&gt;I229+1,"EBE &gt; VA ",""),"")&amp;IF(COUNT(H229,M229)=2,IF(ABS(M229)&gt;ABS(H229),"RN &gt; CA ",""),"")&amp;IF(COUNT(H229,K229)=2,IF(ABS(K229)&gt;ABS(H229),"RE &gt; CA ",""),""))=0,"OK",IF(COUNT(I229,J229)=2,IF(J229&gt;I229+1,"EBE &gt; VA ",""),"")&amp;IF(COUNT(H229,M229)=2,IF(ABS(M229)&gt;ABS(H229),"RN &gt; CA ",""),"")&amp;IF(COUNT(H229,K229)=2,IF(ABS(K229)&gt;ABS(H229),"RE &gt; CA ",""),"")))</f>
        <v/>
      </c>
    </row>
    <row r="230">
      <c r="A230" s="9" t="inlineStr">
        <is>
          <t>LNBB</t>
        </is>
      </c>
      <c r="B230" s="10">
        <f>IF(A230="","",IFERROR(VLOOKUP(A230,Titres!$A$2:$B$400,2,FALSE),"Ticker inconnu"))</f>
        <v/>
      </c>
      <c r="C230" s="11" t="n">
        <v>2024</v>
      </c>
      <c r="D230" s="11" t="inlineStr">
        <is>
          <t>T1</t>
        </is>
      </c>
      <c r="E230" s="9" t="n"/>
      <c r="F230" s="12" t="n"/>
      <c r="G230" s="9" t="n"/>
      <c r="H230" s="13" t="n"/>
      <c r="I230" s="13" t="n"/>
      <c r="J230" s="13" t="n"/>
      <c r="K230" s="13" t="n"/>
      <c r="L230" s="13" t="n"/>
      <c r="M230" s="13" t="n"/>
      <c r="N230" s="14">
        <f>IF(A230="","",COUNT(H230:M230)/6)</f>
        <v/>
      </c>
      <c r="O230" s="15">
        <f>IF(COUNT(H230:M230)=0,"",IF(LEN(IF(COUNT(I230,J230)=2,IF(J230&gt;I230+1,"EBE &gt; VA ",""),"")&amp;IF(COUNT(H230,M230)=2,IF(ABS(M230)&gt;ABS(H230),"RN &gt; CA ",""),"")&amp;IF(COUNT(H230,K230)=2,IF(ABS(K230)&gt;ABS(H230),"RE &gt; CA ",""),""))=0,"OK",IF(COUNT(I230,J230)=2,IF(J230&gt;I230+1,"EBE &gt; VA ",""),"")&amp;IF(COUNT(H230,M230)=2,IF(ABS(M230)&gt;ABS(H230),"RN &gt; CA ",""),"")&amp;IF(COUNT(H230,K230)=2,IF(ABS(K230)&gt;ABS(H230),"RE &gt; CA ",""),"")))</f>
        <v/>
      </c>
    </row>
    <row r="231">
      <c r="A231" s="9" t="inlineStr">
        <is>
          <t>LNBB</t>
        </is>
      </c>
      <c r="B231" s="10">
        <f>IF(A231="","",IFERROR(VLOOKUP(A231,Titres!$A$2:$B$400,2,FALSE),"Ticker inconnu"))</f>
        <v/>
      </c>
      <c r="C231" s="11" t="n">
        <v>2024</v>
      </c>
      <c r="D231" s="11" t="inlineStr">
        <is>
          <t>S1</t>
        </is>
      </c>
      <c r="E231" s="9" t="n"/>
      <c r="F231" s="12" t="n"/>
      <c r="G231" s="9" t="n"/>
      <c r="H231" s="13" t="n"/>
      <c r="I231" s="13" t="n"/>
      <c r="J231" s="13" t="n"/>
      <c r="K231" s="13" t="n"/>
      <c r="L231" s="13" t="n"/>
      <c r="M231" s="13" t="n"/>
      <c r="N231" s="14">
        <f>IF(A231="","",COUNT(H231:M231)/6)</f>
        <v/>
      </c>
      <c r="O231" s="15">
        <f>IF(COUNT(H231:M231)=0,"",IF(LEN(IF(COUNT(I231,J231)=2,IF(J231&gt;I231+1,"EBE &gt; VA ",""),"")&amp;IF(COUNT(H231,M231)=2,IF(ABS(M231)&gt;ABS(H231),"RN &gt; CA ",""),"")&amp;IF(COUNT(H231,K231)=2,IF(ABS(K231)&gt;ABS(H231),"RE &gt; CA ",""),""))=0,"OK",IF(COUNT(I231,J231)=2,IF(J231&gt;I231+1,"EBE &gt; VA ",""),"")&amp;IF(COUNT(H231,M231)=2,IF(ABS(M231)&gt;ABS(H231),"RN &gt; CA ",""),"")&amp;IF(COUNT(H231,K231)=2,IF(ABS(K231)&gt;ABS(H231),"RE &gt; CA ",""),"")))</f>
        <v/>
      </c>
    </row>
    <row r="232">
      <c r="A232" s="9" t="inlineStr">
        <is>
          <t>LNBB</t>
        </is>
      </c>
      <c r="B232" s="10">
        <f>IF(A232="","",IFERROR(VLOOKUP(A232,Titres!$A$2:$B$400,2,FALSE),"Ticker inconnu"))</f>
        <v/>
      </c>
      <c r="C232" s="11" t="n">
        <v>2024</v>
      </c>
      <c r="D232" s="11" t="inlineStr">
        <is>
          <t>T3</t>
        </is>
      </c>
      <c r="E232" s="9" t="n"/>
      <c r="F232" s="12" t="n"/>
      <c r="G232" s="9" t="n"/>
      <c r="H232" s="13" t="n"/>
      <c r="I232" s="13" t="n"/>
      <c r="J232" s="13" t="n"/>
      <c r="K232" s="13" t="n"/>
      <c r="L232" s="13" t="n"/>
      <c r="M232" s="13" t="n"/>
      <c r="N232" s="14">
        <f>IF(A232="","",COUNT(H232:M232)/6)</f>
        <v/>
      </c>
      <c r="O232" s="15">
        <f>IF(COUNT(H232:M232)=0,"",IF(LEN(IF(COUNT(I232,J232)=2,IF(J232&gt;I232+1,"EBE &gt; VA ",""),"")&amp;IF(COUNT(H232,M232)=2,IF(ABS(M232)&gt;ABS(H232),"RN &gt; CA ",""),"")&amp;IF(COUNT(H232,K232)=2,IF(ABS(K232)&gt;ABS(H232),"RE &gt; CA ",""),""))=0,"OK",IF(COUNT(I232,J232)=2,IF(J232&gt;I232+1,"EBE &gt; VA ",""),"")&amp;IF(COUNT(H232,M232)=2,IF(ABS(M232)&gt;ABS(H232),"RN &gt; CA ",""),"")&amp;IF(COUNT(H232,K232)=2,IF(ABS(K232)&gt;ABS(H232),"RE &gt; CA ",""),"")))</f>
        <v/>
      </c>
    </row>
    <row r="233">
      <c r="A233" s="9" t="inlineStr">
        <is>
          <t>LNBB</t>
        </is>
      </c>
      <c r="B233" s="10">
        <f>IF(A233="","",IFERROR(VLOOKUP(A233,Titres!$A$2:$B$400,2,FALSE),"Ticker inconnu"))</f>
        <v/>
      </c>
      <c r="C233" s="11" t="n">
        <v>2025</v>
      </c>
      <c r="D233" s="11" t="inlineStr">
        <is>
          <t>T1</t>
        </is>
      </c>
      <c r="E233" s="9" t="n"/>
      <c r="F233" s="12" t="n"/>
      <c r="G233" s="9" t="n"/>
      <c r="H233" s="13" t="n"/>
      <c r="I233" s="13" t="n"/>
      <c r="J233" s="13" t="n"/>
      <c r="K233" s="13" t="n"/>
      <c r="L233" s="13" t="n"/>
      <c r="M233" s="13" t="n"/>
      <c r="N233" s="14">
        <f>IF(A233="","",COUNT(H233:M233)/6)</f>
        <v/>
      </c>
      <c r="O233" s="15">
        <f>IF(COUNT(H233:M233)=0,"",IF(LEN(IF(COUNT(I233,J233)=2,IF(J233&gt;I233+1,"EBE &gt; VA ",""),"")&amp;IF(COUNT(H233,M233)=2,IF(ABS(M233)&gt;ABS(H233),"RN &gt; CA ",""),"")&amp;IF(COUNT(H233,K233)=2,IF(ABS(K233)&gt;ABS(H233),"RE &gt; CA ",""),""))=0,"OK",IF(COUNT(I233,J233)=2,IF(J233&gt;I233+1,"EBE &gt; VA ",""),"")&amp;IF(COUNT(H233,M233)=2,IF(ABS(M233)&gt;ABS(H233),"RN &gt; CA ",""),"")&amp;IF(COUNT(H233,K233)=2,IF(ABS(K233)&gt;ABS(H233),"RE &gt; CA ",""),"")))</f>
        <v/>
      </c>
    </row>
    <row r="234">
      <c r="A234" s="9" t="inlineStr">
        <is>
          <t>LNBB</t>
        </is>
      </c>
      <c r="B234" s="10">
        <f>IF(A234="","",IFERROR(VLOOKUP(A234,Titres!$A$2:$B$400,2,FALSE),"Ticker inconnu"))</f>
        <v/>
      </c>
      <c r="C234" s="11" t="n">
        <v>2025</v>
      </c>
      <c r="D234" s="11" t="inlineStr">
        <is>
          <t>S1</t>
        </is>
      </c>
      <c r="E234" s="9" t="inlineStr">
        <is>
          <t>Publié</t>
        </is>
      </c>
      <c r="F234" s="12" t="n">
        <v>46234</v>
      </c>
      <c r="G234" s="9" t="inlineStr">
        <is>
          <t>https://www.richbourse.com/common/actualite/afficher-fichier/31-07-2026-lnb-bn-rapport-dactivites-et-rapport-dexamen-limite-des-commissaires-aux-comptes-1er-semestre-2026 (comparatif N-1)</t>
        </is>
      </c>
      <c r="H234" s="13" t="n">
        <v>48148</v>
      </c>
      <c r="I234" s="13" t="n"/>
      <c r="J234" s="13" t="n"/>
      <c r="K234" s="13" t="n">
        <v>1278</v>
      </c>
      <c r="L234" s="13" t="n"/>
      <c r="M234" s="13" t="n">
        <v>841</v>
      </c>
      <c r="N234" s="14">
        <f>IF(A234="","",COUNT(H234:M234)/6)</f>
        <v/>
      </c>
      <c r="O234" s="15">
        <f>IF(COUNT(H234:M234)=0,"",IF(LEN(IF(COUNT(I234,J234)=2,IF(J234&gt;I234+1,"EBE &gt; VA ",""),"")&amp;IF(COUNT(H234,M234)=2,IF(ABS(M234)&gt;ABS(H234),"RN &gt; CA ",""),"")&amp;IF(COUNT(H234,K234)=2,IF(ABS(K234)&gt;ABS(H234),"RE &gt; CA ",""),""))=0,"OK",IF(COUNT(I234,J234)=2,IF(J234&gt;I234+1,"EBE &gt; VA ",""),"")&amp;IF(COUNT(H234,M234)=2,IF(ABS(M234)&gt;ABS(H234),"RN &gt; CA ",""),"")&amp;IF(COUNT(H234,K234)=2,IF(ABS(K234)&gt;ABS(H234),"RE &gt; CA ",""),"")))</f>
        <v/>
      </c>
    </row>
    <row r="235">
      <c r="A235" s="9" t="inlineStr">
        <is>
          <t>LNBB</t>
        </is>
      </c>
      <c r="B235" s="10">
        <f>IF(A235="","",IFERROR(VLOOKUP(A235,Titres!$A$2:$B$400,2,FALSE),"Ticker inconnu"))</f>
        <v/>
      </c>
      <c r="C235" s="11" t="n">
        <v>2025</v>
      </c>
      <c r="D235" s="11" t="inlineStr">
        <is>
          <t>T3</t>
        </is>
      </c>
      <c r="E235" s="9" t="n"/>
      <c r="F235" s="12" t="n"/>
      <c r="G235" s="9" t="n"/>
      <c r="H235" s="13" t="n"/>
      <c r="I235" s="13" t="n"/>
      <c r="J235" s="13" t="n"/>
      <c r="K235" s="13" t="n"/>
      <c r="L235" s="13" t="n"/>
      <c r="M235" s="13" t="n"/>
      <c r="N235" s="14">
        <f>IF(A235="","",COUNT(H235:M235)/6)</f>
        <v/>
      </c>
      <c r="O235" s="15">
        <f>IF(COUNT(H235:M235)=0,"",IF(LEN(IF(COUNT(I235,J235)=2,IF(J235&gt;I235+1,"EBE &gt; VA ",""),"")&amp;IF(COUNT(H235,M235)=2,IF(ABS(M235)&gt;ABS(H235),"RN &gt; CA ",""),"")&amp;IF(COUNT(H235,K235)=2,IF(ABS(K235)&gt;ABS(H235),"RE &gt; CA ",""),""))=0,"OK",IF(COUNT(I235,J235)=2,IF(J235&gt;I235+1,"EBE &gt; VA ",""),"")&amp;IF(COUNT(H235,M235)=2,IF(ABS(M235)&gt;ABS(H235),"RN &gt; CA ",""),"")&amp;IF(COUNT(H235,K235)=2,IF(ABS(K235)&gt;ABS(H235),"RE &gt; CA ",""),"")))</f>
        <v/>
      </c>
    </row>
    <row r="236">
      <c r="A236" s="9" t="inlineStr">
        <is>
          <t>LNBB</t>
        </is>
      </c>
      <c r="B236" s="10">
        <f>IF(A236="","",IFERROR(VLOOKUP(A236,Titres!$A$2:$B$400,2,FALSE),"Ticker inconnu"))</f>
        <v/>
      </c>
      <c r="C236" s="11" t="n">
        <v>2026</v>
      </c>
      <c r="D236" s="11" t="inlineStr">
        <is>
          <t>T1</t>
        </is>
      </c>
      <c r="E236" s="9" t="n"/>
      <c r="F236" s="12" t="n"/>
      <c r="G236" s="9" t="n"/>
      <c r="H236" s="13" t="n"/>
      <c r="I236" s="13" t="n"/>
      <c r="J236" s="13" t="n"/>
      <c r="K236" s="13" t="n"/>
      <c r="L236" s="13" t="n"/>
      <c r="M236" s="13" t="n"/>
      <c r="N236" s="14">
        <f>IF(A236="","",COUNT(H236:M236)/6)</f>
        <v/>
      </c>
      <c r="O236" s="15">
        <f>IF(COUNT(H236:M236)=0,"",IF(LEN(IF(COUNT(I236,J236)=2,IF(J236&gt;I236+1,"EBE &gt; VA ",""),"")&amp;IF(COUNT(H236,M236)=2,IF(ABS(M236)&gt;ABS(H236),"RN &gt; CA ",""),"")&amp;IF(COUNT(H236,K236)=2,IF(ABS(K236)&gt;ABS(H236),"RE &gt; CA ",""),""))=0,"OK",IF(COUNT(I236,J236)=2,IF(J236&gt;I236+1,"EBE &gt; VA ",""),"")&amp;IF(COUNT(H236,M236)=2,IF(ABS(M236)&gt;ABS(H236),"RN &gt; CA ",""),"")&amp;IF(COUNT(H236,K236)=2,IF(ABS(K236)&gt;ABS(H236),"RE &gt; CA ",""),"")))</f>
        <v/>
      </c>
    </row>
    <row r="237">
      <c r="A237" s="9" t="inlineStr">
        <is>
          <t>LNBB</t>
        </is>
      </c>
      <c r="B237" s="10">
        <f>IF(A237="","",IFERROR(VLOOKUP(A237,Titres!$A$2:$B$400,2,FALSE),"Ticker inconnu"))</f>
        <v/>
      </c>
      <c r="C237" s="11" t="n">
        <v>2026</v>
      </c>
      <c r="D237" s="11" t="inlineStr">
        <is>
          <t>S1</t>
        </is>
      </c>
      <c r="E237" s="9" t="inlineStr">
        <is>
          <t>Publié</t>
        </is>
      </c>
      <c r="F237" s="12" t="n">
        <v>46234</v>
      </c>
      <c r="G237" s="9" t="inlineStr">
        <is>
          <t>https://www.richbourse.com/common/actualite/afficher-fichier/31-07-2026-lnb-bn-rapport-dactivites-et-rapport-dexamen-limite-des-commissaires-aux-comptes-1er-semestre-2026</t>
        </is>
      </c>
      <c r="H237" s="13" t="n">
        <v>49937</v>
      </c>
      <c r="I237" s="13" t="n"/>
      <c r="J237" s="13" t="n"/>
      <c r="K237" s="13" t="n">
        <v>1783</v>
      </c>
      <c r="L237" s="13" t="n"/>
      <c r="M237" s="13" t="n">
        <v>1348</v>
      </c>
      <c r="N237" s="14">
        <f>IF(A237="","",COUNT(H237:M237)/6)</f>
        <v/>
      </c>
      <c r="O237" s="15">
        <f>IF(COUNT(H237:M237)=0,"",IF(LEN(IF(COUNT(I237,J237)=2,IF(J237&gt;I237+1,"EBE &gt; VA ",""),"")&amp;IF(COUNT(H237,M237)=2,IF(ABS(M237)&gt;ABS(H237),"RN &gt; CA ",""),"")&amp;IF(COUNT(H237,K237)=2,IF(ABS(K237)&gt;ABS(H237),"RE &gt; CA ",""),""))=0,"OK",IF(COUNT(I237,J237)=2,IF(J237&gt;I237+1,"EBE &gt; VA ",""),"")&amp;IF(COUNT(H237,M237)=2,IF(ABS(M237)&gt;ABS(H237),"RN &gt; CA ",""),"")&amp;IF(COUNT(H237,K237)=2,IF(ABS(K237)&gt;ABS(H237),"RE &gt; CA ",""),"")))</f>
        <v/>
      </c>
    </row>
    <row r="238">
      <c r="A238" s="9" t="inlineStr">
        <is>
          <t>LNBB</t>
        </is>
      </c>
      <c r="B238" s="10">
        <f>IF(A238="","",IFERROR(VLOOKUP(A238,Titres!$A$2:$B$400,2,FALSE),"Ticker inconnu"))</f>
        <v/>
      </c>
      <c r="C238" s="11" t="n">
        <v>2026</v>
      </c>
      <c r="D238" s="11" t="inlineStr">
        <is>
          <t>T3</t>
        </is>
      </c>
      <c r="E238" s="9" t="n"/>
      <c r="F238" s="12" t="n"/>
      <c r="G238" s="9" t="n"/>
      <c r="H238" s="13" t="n"/>
      <c r="I238" s="13" t="n"/>
      <c r="J238" s="13" t="n"/>
      <c r="K238" s="13" t="n"/>
      <c r="L238" s="13" t="n"/>
      <c r="M238" s="13" t="n"/>
      <c r="N238" s="14">
        <f>IF(A238="","",COUNT(H238:M238)/6)</f>
        <v/>
      </c>
      <c r="O238" s="15">
        <f>IF(COUNT(H238:M238)=0,"",IF(LEN(IF(COUNT(I238,J238)=2,IF(J238&gt;I238+1,"EBE &gt; VA ",""),"")&amp;IF(COUNT(H238,M238)=2,IF(ABS(M238)&gt;ABS(H238),"RN &gt; CA ",""),"")&amp;IF(COUNT(H238,K238)=2,IF(ABS(K238)&gt;ABS(H238),"RE &gt; CA ",""),""))=0,"OK",IF(COUNT(I238,J238)=2,IF(J238&gt;I238+1,"EBE &gt; VA ",""),"")&amp;IF(COUNT(H238,M238)=2,IF(ABS(M238)&gt;ABS(H238),"RN &gt; CA ",""),"")&amp;IF(COUNT(H238,K238)=2,IF(ABS(K238)&gt;ABS(H238),"RE &gt; CA ",""),"")))</f>
        <v/>
      </c>
    </row>
    <row r="239">
      <c r="A239" s="9" t="inlineStr">
        <is>
          <t>NEIC</t>
        </is>
      </c>
      <c r="B239" s="10">
        <f>IF(A239="","",IFERROR(VLOOKUP(A239,Titres!$A$2:$B$400,2,FALSE),"Ticker inconnu"))</f>
        <v/>
      </c>
      <c r="C239" s="11" t="n">
        <v>2021</v>
      </c>
      <c r="D239" s="11" t="inlineStr">
        <is>
          <t>T1</t>
        </is>
      </c>
      <c r="E239" s="9" t="n"/>
      <c r="F239" s="12" t="n"/>
      <c r="G239" s="9" t="n"/>
      <c r="H239" s="13" t="n"/>
      <c r="I239" s="13" t="n"/>
      <c r="J239" s="13" t="n"/>
      <c r="K239" s="13" t="n"/>
      <c r="L239" s="13" t="n"/>
      <c r="M239" s="13" t="n"/>
      <c r="N239" s="14">
        <f>IF(A239="","",COUNT(H239:M239)/6)</f>
        <v/>
      </c>
      <c r="O239" s="15">
        <f>IF(COUNT(H239:M239)=0,"",IF(LEN(IF(COUNT(I239,J239)=2,IF(J239&gt;I239+1,"EBE &gt; VA ",""),"")&amp;IF(COUNT(H239,M239)=2,IF(ABS(M239)&gt;ABS(H239),"RN &gt; CA ",""),"")&amp;IF(COUNT(H239,K239)=2,IF(ABS(K239)&gt;ABS(H239),"RE &gt; CA ",""),""))=0,"OK",IF(COUNT(I239,J239)=2,IF(J239&gt;I239+1,"EBE &gt; VA ",""),"")&amp;IF(COUNT(H239,M239)=2,IF(ABS(M239)&gt;ABS(H239),"RN &gt; CA ",""),"")&amp;IF(COUNT(H239,K239)=2,IF(ABS(K239)&gt;ABS(H239),"RE &gt; CA ",""),"")))</f>
        <v/>
      </c>
    </row>
    <row r="240">
      <c r="A240" s="9" t="inlineStr">
        <is>
          <t>NEIC</t>
        </is>
      </c>
      <c r="B240" s="10">
        <f>IF(A240="","",IFERROR(VLOOKUP(A240,Titres!$A$2:$B$400,2,FALSE),"Ticker inconnu"))</f>
        <v/>
      </c>
      <c r="C240" s="11" t="n">
        <v>2021</v>
      </c>
      <c r="D240" s="11" t="inlineStr">
        <is>
          <t>S1</t>
        </is>
      </c>
      <c r="E240" s="9" t="n"/>
      <c r="F240" s="12" t="n"/>
      <c r="G240" s="9" t="n"/>
      <c r="H240" s="13" t="n"/>
      <c r="I240" s="13" t="n"/>
      <c r="J240" s="13" t="n"/>
      <c r="K240" s="13" t="n"/>
      <c r="L240" s="13" t="n"/>
      <c r="M240" s="13" t="n"/>
      <c r="N240" s="14">
        <f>IF(A240="","",COUNT(H240:M240)/6)</f>
        <v/>
      </c>
      <c r="O240" s="15">
        <f>IF(COUNT(H240:M240)=0,"",IF(LEN(IF(COUNT(I240,J240)=2,IF(J240&gt;I240+1,"EBE &gt; VA ",""),"")&amp;IF(COUNT(H240,M240)=2,IF(ABS(M240)&gt;ABS(H240),"RN &gt; CA ",""),"")&amp;IF(COUNT(H240,K240)=2,IF(ABS(K240)&gt;ABS(H240),"RE &gt; CA ",""),""))=0,"OK",IF(COUNT(I240,J240)=2,IF(J240&gt;I240+1,"EBE &gt; VA ",""),"")&amp;IF(COUNT(H240,M240)=2,IF(ABS(M240)&gt;ABS(H240),"RN &gt; CA ",""),"")&amp;IF(COUNT(H240,K240)=2,IF(ABS(K240)&gt;ABS(H240),"RE &gt; CA ",""),"")))</f>
        <v/>
      </c>
    </row>
    <row r="241">
      <c r="A241" s="9" t="inlineStr">
        <is>
          <t>NEIC</t>
        </is>
      </c>
      <c r="B241" s="10">
        <f>IF(A241="","",IFERROR(VLOOKUP(A241,Titres!$A$2:$B$400,2,FALSE),"Ticker inconnu"))</f>
        <v/>
      </c>
      <c r="C241" s="11" t="n">
        <v>2021</v>
      </c>
      <c r="D241" s="11" t="inlineStr">
        <is>
          <t>T3</t>
        </is>
      </c>
      <c r="E241" s="9" t="n"/>
      <c r="F241" s="12" t="n"/>
      <c r="G241" s="9" t="n"/>
      <c r="H241" s="13" t="n"/>
      <c r="I241" s="13" t="n"/>
      <c r="J241" s="13" t="n"/>
      <c r="K241" s="13" t="n"/>
      <c r="L241" s="13" t="n"/>
      <c r="M241" s="13" t="n"/>
      <c r="N241" s="14">
        <f>IF(A241="","",COUNT(H241:M241)/6)</f>
        <v/>
      </c>
      <c r="O241" s="15">
        <f>IF(COUNT(H241:M241)=0,"",IF(LEN(IF(COUNT(I241,J241)=2,IF(J241&gt;I241+1,"EBE &gt; VA ",""),"")&amp;IF(COUNT(H241,M241)=2,IF(ABS(M241)&gt;ABS(H241),"RN &gt; CA ",""),"")&amp;IF(COUNT(H241,K241)=2,IF(ABS(K241)&gt;ABS(H241),"RE &gt; CA ",""),""))=0,"OK",IF(COUNT(I241,J241)=2,IF(J241&gt;I241+1,"EBE &gt; VA ",""),"")&amp;IF(COUNT(H241,M241)=2,IF(ABS(M241)&gt;ABS(H241),"RN &gt; CA ",""),"")&amp;IF(COUNT(H241,K241)=2,IF(ABS(K241)&gt;ABS(H241),"RE &gt; CA ",""),"")))</f>
        <v/>
      </c>
    </row>
    <row r="242">
      <c r="A242" s="9" t="inlineStr">
        <is>
          <t>NEIC</t>
        </is>
      </c>
      <c r="B242" s="10">
        <f>IF(A242="","",IFERROR(VLOOKUP(A242,Titres!$A$2:$B$400,2,FALSE),"Ticker inconnu"))</f>
        <v/>
      </c>
      <c r="C242" s="11" t="n">
        <v>2022</v>
      </c>
      <c r="D242" s="11" t="inlineStr">
        <is>
          <t>T1</t>
        </is>
      </c>
      <c r="E242" s="9" t="n"/>
      <c r="F242" s="12" t="n"/>
      <c r="G242" s="9" t="n"/>
      <c r="H242" s="13" t="n"/>
      <c r="I242" s="13" t="n"/>
      <c r="J242" s="13" t="n"/>
      <c r="K242" s="13" t="n"/>
      <c r="L242" s="13" t="n"/>
      <c r="M242" s="13" t="n"/>
      <c r="N242" s="14">
        <f>IF(A242="","",COUNT(H242:M242)/6)</f>
        <v/>
      </c>
      <c r="O242" s="15">
        <f>IF(COUNT(H242:M242)=0,"",IF(LEN(IF(COUNT(I242,J242)=2,IF(J242&gt;I242+1,"EBE &gt; VA ",""),"")&amp;IF(COUNT(H242,M242)=2,IF(ABS(M242)&gt;ABS(H242),"RN &gt; CA ",""),"")&amp;IF(COUNT(H242,K242)=2,IF(ABS(K242)&gt;ABS(H242),"RE &gt; CA ",""),""))=0,"OK",IF(COUNT(I242,J242)=2,IF(J242&gt;I242+1,"EBE &gt; VA ",""),"")&amp;IF(COUNT(H242,M242)=2,IF(ABS(M242)&gt;ABS(H242),"RN &gt; CA ",""),"")&amp;IF(COUNT(H242,K242)=2,IF(ABS(K242)&gt;ABS(H242),"RE &gt; CA ",""),"")))</f>
        <v/>
      </c>
    </row>
    <row r="243">
      <c r="A243" s="9" t="inlineStr">
        <is>
          <t>NEIC</t>
        </is>
      </c>
      <c r="B243" s="10">
        <f>IF(A243="","",IFERROR(VLOOKUP(A243,Titres!$A$2:$B$400,2,FALSE),"Ticker inconnu"))</f>
        <v/>
      </c>
      <c r="C243" s="11" t="n">
        <v>2022</v>
      </c>
      <c r="D243" s="11" t="inlineStr">
        <is>
          <t>S1</t>
        </is>
      </c>
      <c r="E243" s="9" t="n"/>
      <c r="F243" s="12" t="n"/>
      <c r="G243" s="9" t="n"/>
      <c r="H243" s="13" t="n"/>
      <c r="I243" s="13" t="n"/>
      <c r="J243" s="13" t="n"/>
      <c r="K243" s="13" t="n"/>
      <c r="L243" s="13" t="n"/>
      <c r="M243" s="13" t="n"/>
      <c r="N243" s="14">
        <f>IF(A243="","",COUNT(H243:M243)/6)</f>
        <v/>
      </c>
      <c r="O243" s="15">
        <f>IF(COUNT(H243:M243)=0,"",IF(LEN(IF(COUNT(I243,J243)=2,IF(J243&gt;I243+1,"EBE &gt; VA ",""),"")&amp;IF(COUNT(H243,M243)=2,IF(ABS(M243)&gt;ABS(H243),"RN &gt; CA ",""),"")&amp;IF(COUNT(H243,K243)=2,IF(ABS(K243)&gt;ABS(H243),"RE &gt; CA ",""),""))=0,"OK",IF(COUNT(I243,J243)=2,IF(J243&gt;I243+1,"EBE &gt; VA ",""),"")&amp;IF(COUNT(H243,M243)=2,IF(ABS(M243)&gt;ABS(H243),"RN &gt; CA ",""),"")&amp;IF(COUNT(H243,K243)=2,IF(ABS(K243)&gt;ABS(H243),"RE &gt; CA ",""),"")))</f>
        <v/>
      </c>
    </row>
    <row r="244">
      <c r="A244" s="9" t="inlineStr">
        <is>
          <t>NEIC</t>
        </is>
      </c>
      <c r="B244" s="10">
        <f>IF(A244="","",IFERROR(VLOOKUP(A244,Titres!$A$2:$B$400,2,FALSE),"Ticker inconnu"))</f>
        <v/>
      </c>
      <c r="C244" s="11" t="n">
        <v>2022</v>
      </c>
      <c r="D244" s="11" t="inlineStr">
        <is>
          <t>T3</t>
        </is>
      </c>
      <c r="E244" s="9" t="n"/>
      <c r="F244" s="12" t="n"/>
      <c r="G244" s="9" t="n"/>
      <c r="H244" s="13" t="n"/>
      <c r="I244" s="13" t="n"/>
      <c r="J244" s="13" t="n"/>
      <c r="K244" s="13" t="n"/>
      <c r="L244" s="13" t="n"/>
      <c r="M244" s="13" t="n"/>
      <c r="N244" s="14">
        <f>IF(A244="","",COUNT(H244:M244)/6)</f>
        <v/>
      </c>
      <c r="O244" s="15">
        <f>IF(COUNT(H244:M244)=0,"",IF(LEN(IF(COUNT(I244,J244)=2,IF(J244&gt;I244+1,"EBE &gt; VA ",""),"")&amp;IF(COUNT(H244,M244)=2,IF(ABS(M244)&gt;ABS(H244),"RN &gt; CA ",""),"")&amp;IF(COUNT(H244,K244)=2,IF(ABS(K244)&gt;ABS(H244),"RE &gt; CA ",""),""))=0,"OK",IF(COUNT(I244,J244)=2,IF(J244&gt;I244+1,"EBE &gt; VA ",""),"")&amp;IF(COUNT(H244,M244)=2,IF(ABS(M244)&gt;ABS(H244),"RN &gt; CA ",""),"")&amp;IF(COUNT(H244,K244)=2,IF(ABS(K244)&gt;ABS(H244),"RE &gt; CA ",""),"")))</f>
        <v/>
      </c>
    </row>
    <row r="245">
      <c r="A245" s="9" t="inlineStr">
        <is>
          <t>NEIC</t>
        </is>
      </c>
      <c r="B245" s="10">
        <f>IF(A245="","",IFERROR(VLOOKUP(A245,Titres!$A$2:$B$400,2,FALSE),"Ticker inconnu"))</f>
        <v/>
      </c>
      <c r="C245" s="11" t="n">
        <v>2023</v>
      </c>
      <c r="D245" s="11" t="inlineStr">
        <is>
          <t>T1</t>
        </is>
      </c>
      <c r="E245" s="9" t="n"/>
      <c r="F245" s="12" t="n"/>
      <c r="G245" s="9" t="n"/>
      <c r="H245" s="13" t="n"/>
      <c r="I245" s="13" t="n"/>
      <c r="J245" s="13" t="n"/>
      <c r="K245" s="13" t="n"/>
      <c r="L245" s="13" t="n"/>
      <c r="M245" s="13" t="n"/>
      <c r="N245" s="14">
        <f>IF(A245="","",COUNT(H245:M245)/6)</f>
        <v/>
      </c>
      <c r="O245" s="15">
        <f>IF(COUNT(H245:M245)=0,"",IF(LEN(IF(COUNT(I245,J245)=2,IF(J245&gt;I245+1,"EBE &gt; VA ",""),"")&amp;IF(COUNT(H245,M245)=2,IF(ABS(M245)&gt;ABS(H245),"RN &gt; CA ",""),"")&amp;IF(COUNT(H245,K245)=2,IF(ABS(K245)&gt;ABS(H245),"RE &gt; CA ",""),""))=0,"OK",IF(COUNT(I245,J245)=2,IF(J245&gt;I245+1,"EBE &gt; VA ",""),"")&amp;IF(COUNT(H245,M245)=2,IF(ABS(M245)&gt;ABS(H245),"RN &gt; CA ",""),"")&amp;IF(COUNT(H245,K245)=2,IF(ABS(K245)&gt;ABS(H245),"RE &gt; CA ",""),"")))</f>
        <v/>
      </c>
    </row>
    <row r="246">
      <c r="A246" s="9" t="inlineStr">
        <is>
          <t>NEIC</t>
        </is>
      </c>
      <c r="B246" s="10">
        <f>IF(A246="","",IFERROR(VLOOKUP(A246,Titres!$A$2:$B$400,2,FALSE),"Ticker inconnu"))</f>
        <v/>
      </c>
      <c r="C246" s="11" t="n">
        <v>2023</v>
      </c>
      <c r="D246" s="11" t="inlineStr">
        <is>
          <t>S1</t>
        </is>
      </c>
      <c r="E246" s="9" t="n"/>
      <c r="F246" s="12" t="n"/>
      <c r="G246" s="9" t="n"/>
      <c r="H246" s="13" t="n"/>
      <c r="I246" s="13" t="n"/>
      <c r="J246" s="13" t="n"/>
      <c r="K246" s="13" t="n"/>
      <c r="L246" s="13" t="n"/>
      <c r="M246" s="13" t="n"/>
      <c r="N246" s="14">
        <f>IF(A246="","",COUNT(H246:M246)/6)</f>
        <v/>
      </c>
      <c r="O246" s="15">
        <f>IF(COUNT(H246:M246)=0,"",IF(LEN(IF(COUNT(I246,J246)=2,IF(J246&gt;I246+1,"EBE &gt; VA ",""),"")&amp;IF(COUNT(H246,M246)=2,IF(ABS(M246)&gt;ABS(H246),"RN &gt; CA ",""),"")&amp;IF(COUNT(H246,K246)=2,IF(ABS(K246)&gt;ABS(H246),"RE &gt; CA ",""),""))=0,"OK",IF(COUNT(I246,J246)=2,IF(J246&gt;I246+1,"EBE &gt; VA ",""),"")&amp;IF(COUNT(H246,M246)=2,IF(ABS(M246)&gt;ABS(H246),"RN &gt; CA ",""),"")&amp;IF(COUNT(H246,K246)=2,IF(ABS(K246)&gt;ABS(H246),"RE &gt; CA ",""),"")))</f>
        <v/>
      </c>
    </row>
    <row r="247">
      <c r="A247" s="9" t="inlineStr">
        <is>
          <t>NEIC</t>
        </is>
      </c>
      <c r="B247" s="10">
        <f>IF(A247="","",IFERROR(VLOOKUP(A247,Titres!$A$2:$B$400,2,FALSE),"Ticker inconnu"))</f>
        <v/>
      </c>
      <c r="C247" s="11" t="n">
        <v>2023</v>
      </c>
      <c r="D247" s="11" t="inlineStr">
        <is>
          <t>T3</t>
        </is>
      </c>
      <c r="E247" s="9" t="n"/>
      <c r="F247" s="12" t="n"/>
      <c r="G247" s="9" t="n"/>
      <c r="H247" s="13" t="n"/>
      <c r="I247" s="13" t="n"/>
      <c r="J247" s="13" t="n"/>
      <c r="K247" s="13" t="n"/>
      <c r="L247" s="13" t="n"/>
      <c r="M247" s="13" t="n"/>
      <c r="N247" s="14">
        <f>IF(A247="","",COUNT(H247:M247)/6)</f>
        <v/>
      </c>
      <c r="O247" s="15">
        <f>IF(COUNT(H247:M247)=0,"",IF(LEN(IF(COUNT(I247,J247)=2,IF(J247&gt;I247+1,"EBE &gt; VA ",""),"")&amp;IF(COUNT(H247,M247)=2,IF(ABS(M247)&gt;ABS(H247),"RN &gt; CA ",""),"")&amp;IF(COUNT(H247,K247)=2,IF(ABS(K247)&gt;ABS(H247),"RE &gt; CA ",""),""))=0,"OK",IF(COUNT(I247,J247)=2,IF(J247&gt;I247+1,"EBE &gt; VA ",""),"")&amp;IF(COUNT(H247,M247)=2,IF(ABS(M247)&gt;ABS(H247),"RN &gt; CA ",""),"")&amp;IF(COUNT(H247,K247)=2,IF(ABS(K247)&gt;ABS(H247),"RE &gt; CA ",""),"")))</f>
        <v/>
      </c>
    </row>
    <row r="248">
      <c r="A248" s="9" t="inlineStr">
        <is>
          <t>NEIC</t>
        </is>
      </c>
      <c r="B248" s="10">
        <f>IF(A248="","",IFERROR(VLOOKUP(A248,Titres!$A$2:$B$400,2,FALSE),"Ticker inconnu"))</f>
        <v/>
      </c>
      <c r="C248" s="11" t="n">
        <v>2024</v>
      </c>
      <c r="D248" s="11" t="inlineStr">
        <is>
          <t>T1</t>
        </is>
      </c>
      <c r="E248" s="9" t="n"/>
      <c r="F248" s="12" t="n"/>
      <c r="G248" s="9" t="n"/>
      <c r="H248" s="13" t="n"/>
      <c r="I248" s="13" t="n"/>
      <c r="J248" s="13" t="n"/>
      <c r="K248" s="13" t="n"/>
      <c r="L248" s="13" t="n"/>
      <c r="M248" s="13" t="n"/>
      <c r="N248" s="14">
        <f>IF(A248="","",COUNT(H248:M248)/6)</f>
        <v/>
      </c>
      <c r="O248" s="15">
        <f>IF(COUNT(H248:M248)=0,"",IF(LEN(IF(COUNT(I248,J248)=2,IF(J248&gt;I248+1,"EBE &gt; VA ",""),"")&amp;IF(COUNT(H248,M248)=2,IF(ABS(M248)&gt;ABS(H248),"RN &gt; CA ",""),"")&amp;IF(COUNT(H248,K248)=2,IF(ABS(K248)&gt;ABS(H248),"RE &gt; CA ",""),""))=0,"OK",IF(COUNT(I248,J248)=2,IF(J248&gt;I248+1,"EBE &gt; VA ",""),"")&amp;IF(COUNT(H248,M248)=2,IF(ABS(M248)&gt;ABS(H248),"RN &gt; CA ",""),"")&amp;IF(COUNT(H248,K248)=2,IF(ABS(K248)&gt;ABS(H248),"RE &gt; CA ",""),"")))</f>
        <v/>
      </c>
    </row>
    <row r="249">
      <c r="A249" s="9" t="inlineStr">
        <is>
          <t>NEIC</t>
        </is>
      </c>
      <c r="B249" s="10">
        <f>IF(A249="","",IFERROR(VLOOKUP(A249,Titres!$A$2:$B$400,2,FALSE),"Ticker inconnu"))</f>
        <v/>
      </c>
      <c r="C249" s="11" t="n">
        <v>2024</v>
      </c>
      <c r="D249" s="11" t="inlineStr">
        <is>
          <t>S1</t>
        </is>
      </c>
      <c r="E249" s="9" t="n"/>
      <c r="F249" s="12" t="n"/>
      <c r="G249" s="9" t="n"/>
      <c r="H249" s="13" t="n"/>
      <c r="I249" s="13" t="n"/>
      <c r="J249" s="13" t="n"/>
      <c r="K249" s="13" t="n"/>
      <c r="L249" s="13" t="n"/>
      <c r="M249" s="13" t="n"/>
      <c r="N249" s="14">
        <f>IF(A249="","",COUNT(H249:M249)/6)</f>
        <v/>
      </c>
      <c r="O249" s="15">
        <f>IF(COUNT(H249:M249)=0,"",IF(LEN(IF(COUNT(I249,J249)=2,IF(J249&gt;I249+1,"EBE &gt; VA ",""),"")&amp;IF(COUNT(H249,M249)=2,IF(ABS(M249)&gt;ABS(H249),"RN &gt; CA ",""),"")&amp;IF(COUNT(H249,K249)=2,IF(ABS(K249)&gt;ABS(H249),"RE &gt; CA ",""),""))=0,"OK",IF(COUNT(I249,J249)=2,IF(J249&gt;I249+1,"EBE &gt; VA ",""),"")&amp;IF(COUNT(H249,M249)=2,IF(ABS(M249)&gt;ABS(H249),"RN &gt; CA ",""),"")&amp;IF(COUNT(H249,K249)=2,IF(ABS(K249)&gt;ABS(H249),"RE &gt; CA ",""),"")))</f>
        <v/>
      </c>
    </row>
    <row r="250">
      <c r="A250" s="9" t="inlineStr">
        <is>
          <t>NEIC</t>
        </is>
      </c>
      <c r="B250" s="10">
        <f>IF(A250="","",IFERROR(VLOOKUP(A250,Titres!$A$2:$B$400,2,FALSE),"Ticker inconnu"))</f>
        <v/>
      </c>
      <c r="C250" s="11" t="n">
        <v>2024</v>
      </c>
      <c r="D250" s="11" t="inlineStr">
        <is>
          <t>T3</t>
        </is>
      </c>
      <c r="E250" s="9" t="n"/>
      <c r="F250" s="12" t="n"/>
      <c r="G250" s="9" t="n"/>
      <c r="H250" s="13" t="n"/>
      <c r="I250" s="13" t="n"/>
      <c r="J250" s="13" t="n"/>
      <c r="K250" s="13" t="n"/>
      <c r="L250" s="13" t="n"/>
      <c r="M250" s="13" t="n"/>
      <c r="N250" s="14">
        <f>IF(A250="","",COUNT(H250:M250)/6)</f>
        <v/>
      </c>
      <c r="O250" s="15">
        <f>IF(COUNT(H250:M250)=0,"",IF(LEN(IF(COUNT(I250,J250)=2,IF(J250&gt;I250+1,"EBE &gt; VA ",""),"")&amp;IF(COUNT(H250,M250)=2,IF(ABS(M250)&gt;ABS(H250),"RN &gt; CA ",""),"")&amp;IF(COUNT(H250,K250)=2,IF(ABS(K250)&gt;ABS(H250),"RE &gt; CA ",""),""))=0,"OK",IF(COUNT(I250,J250)=2,IF(J250&gt;I250+1,"EBE &gt; VA ",""),"")&amp;IF(COUNT(H250,M250)=2,IF(ABS(M250)&gt;ABS(H250),"RN &gt; CA ",""),"")&amp;IF(COUNT(H250,K250)=2,IF(ABS(K250)&gt;ABS(H250),"RE &gt; CA ",""),"")))</f>
        <v/>
      </c>
    </row>
    <row r="251">
      <c r="A251" s="9" t="inlineStr">
        <is>
          <t>NEIC</t>
        </is>
      </c>
      <c r="B251" s="10">
        <f>IF(A251="","",IFERROR(VLOOKUP(A251,Titres!$A$2:$B$400,2,FALSE),"Ticker inconnu"))</f>
        <v/>
      </c>
      <c r="C251" s="11" t="n">
        <v>2025</v>
      </c>
      <c r="D251" s="11" t="inlineStr">
        <is>
          <t>T1</t>
        </is>
      </c>
      <c r="E251" s="9" t="n"/>
      <c r="F251" s="12" t="n"/>
      <c r="G251" s="9" t="n"/>
      <c r="H251" s="13" t="n"/>
      <c r="I251" s="13" t="n"/>
      <c r="J251" s="13" t="n"/>
      <c r="K251" s="13" t="n"/>
      <c r="L251" s="13" t="n"/>
      <c r="M251" s="13" t="n"/>
      <c r="N251" s="14">
        <f>IF(A251="","",COUNT(H251:M251)/6)</f>
        <v/>
      </c>
      <c r="O251" s="15">
        <f>IF(COUNT(H251:M251)=0,"",IF(LEN(IF(COUNT(I251,J251)=2,IF(J251&gt;I251+1,"EBE &gt; VA ",""),"")&amp;IF(COUNT(H251,M251)=2,IF(ABS(M251)&gt;ABS(H251),"RN &gt; CA ",""),"")&amp;IF(COUNT(H251,K251)=2,IF(ABS(K251)&gt;ABS(H251),"RE &gt; CA ",""),""))=0,"OK",IF(COUNT(I251,J251)=2,IF(J251&gt;I251+1,"EBE &gt; VA ",""),"")&amp;IF(COUNT(H251,M251)=2,IF(ABS(M251)&gt;ABS(H251),"RN &gt; CA ",""),"")&amp;IF(COUNT(H251,K251)=2,IF(ABS(K251)&gt;ABS(H251),"RE &gt; CA ",""),"")))</f>
        <v/>
      </c>
    </row>
    <row r="252">
      <c r="A252" s="9" t="inlineStr">
        <is>
          <t>NEIC</t>
        </is>
      </c>
      <c r="B252" s="10">
        <f>IF(A252="","",IFERROR(VLOOKUP(A252,Titres!$A$2:$B$400,2,FALSE),"Ticker inconnu"))</f>
        <v/>
      </c>
      <c r="C252" s="11" t="n">
        <v>2025</v>
      </c>
      <c r="D252" s="11" t="inlineStr">
        <is>
          <t>S1</t>
        </is>
      </c>
      <c r="E252" s="9" t="n"/>
      <c r="F252" s="12" t="n"/>
      <c r="G252" s="9" t="n"/>
      <c r="H252" s="13" t="n"/>
      <c r="I252" s="13" t="n"/>
      <c r="J252" s="13" t="n"/>
      <c r="K252" s="13" t="n"/>
      <c r="L252" s="13" t="n"/>
      <c r="M252" s="13" t="n"/>
      <c r="N252" s="14">
        <f>IF(A252="","",COUNT(H252:M252)/6)</f>
        <v/>
      </c>
      <c r="O252" s="15">
        <f>IF(COUNT(H252:M252)=0,"",IF(LEN(IF(COUNT(I252,J252)=2,IF(J252&gt;I252+1,"EBE &gt; VA ",""),"")&amp;IF(COUNT(H252,M252)=2,IF(ABS(M252)&gt;ABS(H252),"RN &gt; CA ",""),"")&amp;IF(COUNT(H252,K252)=2,IF(ABS(K252)&gt;ABS(H252),"RE &gt; CA ",""),""))=0,"OK",IF(COUNT(I252,J252)=2,IF(J252&gt;I252+1,"EBE &gt; VA ",""),"")&amp;IF(COUNT(H252,M252)=2,IF(ABS(M252)&gt;ABS(H252),"RN &gt; CA ",""),"")&amp;IF(COUNT(H252,K252)=2,IF(ABS(K252)&gt;ABS(H252),"RE &gt; CA ",""),"")))</f>
        <v/>
      </c>
    </row>
    <row r="253">
      <c r="A253" s="9" t="inlineStr">
        <is>
          <t>NEIC</t>
        </is>
      </c>
      <c r="B253" s="10">
        <f>IF(A253="","",IFERROR(VLOOKUP(A253,Titres!$A$2:$B$400,2,FALSE),"Ticker inconnu"))</f>
        <v/>
      </c>
      <c r="C253" s="11" t="n">
        <v>2025</v>
      </c>
      <c r="D253" s="11" t="inlineStr">
        <is>
          <t>T3</t>
        </is>
      </c>
      <c r="E253" s="9" t="n"/>
      <c r="F253" s="12" t="n"/>
      <c r="G253" s="9" t="n"/>
      <c r="H253" s="13" t="n"/>
      <c r="I253" s="13" t="n"/>
      <c r="J253" s="13" t="n"/>
      <c r="K253" s="13" t="n"/>
      <c r="L253" s="13" t="n"/>
      <c r="M253" s="13" t="n"/>
      <c r="N253" s="14">
        <f>IF(A253="","",COUNT(H253:M253)/6)</f>
        <v/>
      </c>
      <c r="O253" s="15">
        <f>IF(COUNT(H253:M253)=0,"",IF(LEN(IF(COUNT(I253,J253)=2,IF(J253&gt;I253+1,"EBE &gt; VA ",""),"")&amp;IF(COUNT(H253,M253)=2,IF(ABS(M253)&gt;ABS(H253),"RN &gt; CA ",""),"")&amp;IF(COUNT(H253,K253)=2,IF(ABS(K253)&gt;ABS(H253),"RE &gt; CA ",""),""))=0,"OK",IF(COUNT(I253,J253)=2,IF(J253&gt;I253+1,"EBE &gt; VA ",""),"")&amp;IF(COUNT(H253,M253)=2,IF(ABS(M253)&gt;ABS(H253),"RN &gt; CA ",""),"")&amp;IF(COUNT(H253,K253)=2,IF(ABS(K253)&gt;ABS(H253),"RE &gt; CA ",""),"")))</f>
        <v/>
      </c>
    </row>
    <row r="254">
      <c r="A254" s="9" t="inlineStr">
        <is>
          <t>NEIC</t>
        </is>
      </c>
      <c r="B254" s="10">
        <f>IF(A254="","",IFERROR(VLOOKUP(A254,Titres!$A$2:$B$400,2,FALSE),"Ticker inconnu"))</f>
        <v/>
      </c>
      <c r="C254" s="11" t="n">
        <v>2026</v>
      </c>
      <c r="D254" s="11" t="inlineStr">
        <is>
          <t>T1</t>
        </is>
      </c>
      <c r="E254" s="9" t="n"/>
      <c r="F254" s="12" t="n"/>
      <c r="G254" s="9" t="n"/>
      <c r="H254" s="13" t="n"/>
      <c r="I254" s="13" t="n"/>
      <c r="J254" s="13" t="n"/>
      <c r="K254" s="13" t="n"/>
      <c r="L254" s="13" t="n"/>
      <c r="M254" s="13" t="n"/>
      <c r="N254" s="14">
        <f>IF(A254="","",COUNT(H254:M254)/6)</f>
        <v/>
      </c>
      <c r="O254" s="15">
        <f>IF(COUNT(H254:M254)=0,"",IF(LEN(IF(COUNT(I254,J254)=2,IF(J254&gt;I254+1,"EBE &gt; VA ",""),"")&amp;IF(COUNT(H254,M254)=2,IF(ABS(M254)&gt;ABS(H254),"RN &gt; CA ",""),"")&amp;IF(COUNT(H254,K254)=2,IF(ABS(K254)&gt;ABS(H254),"RE &gt; CA ",""),""))=0,"OK",IF(COUNT(I254,J254)=2,IF(J254&gt;I254+1,"EBE &gt; VA ",""),"")&amp;IF(COUNT(H254,M254)=2,IF(ABS(M254)&gt;ABS(H254),"RN &gt; CA ",""),"")&amp;IF(COUNT(H254,K254)=2,IF(ABS(K254)&gt;ABS(H254),"RE &gt; CA ",""),"")))</f>
        <v/>
      </c>
    </row>
    <row r="255">
      <c r="A255" s="9" t="inlineStr">
        <is>
          <t>NEIC</t>
        </is>
      </c>
      <c r="B255" s="10">
        <f>IF(A255="","",IFERROR(VLOOKUP(A255,Titres!$A$2:$B$400,2,FALSE),"Ticker inconnu"))</f>
        <v/>
      </c>
      <c r="C255" s="11" t="n">
        <v>2026</v>
      </c>
      <c r="D255" s="11" t="inlineStr">
        <is>
          <t>S1</t>
        </is>
      </c>
      <c r="E255" s="9" t="n"/>
      <c r="F255" s="12" t="n"/>
      <c r="G255" s="9" t="n"/>
      <c r="H255" s="13" t="n"/>
      <c r="I255" s="13" t="n"/>
      <c r="J255" s="13" t="n"/>
      <c r="K255" s="13" t="n"/>
      <c r="L255" s="13" t="n"/>
      <c r="M255" s="13" t="n"/>
      <c r="N255" s="14">
        <f>IF(A255="","",COUNT(H255:M255)/6)</f>
        <v/>
      </c>
      <c r="O255" s="15">
        <f>IF(COUNT(H255:M255)=0,"",IF(LEN(IF(COUNT(I255,J255)=2,IF(J255&gt;I255+1,"EBE &gt; VA ",""),"")&amp;IF(COUNT(H255,M255)=2,IF(ABS(M255)&gt;ABS(H255),"RN &gt; CA ",""),"")&amp;IF(COUNT(H255,K255)=2,IF(ABS(K255)&gt;ABS(H255),"RE &gt; CA ",""),""))=0,"OK",IF(COUNT(I255,J255)=2,IF(J255&gt;I255+1,"EBE &gt; VA ",""),"")&amp;IF(COUNT(H255,M255)=2,IF(ABS(M255)&gt;ABS(H255),"RN &gt; CA ",""),"")&amp;IF(COUNT(H255,K255)=2,IF(ABS(K255)&gt;ABS(H255),"RE &gt; CA ",""),"")))</f>
        <v/>
      </c>
    </row>
    <row r="256">
      <c r="A256" s="9" t="inlineStr">
        <is>
          <t>NEIC</t>
        </is>
      </c>
      <c r="B256" s="10">
        <f>IF(A256="","",IFERROR(VLOOKUP(A256,Titres!$A$2:$B$400,2,FALSE),"Ticker inconnu"))</f>
        <v/>
      </c>
      <c r="C256" s="11" t="n">
        <v>2026</v>
      </c>
      <c r="D256" s="11" t="inlineStr">
        <is>
          <t>T3</t>
        </is>
      </c>
      <c r="E256" s="9" t="n"/>
      <c r="F256" s="12" t="n"/>
      <c r="G256" s="9" t="n"/>
      <c r="H256" s="13" t="n"/>
      <c r="I256" s="13" t="n"/>
      <c r="J256" s="13" t="n"/>
      <c r="K256" s="13" t="n"/>
      <c r="L256" s="13" t="n"/>
      <c r="M256" s="13" t="n"/>
      <c r="N256" s="14">
        <f>IF(A256="","",COUNT(H256:M256)/6)</f>
        <v/>
      </c>
      <c r="O256" s="15">
        <f>IF(COUNT(H256:M256)=0,"",IF(LEN(IF(COUNT(I256,J256)=2,IF(J256&gt;I256+1,"EBE &gt; VA ",""),"")&amp;IF(COUNT(H256,M256)=2,IF(ABS(M256)&gt;ABS(H256),"RN &gt; CA ",""),"")&amp;IF(COUNT(H256,K256)=2,IF(ABS(K256)&gt;ABS(H256),"RE &gt; CA ",""),""))=0,"OK",IF(COUNT(I256,J256)=2,IF(J256&gt;I256+1,"EBE &gt; VA ",""),"")&amp;IF(COUNT(H256,M256)=2,IF(ABS(M256)&gt;ABS(H256),"RN &gt; CA ",""),"")&amp;IF(COUNT(H256,K256)=2,IF(ABS(K256)&gt;ABS(H256),"RE &gt; CA ",""),"")))</f>
        <v/>
      </c>
    </row>
    <row r="257">
      <c r="A257" s="9" t="inlineStr">
        <is>
          <t>PRSC</t>
        </is>
      </c>
      <c r="B257" s="10">
        <f>IF(A257="","",IFERROR(VLOOKUP(A257,Titres!$A$2:$B$400,2,FALSE),"Ticker inconnu"))</f>
        <v/>
      </c>
      <c r="C257" s="11" t="n">
        <v>2021</v>
      </c>
      <c r="D257" s="11" t="inlineStr">
        <is>
          <t>T1</t>
        </is>
      </c>
      <c r="E257" s="9" t="n"/>
      <c r="F257" s="12" t="n"/>
      <c r="G257" s="9" t="n"/>
      <c r="H257" s="13" t="n"/>
      <c r="I257" s="13" t="n"/>
      <c r="J257" s="13" t="n"/>
      <c r="K257" s="13" t="n"/>
      <c r="L257" s="13" t="n"/>
      <c r="M257" s="13" t="n"/>
      <c r="N257" s="14">
        <f>IF(A257="","",COUNT(H257:M257)/6)</f>
        <v/>
      </c>
      <c r="O257" s="15">
        <f>IF(COUNT(H257:M257)=0,"",IF(LEN(IF(COUNT(I257,J257)=2,IF(J257&gt;I257+1,"EBE &gt; VA ",""),"")&amp;IF(COUNT(H257,M257)=2,IF(ABS(M257)&gt;ABS(H257),"RN &gt; CA ",""),"")&amp;IF(COUNT(H257,K257)=2,IF(ABS(K257)&gt;ABS(H257),"RE &gt; CA ",""),""))=0,"OK",IF(COUNT(I257,J257)=2,IF(J257&gt;I257+1,"EBE &gt; VA ",""),"")&amp;IF(COUNT(H257,M257)=2,IF(ABS(M257)&gt;ABS(H257),"RN &gt; CA ",""),"")&amp;IF(COUNT(H257,K257)=2,IF(ABS(K257)&gt;ABS(H257),"RE &gt; CA ",""),"")))</f>
        <v/>
      </c>
    </row>
    <row r="258">
      <c r="A258" s="9" t="inlineStr">
        <is>
          <t>PRSC</t>
        </is>
      </c>
      <c r="B258" s="10">
        <f>IF(A258="","",IFERROR(VLOOKUP(A258,Titres!$A$2:$B$400,2,FALSE),"Ticker inconnu"))</f>
        <v/>
      </c>
      <c r="C258" s="11" t="n">
        <v>2021</v>
      </c>
      <c r="D258" s="11" t="inlineStr">
        <is>
          <t>S1</t>
        </is>
      </c>
      <c r="E258" s="9" t="n"/>
      <c r="F258" s="12" t="n"/>
      <c r="G258" s="9" t="n"/>
      <c r="H258" s="13" t="n"/>
      <c r="I258" s="13" t="n"/>
      <c r="J258" s="13" t="n"/>
      <c r="K258" s="13" t="n"/>
      <c r="L258" s="13" t="n"/>
      <c r="M258" s="13" t="n"/>
      <c r="N258" s="14">
        <f>IF(A258="","",COUNT(H258:M258)/6)</f>
        <v/>
      </c>
      <c r="O258" s="15">
        <f>IF(COUNT(H258:M258)=0,"",IF(LEN(IF(COUNT(I258,J258)=2,IF(J258&gt;I258+1,"EBE &gt; VA ",""),"")&amp;IF(COUNT(H258,M258)=2,IF(ABS(M258)&gt;ABS(H258),"RN &gt; CA ",""),"")&amp;IF(COUNT(H258,K258)=2,IF(ABS(K258)&gt;ABS(H258),"RE &gt; CA ",""),""))=0,"OK",IF(COUNT(I258,J258)=2,IF(J258&gt;I258+1,"EBE &gt; VA ",""),"")&amp;IF(COUNT(H258,M258)=2,IF(ABS(M258)&gt;ABS(H258),"RN &gt; CA ",""),"")&amp;IF(COUNT(H258,K258)=2,IF(ABS(K258)&gt;ABS(H258),"RE &gt; CA ",""),"")))</f>
        <v/>
      </c>
    </row>
    <row r="259">
      <c r="A259" s="9" t="inlineStr">
        <is>
          <t>PRSC</t>
        </is>
      </c>
      <c r="B259" s="10">
        <f>IF(A259="","",IFERROR(VLOOKUP(A259,Titres!$A$2:$B$400,2,FALSE),"Ticker inconnu"))</f>
        <v/>
      </c>
      <c r="C259" s="11" t="n">
        <v>2021</v>
      </c>
      <c r="D259" s="11" t="inlineStr">
        <is>
          <t>T3</t>
        </is>
      </c>
      <c r="E259" s="9" t="n"/>
      <c r="F259" s="12" t="n"/>
      <c r="G259" s="9" t="n"/>
      <c r="H259" s="13" t="n"/>
      <c r="I259" s="13" t="n"/>
      <c r="J259" s="13" t="n"/>
      <c r="K259" s="13" t="n"/>
      <c r="L259" s="13" t="n"/>
      <c r="M259" s="13" t="n"/>
      <c r="N259" s="14">
        <f>IF(A259="","",COUNT(H259:M259)/6)</f>
        <v/>
      </c>
      <c r="O259" s="15">
        <f>IF(COUNT(H259:M259)=0,"",IF(LEN(IF(COUNT(I259,J259)=2,IF(J259&gt;I259+1,"EBE &gt; VA ",""),"")&amp;IF(COUNT(H259,M259)=2,IF(ABS(M259)&gt;ABS(H259),"RN &gt; CA ",""),"")&amp;IF(COUNT(H259,K259)=2,IF(ABS(K259)&gt;ABS(H259),"RE &gt; CA ",""),""))=0,"OK",IF(COUNT(I259,J259)=2,IF(J259&gt;I259+1,"EBE &gt; VA ",""),"")&amp;IF(COUNT(H259,M259)=2,IF(ABS(M259)&gt;ABS(H259),"RN &gt; CA ",""),"")&amp;IF(COUNT(H259,K259)=2,IF(ABS(K259)&gt;ABS(H259),"RE &gt; CA ",""),"")))</f>
        <v/>
      </c>
    </row>
    <row r="260">
      <c r="A260" s="9" t="inlineStr">
        <is>
          <t>PRSC</t>
        </is>
      </c>
      <c r="B260" s="10">
        <f>IF(A260="","",IFERROR(VLOOKUP(A260,Titres!$A$2:$B$400,2,FALSE),"Ticker inconnu"))</f>
        <v/>
      </c>
      <c r="C260" s="11" t="n">
        <v>2022</v>
      </c>
      <c r="D260" s="11" t="inlineStr">
        <is>
          <t>T1</t>
        </is>
      </c>
      <c r="E260" s="9" t="n"/>
      <c r="F260" s="12" t="n"/>
      <c r="G260" s="9" t="n"/>
      <c r="H260" s="13" t="n"/>
      <c r="I260" s="13" t="n"/>
      <c r="J260" s="13" t="n"/>
      <c r="K260" s="13" t="n"/>
      <c r="L260" s="13" t="n"/>
      <c r="M260" s="13" t="n"/>
      <c r="N260" s="14">
        <f>IF(A260="","",COUNT(H260:M260)/6)</f>
        <v/>
      </c>
      <c r="O260" s="15">
        <f>IF(COUNT(H260:M260)=0,"",IF(LEN(IF(COUNT(I260,J260)=2,IF(J260&gt;I260+1,"EBE &gt; VA ",""),"")&amp;IF(COUNT(H260,M260)=2,IF(ABS(M260)&gt;ABS(H260),"RN &gt; CA ",""),"")&amp;IF(COUNT(H260,K260)=2,IF(ABS(K260)&gt;ABS(H260),"RE &gt; CA ",""),""))=0,"OK",IF(COUNT(I260,J260)=2,IF(J260&gt;I260+1,"EBE &gt; VA ",""),"")&amp;IF(COUNT(H260,M260)=2,IF(ABS(M260)&gt;ABS(H260),"RN &gt; CA ",""),"")&amp;IF(COUNT(H260,K260)=2,IF(ABS(K260)&gt;ABS(H260),"RE &gt; CA ",""),"")))</f>
        <v/>
      </c>
    </row>
    <row r="261">
      <c r="A261" s="9" t="inlineStr">
        <is>
          <t>PRSC</t>
        </is>
      </c>
      <c r="B261" s="10">
        <f>IF(A261="","",IFERROR(VLOOKUP(A261,Titres!$A$2:$B$400,2,FALSE),"Ticker inconnu"))</f>
        <v/>
      </c>
      <c r="C261" s="11" t="n">
        <v>2022</v>
      </c>
      <c r="D261" s="11" t="inlineStr">
        <is>
          <t>S1</t>
        </is>
      </c>
      <c r="E261" s="9" t="n"/>
      <c r="F261" s="12" t="n"/>
      <c r="G261" s="9" t="n"/>
      <c r="H261" s="13" t="n"/>
      <c r="I261" s="13" t="n"/>
      <c r="J261" s="13" t="n"/>
      <c r="K261" s="13" t="n"/>
      <c r="L261" s="13" t="n"/>
      <c r="M261" s="13" t="n"/>
      <c r="N261" s="14">
        <f>IF(A261="","",COUNT(H261:M261)/6)</f>
        <v/>
      </c>
      <c r="O261" s="15">
        <f>IF(COUNT(H261:M261)=0,"",IF(LEN(IF(COUNT(I261,J261)=2,IF(J261&gt;I261+1,"EBE &gt; VA ",""),"")&amp;IF(COUNT(H261,M261)=2,IF(ABS(M261)&gt;ABS(H261),"RN &gt; CA ",""),"")&amp;IF(COUNT(H261,K261)=2,IF(ABS(K261)&gt;ABS(H261),"RE &gt; CA ",""),""))=0,"OK",IF(COUNT(I261,J261)=2,IF(J261&gt;I261+1,"EBE &gt; VA ",""),"")&amp;IF(COUNT(H261,M261)=2,IF(ABS(M261)&gt;ABS(H261),"RN &gt; CA ",""),"")&amp;IF(COUNT(H261,K261)=2,IF(ABS(K261)&gt;ABS(H261),"RE &gt; CA ",""),"")))</f>
        <v/>
      </c>
    </row>
    <row r="262">
      <c r="A262" s="9" t="inlineStr">
        <is>
          <t>PRSC</t>
        </is>
      </c>
      <c r="B262" s="10">
        <f>IF(A262="","",IFERROR(VLOOKUP(A262,Titres!$A$2:$B$400,2,FALSE),"Ticker inconnu"))</f>
        <v/>
      </c>
      <c r="C262" s="11" t="n">
        <v>2022</v>
      </c>
      <c r="D262" s="11" t="inlineStr">
        <is>
          <t>T3</t>
        </is>
      </c>
      <c r="E262" s="9" t="n"/>
      <c r="F262" s="12" t="n"/>
      <c r="G262" s="9" t="n"/>
      <c r="H262" s="13" t="n"/>
      <c r="I262" s="13" t="n"/>
      <c r="J262" s="13" t="n"/>
      <c r="K262" s="13" t="n"/>
      <c r="L262" s="13" t="n"/>
      <c r="M262" s="13" t="n"/>
      <c r="N262" s="14">
        <f>IF(A262="","",COUNT(H262:M262)/6)</f>
        <v/>
      </c>
      <c r="O262" s="15">
        <f>IF(COUNT(H262:M262)=0,"",IF(LEN(IF(COUNT(I262,J262)=2,IF(J262&gt;I262+1,"EBE &gt; VA ",""),"")&amp;IF(COUNT(H262,M262)=2,IF(ABS(M262)&gt;ABS(H262),"RN &gt; CA ",""),"")&amp;IF(COUNT(H262,K262)=2,IF(ABS(K262)&gt;ABS(H262),"RE &gt; CA ",""),""))=0,"OK",IF(COUNT(I262,J262)=2,IF(J262&gt;I262+1,"EBE &gt; VA ",""),"")&amp;IF(COUNT(H262,M262)=2,IF(ABS(M262)&gt;ABS(H262),"RN &gt; CA ",""),"")&amp;IF(COUNT(H262,K262)=2,IF(ABS(K262)&gt;ABS(H262),"RE &gt; CA ",""),"")))</f>
        <v/>
      </c>
    </row>
    <row r="263">
      <c r="A263" s="9" t="inlineStr">
        <is>
          <t>PRSC</t>
        </is>
      </c>
      <c r="B263" s="10">
        <f>IF(A263="","",IFERROR(VLOOKUP(A263,Titres!$A$2:$B$400,2,FALSE),"Ticker inconnu"))</f>
        <v/>
      </c>
      <c r="C263" s="11" t="n">
        <v>2023</v>
      </c>
      <c r="D263" s="11" t="inlineStr">
        <is>
          <t>T1</t>
        </is>
      </c>
      <c r="E263" s="9" t="n"/>
      <c r="F263" s="12" t="n"/>
      <c r="G263" s="9" t="n"/>
      <c r="H263" s="13" t="n"/>
      <c r="I263" s="13" t="n"/>
      <c r="J263" s="13" t="n"/>
      <c r="K263" s="13" t="n"/>
      <c r="L263" s="13" t="n"/>
      <c r="M263" s="13" t="n"/>
      <c r="N263" s="14">
        <f>IF(A263="","",COUNT(H263:M263)/6)</f>
        <v/>
      </c>
      <c r="O263" s="15">
        <f>IF(COUNT(H263:M263)=0,"",IF(LEN(IF(COUNT(I263,J263)=2,IF(J263&gt;I263+1,"EBE &gt; VA ",""),"")&amp;IF(COUNT(H263,M263)=2,IF(ABS(M263)&gt;ABS(H263),"RN &gt; CA ",""),"")&amp;IF(COUNT(H263,K263)=2,IF(ABS(K263)&gt;ABS(H263),"RE &gt; CA ",""),""))=0,"OK",IF(COUNT(I263,J263)=2,IF(J263&gt;I263+1,"EBE &gt; VA ",""),"")&amp;IF(COUNT(H263,M263)=2,IF(ABS(M263)&gt;ABS(H263),"RN &gt; CA ",""),"")&amp;IF(COUNT(H263,K263)=2,IF(ABS(K263)&gt;ABS(H263),"RE &gt; CA ",""),"")))</f>
        <v/>
      </c>
    </row>
    <row r="264">
      <c r="A264" s="9" t="inlineStr">
        <is>
          <t>PRSC</t>
        </is>
      </c>
      <c r="B264" s="10">
        <f>IF(A264="","",IFERROR(VLOOKUP(A264,Titres!$A$2:$B$400,2,FALSE),"Ticker inconnu"))</f>
        <v/>
      </c>
      <c r="C264" s="11" t="n">
        <v>2023</v>
      </c>
      <c r="D264" s="11" t="inlineStr">
        <is>
          <t>S1</t>
        </is>
      </c>
      <c r="E264" s="9" t="n"/>
      <c r="F264" s="12" t="n"/>
      <c r="G264" s="9" t="n"/>
      <c r="H264" s="13" t="n"/>
      <c r="I264" s="13" t="n"/>
      <c r="J264" s="13" t="n"/>
      <c r="K264" s="13" t="n"/>
      <c r="L264" s="13" t="n"/>
      <c r="M264" s="13" t="n"/>
      <c r="N264" s="14">
        <f>IF(A264="","",COUNT(H264:M264)/6)</f>
        <v/>
      </c>
      <c r="O264" s="15">
        <f>IF(COUNT(H264:M264)=0,"",IF(LEN(IF(COUNT(I264,J264)=2,IF(J264&gt;I264+1,"EBE &gt; VA ",""),"")&amp;IF(COUNT(H264,M264)=2,IF(ABS(M264)&gt;ABS(H264),"RN &gt; CA ",""),"")&amp;IF(COUNT(H264,K264)=2,IF(ABS(K264)&gt;ABS(H264),"RE &gt; CA ",""),""))=0,"OK",IF(COUNT(I264,J264)=2,IF(J264&gt;I264+1,"EBE &gt; VA ",""),"")&amp;IF(COUNT(H264,M264)=2,IF(ABS(M264)&gt;ABS(H264),"RN &gt; CA ",""),"")&amp;IF(COUNT(H264,K264)=2,IF(ABS(K264)&gt;ABS(H264),"RE &gt; CA ",""),"")))</f>
        <v/>
      </c>
    </row>
    <row r="265">
      <c r="A265" s="9" t="inlineStr">
        <is>
          <t>PRSC</t>
        </is>
      </c>
      <c r="B265" s="10">
        <f>IF(A265="","",IFERROR(VLOOKUP(A265,Titres!$A$2:$B$400,2,FALSE),"Ticker inconnu"))</f>
        <v/>
      </c>
      <c r="C265" s="11" t="n">
        <v>2023</v>
      </c>
      <c r="D265" s="11" t="inlineStr">
        <is>
          <t>T3</t>
        </is>
      </c>
      <c r="E265" s="9" t="n"/>
      <c r="F265" s="12" t="n"/>
      <c r="G265" s="9" t="n"/>
      <c r="H265" s="13" t="n"/>
      <c r="I265" s="13" t="n"/>
      <c r="J265" s="13" t="n"/>
      <c r="K265" s="13" t="n"/>
      <c r="L265" s="13" t="n"/>
      <c r="M265" s="13" t="n"/>
      <c r="N265" s="14">
        <f>IF(A265="","",COUNT(H265:M265)/6)</f>
        <v/>
      </c>
      <c r="O265" s="15">
        <f>IF(COUNT(H265:M265)=0,"",IF(LEN(IF(COUNT(I265,J265)=2,IF(J265&gt;I265+1,"EBE &gt; VA ",""),"")&amp;IF(COUNT(H265,M265)=2,IF(ABS(M265)&gt;ABS(H265),"RN &gt; CA ",""),"")&amp;IF(COUNT(H265,K265)=2,IF(ABS(K265)&gt;ABS(H265),"RE &gt; CA ",""),""))=0,"OK",IF(COUNT(I265,J265)=2,IF(J265&gt;I265+1,"EBE &gt; VA ",""),"")&amp;IF(COUNT(H265,M265)=2,IF(ABS(M265)&gt;ABS(H265),"RN &gt; CA ",""),"")&amp;IF(COUNT(H265,K265)=2,IF(ABS(K265)&gt;ABS(H265),"RE &gt; CA ",""),"")))</f>
        <v/>
      </c>
    </row>
    <row r="266">
      <c r="A266" s="9" t="inlineStr">
        <is>
          <t>PRSC</t>
        </is>
      </c>
      <c r="B266" s="10">
        <f>IF(A266="","",IFERROR(VLOOKUP(A266,Titres!$A$2:$B$400,2,FALSE),"Ticker inconnu"))</f>
        <v/>
      </c>
      <c r="C266" s="11" t="n">
        <v>2024</v>
      </c>
      <c r="D266" s="11" t="inlineStr">
        <is>
          <t>T1</t>
        </is>
      </c>
      <c r="E266" s="9" t="n"/>
      <c r="F266" s="12" t="n"/>
      <c r="G266" s="9" t="n"/>
      <c r="H266" s="13" t="n"/>
      <c r="I266" s="13" t="n"/>
      <c r="J266" s="13" t="n"/>
      <c r="K266" s="13" t="n"/>
      <c r="L266" s="13" t="n"/>
      <c r="M266" s="13" t="n"/>
      <c r="N266" s="14">
        <f>IF(A266="","",COUNT(H266:M266)/6)</f>
        <v/>
      </c>
      <c r="O266" s="15">
        <f>IF(COUNT(H266:M266)=0,"",IF(LEN(IF(COUNT(I266,J266)=2,IF(J266&gt;I266+1,"EBE &gt; VA ",""),"")&amp;IF(COUNT(H266,M266)=2,IF(ABS(M266)&gt;ABS(H266),"RN &gt; CA ",""),"")&amp;IF(COUNT(H266,K266)=2,IF(ABS(K266)&gt;ABS(H266),"RE &gt; CA ",""),""))=0,"OK",IF(COUNT(I266,J266)=2,IF(J266&gt;I266+1,"EBE &gt; VA ",""),"")&amp;IF(COUNT(H266,M266)=2,IF(ABS(M266)&gt;ABS(H266),"RN &gt; CA ",""),"")&amp;IF(COUNT(H266,K266)=2,IF(ABS(K266)&gt;ABS(H266),"RE &gt; CA ",""),"")))</f>
        <v/>
      </c>
    </row>
    <row r="267">
      <c r="A267" s="9" t="inlineStr">
        <is>
          <t>PRSC</t>
        </is>
      </c>
      <c r="B267" s="10">
        <f>IF(A267="","",IFERROR(VLOOKUP(A267,Titres!$A$2:$B$400,2,FALSE),"Ticker inconnu"))</f>
        <v/>
      </c>
      <c r="C267" s="11" t="n">
        <v>2024</v>
      </c>
      <c r="D267" s="11" t="inlineStr">
        <is>
          <t>S1</t>
        </is>
      </c>
      <c r="E267" s="9" t="n"/>
      <c r="F267" s="12" t="n"/>
      <c r="G267" s="9" t="n"/>
      <c r="H267" s="13" t="n"/>
      <c r="I267" s="13" t="n"/>
      <c r="J267" s="13" t="n"/>
      <c r="K267" s="13" t="n"/>
      <c r="L267" s="13" t="n"/>
      <c r="M267" s="13" t="n"/>
      <c r="N267" s="14">
        <f>IF(A267="","",COUNT(H267:M267)/6)</f>
        <v/>
      </c>
      <c r="O267" s="15">
        <f>IF(COUNT(H267:M267)=0,"",IF(LEN(IF(COUNT(I267,J267)=2,IF(J267&gt;I267+1,"EBE &gt; VA ",""),"")&amp;IF(COUNT(H267,M267)=2,IF(ABS(M267)&gt;ABS(H267),"RN &gt; CA ",""),"")&amp;IF(COUNT(H267,K267)=2,IF(ABS(K267)&gt;ABS(H267),"RE &gt; CA ",""),""))=0,"OK",IF(COUNT(I267,J267)=2,IF(J267&gt;I267+1,"EBE &gt; VA ",""),"")&amp;IF(COUNT(H267,M267)=2,IF(ABS(M267)&gt;ABS(H267),"RN &gt; CA ",""),"")&amp;IF(COUNT(H267,K267)=2,IF(ABS(K267)&gt;ABS(H267),"RE &gt; CA ",""),"")))</f>
        <v/>
      </c>
    </row>
    <row r="268">
      <c r="A268" s="9" t="inlineStr">
        <is>
          <t>PRSC</t>
        </is>
      </c>
      <c r="B268" s="10">
        <f>IF(A268="","",IFERROR(VLOOKUP(A268,Titres!$A$2:$B$400,2,FALSE),"Ticker inconnu"))</f>
        <v/>
      </c>
      <c r="C268" s="11" t="n">
        <v>2024</v>
      </c>
      <c r="D268" s="11" t="inlineStr">
        <is>
          <t>T3</t>
        </is>
      </c>
      <c r="E268" s="9" t="n"/>
      <c r="F268" s="12" t="n"/>
      <c r="G268" s="9" t="n"/>
      <c r="H268" s="13" t="n"/>
      <c r="I268" s="13" t="n"/>
      <c r="J268" s="13" t="n"/>
      <c r="K268" s="13" t="n"/>
      <c r="L268" s="13" t="n"/>
      <c r="M268" s="13" t="n"/>
      <c r="N268" s="14">
        <f>IF(A268="","",COUNT(H268:M268)/6)</f>
        <v/>
      </c>
      <c r="O268" s="15">
        <f>IF(COUNT(H268:M268)=0,"",IF(LEN(IF(COUNT(I268,J268)=2,IF(J268&gt;I268+1,"EBE &gt; VA ",""),"")&amp;IF(COUNT(H268,M268)=2,IF(ABS(M268)&gt;ABS(H268),"RN &gt; CA ",""),"")&amp;IF(COUNT(H268,K268)=2,IF(ABS(K268)&gt;ABS(H268),"RE &gt; CA ",""),""))=0,"OK",IF(COUNT(I268,J268)=2,IF(J268&gt;I268+1,"EBE &gt; VA ",""),"")&amp;IF(COUNT(H268,M268)=2,IF(ABS(M268)&gt;ABS(H268),"RN &gt; CA ",""),"")&amp;IF(COUNT(H268,K268)=2,IF(ABS(K268)&gt;ABS(H268),"RE &gt; CA ",""),"")))</f>
        <v/>
      </c>
    </row>
    <row r="269">
      <c r="A269" s="9" t="inlineStr">
        <is>
          <t>PRSC</t>
        </is>
      </c>
      <c r="B269" s="10">
        <f>IF(A269="","",IFERROR(VLOOKUP(A269,Titres!$A$2:$B$400,2,FALSE),"Ticker inconnu"))</f>
        <v/>
      </c>
      <c r="C269" s="11" t="n">
        <v>2025</v>
      </c>
      <c r="D269" s="11" t="inlineStr">
        <is>
          <t>T1</t>
        </is>
      </c>
      <c r="E269" s="9" t="n"/>
      <c r="F269" s="12" t="n"/>
      <c r="G269" s="9" t="n"/>
      <c r="H269" s="13" t="n"/>
      <c r="I269" s="13" t="n"/>
      <c r="J269" s="13" t="n"/>
      <c r="K269" s="13" t="n"/>
      <c r="L269" s="13" t="n"/>
      <c r="M269" s="13" t="n"/>
      <c r="N269" s="14">
        <f>IF(A269="","",COUNT(H269:M269)/6)</f>
        <v/>
      </c>
      <c r="O269" s="15">
        <f>IF(COUNT(H269:M269)=0,"",IF(LEN(IF(COUNT(I269,J269)=2,IF(J269&gt;I269+1,"EBE &gt; VA ",""),"")&amp;IF(COUNT(H269,M269)=2,IF(ABS(M269)&gt;ABS(H269),"RN &gt; CA ",""),"")&amp;IF(COUNT(H269,K269)=2,IF(ABS(K269)&gt;ABS(H269),"RE &gt; CA ",""),""))=0,"OK",IF(COUNT(I269,J269)=2,IF(J269&gt;I269+1,"EBE &gt; VA ",""),"")&amp;IF(COUNT(H269,M269)=2,IF(ABS(M269)&gt;ABS(H269),"RN &gt; CA ",""),"")&amp;IF(COUNT(H269,K269)=2,IF(ABS(K269)&gt;ABS(H269),"RE &gt; CA ",""),"")))</f>
        <v/>
      </c>
    </row>
    <row r="270">
      <c r="A270" s="9" t="inlineStr">
        <is>
          <t>PRSC</t>
        </is>
      </c>
      <c r="B270" s="10">
        <f>IF(A270="","",IFERROR(VLOOKUP(A270,Titres!$A$2:$B$400,2,FALSE),"Ticker inconnu"))</f>
        <v/>
      </c>
      <c r="C270" s="11" t="n">
        <v>2025</v>
      </c>
      <c r="D270" s="11" t="inlineStr">
        <is>
          <t>S1</t>
        </is>
      </c>
      <c r="E270" s="9" t="n"/>
      <c r="F270" s="12" t="n"/>
      <c r="G270" s="9" t="n"/>
      <c r="H270" s="13" t="n"/>
      <c r="I270" s="13" t="n"/>
      <c r="J270" s="13" t="n"/>
      <c r="K270" s="13" t="n"/>
      <c r="L270" s="13" t="n"/>
      <c r="M270" s="13" t="n"/>
      <c r="N270" s="14">
        <f>IF(A270="","",COUNT(H270:M270)/6)</f>
        <v/>
      </c>
      <c r="O270" s="15">
        <f>IF(COUNT(H270:M270)=0,"",IF(LEN(IF(COUNT(I270,J270)=2,IF(J270&gt;I270+1,"EBE &gt; VA ",""),"")&amp;IF(COUNT(H270,M270)=2,IF(ABS(M270)&gt;ABS(H270),"RN &gt; CA ",""),"")&amp;IF(COUNT(H270,K270)=2,IF(ABS(K270)&gt;ABS(H270),"RE &gt; CA ",""),""))=0,"OK",IF(COUNT(I270,J270)=2,IF(J270&gt;I270+1,"EBE &gt; VA ",""),"")&amp;IF(COUNT(H270,M270)=2,IF(ABS(M270)&gt;ABS(H270),"RN &gt; CA ",""),"")&amp;IF(COUNT(H270,K270)=2,IF(ABS(K270)&gt;ABS(H270),"RE &gt; CA ",""),"")))</f>
        <v/>
      </c>
    </row>
    <row r="271">
      <c r="A271" s="9" t="inlineStr">
        <is>
          <t>PRSC</t>
        </is>
      </c>
      <c r="B271" s="10">
        <f>IF(A271="","",IFERROR(VLOOKUP(A271,Titres!$A$2:$B$400,2,FALSE),"Ticker inconnu"))</f>
        <v/>
      </c>
      <c r="C271" s="11" t="n">
        <v>2025</v>
      </c>
      <c r="D271" s="11" t="inlineStr">
        <is>
          <t>T3</t>
        </is>
      </c>
      <c r="E271" s="9" t="n"/>
      <c r="F271" s="12" t="n"/>
      <c r="G271" s="9" t="n"/>
      <c r="H271" s="13" t="n"/>
      <c r="I271" s="13" t="n"/>
      <c r="J271" s="13" t="n"/>
      <c r="K271" s="13" t="n"/>
      <c r="L271" s="13" t="n"/>
      <c r="M271" s="13" t="n"/>
      <c r="N271" s="14">
        <f>IF(A271="","",COUNT(H271:M271)/6)</f>
        <v/>
      </c>
      <c r="O271" s="15">
        <f>IF(COUNT(H271:M271)=0,"",IF(LEN(IF(COUNT(I271,J271)=2,IF(J271&gt;I271+1,"EBE &gt; VA ",""),"")&amp;IF(COUNT(H271,M271)=2,IF(ABS(M271)&gt;ABS(H271),"RN &gt; CA ",""),"")&amp;IF(COUNT(H271,K271)=2,IF(ABS(K271)&gt;ABS(H271),"RE &gt; CA ",""),""))=0,"OK",IF(COUNT(I271,J271)=2,IF(J271&gt;I271+1,"EBE &gt; VA ",""),"")&amp;IF(COUNT(H271,M271)=2,IF(ABS(M271)&gt;ABS(H271),"RN &gt; CA ",""),"")&amp;IF(COUNT(H271,K271)=2,IF(ABS(K271)&gt;ABS(H271),"RE &gt; CA ",""),"")))</f>
        <v/>
      </c>
    </row>
    <row r="272">
      <c r="A272" s="9" t="inlineStr">
        <is>
          <t>PRSC</t>
        </is>
      </c>
      <c r="B272" s="10">
        <f>IF(A272="","",IFERROR(VLOOKUP(A272,Titres!$A$2:$B$400,2,FALSE),"Ticker inconnu"))</f>
        <v/>
      </c>
      <c r="C272" s="11" t="n">
        <v>2026</v>
      </c>
      <c r="D272" s="11" t="inlineStr">
        <is>
          <t>T1</t>
        </is>
      </c>
      <c r="E272" s="9" t="n"/>
      <c r="F272" s="12" t="n"/>
      <c r="G272" s="9" t="n"/>
      <c r="H272" s="13" t="n"/>
      <c r="I272" s="13" t="n"/>
      <c r="J272" s="13" t="n"/>
      <c r="K272" s="13" t="n"/>
      <c r="L272" s="13" t="n"/>
      <c r="M272" s="13" t="n"/>
      <c r="N272" s="14">
        <f>IF(A272="","",COUNT(H272:M272)/6)</f>
        <v/>
      </c>
      <c r="O272" s="15">
        <f>IF(COUNT(H272:M272)=0,"",IF(LEN(IF(COUNT(I272,J272)=2,IF(J272&gt;I272+1,"EBE &gt; VA ",""),"")&amp;IF(COUNT(H272,M272)=2,IF(ABS(M272)&gt;ABS(H272),"RN &gt; CA ",""),"")&amp;IF(COUNT(H272,K272)=2,IF(ABS(K272)&gt;ABS(H272),"RE &gt; CA ",""),""))=0,"OK",IF(COUNT(I272,J272)=2,IF(J272&gt;I272+1,"EBE &gt; VA ",""),"")&amp;IF(COUNT(H272,M272)=2,IF(ABS(M272)&gt;ABS(H272),"RN &gt; CA ",""),"")&amp;IF(COUNT(H272,K272)=2,IF(ABS(K272)&gt;ABS(H272),"RE &gt; CA ",""),"")))</f>
        <v/>
      </c>
    </row>
    <row r="273">
      <c r="A273" s="9" t="inlineStr">
        <is>
          <t>PRSC</t>
        </is>
      </c>
      <c r="B273" s="10">
        <f>IF(A273="","",IFERROR(VLOOKUP(A273,Titres!$A$2:$B$400,2,FALSE),"Ticker inconnu"))</f>
        <v/>
      </c>
      <c r="C273" s="11" t="n">
        <v>2026</v>
      </c>
      <c r="D273" s="11" t="inlineStr">
        <is>
          <t>S1</t>
        </is>
      </c>
      <c r="E273" s="9" t="n"/>
      <c r="F273" s="12" t="n"/>
      <c r="G273" s="9" t="n"/>
      <c r="H273" s="13" t="n"/>
      <c r="I273" s="13" t="n"/>
      <c r="J273" s="13" t="n"/>
      <c r="K273" s="13" t="n"/>
      <c r="L273" s="13" t="n"/>
      <c r="M273" s="13" t="n"/>
      <c r="N273" s="14">
        <f>IF(A273="","",COUNT(H273:M273)/6)</f>
        <v/>
      </c>
      <c r="O273" s="15">
        <f>IF(COUNT(H273:M273)=0,"",IF(LEN(IF(COUNT(I273,J273)=2,IF(J273&gt;I273+1,"EBE &gt; VA ",""),"")&amp;IF(COUNT(H273,M273)=2,IF(ABS(M273)&gt;ABS(H273),"RN &gt; CA ",""),"")&amp;IF(COUNT(H273,K273)=2,IF(ABS(K273)&gt;ABS(H273),"RE &gt; CA ",""),""))=0,"OK",IF(COUNT(I273,J273)=2,IF(J273&gt;I273+1,"EBE &gt; VA ",""),"")&amp;IF(COUNT(H273,M273)=2,IF(ABS(M273)&gt;ABS(H273),"RN &gt; CA ",""),"")&amp;IF(COUNT(H273,K273)=2,IF(ABS(K273)&gt;ABS(H273),"RE &gt; CA ",""),"")))</f>
        <v/>
      </c>
    </row>
    <row r="274">
      <c r="A274" s="9" t="inlineStr">
        <is>
          <t>PRSC</t>
        </is>
      </c>
      <c r="B274" s="10">
        <f>IF(A274="","",IFERROR(VLOOKUP(A274,Titres!$A$2:$B$400,2,FALSE),"Ticker inconnu"))</f>
        <v/>
      </c>
      <c r="C274" s="11" t="n">
        <v>2026</v>
      </c>
      <c r="D274" s="11" t="inlineStr">
        <is>
          <t>T3</t>
        </is>
      </c>
      <c r="E274" s="9" t="n"/>
      <c r="F274" s="12" t="n"/>
      <c r="G274" s="9" t="n"/>
      <c r="H274" s="13" t="n"/>
      <c r="I274" s="13" t="n"/>
      <c r="J274" s="13" t="n"/>
      <c r="K274" s="13" t="n"/>
      <c r="L274" s="13" t="n"/>
      <c r="M274" s="13" t="n"/>
      <c r="N274" s="14">
        <f>IF(A274="","",COUNT(H274:M274)/6)</f>
        <v/>
      </c>
      <c r="O274" s="15">
        <f>IF(COUNT(H274:M274)=0,"",IF(LEN(IF(COUNT(I274,J274)=2,IF(J274&gt;I274+1,"EBE &gt; VA ",""),"")&amp;IF(COUNT(H274,M274)=2,IF(ABS(M274)&gt;ABS(H274),"RN &gt; CA ",""),"")&amp;IF(COUNT(H274,K274)=2,IF(ABS(K274)&gt;ABS(H274),"RE &gt; CA ",""),""))=0,"OK",IF(COUNT(I274,J274)=2,IF(J274&gt;I274+1,"EBE &gt; VA ",""),"")&amp;IF(COUNT(H274,M274)=2,IF(ABS(M274)&gt;ABS(H274),"RN &gt; CA ",""),"")&amp;IF(COUNT(H274,K274)=2,IF(ABS(K274)&gt;ABS(H274),"RE &gt; CA ",""),"")))</f>
        <v/>
      </c>
    </row>
    <row r="275">
      <c r="A275" s="9" t="inlineStr">
        <is>
          <t>UNXC</t>
        </is>
      </c>
      <c r="B275" s="10">
        <f>IF(A275="","",IFERROR(VLOOKUP(A275,Titres!$A$2:$B$400,2,FALSE),"Ticker inconnu"))</f>
        <v/>
      </c>
      <c r="C275" s="11" t="n">
        <v>2021</v>
      </c>
      <c r="D275" s="11" t="inlineStr">
        <is>
          <t>T1</t>
        </is>
      </c>
      <c r="E275" s="9" t="n"/>
      <c r="F275" s="12" t="n"/>
      <c r="G275" s="9" t="n"/>
      <c r="H275" s="13" t="n"/>
      <c r="I275" s="13" t="n"/>
      <c r="J275" s="13" t="n"/>
      <c r="K275" s="13" t="n"/>
      <c r="L275" s="13" t="n"/>
      <c r="M275" s="13" t="n"/>
      <c r="N275" s="14">
        <f>IF(A275="","",COUNT(H275:M275)/6)</f>
        <v/>
      </c>
      <c r="O275" s="15">
        <f>IF(COUNT(H275:M275)=0,"",IF(LEN(IF(COUNT(I275,J275)=2,IF(J275&gt;I275+1,"EBE &gt; VA ",""),"")&amp;IF(COUNT(H275,M275)=2,IF(ABS(M275)&gt;ABS(H275),"RN &gt; CA ",""),"")&amp;IF(COUNT(H275,K275)=2,IF(ABS(K275)&gt;ABS(H275),"RE &gt; CA ",""),""))=0,"OK",IF(COUNT(I275,J275)=2,IF(J275&gt;I275+1,"EBE &gt; VA ",""),"")&amp;IF(COUNT(H275,M275)=2,IF(ABS(M275)&gt;ABS(H275),"RN &gt; CA ",""),"")&amp;IF(COUNT(H275,K275)=2,IF(ABS(K275)&gt;ABS(H275),"RE &gt; CA ",""),"")))</f>
        <v/>
      </c>
    </row>
    <row r="276">
      <c r="A276" s="9" t="inlineStr">
        <is>
          <t>UNXC</t>
        </is>
      </c>
      <c r="B276" s="10">
        <f>IF(A276="","",IFERROR(VLOOKUP(A276,Titres!$A$2:$B$400,2,FALSE),"Ticker inconnu"))</f>
        <v/>
      </c>
      <c r="C276" s="11" t="n">
        <v>2021</v>
      </c>
      <c r="D276" s="11" t="inlineStr">
        <is>
          <t>S1</t>
        </is>
      </c>
      <c r="E276" s="9" t="n"/>
      <c r="F276" s="12" t="n"/>
      <c r="G276" s="9" t="n"/>
      <c r="H276" s="13" t="n"/>
      <c r="I276" s="13" t="n"/>
      <c r="J276" s="13" t="n"/>
      <c r="K276" s="13" t="n"/>
      <c r="L276" s="13" t="n"/>
      <c r="M276" s="13" t="n"/>
      <c r="N276" s="14">
        <f>IF(A276="","",COUNT(H276:M276)/6)</f>
        <v/>
      </c>
      <c r="O276" s="15">
        <f>IF(COUNT(H276:M276)=0,"",IF(LEN(IF(COUNT(I276,J276)=2,IF(J276&gt;I276+1,"EBE &gt; VA ",""),"")&amp;IF(COUNT(H276,M276)=2,IF(ABS(M276)&gt;ABS(H276),"RN &gt; CA ",""),"")&amp;IF(COUNT(H276,K276)=2,IF(ABS(K276)&gt;ABS(H276),"RE &gt; CA ",""),""))=0,"OK",IF(COUNT(I276,J276)=2,IF(J276&gt;I276+1,"EBE &gt; VA ",""),"")&amp;IF(COUNT(H276,M276)=2,IF(ABS(M276)&gt;ABS(H276),"RN &gt; CA ",""),"")&amp;IF(COUNT(H276,K276)=2,IF(ABS(K276)&gt;ABS(H276),"RE &gt; CA ",""),"")))</f>
        <v/>
      </c>
    </row>
    <row r="277">
      <c r="A277" s="9" t="inlineStr">
        <is>
          <t>UNXC</t>
        </is>
      </c>
      <c r="B277" s="10">
        <f>IF(A277="","",IFERROR(VLOOKUP(A277,Titres!$A$2:$B$400,2,FALSE),"Ticker inconnu"))</f>
        <v/>
      </c>
      <c r="C277" s="11" t="n">
        <v>2021</v>
      </c>
      <c r="D277" s="11" t="inlineStr">
        <is>
          <t>T3</t>
        </is>
      </c>
      <c r="E277" s="9" t="n"/>
      <c r="F277" s="12" t="n"/>
      <c r="G277" s="9" t="n"/>
      <c r="H277" s="13" t="n"/>
      <c r="I277" s="13" t="n"/>
      <c r="J277" s="13" t="n"/>
      <c r="K277" s="13" t="n"/>
      <c r="L277" s="13" t="n"/>
      <c r="M277" s="13" t="n"/>
      <c r="N277" s="14">
        <f>IF(A277="","",COUNT(H277:M277)/6)</f>
        <v/>
      </c>
      <c r="O277" s="15">
        <f>IF(COUNT(H277:M277)=0,"",IF(LEN(IF(COUNT(I277,J277)=2,IF(J277&gt;I277+1,"EBE &gt; VA ",""),"")&amp;IF(COUNT(H277,M277)=2,IF(ABS(M277)&gt;ABS(H277),"RN &gt; CA ",""),"")&amp;IF(COUNT(H277,K277)=2,IF(ABS(K277)&gt;ABS(H277),"RE &gt; CA ",""),""))=0,"OK",IF(COUNT(I277,J277)=2,IF(J277&gt;I277+1,"EBE &gt; VA ",""),"")&amp;IF(COUNT(H277,M277)=2,IF(ABS(M277)&gt;ABS(H277),"RN &gt; CA ",""),"")&amp;IF(COUNT(H277,K277)=2,IF(ABS(K277)&gt;ABS(H277),"RE &gt; CA ",""),"")))</f>
        <v/>
      </c>
    </row>
    <row r="278">
      <c r="A278" s="9" t="inlineStr">
        <is>
          <t>UNXC</t>
        </is>
      </c>
      <c r="B278" s="10">
        <f>IF(A278="","",IFERROR(VLOOKUP(A278,Titres!$A$2:$B$400,2,FALSE),"Ticker inconnu"))</f>
        <v/>
      </c>
      <c r="C278" s="11" t="n">
        <v>2022</v>
      </c>
      <c r="D278" s="11" t="inlineStr">
        <is>
          <t>T1</t>
        </is>
      </c>
      <c r="E278" s="9" t="n"/>
      <c r="F278" s="12" t="n"/>
      <c r="G278" s="9" t="n"/>
      <c r="H278" s="13" t="n"/>
      <c r="I278" s="13" t="n"/>
      <c r="J278" s="13" t="n"/>
      <c r="K278" s="13" t="n"/>
      <c r="L278" s="13" t="n"/>
      <c r="M278" s="13" t="n"/>
      <c r="N278" s="14">
        <f>IF(A278="","",COUNT(H278:M278)/6)</f>
        <v/>
      </c>
      <c r="O278" s="15">
        <f>IF(COUNT(H278:M278)=0,"",IF(LEN(IF(COUNT(I278,J278)=2,IF(J278&gt;I278+1,"EBE &gt; VA ",""),"")&amp;IF(COUNT(H278,M278)=2,IF(ABS(M278)&gt;ABS(H278),"RN &gt; CA ",""),"")&amp;IF(COUNT(H278,K278)=2,IF(ABS(K278)&gt;ABS(H278),"RE &gt; CA ",""),""))=0,"OK",IF(COUNT(I278,J278)=2,IF(J278&gt;I278+1,"EBE &gt; VA ",""),"")&amp;IF(COUNT(H278,M278)=2,IF(ABS(M278)&gt;ABS(H278),"RN &gt; CA ",""),"")&amp;IF(COUNT(H278,K278)=2,IF(ABS(K278)&gt;ABS(H278),"RE &gt; CA ",""),"")))</f>
        <v/>
      </c>
    </row>
    <row r="279">
      <c r="A279" s="9" t="inlineStr">
        <is>
          <t>UNXC</t>
        </is>
      </c>
      <c r="B279" s="10">
        <f>IF(A279="","",IFERROR(VLOOKUP(A279,Titres!$A$2:$B$400,2,FALSE),"Ticker inconnu"))</f>
        <v/>
      </c>
      <c r="C279" s="11" t="n">
        <v>2022</v>
      </c>
      <c r="D279" s="11" t="inlineStr">
        <is>
          <t>S1</t>
        </is>
      </c>
      <c r="E279" s="9" t="n"/>
      <c r="F279" s="12" t="n"/>
      <c r="G279" s="9" t="n"/>
      <c r="H279" s="13" t="n"/>
      <c r="I279" s="13" t="n"/>
      <c r="J279" s="13" t="n"/>
      <c r="K279" s="13" t="n"/>
      <c r="L279" s="13" t="n"/>
      <c r="M279" s="13" t="n"/>
      <c r="N279" s="14">
        <f>IF(A279="","",COUNT(H279:M279)/6)</f>
        <v/>
      </c>
      <c r="O279" s="15">
        <f>IF(COUNT(H279:M279)=0,"",IF(LEN(IF(COUNT(I279,J279)=2,IF(J279&gt;I279+1,"EBE &gt; VA ",""),"")&amp;IF(COUNT(H279,M279)=2,IF(ABS(M279)&gt;ABS(H279),"RN &gt; CA ",""),"")&amp;IF(COUNT(H279,K279)=2,IF(ABS(K279)&gt;ABS(H279),"RE &gt; CA ",""),""))=0,"OK",IF(COUNT(I279,J279)=2,IF(J279&gt;I279+1,"EBE &gt; VA ",""),"")&amp;IF(COUNT(H279,M279)=2,IF(ABS(M279)&gt;ABS(H279),"RN &gt; CA ",""),"")&amp;IF(COUNT(H279,K279)=2,IF(ABS(K279)&gt;ABS(H279),"RE &gt; CA ",""),"")))</f>
        <v/>
      </c>
    </row>
    <row r="280">
      <c r="A280" s="9" t="inlineStr">
        <is>
          <t>UNXC</t>
        </is>
      </c>
      <c r="B280" s="10">
        <f>IF(A280="","",IFERROR(VLOOKUP(A280,Titres!$A$2:$B$400,2,FALSE),"Ticker inconnu"))</f>
        <v/>
      </c>
      <c r="C280" s="11" t="n">
        <v>2022</v>
      </c>
      <c r="D280" s="11" t="inlineStr">
        <is>
          <t>T3</t>
        </is>
      </c>
      <c r="E280" s="9" t="n"/>
      <c r="F280" s="12" t="n"/>
      <c r="G280" s="9" t="n"/>
      <c r="H280" s="13" t="n"/>
      <c r="I280" s="13" t="n"/>
      <c r="J280" s="13" t="n"/>
      <c r="K280" s="13" t="n"/>
      <c r="L280" s="13" t="n"/>
      <c r="M280" s="13" t="n"/>
      <c r="N280" s="14">
        <f>IF(A280="","",COUNT(H280:M280)/6)</f>
        <v/>
      </c>
      <c r="O280" s="15">
        <f>IF(COUNT(H280:M280)=0,"",IF(LEN(IF(COUNT(I280,J280)=2,IF(J280&gt;I280+1,"EBE &gt; VA ",""),"")&amp;IF(COUNT(H280,M280)=2,IF(ABS(M280)&gt;ABS(H280),"RN &gt; CA ",""),"")&amp;IF(COUNT(H280,K280)=2,IF(ABS(K280)&gt;ABS(H280),"RE &gt; CA ",""),""))=0,"OK",IF(COUNT(I280,J280)=2,IF(J280&gt;I280+1,"EBE &gt; VA ",""),"")&amp;IF(COUNT(H280,M280)=2,IF(ABS(M280)&gt;ABS(H280),"RN &gt; CA ",""),"")&amp;IF(COUNT(H280,K280)=2,IF(ABS(K280)&gt;ABS(H280),"RE &gt; CA ",""),"")))</f>
        <v/>
      </c>
    </row>
    <row r="281">
      <c r="A281" s="9" t="inlineStr">
        <is>
          <t>UNXC</t>
        </is>
      </c>
      <c r="B281" s="10">
        <f>IF(A281="","",IFERROR(VLOOKUP(A281,Titres!$A$2:$B$400,2,FALSE),"Ticker inconnu"))</f>
        <v/>
      </c>
      <c r="C281" s="11" t="n">
        <v>2023</v>
      </c>
      <c r="D281" s="11" t="inlineStr">
        <is>
          <t>T1</t>
        </is>
      </c>
      <c r="E281" s="9" t="n"/>
      <c r="F281" s="12" t="n"/>
      <c r="G281" s="9" t="n"/>
      <c r="H281" s="13" t="n"/>
      <c r="I281" s="13" t="n"/>
      <c r="J281" s="13" t="n"/>
      <c r="K281" s="13" t="n"/>
      <c r="L281" s="13" t="n"/>
      <c r="M281" s="13" t="n"/>
      <c r="N281" s="14">
        <f>IF(A281="","",COUNT(H281:M281)/6)</f>
        <v/>
      </c>
      <c r="O281" s="15">
        <f>IF(COUNT(H281:M281)=0,"",IF(LEN(IF(COUNT(I281,J281)=2,IF(J281&gt;I281+1,"EBE &gt; VA ",""),"")&amp;IF(COUNT(H281,M281)=2,IF(ABS(M281)&gt;ABS(H281),"RN &gt; CA ",""),"")&amp;IF(COUNT(H281,K281)=2,IF(ABS(K281)&gt;ABS(H281),"RE &gt; CA ",""),""))=0,"OK",IF(COUNT(I281,J281)=2,IF(J281&gt;I281+1,"EBE &gt; VA ",""),"")&amp;IF(COUNT(H281,M281)=2,IF(ABS(M281)&gt;ABS(H281),"RN &gt; CA ",""),"")&amp;IF(COUNT(H281,K281)=2,IF(ABS(K281)&gt;ABS(H281),"RE &gt; CA ",""),"")))</f>
        <v/>
      </c>
    </row>
    <row r="282">
      <c r="A282" s="9" t="inlineStr">
        <is>
          <t>UNXC</t>
        </is>
      </c>
      <c r="B282" s="10">
        <f>IF(A282="","",IFERROR(VLOOKUP(A282,Titres!$A$2:$B$400,2,FALSE),"Ticker inconnu"))</f>
        <v/>
      </c>
      <c r="C282" s="11" t="n">
        <v>2023</v>
      </c>
      <c r="D282" s="11" t="inlineStr">
        <is>
          <t>S1</t>
        </is>
      </c>
      <c r="E282" s="9" t="n"/>
      <c r="F282" s="12" t="n"/>
      <c r="G282" s="9" t="n"/>
      <c r="H282" s="13" t="n"/>
      <c r="I282" s="13" t="n"/>
      <c r="J282" s="13" t="n"/>
      <c r="K282" s="13" t="n"/>
      <c r="L282" s="13" t="n"/>
      <c r="M282" s="13" t="n"/>
      <c r="N282" s="14">
        <f>IF(A282="","",COUNT(H282:M282)/6)</f>
        <v/>
      </c>
      <c r="O282" s="15">
        <f>IF(COUNT(H282:M282)=0,"",IF(LEN(IF(COUNT(I282,J282)=2,IF(J282&gt;I282+1,"EBE &gt; VA ",""),"")&amp;IF(COUNT(H282,M282)=2,IF(ABS(M282)&gt;ABS(H282),"RN &gt; CA ",""),"")&amp;IF(COUNT(H282,K282)=2,IF(ABS(K282)&gt;ABS(H282),"RE &gt; CA ",""),""))=0,"OK",IF(COUNT(I282,J282)=2,IF(J282&gt;I282+1,"EBE &gt; VA ",""),"")&amp;IF(COUNT(H282,M282)=2,IF(ABS(M282)&gt;ABS(H282),"RN &gt; CA ",""),"")&amp;IF(COUNT(H282,K282)=2,IF(ABS(K282)&gt;ABS(H282),"RE &gt; CA ",""),"")))</f>
        <v/>
      </c>
    </row>
    <row r="283">
      <c r="A283" s="9" t="inlineStr">
        <is>
          <t>UNXC</t>
        </is>
      </c>
      <c r="B283" s="10">
        <f>IF(A283="","",IFERROR(VLOOKUP(A283,Titres!$A$2:$B$400,2,FALSE),"Ticker inconnu"))</f>
        <v/>
      </c>
      <c r="C283" s="11" t="n">
        <v>2023</v>
      </c>
      <c r="D283" s="11" t="inlineStr">
        <is>
          <t>T3</t>
        </is>
      </c>
      <c r="E283" s="9" t="n"/>
      <c r="F283" s="12" t="n"/>
      <c r="G283" s="9" t="n"/>
      <c r="H283" s="13" t="n"/>
      <c r="I283" s="13" t="n"/>
      <c r="J283" s="13" t="n"/>
      <c r="K283" s="13" t="n"/>
      <c r="L283" s="13" t="n"/>
      <c r="M283" s="13" t="n"/>
      <c r="N283" s="14">
        <f>IF(A283="","",COUNT(H283:M283)/6)</f>
        <v/>
      </c>
      <c r="O283" s="15">
        <f>IF(COUNT(H283:M283)=0,"",IF(LEN(IF(COUNT(I283,J283)=2,IF(J283&gt;I283+1,"EBE &gt; VA ",""),"")&amp;IF(COUNT(H283,M283)=2,IF(ABS(M283)&gt;ABS(H283),"RN &gt; CA ",""),"")&amp;IF(COUNT(H283,K283)=2,IF(ABS(K283)&gt;ABS(H283),"RE &gt; CA ",""),""))=0,"OK",IF(COUNT(I283,J283)=2,IF(J283&gt;I283+1,"EBE &gt; VA ",""),"")&amp;IF(COUNT(H283,M283)=2,IF(ABS(M283)&gt;ABS(H283),"RN &gt; CA ",""),"")&amp;IF(COUNT(H283,K283)=2,IF(ABS(K283)&gt;ABS(H283),"RE &gt; CA ",""),"")))</f>
        <v/>
      </c>
    </row>
    <row r="284">
      <c r="A284" s="9" t="inlineStr">
        <is>
          <t>UNXC</t>
        </is>
      </c>
      <c r="B284" s="10">
        <f>IF(A284="","",IFERROR(VLOOKUP(A284,Titres!$A$2:$B$400,2,FALSE),"Ticker inconnu"))</f>
        <v/>
      </c>
      <c r="C284" s="11" t="n">
        <v>2024</v>
      </c>
      <c r="D284" s="11" t="inlineStr">
        <is>
          <t>T1</t>
        </is>
      </c>
      <c r="E284" s="9" t="n"/>
      <c r="F284" s="12" t="n"/>
      <c r="G284" s="9" t="n"/>
      <c r="H284" s="13" t="n"/>
      <c r="I284" s="13" t="n"/>
      <c r="J284" s="13" t="n"/>
      <c r="K284" s="13" t="n"/>
      <c r="L284" s="13" t="n"/>
      <c r="M284" s="13" t="n"/>
      <c r="N284" s="14">
        <f>IF(A284="","",COUNT(H284:M284)/6)</f>
        <v/>
      </c>
      <c r="O284" s="15">
        <f>IF(COUNT(H284:M284)=0,"",IF(LEN(IF(COUNT(I284,J284)=2,IF(J284&gt;I284+1,"EBE &gt; VA ",""),"")&amp;IF(COUNT(H284,M284)=2,IF(ABS(M284)&gt;ABS(H284),"RN &gt; CA ",""),"")&amp;IF(COUNT(H284,K284)=2,IF(ABS(K284)&gt;ABS(H284),"RE &gt; CA ",""),""))=0,"OK",IF(COUNT(I284,J284)=2,IF(J284&gt;I284+1,"EBE &gt; VA ",""),"")&amp;IF(COUNT(H284,M284)=2,IF(ABS(M284)&gt;ABS(H284),"RN &gt; CA ",""),"")&amp;IF(COUNT(H284,K284)=2,IF(ABS(K284)&gt;ABS(H284),"RE &gt; CA ",""),"")))</f>
        <v/>
      </c>
    </row>
    <row r="285">
      <c r="A285" s="9" t="inlineStr">
        <is>
          <t>UNXC</t>
        </is>
      </c>
      <c r="B285" s="10">
        <f>IF(A285="","",IFERROR(VLOOKUP(A285,Titres!$A$2:$B$400,2,FALSE),"Ticker inconnu"))</f>
        <v/>
      </c>
      <c r="C285" s="11" t="n">
        <v>2024</v>
      </c>
      <c r="D285" s="11" t="inlineStr">
        <is>
          <t>S1</t>
        </is>
      </c>
      <c r="E285" s="9" t="n"/>
      <c r="F285" s="12" t="n"/>
      <c r="G285" s="9" t="n"/>
      <c r="H285" s="13" t="n"/>
      <c r="I285" s="13" t="n"/>
      <c r="J285" s="13" t="n"/>
      <c r="K285" s="13" t="n"/>
      <c r="L285" s="13" t="n"/>
      <c r="M285" s="13" t="n"/>
      <c r="N285" s="14">
        <f>IF(A285="","",COUNT(H285:M285)/6)</f>
        <v/>
      </c>
      <c r="O285" s="15">
        <f>IF(COUNT(H285:M285)=0,"",IF(LEN(IF(COUNT(I285,J285)=2,IF(J285&gt;I285+1,"EBE &gt; VA ",""),"")&amp;IF(COUNT(H285,M285)=2,IF(ABS(M285)&gt;ABS(H285),"RN &gt; CA ",""),"")&amp;IF(COUNT(H285,K285)=2,IF(ABS(K285)&gt;ABS(H285),"RE &gt; CA ",""),""))=0,"OK",IF(COUNT(I285,J285)=2,IF(J285&gt;I285+1,"EBE &gt; VA ",""),"")&amp;IF(COUNT(H285,M285)=2,IF(ABS(M285)&gt;ABS(H285),"RN &gt; CA ",""),"")&amp;IF(COUNT(H285,K285)=2,IF(ABS(K285)&gt;ABS(H285),"RE &gt; CA ",""),"")))</f>
        <v/>
      </c>
    </row>
    <row r="286">
      <c r="A286" s="9" t="inlineStr">
        <is>
          <t>UNXC</t>
        </is>
      </c>
      <c r="B286" s="10">
        <f>IF(A286="","",IFERROR(VLOOKUP(A286,Titres!$A$2:$B$400,2,FALSE),"Ticker inconnu"))</f>
        <v/>
      </c>
      <c r="C286" s="11" t="n">
        <v>2024</v>
      </c>
      <c r="D286" s="11" t="inlineStr">
        <is>
          <t>T3</t>
        </is>
      </c>
      <c r="E286" s="9" t="n"/>
      <c r="F286" s="12" t="n"/>
      <c r="G286" s="9" t="n"/>
      <c r="H286" s="13" t="n"/>
      <c r="I286" s="13" t="n"/>
      <c r="J286" s="13" t="n"/>
      <c r="K286" s="13" t="n"/>
      <c r="L286" s="13" t="n"/>
      <c r="M286" s="13" t="n"/>
      <c r="N286" s="14">
        <f>IF(A286="","",COUNT(H286:M286)/6)</f>
        <v/>
      </c>
      <c r="O286" s="15">
        <f>IF(COUNT(H286:M286)=0,"",IF(LEN(IF(COUNT(I286,J286)=2,IF(J286&gt;I286+1,"EBE &gt; VA ",""),"")&amp;IF(COUNT(H286,M286)=2,IF(ABS(M286)&gt;ABS(H286),"RN &gt; CA ",""),"")&amp;IF(COUNT(H286,K286)=2,IF(ABS(K286)&gt;ABS(H286),"RE &gt; CA ",""),""))=0,"OK",IF(COUNT(I286,J286)=2,IF(J286&gt;I286+1,"EBE &gt; VA ",""),"")&amp;IF(COUNT(H286,M286)=2,IF(ABS(M286)&gt;ABS(H286),"RN &gt; CA ",""),"")&amp;IF(COUNT(H286,K286)=2,IF(ABS(K286)&gt;ABS(H286),"RE &gt; CA ",""),"")))</f>
        <v/>
      </c>
    </row>
    <row r="287">
      <c r="A287" s="9" t="inlineStr">
        <is>
          <t>UNXC</t>
        </is>
      </c>
      <c r="B287" s="10">
        <f>IF(A287="","",IFERROR(VLOOKUP(A287,Titres!$A$2:$B$400,2,FALSE),"Ticker inconnu"))</f>
        <v/>
      </c>
      <c r="C287" s="11" t="n">
        <v>2025</v>
      </c>
      <c r="D287" s="11" t="inlineStr">
        <is>
          <t>T1</t>
        </is>
      </c>
      <c r="E287" s="9" t="n"/>
      <c r="F287" s="12" t="n"/>
      <c r="G287" s="9" t="n"/>
      <c r="H287" s="13" t="n"/>
      <c r="I287" s="13" t="n"/>
      <c r="J287" s="13" t="n"/>
      <c r="K287" s="13" t="n"/>
      <c r="L287" s="13" t="n"/>
      <c r="M287" s="13" t="n"/>
      <c r="N287" s="14">
        <f>IF(A287="","",COUNT(H287:M287)/6)</f>
        <v/>
      </c>
      <c r="O287" s="15">
        <f>IF(COUNT(H287:M287)=0,"",IF(LEN(IF(COUNT(I287,J287)=2,IF(J287&gt;I287+1,"EBE &gt; VA ",""),"")&amp;IF(COUNT(H287,M287)=2,IF(ABS(M287)&gt;ABS(H287),"RN &gt; CA ",""),"")&amp;IF(COUNT(H287,K287)=2,IF(ABS(K287)&gt;ABS(H287),"RE &gt; CA ",""),""))=0,"OK",IF(COUNT(I287,J287)=2,IF(J287&gt;I287+1,"EBE &gt; VA ",""),"")&amp;IF(COUNT(H287,M287)=2,IF(ABS(M287)&gt;ABS(H287),"RN &gt; CA ",""),"")&amp;IF(COUNT(H287,K287)=2,IF(ABS(K287)&gt;ABS(H287),"RE &gt; CA ",""),"")))</f>
        <v/>
      </c>
    </row>
    <row r="288">
      <c r="A288" s="9" t="inlineStr">
        <is>
          <t>UNXC</t>
        </is>
      </c>
      <c r="B288" s="10">
        <f>IF(A288="","",IFERROR(VLOOKUP(A288,Titres!$A$2:$B$400,2,FALSE),"Ticker inconnu"))</f>
        <v/>
      </c>
      <c r="C288" s="11" t="n">
        <v>2025</v>
      </c>
      <c r="D288" s="11" t="inlineStr">
        <is>
          <t>S1</t>
        </is>
      </c>
      <c r="E288" s="9" t="inlineStr">
        <is>
          <t>Publié</t>
        </is>
      </c>
      <c r="F288" s="12" t="n">
        <v>46216</v>
      </c>
      <c r="G288" s="9" t="inlineStr">
        <is>
          <t>https://www.richbourse.com/common/actualite/afficher-fichier/13-07-2026-uniwax-ci-rapport-dactivites-1er-semestre-2026 (comparatif N-1)</t>
        </is>
      </c>
      <c r="H288" s="13" t="n">
        <v>15711.008</v>
      </c>
      <c r="I288" s="13" t="n"/>
      <c r="J288" s="13" t="n"/>
      <c r="K288" s="13" t="n">
        <v>-314.22</v>
      </c>
      <c r="L288" s="13" t="n">
        <v>-330.043</v>
      </c>
      <c r="M288" s="13" t="n">
        <v>8216.545</v>
      </c>
      <c r="N288" s="14">
        <f>IF(A288="","",COUNT(H288:M288)/6)</f>
        <v/>
      </c>
      <c r="O288" s="15">
        <f>IF(COUNT(H288:M288)=0,"",IF(LEN(IF(COUNT(I288,J288)=2,IF(J288&gt;I288+1,"EBE &gt; VA ",""),"")&amp;IF(COUNT(H288,M288)=2,IF(ABS(M288)&gt;ABS(H288),"RN &gt; CA ",""),"")&amp;IF(COUNT(H288,K288)=2,IF(ABS(K288)&gt;ABS(H288),"RE &gt; CA ",""),""))=0,"OK",IF(COUNT(I288,J288)=2,IF(J288&gt;I288+1,"EBE &gt; VA ",""),"")&amp;IF(COUNT(H288,M288)=2,IF(ABS(M288)&gt;ABS(H288),"RN &gt; CA ",""),"")&amp;IF(COUNT(H288,K288)=2,IF(ABS(K288)&gt;ABS(H288),"RE &gt; CA ",""),"")))</f>
        <v/>
      </c>
    </row>
    <row r="289">
      <c r="A289" s="9" t="inlineStr">
        <is>
          <t>UNXC</t>
        </is>
      </c>
      <c r="B289" s="10">
        <f>IF(A289="","",IFERROR(VLOOKUP(A289,Titres!$A$2:$B$400,2,FALSE),"Ticker inconnu"))</f>
        <v/>
      </c>
      <c r="C289" s="11" t="n">
        <v>2025</v>
      </c>
      <c r="D289" s="11" t="inlineStr">
        <is>
          <t>T3</t>
        </is>
      </c>
      <c r="E289" s="9" t="n"/>
      <c r="F289" s="12" t="n"/>
      <c r="G289" s="9" t="n"/>
      <c r="H289" s="13" t="n"/>
      <c r="I289" s="13" t="n"/>
      <c r="J289" s="13" t="n"/>
      <c r="K289" s="13" t="n"/>
      <c r="L289" s="13" t="n"/>
      <c r="M289" s="13" t="n"/>
      <c r="N289" s="14">
        <f>IF(A289="","",COUNT(H289:M289)/6)</f>
        <v/>
      </c>
      <c r="O289" s="15">
        <f>IF(COUNT(H289:M289)=0,"",IF(LEN(IF(COUNT(I289,J289)=2,IF(J289&gt;I289+1,"EBE &gt; VA ",""),"")&amp;IF(COUNT(H289,M289)=2,IF(ABS(M289)&gt;ABS(H289),"RN &gt; CA ",""),"")&amp;IF(COUNT(H289,K289)=2,IF(ABS(K289)&gt;ABS(H289),"RE &gt; CA ",""),""))=0,"OK",IF(COUNT(I289,J289)=2,IF(J289&gt;I289+1,"EBE &gt; VA ",""),"")&amp;IF(COUNT(H289,M289)=2,IF(ABS(M289)&gt;ABS(H289),"RN &gt; CA ",""),"")&amp;IF(COUNT(H289,K289)=2,IF(ABS(K289)&gt;ABS(H289),"RE &gt; CA ",""),"")))</f>
        <v/>
      </c>
    </row>
    <row r="290">
      <c r="A290" s="9" t="inlineStr">
        <is>
          <t>UNXC</t>
        </is>
      </c>
      <c r="B290" s="10">
        <f>IF(A290="","",IFERROR(VLOOKUP(A290,Titres!$A$2:$B$400,2,FALSE),"Ticker inconnu"))</f>
        <v/>
      </c>
      <c r="C290" s="11" t="n">
        <v>2026</v>
      </c>
      <c r="D290" s="11" t="inlineStr">
        <is>
          <t>T1</t>
        </is>
      </c>
      <c r="E290" s="9" t="n"/>
      <c r="F290" s="12" t="n"/>
      <c r="G290" s="9" t="n"/>
      <c r="H290" s="13" t="n"/>
      <c r="I290" s="13" t="n"/>
      <c r="J290" s="13" t="n"/>
      <c r="K290" s="13" t="n"/>
      <c r="L290" s="13" t="n"/>
      <c r="M290" s="13" t="n"/>
      <c r="N290" s="14">
        <f>IF(A290="","",COUNT(H290:M290)/6)</f>
        <v/>
      </c>
      <c r="O290" s="15">
        <f>IF(COUNT(H290:M290)=0,"",IF(LEN(IF(COUNT(I290,J290)=2,IF(J290&gt;I290+1,"EBE &gt; VA ",""),"")&amp;IF(COUNT(H290,M290)=2,IF(ABS(M290)&gt;ABS(H290),"RN &gt; CA ",""),"")&amp;IF(COUNT(H290,K290)=2,IF(ABS(K290)&gt;ABS(H290),"RE &gt; CA ",""),""))=0,"OK",IF(COUNT(I290,J290)=2,IF(J290&gt;I290+1,"EBE &gt; VA ",""),"")&amp;IF(COUNT(H290,M290)=2,IF(ABS(M290)&gt;ABS(H290),"RN &gt; CA ",""),"")&amp;IF(COUNT(H290,K290)=2,IF(ABS(K290)&gt;ABS(H290),"RE &gt; CA ",""),"")))</f>
        <v/>
      </c>
    </row>
    <row r="291">
      <c r="A291" s="9" t="inlineStr">
        <is>
          <t>UNXC</t>
        </is>
      </c>
      <c r="B291" s="10">
        <f>IF(A291="","",IFERROR(VLOOKUP(A291,Titres!$A$2:$B$400,2,FALSE),"Ticker inconnu"))</f>
        <v/>
      </c>
      <c r="C291" s="11" t="n">
        <v>2026</v>
      </c>
      <c r="D291" s="11" t="inlineStr">
        <is>
          <t>S1</t>
        </is>
      </c>
      <c r="E291" s="9" t="inlineStr">
        <is>
          <t>Publié</t>
        </is>
      </c>
      <c r="F291" s="12" t="n">
        <v>46216</v>
      </c>
      <c r="G291" s="9" t="inlineStr">
        <is>
          <t>https://www.richbourse.com/common/actualite/afficher-fichier/13-07-2026-uniwax-ci-rapport-dactivites-1er-semestre-2026</t>
        </is>
      </c>
      <c r="H291" s="13" t="n">
        <v>15752.453</v>
      </c>
      <c r="I291" s="13" t="n"/>
      <c r="J291" s="13" t="n"/>
      <c r="K291" s="13" t="n">
        <v>771.2190000000001</v>
      </c>
      <c r="L291" s="13" t="n">
        <v>764.779</v>
      </c>
      <c r="M291" s="13" t="n">
        <v>771.279</v>
      </c>
      <c r="N291" s="14">
        <f>IF(A291="","",COUNT(H291:M291)/6)</f>
        <v/>
      </c>
      <c r="O291" s="15">
        <f>IF(COUNT(H291:M291)=0,"",IF(LEN(IF(COUNT(I291,J291)=2,IF(J291&gt;I291+1,"EBE &gt; VA ",""),"")&amp;IF(COUNT(H291,M291)=2,IF(ABS(M291)&gt;ABS(H291),"RN &gt; CA ",""),"")&amp;IF(COUNT(H291,K291)=2,IF(ABS(K291)&gt;ABS(H291),"RE &gt; CA ",""),""))=0,"OK",IF(COUNT(I291,J291)=2,IF(J291&gt;I291+1,"EBE &gt; VA ",""),"")&amp;IF(COUNT(H291,M291)=2,IF(ABS(M291)&gt;ABS(H291),"RN &gt; CA ",""),"")&amp;IF(COUNT(H291,K291)=2,IF(ABS(K291)&gt;ABS(H291),"RE &gt; CA ",""),"")))</f>
        <v/>
      </c>
    </row>
    <row r="292">
      <c r="A292" s="9" t="inlineStr">
        <is>
          <t>UNXC</t>
        </is>
      </c>
      <c r="B292" s="10">
        <f>IF(A292="","",IFERROR(VLOOKUP(A292,Titres!$A$2:$B$400,2,FALSE),"Ticker inconnu"))</f>
        <v/>
      </c>
      <c r="C292" s="11" t="n">
        <v>2026</v>
      </c>
      <c r="D292" s="11" t="inlineStr">
        <is>
          <t>T3</t>
        </is>
      </c>
      <c r="E292" s="9" t="n"/>
      <c r="F292" s="12" t="n"/>
      <c r="G292" s="9" t="n"/>
      <c r="H292" s="13" t="n"/>
      <c r="I292" s="13" t="n"/>
      <c r="J292" s="13" t="n"/>
      <c r="K292" s="13" t="n"/>
      <c r="L292" s="13" t="n"/>
      <c r="M292" s="13" t="n"/>
      <c r="N292" s="14">
        <f>IF(A292="","",COUNT(H292:M292)/6)</f>
        <v/>
      </c>
      <c r="O292" s="15">
        <f>IF(COUNT(H292:M292)=0,"",IF(LEN(IF(COUNT(I292,J292)=2,IF(J292&gt;I292+1,"EBE &gt; VA ",""),"")&amp;IF(COUNT(H292,M292)=2,IF(ABS(M292)&gt;ABS(H292),"RN &gt; CA ",""),"")&amp;IF(COUNT(H292,K292)=2,IF(ABS(K292)&gt;ABS(H292),"RE &gt; CA ",""),""))=0,"OK",IF(COUNT(I292,J292)=2,IF(J292&gt;I292+1,"EBE &gt; VA ",""),"")&amp;IF(COUNT(H292,M292)=2,IF(ABS(M292)&gt;ABS(H292),"RN &gt; CA ",""),"")&amp;IF(COUNT(H292,K292)=2,IF(ABS(K292)&gt;ABS(H292),"RE &gt; CA ",""),"")))</f>
        <v/>
      </c>
    </row>
    <row r="293">
      <c r="A293" s="9" t="inlineStr">
        <is>
          <t>CABC</t>
        </is>
      </c>
      <c r="B293" s="10">
        <f>IF(A293="","",IFERROR(VLOOKUP(A293,Titres!$A$2:$B$400,2,FALSE),"Ticker inconnu"))</f>
        <v/>
      </c>
      <c r="C293" s="11" t="n">
        <v>2021</v>
      </c>
      <c r="D293" s="11" t="inlineStr">
        <is>
          <t>T1</t>
        </is>
      </c>
      <c r="E293" s="9" t="n"/>
      <c r="F293" s="12" t="n"/>
      <c r="G293" s="9" t="n"/>
      <c r="H293" s="13" t="n"/>
      <c r="I293" s="13" t="n"/>
      <c r="J293" s="13" t="n"/>
      <c r="K293" s="13" t="n"/>
      <c r="L293" s="13" t="n"/>
      <c r="M293" s="13" t="n"/>
      <c r="N293" s="14">
        <f>IF(A293="","",COUNT(H293:M293)/6)</f>
        <v/>
      </c>
      <c r="O293" s="15">
        <f>IF(COUNT(H293:M293)=0,"",IF(LEN(IF(COUNT(I293,J293)=2,IF(J293&gt;I293+1,"EBE &gt; VA ",""),"")&amp;IF(COUNT(H293,M293)=2,IF(ABS(M293)&gt;ABS(H293),"RN &gt; CA ",""),"")&amp;IF(COUNT(H293,K293)=2,IF(ABS(K293)&gt;ABS(H293),"RE &gt; CA ",""),""))=0,"OK",IF(COUNT(I293,J293)=2,IF(J293&gt;I293+1,"EBE &gt; VA ",""),"")&amp;IF(COUNT(H293,M293)=2,IF(ABS(M293)&gt;ABS(H293),"RN &gt; CA ",""),"")&amp;IF(COUNT(H293,K293)=2,IF(ABS(K293)&gt;ABS(H293),"RE &gt; CA ",""),"")))</f>
        <v/>
      </c>
    </row>
    <row r="294">
      <c r="A294" s="9" t="inlineStr">
        <is>
          <t>CABC</t>
        </is>
      </c>
      <c r="B294" s="10">
        <f>IF(A294="","",IFERROR(VLOOKUP(A294,Titres!$A$2:$B$400,2,FALSE),"Ticker inconnu"))</f>
        <v/>
      </c>
      <c r="C294" s="11" t="n">
        <v>2021</v>
      </c>
      <c r="D294" s="11" t="inlineStr">
        <is>
          <t>S1</t>
        </is>
      </c>
      <c r="E294" s="9" t="n"/>
      <c r="F294" s="12" t="n"/>
      <c r="G294" s="9" t="n"/>
      <c r="H294" s="13" t="n"/>
      <c r="I294" s="13" t="n"/>
      <c r="J294" s="13" t="n"/>
      <c r="K294" s="13" t="n"/>
      <c r="L294" s="13" t="n"/>
      <c r="M294" s="13" t="n"/>
      <c r="N294" s="14">
        <f>IF(A294="","",COUNT(H294:M294)/6)</f>
        <v/>
      </c>
      <c r="O294" s="15">
        <f>IF(COUNT(H294:M294)=0,"",IF(LEN(IF(COUNT(I294,J294)=2,IF(J294&gt;I294+1,"EBE &gt; VA ",""),"")&amp;IF(COUNT(H294,M294)=2,IF(ABS(M294)&gt;ABS(H294),"RN &gt; CA ",""),"")&amp;IF(COUNT(H294,K294)=2,IF(ABS(K294)&gt;ABS(H294),"RE &gt; CA ",""),""))=0,"OK",IF(COUNT(I294,J294)=2,IF(J294&gt;I294+1,"EBE &gt; VA ",""),"")&amp;IF(COUNT(H294,M294)=2,IF(ABS(M294)&gt;ABS(H294),"RN &gt; CA ",""),"")&amp;IF(COUNT(H294,K294)=2,IF(ABS(K294)&gt;ABS(H294),"RE &gt; CA ",""),"")))</f>
        <v/>
      </c>
    </row>
    <row r="295">
      <c r="A295" s="9" t="inlineStr">
        <is>
          <t>CABC</t>
        </is>
      </c>
      <c r="B295" s="10">
        <f>IF(A295="","",IFERROR(VLOOKUP(A295,Titres!$A$2:$B$400,2,FALSE),"Ticker inconnu"))</f>
        <v/>
      </c>
      <c r="C295" s="11" t="n">
        <v>2021</v>
      </c>
      <c r="D295" s="11" t="inlineStr">
        <is>
          <t>T3</t>
        </is>
      </c>
      <c r="E295" s="9" t="n"/>
      <c r="F295" s="12" t="n"/>
      <c r="G295" s="9" t="n"/>
      <c r="H295" s="13" t="n"/>
      <c r="I295" s="13" t="n"/>
      <c r="J295" s="13" t="n"/>
      <c r="K295" s="13" t="n"/>
      <c r="L295" s="13" t="n"/>
      <c r="M295" s="13" t="n"/>
      <c r="N295" s="14">
        <f>IF(A295="","",COUNT(H295:M295)/6)</f>
        <v/>
      </c>
      <c r="O295" s="15">
        <f>IF(COUNT(H295:M295)=0,"",IF(LEN(IF(COUNT(I295,J295)=2,IF(J295&gt;I295+1,"EBE &gt; VA ",""),"")&amp;IF(COUNT(H295,M295)=2,IF(ABS(M295)&gt;ABS(H295),"RN &gt; CA ",""),"")&amp;IF(COUNT(H295,K295)=2,IF(ABS(K295)&gt;ABS(H295),"RE &gt; CA ",""),""))=0,"OK",IF(COUNT(I295,J295)=2,IF(J295&gt;I295+1,"EBE &gt; VA ",""),"")&amp;IF(COUNT(H295,M295)=2,IF(ABS(M295)&gt;ABS(H295),"RN &gt; CA ",""),"")&amp;IF(COUNT(H295,K295)=2,IF(ABS(K295)&gt;ABS(H295),"RE &gt; CA ",""),"")))</f>
        <v/>
      </c>
    </row>
    <row r="296">
      <c r="A296" s="9" t="inlineStr">
        <is>
          <t>CABC</t>
        </is>
      </c>
      <c r="B296" s="10">
        <f>IF(A296="","",IFERROR(VLOOKUP(A296,Titres!$A$2:$B$400,2,FALSE),"Ticker inconnu"))</f>
        <v/>
      </c>
      <c r="C296" s="11" t="n">
        <v>2022</v>
      </c>
      <c r="D296" s="11" t="inlineStr">
        <is>
          <t>T1</t>
        </is>
      </c>
      <c r="E296" s="9" t="n"/>
      <c r="F296" s="12" t="n"/>
      <c r="G296" s="9" t="n"/>
      <c r="H296" s="13" t="n"/>
      <c r="I296" s="13" t="n"/>
      <c r="J296" s="13" t="n"/>
      <c r="K296" s="13" t="n"/>
      <c r="L296" s="13" t="n"/>
      <c r="M296" s="13" t="n"/>
      <c r="N296" s="14">
        <f>IF(A296="","",COUNT(H296:M296)/6)</f>
        <v/>
      </c>
      <c r="O296" s="15">
        <f>IF(COUNT(H296:M296)=0,"",IF(LEN(IF(COUNT(I296,J296)=2,IF(J296&gt;I296+1,"EBE &gt; VA ",""),"")&amp;IF(COUNT(H296,M296)=2,IF(ABS(M296)&gt;ABS(H296),"RN &gt; CA ",""),"")&amp;IF(COUNT(H296,K296)=2,IF(ABS(K296)&gt;ABS(H296),"RE &gt; CA ",""),""))=0,"OK",IF(COUNT(I296,J296)=2,IF(J296&gt;I296+1,"EBE &gt; VA ",""),"")&amp;IF(COUNT(H296,M296)=2,IF(ABS(M296)&gt;ABS(H296),"RN &gt; CA ",""),"")&amp;IF(COUNT(H296,K296)=2,IF(ABS(K296)&gt;ABS(H296),"RE &gt; CA ",""),"")))</f>
        <v/>
      </c>
    </row>
    <row r="297">
      <c r="A297" s="9" t="inlineStr">
        <is>
          <t>CABC</t>
        </is>
      </c>
      <c r="B297" s="10">
        <f>IF(A297="","",IFERROR(VLOOKUP(A297,Titres!$A$2:$B$400,2,FALSE),"Ticker inconnu"))</f>
        <v/>
      </c>
      <c r="C297" s="11" t="n">
        <v>2022</v>
      </c>
      <c r="D297" s="11" t="inlineStr">
        <is>
          <t>S1</t>
        </is>
      </c>
      <c r="E297" s="9" t="n"/>
      <c r="F297" s="12" t="n"/>
      <c r="G297" s="9" t="n"/>
      <c r="H297" s="13" t="n"/>
      <c r="I297" s="13" t="n"/>
      <c r="J297" s="13" t="n"/>
      <c r="K297" s="13" t="n"/>
      <c r="L297" s="13" t="n"/>
      <c r="M297" s="13" t="n"/>
      <c r="N297" s="14">
        <f>IF(A297="","",COUNT(H297:M297)/6)</f>
        <v/>
      </c>
      <c r="O297" s="15">
        <f>IF(COUNT(H297:M297)=0,"",IF(LEN(IF(COUNT(I297,J297)=2,IF(J297&gt;I297+1,"EBE &gt; VA ",""),"")&amp;IF(COUNT(H297,M297)=2,IF(ABS(M297)&gt;ABS(H297),"RN &gt; CA ",""),"")&amp;IF(COUNT(H297,K297)=2,IF(ABS(K297)&gt;ABS(H297),"RE &gt; CA ",""),""))=0,"OK",IF(COUNT(I297,J297)=2,IF(J297&gt;I297+1,"EBE &gt; VA ",""),"")&amp;IF(COUNT(H297,M297)=2,IF(ABS(M297)&gt;ABS(H297),"RN &gt; CA ",""),"")&amp;IF(COUNT(H297,K297)=2,IF(ABS(K297)&gt;ABS(H297),"RE &gt; CA ",""),"")))</f>
        <v/>
      </c>
    </row>
    <row r="298">
      <c r="A298" s="9" t="inlineStr">
        <is>
          <t>CABC</t>
        </is>
      </c>
      <c r="B298" s="10">
        <f>IF(A298="","",IFERROR(VLOOKUP(A298,Titres!$A$2:$B$400,2,FALSE),"Ticker inconnu"))</f>
        <v/>
      </c>
      <c r="C298" s="11" t="n">
        <v>2022</v>
      </c>
      <c r="D298" s="11" t="inlineStr">
        <is>
          <t>T3</t>
        </is>
      </c>
      <c r="E298" s="9" t="n"/>
      <c r="F298" s="12" t="n"/>
      <c r="G298" s="9" t="n"/>
      <c r="H298" s="13" t="n"/>
      <c r="I298" s="13" t="n"/>
      <c r="J298" s="13" t="n"/>
      <c r="K298" s="13" t="n"/>
      <c r="L298" s="13" t="n"/>
      <c r="M298" s="13" t="n"/>
      <c r="N298" s="14">
        <f>IF(A298="","",COUNT(H298:M298)/6)</f>
        <v/>
      </c>
      <c r="O298" s="15">
        <f>IF(COUNT(H298:M298)=0,"",IF(LEN(IF(COUNT(I298,J298)=2,IF(J298&gt;I298+1,"EBE &gt; VA ",""),"")&amp;IF(COUNT(H298,M298)=2,IF(ABS(M298)&gt;ABS(H298),"RN &gt; CA ",""),"")&amp;IF(COUNT(H298,K298)=2,IF(ABS(K298)&gt;ABS(H298),"RE &gt; CA ",""),""))=0,"OK",IF(COUNT(I298,J298)=2,IF(J298&gt;I298+1,"EBE &gt; VA ",""),"")&amp;IF(COUNT(H298,M298)=2,IF(ABS(M298)&gt;ABS(H298),"RN &gt; CA ",""),"")&amp;IF(COUNT(H298,K298)=2,IF(ABS(K298)&gt;ABS(H298),"RE &gt; CA ",""),"")))</f>
        <v/>
      </c>
    </row>
    <row r="299">
      <c r="A299" s="9" t="inlineStr">
        <is>
          <t>CABC</t>
        </is>
      </c>
      <c r="B299" s="10">
        <f>IF(A299="","",IFERROR(VLOOKUP(A299,Titres!$A$2:$B$400,2,FALSE),"Ticker inconnu"))</f>
        <v/>
      </c>
      <c r="C299" s="11" t="n">
        <v>2023</v>
      </c>
      <c r="D299" s="11" t="inlineStr">
        <is>
          <t>T1</t>
        </is>
      </c>
      <c r="E299" s="9" t="n"/>
      <c r="F299" s="12" t="n"/>
      <c r="G299" s="9" t="n"/>
      <c r="H299" s="13" t="n"/>
      <c r="I299" s="13" t="n"/>
      <c r="J299" s="13" t="n"/>
      <c r="K299" s="13" t="n"/>
      <c r="L299" s="13" t="n"/>
      <c r="M299" s="13" t="n"/>
      <c r="N299" s="14">
        <f>IF(A299="","",COUNT(H299:M299)/6)</f>
        <v/>
      </c>
      <c r="O299" s="15">
        <f>IF(COUNT(H299:M299)=0,"",IF(LEN(IF(COUNT(I299,J299)=2,IF(J299&gt;I299+1,"EBE &gt; VA ",""),"")&amp;IF(COUNT(H299,M299)=2,IF(ABS(M299)&gt;ABS(H299),"RN &gt; CA ",""),"")&amp;IF(COUNT(H299,K299)=2,IF(ABS(K299)&gt;ABS(H299),"RE &gt; CA ",""),""))=0,"OK",IF(COUNT(I299,J299)=2,IF(J299&gt;I299+1,"EBE &gt; VA ",""),"")&amp;IF(COUNT(H299,M299)=2,IF(ABS(M299)&gt;ABS(H299),"RN &gt; CA ",""),"")&amp;IF(COUNT(H299,K299)=2,IF(ABS(K299)&gt;ABS(H299),"RE &gt; CA ",""),"")))</f>
        <v/>
      </c>
    </row>
    <row r="300">
      <c r="A300" s="9" t="inlineStr">
        <is>
          <t>CABC</t>
        </is>
      </c>
      <c r="B300" s="10">
        <f>IF(A300="","",IFERROR(VLOOKUP(A300,Titres!$A$2:$B$400,2,FALSE),"Ticker inconnu"))</f>
        <v/>
      </c>
      <c r="C300" s="11" t="n">
        <v>2023</v>
      </c>
      <c r="D300" s="11" t="inlineStr">
        <is>
          <t>S1</t>
        </is>
      </c>
      <c r="E300" s="9" t="n"/>
      <c r="F300" s="12" t="n"/>
      <c r="G300" s="9" t="n"/>
      <c r="H300" s="13" t="n"/>
      <c r="I300" s="13" t="n"/>
      <c r="J300" s="13" t="n"/>
      <c r="K300" s="13" t="n"/>
      <c r="L300" s="13" t="n"/>
      <c r="M300" s="13" t="n"/>
      <c r="N300" s="14">
        <f>IF(A300="","",COUNT(H300:M300)/6)</f>
        <v/>
      </c>
      <c r="O300" s="15">
        <f>IF(COUNT(H300:M300)=0,"",IF(LEN(IF(COUNT(I300,J300)=2,IF(J300&gt;I300+1,"EBE &gt; VA ",""),"")&amp;IF(COUNT(H300,M300)=2,IF(ABS(M300)&gt;ABS(H300),"RN &gt; CA ",""),"")&amp;IF(COUNT(H300,K300)=2,IF(ABS(K300)&gt;ABS(H300),"RE &gt; CA ",""),""))=0,"OK",IF(COUNT(I300,J300)=2,IF(J300&gt;I300+1,"EBE &gt; VA ",""),"")&amp;IF(COUNT(H300,M300)=2,IF(ABS(M300)&gt;ABS(H300),"RN &gt; CA ",""),"")&amp;IF(COUNT(H300,K300)=2,IF(ABS(K300)&gt;ABS(H300),"RE &gt; CA ",""),"")))</f>
        <v/>
      </c>
    </row>
    <row r="301">
      <c r="A301" s="9" t="inlineStr">
        <is>
          <t>CABC</t>
        </is>
      </c>
      <c r="B301" s="10">
        <f>IF(A301="","",IFERROR(VLOOKUP(A301,Titres!$A$2:$B$400,2,FALSE),"Ticker inconnu"))</f>
        <v/>
      </c>
      <c r="C301" s="11" t="n">
        <v>2023</v>
      </c>
      <c r="D301" s="11" t="inlineStr">
        <is>
          <t>T3</t>
        </is>
      </c>
      <c r="E301" s="9" t="n"/>
      <c r="F301" s="12" t="n"/>
      <c r="G301" s="9" t="n"/>
      <c r="H301" s="13" t="n"/>
      <c r="I301" s="13" t="n"/>
      <c r="J301" s="13" t="n"/>
      <c r="K301" s="13" t="n"/>
      <c r="L301" s="13" t="n"/>
      <c r="M301" s="13" t="n"/>
      <c r="N301" s="14">
        <f>IF(A301="","",COUNT(H301:M301)/6)</f>
        <v/>
      </c>
      <c r="O301" s="15">
        <f>IF(COUNT(H301:M301)=0,"",IF(LEN(IF(COUNT(I301,J301)=2,IF(J301&gt;I301+1,"EBE &gt; VA ",""),"")&amp;IF(COUNT(H301,M301)=2,IF(ABS(M301)&gt;ABS(H301),"RN &gt; CA ",""),"")&amp;IF(COUNT(H301,K301)=2,IF(ABS(K301)&gt;ABS(H301),"RE &gt; CA ",""),""))=0,"OK",IF(COUNT(I301,J301)=2,IF(J301&gt;I301+1,"EBE &gt; VA ",""),"")&amp;IF(COUNT(H301,M301)=2,IF(ABS(M301)&gt;ABS(H301),"RN &gt; CA ",""),"")&amp;IF(COUNT(H301,K301)=2,IF(ABS(K301)&gt;ABS(H301),"RE &gt; CA ",""),"")))</f>
        <v/>
      </c>
    </row>
    <row r="302">
      <c r="A302" s="9" t="inlineStr">
        <is>
          <t>CABC</t>
        </is>
      </c>
      <c r="B302" s="10">
        <f>IF(A302="","",IFERROR(VLOOKUP(A302,Titres!$A$2:$B$400,2,FALSE),"Ticker inconnu"))</f>
        <v/>
      </c>
      <c r="C302" s="11" t="n">
        <v>2024</v>
      </c>
      <c r="D302" s="11" t="inlineStr">
        <is>
          <t>T1</t>
        </is>
      </c>
      <c r="E302" s="9" t="n"/>
      <c r="F302" s="12" t="n"/>
      <c r="G302" s="9" t="n"/>
      <c r="H302" s="13" t="n"/>
      <c r="I302" s="13" t="n"/>
      <c r="J302" s="13" t="n"/>
      <c r="K302" s="13" t="n"/>
      <c r="L302" s="13" t="n"/>
      <c r="M302" s="13" t="n"/>
      <c r="N302" s="14">
        <f>IF(A302="","",COUNT(H302:M302)/6)</f>
        <v/>
      </c>
      <c r="O302" s="15">
        <f>IF(COUNT(H302:M302)=0,"",IF(LEN(IF(COUNT(I302,J302)=2,IF(J302&gt;I302+1,"EBE &gt; VA ",""),"")&amp;IF(COUNT(H302,M302)=2,IF(ABS(M302)&gt;ABS(H302),"RN &gt; CA ",""),"")&amp;IF(COUNT(H302,K302)=2,IF(ABS(K302)&gt;ABS(H302),"RE &gt; CA ",""),""))=0,"OK",IF(COUNT(I302,J302)=2,IF(J302&gt;I302+1,"EBE &gt; VA ",""),"")&amp;IF(COUNT(H302,M302)=2,IF(ABS(M302)&gt;ABS(H302),"RN &gt; CA ",""),"")&amp;IF(COUNT(H302,K302)=2,IF(ABS(K302)&gt;ABS(H302),"RE &gt; CA ",""),"")))</f>
        <v/>
      </c>
    </row>
    <row r="303">
      <c r="A303" s="9" t="inlineStr">
        <is>
          <t>CABC</t>
        </is>
      </c>
      <c r="B303" s="10">
        <f>IF(A303="","",IFERROR(VLOOKUP(A303,Titres!$A$2:$B$400,2,FALSE),"Ticker inconnu"))</f>
        <v/>
      </c>
      <c r="C303" s="11" t="n">
        <v>2024</v>
      </c>
      <c r="D303" s="11" t="inlineStr">
        <is>
          <t>S1</t>
        </is>
      </c>
      <c r="E303" s="9" t="n"/>
      <c r="F303" s="12" t="n"/>
      <c r="G303" s="9" t="n"/>
      <c r="H303" s="13" t="n"/>
      <c r="I303" s="13" t="n"/>
      <c r="J303" s="13" t="n"/>
      <c r="K303" s="13" t="n"/>
      <c r="L303" s="13" t="n"/>
      <c r="M303" s="13" t="n"/>
      <c r="N303" s="14">
        <f>IF(A303="","",COUNT(H303:M303)/6)</f>
        <v/>
      </c>
      <c r="O303" s="15">
        <f>IF(COUNT(H303:M303)=0,"",IF(LEN(IF(COUNT(I303,J303)=2,IF(J303&gt;I303+1,"EBE &gt; VA ",""),"")&amp;IF(COUNT(H303,M303)=2,IF(ABS(M303)&gt;ABS(H303),"RN &gt; CA ",""),"")&amp;IF(COUNT(H303,K303)=2,IF(ABS(K303)&gt;ABS(H303),"RE &gt; CA ",""),""))=0,"OK",IF(COUNT(I303,J303)=2,IF(J303&gt;I303+1,"EBE &gt; VA ",""),"")&amp;IF(COUNT(H303,M303)=2,IF(ABS(M303)&gt;ABS(H303),"RN &gt; CA ",""),"")&amp;IF(COUNT(H303,K303)=2,IF(ABS(K303)&gt;ABS(H303),"RE &gt; CA ",""),"")))</f>
        <v/>
      </c>
    </row>
    <row r="304">
      <c r="A304" s="9" t="inlineStr">
        <is>
          <t>CABC</t>
        </is>
      </c>
      <c r="B304" s="10">
        <f>IF(A304="","",IFERROR(VLOOKUP(A304,Titres!$A$2:$B$400,2,FALSE),"Ticker inconnu"))</f>
        <v/>
      </c>
      <c r="C304" s="11" t="n">
        <v>2024</v>
      </c>
      <c r="D304" s="11" t="inlineStr">
        <is>
          <t>T3</t>
        </is>
      </c>
      <c r="E304" s="9" t="n"/>
      <c r="F304" s="12" t="n"/>
      <c r="G304" s="9" t="n"/>
      <c r="H304" s="13" t="n"/>
      <c r="I304" s="13" t="n"/>
      <c r="J304" s="13" t="n"/>
      <c r="K304" s="13" t="n"/>
      <c r="L304" s="13" t="n"/>
      <c r="M304" s="13" t="n"/>
      <c r="N304" s="14">
        <f>IF(A304="","",COUNT(H304:M304)/6)</f>
        <v/>
      </c>
      <c r="O304" s="15">
        <f>IF(COUNT(H304:M304)=0,"",IF(LEN(IF(COUNT(I304,J304)=2,IF(J304&gt;I304+1,"EBE &gt; VA ",""),"")&amp;IF(COUNT(H304,M304)=2,IF(ABS(M304)&gt;ABS(H304),"RN &gt; CA ",""),"")&amp;IF(COUNT(H304,K304)=2,IF(ABS(K304)&gt;ABS(H304),"RE &gt; CA ",""),""))=0,"OK",IF(COUNT(I304,J304)=2,IF(J304&gt;I304+1,"EBE &gt; VA ",""),"")&amp;IF(COUNT(H304,M304)=2,IF(ABS(M304)&gt;ABS(H304),"RN &gt; CA ",""),"")&amp;IF(COUNT(H304,K304)=2,IF(ABS(K304)&gt;ABS(H304),"RE &gt; CA ",""),"")))</f>
        <v/>
      </c>
    </row>
    <row r="305">
      <c r="A305" s="9" t="inlineStr">
        <is>
          <t>CABC</t>
        </is>
      </c>
      <c r="B305" s="10">
        <f>IF(A305="","",IFERROR(VLOOKUP(A305,Titres!$A$2:$B$400,2,FALSE),"Ticker inconnu"))</f>
        <v/>
      </c>
      <c r="C305" s="11" t="n">
        <v>2025</v>
      </c>
      <c r="D305" s="11" t="inlineStr">
        <is>
          <t>T1</t>
        </is>
      </c>
      <c r="E305" s="9" t="n"/>
      <c r="F305" s="12" t="n"/>
      <c r="G305" s="9" t="n"/>
      <c r="H305" s="13" t="n"/>
      <c r="I305" s="13" t="n"/>
      <c r="J305" s="13" t="n"/>
      <c r="K305" s="13" t="n"/>
      <c r="L305" s="13" t="n"/>
      <c r="M305" s="13" t="n"/>
      <c r="N305" s="14">
        <f>IF(A305="","",COUNT(H305:M305)/6)</f>
        <v/>
      </c>
      <c r="O305" s="15">
        <f>IF(COUNT(H305:M305)=0,"",IF(LEN(IF(COUNT(I305,J305)=2,IF(J305&gt;I305+1,"EBE &gt; VA ",""),"")&amp;IF(COUNT(H305,M305)=2,IF(ABS(M305)&gt;ABS(H305),"RN &gt; CA ",""),"")&amp;IF(COUNT(H305,K305)=2,IF(ABS(K305)&gt;ABS(H305),"RE &gt; CA ",""),""))=0,"OK",IF(COUNT(I305,J305)=2,IF(J305&gt;I305+1,"EBE &gt; VA ",""),"")&amp;IF(COUNT(H305,M305)=2,IF(ABS(M305)&gt;ABS(H305),"RN &gt; CA ",""),"")&amp;IF(COUNT(H305,K305)=2,IF(ABS(K305)&gt;ABS(H305),"RE &gt; CA ",""),"")))</f>
        <v/>
      </c>
    </row>
    <row r="306">
      <c r="A306" s="9" t="inlineStr">
        <is>
          <t>CABC</t>
        </is>
      </c>
      <c r="B306" s="10">
        <f>IF(A306="","",IFERROR(VLOOKUP(A306,Titres!$A$2:$B$400,2,FALSE),"Ticker inconnu"))</f>
        <v/>
      </c>
      <c r="C306" s="11" t="n">
        <v>2025</v>
      </c>
      <c r="D306" s="11" t="inlineStr">
        <is>
          <t>S1</t>
        </is>
      </c>
      <c r="E306" s="9" t="n"/>
      <c r="F306" s="12" t="n"/>
      <c r="G306" s="9" t="n"/>
      <c r="H306" s="13" t="n"/>
      <c r="I306" s="13" t="n"/>
      <c r="J306" s="13" t="n"/>
      <c r="K306" s="13" t="n"/>
      <c r="L306" s="13" t="n"/>
      <c r="M306" s="13" t="n"/>
      <c r="N306" s="14">
        <f>IF(A306="","",COUNT(H306:M306)/6)</f>
        <v/>
      </c>
      <c r="O306" s="15">
        <f>IF(COUNT(H306:M306)=0,"",IF(LEN(IF(COUNT(I306,J306)=2,IF(J306&gt;I306+1,"EBE &gt; VA ",""),"")&amp;IF(COUNT(H306,M306)=2,IF(ABS(M306)&gt;ABS(H306),"RN &gt; CA ",""),"")&amp;IF(COUNT(H306,K306)=2,IF(ABS(K306)&gt;ABS(H306),"RE &gt; CA ",""),""))=0,"OK",IF(COUNT(I306,J306)=2,IF(J306&gt;I306+1,"EBE &gt; VA ",""),"")&amp;IF(COUNT(H306,M306)=2,IF(ABS(M306)&gt;ABS(H306),"RN &gt; CA ",""),"")&amp;IF(COUNT(H306,K306)=2,IF(ABS(K306)&gt;ABS(H306),"RE &gt; CA ",""),"")))</f>
        <v/>
      </c>
    </row>
    <row r="307">
      <c r="A307" s="9" t="inlineStr">
        <is>
          <t>CABC</t>
        </is>
      </c>
      <c r="B307" s="10">
        <f>IF(A307="","",IFERROR(VLOOKUP(A307,Titres!$A$2:$B$400,2,FALSE),"Ticker inconnu"))</f>
        <v/>
      </c>
      <c r="C307" s="11" t="n">
        <v>2025</v>
      </c>
      <c r="D307" s="11" t="inlineStr">
        <is>
          <t>T3</t>
        </is>
      </c>
      <c r="E307" s="9" t="n"/>
      <c r="F307" s="12" t="n"/>
      <c r="G307" s="9" t="n"/>
      <c r="H307" s="13" t="n"/>
      <c r="I307" s="13" t="n"/>
      <c r="J307" s="13" t="n"/>
      <c r="K307" s="13" t="n"/>
      <c r="L307" s="13" t="n"/>
      <c r="M307" s="13" t="n"/>
      <c r="N307" s="14">
        <f>IF(A307="","",COUNT(H307:M307)/6)</f>
        <v/>
      </c>
      <c r="O307" s="15">
        <f>IF(COUNT(H307:M307)=0,"",IF(LEN(IF(COUNT(I307,J307)=2,IF(J307&gt;I307+1,"EBE &gt; VA ",""),"")&amp;IF(COUNT(H307,M307)=2,IF(ABS(M307)&gt;ABS(H307),"RN &gt; CA ",""),"")&amp;IF(COUNT(H307,K307)=2,IF(ABS(K307)&gt;ABS(H307),"RE &gt; CA ",""),""))=0,"OK",IF(COUNT(I307,J307)=2,IF(J307&gt;I307+1,"EBE &gt; VA ",""),"")&amp;IF(COUNT(H307,M307)=2,IF(ABS(M307)&gt;ABS(H307),"RN &gt; CA ",""),"")&amp;IF(COUNT(H307,K307)=2,IF(ABS(K307)&gt;ABS(H307),"RE &gt; CA ",""),"")))</f>
        <v/>
      </c>
    </row>
    <row r="308">
      <c r="A308" s="9" t="inlineStr">
        <is>
          <t>CABC</t>
        </is>
      </c>
      <c r="B308" s="10">
        <f>IF(A308="","",IFERROR(VLOOKUP(A308,Titres!$A$2:$B$400,2,FALSE),"Ticker inconnu"))</f>
        <v/>
      </c>
      <c r="C308" s="11" t="n">
        <v>2026</v>
      </c>
      <c r="D308" s="11" t="inlineStr">
        <is>
          <t>T1</t>
        </is>
      </c>
      <c r="E308" s="9" t="n"/>
      <c r="F308" s="12" t="n"/>
      <c r="G308" s="9" t="n"/>
      <c r="H308" s="13" t="n"/>
      <c r="I308" s="13" t="n"/>
      <c r="J308" s="13" t="n"/>
      <c r="K308" s="13" t="n"/>
      <c r="L308" s="13" t="n"/>
      <c r="M308" s="13" t="n"/>
      <c r="N308" s="14">
        <f>IF(A308="","",COUNT(H308:M308)/6)</f>
        <v/>
      </c>
      <c r="O308" s="15">
        <f>IF(COUNT(H308:M308)=0,"",IF(LEN(IF(COUNT(I308,J308)=2,IF(J308&gt;I308+1,"EBE &gt; VA ",""),"")&amp;IF(COUNT(H308,M308)=2,IF(ABS(M308)&gt;ABS(H308),"RN &gt; CA ",""),"")&amp;IF(COUNT(H308,K308)=2,IF(ABS(K308)&gt;ABS(H308),"RE &gt; CA ",""),""))=0,"OK",IF(COUNT(I308,J308)=2,IF(J308&gt;I308+1,"EBE &gt; VA ",""),"")&amp;IF(COUNT(H308,M308)=2,IF(ABS(M308)&gt;ABS(H308),"RN &gt; CA ",""),"")&amp;IF(COUNT(H308,K308)=2,IF(ABS(K308)&gt;ABS(H308),"RE &gt; CA ",""),"")))</f>
        <v/>
      </c>
    </row>
    <row r="309">
      <c r="A309" s="9" t="inlineStr">
        <is>
          <t>CABC</t>
        </is>
      </c>
      <c r="B309" s="10">
        <f>IF(A309="","",IFERROR(VLOOKUP(A309,Titres!$A$2:$B$400,2,FALSE),"Ticker inconnu"))</f>
        <v/>
      </c>
      <c r="C309" s="11" t="n">
        <v>2026</v>
      </c>
      <c r="D309" s="11" t="inlineStr">
        <is>
          <t>S1</t>
        </is>
      </c>
      <c r="E309" s="9" t="n"/>
      <c r="F309" s="12" t="n"/>
      <c r="G309" s="9" t="n"/>
      <c r="H309" s="13" t="n"/>
      <c r="I309" s="13" t="n"/>
      <c r="J309" s="13" t="n"/>
      <c r="K309" s="13" t="n"/>
      <c r="L309" s="13" t="n"/>
      <c r="M309" s="13" t="n"/>
      <c r="N309" s="14">
        <f>IF(A309="","",COUNT(H309:M309)/6)</f>
        <v/>
      </c>
      <c r="O309" s="15">
        <f>IF(COUNT(H309:M309)=0,"",IF(LEN(IF(COUNT(I309,J309)=2,IF(J309&gt;I309+1,"EBE &gt; VA ",""),"")&amp;IF(COUNT(H309,M309)=2,IF(ABS(M309)&gt;ABS(H309),"RN &gt; CA ",""),"")&amp;IF(COUNT(H309,K309)=2,IF(ABS(K309)&gt;ABS(H309),"RE &gt; CA ",""),""))=0,"OK",IF(COUNT(I309,J309)=2,IF(J309&gt;I309+1,"EBE &gt; VA ",""),"")&amp;IF(COUNT(H309,M309)=2,IF(ABS(M309)&gt;ABS(H309),"RN &gt; CA ",""),"")&amp;IF(COUNT(H309,K309)=2,IF(ABS(K309)&gt;ABS(H309),"RE &gt; CA ",""),"")))</f>
        <v/>
      </c>
    </row>
    <row r="310">
      <c r="A310" s="9" t="inlineStr">
        <is>
          <t>CABC</t>
        </is>
      </c>
      <c r="B310" s="10">
        <f>IF(A310="","",IFERROR(VLOOKUP(A310,Titres!$A$2:$B$400,2,FALSE),"Ticker inconnu"))</f>
        <v/>
      </c>
      <c r="C310" s="11" t="n">
        <v>2026</v>
      </c>
      <c r="D310" s="11" t="inlineStr">
        <is>
          <t>T3</t>
        </is>
      </c>
      <c r="E310" s="9" t="n"/>
      <c r="F310" s="12" t="n"/>
      <c r="G310" s="9" t="n"/>
      <c r="H310" s="13" t="n"/>
      <c r="I310" s="13" t="n"/>
      <c r="J310" s="13" t="n"/>
      <c r="K310" s="13" t="n"/>
      <c r="L310" s="13" t="n"/>
      <c r="M310" s="13" t="n"/>
      <c r="N310" s="14">
        <f>IF(A310="","",COUNT(H310:M310)/6)</f>
        <v/>
      </c>
      <c r="O310" s="15">
        <f>IF(COUNT(H310:M310)=0,"",IF(LEN(IF(COUNT(I310,J310)=2,IF(J310&gt;I310+1,"EBE &gt; VA ",""),"")&amp;IF(COUNT(H310,M310)=2,IF(ABS(M310)&gt;ABS(H310),"RN &gt; CA ",""),"")&amp;IF(COUNT(H310,K310)=2,IF(ABS(K310)&gt;ABS(H310),"RE &gt; CA ",""),""))=0,"OK",IF(COUNT(I310,J310)=2,IF(J310&gt;I310+1,"EBE &gt; VA ",""),"")&amp;IF(COUNT(H310,M310)=2,IF(ABS(M310)&gt;ABS(H310),"RN &gt; CA ",""),"")&amp;IF(COUNT(H310,K310)=2,IF(ABS(K310)&gt;ABS(H310),"RE &gt; CA ",""),"")))</f>
        <v/>
      </c>
    </row>
    <row r="311">
      <c r="A311" s="9" t="inlineStr">
        <is>
          <t>FTSC</t>
        </is>
      </c>
      <c r="B311" s="10">
        <f>IF(A311="","",IFERROR(VLOOKUP(A311,Titres!$A$2:$B$400,2,FALSE),"Ticker inconnu"))</f>
        <v/>
      </c>
      <c r="C311" s="11" t="n">
        <v>2021</v>
      </c>
      <c r="D311" s="11" t="inlineStr">
        <is>
          <t>T1</t>
        </is>
      </c>
      <c r="E311" s="9" t="n"/>
      <c r="F311" s="12" t="n"/>
      <c r="G311" s="9" t="n"/>
      <c r="H311" s="13" t="n"/>
      <c r="I311" s="13" t="n"/>
      <c r="J311" s="13" t="n"/>
      <c r="K311" s="13" t="n"/>
      <c r="L311" s="13" t="n"/>
      <c r="M311" s="13" t="n"/>
      <c r="N311" s="14">
        <f>IF(A311="","",COUNT(H311:M311)/6)</f>
        <v/>
      </c>
      <c r="O311" s="15">
        <f>IF(COUNT(H311:M311)=0,"",IF(LEN(IF(COUNT(I311,J311)=2,IF(J311&gt;I311+1,"EBE &gt; VA ",""),"")&amp;IF(COUNT(H311,M311)=2,IF(ABS(M311)&gt;ABS(H311),"RN &gt; CA ",""),"")&amp;IF(COUNT(H311,K311)=2,IF(ABS(K311)&gt;ABS(H311),"RE &gt; CA ",""),""))=0,"OK",IF(COUNT(I311,J311)=2,IF(J311&gt;I311+1,"EBE &gt; VA ",""),"")&amp;IF(COUNT(H311,M311)=2,IF(ABS(M311)&gt;ABS(H311),"RN &gt; CA ",""),"")&amp;IF(COUNT(H311,K311)=2,IF(ABS(K311)&gt;ABS(H311),"RE &gt; CA ",""),"")))</f>
        <v/>
      </c>
    </row>
    <row r="312">
      <c r="A312" s="9" t="inlineStr">
        <is>
          <t>FTSC</t>
        </is>
      </c>
      <c r="B312" s="10">
        <f>IF(A312="","",IFERROR(VLOOKUP(A312,Titres!$A$2:$B$400,2,FALSE),"Ticker inconnu"))</f>
        <v/>
      </c>
      <c r="C312" s="11" t="n">
        <v>2021</v>
      </c>
      <c r="D312" s="11" t="inlineStr">
        <is>
          <t>S1</t>
        </is>
      </c>
      <c r="E312" s="9" t="n"/>
      <c r="F312" s="12" t="n"/>
      <c r="G312" s="9" t="n"/>
      <c r="H312" s="13" t="n"/>
      <c r="I312" s="13" t="n"/>
      <c r="J312" s="13" t="n"/>
      <c r="K312" s="13" t="n"/>
      <c r="L312" s="13" t="n"/>
      <c r="M312" s="13" t="n"/>
      <c r="N312" s="14">
        <f>IF(A312="","",COUNT(H312:M312)/6)</f>
        <v/>
      </c>
      <c r="O312" s="15">
        <f>IF(COUNT(H312:M312)=0,"",IF(LEN(IF(COUNT(I312,J312)=2,IF(J312&gt;I312+1,"EBE &gt; VA ",""),"")&amp;IF(COUNT(H312,M312)=2,IF(ABS(M312)&gt;ABS(H312),"RN &gt; CA ",""),"")&amp;IF(COUNT(H312,K312)=2,IF(ABS(K312)&gt;ABS(H312),"RE &gt; CA ",""),""))=0,"OK",IF(COUNT(I312,J312)=2,IF(J312&gt;I312+1,"EBE &gt; VA ",""),"")&amp;IF(COUNT(H312,M312)=2,IF(ABS(M312)&gt;ABS(H312),"RN &gt; CA ",""),"")&amp;IF(COUNT(H312,K312)=2,IF(ABS(K312)&gt;ABS(H312),"RE &gt; CA ",""),"")))</f>
        <v/>
      </c>
    </row>
    <row r="313">
      <c r="A313" s="9" t="inlineStr">
        <is>
          <t>FTSC</t>
        </is>
      </c>
      <c r="B313" s="10">
        <f>IF(A313="","",IFERROR(VLOOKUP(A313,Titres!$A$2:$B$400,2,FALSE),"Ticker inconnu"))</f>
        <v/>
      </c>
      <c r="C313" s="11" t="n">
        <v>2021</v>
      </c>
      <c r="D313" s="11" t="inlineStr">
        <is>
          <t>T3</t>
        </is>
      </c>
      <c r="E313" s="9" t="n"/>
      <c r="F313" s="12" t="n"/>
      <c r="G313" s="9" t="n"/>
      <c r="H313" s="13" t="n"/>
      <c r="I313" s="13" t="n"/>
      <c r="J313" s="13" t="n"/>
      <c r="K313" s="13" t="n"/>
      <c r="L313" s="13" t="n"/>
      <c r="M313" s="13" t="n"/>
      <c r="N313" s="14">
        <f>IF(A313="","",COUNT(H313:M313)/6)</f>
        <v/>
      </c>
      <c r="O313" s="15">
        <f>IF(COUNT(H313:M313)=0,"",IF(LEN(IF(COUNT(I313,J313)=2,IF(J313&gt;I313+1,"EBE &gt; VA ",""),"")&amp;IF(COUNT(H313,M313)=2,IF(ABS(M313)&gt;ABS(H313),"RN &gt; CA ",""),"")&amp;IF(COUNT(H313,K313)=2,IF(ABS(K313)&gt;ABS(H313),"RE &gt; CA ",""),""))=0,"OK",IF(COUNT(I313,J313)=2,IF(J313&gt;I313+1,"EBE &gt; VA ",""),"")&amp;IF(COUNT(H313,M313)=2,IF(ABS(M313)&gt;ABS(H313),"RN &gt; CA ",""),"")&amp;IF(COUNT(H313,K313)=2,IF(ABS(K313)&gt;ABS(H313),"RE &gt; CA ",""),"")))</f>
        <v/>
      </c>
    </row>
    <row r="314">
      <c r="A314" s="9" t="inlineStr">
        <is>
          <t>FTSC</t>
        </is>
      </c>
      <c r="B314" s="10">
        <f>IF(A314="","",IFERROR(VLOOKUP(A314,Titres!$A$2:$B$400,2,FALSE),"Ticker inconnu"))</f>
        <v/>
      </c>
      <c r="C314" s="11" t="n">
        <v>2022</v>
      </c>
      <c r="D314" s="11" t="inlineStr">
        <is>
          <t>T1</t>
        </is>
      </c>
      <c r="E314" s="9" t="n"/>
      <c r="F314" s="12" t="n"/>
      <c r="G314" s="9" t="n"/>
      <c r="H314" s="13" t="n"/>
      <c r="I314" s="13" t="n"/>
      <c r="J314" s="13" t="n"/>
      <c r="K314" s="13" t="n"/>
      <c r="L314" s="13" t="n"/>
      <c r="M314" s="13" t="n"/>
      <c r="N314" s="14">
        <f>IF(A314="","",COUNT(H314:M314)/6)</f>
        <v/>
      </c>
      <c r="O314" s="15">
        <f>IF(COUNT(H314:M314)=0,"",IF(LEN(IF(COUNT(I314,J314)=2,IF(J314&gt;I314+1,"EBE &gt; VA ",""),"")&amp;IF(COUNT(H314,M314)=2,IF(ABS(M314)&gt;ABS(H314),"RN &gt; CA ",""),"")&amp;IF(COUNT(H314,K314)=2,IF(ABS(K314)&gt;ABS(H314),"RE &gt; CA ",""),""))=0,"OK",IF(COUNT(I314,J314)=2,IF(J314&gt;I314+1,"EBE &gt; VA ",""),"")&amp;IF(COUNT(H314,M314)=2,IF(ABS(M314)&gt;ABS(H314),"RN &gt; CA ",""),"")&amp;IF(COUNT(H314,K314)=2,IF(ABS(K314)&gt;ABS(H314),"RE &gt; CA ",""),"")))</f>
        <v/>
      </c>
    </row>
    <row r="315">
      <c r="A315" s="9" t="inlineStr">
        <is>
          <t>FTSC</t>
        </is>
      </c>
      <c r="B315" s="10">
        <f>IF(A315="","",IFERROR(VLOOKUP(A315,Titres!$A$2:$B$400,2,FALSE),"Ticker inconnu"))</f>
        <v/>
      </c>
      <c r="C315" s="11" t="n">
        <v>2022</v>
      </c>
      <c r="D315" s="11" t="inlineStr">
        <is>
          <t>S1</t>
        </is>
      </c>
      <c r="E315" s="9" t="n"/>
      <c r="F315" s="12" t="n"/>
      <c r="G315" s="9" t="n"/>
      <c r="H315" s="13" t="n"/>
      <c r="I315" s="13" t="n"/>
      <c r="J315" s="13" t="n"/>
      <c r="K315" s="13" t="n"/>
      <c r="L315" s="13" t="n"/>
      <c r="M315" s="13" t="n"/>
      <c r="N315" s="14">
        <f>IF(A315="","",COUNT(H315:M315)/6)</f>
        <v/>
      </c>
      <c r="O315" s="15">
        <f>IF(COUNT(H315:M315)=0,"",IF(LEN(IF(COUNT(I315,J315)=2,IF(J315&gt;I315+1,"EBE &gt; VA ",""),"")&amp;IF(COUNT(H315,M315)=2,IF(ABS(M315)&gt;ABS(H315),"RN &gt; CA ",""),"")&amp;IF(COUNT(H315,K315)=2,IF(ABS(K315)&gt;ABS(H315),"RE &gt; CA ",""),""))=0,"OK",IF(COUNT(I315,J315)=2,IF(J315&gt;I315+1,"EBE &gt; VA ",""),"")&amp;IF(COUNT(H315,M315)=2,IF(ABS(M315)&gt;ABS(H315),"RN &gt; CA ",""),"")&amp;IF(COUNT(H315,K315)=2,IF(ABS(K315)&gt;ABS(H315),"RE &gt; CA ",""),"")))</f>
        <v/>
      </c>
    </row>
    <row r="316">
      <c r="A316" s="9" t="inlineStr">
        <is>
          <t>FTSC</t>
        </is>
      </c>
      <c r="B316" s="10">
        <f>IF(A316="","",IFERROR(VLOOKUP(A316,Titres!$A$2:$B$400,2,FALSE),"Ticker inconnu"))</f>
        <v/>
      </c>
      <c r="C316" s="11" t="n">
        <v>2022</v>
      </c>
      <c r="D316" s="11" t="inlineStr">
        <is>
          <t>T3</t>
        </is>
      </c>
      <c r="E316" s="9" t="n"/>
      <c r="F316" s="12" t="n"/>
      <c r="G316" s="9" t="n"/>
      <c r="H316" s="13" t="n"/>
      <c r="I316" s="13" t="n"/>
      <c r="J316" s="13" t="n"/>
      <c r="K316" s="13" t="n"/>
      <c r="L316" s="13" t="n"/>
      <c r="M316" s="13" t="n"/>
      <c r="N316" s="14">
        <f>IF(A316="","",COUNT(H316:M316)/6)</f>
        <v/>
      </c>
      <c r="O316" s="15">
        <f>IF(COUNT(H316:M316)=0,"",IF(LEN(IF(COUNT(I316,J316)=2,IF(J316&gt;I316+1,"EBE &gt; VA ",""),"")&amp;IF(COUNT(H316,M316)=2,IF(ABS(M316)&gt;ABS(H316),"RN &gt; CA ",""),"")&amp;IF(COUNT(H316,K316)=2,IF(ABS(K316)&gt;ABS(H316),"RE &gt; CA ",""),""))=0,"OK",IF(COUNT(I316,J316)=2,IF(J316&gt;I316+1,"EBE &gt; VA ",""),"")&amp;IF(COUNT(H316,M316)=2,IF(ABS(M316)&gt;ABS(H316),"RN &gt; CA ",""),"")&amp;IF(COUNT(H316,K316)=2,IF(ABS(K316)&gt;ABS(H316),"RE &gt; CA ",""),"")))</f>
        <v/>
      </c>
    </row>
    <row r="317">
      <c r="A317" s="9" t="inlineStr">
        <is>
          <t>FTSC</t>
        </is>
      </c>
      <c r="B317" s="10">
        <f>IF(A317="","",IFERROR(VLOOKUP(A317,Titres!$A$2:$B$400,2,FALSE),"Ticker inconnu"))</f>
        <v/>
      </c>
      <c r="C317" s="11" t="n">
        <v>2023</v>
      </c>
      <c r="D317" s="11" t="inlineStr">
        <is>
          <t>T1</t>
        </is>
      </c>
      <c r="E317" s="9" t="n"/>
      <c r="F317" s="12" t="n"/>
      <c r="G317" s="9" t="n"/>
      <c r="H317" s="13" t="n"/>
      <c r="I317" s="13" t="n"/>
      <c r="J317" s="13" t="n"/>
      <c r="K317" s="13" t="n"/>
      <c r="L317" s="13" t="n"/>
      <c r="M317" s="13" t="n"/>
      <c r="N317" s="14">
        <f>IF(A317="","",COUNT(H317:M317)/6)</f>
        <v/>
      </c>
      <c r="O317" s="15">
        <f>IF(COUNT(H317:M317)=0,"",IF(LEN(IF(COUNT(I317,J317)=2,IF(J317&gt;I317+1,"EBE &gt; VA ",""),"")&amp;IF(COUNT(H317,M317)=2,IF(ABS(M317)&gt;ABS(H317),"RN &gt; CA ",""),"")&amp;IF(COUNT(H317,K317)=2,IF(ABS(K317)&gt;ABS(H317),"RE &gt; CA ",""),""))=0,"OK",IF(COUNT(I317,J317)=2,IF(J317&gt;I317+1,"EBE &gt; VA ",""),"")&amp;IF(COUNT(H317,M317)=2,IF(ABS(M317)&gt;ABS(H317),"RN &gt; CA ",""),"")&amp;IF(COUNT(H317,K317)=2,IF(ABS(K317)&gt;ABS(H317),"RE &gt; CA ",""),"")))</f>
        <v/>
      </c>
    </row>
    <row r="318">
      <c r="A318" s="9" t="inlineStr">
        <is>
          <t>FTSC</t>
        </is>
      </c>
      <c r="B318" s="10">
        <f>IF(A318="","",IFERROR(VLOOKUP(A318,Titres!$A$2:$B$400,2,FALSE),"Ticker inconnu"))</f>
        <v/>
      </c>
      <c r="C318" s="11" t="n">
        <v>2023</v>
      </c>
      <c r="D318" s="11" t="inlineStr">
        <is>
          <t>S1</t>
        </is>
      </c>
      <c r="E318" s="9" t="n"/>
      <c r="F318" s="12" t="n"/>
      <c r="G318" s="9" t="n"/>
      <c r="H318" s="13" t="n"/>
      <c r="I318" s="13" t="n"/>
      <c r="J318" s="13" t="n"/>
      <c r="K318" s="13" t="n"/>
      <c r="L318" s="13" t="n"/>
      <c r="M318" s="13" t="n"/>
      <c r="N318" s="14">
        <f>IF(A318="","",COUNT(H318:M318)/6)</f>
        <v/>
      </c>
      <c r="O318" s="15">
        <f>IF(COUNT(H318:M318)=0,"",IF(LEN(IF(COUNT(I318,J318)=2,IF(J318&gt;I318+1,"EBE &gt; VA ",""),"")&amp;IF(COUNT(H318,M318)=2,IF(ABS(M318)&gt;ABS(H318),"RN &gt; CA ",""),"")&amp;IF(COUNT(H318,K318)=2,IF(ABS(K318)&gt;ABS(H318),"RE &gt; CA ",""),""))=0,"OK",IF(COUNT(I318,J318)=2,IF(J318&gt;I318+1,"EBE &gt; VA ",""),"")&amp;IF(COUNT(H318,M318)=2,IF(ABS(M318)&gt;ABS(H318),"RN &gt; CA ",""),"")&amp;IF(COUNT(H318,K318)=2,IF(ABS(K318)&gt;ABS(H318),"RE &gt; CA ",""),"")))</f>
        <v/>
      </c>
    </row>
    <row r="319">
      <c r="A319" s="9" t="inlineStr">
        <is>
          <t>FTSC</t>
        </is>
      </c>
      <c r="B319" s="10">
        <f>IF(A319="","",IFERROR(VLOOKUP(A319,Titres!$A$2:$B$400,2,FALSE),"Ticker inconnu"))</f>
        <v/>
      </c>
      <c r="C319" s="11" t="n">
        <v>2023</v>
      </c>
      <c r="D319" s="11" t="inlineStr">
        <is>
          <t>T3</t>
        </is>
      </c>
      <c r="E319" s="9" t="n"/>
      <c r="F319" s="12" t="n"/>
      <c r="G319" s="9" t="n"/>
      <c r="H319" s="13" t="n"/>
      <c r="I319" s="13" t="n"/>
      <c r="J319" s="13" t="n"/>
      <c r="K319" s="13" t="n"/>
      <c r="L319" s="13" t="n"/>
      <c r="M319" s="13" t="n"/>
      <c r="N319" s="14">
        <f>IF(A319="","",COUNT(H319:M319)/6)</f>
        <v/>
      </c>
      <c r="O319" s="15">
        <f>IF(COUNT(H319:M319)=0,"",IF(LEN(IF(COUNT(I319,J319)=2,IF(J319&gt;I319+1,"EBE &gt; VA ",""),"")&amp;IF(COUNT(H319,M319)=2,IF(ABS(M319)&gt;ABS(H319),"RN &gt; CA ",""),"")&amp;IF(COUNT(H319,K319)=2,IF(ABS(K319)&gt;ABS(H319),"RE &gt; CA ",""),""))=0,"OK",IF(COUNT(I319,J319)=2,IF(J319&gt;I319+1,"EBE &gt; VA ",""),"")&amp;IF(COUNT(H319,M319)=2,IF(ABS(M319)&gt;ABS(H319),"RN &gt; CA ",""),"")&amp;IF(COUNT(H319,K319)=2,IF(ABS(K319)&gt;ABS(H319),"RE &gt; CA ",""),"")))</f>
        <v/>
      </c>
    </row>
    <row r="320">
      <c r="A320" s="9" t="inlineStr">
        <is>
          <t>FTSC</t>
        </is>
      </c>
      <c r="B320" s="10">
        <f>IF(A320="","",IFERROR(VLOOKUP(A320,Titres!$A$2:$B$400,2,FALSE),"Ticker inconnu"))</f>
        <v/>
      </c>
      <c r="C320" s="11" t="n">
        <v>2024</v>
      </c>
      <c r="D320" s="11" t="inlineStr">
        <is>
          <t>T1</t>
        </is>
      </c>
      <c r="E320" s="9" t="n"/>
      <c r="F320" s="12" t="n"/>
      <c r="G320" s="9" t="n"/>
      <c r="H320" s="13" t="n"/>
      <c r="I320" s="13" t="n"/>
      <c r="J320" s="13" t="n"/>
      <c r="K320" s="13" t="n"/>
      <c r="L320" s="13" t="n"/>
      <c r="M320" s="13" t="n"/>
      <c r="N320" s="14">
        <f>IF(A320="","",COUNT(H320:M320)/6)</f>
        <v/>
      </c>
      <c r="O320" s="15">
        <f>IF(COUNT(H320:M320)=0,"",IF(LEN(IF(COUNT(I320,J320)=2,IF(J320&gt;I320+1,"EBE &gt; VA ",""),"")&amp;IF(COUNT(H320,M320)=2,IF(ABS(M320)&gt;ABS(H320),"RN &gt; CA ",""),"")&amp;IF(COUNT(H320,K320)=2,IF(ABS(K320)&gt;ABS(H320),"RE &gt; CA ",""),""))=0,"OK",IF(COUNT(I320,J320)=2,IF(J320&gt;I320+1,"EBE &gt; VA ",""),"")&amp;IF(COUNT(H320,M320)=2,IF(ABS(M320)&gt;ABS(H320),"RN &gt; CA ",""),"")&amp;IF(COUNT(H320,K320)=2,IF(ABS(K320)&gt;ABS(H320),"RE &gt; CA ",""),"")))</f>
        <v/>
      </c>
    </row>
    <row r="321">
      <c r="A321" s="9" t="inlineStr">
        <is>
          <t>FTSC</t>
        </is>
      </c>
      <c r="B321" s="10">
        <f>IF(A321="","",IFERROR(VLOOKUP(A321,Titres!$A$2:$B$400,2,FALSE),"Ticker inconnu"))</f>
        <v/>
      </c>
      <c r="C321" s="11" t="n">
        <v>2024</v>
      </c>
      <c r="D321" s="11" t="inlineStr">
        <is>
          <t>S1</t>
        </is>
      </c>
      <c r="E321" s="9" t="n"/>
      <c r="F321" s="12" t="n"/>
      <c r="G321" s="9" t="n"/>
      <c r="H321" s="13" t="n"/>
      <c r="I321" s="13" t="n"/>
      <c r="J321" s="13" t="n"/>
      <c r="K321" s="13" t="n"/>
      <c r="L321" s="13" t="n"/>
      <c r="M321" s="13" t="n"/>
      <c r="N321" s="14">
        <f>IF(A321="","",COUNT(H321:M321)/6)</f>
        <v/>
      </c>
      <c r="O321" s="15">
        <f>IF(COUNT(H321:M321)=0,"",IF(LEN(IF(COUNT(I321,J321)=2,IF(J321&gt;I321+1,"EBE &gt; VA ",""),"")&amp;IF(COUNT(H321,M321)=2,IF(ABS(M321)&gt;ABS(H321),"RN &gt; CA ",""),"")&amp;IF(COUNT(H321,K321)=2,IF(ABS(K321)&gt;ABS(H321),"RE &gt; CA ",""),""))=0,"OK",IF(COUNT(I321,J321)=2,IF(J321&gt;I321+1,"EBE &gt; VA ",""),"")&amp;IF(COUNT(H321,M321)=2,IF(ABS(M321)&gt;ABS(H321),"RN &gt; CA ",""),"")&amp;IF(COUNT(H321,K321)=2,IF(ABS(K321)&gt;ABS(H321),"RE &gt; CA ",""),"")))</f>
        <v/>
      </c>
    </row>
    <row r="322">
      <c r="A322" s="9" t="inlineStr">
        <is>
          <t>FTSC</t>
        </is>
      </c>
      <c r="B322" s="10">
        <f>IF(A322="","",IFERROR(VLOOKUP(A322,Titres!$A$2:$B$400,2,FALSE),"Ticker inconnu"))</f>
        <v/>
      </c>
      <c r="C322" s="11" t="n">
        <v>2024</v>
      </c>
      <c r="D322" s="11" t="inlineStr">
        <is>
          <t>T3</t>
        </is>
      </c>
      <c r="E322" s="9" t="n"/>
      <c r="F322" s="12" t="n"/>
      <c r="G322" s="9" t="n"/>
      <c r="H322" s="13" t="n"/>
      <c r="I322" s="13" t="n"/>
      <c r="J322" s="13" t="n"/>
      <c r="K322" s="13" t="n"/>
      <c r="L322" s="13" t="n"/>
      <c r="M322" s="13" t="n"/>
      <c r="N322" s="14">
        <f>IF(A322="","",COUNT(H322:M322)/6)</f>
        <v/>
      </c>
      <c r="O322" s="15">
        <f>IF(COUNT(H322:M322)=0,"",IF(LEN(IF(COUNT(I322,J322)=2,IF(J322&gt;I322+1,"EBE &gt; VA ",""),"")&amp;IF(COUNT(H322,M322)=2,IF(ABS(M322)&gt;ABS(H322),"RN &gt; CA ",""),"")&amp;IF(COUNT(H322,K322)=2,IF(ABS(K322)&gt;ABS(H322),"RE &gt; CA ",""),""))=0,"OK",IF(COUNT(I322,J322)=2,IF(J322&gt;I322+1,"EBE &gt; VA ",""),"")&amp;IF(COUNT(H322,M322)=2,IF(ABS(M322)&gt;ABS(H322),"RN &gt; CA ",""),"")&amp;IF(COUNT(H322,K322)=2,IF(ABS(K322)&gt;ABS(H322),"RE &gt; CA ",""),"")))</f>
        <v/>
      </c>
    </row>
    <row r="323">
      <c r="A323" s="9" t="inlineStr">
        <is>
          <t>FTSC</t>
        </is>
      </c>
      <c r="B323" s="10">
        <f>IF(A323="","",IFERROR(VLOOKUP(A323,Titres!$A$2:$B$400,2,FALSE),"Ticker inconnu"))</f>
        <v/>
      </c>
      <c r="C323" s="11" t="n">
        <v>2025</v>
      </c>
      <c r="D323" s="11" t="inlineStr">
        <is>
          <t>T1</t>
        </is>
      </c>
      <c r="E323" s="9" t="n"/>
      <c r="F323" s="12" t="n"/>
      <c r="G323" s="9" t="n"/>
      <c r="H323" s="13" t="n"/>
      <c r="I323" s="13" t="n"/>
      <c r="J323" s="13" t="n"/>
      <c r="K323" s="13" t="n"/>
      <c r="L323" s="13" t="n"/>
      <c r="M323" s="13" t="n"/>
      <c r="N323" s="14">
        <f>IF(A323="","",COUNT(H323:M323)/6)</f>
        <v/>
      </c>
      <c r="O323" s="15">
        <f>IF(COUNT(H323:M323)=0,"",IF(LEN(IF(COUNT(I323,J323)=2,IF(J323&gt;I323+1,"EBE &gt; VA ",""),"")&amp;IF(COUNT(H323,M323)=2,IF(ABS(M323)&gt;ABS(H323),"RN &gt; CA ",""),"")&amp;IF(COUNT(H323,K323)=2,IF(ABS(K323)&gt;ABS(H323),"RE &gt; CA ",""),""))=0,"OK",IF(COUNT(I323,J323)=2,IF(J323&gt;I323+1,"EBE &gt; VA ",""),"")&amp;IF(COUNT(H323,M323)=2,IF(ABS(M323)&gt;ABS(H323),"RN &gt; CA ",""),"")&amp;IF(COUNT(H323,K323)=2,IF(ABS(K323)&gt;ABS(H323),"RE &gt; CA ",""),"")))</f>
        <v/>
      </c>
    </row>
    <row r="324">
      <c r="A324" s="9" t="inlineStr">
        <is>
          <t>FTSC</t>
        </is>
      </c>
      <c r="B324" s="10">
        <f>IF(A324="","",IFERROR(VLOOKUP(A324,Titres!$A$2:$B$400,2,FALSE),"Ticker inconnu"))</f>
        <v/>
      </c>
      <c r="C324" s="11" t="n">
        <v>2025</v>
      </c>
      <c r="D324" s="11" t="inlineStr">
        <is>
          <t>S1</t>
        </is>
      </c>
      <c r="E324" s="9" t="n"/>
      <c r="F324" s="12" t="n"/>
      <c r="G324" s="9" t="n"/>
      <c r="H324" s="13" t="n"/>
      <c r="I324" s="13" t="n"/>
      <c r="J324" s="13" t="n"/>
      <c r="K324" s="13" t="n"/>
      <c r="L324" s="13" t="n"/>
      <c r="M324" s="13" t="n"/>
      <c r="N324" s="14">
        <f>IF(A324="","",COUNT(H324:M324)/6)</f>
        <v/>
      </c>
      <c r="O324" s="15">
        <f>IF(COUNT(H324:M324)=0,"",IF(LEN(IF(COUNT(I324,J324)=2,IF(J324&gt;I324+1,"EBE &gt; VA ",""),"")&amp;IF(COUNT(H324,M324)=2,IF(ABS(M324)&gt;ABS(H324),"RN &gt; CA ",""),"")&amp;IF(COUNT(H324,K324)=2,IF(ABS(K324)&gt;ABS(H324),"RE &gt; CA ",""),""))=0,"OK",IF(COUNT(I324,J324)=2,IF(J324&gt;I324+1,"EBE &gt; VA ",""),"")&amp;IF(COUNT(H324,M324)=2,IF(ABS(M324)&gt;ABS(H324),"RN &gt; CA ",""),"")&amp;IF(COUNT(H324,K324)=2,IF(ABS(K324)&gt;ABS(H324),"RE &gt; CA ",""),"")))</f>
        <v/>
      </c>
    </row>
    <row r="325">
      <c r="A325" s="9" t="inlineStr">
        <is>
          <t>FTSC</t>
        </is>
      </c>
      <c r="B325" s="10">
        <f>IF(A325="","",IFERROR(VLOOKUP(A325,Titres!$A$2:$B$400,2,FALSE),"Ticker inconnu"))</f>
        <v/>
      </c>
      <c r="C325" s="11" t="n">
        <v>2025</v>
      </c>
      <c r="D325" s="11" t="inlineStr">
        <is>
          <t>T3</t>
        </is>
      </c>
      <c r="E325" s="9" t="n"/>
      <c r="F325" s="12" t="n"/>
      <c r="G325" s="9" t="n"/>
      <c r="H325" s="13" t="n"/>
      <c r="I325" s="13" t="n"/>
      <c r="J325" s="13" t="n"/>
      <c r="K325" s="13" t="n"/>
      <c r="L325" s="13" t="n"/>
      <c r="M325" s="13" t="n"/>
      <c r="N325" s="14">
        <f>IF(A325="","",COUNT(H325:M325)/6)</f>
        <v/>
      </c>
      <c r="O325" s="15">
        <f>IF(COUNT(H325:M325)=0,"",IF(LEN(IF(COUNT(I325,J325)=2,IF(J325&gt;I325+1,"EBE &gt; VA ",""),"")&amp;IF(COUNT(H325,M325)=2,IF(ABS(M325)&gt;ABS(H325),"RN &gt; CA ",""),"")&amp;IF(COUNT(H325,K325)=2,IF(ABS(K325)&gt;ABS(H325),"RE &gt; CA ",""),""))=0,"OK",IF(COUNT(I325,J325)=2,IF(J325&gt;I325+1,"EBE &gt; VA ",""),"")&amp;IF(COUNT(H325,M325)=2,IF(ABS(M325)&gt;ABS(H325),"RN &gt; CA ",""),"")&amp;IF(COUNT(H325,K325)=2,IF(ABS(K325)&gt;ABS(H325),"RE &gt; CA ",""),"")))</f>
        <v/>
      </c>
    </row>
    <row r="326">
      <c r="A326" s="9" t="inlineStr">
        <is>
          <t>FTSC</t>
        </is>
      </c>
      <c r="B326" s="10">
        <f>IF(A326="","",IFERROR(VLOOKUP(A326,Titres!$A$2:$B$400,2,FALSE),"Ticker inconnu"))</f>
        <v/>
      </c>
      <c r="C326" s="11" t="n">
        <v>2026</v>
      </c>
      <c r="D326" s="11" t="inlineStr">
        <is>
          <t>T1</t>
        </is>
      </c>
      <c r="E326" s="9" t="n"/>
      <c r="F326" s="12" t="n"/>
      <c r="G326" s="9" t="n"/>
      <c r="H326" s="13" t="n"/>
      <c r="I326" s="13" t="n"/>
      <c r="J326" s="13" t="n"/>
      <c r="K326" s="13" t="n"/>
      <c r="L326" s="13" t="n"/>
      <c r="M326" s="13" t="n"/>
      <c r="N326" s="14">
        <f>IF(A326="","",COUNT(H326:M326)/6)</f>
        <v/>
      </c>
      <c r="O326" s="15">
        <f>IF(COUNT(H326:M326)=0,"",IF(LEN(IF(COUNT(I326,J326)=2,IF(J326&gt;I326+1,"EBE &gt; VA ",""),"")&amp;IF(COUNT(H326,M326)=2,IF(ABS(M326)&gt;ABS(H326),"RN &gt; CA ",""),"")&amp;IF(COUNT(H326,K326)=2,IF(ABS(K326)&gt;ABS(H326),"RE &gt; CA ",""),""))=0,"OK",IF(COUNT(I326,J326)=2,IF(J326&gt;I326+1,"EBE &gt; VA ",""),"")&amp;IF(COUNT(H326,M326)=2,IF(ABS(M326)&gt;ABS(H326),"RN &gt; CA ",""),"")&amp;IF(COUNT(H326,K326)=2,IF(ABS(K326)&gt;ABS(H326),"RE &gt; CA ",""),"")))</f>
        <v/>
      </c>
    </row>
    <row r="327">
      <c r="A327" s="9" t="inlineStr">
        <is>
          <t>FTSC</t>
        </is>
      </c>
      <c r="B327" s="10">
        <f>IF(A327="","",IFERROR(VLOOKUP(A327,Titres!$A$2:$B$400,2,FALSE),"Ticker inconnu"))</f>
        <v/>
      </c>
      <c r="C327" s="11" t="n">
        <v>2026</v>
      </c>
      <c r="D327" s="11" t="inlineStr">
        <is>
          <t>S1</t>
        </is>
      </c>
      <c r="E327" s="9" t="n"/>
      <c r="F327" s="12" t="n"/>
      <c r="G327" s="9" t="n"/>
      <c r="H327" s="13" t="n"/>
      <c r="I327" s="13" t="n"/>
      <c r="J327" s="13" t="n"/>
      <c r="K327" s="13" t="n"/>
      <c r="L327" s="13" t="n"/>
      <c r="M327" s="13" t="n"/>
      <c r="N327" s="14">
        <f>IF(A327="","",COUNT(H327:M327)/6)</f>
        <v/>
      </c>
      <c r="O327" s="15">
        <f>IF(COUNT(H327:M327)=0,"",IF(LEN(IF(COUNT(I327,J327)=2,IF(J327&gt;I327+1,"EBE &gt; VA ",""),"")&amp;IF(COUNT(H327,M327)=2,IF(ABS(M327)&gt;ABS(H327),"RN &gt; CA ",""),"")&amp;IF(COUNT(H327,K327)=2,IF(ABS(K327)&gt;ABS(H327),"RE &gt; CA ",""),""))=0,"OK",IF(COUNT(I327,J327)=2,IF(J327&gt;I327+1,"EBE &gt; VA ",""),"")&amp;IF(COUNT(H327,M327)=2,IF(ABS(M327)&gt;ABS(H327),"RN &gt; CA ",""),"")&amp;IF(COUNT(H327,K327)=2,IF(ABS(K327)&gt;ABS(H327),"RE &gt; CA ",""),"")))</f>
        <v/>
      </c>
    </row>
    <row r="328">
      <c r="A328" s="9" t="inlineStr">
        <is>
          <t>FTSC</t>
        </is>
      </c>
      <c r="B328" s="10">
        <f>IF(A328="","",IFERROR(VLOOKUP(A328,Titres!$A$2:$B$400,2,FALSE),"Ticker inconnu"))</f>
        <v/>
      </c>
      <c r="C328" s="11" t="n">
        <v>2026</v>
      </c>
      <c r="D328" s="11" t="inlineStr">
        <is>
          <t>T3</t>
        </is>
      </c>
      <c r="E328" s="9" t="n"/>
      <c r="F328" s="12" t="n"/>
      <c r="G328" s="9" t="n"/>
      <c r="H328" s="13" t="n"/>
      <c r="I328" s="13" t="n"/>
      <c r="J328" s="13" t="n"/>
      <c r="K328" s="13" t="n"/>
      <c r="L328" s="13" t="n"/>
      <c r="M328" s="13" t="n"/>
      <c r="N328" s="14">
        <f>IF(A328="","",COUNT(H328:M328)/6)</f>
        <v/>
      </c>
      <c r="O328" s="15">
        <f>IF(COUNT(H328:M328)=0,"",IF(LEN(IF(COUNT(I328,J328)=2,IF(J328&gt;I328+1,"EBE &gt; VA ",""),"")&amp;IF(COUNT(H328,M328)=2,IF(ABS(M328)&gt;ABS(H328),"RN &gt; CA ",""),"")&amp;IF(COUNT(H328,K328)=2,IF(ABS(K328)&gt;ABS(H328),"RE &gt; CA ",""),""))=0,"OK",IF(COUNT(I328,J328)=2,IF(J328&gt;I328+1,"EBE &gt; VA ",""),"")&amp;IF(COUNT(H328,M328)=2,IF(ABS(M328)&gt;ABS(H328),"RN &gt; CA ",""),"")&amp;IF(COUNT(H328,K328)=2,IF(ABS(K328)&gt;ABS(H328),"RE &gt; CA ",""),"")))</f>
        <v/>
      </c>
    </row>
    <row r="329">
      <c r="A329" s="9" t="inlineStr">
        <is>
          <t>SDSC</t>
        </is>
      </c>
      <c r="B329" s="10">
        <f>IF(A329="","",IFERROR(VLOOKUP(A329,Titres!$A$2:$B$400,2,FALSE),"Ticker inconnu"))</f>
        <v/>
      </c>
      <c r="C329" s="11" t="n">
        <v>2021</v>
      </c>
      <c r="D329" s="11" t="inlineStr">
        <is>
          <t>T1</t>
        </is>
      </c>
      <c r="E329" s="9" t="n"/>
      <c r="F329" s="12" t="n"/>
      <c r="G329" s="9" t="n"/>
      <c r="H329" s="13" t="n"/>
      <c r="I329" s="13" t="n"/>
      <c r="J329" s="13" t="n"/>
      <c r="K329" s="13" t="n"/>
      <c r="L329" s="13" t="n"/>
      <c r="M329" s="13" t="n"/>
      <c r="N329" s="14">
        <f>IF(A329="","",COUNT(H329:M329)/6)</f>
        <v/>
      </c>
      <c r="O329" s="15">
        <f>IF(COUNT(H329:M329)=0,"",IF(LEN(IF(COUNT(I329,J329)=2,IF(J329&gt;I329+1,"EBE &gt; VA ",""),"")&amp;IF(COUNT(H329,M329)=2,IF(ABS(M329)&gt;ABS(H329),"RN &gt; CA ",""),"")&amp;IF(COUNT(H329,K329)=2,IF(ABS(K329)&gt;ABS(H329),"RE &gt; CA ",""),""))=0,"OK",IF(COUNT(I329,J329)=2,IF(J329&gt;I329+1,"EBE &gt; VA ",""),"")&amp;IF(COUNT(H329,M329)=2,IF(ABS(M329)&gt;ABS(H329),"RN &gt; CA ",""),"")&amp;IF(COUNT(H329,K329)=2,IF(ABS(K329)&gt;ABS(H329),"RE &gt; CA ",""),"")))</f>
        <v/>
      </c>
    </row>
    <row r="330">
      <c r="A330" s="9" t="inlineStr">
        <is>
          <t>SDSC</t>
        </is>
      </c>
      <c r="B330" s="10">
        <f>IF(A330="","",IFERROR(VLOOKUP(A330,Titres!$A$2:$B$400,2,FALSE),"Ticker inconnu"))</f>
        <v/>
      </c>
      <c r="C330" s="11" t="n">
        <v>2021</v>
      </c>
      <c r="D330" s="11" t="inlineStr">
        <is>
          <t>S1</t>
        </is>
      </c>
      <c r="E330" s="9" t="n"/>
      <c r="F330" s="12" t="n"/>
      <c r="G330" s="9" t="n"/>
      <c r="H330" s="13" t="n"/>
      <c r="I330" s="13" t="n"/>
      <c r="J330" s="13" t="n"/>
      <c r="K330" s="13" t="n"/>
      <c r="L330" s="13" t="n"/>
      <c r="M330" s="13" t="n"/>
      <c r="N330" s="14">
        <f>IF(A330="","",COUNT(H330:M330)/6)</f>
        <v/>
      </c>
      <c r="O330" s="15">
        <f>IF(COUNT(H330:M330)=0,"",IF(LEN(IF(COUNT(I330,J330)=2,IF(J330&gt;I330+1,"EBE &gt; VA ",""),"")&amp;IF(COUNT(H330,M330)=2,IF(ABS(M330)&gt;ABS(H330),"RN &gt; CA ",""),"")&amp;IF(COUNT(H330,K330)=2,IF(ABS(K330)&gt;ABS(H330),"RE &gt; CA ",""),""))=0,"OK",IF(COUNT(I330,J330)=2,IF(J330&gt;I330+1,"EBE &gt; VA ",""),"")&amp;IF(COUNT(H330,M330)=2,IF(ABS(M330)&gt;ABS(H330),"RN &gt; CA ",""),"")&amp;IF(COUNT(H330,K330)=2,IF(ABS(K330)&gt;ABS(H330),"RE &gt; CA ",""),"")))</f>
        <v/>
      </c>
    </row>
    <row r="331">
      <c r="A331" s="9" t="inlineStr">
        <is>
          <t>SDSC</t>
        </is>
      </c>
      <c r="B331" s="10">
        <f>IF(A331="","",IFERROR(VLOOKUP(A331,Titres!$A$2:$B$400,2,FALSE),"Ticker inconnu"))</f>
        <v/>
      </c>
      <c r="C331" s="11" t="n">
        <v>2021</v>
      </c>
      <c r="D331" s="11" t="inlineStr">
        <is>
          <t>T3</t>
        </is>
      </c>
      <c r="E331" s="9" t="n"/>
      <c r="F331" s="12" t="n"/>
      <c r="G331" s="9" t="n"/>
      <c r="H331" s="13" t="n"/>
      <c r="I331" s="13" t="n"/>
      <c r="J331" s="13" t="n"/>
      <c r="K331" s="13" t="n"/>
      <c r="L331" s="13" t="n"/>
      <c r="M331" s="13" t="n"/>
      <c r="N331" s="14">
        <f>IF(A331="","",COUNT(H331:M331)/6)</f>
        <v/>
      </c>
      <c r="O331" s="15">
        <f>IF(COUNT(H331:M331)=0,"",IF(LEN(IF(COUNT(I331,J331)=2,IF(J331&gt;I331+1,"EBE &gt; VA ",""),"")&amp;IF(COUNT(H331,M331)=2,IF(ABS(M331)&gt;ABS(H331),"RN &gt; CA ",""),"")&amp;IF(COUNT(H331,K331)=2,IF(ABS(K331)&gt;ABS(H331),"RE &gt; CA ",""),""))=0,"OK",IF(COUNT(I331,J331)=2,IF(J331&gt;I331+1,"EBE &gt; VA ",""),"")&amp;IF(COUNT(H331,M331)=2,IF(ABS(M331)&gt;ABS(H331),"RN &gt; CA ",""),"")&amp;IF(COUNT(H331,K331)=2,IF(ABS(K331)&gt;ABS(H331),"RE &gt; CA ",""),"")))</f>
        <v/>
      </c>
    </row>
    <row r="332">
      <c r="A332" s="9" t="inlineStr">
        <is>
          <t>SDSC</t>
        </is>
      </c>
      <c r="B332" s="10">
        <f>IF(A332="","",IFERROR(VLOOKUP(A332,Titres!$A$2:$B$400,2,FALSE),"Ticker inconnu"))</f>
        <v/>
      </c>
      <c r="C332" s="11" t="n">
        <v>2022</v>
      </c>
      <c r="D332" s="11" t="inlineStr">
        <is>
          <t>T1</t>
        </is>
      </c>
      <c r="E332" s="9" t="n"/>
      <c r="F332" s="12" t="n"/>
      <c r="G332" s="9" t="n"/>
      <c r="H332" s="13" t="n"/>
      <c r="I332" s="13" t="n"/>
      <c r="J332" s="13" t="n"/>
      <c r="K332" s="13" t="n"/>
      <c r="L332" s="13" t="n"/>
      <c r="M332" s="13" t="n"/>
      <c r="N332" s="14">
        <f>IF(A332="","",COUNT(H332:M332)/6)</f>
        <v/>
      </c>
      <c r="O332" s="15">
        <f>IF(COUNT(H332:M332)=0,"",IF(LEN(IF(COUNT(I332,J332)=2,IF(J332&gt;I332+1,"EBE &gt; VA ",""),"")&amp;IF(COUNT(H332,M332)=2,IF(ABS(M332)&gt;ABS(H332),"RN &gt; CA ",""),"")&amp;IF(COUNT(H332,K332)=2,IF(ABS(K332)&gt;ABS(H332),"RE &gt; CA ",""),""))=0,"OK",IF(COUNT(I332,J332)=2,IF(J332&gt;I332+1,"EBE &gt; VA ",""),"")&amp;IF(COUNT(H332,M332)=2,IF(ABS(M332)&gt;ABS(H332),"RN &gt; CA ",""),"")&amp;IF(COUNT(H332,K332)=2,IF(ABS(K332)&gt;ABS(H332),"RE &gt; CA ",""),"")))</f>
        <v/>
      </c>
    </row>
    <row r="333">
      <c r="A333" s="9" t="inlineStr">
        <is>
          <t>SDSC</t>
        </is>
      </c>
      <c r="B333" s="10">
        <f>IF(A333="","",IFERROR(VLOOKUP(A333,Titres!$A$2:$B$400,2,FALSE),"Ticker inconnu"))</f>
        <v/>
      </c>
      <c r="C333" s="11" t="n">
        <v>2022</v>
      </c>
      <c r="D333" s="11" t="inlineStr">
        <is>
          <t>S1</t>
        </is>
      </c>
      <c r="E333" s="9" t="n"/>
      <c r="F333" s="12" t="n"/>
      <c r="G333" s="9" t="n"/>
      <c r="H333" s="13" t="n"/>
      <c r="I333" s="13" t="n"/>
      <c r="J333" s="13" t="n"/>
      <c r="K333" s="13" t="n"/>
      <c r="L333" s="13" t="n"/>
      <c r="M333" s="13" t="n"/>
      <c r="N333" s="14">
        <f>IF(A333="","",COUNT(H333:M333)/6)</f>
        <v/>
      </c>
      <c r="O333" s="15">
        <f>IF(COUNT(H333:M333)=0,"",IF(LEN(IF(COUNT(I333,J333)=2,IF(J333&gt;I333+1,"EBE &gt; VA ",""),"")&amp;IF(COUNT(H333,M333)=2,IF(ABS(M333)&gt;ABS(H333),"RN &gt; CA ",""),"")&amp;IF(COUNT(H333,K333)=2,IF(ABS(K333)&gt;ABS(H333),"RE &gt; CA ",""),""))=0,"OK",IF(COUNT(I333,J333)=2,IF(J333&gt;I333+1,"EBE &gt; VA ",""),"")&amp;IF(COUNT(H333,M333)=2,IF(ABS(M333)&gt;ABS(H333),"RN &gt; CA ",""),"")&amp;IF(COUNT(H333,K333)=2,IF(ABS(K333)&gt;ABS(H333),"RE &gt; CA ",""),"")))</f>
        <v/>
      </c>
    </row>
    <row r="334">
      <c r="A334" s="9" t="inlineStr">
        <is>
          <t>SDSC</t>
        </is>
      </c>
      <c r="B334" s="10">
        <f>IF(A334="","",IFERROR(VLOOKUP(A334,Titres!$A$2:$B$400,2,FALSE),"Ticker inconnu"))</f>
        <v/>
      </c>
      <c r="C334" s="11" t="n">
        <v>2022</v>
      </c>
      <c r="D334" s="11" t="inlineStr">
        <is>
          <t>T3</t>
        </is>
      </c>
      <c r="E334" s="9" t="n"/>
      <c r="F334" s="12" t="n"/>
      <c r="G334" s="9" t="n"/>
      <c r="H334" s="13" t="n"/>
      <c r="I334" s="13" t="n"/>
      <c r="J334" s="13" t="n"/>
      <c r="K334" s="13" t="n"/>
      <c r="L334" s="13" t="n"/>
      <c r="M334" s="13" t="n"/>
      <c r="N334" s="14">
        <f>IF(A334="","",COUNT(H334:M334)/6)</f>
        <v/>
      </c>
      <c r="O334" s="15">
        <f>IF(COUNT(H334:M334)=0,"",IF(LEN(IF(COUNT(I334,J334)=2,IF(J334&gt;I334+1,"EBE &gt; VA ",""),"")&amp;IF(COUNT(H334,M334)=2,IF(ABS(M334)&gt;ABS(H334),"RN &gt; CA ",""),"")&amp;IF(COUNT(H334,K334)=2,IF(ABS(K334)&gt;ABS(H334),"RE &gt; CA ",""),""))=0,"OK",IF(COUNT(I334,J334)=2,IF(J334&gt;I334+1,"EBE &gt; VA ",""),"")&amp;IF(COUNT(H334,M334)=2,IF(ABS(M334)&gt;ABS(H334),"RN &gt; CA ",""),"")&amp;IF(COUNT(H334,K334)=2,IF(ABS(K334)&gt;ABS(H334),"RE &gt; CA ",""),"")))</f>
        <v/>
      </c>
    </row>
    <row r="335">
      <c r="A335" s="9" t="inlineStr">
        <is>
          <t>SDSC</t>
        </is>
      </c>
      <c r="B335" s="10">
        <f>IF(A335="","",IFERROR(VLOOKUP(A335,Titres!$A$2:$B$400,2,FALSE),"Ticker inconnu"))</f>
        <v/>
      </c>
      <c r="C335" s="11" t="n">
        <v>2023</v>
      </c>
      <c r="D335" s="11" t="inlineStr">
        <is>
          <t>T1</t>
        </is>
      </c>
      <c r="E335" s="9" t="n"/>
      <c r="F335" s="12" t="n"/>
      <c r="G335" s="9" t="n"/>
      <c r="H335" s="13" t="n"/>
      <c r="I335" s="13" t="n"/>
      <c r="J335" s="13" t="n"/>
      <c r="K335" s="13" t="n"/>
      <c r="L335" s="13" t="n"/>
      <c r="M335" s="13" t="n"/>
      <c r="N335" s="14">
        <f>IF(A335="","",COUNT(H335:M335)/6)</f>
        <v/>
      </c>
      <c r="O335" s="15">
        <f>IF(COUNT(H335:M335)=0,"",IF(LEN(IF(COUNT(I335,J335)=2,IF(J335&gt;I335+1,"EBE &gt; VA ",""),"")&amp;IF(COUNT(H335,M335)=2,IF(ABS(M335)&gt;ABS(H335),"RN &gt; CA ",""),"")&amp;IF(COUNT(H335,K335)=2,IF(ABS(K335)&gt;ABS(H335),"RE &gt; CA ",""),""))=0,"OK",IF(COUNT(I335,J335)=2,IF(J335&gt;I335+1,"EBE &gt; VA ",""),"")&amp;IF(COUNT(H335,M335)=2,IF(ABS(M335)&gt;ABS(H335),"RN &gt; CA ",""),"")&amp;IF(COUNT(H335,K335)=2,IF(ABS(K335)&gt;ABS(H335),"RE &gt; CA ",""),"")))</f>
        <v/>
      </c>
    </row>
    <row r="336">
      <c r="A336" s="9" t="inlineStr">
        <is>
          <t>SDSC</t>
        </is>
      </c>
      <c r="B336" s="10">
        <f>IF(A336="","",IFERROR(VLOOKUP(A336,Titres!$A$2:$B$400,2,FALSE),"Ticker inconnu"))</f>
        <v/>
      </c>
      <c r="C336" s="11" t="n">
        <v>2023</v>
      </c>
      <c r="D336" s="11" t="inlineStr">
        <is>
          <t>S1</t>
        </is>
      </c>
      <c r="E336" s="9" t="n"/>
      <c r="F336" s="12" t="n"/>
      <c r="G336" s="9" t="n"/>
      <c r="H336" s="13" t="n"/>
      <c r="I336" s="13" t="n"/>
      <c r="J336" s="13" t="n"/>
      <c r="K336" s="13" t="n"/>
      <c r="L336" s="13" t="n"/>
      <c r="M336" s="13" t="n"/>
      <c r="N336" s="14">
        <f>IF(A336="","",COUNT(H336:M336)/6)</f>
        <v/>
      </c>
      <c r="O336" s="15">
        <f>IF(COUNT(H336:M336)=0,"",IF(LEN(IF(COUNT(I336,J336)=2,IF(J336&gt;I336+1,"EBE &gt; VA ",""),"")&amp;IF(COUNT(H336,M336)=2,IF(ABS(M336)&gt;ABS(H336),"RN &gt; CA ",""),"")&amp;IF(COUNT(H336,K336)=2,IF(ABS(K336)&gt;ABS(H336),"RE &gt; CA ",""),""))=0,"OK",IF(COUNT(I336,J336)=2,IF(J336&gt;I336+1,"EBE &gt; VA ",""),"")&amp;IF(COUNT(H336,M336)=2,IF(ABS(M336)&gt;ABS(H336),"RN &gt; CA ",""),"")&amp;IF(COUNT(H336,K336)=2,IF(ABS(K336)&gt;ABS(H336),"RE &gt; CA ",""),"")))</f>
        <v/>
      </c>
    </row>
    <row r="337">
      <c r="A337" s="9" t="inlineStr">
        <is>
          <t>SDSC</t>
        </is>
      </c>
      <c r="B337" s="10">
        <f>IF(A337="","",IFERROR(VLOOKUP(A337,Titres!$A$2:$B$400,2,FALSE),"Ticker inconnu"))</f>
        <v/>
      </c>
      <c r="C337" s="11" t="n">
        <v>2023</v>
      </c>
      <c r="D337" s="11" t="inlineStr">
        <is>
          <t>T3</t>
        </is>
      </c>
      <c r="E337" s="9" t="n"/>
      <c r="F337" s="12" t="n"/>
      <c r="G337" s="9" t="n"/>
      <c r="H337" s="13" t="n"/>
      <c r="I337" s="13" t="n"/>
      <c r="J337" s="13" t="n"/>
      <c r="K337" s="13" t="n"/>
      <c r="L337" s="13" t="n"/>
      <c r="M337" s="13" t="n"/>
      <c r="N337" s="14">
        <f>IF(A337="","",COUNT(H337:M337)/6)</f>
        <v/>
      </c>
      <c r="O337" s="15">
        <f>IF(COUNT(H337:M337)=0,"",IF(LEN(IF(COUNT(I337,J337)=2,IF(J337&gt;I337+1,"EBE &gt; VA ",""),"")&amp;IF(COUNT(H337,M337)=2,IF(ABS(M337)&gt;ABS(H337),"RN &gt; CA ",""),"")&amp;IF(COUNT(H337,K337)=2,IF(ABS(K337)&gt;ABS(H337),"RE &gt; CA ",""),""))=0,"OK",IF(COUNT(I337,J337)=2,IF(J337&gt;I337+1,"EBE &gt; VA ",""),"")&amp;IF(COUNT(H337,M337)=2,IF(ABS(M337)&gt;ABS(H337),"RN &gt; CA ",""),"")&amp;IF(COUNT(H337,K337)=2,IF(ABS(K337)&gt;ABS(H337),"RE &gt; CA ",""),"")))</f>
        <v/>
      </c>
    </row>
    <row r="338">
      <c r="A338" s="9" t="inlineStr">
        <is>
          <t>SDSC</t>
        </is>
      </c>
      <c r="B338" s="10">
        <f>IF(A338="","",IFERROR(VLOOKUP(A338,Titres!$A$2:$B$400,2,FALSE),"Ticker inconnu"))</f>
        <v/>
      </c>
      <c r="C338" s="11" t="n">
        <v>2024</v>
      </c>
      <c r="D338" s="11" t="inlineStr">
        <is>
          <t>T1</t>
        </is>
      </c>
      <c r="E338" s="9" t="n"/>
      <c r="F338" s="12" t="n"/>
      <c r="G338" s="9" t="n"/>
      <c r="H338" s="13" t="n"/>
      <c r="I338" s="13" t="n"/>
      <c r="J338" s="13" t="n"/>
      <c r="K338" s="13" t="n"/>
      <c r="L338" s="13" t="n"/>
      <c r="M338" s="13" t="n"/>
      <c r="N338" s="14">
        <f>IF(A338="","",COUNT(H338:M338)/6)</f>
        <v/>
      </c>
      <c r="O338" s="15">
        <f>IF(COUNT(H338:M338)=0,"",IF(LEN(IF(COUNT(I338,J338)=2,IF(J338&gt;I338+1,"EBE &gt; VA ",""),"")&amp;IF(COUNT(H338,M338)=2,IF(ABS(M338)&gt;ABS(H338),"RN &gt; CA ",""),"")&amp;IF(COUNT(H338,K338)=2,IF(ABS(K338)&gt;ABS(H338),"RE &gt; CA ",""),""))=0,"OK",IF(COUNT(I338,J338)=2,IF(J338&gt;I338+1,"EBE &gt; VA ",""),"")&amp;IF(COUNT(H338,M338)=2,IF(ABS(M338)&gt;ABS(H338),"RN &gt; CA ",""),"")&amp;IF(COUNT(H338,K338)=2,IF(ABS(K338)&gt;ABS(H338),"RE &gt; CA ",""),"")))</f>
        <v/>
      </c>
    </row>
    <row r="339">
      <c r="A339" s="9" t="inlineStr">
        <is>
          <t>SDSC</t>
        </is>
      </c>
      <c r="B339" s="10">
        <f>IF(A339="","",IFERROR(VLOOKUP(A339,Titres!$A$2:$B$400,2,FALSE),"Ticker inconnu"))</f>
        <v/>
      </c>
      <c r="C339" s="11" t="n">
        <v>2024</v>
      </c>
      <c r="D339" s="11" t="inlineStr">
        <is>
          <t>S1</t>
        </is>
      </c>
      <c r="E339" s="9" t="n"/>
      <c r="F339" s="12" t="n"/>
      <c r="G339" s="9" t="n"/>
      <c r="H339" s="13" t="n"/>
      <c r="I339" s="13" t="n"/>
      <c r="J339" s="13" t="n"/>
      <c r="K339" s="13" t="n"/>
      <c r="L339" s="13" t="n"/>
      <c r="M339" s="13" t="n"/>
      <c r="N339" s="14">
        <f>IF(A339="","",COUNT(H339:M339)/6)</f>
        <v/>
      </c>
      <c r="O339" s="15">
        <f>IF(COUNT(H339:M339)=0,"",IF(LEN(IF(COUNT(I339,J339)=2,IF(J339&gt;I339+1,"EBE &gt; VA ",""),"")&amp;IF(COUNT(H339,M339)=2,IF(ABS(M339)&gt;ABS(H339),"RN &gt; CA ",""),"")&amp;IF(COUNT(H339,K339)=2,IF(ABS(K339)&gt;ABS(H339),"RE &gt; CA ",""),""))=0,"OK",IF(COUNT(I339,J339)=2,IF(J339&gt;I339+1,"EBE &gt; VA ",""),"")&amp;IF(COUNT(H339,M339)=2,IF(ABS(M339)&gt;ABS(H339),"RN &gt; CA ",""),"")&amp;IF(COUNT(H339,K339)=2,IF(ABS(K339)&gt;ABS(H339),"RE &gt; CA ",""),"")))</f>
        <v/>
      </c>
    </row>
    <row r="340">
      <c r="A340" s="9" t="inlineStr">
        <is>
          <t>SDSC</t>
        </is>
      </c>
      <c r="B340" s="10">
        <f>IF(A340="","",IFERROR(VLOOKUP(A340,Titres!$A$2:$B$400,2,FALSE),"Ticker inconnu"))</f>
        <v/>
      </c>
      <c r="C340" s="11" t="n">
        <v>2024</v>
      </c>
      <c r="D340" s="11" t="inlineStr">
        <is>
          <t>T3</t>
        </is>
      </c>
      <c r="E340" s="9" t="n"/>
      <c r="F340" s="12" t="n"/>
      <c r="G340" s="9" t="n"/>
      <c r="H340" s="13" t="n"/>
      <c r="I340" s="13" t="n"/>
      <c r="J340" s="13" t="n"/>
      <c r="K340" s="13" t="n"/>
      <c r="L340" s="13" t="n"/>
      <c r="M340" s="13" t="n"/>
      <c r="N340" s="14">
        <f>IF(A340="","",COUNT(H340:M340)/6)</f>
        <v/>
      </c>
      <c r="O340" s="15">
        <f>IF(COUNT(H340:M340)=0,"",IF(LEN(IF(COUNT(I340,J340)=2,IF(J340&gt;I340+1,"EBE &gt; VA ",""),"")&amp;IF(COUNT(H340,M340)=2,IF(ABS(M340)&gt;ABS(H340),"RN &gt; CA ",""),"")&amp;IF(COUNT(H340,K340)=2,IF(ABS(K340)&gt;ABS(H340),"RE &gt; CA ",""),""))=0,"OK",IF(COUNT(I340,J340)=2,IF(J340&gt;I340+1,"EBE &gt; VA ",""),"")&amp;IF(COUNT(H340,M340)=2,IF(ABS(M340)&gt;ABS(H340),"RN &gt; CA ",""),"")&amp;IF(COUNT(H340,K340)=2,IF(ABS(K340)&gt;ABS(H340),"RE &gt; CA ",""),"")))</f>
        <v/>
      </c>
    </row>
    <row r="341">
      <c r="A341" s="9" t="inlineStr">
        <is>
          <t>SDSC</t>
        </is>
      </c>
      <c r="B341" s="10">
        <f>IF(A341="","",IFERROR(VLOOKUP(A341,Titres!$A$2:$B$400,2,FALSE),"Ticker inconnu"))</f>
        <v/>
      </c>
      <c r="C341" s="11" t="n">
        <v>2025</v>
      </c>
      <c r="D341" s="11" t="inlineStr">
        <is>
          <t>T1</t>
        </is>
      </c>
      <c r="E341" s="9" t="n"/>
      <c r="F341" s="12" t="n"/>
      <c r="G341" s="9" t="n"/>
      <c r="H341" s="13" t="n"/>
      <c r="I341" s="13" t="n"/>
      <c r="J341" s="13" t="n"/>
      <c r="K341" s="13" t="n"/>
      <c r="L341" s="13" t="n"/>
      <c r="M341" s="13" t="n"/>
      <c r="N341" s="14">
        <f>IF(A341="","",COUNT(H341:M341)/6)</f>
        <v/>
      </c>
      <c r="O341" s="15">
        <f>IF(COUNT(H341:M341)=0,"",IF(LEN(IF(COUNT(I341,J341)=2,IF(J341&gt;I341+1,"EBE &gt; VA ",""),"")&amp;IF(COUNT(H341,M341)=2,IF(ABS(M341)&gt;ABS(H341),"RN &gt; CA ",""),"")&amp;IF(COUNT(H341,K341)=2,IF(ABS(K341)&gt;ABS(H341),"RE &gt; CA ",""),""))=0,"OK",IF(COUNT(I341,J341)=2,IF(J341&gt;I341+1,"EBE &gt; VA ",""),"")&amp;IF(COUNT(H341,M341)=2,IF(ABS(M341)&gt;ABS(H341),"RN &gt; CA ",""),"")&amp;IF(COUNT(H341,K341)=2,IF(ABS(K341)&gt;ABS(H341),"RE &gt; CA ",""),"")))</f>
        <v/>
      </c>
    </row>
    <row r="342">
      <c r="A342" s="9" t="inlineStr">
        <is>
          <t>SDSC</t>
        </is>
      </c>
      <c r="B342" s="10">
        <f>IF(A342="","",IFERROR(VLOOKUP(A342,Titres!$A$2:$B$400,2,FALSE),"Ticker inconnu"))</f>
        <v/>
      </c>
      <c r="C342" s="11" t="n">
        <v>2025</v>
      </c>
      <c r="D342" s="11" t="inlineStr">
        <is>
          <t>S1</t>
        </is>
      </c>
      <c r="E342" s="9" t="n"/>
      <c r="F342" s="12" t="n"/>
      <c r="G342" s="9" t="n"/>
      <c r="H342" s="13" t="n"/>
      <c r="I342" s="13" t="n"/>
      <c r="J342" s="13" t="n"/>
      <c r="K342" s="13" t="n"/>
      <c r="L342" s="13" t="n"/>
      <c r="M342" s="13" t="n"/>
      <c r="N342" s="14">
        <f>IF(A342="","",COUNT(H342:M342)/6)</f>
        <v/>
      </c>
      <c r="O342" s="15">
        <f>IF(COUNT(H342:M342)=0,"",IF(LEN(IF(COUNT(I342,J342)=2,IF(J342&gt;I342+1,"EBE &gt; VA ",""),"")&amp;IF(COUNT(H342,M342)=2,IF(ABS(M342)&gt;ABS(H342),"RN &gt; CA ",""),"")&amp;IF(COUNT(H342,K342)=2,IF(ABS(K342)&gt;ABS(H342),"RE &gt; CA ",""),""))=0,"OK",IF(COUNT(I342,J342)=2,IF(J342&gt;I342+1,"EBE &gt; VA ",""),"")&amp;IF(COUNT(H342,M342)=2,IF(ABS(M342)&gt;ABS(H342),"RN &gt; CA ",""),"")&amp;IF(COUNT(H342,K342)=2,IF(ABS(K342)&gt;ABS(H342),"RE &gt; CA ",""),"")))</f>
        <v/>
      </c>
    </row>
    <row r="343">
      <c r="A343" s="9" t="inlineStr">
        <is>
          <t>SDSC</t>
        </is>
      </c>
      <c r="B343" s="10">
        <f>IF(A343="","",IFERROR(VLOOKUP(A343,Titres!$A$2:$B$400,2,FALSE),"Ticker inconnu"))</f>
        <v/>
      </c>
      <c r="C343" s="11" t="n">
        <v>2025</v>
      </c>
      <c r="D343" s="11" t="inlineStr">
        <is>
          <t>T3</t>
        </is>
      </c>
      <c r="E343" s="9" t="n"/>
      <c r="F343" s="12" t="n"/>
      <c r="G343" s="9" t="n"/>
      <c r="H343" s="13" t="n"/>
      <c r="I343" s="13" t="n"/>
      <c r="J343" s="13" t="n"/>
      <c r="K343" s="13" t="n"/>
      <c r="L343" s="13" t="n"/>
      <c r="M343" s="13" t="n"/>
      <c r="N343" s="14">
        <f>IF(A343="","",COUNT(H343:M343)/6)</f>
        <v/>
      </c>
      <c r="O343" s="15">
        <f>IF(COUNT(H343:M343)=0,"",IF(LEN(IF(COUNT(I343,J343)=2,IF(J343&gt;I343+1,"EBE &gt; VA ",""),"")&amp;IF(COUNT(H343,M343)=2,IF(ABS(M343)&gt;ABS(H343),"RN &gt; CA ",""),"")&amp;IF(COUNT(H343,K343)=2,IF(ABS(K343)&gt;ABS(H343),"RE &gt; CA ",""),""))=0,"OK",IF(COUNT(I343,J343)=2,IF(J343&gt;I343+1,"EBE &gt; VA ",""),"")&amp;IF(COUNT(H343,M343)=2,IF(ABS(M343)&gt;ABS(H343),"RN &gt; CA ",""),"")&amp;IF(COUNT(H343,K343)=2,IF(ABS(K343)&gt;ABS(H343),"RE &gt; CA ",""),"")))</f>
        <v/>
      </c>
    </row>
    <row r="344">
      <c r="A344" s="9" t="inlineStr">
        <is>
          <t>SDSC</t>
        </is>
      </c>
      <c r="B344" s="10">
        <f>IF(A344="","",IFERROR(VLOOKUP(A344,Titres!$A$2:$B$400,2,FALSE),"Ticker inconnu"))</f>
        <v/>
      </c>
      <c r="C344" s="11" t="n">
        <v>2026</v>
      </c>
      <c r="D344" s="11" t="inlineStr">
        <is>
          <t>T1</t>
        </is>
      </c>
      <c r="E344" s="9" t="n"/>
      <c r="F344" s="12" t="n"/>
      <c r="G344" s="9" t="n"/>
      <c r="H344" s="13" t="n"/>
      <c r="I344" s="13" t="n"/>
      <c r="J344" s="13" t="n"/>
      <c r="K344" s="13" t="n"/>
      <c r="L344" s="13" t="n"/>
      <c r="M344" s="13" t="n"/>
      <c r="N344" s="14">
        <f>IF(A344="","",COUNT(H344:M344)/6)</f>
        <v/>
      </c>
      <c r="O344" s="15">
        <f>IF(COUNT(H344:M344)=0,"",IF(LEN(IF(COUNT(I344,J344)=2,IF(J344&gt;I344+1,"EBE &gt; VA ",""),"")&amp;IF(COUNT(H344,M344)=2,IF(ABS(M344)&gt;ABS(H344),"RN &gt; CA ",""),"")&amp;IF(COUNT(H344,K344)=2,IF(ABS(K344)&gt;ABS(H344),"RE &gt; CA ",""),""))=0,"OK",IF(COUNT(I344,J344)=2,IF(J344&gt;I344+1,"EBE &gt; VA ",""),"")&amp;IF(COUNT(H344,M344)=2,IF(ABS(M344)&gt;ABS(H344),"RN &gt; CA ",""),"")&amp;IF(COUNT(H344,K344)=2,IF(ABS(K344)&gt;ABS(H344),"RE &gt; CA ",""),"")))</f>
        <v/>
      </c>
    </row>
    <row r="345">
      <c r="A345" s="9" t="inlineStr">
        <is>
          <t>SDSC</t>
        </is>
      </c>
      <c r="B345" s="10">
        <f>IF(A345="","",IFERROR(VLOOKUP(A345,Titres!$A$2:$B$400,2,FALSE),"Ticker inconnu"))</f>
        <v/>
      </c>
      <c r="C345" s="11" t="n">
        <v>2026</v>
      </c>
      <c r="D345" s="11" t="inlineStr">
        <is>
          <t>S1</t>
        </is>
      </c>
      <c r="E345" s="9" t="n"/>
      <c r="F345" s="12" t="n"/>
      <c r="G345" s="9" t="n"/>
      <c r="H345" s="13" t="n"/>
      <c r="I345" s="13" t="n"/>
      <c r="J345" s="13" t="n"/>
      <c r="K345" s="13" t="n"/>
      <c r="L345" s="13" t="n"/>
      <c r="M345" s="13" t="n"/>
      <c r="N345" s="14">
        <f>IF(A345="","",COUNT(H345:M345)/6)</f>
        <v/>
      </c>
      <c r="O345" s="15">
        <f>IF(COUNT(H345:M345)=0,"",IF(LEN(IF(COUNT(I345,J345)=2,IF(J345&gt;I345+1,"EBE &gt; VA ",""),"")&amp;IF(COUNT(H345,M345)=2,IF(ABS(M345)&gt;ABS(H345),"RN &gt; CA ",""),"")&amp;IF(COUNT(H345,K345)=2,IF(ABS(K345)&gt;ABS(H345),"RE &gt; CA ",""),""))=0,"OK",IF(COUNT(I345,J345)=2,IF(J345&gt;I345+1,"EBE &gt; VA ",""),"")&amp;IF(COUNT(H345,M345)=2,IF(ABS(M345)&gt;ABS(H345),"RN &gt; CA ",""),"")&amp;IF(COUNT(H345,K345)=2,IF(ABS(K345)&gt;ABS(H345),"RE &gt; CA ",""),"")))</f>
        <v/>
      </c>
    </row>
    <row r="346">
      <c r="A346" s="9" t="inlineStr">
        <is>
          <t>SDSC</t>
        </is>
      </c>
      <c r="B346" s="10">
        <f>IF(A346="","",IFERROR(VLOOKUP(A346,Titres!$A$2:$B$400,2,FALSE),"Ticker inconnu"))</f>
        <v/>
      </c>
      <c r="C346" s="11" t="n">
        <v>2026</v>
      </c>
      <c r="D346" s="11" t="inlineStr">
        <is>
          <t>T3</t>
        </is>
      </c>
      <c r="E346" s="9" t="n"/>
      <c r="F346" s="12" t="n"/>
      <c r="G346" s="9" t="n"/>
      <c r="H346" s="13" t="n"/>
      <c r="I346" s="13" t="n"/>
      <c r="J346" s="13" t="n"/>
      <c r="K346" s="13" t="n"/>
      <c r="L346" s="13" t="n"/>
      <c r="M346" s="13" t="n"/>
      <c r="N346" s="14">
        <f>IF(A346="","",COUNT(H346:M346)/6)</f>
        <v/>
      </c>
      <c r="O346" s="15">
        <f>IF(COUNT(H346:M346)=0,"",IF(LEN(IF(COUNT(I346,J346)=2,IF(J346&gt;I346+1,"EBE &gt; VA ",""),"")&amp;IF(COUNT(H346,M346)=2,IF(ABS(M346)&gt;ABS(H346),"RN &gt; CA ",""),"")&amp;IF(COUNT(H346,K346)=2,IF(ABS(K346)&gt;ABS(H346),"RE &gt; CA ",""),""))=0,"OK",IF(COUNT(I346,J346)=2,IF(J346&gt;I346+1,"EBE &gt; VA ",""),"")&amp;IF(COUNT(H346,M346)=2,IF(ABS(M346)&gt;ABS(H346),"RN &gt; CA ",""),"")&amp;IF(COUNT(H346,K346)=2,IF(ABS(K346)&gt;ABS(H346),"RE &gt; CA ",""),"")))</f>
        <v/>
      </c>
    </row>
    <row r="347">
      <c r="A347" s="9" t="inlineStr">
        <is>
          <t>SEMC</t>
        </is>
      </c>
      <c r="B347" s="10">
        <f>IF(A347="","",IFERROR(VLOOKUP(A347,Titres!$A$2:$B$400,2,FALSE),"Ticker inconnu"))</f>
        <v/>
      </c>
      <c r="C347" s="11" t="n">
        <v>2021</v>
      </c>
      <c r="D347" s="11" t="inlineStr">
        <is>
          <t>T1</t>
        </is>
      </c>
      <c r="E347" s="9" t="n"/>
      <c r="F347" s="12" t="n"/>
      <c r="G347" s="9" t="n"/>
      <c r="H347" s="13" t="n"/>
      <c r="I347" s="13" t="n"/>
      <c r="J347" s="13" t="n"/>
      <c r="K347" s="13" t="n"/>
      <c r="L347" s="13" t="n"/>
      <c r="M347" s="13" t="n"/>
      <c r="N347" s="14">
        <f>IF(A347="","",COUNT(H347:M347)/6)</f>
        <v/>
      </c>
      <c r="O347" s="15">
        <f>IF(COUNT(H347:M347)=0,"",IF(LEN(IF(COUNT(I347,J347)=2,IF(J347&gt;I347+1,"EBE &gt; VA ",""),"")&amp;IF(COUNT(H347,M347)=2,IF(ABS(M347)&gt;ABS(H347),"RN &gt; CA ",""),"")&amp;IF(COUNT(H347,K347)=2,IF(ABS(K347)&gt;ABS(H347),"RE &gt; CA ",""),""))=0,"OK",IF(COUNT(I347,J347)=2,IF(J347&gt;I347+1,"EBE &gt; VA ",""),"")&amp;IF(COUNT(H347,M347)=2,IF(ABS(M347)&gt;ABS(H347),"RN &gt; CA ",""),"")&amp;IF(COUNT(H347,K347)=2,IF(ABS(K347)&gt;ABS(H347),"RE &gt; CA ",""),"")))</f>
        <v/>
      </c>
    </row>
    <row r="348">
      <c r="A348" s="9" t="inlineStr">
        <is>
          <t>SEMC</t>
        </is>
      </c>
      <c r="B348" s="10">
        <f>IF(A348="","",IFERROR(VLOOKUP(A348,Titres!$A$2:$B$400,2,FALSE),"Ticker inconnu"))</f>
        <v/>
      </c>
      <c r="C348" s="11" t="n">
        <v>2021</v>
      </c>
      <c r="D348" s="11" t="inlineStr">
        <is>
          <t>S1</t>
        </is>
      </c>
      <c r="E348" s="9" t="n"/>
      <c r="F348" s="12" t="n"/>
      <c r="G348" s="9" t="n"/>
      <c r="H348" s="13" t="n"/>
      <c r="I348" s="13" t="n"/>
      <c r="J348" s="13" t="n"/>
      <c r="K348" s="13" t="n"/>
      <c r="L348" s="13" t="n"/>
      <c r="M348" s="13" t="n"/>
      <c r="N348" s="14">
        <f>IF(A348="","",COUNT(H348:M348)/6)</f>
        <v/>
      </c>
      <c r="O348" s="15">
        <f>IF(COUNT(H348:M348)=0,"",IF(LEN(IF(COUNT(I348,J348)=2,IF(J348&gt;I348+1,"EBE &gt; VA ",""),"")&amp;IF(COUNT(H348,M348)=2,IF(ABS(M348)&gt;ABS(H348),"RN &gt; CA ",""),"")&amp;IF(COUNT(H348,K348)=2,IF(ABS(K348)&gt;ABS(H348),"RE &gt; CA ",""),""))=0,"OK",IF(COUNT(I348,J348)=2,IF(J348&gt;I348+1,"EBE &gt; VA ",""),"")&amp;IF(COUNT(H348,M348)=2,IF(ABS(M348)&gt;ABS(H348),"RN &gt; CA ",""),"")&amp;IF(COUNT(H348,K348)=2,IF(ABS(K348)&gt;ABS(H348),"RE &gt; CA ",""),"")))</f>
        <v/>
      </c>
    </row>
    <row r="349">
      <c r="A349" s="9" t="inlineStr">
        <is>
          <t>SEMC</t>
        </is>
      </c>
      <c r="B349" s="10">
        <f>IF(A349="","",IFERROR(VLOOKUP(A349,Titres!$A$2:$B$400,2,FALSE),"Ticker inconnu"))</f>
        <v/>
      </c>
      <c r="C349" s="11" t="n">
        <v>2021</v>
      </c>
      <c r="D349" s="11" t="inlineStr">
        <is>
          <t>T3</t>
        </is>
      </c>
      <c r="E349" s="9" t="n"/>
      <c r="F349" s="12" t="n"/>
      <c r="G349" s="9" t="n"/>
      <c r="H349" s="13" t="n"/>
      <c r="I349" s="13" t="n"/>
      <c r="J349" s="13" t="n"/>
      <c r="K349" s="13" t="n"/>
      <c r="L349" s="13" t="n"/>
      <c r="M349" s="13" t="n"/>
      <c r="N349" s="14">
        <f>IF(A349="","",COUNT(H349:M349)/6)</f>
        <v/>
      </c>
      <c r="O349" s="15">
        <f>IF(COUNT(H349:M349)=0,"",IF(LEN(IF(COUNT(I349,J349)=2,IF(J349&gt;I349+1,"EBE &gt; VA ",""),"")&amp;IF(COUNT(H349,M349)=2,IF(ABS(M349)&gt;ABS(H349),"RN &gt; CA ",""),"")&amp;IF(COUNT(H349,K349)=2,IF(ABS(K349)&gt;ABS(H349),"RE &gt; CA ",""),""))=0,"OK",IF(COUNT(I349,J349)=2,IF(J349&gt;I349+1,"EBE &gt; VA ",""),"")&amp;IF(COUNT(H349,M349)=2,IF(ABS(M349)&gt;ABS(H349),"RN &gt; CA ",""),"")&amp;IF(COUNT(H349,K349)=2,IF(ABS(K349)&gt;ABS(H349),"RE &gt; CA ",""),"")))</f>
        <v/>
      </c>
    </row>
    <row r="350">
      <c r="A350" s="9" t="inlineStr">
        <is>
          <t>SEMC</t>
        </is>
      </c>
      <c r="B350" s="10">
        <f>IF(A350="","",IFERROR(VLOOKUP(A350,Titres!$A$2:$B$400,2,FALSE),"Ticker inconnu"))</f>
        <v/>
      </c>
      <c r="C350" s="11" t="n">
        <v>2022</v>
      </c>
      <c r="D350" s="11" t="inlineStr">
        <is>
          <t>T1</t>
        </is>
      </c>
      <c r="E350" s="9" t="n"/>
      <c r="F350" s="12" t="n"/>
      <c r="G350" s="9" t="n"/>
      <c r="H350" s="13" t="n"/>
      <c r="I350" s="13" t="n"/>
      <c r="J350" s="13" t="n"/>
      <c r="K350" s="13" t="n"/>
      <c r="L350" s="13" t="n"/>
      <c r="M350" s="13" t="n"/>
      <c r="N350" s="14">
        <f>IF(A350="","",COUNT(H350:M350)/6)</f>
        <v/>
      </c>
      <c r="O350" s="15">
        <f>IF(COUNT(H350:M350)=0,"",IF(LEN(IF(COUNT(I350,J350)=2,IF(J350&gt;I350+1,"EBE &gt; VA ",""),"")&amp;IF(COUNT(H350,M350)=2,IF(ABS(M350)&gt;ABS(H350),"RN &gt; CA ",""),"")&amp;IF(COUNT(H350,K350)=2,IF(ABS(K350)&gt;ABS(H350),"RE &gt; CA ",""),""))=0,"OK",IF(COUNT(I350,J350)=2,IF(J350&gt;I350+1,"EBE &gt; VA ",""),"")&amp;IF(COUNT(H350,M350)=2,IF(ABS(M350)&gt;ABS(H350),"RN &gt; CA ",""),"")&amp;IF(COUNT(H350,K350)=2,IF(ABS(K350)&gt;ABS(H350),"RE &gt; CA ",""),"")))</f>
        <v/>
      </c>
    </row>
    <row r="351">
      <c r="A351" s="9" t="inlineStr">
        <is>
          <t>SEMC</t>
        </is>
      </c>
      <c r="B351" s="10">
        <f>IF(A351="","",IFERROR(VLOOKUP(A351,Titres!$A$2:$B$400,2,FALSE),"Ticker inconnu"))</f>
        <v/>
      </c>
      <c r="C351" s="11" t="n">
        <v>2022</v>
      </c>
      <c r="D351" s="11" t="inlineStr">
        <is>
          <t>S1</t>
        </is>
      </c>
      <c r="E351" s="9" t="n"/>
      <c r="F351" s="12" t="n"/>
      <c r="G351" s="9" t="n"/>
      <c r="H351" s="13" t="n"/>
      <c r="I351" s="13" t="n"/>
      <c r="J351" s="13" t="n"/>
      <c r="K351" s="13" t="n"/>
      <c r="L351" s="13" t="n"/>
      <c r="M351" s="13" t="n"/>
      <c r="N351" s="14">
        <f>IF(A351="","",COUNT(H351:M351)/6)</f>
        <v/>
      </c>
      <c r="O351" s="15">
        <f>IF(COUNT(H351:M351)=0,"",IF(LEN(IF(COUNT(I351,J351)=2,IF(J351&gt;I351+1,"EBE &gt; VA ",""),"")&amp;IF(COUNT(H351,M351)=2,IF(ABS(M351)&gt;ABS(H351),"RN &gt; CA ",""),"")&amp;IF(COUNT(H351,K351)=2,IF(ABS(K351)&gt;ABS(H351),"RE &gt; CA ",""),""))=0,"OK",IF(COUNT(I351,J351)=2,IF(J351&gt;I351+1,"EBE &gt; VA ",""),"")&amp;IF(COUNT(H351,M351)=2,IF(ABS(M351)&gt;ABS(H351),"RN &gt; CA ",""),"")&amp;IF(COUNT(H351,K351)=2,IF(ABS(K351)&gt;ABS(H351),"RE &gt; CA ",""),"")))</f>
        <v/>
      </c>
    </row>
    <row r="352">
      <c r="A352" s="9" t="inlineStr">
        <is>
          <t>SEMC</t>
        </is>
      </c>
      <c r="B352" s="10">
        <f>IF(A352="","",IFERROR(VLOOKUP(A352,Titres!$A$2:$B$400,2,FALSE),"Ticker inconnu"))</f>
        <v/>
      </c>
      <c r="C352" s="11" t="n">
        <v>2022</v>
      </c>
      <c r="D352" s="11" t="inlineStr">
        <is>
          <t>T3</t>
        </is>
      </c>
      <c r="E352" s="9" t="n"/>
      <c r="F352" s="12" t="n"/>
      <c r="G352" s="9" t="n"/>
      <c r="H352" s="13" t="n"/>
      <c r="I352" s="13" t="n"/>
      <c r="J352" s="13" t="n"/>
      <c r="K352" s="13" t="n"/>
      <c r="L352" s="13" t="n"/>
      <c r="M352" s="13" t="n"/>
      <c r="N352" s="14">
        <f>IF(A352="","",COUNT(H352:M352)/6)</f>
        <v/>
      </c>
      <c r="O352" s="15">
        <f>IF(COUNT(H352:M352)=0,"",IF(LEN(IF(COUNT(I352,J352)=2,IF(J352&gt;I352+1,"EBE &gt; VA ",""),"")&amp;IF(COUNT(H352,M352)=2,IF(ABS(M352)&gt;ABS(H352),"RN &gt; CA ",""),"")&amp;IF(COUNT(H352,K352)=2,IF(ABS(K352)&gt;ABS(H352),"RE &gt; CA ",""),""))=0,"OK",IF(COUNT(I352,J352)=2,IF(J352&gt;I352+1,"EBE &gt; VA ",""),"")&amp;IF(COUNT(H352,M352)=2,IF(ABS(M352)&gt;ABS(H352),"RN &gt; CA ",""),"")&amp;IF(COUNT(H352,K352)=2,IF(ABS(K352)&gt;ABS(H352),"RE &gt; CA ",""),"")))</f>
        <v/>
      </c>
    </row>
    <row r="353">
      <c r="A353" s="9" t="inlineStr">
        <is>
          <t>SEMC</t>
        </is>
      </c>
      <c r="B353" s="10">
        <f>IF(A353="","",IFERROR(VLOOKUP(A353,Titres!$A$2:$B$400,2,FALSE),"Ticker inconnu"))</f>
        <v/>
      </c>
      <c r="C353" s="11" t="n">
        <v>2023</v>
      </c>
      <c r="D353" s="11" t="inlineStr">
        <is>
          <t>T1</t>
        </is>
      </c>
      <c r="E353" s="9" t="n"/>
      <c r="F353" s="12" t="n"/>
      <c r="G353" s="9" t="n"/>
      <c r="H353" s="13" t="n"/>
      <c r="I353" s="13" t="n"/>
      <c r="J353" s="13" t="n"/>
      <c r="K353" s="13" t="n"/>
      <c r="L353" s="13" t="n"/>
      <c r="M353" s="13" t="n"/>
      <c r="N353" s="14">
        <f>IF(A353="","",COUNT(H353:M353)/6)</f>
        <v/>
      </c>
      <c r="O353" s="15">
        <f>IF(COUNT(H353:M353)=0,"",IF(LEN(IF(COUNT(I353,J353)=2,IF(J353&gt;I353+1,"EBE &gt; VA ",""),"")&amp;IF(COUNT(H353,M353)=2,IF(ABS(M353)&gt;ABS(H353),"RN &gt; CA ",""),"")&amp;IF(COUNT(H353,K353)=2,IF(ABS(K353)&gt;ABS(H353),"RE &gt; CA ",""),""))=0,"OK",IF(COUNT(I353,J353)=2,IF(J353&gt;I353+1,"EBE &gt; VA ",""),"")&amp;IF(COUNT(H353,M353)=2,IF(ABS(M353)&gt;ABS(H353),"RN &gt; CA ",""),"")&amp;IF(COUNT(H353,K353)=2,IF(ABS(K353)&gt;ABS(H353),"RE &gt; CA ",""),"")))</f>
        <v/>
      </c>
    </row>
    <row r="354">
      <c r="A354" s="9" t="inlineStr">
        <is>
          <t>SEMC</t>
        </is>
      </c>
      <c r="B354" s="10">
        <f>IF(A354="","",IFERROR(VLOOKUP(A354,Titres!$A$2:$B$400,2,FALSE),"Ticker inconnu"))</f>
        <v/>
      </c>
      <c r="C354" s="11" t="n">
        <v>2023</v>
      </c>
      <c r="D354" s="11" t="inlineStr">
        <is>
          <t>S1</t>
        </is>
      </c>
      <c r="E354" s="9" t="n"/>
      <c r="F354" s="12" t="n"/>
      <c r="G354" s="9" t="n"/>
      <c r="H354" s="13" t="n"/>
      <c r="I354" s="13" t="n"/>
      <c r="J354" s="13" t="n"/>
      <c r="K354" s="13" t="n"/>
      <c r="L354" s="13" t="n"/>
      <c r="M354" s="13" t="n"/>
      <c r="N354" s="14">
        <f>IF(A354="","",COUNT(H354:M354)/6)</f>
        <v/>
      </c>
      <c r="O354" s="15">
        <f>IF(COUNT(H354:M354)=0,"",IF(LEN(IF(COUNT(I354,J354)=2,IF(J354&gt;I354+1,"EBE &gt; VA ",""),"")&amp;IF(COUNT(H354,M354)=2,IF(ABS(M354)&gt;ABS(H354),"RN &gt; CA ",""),"")&amp;IF(COUNT(H354,K354)=2,IF(ABS(K354)&gt;ABS(H354),"RE &gt; CA ",""),""))=0,"OK",IF(COUNT(I354,J354)=2,IF(J354&gt;I354+1,"EBE &gt; VA ",""),"")&amp;IF(COUNT(H354,M354)=2,IF(ABS(M354)&gt;ABS(H354),"RN &gt; CA ",""),"")&amp;IF(COUNT(H354,K354)=2,IF(ABS(K354)&gt;ABS(H354),"RE &gt; CA ",""),"")))</f>
        <v/>
      </c>
    </row>
    <row r="355">
      <c r="A355" s="9" t="inlineStr">
        <is>
          <t>SEMC</t>
        </is>
      </c>
      <c r="B355" s="10">
        <f>IF(A355="","",IFERROR(VLOOKUP(A355,Titres!$A$2:$B$400,2,FALSE),"Ticker inconnu"))</f>
        <v/>
      </c>
      <c r="C355" s="11" t="n">
        <v>2023</v>
      </c>
      <c r="D355" s="11" t="inlineStr">
        <is>
          <t>T3</t>
        </is>
      </c>
      <c r="E355" s="9" t="n"/>
      <c r="F355" s="12" t="n"/>
      <c r="G355" s="9" t="n"/>
      <c r="H355" s="13" t="n"/>
      <c r="I355" s="13" t="n"/>
      <c r="J355" s="13" t="n"/>
      <c r="K355" s="13" t="n"/>
      <c r="L355" s="13" t="n"/>
      <c r="M355" s="13" t="n"/>
      <c r="N355" s="14">
        <f>IF(A355="","",COUNT(H355:M355)/6)</f>
        <v/>
      </c>
      <c r="O355" s="15">
        <f>IF(COUNT(H355:M355)=0,"",IF(LEN(IF(COUNT(I355,J355)=2,IF(J355&gt;I355+1,"EBE &gt; VA ",""),"")&amp;IF(COUNT(H355,M355)=2,IF(ABS(M355)&gt;ABS(H355),"RN &gt; CA ",""),"")&amp;IF(COUNT(H355,K355)=2,IF(ABS(K355)&gt;ABS(H355),"RE &gt; CA ",""),""))=0,"OK",IF(COUNT(I355,J355)=2,IF(J355&gt;I355+1,"EBE &gt; VA ",""),"")&amp;IF(COUNT(H355,M355)=2,IF(ABS(M355)&gt;ABS(H355),"RN &gt; CA ",""),"")&amp;IF(COUNT(H355,K355)=2,IF(ABS(K355)&gt;ABS(H355),"RE &gt; CA ",""),"")))</f>
        <v/>
      </c>
    </row>
    <row r="356">
      <c r="A356" s="9" t="inlineStr">
        <is>
          <t>SEMC</t>
        </is>
      </c>
      <c r="B356" s="10">
        <f>IF(A356="","",IFERROR(VLOOKUP(A356,Titres!$A$2:$B$400,2,FALSE),"Ticker inconnu"))</f>
        <v/>
      </c>
      <c r="C356" s="11" t="n">
        <v>2024</v>
      </c>
      <c r="D356" s="11" t="inlineStr">
        <is>
          <t>T1</t>
        </is>
      </c>
      <c r="E356" s="9" t="n"/>
      <c r="F356" s="12" t="n"/>
      <c r="G356" s="9" t="n"/>
      <c r="H356" s="13" t="n"/>
      <c r="I356" s="13" t="n"/>
      <c r="J356" s="13" t="n"/>
      <c r="K356" s="13" t="n"/>
      <c r="L356" s="13" t="n"/>
      <c r="M356" s="13" t="n"/>
      <c r="N356" s="14">
        <f>IF(A356="","",COUNT(H356:M356)/6)</f>
        <v/>
      </c>
      <c r="O356" s="15">
        <f>IF(COUNT(H356:M356)=0,"",IF(LEN(IF(COUNT(I356,J356)=2,IF(J356&gt;I356+1,"EBE &gt; VA ",""),"")&amp;IF(COUNT(H356,M356)=2,IF(ABS(M356)&gt;ABS(H356),"RN &gt; CA ",""),"")&amp;IF(COUNT(H356,K356)=2,IF(ABS(K356)&gt;ABS(H356),"RE &gt; CA ",""),""))=0,"OK",IF(COUNT(I356,J356)=2,IF(J356&gt;I356+1,"EBE &gt; VA ",""),"")&amp;IF(COUNT(H356,M356)=2,IF(ABS(M356)&gt;ABS(H356),"RN &gt; CA ",""),"")&amp;IF(COUNT(H356,K356)=2,IF(ABS(K356)&gt;ABS(H356),"RE &gt; CA ",""),"")))</f>
        <v/>
      </c>
    </row>
    <row r="357">
      <c r="A357" s="9" t="inlineStr">
        <is>
          <t>SEMC</t>
        </is>
      </c>
      <c r="B357" s="10">
        <f>IF(A357="","",IFERROR(VLOOKUP(A357,Titres!$A$2:$B$400,2,FALSE),"Ticker inconnu"))</f>
        <v/>
      </c>
      <c r="C357" s="11" t="n">
        <v>2024</v>
      </c>
      <c r="D357" s="11" t="inlineStr">
        <is>
          <t>S1</t>
        </is>
      </c>
      <c r="E357" s="9" t="n"/>
      <c r="F357" s="12" t="n"/>
      <c r="G357" s="9" t="n"/>
      <c r="H357" s="13" t="n"/>
      <c r="I357" s="13" t="n"/>
      <c r="J357" s="13" t="n"/>
      <c r="K357" s="13" t="n"/>
      <c r="L357" s="13" t="n"/>
      <c r="M357" s="13" t="n"/>
      <c r="N357" s="14">
        <f>IF(A357="","",COUNT(H357:M357)/6)</f>
        <v/>
      </c>
      <c r="O357" s="15">
        <f>IF(COUNT(H357:M357)=0,"",IF(LEN(IF(COUNT(I357,J357)=2,IF(J357&gt;I357+1,"EBE &gt; VA ",""),"")&amp;IF(COUNT(H357,M357)=2,IF(ABS(M357)&gt;ABS(H357),"RN &gt; CA ",""),"")&amp;IF(COUNT(H357,K357)=2,IF(ABS(K357)&gt;ABS(H357),"RE &gt; CA ",""),""))=0,"OK",IF(COUNT(I357,J357)=2,IF(J357&gt;I357+1,"EBE &gt; VA ",""),"")&amp;IF(COUNT(H357,M357)=2,IF(ABS(M357)&gt;ABS(H357),"RN &gt; CA ",""),"")&amp;IF(COUNT(H357,K357)=2,IF(ABS(K357)&gt;ABS(H357),"RE &gt; CA ",""),"")))</f>
        <v/>
      </c>
    </row>
    <row r="358">
      <c r="A358" s="9" t="inlineStr">
        <is>
          <t>SEMC</t>
        </is>
      </c>
      <c r="B358" s="10">
        <f>IF(A358="","",IFERROR(VLOOKUP(A358,Titres!$A$2:$B$400,2,FALSE),"Ticker inconnu"))</f>
        <v/>
      </c>
      <c r="C358" s="11" t="n">
        <v>2024</v>
      </c>
      <c r="D358" s="11" t="inlineStr">
        <is>
          <t>T3</t>
        </is>
      </c>
      <c r="E358" s="9" t="n"/>
      <c r="F358" s="12" t="n"/>
      <c r="G358" s="9" t="n"/>
      <c r="H358" s="13" t="n"/>
      <c r="I358" s="13" t="n"/>
      <c r="J358" s="13" t="n"/>
      <c r="K358" s="13" t="n"/>
      <c r="L358" s="13" t="n"/>
      <c r="M358" s="13" t="n"/>
      <c r="N358" s="14">
        <f>IF(A358="","",COUNT(H358:M358)/6)</f>
        <v/>
      </c>
      <c r="O358" s="15">
        <f>IF(COUNT(H358:M358)=0,"",IF(LEN(IF(COUNT(I358,J358)=2,IF(J358&gt;I358+1,"EBE &gt; VA ",""),"")&amp;IF(COUNT(H358,M358)=2,IF(ABS(M358)&gt;ABS(H358),"RN &gt; CA ",""),"")&amp;IF(COUNT(H358,K358)=2,IF(ABS(K358)&gt;ABS(H358),"RE &gt; CA ",""),""))=0,"OK",IF(COUNT(I358,J358)=2,IF(J358&gt;I358+1,"EBE &gt; VA ",""),"")&amp;IF(COUNT(H358,M358)=2,IF(ABS(M358)&gt;ABS(H358),"RN &gt; CA ",""),"")&amp;IF(COUNT(H358,K358)=2,IF(ABS(K358)&gt;ABS(H358),"RE &gt; CA ",""),"")))</f>
        <v/>
      </c>
    </row>
    <row r="359">
      <c r="A359" s="9" t="inlineStr">
        <is>
          <t>SEMC</t>
        </is>
      </c>
      <c r="B359" s="10">
        <f>IF(A359="","",IFERROR(VLOOKUP(A359,Titres!$A$2:$B$400,2,FALSE),"Ticker inconnu"))</f>
        <v/>
      </c>
      <c r="C359" s="11" t="n">
        <v>2025</v>
      </c>
      <c r="D359" s="11" t="inlineStr">
        <is>
          <t>T1</t>
        </is>
      </c>
      <c r="E359" s="9" t="n"/>
      <c r="F359" s="12" t="n"/>
      <c r="G359" s="9" t="n"/>
      <c r="H359" s="13" t="n"/>
      <c r="I359" s="13" t="n"/>
      <c r="J359" s="13" t="n"/>
      <c r="K359" s="13" t="n"/>
      <c r="L359" s="13" t="n"/>
      <c r="M359" s="13" t="n"/>
      <c r="N359" s="14">
        <f>IF(A359="","",COUNT(H359:M359)/6)</f>
        <v/>
      </c>
      <c r="O359" s="15">
        <f>IF(COUNT(H359:M359)=0,"",IF(LEN(IF(COUNT(I359,J359)=2,IF(J359&gt;I359+1,"EBE &gt; VA ",""),"")&amp;IF(COUNT(H359,M359)=2,IF(ABS(M359)&gt;ABS(H359),"RN &gt; CA ",""),"")&amp;IF(COUNT(H359,K359)=2,IF(ABS(K359)&gt;ABS(H359),"RE &gt; CA ",""),""))=0,"OK",IF(COUNT(I359,J359)=2,IF(J359&gt;I359+1,"EBE &gt; VA ",""),"")&amp;IF(COUNT(H359,M359)=2,IF(ABS(M359)&gt;ABS(H359),"RN &gt; CA ",""),"")&amp;IF(COUNT(H359,K359)=2,IF(ABS(K359)&gt;ABS(H359),"RE &gt; CA ",""),"")))</f>
        <v/>
      </c>
    </row>
    <row r="360">
      <c r="A360" s="9" t="inlineStr">
        <is>
          <t>SEMC</t>
        </is>
      </c>
      <c r="B360" s="10">
        <f>IF(A360="","",IFERROR(VLOOKUP(A360,Titres!$A$2:$B$400,2,FALSE),"Ticker inconnu"))</f>
        <v/>
      </c>
      <c r="C360" s="11" t="n">
        <v>2025</v>
      </c>
      <c r="D360" s="11" t="inlineStr">
        <is>
          <t>S1</t>
        </is>
      </c>
      <c r="E360" s="9" t="n"/>
      <c r="F360" s="12" t="n"/>
      <c r="G360" s="9" t="n"/>
      <c r="H360" s="13" t="n"/>
      <c r="I360" s="13" t="n"/>
      <c r="J360" s="13" t="n"/>
      <c r="K360" s="13" t="n"/>
      <c r="L360" s="13" t="n"/>
      <c r="M360" s="13" t="n"/>
      <c r="N360" s="14">
        <f>IF(A360="","",COUNT(H360:M360)/6)</f>
        <v/>
      </c>
      <c r="O360" s="15">
        <f>IF(COUNT(H360:M360)=0,"",IF(LEN(IF(COUNT(I360,J360)=2,IF(J360&gt;I360+1,"EBE &gt; VA ",""),"")&amp;IF(COUNT(H360,M360)=2,IF(ABS(M360)&gt;ABS(H360),"RN &gt; CA ",""),"")&amp;IF(COUNT(H360,K360)=2,IF(ABS(K360)&gt;ABS(H360),"RE &gt; CA ",""),""))=0,"OK",IF(COUNT(I360,J360)=2,IF(J360&gt;I360+1,"EBE &gt; VA ",""),"")&amp;IF(COUNT(H360,M360)=2,IF(ABS(M360)&gt;ABS(H360),"RN &gt; CA ",""),"")&amp;IF(COUNT(H360,K360)=2,IF(ABS(K360)&gt;ABS(H360),"RE &gt; CA ",""),"")))</f>
        <v/>
      </c>
    </row>
    <row r="361">
      <c r="A361" s="9" t="inlineStr">
        <is>
          <t>SEMC</t>
        </is>
      </c>
      <c r="B361" s="10">
        <f>IF(A361="","",IFERROR(VLOOKUP(A361,Titres!$A$2:$B$400,2,FALSE),"Ticker inconnu"))</f>
        <v/>
      </c>
      <c r="C361" s="11" t="n">
        <v>2025</v>
      </c>
      <c r="D361" s="11" t="inlineStr">
        <is>
          <t>T3</t>
        </is>
      </c>
      <c r="E361" s="9" t="n"/>
      <c r="F361" s="12" t="n"/>
      <c r="G361" s="9" t="n"/>
      <c r="H361" s="13" t="n"/>
      <c r="I361" s="13" t="n"/>
      <c r="J361" s="13" t="n"/>
      <c r="K361" s="13" t="n"/>
      <c r="L361" s="13" t="n"/>
      <c r="M361" s="13" t="n"/>
      <c r="N361" s="14">
        <f>IF(A361="","",COUNT(H361:M361)/6)</f>
        <v/>
      </c>
      <c r="O361" s="15">
        <f>IF(COUNT(H361:M361)=0,"",IF(LEN(IF(COUNT(I361,J361)=2,IF(J361&gt;I361+1,"EBE &gt; VA ",""),"")&amp;IF(COUNT(H361,M361)=2,IF(ABS(M361)&gt;ABS(H361),"RN &gt; CA ",""),"")&amp;IF(COUNT(H361,K361)=2,IF(ABS(K361)&gt;ABS(H361),"RE &gt; CA ",""),""))=0,"OK",IF(COUNT(I361,J361)=2,IF(J361&gt;I361+1,"EBE &gt; VA ",""),"")&amp;IF(COUNT(H361,M361)=2,IF(ABS(M361)&gt;ABS(H361),"RN &gt; CA ",""),"")&amp;IF(COUNT(H361,K361)=2,IF(ABS(K361)&gt;ABS(H361),"RE &gt; CA ",""),"")))</f>
        <v/>
      </c>
    </row>
    <row r="362">
      <c r="A362" s="9" t="inlineStr">
        <is>
          <t>SEMC</t>
        </is>
      </c>
      <c r="B362" s="10">
        <f>IF(A362="","",IFERROR(VLOOKUP(A362,Titres!$A$2:$B$400,2,FALSE),"Ticker inconnu"))</f>
        <v/>
      </c>
      <c r="C362" s="11" t="n">
        <v>2026</v>
      </c>
      <c r="D362" s="11" t="inlineStr">
        <is>
          <t>T1</t>
        </is>
      </c>
      <c r="E362" s="9" t="n"/>
      <c r="F362" s="12" t="n"/>
      <c r="G362" s="9" t="n"/>
      <c r="H362" s="13" t="n"/>
      <c r="I362" s="13" t="n"/>
      <c r="J362" s="13" t="n"/>
      <c r="K362" s="13" t="n"/>
      <c r="L362" s="13" t="n"/>
      <c r="M362" s="13" t="n"/>
      <c r="N362" s="14">
        <f>IF(A362="","",COUNT(H362:M362)/6)</f>
        <v/>
      </c>
      <c r="O362" s="15">
        <f>IF(COUNT(H362:M362)=0,"",IF(LEN(IF(COUNT(I362,J362)=2,IF(J362&gt;I362+1,"EBE &gt; VA ",""),"")&amp;IF(COUNT(H362,M362)=2,IF(ABS(M362)&gt;ABS(H362),"RN &gt; CA ",""),"")&amp;IF(COUNT(H362,K362)=2,IF(ABS(K362)&gt;ABS(H362),"RE &gt; CA ",""),""))=0,"OK",IF(COUNT(I362,J362)=2,IF(J362&gt;I362+1,"EBE &gt; VA ",""),"")&amp;IF(COUNT(H362,M362)=2,IF(ABS(M362)&gt;ABS(H362),"RN &gt; CA ",""),"")&amp;IF(COUNT(H362,K362)=2,IF(ABS(K362)&gt;ABS(H362),"RE &gt; CA ",""),"")))</f>
        <v/>
      </c>
    </row>
    <row r="363">
      <c r="A363" s="9" t="inlineStr">
        <is>
          <t>SEMC</t>
        </is>
      </c>
      <c r="B363" s="10">
        <f>IF(A363="","",IFERROR(VLOOKUP(A363,Titres!$A$2:$B$400,2,FALSE),"Ticker inconnu"))</f>
        <v/>
      </c>
      <c r="C363" s="11" t="n">
        <v>2026</v>
      </c>
      <c r="D363" s="11" t="inlineStr">
        <is>
          <t>S1</t>
        </is>
      </c>
      <c r="E363" s="9" t="n"/>
      <c r="F363" s="12" t="n"/>
      <c r="G363" s="9" t="n"/>
      <c r="H363" s="13" t="n"/>
      <c r="I363" s="13" t="n"/>
      <c r="J363" s="13" t="n"/>
      <c r="K363" s="13" t="n"/>
      <c r="L363" s="13" t="n"/>
      <c r="M363" s="13" t="n"/>
      <c r="N363" s="14">
        <f>IF(A363="","",COUNT(H363:M363)/6)</f>
        <v/>
      </c>
      <c r="O363" s="15">
        <f>IF(COUNT(H363:M363)=0,"",IF(LEN(IF(COUNT(I363,J363)=2,IF(J363&gt;I363+1,"EBE &gt; VA ",""),"")&amp;IF(COUNT(H363,M363)=2,IF(ABS(M363)&gt;ABS(H363),"RN &gt; CA ",""),"")&amp;IF(COUNT(H363,K363)=2,IF(ABS(K363)&gt;ABS(H363),"RE &gt; CA ",""),""))=0,"OK",IF(COUNT(I363,J363)=2,IF(J363&gt;I363+1,"EBE &gt; VA ",""),"")&amp;IF(COUNT(H363,M363)=2,IF(ABS(M363)&gt;ABS(H363),"RN &gt; CA ",""),"")&amp;IF(COUNT(H363,K363)=2,IF(ABS(K363)&gt;ABS(H363),"RE &gt; CA ",""),"")))</f>
        <v/>
      </c>
    </row>
    <row r="364">
      <c r="A364" s="9" t="inlineStr">
        <is>
          <t>SEMC</t>
        </is>
      </c>
      <c r="B364" s="10">
        <f>IF(A364="","",IFERROR(VLOOKUP(A364,Titres!$A$2:$B$400,2,FALSE),"Ticker inconnu"))</f>
        <v/>
      </c>
      <c r="C364" s="11" t="n">
        <v>2026</v>
      </c>
      <c r="D364" s="11" t="inlineStr">
        <is>
          <t>T3</t>
        </is>
      </c>
      <c r="E364" s="9" t="n"/>
      <c r="F364" s="12" t="n"/>
      <c r="G364" s="9" t="n"/>
      <c r="H364" s="13" t="n"/>
      <c r="I364" s="13" t="n"/>
      <c r="J364" s="13" t="n"/>
      <c r="K364" s="13" t="n"/>
      <c r="L364" s="13" t="n"/>
      <c r="M364" s="13" t="n"/>
      <c r="N364" s="14">
        <f>IF(A364="","",COUNT(H364:M364)/6)</f>
        <v/>
      </c>
      <c r="O364" s="15">
        <f>IF(COUNT(H364:M364)=0,"",IF(LEN(IF(COUNT(I364,J364)=2,IF(J364&gt;I364+1,"EBE &gt; VA ",""),"")&amp;IF(COUNT(H364,M364)=2,IF(ABS(M364)&gt;ABS(H364),"RN &gt; CA ",""),"")&amp;IF(COUNT(H364,K364)=2,IF(ABS(K364)&gt;ABS(H364),"RE &gt; CA ",""),""))=0,"OK",IF(COUNT(I364,J364)=2,IF(J364&gt;I364+1,"EBE &gt; VA ",""),"")&amp;IF(COUNT(H364,M364)=2,IF(ABS(M364)&gt;ABS(H364),"RN &gt; CA ",""),"")&amp;IF(COUNT(H364,K364)=2,IF(ABS(K364)&gt;ABS(H364),"RE &gt; CA ",""),"")))</f>
        <v/>
      </c>
    </row>
    <row r="365">
      <c r="A365" s="9" t="inlineStr">
        <is>
          <t>SIVC</t>
        </is>
      </c>
      <c r="B365" s="10">
        <f>IF(A365="","",IFERROR(VLOOKUP(A365,Titres!$A$2:$B$400,2,FALSE),"Ticker inconnu"))</f>
        <v/>
      </c>
      <c r="C365" s="11" t="n">
        <v>2021</v>
      </c>
      <c r="D365" s="11" t="inlineStr">
        <is>
          <t>T1</t>
        </is>
      </c>
      <c r="E365" s="9" t="n"/>
      <c r="F365" s="12" t="n"/>
      <c r="G365" s="9" t="n"/>
      <c r="H365" s="13" t="n"/>
      <c r="I365" s="13" t="n"/>
      <c r="J365" s="13" t="n"/>
      <c r="K365" s="13" t="n"/>
      <c r="L365" s="13" t="n"/>
      <c r="M365" s="13" t="n"/>
      <c r="N365" s="14">
        <f>IF(A365="","",COUNT(H365:M365)/6)</f>
        <v/>
      </c>
      <c r="O365" s="15">
        <f>IF(COUNT(H365:M365)=0,"",IF(LEN(IF(COUNT(I365,J365)=2,IF(J365&gt;I365+1,"EBE &gt; VA ",""),"")&amp;IF(COUNT(H365,M365)=2,IF(ABS(M365)&gt;ABS(H365),"RN &gt; CA ",""),"")&amp;IF(COUNT(H365,K365)=2,IF(ABS(K365)&gt;ABS(H365),"RE &gt; CA ",""),""))=0,"OK",IF(COUNT(I365,J365)=2,IF(J365&gt;I365+1,"EBE &gt; VA ",""),"")&amp;IF(COUNT(H365,M365)=2,IF(ABS(M365)&gt;ABS(H365),"RN &gt; CA ",""),"")&amp;IF(COUNT(H365,K365)=2,IF(ABS(K365)&gt;ABS(H365),"RE &gt; CA ",""),"")))</f>
        <v/>
      </c>
    </row>
    <row r="366">
      <c r="A366" s="9" t="inlineStr">
        <is>
          <t>SIVC</t>
        </is>
      </c>
      <c r="B366" s="10">
        <f>IF(A366="","",IFERROR(VLOOKUP(A366,Titres!$A$2:$B$400,2,FALSE),"Ticker inconnu"))</f>
        <v/>
      </c>
      <c r="C366" s="11" t="n">
        <v>2021</v>
      </c>
      <c r="D366" s="11" t="inlineStr">
        <is>
          <t>S1</t>
        </is>
      </c>
      <c r="E366" s="9" t="n"/>
      <c r="F366" s="12" t="n"/>
      <c r="G366" s="9" t="n"/>
      <c r="H366" s="13" t="n"/>
      <c r="I366" s="13" t="n"/>
      <c r="J366" s="13" t="n"/>
      <c r="K366" s="13" t="n"/>
      <c r="L366" s="13" t="n"/>
      <c r="M366" s="13" t="n"/>
      <c r="N366" s="14">
        <f>IF(A366="","",COUNT(H366:M366)/6)</f>
        <v/>
      </c>
      <c r="O366" s="15">
        <f>IF(COUNT(H366:M366)=0,"",IF(LEN(IF(COUNT(I366,J366)=2,IF(J366&gt;I366+1,"EBE &gt; VA ",""),"")&amp;IF(COUNT(H366,M366)=2,IF(ABS(M366)&gt;ABS(H366),"RN &gt; CA ",""),"")&amp;IF(COUNT(H366,K366)=2,IF(ABS(K366)&gt;ABS(H366),"RE &gt; CA ",""),""))=0,"OK",IF(COUNT(I366,J366)=2,IF(J366&gt;I366+1,"EBE &gt; VA ",""),"")&amp;IF(COUNT(H366,M366)=2,IF(ABS(M366)&gt;ABS(H366),"RN &gt; CA ",""),"")&amp;IF(COUNT(H366,K366)=2,IF(ABS(K366)&gt;ABS(H366),"RE &gt; CA ",""),"")))</f>
        <v/>
      </c>
    </row>
    <row r="367">
      <c r="A367" s="9" t="inlineStr">
        <is>
          <t>SIVC</t>
        </is>
      </c>
      <c r="B367" s="10">
        <f>IF(A367="","",IFERROR(VLOOKUP(A367,Titres!$A$2:$B$400,2,FALSE),"Ticker inconnu"))</f>
        <v/>
      </c>
      <c r="C367" s="11" t="n">
        <v>2021</v>
      </c>
      <c r="D367" s="11" t="inlineStr">
        <is>
          <t>T3</t>
        </is>
      </c>
      <c r="E367" s="9" t="n"/>
      <c r="F367" s="12" t="n"/>
      <c r="G367" s="9" t="n"/>
      <c r="H367" s="13" t="n"/>
      <c r="I367" s="13" t="n"/>
      <c r="J367" s="13" t="n"/>
      <c r="K367" s="13" t="n"/>
      <c r="L367" s="13" t="n"/>
      <c r="M367" s="13" t="n"/>
      <c r="N367" s="14">
        <f>IF(A367="","",COUNT(H367:M367)/6)</f>
        <v/>
      </c>
      <c r="O367" s="15">
        <f>IF(COUNT(H367:M367)=0,"",IF(LEN(IF(COUNT(I367,J367)=2,IF(J367&gt;I367+1,"EBE &gt; VA ",""),"")&amp;IF(COUNT(H367,M367)=2,IF(ABS(M367)&gt;ABS(H367),"RN &gt; CA ",""),"")&amp;IF(COUNT(H367,K367)=2,IF(ABS(K367)&gt;ABS(H367),"RE &gt; CA ",""),""))=0,"OK",IF(COUNT(I367,J367)=2,IF(J367&gt;I367+1,"EBE &gt; VA ",""),"")&amp;IF(COUNT(H367,M367)=2,IF(ABS(M367)&gt;ABS(H367),"RN &gt; CA ",""),"")&amp;IF(COUNT(H367,K367)=2,IF(ABS(K367)&gt;ABS(H367),"RE &gt; CA ",""),"")))</f>
        <v/>
      </c>
    </row>
    <row r="368">
      <c r="A368" s="9" t="inlineStr">
        <is>
          <t>SIVC</t>
        </is>
      </c>
      <c r="B368" s="10">
        <f>IF(A368="","",IFERROR(VLOOKUP(A368,Titres!$A$2:$B$400,2,FALSE),"Ticker inconnu"))</f>
        <v/>
      </c>
      <c r="C368" s="11" t="n">
        <v>2022</v>
      </c>
      <c r="D368" s="11" t="inlineStr">
        <is>
          <t>T1</t>
        </is>
      </c>
      <c r="E368" s="9" t="n"/>
      <c r="F368" s="12" t="n"/>
      <c r="G368" s="9" t="n"/>
      <c r="H368" s="13" t="n"/>
      <c r="I368" s="13" t="n"/>
      <c r="J368" s="13" t="n"/>
      <c r="K368" s="13" t="n"/>
      <c r="L368" s="13" t="n"/>
      <c r="M368" s="13" t="n"/>
      <c r="N368" s="14">
        <f>IF(A368="","",COUNT(H368:M368)/6)</f>
        <v/>
      </c>
      <c r="O368" s="15">
        <f>IF(COUNT(H368:M368)=0,"",IF(LEN(IF(COUNT(I368,J368)=2,IF(J368&gt;I368+1,"EBE &gt; VA ",""),"")&amp;IF(COUNT(H368,M368)=2,IF(ABS(M368)&gt;ABS(H368),"RN &gt; CA ",""),"")&amp;IF(COUNT(H368,K368)=2,IF(ABS(K368)&gt;ABS(H368),"RE &gt; CA ",""),""))=0,"OK",IF(COUNT(I368,J368)=2,IF(J368&gt;I368+1,"EBE &gt; VA ",""),"")&amp;IF(COUNT(H368,M368)=2,IF(ABS(M368)&gt;ABS(H368),"RN &gt; CA ",""),"")&amp;IF(COUNT(H368,K368)=2,IF(ABS(K368)&gt;ABS(H368),"RE &gt; CA ",""),"")))</f>
        <v/>
      </c>
    </row>
    <row r="369">
      <c r="A369" s="9" t="inlineStr">
        <is>
          <t>SIVC</t>
        </is>
      </c>
      <c r="B369" s="10">
        <f>IF(A369="","",IFERROR(VLOOKUP(A369,Titres!$A$2:$B$400,2,FALSE),"Ticker inconnu"))</f>
        <v/>
      </c>
      <c r="C369" s="11" t="n">
        <v>2022</v>
      </c>
      <c r="D369" s="11" t="inlineStr">
        <is>
          <t>S1</t>
        </is>
      </c>
      <c r="E369" s="9" t="n"/>
      <c r="F369" s="12" t="n"/>
      <c r="G369" s="9" t="n"/>
      <c r="H369" s="13" t="n"/>
      <c r="I369" s="13" t="n"/>
      <c r="J369" s="13" t="n"/>
      <c r="K369" s="13" t="n"/>
      <c r="L369" s="13" t="n"/>
      <c r="M369" s="13" t="n"/>
      <c r="N369" s="14">
        <f>IF(A369="","",COUNT(H369:M369)/6)</f>
        <v/>
      </c>
      <c r="O369" s="15">
        <f>IF(COUNT(H369:M369)=0,"",IF(LEN(IF(COUNT(I369,J369)=2,IF(J369&gt;I369+1,"EBE &gt; VA ",""),"")&amp;IF(COUNT(H369,M369)=2,IF(ABS(M369)&gt;ABS(H369),"RN &gt; CA ",""),"")&amp;IF(COUNT(H369,K369)=2,IF(ABS(K369)&gt;ABS(H369),"RE &gt; CA ",""),""))=0,"OK",IF(COUNT(I369,J369)=2,IF(J369&gt;I369+1,"EBE &gt; VA ",""),"")&amp;IF(COUNT(H369,M369)=2,IF(ABS(M369)&gt;ABS(H369),"RN &gt; CA ",""),"")&amp;IF(COUNT(H369,K369)=2,IF(ABS(K369)&gt;ABS(H369),"RE &gt; CA ",""),"")))</f>
        <v/>
      </c>
    </row>
    <row r="370">
      <c r="A370" s="9" t="inlineStr">
        <is>
          <t>SIVC</t>
        </is>
      </c>
      <c r="B370" s="10">
        <f>IF(A370="","",IFERROR(VLOOKUP(A370,Titres!$A$2:$B$400,2,FALSE),"Ticker inconnu"))</f>
        <v/>
      </c>
      <c r="C370" s="11" t="n">
        <v>2022</v>
      </c>
      <c r="D370" s="11" t="inlineStr">
        <is>
          <t>T3</t>
        </is>
      </c>
      <c r="E370" s="9" t="n"/>
      <c r="F370" s="12" t="n"/>
      <c r="G370" s="9" t="n"/>
      <c r="H370" s="13" t="n"/>
      <c r="I370" s="13" t="n"/>
      <c r="J370" s="13" t="n"/>
      <c r="K370" s="13" t="n"/>
      <c r="L370" s="13" t="n"/>
      <c r="M370" s="13" t="n"/>
      <c r="N370" s="14">
        <f>IF(A370="","",COUNT(H370:M370)/6)</f>
        <v/>
      </c>
      <c r="O370" s="15">
        <f>IF(COUNT(H370:M370)=0,"",IF(LEN(IF(COUNT(I370,J370)=2,IF(J370&gt;I370+1,"EBE &gt; VA ",""),"")&amp;IF(COUNT(H370,M370)=2,IF(ABS(M370)&gt;ABS(H370),"RN &gt; CA ",""),"")&amp;IF(COUNT(H370,K370)=2,IF(ABS(K370)&gt;ABS(H370),"RE &gt; CA ",""),""))=0,"OK",IF(COUNT(I370,J370)=2,IF(J370&gt;I370+1,"EBE &gt; VA ",""),"")&amp;IF(COUNT(H370,M370)=2,IF(ABS(M370)&gt;ABS(H370),"RN &gt; CA ",""),"")&amp;IF(COUNT(H370,K370)=2,IF(ABS(K370)&gt;ABS(H370),"RE &gt; CA ",""),"")))</f>
        <v/>
      </c>
    </row>
    <row r="371">
      <c r="A371" s="9" t="inlineStr">
        <is>
          <t>SIVC</t>
        </is>
      </c>
      <c r="B371" s="10">
        <f>IF(A371="","",IFERROR(VLOOKUP(A371,Titres!$A$2:$B$400,2,FALSE),"Ticker inconnu"))</f>
        <v/>
      </c>
      <c r="C371" s="11" t="n">
        <v>2023</v>
      </c>
      <c r="D371" s="11" t="inlineStr">
        <is>
          <t>T1</t>
        </is>
      </c>
      <c r="E371" s="9" t="n"/>
      <c r="F371" s="12" t="n"/>
      <c r="G371" s="9" t="n"/>
      <c r="H371" s="13" t="n"/>
      <c r="I371" s="13" t="n"/>
      <c r="J371" s="13" t="n"/>
      <c r="K371" s="13" t="n"/>
      <c r="L371" s="13" t="n"/>
      <c r="M371" s="13" t="n"/>
      <c r="N371" s="14">
        <f>IF(A371="","",COUNT(H371:M371)/6)</f>
        <v/>
      </c>
      <c r="O371" s="15">
        <f>IF(COUNT(H371:M371)=0,"",IF(LEN(IF(COUNT(I371,J371)=2,IF(J371&gt;I371+1,"EBE &gt; VA ",""),"")&amp;IF(COUNT(H371,M371)=2,IF(ABS(M371)&gt;ABS(H371),"RN &gt; CA ",""),"")&amp;IF(COUNT(H371,K371)=2,IF(ABS(K371)&gt;ABS(H371),"RE &gt; CA ",""),""))=0,"OK",IF(COUNT(I371,J371)=2,IF(J371&gt;I371+1,"EBE &gt; VA ",""),"")&amp;IF(COUNT(H371,M371)=2,IF(ABS(M371)&gt;ABS(H371),"RN &gt; CA ",""),"")&amp;IF(COUNT(H371,K371)=2,IF(ABS(K371)&gt;ABS(H371),"RE &gt; CA ",""),"")))</f>
        <v/>
      </c>
    </row>
    <row r="372">
      <c r="A372" s="9" t="inlineStr">
        <is>
          <t>SIVC</t>
        </is>
      </c>
      <c r="B372" s="10">
        <f>IF(A372="","",IFERROR(VLOOKUP(A372,Titres!$A$2:$B$400,2,FALSE),"Ticker inconnu"))</f>
        <v/>
      </c>
      <c r="C372" s="11" t="n">
        <v>2023</v>
      </c>
      <c r="D372" s="11" t="inlineStr">
        <is>
          <t>S1</t>
        </is>
      </c>
      <c r="E372" s="9" t="n"/>
      <c r="F372" s="12" t="n"/>
      <c r="G372" s="9" t="n"/>
      <c r="H372" s="13" t="n"/>
      <c r="I372" s="13" t="n"/>
      <c r="J372" s="13" t="n"/>
      <c r="K372" s="13" t="n"/>
      <c r="L372" s="13" t="n"/>
      <c r="M372" s="13" t="n"/>
      <c r="N372" s="14">
        <f>IF(A372="","",COUNT(H372:M372)/6)</f>
        <v/>
      </c>
      <c r="O372" s="15">
        <f>IF(COUNT(H372:M372)=0,"",IF(LEN(IF(COUNT(I372,J372)=2,IF(J372&gt;I372+1,"EBE &gt; VA ",""),"")&amp;IF(COUNT(H372,M372)=2,IF(ABS(M372)&gt;ABS(H372),"RN &gt; CA ",""),"")&amp;IF(COUNT(H372,K372)=2,IF(ABS(K372)&gt;ABS(H372),"RE &gt; CA ",""),""))=0,"OK",IF(COUNT(I372,J372)=2,IF(J372&gt;I372+1,"EBE &gt; VA ",""),"")&amp;IF(COUNT(H372,M372)=2,IF(ABS(M372)&gt;ABS(H372),"RN &gt; CA ",""),"")&amp;IF(COUNT(H372,K372)=2,IF(ABS(K372)&gt;ABS(H372),"RE &gt; CA ",""),"")))</f>
        <v/>
      </c>
    </row>
    <row r="373">
      <c r="A373" s="9" t="inlineStr">
        <is>
          <t>SIVC</t>
        </is>
      </c>
      <c r="B373" s="10">
        <f>IF(A373="","",IFERROR(VLOOKUP(A373,Titres!$A$2:$B$400,2,FALSE),"Ticker inconnu"))</f>
        <v/>
      </c>
      <c r="C373" s="11" t="n">
        <v>2023</v>
      </c>
      <c r="D373" s="11" t="inlineStr">
        <is>
          <t>T3</t>
        </is>
      </c>
      <c r="E373" s="9" t="n"/>
      <c r="F373" s="12" t="n"/>
      <c r="G373" s="9" t="n"/>
      <c r="H373" s="13" t="n"/>
      <c r="I373" s="13" t="n"/>
      <c r="J373" s="13" t="n"/>
      <c r="K373" s="13" t="n"/>
      <c r="L373" s="13" t="n"/>
      <c r="M373" s="13" t="n"/>
      <c r="N373" s="14">
        <f>IF(A373="","",COUNT(H373:M373)/6)</f>
        <v/>
      </c>
      <c r="O373" s="15">
        <f>IF(COUNT(H373:M373)=0,"",IF(LEN(IF(COUNT(I373,J373)=2,IF(J373&gt;I373+1,"EBE &gt; VA ",""),"")&amp;IF(COUNT(H373,M373)=2,IF(ABS(M373)&gt;ABS(H373),"RN &gt; CA ",""),"")&amp;IF(COUNT(H373,K373)=2,IF(ABS(K373)&gt;ABS(H373),"RE &gt; CA ",""),""))=0,"OK",IF(COUNT(I373,J373)=2,IF(J373&gt;I373+1,"EBE &gt; VA ",""),"")&amp;IF(COUNT(H373,M373)=2,IF(ABS(M373)&gt;ABS(H373),"RN &gt; CA ",""),"")&amp;IF(COUNT(H373,K373)=2,IF(ABS(K373)&gt;ABS(H373),"RE &gt; CA ",""),"")))</f>
        <v/>
      </c>
    </row>
    <row r="374">
      <c r="A374" s="9" t="inlineStr">
        <is>
          <t>SIVC</t>
        </is>
      </c>
      <c r="B374" s="10">
        <f>IF(A374="","",IFERROR(VLOOKUP(A374,Titres!$A$2:$B$400,2,FALSE),"Ticker inconnu"))</f>
        <v/>
      </c>
      <c r="C374" s="11" t="n">
        <v>2024</v>
      </c>
      <c r="D374" s="11" t="inlineStr">
        <is>
          <t>T1</t>
        </is>
      </c>
      <c r="E374" s="9" t="n"/>
      <c r="F374" s="12" t="n"/>
      <c r="G374" s="9" t="n"/>
      <c r="H374" s="13" t="n"/>
      <c r="I374" s="13" t="n"/>
      <c r="J374" s="13" t="n"/>
      <c r="K374" s="13" t="n"/>
      <c r="L374" s="13" t="n"/>
      <c r="M374" s="13" t="n"/>
      <c r="N374" s="14">
        <f>IF(A374="","",COUNT(H374:M374)/6)</f>
        <v/>
      </c>
      <c r="O374" s="15">
        <f>IF(COUNT(H374:M374)=0,"",IF(LEN(IF(COUNT(I374,J374)=2,IF(J374&gt;I374+1,"EBE &gt; VA ",""),"")&amp;IF(COUNT(H374,M374)=2,IF(ABS(M374)&gt;ABS(H374),"RN &gt; CA ",""),"")&amp;IF(COUNT(H374,K374)=2,IF(ABS(K374)&gt;ABS(H374),"RE &gt; CA ",""),""))=0,"OK",IF(COUNT(I374,J374)=2,IF(J374&gt;I374+1,"EBE &gt; VA ",""),"")&amp;IF(COUNT(H374,M374)=2,IF(ABS(M374)&gt;ABS(H374),"RN &gt; CA ",""),"")&amp;IF(COUNT(H374,K374)=2,IF(ABS(K374)&gt;ABS(H374),"RE &gt; CA ",""),"")))</f>
        <v/>
      </c>
    </row>
    <row r="375">
      <c r="A375" s="9" t="inlineStr">
        <is>
          <t>SIVC</t>
        </is>
      </c>
      <c r="B375" s="10">
        <f>IF(A375="","",IFERROR(VLOOKUP(A375,Titres!$A$2:$B$400,2,FALSE),"Ticker inconnu"))</f>
        <v/>
      </c>
      <c r="C375" s="11" t="n">
        <v>2024</v>
      </c>
      <c r="D375" s="11" t="inlineStr">
        <is>
          <t>S1</t>
        </is>
      </c>
      <c r="E375" s="9" t="n"/>
      <c r="F375" s="12" t="n"/>
      <c r="G375" s="9" t="n"/>
      <c r="H375" s="13" t="n"/>
      <c r="I375" s="13" t="n"/>
      <c r="J375" s="13" t="n"/>
      <c r="K375" s="13" t="n"/>
      <c r="L375" s="13" t="n"/>
      <c r="M375" s="13" t="n"/>
      <c r="N375" s="14">
        <f>IF(A375="","",COUNT(H375:M375)/6)</f>
        <v/>
      </c>
      <c r="O375" s="15">
        <f>IF(COUNT(H375:M375)=0,"",IF(LEN(IF(COUNT(I375,J375)=2,IF(J375&gt;I375+1,"EBE &gt; VA ",""),"")&amp;IF(COUNT(H375,M375)=2,IF(ABS(M375)&gt;ABS(H375),"RN &gt; CA ",""),"")&amp;IF(COUNT(H375,K375)=2,IF(ABS(K375)&gt;ABS(H375),"RE &gt; CA ",""),""))=0,"OK",IF(COUNT(I375,J375)=2,IF(J375&gt;I375+1,"EBE &gt; VA ",""),"")&amp;IF(COUNT(H375,M375)=2,IF(ABS(M375)&gt;ABS(H375),"RN &gt; CA ",""),"")&amp;IF(COUNT(H375,K375)=2,IF(ABS(K375)&gt;ABS(H375),"RE &gt; CA ",""),"")))</f>
        <v/>
      </c>
    </row>
    <row r="376">
      <c r="A376" s="9" t="inlineStr">
        <is>
          <t>SIVC</t>
        </is>
      </c>
      <c r="B376" s="10">
        <f>IF(A376="","",IFERROR(VLOOKUP(A376,Titres!$A$2:$B$400,2,FALSE),"Ticker inconnu"))</f>
        <v/>
      </c>
      <c r="C376" s="11" t="n">
        <v>2024</v>
      </c>
      <c r="D376" s="11" t="inlineStr">
        <is>
          <t>T3</t>
        </is>
      </c>
      <c r="E376" s="9" t="n"/>
      <c r="F376" s="12" t="n"/>
      <c r="G376" s="9" t="n"/>
      <c r="H376" s="13" t="n"/>
      <c r="I376" s="13" t="n"/>
      <c r="J376" s="13" t="n"/>
      <c r="K376" s="13" t="n"/>
      <c r="L376" s="13" t="n"/>
      <c r="M376" s="13" t="n"/>
      <c r="N376" s="14">
        <f>IF(A376="","",COUNT(H376:M376)/6)</f>
        <v/>
      </c>
      <c r="O376" s="15">
        <f>IF(COUNT(H376:M376)=0,"",IF(LEN(IF(COUNT(I376,J376)=2,IF(J376&gt;I376+1,"EBE &gt; VA ",""),"")&amp;IF(COUNT(H376,M376)=2,IF(ABS(M376)&gt;ABS(H376),"RN &gt; CA ",""),"")&amp;IF(COUNT(H376,K376)=2,IF(ABS(K376)&gt;ABS(H376),"RE &gt; CA ",""),""))=0,"OK",IF(COUNT(I376,J376)=2,IF(J376&gt;I376+1,"EBE &gt; VA ",""),"")&amp;IF(COUNT(H376,M376)=2,IF(ABS(M376)&gt;ABS(H376),"RN &gt; CA ",""),"")&amp;IF(COUNT(H376,K376)=2,IF(ABS(K376)&gt;ABS(H376),"RE &gt; CA ",""),"")))</f>
        <v/>
      </c>
    </row>
    <row r="377">
      <c r="A377" s="9" t="inlineStr">
        <is>
          <t>SIVC</t>
        </is>
      </c>
      <c r="B377" s="10">
        <f>IF(A377="","",IFERROR(VLOOKUP(A377,Titres!$A$2:$B$400,2,FALSE),"Ticker inconnu"))</f>
        <v/>
      </c>
      <c r="C377" s="11" t="n">
        <v>2025</v>
      </c>
      <c r="D377" s="11" t="inlineStr">
        <is>
          <t>T1</t>
        </is>
      </c>
      <c r="E377" s="9" t="n"/>
      <c r="F377" s="12" t="n"/>
      <c r="G377" s="9" t="n"/>
      <c r="H377" s="13" t="n"/>
      <c r="I377" s="13" t="n"/>
      <c r="J377" s="13" t="n"/>
      <c r="K377" s="13" t="n"/>
      <c r="L377" s="13" t="n"/>
      <c r="M377" s="13" t="n"/>
      <c r="N377" s="14">
        <f>IF(A377="","",COUNT(H377:M377)/6)</f>
        <v/>
      </c>
      <c r="O377" s="15">
        <f>IF(COUNT(H377:M377)=0,"",IF(LEN(IF(COUNT(I377,J377)=2,IF(J377&gt;I377+1,"EBE &gt; VA ",""),"")&amp;IF(COUNT(H377,M377)=2,IF(ABS(M377)&gt;ABS(H377),"RN &gt; CA ",""),"")&amp;IF(COUNT(H377,K377)=2,IF(ABS(K377)&gt;ABS(H377),"RE &gt; CA ",""),""))=0,"OK",IF(COUNT(I377,J377)=2,IF(J377&gt;I377+1,"EBE &gt; VA ",""),"")&amp;IF(COUNT(H377,M377)=2,IF(ABS(M377)&gt;ABS(H377),"RN &gt; CA ",""),"")&amp;IF(COUNT(H377,K377)=2,IF(ABS(K377)&gt;ABS(H377),"RE &gt; CA ",""),"")))</f>
        <v/>
      </c>
    </row>
    <row r="378">
      <c r="A378" s="9" t="inlineStr">
        <is>
          <t>SIVC</t>
        </is>
      </c>
      <c r="B378" s="10">
        <f>IF(A378="","",IFERROR(VLOOKUP(A378,Titres!$A$2:$B$400,2,FALSE),"Ticker inconnu"))</f>
        <v/>
      </c>
      <c r="C378" s="11" t="n">
        <v>2025</v>
      </c>
      <c r="D378" s="11" t="inlineStr">
        <is>
          <t>S1</t>
        </is>
      </c>
      <c r="E378" s="9" t="n"/>
      <c r="F378" s="12" t="n"/>
      <c r="G378" s="9" t="n"/>
      <c r="H378" s="13" t="n"/>
      <c r="I378" s="13" t="n"/>
      <c r="J378" s="13" t="n"/>
      <c r="K378" s="13" t="n"/>
      <c r="L378" s="13" t="n"/>
      <c r="M378" s="13" t="n"/>
      <c r="N378" s="14">
        <f>IF(A378="","",COUNT(H378:M378)/6)</f>
        <v/>
      </c>
      <c r="O378" s="15">
        <f>IF(COUNT(H378:M378)=0,"",IF(LEN(IF(COUNT(I378,J378)=2,IF(J378&gt;I378+1,"EBE &gt; VA ",""),"")&amp;IF(COUNT(H378,M378)=2,IF(ABS(M378)&gt;ABS(H378),"RN &gt; CA ",""),"")&amp;IF(COUNT(H378,K378)=2,IF(ABS(K378)&gt;ABS(H378),"RE &gt; CA ",""),""))=0,"OK",IF(COUNT(I378,J378)=2,IF(J378&gt;I378+1,"EBE &gt; VA ",""),"")&amp;IF(COUNT(H378,M378)=2,IF(ABS(M378)&gt;ABS(H378),"RN &gt; CA ",""),"")&amp;IF(COUNT(H378,K378)=2,IF(ABS(K378)&gt;ABS(H378),"RE &gt; CA ",""),"")))</f>
        <v/>
      </c>
    </row>
    <row r="379">
      <c r="A379" s="9" t="inlineStr">
        <is>
          <t>SIVC</t>
        </is>
      </c>
      <c r="B379" s="10">
        <f>IF(A379="","",IFERROR(VLOOKUP(A379,Titres!$A$2:$B$400,2,FALSE),"Ticker inconnu"))</f>
        <v/>
      </c>
      <c r="C379" s="11" t="n">
        <v>2025</v>
      </c>
      <c r="D379" s="11" t="inlineStr">
        <is>
          <t>T3</t>
        </is>
      </c>
      <c r="E379" s="9" t="n"/>
      <c r="F379" s="12" t="n"/>
      <c r="G379" s="9" t="n"/>
      <c r="H379" s="13" t="n"/>
      <c r="I379" s="13" t="n"/>
      <c r="J379" s="13" t="n"/>
      <c r="K379" s="13" t="n"/>
      <c r="L379" s="13" t="n"/>
      <c r="M379" s="13" t="n"/>
      <c r="N379" s="14">
        <f>IF(A379="","",COUNT(H379:M379)/6)</f>
        <v/>
      </c>
      <c r="O379" s="15">
        <f>IF(COUNT(H379:M379)=0,"",IF(LEN(IF(COUNT(I379,J379)=2,IF(J379&gt;I379+1,"EBE &gt; VA ",""),"")&amp;IF(COUNT(H379,M379)=2,IF(ABS(M379)&gt;ABS(H379),"RN &gt; CA ",""),"")&amp;IF(COUNT(H379,K379)=2,IF(ABS(K379)&gt;ABS(H379),"RE &gt; CA ",""),""))=0,"OK",IF(COUNT(I379,J379)=2,IF(J379&gt;I379+1,"EBE &gt; VA ",""),"")&amp;IF(COUNT(H379,M379)=2,IF(ABS(M379)&gt;ABS(H379),"RN &gt; CA ",""),"")&amp;IF(COUNT(H379,K379)=2,IF(ABS(K379)&gt;ABS(H379),"RE &gt; CA ",""),"")))</f>
        <v/>
      </c>
    </row>
    <row r="380">
      <c r="A380" s="9" t="inlineStr">
        <is>
          <t>SIVC</t>
        </is>
      </c>
      <c r="B380" s="10">
        <f>IF(A380="","",IFERROR(VLOOKUP(A380,Titres!$A$2:$B$400,2,FALSE),"Ticker inconnu"))</f>
        <v/>
      </c>
      <c r="C380" s="11" t="n">
        <v>2026</v>
      </c>
      <c r="D380" s="11" t="inlineStr">
        <is>
          <t>T1</t>
        </is>
      </c>
      <c r="E380" s="9" t="n"/>
      <c r="F380" s="12" t="n"/>
      <c r="G380" s="9" t="n"/>
      <c r="H380" s="13" t="n"/>
      <c r="I380" s="13" t="n"/>
      <c r="J380" s="13" t="n"/>
      <c r="K380" s="13" t="n"/>
      <c r="L380" s="13" t="n"/>
      <c r="M380" s="13" t="n"/>
      <c r="N380" s="14">
        <f>IF(A380="","",COUNT(H380:M380)/6)</f>
        <v/>
      </c>
      <c r="O380" s="15">
        <f>IF(COUNT(H380:M380)=0,"",IF(LEN(IF(COUNT(I380,J380)=2,IF(J380&gt;I380+1,"EBE &gt; VA ",""),"")&amp;IF(COUNT(H380,M380)=2,IF(ABS(M380)&gt;ABS(H380),"RN &gt; CA ",""),"")&amp;IF(COUNT(H380,K380)=2,IF(ABS(K380)&gt;ABS(H380),"RE &gt; CA ",""),""))=0,"OK",IF(COUNT(I380,J380)=2,IF(J380&gt;I380+1,"EBE &gt; VA ",""),"")&amp;IF(COUNT(H380,M380)=2,IF(ABS(M380)&gt;ABS(H380),"RN &gt; CA ",""),"")&amp;IF(COUNT(H380,K380)=2,IF(ABS(K380)&gt;ABS(H380),"RE &gt; CA ",""),"")))</f>
        <v/>
      </c>
    </row>
    <row r="381">
      <c r="A381" s="9" t="inlineStr">
        <is>
          <t>SIVC</t>
        </is>
      </c>
      <c r="B381" s="10">
        <f>IF(A381="","",IFERROR(VLOOKUP(A381,Titres!$A$2:$B$400,2,FALSE),"Ticker inconnu"))</f>
        <v/>
      </c>
      <c r="C381" s="11" t="n">
        <v>2026</v>
      </c>
      <c r="D381" s="11" t="inlineStr">
        <is>
          <t>S1</t>
        </is>
      </c>
      <c r="E381" s="9" t="n"/>
      <c r="F381" s="12" t="n"/>
      <c r="G381" s="9" t="n"/>
      <c r="H381" s="13" t="n"/>
      <c r="I381" s="13" t="n"/>
      <c r="J381" s="13" t="n"/>
      <c r="K381" s="13" t="n"/>
      <c r="L381" s="13" t="n"/>
      <c r="M381" s="13" t="n"/>
      <c r="N381" s="14">
        <f>IF(A381="","",COUNT(H381:M381)/6)</f>
        <v/>
      </c>
      <c r="O381" s="15">
        <f>IF(COUNT(H381:M381)=0,"",IF(LEN(IF(COUNT(I381,J381)=2,IF(J381&gt;I381+1,"EBE &gt; VA ",""),"")&amp;IF(COUNT(H381,M381)=2,IF(ABS(M381)&gt;ABS(H381),"RN &gt; CA ",""),"")&amp;IF(COUNT(H381,K381)=2,IF(ABS(K381)&gt;ABS(H381),"RE &gt; CA ",""),""))=0,"OK",IF(COUNT(I381,J381)=2,IF(J381&gt;I381+1,"EBE &gt; VA ",""),"")&amp;IF(COUNT(H381,M381)=2,IF(ABS(M381)&gt;ABS(H381),"RN &gt; CA ",""),"")&amp;IF(COUNT(H381,K381)=2,IF(ABS(K381)&gt;ABS(H381),"RE &gt; CA ",""),"")))</f>
        <v/>
      </c>
    </row>
    <row r="382">
      <c r="A382" s="9" t="inlineStr">
        <is>
          <t>SIVC</t>
        </is>
      </c>
      <c r="B382" s="10">
        <f>IF(A382="","",IFERROR(VLOOKUP(A382,Titres!$A$2:$B$400,2,FALSE),"Ticker inconnu"))</f>
        <v/>
      </c>
      <c r="C382" s="11" t="n">
        <v>2026</v>
      </c>
      <c r="D382" s="11" t="inlineStr">
        <is>
          <t>T3</t>
        </is>
      </c>
      <c r="E382" s="9" t="n"/>
      <c r="F382" s="12" t="n"/>
      <c r="G382" s="9" t="n"/>
      <c r="H382" s="13" t="n"/>
      <c r="I382" s="13" t="n"/>
      <c r="J382" s="13" t="n"/>
      <c r="K382" s="13" t="n"/>
      <c r="L382" s="13" t="n"/>
      <c r="M382" s="13" t="n"/>
      <c r="N382" s="14">
        <f>IF(A382="","",COUNT(H382:M382)/6)</f>
        <v/>
      </c>
      <c r="O382" s="15">
        <f>IF(COUNT(H382:M382)=0,"",IF(LEN(IF(COUNT(I382,J382)=2,IF(J382&gt;I382+1,"EBE &gt; VA ",""),"")&amp;IF(COUNT(H382,M382)=2,IF(ABS(M382)&gt;ABS(H382),"RN &gt; CA ",""),"")&amp;IF(COUNT(H382,K382)=2,IF(ABS(K382)&gt;ABS(H382),"RE &gt; CA ",""),""))=0,"OK",IF(COUNT(I382,J382)=2,IF(J382&gt;I382+1,"EBE &gt; VA ",""),"")&amp;IF(COUNT(H382,M382)=2,IF(ABS(M382)&gt;ABS(H382),"RN &gt; CA ",""),"")&amp;IF(COUNT(H382,K382)=2,IF(ABS(K382)&gt;ABS(H382),"RE &gt; CA ",""),"")))</f>
        <v/>
      </c>
    </row>
    <row r="383">
      <c r="A383" s="9" t="inlineStr">
        <is>
          <t>STAC</t>
        </is>
      </c>
      <c r="B383" s="10">
        <f>IF(A383="","",IFERROR(VLOOKUP(A383,Titres!$A$2:$B$400,2,FALSE),"Ticker inconnu"))</f>
        <v/>
      </c>
      <c r="C383" s="11" t="n">
        <v>2021</v>
      </c>
      <c r="D383" s="11" t="inlineStr">
        <is>
          <t>T1</t>
        </is>
      </c>
      <c r="E383" s="9" t="n"/>
      <c r="F383" s="12" t="n"/>
      <c r="G383" s="9" t="n"/>
      <c r="H383" s="13" t="n"/>
      <c r="I383" s="13" t="n"/>
      <c r="J383" s="13" t="n"/>
      <c r="K383" s="13" t="n"/>
      <c r="L383" s="13" t="n"/>
      <c r="M383" s="13" t="n"/>
      <c r="N383" s="14">
        <f>IF(A383="","",COUNT(H383:M383)/6)</f>
        <v/>
      </c>
      <c r="O383" s="15">
        <f>IF(COUNT(H383:M383)=0,"",IF(LEN(IF(COUNT(I383,J383)=2,IF(J383&gt;I383+1,"EBE &gt; VA ",""),"")&amp;IF(COUNT(H383,M383)=2,IF(ABS(M383)&gt;ABS(H383),"RN &gt; CA ",""),"")&amp;IF(COUNT(H383,K383)=2,IF(ABS(K383)&gt;ABS(H383),"RE &gt; CA ",""),""))=0,"OK",IF(COUNT(I383,J383)=2,IF(J383&gt;I383+1,"EBE &gt; VA ",""),"")&amp;IF(COUNT(H383,M383)=2,IF(ABS(M383)&gt;ABS(H383),"RN &gt; CA ",""),"")&amp;IF(COUNT(H383,K383)=2,IF(ABS(K383)&gt;ABS(H383),"RE &gt; CA ",""),"")))</f>
        <v/>
      </c>
    </row>
    <row r="384">
      <c r="A384" s="9" t="inlineStr">
        <is>
          <t>STAC</t>
        </is>
      </c>
      <c r="B384" s="10">
        <f>IF(A384="","",IFERROR(VLOOKUP(A384,Titres!$A$2:$B$400,2,FALSE),"Ticker inconnu"))</f>
        <v/>
      </c>
      <c r="C384" s="11" t="n">
        <v>2021</v>
      </c>
      <c r="D384" s="11" t="inlineStr">
        <is>
          <t>S1</t>
        </is>
      </c>
      <c r="E384" s="9" t="n"/>
      <c r="F384" s="12" t="n"/>
      <c r="G384" s="9" t="n"/>
      <c r="H384" s="13" t="n"/>
      <c r="I384" s="13" t="n"/>
      <c r="J384" s="13" t="n"/>
      <c r="K384" s="13" t="n"/>
      <c r="L384" s="13" t="n"/>
      <c r="M384" s="13" t="n"/>
      <c r="N384" s="14">
        <f>IF(A384="","",COUNT(H384:M384)/6)</f>
        <v/>
      </c>
      <c r="O384" s="15">
        <f>IF(COUNT(H384:M384)=0,"",IF(LEN(IF(COUNT(I384,J384)=2,IF(J384&gt;I384+1,"EBE &gt; VA ",""),"")&amp;IF(COUNT(H384,M384)=2,IF(ABS(M384)&gt;ABS(H384),"RN &gt; CA ",""),"")&amp;IF(COUNT(H384,K384)=2,IF(ABS(K384)&gt;ABS(H384),"RE &gt; CA ",""),""))=0,"OK",IF(COUNT(I384,J384)=2,IF(J384&gt;I384+1,"EBE &gt; VA ",""),"")&amp;IF(COUNT(H384,M384)=2,IF(ABS(M384)&gt;ABS(H384),"RN &gt; CA ",""),"")&amp;IF(COUNT(H384,K384)=2,IF(ABS(K384)&gt;ABS(H384),"RE &gt; CA ",""),"")))</f>
        <v/>
      </c>
    </row>
    <row r="385">
      <c r="A385" s="9" t="inlineStr">
        <is>
          <t>STAC</t>
        </is>
      </c>
      <c r="B385" s="10">
        <f>IF(A385="","",IFERROR(VLOOKUP(A385,Titres!$A$2:$B$400,2,FALSE),"Ticker inconnu"))</f>
        <v/>
      </c>
      <c r="C385" s="11" t="n">
        <v>2021</v>
      </c>
      <c r="D385" s="11" t="inlineStr">
        <is>
          <t>T3</t>
        </is>
      </c>
      <c r="E385" s="9" t="n"/>
      <c r="F385" s="12" t="n"/>
      <c r="G385" s="9" t="n"/>
      <c r="H385" s="13" t="n"/>
      <c r="I385" s="13" t="n"/>
      <c r="J385" s="13" t="n"/>
      <c r="K385" s="13" t="n"/>
      <c r="L385" s="13" t="n"/>
      <c r="M385" s="13" t="n"/>
      <c r="N385" s="14">
        <f>IF(A385="","",COUNT(H385:M385)/6)</f>
        <v/>
      </c>
      <c r="O385" s="15">
        <f>IF(COUNT(H385:M385)=0,"",IF(LEN(IF(COUNT(I385,J385)=2,IF(J385&gt;I385+1,"EBE &gt; VA ",""),"")&amp;IF(COUNT(H385,M385)=2,IF(ABS(M385)&gt;ABS(H385),"RN &gt; CA ",""),"")&amp;IF(COUNT(H385,K385)=2,IF(ABS(K385)&gt;ABS(H385),"RE &gt; CA ",""),""))=0,"OK",IF(COUNT(I385,J385)=2,IF(J385&gt;I385+1,"EBE &gt; VA ",""),"")&amp;IF(COUNT(H385,M385)=2,IF(ABS(M385)&gt;ABS(H385),"RN &gt; CA ",""),"")&amp;IF(COUNT(H385,K385)=2,IF(ABS(K385)&gt;ABS(H385),"RE &gt; CA ",""),"")))</f>
        <v/>
      </c>
    </row>
    <row r="386">
      <c r="A386" s="9" t="inlineStr">
        <is>
          <t>STAC</t>
        </is>
      </c>
      <c r="B386" s="10">
        <f>IF(A386="","",IFERROR(VLOOKUP(A386,Titres!$A$2:$B$400,2,FALSE),"Ticker inconnu"))</f>
        <v/>
      </c>
      <c r="C386" s="11" t="n">
        <v>2022</v>
      </c>
      <c r="D386" s="11" t="inlineStr">
        <is>
          <t>T1</t>
        </is>
      </c>
      <c r="E386" s="9" t="n"/>
      <c r="F386" s="12" t="n"/>
      <c r="G386" s="9" t="n"/>
      <c r="H386" s="13" t="n"/>
      <c r="I386" s="13" t="n"/>
      <c r="J386" s="13" t="n"/>
      <c r="K386" s="13" t="n"/>
      <c r="L386" s="13" t="n"/>
      <c r="M386" s="13" t="n"/>
      <c r="N386" s="14">
        <f>IF(A386="","",COUNT(H386:M386)/6)</f>
        <v/>
      </c>
      <c r="O386" s="15">
        <f>IF(COUNT(H386:M386)=0,"",IF(LEN(IF(COUNT(I386,J386)=2,IF(J386&gt;I386+1,"EBE &gt; VA ",""),"")&amp;IF(COUNT(H386,M386)=2,IF(ABS(M386)&gt;ABS(H386),"RN &gt; CA ",""),"")&amp;IF(COUNT(H386,K386)=2,IF(ABS(K386)&gt;ABS(H386),"RE &gt; CA ",""),""))=0,"OK",IF(COUNT(I386,J386)=2,IF(J386&gt;I386+1,"EBE &gt; VA ",""),"")&amp;IF(COUNT(H386,M386)=2,IF(ABS(M386)&gt;ABS(H386),"RN &gt; CA ",""),"")&amp;IF(COUNT(H386,K386)=2,IF(ABS(K386)&gt;ABS(H386),"RE &gt; CA ",""),"")))</f>
        <v/>
      </c>
    </row>
    <row r="387">
      <c r="A387" s="9" t="inlineStr">
        <is>
          <t>STAC</t>
        </is>
      </c>
      <c r="B387" s="10">
        <f>IF(A387="","",IFERROR(VLOOKUP(A387,Titres!$A$2:$B$400,2,FALSE),"Ticker inconnu"))</f>
        <v/>
      </c>
      <c r="C387" s="11" t="n">
        <v>2022</v>
      </c>
      <c r="D387" s="11" t="inlineStr">
        <is>
          <t>S1</t>
        </is>
      </c>
      <c r="E387" s="9" t="n"/>
      <c r="F387" s="12" t="n"/>
      <c r="G387" s="9" t="n"/>
      <c r="H387" s="13" t="n"/>
      <c r="I387" s="13" t="n"/>
      <c r="J387" s="13" t="n"/>
      <c r="K387" s="13" t="n"/>
      <c r="L387" s="13" t="n"/>
      <c r="M387" s="13" t="n"/>
      <c r="N387" s="14">
        <f>IF(A387="","",COUNT(H387:M387)/6)</f>
        <v/>
      </c>
      <c r="O387" s="15">
        <f>IF(COUNT(H387:M387)=0,"",IF(LEN(IF(COUNT(I387,J387)=2,IF(J387&gt;I387+1,"EBE &gt; VA ",""),"")&amp;IF(COUNT(H387,M387)=2,IF(ABS(M387)&gt;ABS(H387),"RN &gt; CA ",""),"")&amp;IF(COUNT(H387,K387)=2,IF(ABS(K387)&gt;ABS(H387),"RE &gt; CA ",""),""))=0,"OK",IF(COUNT(I387,J387)=2,IF(J387&gt;I387+1,"EBE &gt; VA ",""),"")&amp;IF(COUNT(H387,M387)=2,IF(ABS(M387)&gt;ABS(H387),"RN &gt; CA ",""),"")&amp;IF(COUNT(H387,K387)=2,IF(ABS(K387)&gt;ABS(H387),"RE &gt; CA ",""),"")))</f>
        <v/>
      </c>
    </row>
    <row r="388">
      <c r="A388" s="9" t="inlineStr">
        <is>
          <t>STAC</t>
        </is>
      </c>
      <c r="B388" s="10">
        <f>IF(A388="","",IFERROR(VLOOKUP(A388,Titres!$A$2:$B$400,2,FALSE),"Ticker inconnu"))</f>
        <v/>
      </c>
      <c r="C388" s="11" t="n">
        <v>2022</v>
      </c>
      <c r="D388" s="11" t="inlineStr">
        <is>
          <t>T3</t>
        </is>
      </c>
      <c r="E388" s="9" t="n"/>
      <c r="F388" s="12" t="n"/>
      <c r="G388" s="9" t="n"/>
      <c r="H388" s="13" t="n"/>
      <c r="I388" s="13" t="n"/>
      <c r="J388" s="13" t="n"/>
      <c r="K388" s="13" t="n"/>
      <c r="L388" s="13" t="n"/>
      <c r="M388" s="13" t="n"/>
      <c r="N388" s="14">
        <f>IF(A388="","",COUNT(H388:M388)/6)</f>
        <v/>
      </c>
      <c r="O388" s="15">
        <f>IF(COUNT(H388:M388)=0,"",IF(LEN(IF(COUNT(I388,J388)=2,IF(J388&gt;I388+1,"EBE &gt; VA ",""),"")&amp;IF(COUNT(H388,M388)=2,IF(ABS(M388)&gt;ABS(H388),"RN &gt; CA ",""),"")&amp;IF(COUNT(H388,K388)=2,IF(ABS(K388)&gt;ABS(H388),"RE &gt; CA ",""),""))=0,"OK",IF(COUNT(I388,J388)=2,IF(J388&gt;I388+1,"EBE &gt; VA ",""),"")&amp;IF(COUNT(H388,M388)=2,IF(ABS(M388)&gt;ABS(H388),"RN &gt; CA ",""),"")&amp;IF(COUNT(H388,K388)=2,IF(ABS(K388)&gt;ABS(H388),"RE &gt; CA ",""),"")))</f>
        <v/>
      </c>
    </row>
    <row r="389">
      <c r="A389" s="9" t="inlineStr">
        <is>
          <t>STAC</t>
        </is>
      </c>
      <c r="B389" s="10">
        <f>IF(A389="","",IFERROR(VLOOKUP(A389,Titres!$A$2:$B$400,2,FALSE),"Ticker inconnu"))</f>
        <v/>
      </c>
      <c r="C389" s="11" t="n">
        <v>2023</v>
      </c>
      <c r="D389" s="11" t="inlineStr">
        <is>
          <t>T1</t>
        </is>
      </c>
      <c r="E389" s="9" t="n"/>
      <c r="F389" s="12" t="n"/>
      <c r="G389" s="9" t="n"/>
      <c r="H389" s="13" t="n"/>
      <c r="I389" s="13" t="n"/>
      <c r="J389" s="13" t="n"/>
      <c r="K389" s="13" t="n"/>
      <c r="L389" s="13" t="n"/>
      <c r="M389" s="13" t="n"/>
      <c r="N389" s="14">
        <f>IF(A389="","",COUNT(H389:M389)/6)</f>
        <v/>
      </c>
      <c r="O389" s="15">
        <f>IF(COUNT(H389:M389)=0,"",IF(LEN(IF(COUNT(I389,J389)=2,IF(J389&gt;I389+1,"EBE &gt; VA ",""),"")&amp;IF(COUNT(H389,M389)=2,IF(ABS(M389)&gt;ABS(H389),"RN &gt; CA ",""),"")&amp;IF(COUNT(H389,K389)=2,IF(ABS(K389)&gt;ABS(H389),"RE &gt; CA ",""),""))=0,"OK",IF(COUNT(I389,J389)=2,IF(J389&gt;I389+1,"EBE &gt; VA ",""),"")&amp;IF(COUNT(H389,M389)=2,IF(ABS(M389)&gt;ABS(H389),"RN &gt; CA ",""),"")&amp;IF(COUNT(H389,K389)=2,IF(ABS(K389)&gt;ABS(H389),"RE &gt; CA ",""),"")))</f>
        <v/>
      </c>
    </row>
    <row r="390">
      <c r="A390" s="9" t="inlineStr">
        <is>
          <t>STAC</t>
        </is>
      </c>
      <c r="B390" s="10">
        <f>IF(A390="","",IFERROR(VLOOKUP(A390,Titres!$A$2:$B$400,2,FALSE),"Ticker inconnu"))</f>
        <v/>
      </c>
      <c r="C390" s="11" t="n">
        <v>2023</v>
      </c>
      <c r="D390" s="11" t="inlineStr">
        <is>
          <t>S1</t>
        </is>
      </c>
      <c r="E390" s="9" t="n"/>
      <c r="F390" s="12" t="n"/>
      <c r="G390" s="9" t="n"/>
      <c r="H390" s="13" t="n"/>
      <c r="I390" s="13" t="n"/>
      <c r="J390" s="13" t="n"/>
      <c r="K390" s="13" t="n"/>
      <c r="L390" s="13" t="n"/>
      <c r="M390" s="13" t="n"/>
      <c r="N390" s="14">
        <f>IF(A390="","",COUNT(H390:M390)/6)</f>
        <v/>
      </c>
      <c r="O390" s="15">
        <f>IF(COUNT(H390:M390)=0,"",IF(LEN(IF(COUNT(I390,J390)=2,IF(J390&gt;I390+1,"EBE &gt; VA ",""),"")&amp;IF(COUNT(H390,M390)=2,IF(ABS(M390)&gt;ABS(H390),"RN &gt; CA ",""),"")&amp;IF(COUNT(H390,K390)=2,IF(ABS(K390)&gt;ABS(H390),"RE &gt; CA ",""),""))=0,"OK",IF(COUNT(I390,J390)=2,IF(J390&gt;I390+1,"EBE &gt; VA ",""),"")&amp;IF(COUNT(H390,M390)=2,IF(ABS(M390)&gt;ABS(H390),"RN &gt; CA ",""),"")&amp;IF(COUNT(H390,K390)=2,IF(ABS(K390)&gt;ABS(H390),"RE &gt; CA ",""),"")))</f>
        <v/>
      </c>
    </row>
    <row r="391">
      <c r="A391" s="9" t="inlineStr">
        <is>
          <t>STAC</t>
        </is>
      </c>
      <c r="B391" s="10">
        <f>IF(A391="","",IFERROR(VLOOKUP(A391,Titres!$A$2:$B$400,2,FALSE),"Ticker inconnu"))</f>
        <v/>
      </c>
      <c r="C391" s="11" t="n">
        <v>2023</v>
      </c>
      <c r="D391" s="11" t="inlineStr">
        <is>
          <t>T3</t>
        </is>
      </c>
      <c r="E391" s="9" t="n"/>
      <c r="F391" s="12" t="n"/>
      <c r="G391" s="9" t="n"/>
      <c r="H391" s="13" t="n"/>
      <c r="I391" s="13" t="n"/>
      <c r="J391" s="13" t="n"/>
      <c r="K391" s="13" t="n"/>
      <c r="L391" s="13" t="n"/>
      <c r="M391" s="13" t="n"/>
      <c r="N391" s="14">
        <f>IF(A391="","",COUNT(H391:M391)/6)</f>
        <v/>
      </c>
      <c r="O391" s="15">
        <f>IF(COUNT(H391:M391)=0,"",IF(LEN(IF(COUNT(I391,J391)=2,IF(J391&gt;I391+1,"EBE &gt; VA ",""),"")&amp;IF(COUNT(H391,M391)=2,IF(ABS(M391)&gt;ABS(H391),"RN &gt; CA ",""),"")&amp;IF(COUNT(H391,K391)=2,IF(ABS(K391)&gt;ABS(H391),"RE &gt; CA ",""),""))=0,"OK",IF(COUNT(I391,J391)=2,IF(J391&gt;I391+1,"EBE &gt; VA ",""),"")&amp;IF(COUNT(H391,M391)=2,IF(ABS(M391)&gt;ABS(H391),"RN &gt; CA ",""),"")&amp;IF(COUNT(H391,K391)=2,IF(ABS(K391)&gt;ABS(H391),"RE &gt; CA ",""),"")))</f>
        <v/>
      </c>
    </row>
    <row r="392">
      <c r="A392" s="9" t="inlineStr">
        <is>
          <t>STAC</t>
        </is>
      </c>
      <c r="B392" s="10">
        <f>IF(A392="","",IFERROR(VLOOKUP(A392,Titres!$A$2:$B$400,2,FALSE),"Ticker inconnu"))</f>
        <v/>
      </c>
      <c r="C392" s="11" t="n">
        <v>2024</v>
      </c>
      <c r="D392" s="11" t="inlineStr">
        <is>
          <t>T1</t>
        </is>
      </c>
      <c r="E392" s="9" t="n"/>
      <c r="F392" s="12" t="n"/>
      <c r="G392" s="9" t="n"/>
      <c r="H392" s="13" t="n"/>
      <c r="I392" s="13" t="n"/>
      <c r="J392" s="13" t="n"/>
      <c r="K392" s="13" t="n"/>
      <c r="L392" s="13" t="n"/>
      <c r="M392" s="13" t="n"/>
      <c r="N392" s="14">
        <f>IF(A392="","",COUNT(H392:M392)/6)</f>
        <v/>
      </c>
      <c r="O392" s="15">
        <f>IF(COUNT(H392:M392)=0,"",IF(LEN(IF(COUNT(I392,J392)=2,IF(J392&gt;I392+1,"EBE &gt; VA ",""),"")&amp;IF(COUNT(H392,M392)=2,IF(ABS(M392)&gt;ABS(H392),"RN &gt; CA ",""),"")&amp;IF(COUNT(H392,K392)=2,IF(ABS(K392)&gt;ABS(H392),"RE &gt; CA ",""),""))=0,"OK",IF(COUNT(I392,J392)=2,IF(J392&gt;I392+1,"EBE &gt; VA ",""),"")&amp;IF(COUNT(H392,M392)=2,IF(ABS(M392)&gt;ABS(H392),"RN &gt; CA ",""),"")&amp;IF(COUNT(H392,K392)=2,IF(ABS(K392)&gt;ABS(H392),"RE &gt; CA ",""),"")))</f>
        <v/>
      </c>
    </row>
    <row r="393">
      <c r="A393" s="9" t="inlineStr">
        <is>
          <t>STAC</t>
        </is>
      </c>
      <c r="B393" s="10">
        <f>IF(A393="","",IFERROR(VLOOKUP(A393,Titres!$A$2:$B$400,2,FALSE),"Ticker inconnu"))</f>
        <v/>
      </c>
      <c r="C393" s="11" t="n">
        <v>2024</v>
      </c>
      <c r="D393" s="11" t="inlineStr">
        <is>
          <t>S1</t>
        </is>
      </c>
      <c r="E393" s="9" t="n"/>
      <c r="F393" s="12" t="n"/>
      <c r="G393" s="9" t="n"/>
      <c r="H393" s="13" t="n"/>
      <c r="I393" s="13" t="n"/>
      <c r="J393" s="13" t="n"/>
      <c r="K393" s="13" t="n"/>
      <c r="L393" s="13" t="n"/>
      <c r="M393" s="13" t="n"/>
      <c r="N393" s="14">
        <f>IF(A393="","",COUNT(H393:M393)/6)</f>
        <v/>
      </c>
      <c r="O393" s="15">
        <f>IF(COUNT(H393:M393)=0,"",IF(LEN(IF(COUNT(I393,J393)=2,IF(J393&gt;I393+1,"EBE &gt; VA ",""),"")&amp;IF(COUNT(H393,M393)=2,IF(ABS(M393)&gt;ABS(H393),"RN &gt; CA ",""),"")&amp;IF(COUNT(H393,K393)=2,IF(ABS(K393)&gt;ABS(H393),"RE &gt; CA ",""),""))=0,"OK",IF(COUNT(I393,J393)=2,IF(J393&gt;I393+1,"EBE &gt; VA ",""),"")&amp;IF(COUNT(H393,M393)=2,IF(ABS(M393)&gt;ABS(H393),"RN &gt; CA ",""),"")&amp;IF(COUNT(H393,K393)=2,IF(ABS(K393)&gt;ABS(H393),"RE &gt; CA ",""),"")))</f>
        <v/>
      </c>
    </row>
    <row r="394">
      <c r="A394" s="9" t="inlineStr">
        <is>
          <t>STAC</t>
        </is>
      </c>
      <c r="B394" s="10">
        <f>IF(A394="","",IFERROR(VLOOKUP(A394,Titres!$A$2:$B$400,2,FALSE),"Ticker inconnu"))</f>
        <v/>
      </c>
      <c r="C394" s="11" t="n">
        <v>2024</v>
      </c>
      <c r="D394" s="11" t="inlineStr">
        <is>
          <t>T3</t>
        </is>
      </c>
      <c r="E394" s="9" t="n"/>
      <c r="F394" s="12" t="n"/>
      <c r="G394" s="9" t="n"/>
      <c r="H394" s="13" t="n"/>
      <c r="I394" s="13" t="n"/>
      <c r="J394" s="13" t="n"/>
      <c r="K394" s="13" t="n"/>
      <c r="L394" s="13" t="n"/>
      <c r="M394" s="13" t="n"/>
      <c r="N394" s="14">
        <f>IF(A394="","",COUNT(H394:M394)/6)</f>
        <v/>
      </c>
      <c r="O394" s="15">
        <f>IF(COUNT(H394:M394)=0,"",IF(LEN(IF(COUNT(I394,J394)=2,IF(J394&gt;I394+1,"EBE &gt; VA ",""),"")&amp;IF(COUNT(H394,M394)=2,IF(ABS(M394)&gt;ABS(H394),"RN &gt; CA ",""),"")&amp;IF(COUNT(H394,K394)=2,IF(ABS(K394)&gt;ABS(H394),"RE &gt; CA ",""),""))=0,"OK",IF(COUNT(I394,J394)=2,IF(J394&gt;I394+1,"EBE &gt; VA ",""),"")&amp;IF(COUNT(H394,M394)=2,IF(ABS(M394)&gt;ABS(H394),"RN &gt; CA ",""),"")&amp;IF(COUNT(H394,K394)=2,IF(ABS(K394)&gt;ABS(H394),"RE &gt; CA ",""),"")))</f>
        <v/>
      </c>
    </row>
    <row r="395">
      <c r="A395" s="9" t="inlineStr">
        <is>
          <t>STAC</t>
        </is>
      </c>
      <c r="B395" s="10">
        <f>IF(A395="","",IFERROR(VLOOKUP(A395,Titres!$A$2:$B$400,2,FALSE),"Ticker inconnu"))</f>
        <v/>
      </c>
      <c r="C395" s="11" t="n">
        <v>2025</v>
      </c>
      <c r="D395" s="11" t="inlineStr">
        <is>
          <t>T1</t>
        </is>
      </c>
      <c r="E395" s="9" t="n"/>
      <c r="F395" s="12" t="n"/>
      <c r="G395" s="9" t="n"/>
      <c r="H395" s="13" t="n"/>
      <c r="I395" s="13" t="n"/>
      <c r="J395" s="13" t="n"/>
      <c r="K395" s="13" t="n"/>
      <c r="L395" s="13" t="n"/>
      <c r="M395" s="13" t="n"/>
      <c r="N395" s="14">
        <f>IF(A395="","",COUNT(H395:M395)/6)</f>
        <v/>
      </c>
      <c r="O395" s="15">
        <f>IF(COUNT(H395:M395)=0,"",IF(LEN(IF(COUNT(I395,J395)=2,IF(J395&gt;I395+1,"EBE &gt; VA ",""),"")&amp;IF(COUNT(H395,M395)=2,IF(ABS(M395)&gt;ABS(H395),"RN &gt; CA ",""),"")&amp;IF(COUNT(H395,K395)=2,IF(ABS(K395)&gt;ABS(H395),"RE &gt; CA ",""),""))=0,"OK",IF(COUNT(I395,J395)=2,IF(J395&gt;I395+1,"EBE &gt; VA ",""),"")&amp;IF(COUNT(H395,M395)=2,IF(ABS(M395)&gt;ABS(H395),"RN &gt; CA ",""),"")&amp;IF(COUNT(H395,K395)=2,IF(ABS(K395)&gt;ABS(H395),"RE &gt; CA ",""),"")))</f>
        <v/>
      </c>
    </row>
    <row r="396">
      <c r="A396" s="9" t="inlineStr">
        <is>
          <t>STAC</t>
        </is>
      </c>
      <c r="B396" s="10">
        <f>IF(A396="","",IFERROR(VLOOKUP(A396,Titres!$A$2:$B$400,2,FALSE),"Ticker inconnu"))</f>
        <v/>
      </c>
      <c r="C396" s="11" t="n">
        <v>2025</v>
      </c>
      <c r="D396" s="11" t="inlineStr">
        <is>
          <t>S1</t>
        </is>
      </c>
      <c r="E396" s="9" t="n"/>
      <c r="F396" s="12" t="n"/>
      <c r="G396" s="9" t="n"/>
      <c r="H396" s="13" t="n"/>
      <c r="I396" s="13" t="n"/>
      <c r="J396" s="13" t="n"/>
      <c r="K396" s="13" t="n"/>
      <c r="L396" s="13" t="n"/>
      <c r="M396" s="13" t="n"/>
      <c r="N396" s="14">
        <f>IF(A396="","",COUNT(H396:M396)/6)</f>
        <v/>
      </c>
      <c r="O396" s="15">
        <f>IF(COUNT(H396:M396)=0,"",IF(LEN(IF(COUNT(I396,J396)=2,IF(J396&gt;I396+1,"EBE &gt; VA ",""),"")&amp;IF(COUNT(H396,M396)=2,IF(ABS(M396)&gt;ABS(H396),"RN &gt; CA ",""),"")&amp;IF(COUNT(H396,K396)=2,IF(ABS(K396)&gt;ABS(H396),"RE &gt; CA ",""),""))=0,"OK",IF(COUNT(I396,J396)=2,IF(J396&gt;I396+1,"EBE &gt; VA ",""),"")&amp;IF(COUNT(H396,M396)=2,IF(ABS(M396)&gt;ABS(H396),"RN &gt; CA ",""),"")&amp;IF(COUNT(H396,K396)=2,IF(ABS(K396)&gt;ABS(H396),"RE &gt; CA ",""),"")))</f>
        <v/>
      </c>
    </row>
    <row r="397">
      <c r="A397" s="9" t="inlineStr">
        <is>
          <t>STAC</t>
        </is>
      </c>
      <c r="B397" s="10">
        <f>IF(A397="","",IFERROR(VLOOKUP(A397,Titres!$A$2:$B$400,2,FALSE),"Ticker inconnu"))</f>
        <v/>
      </c>
      <c r="C397" s="11" t="n">
        <v>2025</v>
      </c>
      <c r="D397" s="11" t="inlineStr">
        <is>
          <t>T3</t>
        </is>
      </c>
      <c r="E397" s="9" t="n"/>
      <c r="F397" s="12" t="n"/>
      <c r="G397" s="9" t="n"/>
      <c r="H397" s="13" t="n"/>
      <c r="I397" s="13" t="n"/>
      <c r="J397" s="13" t="n"/>
      <c r="K397" s="13" t="n"/>
      <c r="L397" s="13" t="n"/>
      <c r="M397" s="13" t="n"/>
      <c r="N397" s="14">
        <f>IF(A397="","",COUNT(H397:M397)/6)</f>
        <v/>
      </c>
      <c r="O397" s="15">
        <f>IF(COUNT(H397:M397)=0,"",IF(LEN(IF(COUNT(I397,J397)=2,IF(J397&gt;I397+1,"EBE &gt; VA ",""),"")&amp;IF(COUNT(H397,M397)=2,IF(ABS(M397)&gt;ABS(H397),"RN &gt; CA ",""),"")&amp;IF(COUNT(H397,K397)=2,IF(ABS(K397)&gt;ABS(H397),"RE &gt; CA ",""),""))=0,"OK",IF(COUNT(I397,J397)=2,IF(J397&gt;I397+1,"EBE &gt; VA ",""),"")&amp;IF(COUNT(H397,M397)=2,IF(ABS(M397)&gt;ABS(H397),"RN &gt; CA ",""),"")&amp;IF(COUNT(H397,K397)=2,IF(ABS(K397)&gt;ABS(H397),"RE &gt; CA ",""),"")))</f>
        <v/>
      </c>
    </row>
    <row r="398">
      <c r="A398" s="9" t="inlineStr">
        <is>
          <t>STAC</t>
        </is>
      </c>
      <c r="B398" s="10">
        <f>IF(A398="","",IFERROR(VLOOKUP(A398,Titres!$A$2:$B$400,2,FALSE),"Ticker inconnu"))</f>
        <v/>
      </c>
      <c r="C398" s="11" t="n">
        <v>2026</v>
      </c>
      <c r="D398" s="11" t="inlineStr">
        <is>
          <t>T1</t>
        </is>
      </c>
      <c r="E398" s="9" t="n"/>
      <c r="F398" s="12" t="n"/>
      <c r="G398" s="9" t="n"/>
      <c r="H398" s="13" t="n"/>
      <c r="I398" s="13" t="n"/>
      <c r="J398" s="13" t="n"/>
      <c r="K398" s="13" t="n"/>
      <c r="L398" s="13" t="n"/>
      <c r="M398" s="13" t="n"/>
      <c r="N398" s="14">
        <f>IF(A398="","",COUNT(H398:M398)/6)</f>
        <v/>
      </c>
      <c r="O398" s="15">
        <f>IF(COUNT(H398:M398)=0,"",IF(LEN(IF(COUNT(I398,J398)=2,IF(J398&gt;I398+1,"EBE &gt; VA ",""),"")&amp;IF(COUNT(H398,M398)=2,IF(ABS(M398)&gt;ABS(H398),"RN &gt; CA ",""),"")&amp;IF(COUNT(H398,K398)=2,IF(ABS(K398)&gt;ABS(H398),"RE &gt; CA ",""),""))=0,"OK",IF(COUNT(I398,J398)=2,IF(J398&gt;I398+1,"EBE &gt; VA ",""),"")&amp;IF(COUNT(H398,M398)=2,IF(ABS(M398)&gt;ABS(H398),"RN &gt; CA ",""),"")&amp;IF(COUNT(H398,K398)=2,IF(ABS(K398)&gt;ABS(H398),"RE &gt; CA ",""),"")))</f>
        <v/>
      </c>
    </row>
    <row r="399">
      <c r="A399" s="9" t="inlineStr">
        <is>
          <t>STAC</t>
        </is>
      </c>
      <c r="B399" s="10">
        <f>IF(A399="","",IFERROR(VLOOKUP(A399,Titres!$A$2:$B$400,2,FALSE),"Ticker inconnu"))</f>
        <v/>
      </c>
      <c r="C399" s="11" t="n">
        <v>2026</v>
      </c>
      <c r="D399" s="11" t="inlineStr">
        <is>
          <t>S1</t>
        </is>
      </c>
      <c r="E399" s="9" t="n"/>
      <c r="F399" s="12" t="n"/>
      <c r="G399" s="9" t="n"/>
      <c r="H399" s="13" t="n"/>
      <c r="I399" s="13" t="n"/>
      <c r="J399" s="13" t="n"/>
      <c r="K399" s="13" t="n"/>
      <c r="L399" s="13" t="n"/>
      <c r="M399" s="13" t="n"/>
      <c r="N399" s="14">
        <f>IF(A399="","",COUNT(H399:M399)/6)</f>
        <v/>
      </c>
      <c r="O399" s="15">
        <f>IF(COUNT(H399:M399)=0,"",IF(LEN(IF(COUNT(I399,J399)=2,IF(J399&gt;I399+1,"EBE &gt; VA ",""),"")&amp;IF(COUNT(H399,M399)=2,IF(ABS(M399)&gt;ABS(H399),"RN &gt; CA ",""),"")&amp;IF(COUNT(H399,K399)=2,IF(ABS(K399)&gt;ABS(H399),"RE &gt; CA ",""),""))=0,"OK",IF(COUNT(I399,J399)=2,IF(J399&gt;I399+1,"EBE &gt; VA ",""),"")&amp;IF(COUNT(H399,M399)=2,IF(ABS(M399)&gt;ABS(H399),"RN &gt; CA ",""),"")&amp;IF(COUNT(H399,K399)=2,IF(ABS(K399)&gt;ABS(H399),"RE &gt; CA ",""),"")))</f>
        <v/>
      </c>
    </row>
    <row r="400">
      <c r="A400" s="9" t="inlineStr">
        <is>
          <t>STAC</t>
        </is>
      </c>
      <c r="B400" s="10">
        <f>IF(A400="","",IFERROR(VLOOKUP(A400,Titres!$A$2:$B$400,2,FALSE),"Ticker inconnu"))</f>
        <v/>
      </c>
      <c r="C400" s="11" t="n">
        <v>2026</v>
      </c>
      <c r="D400" s="11" t="inlineStr">
        <is>
          <t>T3</t>
        </is>
      </c>
      <c r="E400" s="9" t="n"/>
      <c r="F400" s="12" t="n"/>
      <c r="G400" s="9" t="n"/>
      <c r="H400" s="13" t="n"/>
      <c r="I400" s="13" t="n"/>
      <c r="J400" s="13" t="n"/>
      <c r="K400" s="13" t="n"/>
      <c r="L400" s="13" t="n"/>
      <c r="M400" s="13" t="n"/>
      <c r="N400" s="14">
        <f>IF(A400="","",COUNT(H400:M400)/6)</f>
        <v/>
      </c>
      <c r="O400" s="15">
        <f>IF(COUNT(H400:M400)=0,"",IF(LEN(IF(COUNT(I400,J400)=2,IF(J400&gt;I400+1,"EBE &gt; VA ",""),"")&amp;IF(COUNT(H400,M400)=2,IF(ABS(M400)&gt;ABS(H400),"RN &gt; CA ",""),"")&amp;IF(COUNT(H400,K400)=2,IF(ABS(K400)&gt;ABS(H400),"RE &gt; CA ",""),""))=0,"OK",IF(COUNT(I400,J400)=2,IF(J400&gt;I400+1,"EBE &gt; VA ",""),"")&amp;IF(COUNT(H400,M400)=2,IF(ABS(M400)&gt;ABS(H400),"RN &gt; CA ",""),"")&amp;IF(COUNT(H400,K400)=2,IF(ABS(K400)&gt;ABS(H400),"RE &gt; CA ",""),"")))</f>
        <v/>
      </c>
    </row>
    <row r="401">
      <c r="A401" s="9" t="inlineStr">
        <is>
          <t>ETIT</t>
        </is>
      </c>
      <c r="B401" s="10">
        <f>IF(A401="","",IFERROR(VLOOKUP(A401,Titres!$A$2:$B$400,2,FALSE),"Ticker inconnu"))</f>
        <v/>
      </c>
      <c r="C401" s="11" t="n">
        <v>2021</v>
      </c>
      <c r="D401" s="11" t="inlineStr">
        <is>
          <t>T1</t>
        </is>
      </c>
      <c r="E401" s="9" t="n"/>
      <c r="F401" s="12" t="n"/>
      <c r="G401" s="9" t="n"/>
      <c r="H401" s="13" t="n"/>
      <c r="I401" s="13" t="n"/>
      <c r="J401" s="13" t="n"/>
      <c r="K401" s="13" t="n"/>
      <c r="L401" s="13" t="n"/>
      <c r="M401" s="13" t="n"/>
      <c r="N401" s="14">
        <f>IF(A401="","",COUNT(H401:M401)/6)</f>
        <v/>
      </c>
      <c r="O401" s="15">
        <f>IF(COUNT(H401:M401)=0,"",IF(LEN(IF(COUNT(I401,J401)=2,IF(J401&gt;I401+1,"EBE &gt; VA ",""),"")&amp;IF(COUNT(H401,M401)=2,IF(ABS(M401)&gt;ABS(H401),"RN &gt; CA ",""),"")&amp;IF(COUNT(H401,K401)=2,IF(ABS(K401)&gt;ABS(H401),"RE &gt; CA ",""),""))=0,"OK",IF(COUNT(I401,J401)=2,IF(J401&gt;I401+1,"EBE &gt; VA ",""),"")&amp;IF(COUNT(H401,M401)=2,IF(ABS(M401)&gt;ABS(H401),"RN &gt; CA ",""),"")&amp;IF(COUNT(H401,K401)=2,IF(ABS(K401)&gt;ABS(H401),"RE &gt; CA ",""),"")))</f>
        <v/>
      </c>
    </row>
    <row r="402">
      <c r="A402" s="9" t="inlineStr">
        <is>
          <t>ETIT</t>
        </is>
      </c>
      <c r="B402" s="10">
        <f>IF(A402="","",IFERROR(VLOOKUP(A402,Titres!$A$2:$B$400,2,FALSE),"Ticker inconnu"))</f>
        <v/>
      </c>
      <c r="C402" s="11" t="n">
        <v>2021</v>
      </c>
      <c r="D402" s="11" t="inlineStr">
        <is>
          <t>S1</t>
        </is>
      </c>
      <c r="E402" s="9" t="n"/>
      <c r="F402" s="12" t="n"/>
      <c r="G402" s="9" t="n"/>
      <c r="H402" s="13" t="n"/>
      <c r="I402" s="13" t="n"/>
      <c r="J402" s="13" t="n"/>
      <c r="K402" s="13" t="n"/>
      <c r="L402" s="13" t="n"/>
      <c r="M402" s="13" t="n"/>
      <c r="N402" s="14">
        <f>IF(A402="","",COUNT(H402:M402)/6)</f>
        <v/>
      </c>
      <c r="O402" s="15">
        <f>IF(COUNT(H402:M402)=0,"",IF(LEN(IF(COUNT(I402,J402)=2,IF(J402&gt;I402+1,"EBE &gt; VA ",""),"")&amp;IF(COUNT(H402,M402)=2,IF(ABS(M402)&gt;ABS(H402),"RN &gt; CA ",""),"")&amp;IF(COUNT(H402,K402)=2,IF(ABS(K402)&gt;ABS(H402),"RE &gt; CA ",""),""))=0,"OK",IF(COUNT(I402,J402)=2,IF(J402&gt;I402+1,"EBE &gt; VA ",""),"")&amp;IF(COUNT(H402,M402)=2,IF(ABS(M402)&gt;ABS(H402),"RN &gt; CA ",""),"")&amp;IF(COUNT(H402,K402)=2,IF(ABS(K402)&gt;ABS(H402),"RE &gt; CA ",""),"")))</f>
        <v/>
      </c>
    </row>
    <row r="403">
      <c r="A403" s="9" t="inlineStr">
        <is>
          <t>ETIT</t>
        </is>
      </c>
      <c r="B403" s="10">
        <f>IF(A403="","",IFERROR(VLOOKUP(A403,Titres!$A$2:$B$400,2,FALSE),"Ticker inconnu"))</f>
        <v/>
      </c>
      <c r="C403" s="11" t="n">
        <v>2021</v>
      </c>
      <c r="D403" s="11" t="inlineStr">
        <is>
          <t>T3</t>
        </is>
      </c>
      <c r="E403" s="9" t="n"/>
      <c r="F403" s="12" t="n"/>
      <c r="G403" s="9" t="n"/>
      <c r="H403" s="13" t="n"/>
      <c r="I403" s="13" t="n"/>
      <c r="J403" s="13" t="n"/>
      <c r="K403" s="13" t="n"/>
      <c r="L403" s="13" t="n"/>
      <c r="M403" s="13" t="n"/>
      <c r="N403" s="14">
        <f>IF(A403="","",COUNT(H403:M403)/6)</f>
        <v/>
      </c>
      <c r="O403" s="15">
        <f>IF(COUNT(H403:M403)=0,"",IF(LEN(IF(COUNT(I403,J403)=2,IF(J403&gt;I403+1,"EBE &gt; VA ",""),"")&amp;IF(COUNT(H403,M403)=2,IF(ABS(M403)&gt;ABS(H403),"RN &gt; CA ",""),"")&amp;IF(COUNT(H403,K403)=2,IF(ABS(K403)&gt;ABS(H403),"RE &gt; CA ",""),""))=0,"OK",IF(COUNT(I403,J403)=2,IF(J403&gt;I403+1,"EBE &gt; VA ",""),"")&amp;IF(COUNT(H403,M403)=2,IF(ABS(M403)&gt;ABS(H403),"RN &gt; CA ",""),"")&amp;IF(COUNT(H403,K403)=2,IF(ABS(K403)&gt;ABS(H403),"RE &gt; CA ",""),"")))</f>
        <v/>
      </c>
    </row>
    <row r="404">
      <c r="A404" s="9" t="inlineStr">
        <is>
          <t>ETIT</t>
        </is>
      </c>
      <c r="B404" s="10">
        <f>IF(A404="","",IFERROR(VLOOKUP(A404,Titres!$A$2:$B$400,2,FALSE),"Ticker inconnu"))</f>
        <v/>
      </c>
      <c r="C404" s="11" t="n">
        <v>2022</v>
      </c>
      <c r="D404" s="11" t="inlineStr">
        <is>
          <t>T1</t>
        </is>
      </c>
      <c r="E404" s="9" t="n"/>
      <c r="F404" s="12" t="n"/>
      <c r="G404" s="9" t="n"/>
      <c r="H404" s="13" t="n"/>
      <c r="I404" s="13" t="n"/>
      <c r="J404" s="13" t="n"/>
      <c r="K404" s="13" t="n"/>
      <c r="L404" s="13" t="n"/>
      <c r="M404" s="13" t="n"/>
      <c r="N404" s="14">
        <f>IF(A404="","",COUNT(H404:M404)/6)</f>
        <v/>
      </c>
      <c r="O404" s="15">
        <f>IF(COUNT(H404:M404)=0,"",IF(LEN(IF(COUNT(I404,J404)=2,IF(J404&gt;I404+1,"EBE &gt; VA ",""),"")&amp;IF(COUNT(H404,M404)=2,IF(ABS(M404)&gt;ABS(H404),"RN &gt; CA ",""),"")&amp;IF(COUNT(H404,K404)=2,IF(ABS(K404)&gt;ABS(H404),"RE &gt; CA ",""),""))=0,"OK",IF(COUNT(I404,J404)=2,IF(J404&gt;I404+1,"EBE &gt; VA ",""),"")&amp;IF(COUNT(H404,M404)=2,IF(ABS(M404)&gt;ABS(H404),"RN &gt; CA ",""),"")&amp;IF(COUNT(H404,K404)=2,IF(ABS(K404)&gt;ABS(H404),"RE &gt; CA ",""),"")))</f>
        <v/>
      </c>
    </row>
    <row r="405">
      <c r="A405" s="9" t="inlineStr">
        <is>
          <t>ETIT</t>
        </is>
      </c>
      <c r="B405" s="10">
        <f>IF(A405="","",IFERROR(VLOOKUP(A405,Titres!$A$2:$B$400,2,FALSE),"Ticker inconnu"))</f>
        <v/>
      </c>
      <c r="C405" s="11" t="n">
        <v>2022</v>
      </c>
      <c r="D405" s="11" t="inlineStr">
        <is>
          <t>S1</t>
        </is>
      </c>
      <c r="E405" s="9" t="n"/>
      <c r="F405" s="12" t="n"/>
      <c r="G405" s="9" t="n"/>
      <c r="H405" s="13" t="n"/>
      <c r="I405" s="13" t="n"/>
      <c r="J405" s="13" t="n"/>
      <c r="K405" s="13" t="n"/>
      <c r="L405" s="13" t="n"/>
      <c r="M405" s="13" t="n"/>
      <c r="N405" s="14">
        <f>IF(A405="","",COUNT(H405:M405)/6)</f>
        <v/>
      </c>
      <c r="O405" s="15">
        <f>IF(COUNT(H405:M405)=0,"",IF(LEN(IF(COUNT(I405,J405)=2,IF(J405&gt;I405+1,"EBE &gt; VA ",""),"")&amp;IF(COUNT(H405,M405)=2,IF(ABS(M405)&gt;ABS(H405),"RN &gt; CA ",""),"")&amp;IF(COUNT(H405,K405)=2,IF(ABS(K405)&gt;ABS(H405),"RE &gt; CA ",""),""))=0,"OK",IF(COUNT(I405,J405)=2,IF(J405&gt;I405+1,"EBE &gt; VA ",""),"")&amp;IF(COUNT(H405,M405)=2,IF(ABS(M405)&gt;ABS(H405),"RN &gt; CA ",""),"")&amp;IF(COUNT(H405,K405)=2,IF(ABS(K405)&gt;ABS(H405),"RE &gt; CA ",""),"")))</f>
        <v/>
      </c>
    </row>
    <row r="406">
      <c r="A406" s="9" t="inlineStr">
        <is>
          <t>ETIT</t>
        </is>
      </c>
      <c r="B406" s="10">
        <f>IF(A406="","",IFERROR(VLOOKUP(A406,Titres!$A$2:$B$400,2,FALSE),"Ticker inconnu"))</f>
        <v/>
      </c>
      <c r="C406" s="11" t="n">
        <v>2022</v>
      </c>
      <c r="D406" s="11" t="inlineStr">
        <is>
          <t>T3</t>
        </is>
      </c>
      <c r="E406" s="9" t="n"/>
      <c r="F406" s="12" t="n"/>
      <c r="G406" s="9" t="n"/>
      <c r="H406" s="13" t="n"/>
      <c r="I406" s="13" t="n"/>
      <c r="J406" s="13" t="n"/>
      <c r="K406" s="13" t="n"/>
      <c r="L406" s="13" t="n"/>
      <c r="M406" s="13" t="n"/>
      <c r="N406" s="14">
        <f>IF(A406="","",COUNT(H406:M406)/6)</f>
        <v/>
      </c>
      <c r="O406" s="15">
        <f>IF(COUNT(H406:M406)=0,"",IF(LEN(IF(COUNT(I406,J406)=2,IF(J406&gt;I406+1,"EBE &gt; VA ",""),"")&amp;IF(COUNT(H406,M406)=2,IF(ABS(M406)&gt;ABS(H406),"RN &gt; CA ",""),"")&amp;IF(COUNT(H406,K406)=2,IF(ABS(K406)&gt;ABS(H406),"RE &gt; CA ",""),""))=0,"OK",IF(COUNT(I406,J406)=2,IF(J406&gt;I406+1,"EBE &gt; VA ",""),"")&amp;IF(COUNT(H406,M406)=2,IF(ABS(M406)&gt;ABS(H406),"RN &gt; CA ",""),"")&amp;IF(COUNT(H406,K406)=2,IF(ABS(K406)&gt;ABS(H406),"RE &gt; CA ",""),"")))</f>
        <v/>
      </c>
    </row>
    <row r="407">
      <c r="A407" s="9" t="inlineStr">
        <is>
          <t>ETIT</t>
        </is>
      </c>
      <c r="B407" s="10">
        <f>IF(A407="","",IFERROR(VLOOKUP(A407,Titres!$A$2:$B$400,2,FALSE),"Ticker inconnu"))</f>
        <v/>
      </c>
      <c r="C407" s="11" t="n">
        <v>2023</v>
      </c>
      <c r="D407" s="11" t="inlineStr">
        <is>
          <t>T1</t>
        </is>
      </c>
      <c r="E407" s="9" t="n"/>
      <c r="F407" s="12" t="n"/>
      <c r="G407" s="9" t="n"/>
      <c r="H407" s="13" t="n"/>
      <c r="I407" s="13" t="n"/>
      <c r="J407" s="13" t="n"/>
      <c r="K407" s="13" t="n"/>
      <c r="L407" s="13" t="n"/>
      <c r="M407" s="13" t="n"/>
      <c r="N407" s="14">
        <f>IF(A407="","",COUNT(H407:M407)/6)</f>
        <v/>
      </c>
      <c r="O407" s="15">
        <f>IF(COUNT(H407:M407)=0,"",IF(LEN(IF(COUNT(I407,J407)=2,IF(J407&gt;I407+1,"EBE &gt; VA ",""),"")&amp;IF(COUNT(H407,M407)=2,IF(ABS(M407)&gt;ABS(H407),"RN &gt; CA ",""),"")&amp;IF(COUNT(H407,K407)=2,IF(ABS(K407)&gt;ABS(H407),"RE &gt; CA ",""),""))=0,"OK",IF(COUNT(I407,J407)=2,IF(J407&gt;I407+1,"EBE &gt; VA ",""),"")&amp;IF(COUNT(H407,M407)=2,IF(ABS(M407)&gt;ABS(H407),"RN &gt; CA ",""),"")&amp;IF(COUNT(H407,K407)=2,IF(ABS(K407)&gt;ABS(H407),"RE &gt; CA ",""),"")))</f>
        <v/>
      </c>
    </row>
    <row r="408">
      <c r="A408" s="9" t="inlineStr">
        <is>
          <t>ETIT</t>
        </is>
      </c>
      <c r="B408" s="10">
        <f>IF(A408="","",IFERROR(VLOOKUP(A408,Titres!$A$2:$B$400,2,FALSE),"Ticker inconnu"))</f>
        <v/>
      </c>
      <c r="C408" s="11" t="n">
        <v>2023</v>
      </c>
      <c r="D408" s="11" t="inlineStr">
        <is>
          <t>S1</t>
        </is>
      </c>
      <c r="E408" s="9" t="n"/>
      <c r="F408" s="12" t="n"/>
      <c r="G408" s="9" t="n"/>
      <c r="H408" s="13" t="n"/>
      <c r="I408" s="13" t="n"/>
      <c r="J408" s="13" t="n"/>
      <c r="K408" s="13" t="n"/>
      <c r="L408" s="13" t="n"/>
      <c r="M408" s="13" t="n"/>
      <c r="N408" s="14">
        <f>IF(A408="","",COUNT(H408:M408)/6)</f>
        <v/>
      </c>
      <c r="O408" s="15">
        <f>IF(COUNT(H408:M408)=0,"",IF(LEN(IF(COUNT(I408,J408)=2,IF(J408&gt;I408+1,"EBE &gt; VA ",""),"")&amp;IF(COUNT(H408,M408)=2,IF(ABS(M408)&gt;ABS(H408),"RN &gt; CA ",""),"")&amp;IF(COUNT(H408,K408)=2,IF(ABS(K408)&gt;ABS(H408),"RE &gt; CA ",""),""))=0,"OK",IF(COUNT(I408,J408)=2,IF(J408&gt;I408+1,"EBE &gt; VA ",""),"")&amp;IF(COUNT(H408,M408)=2,IF(ABS(M408)&gt;ABS(H408),"RN &gt; CA ",""),"")&amp;IF(COUNT(H408,K408)=2,IF(ABS(K408)&gt;ABS(H408),"RE &gt; CA ",""),"")))</f>
        <v/>
      </c>
    </row>
    <row r="409">
      <c r="A409" s="9" t="inlineStr">
        <is>
          <t>ETIT</t>
        </is>
      </c>
      <c r="B409" s="10">
        <f>IF(A409="","",IFERROR(VLOOKUP(A409,Titres!$A$2:$B$400,2,FALSE),"Ticker inconnu"))</f>
        <v/>
      </c>
      <c r="C409" s="11" t="n">
        <v>2023</v>
      </c>
      <c r="D409" s="11" t="inlineStr">
        <is>
          <t>T3</t>
        </is>
      </c>
      <c r="E409" s="9" t="n"/>
      <c r="F409" s="12" t="n"/>
      <c r="G409" s="9" t="n"/>
      <c r="H409" s="13" t="n"/>
      <c r="I409" s="13" t="n"/>
      <c r="J409" s="13" t="n"/>
      <c r="K409" s="13" t="n"/>
      <c r="L409" s="13" t="n"/>
      <c r="M409" s="13" t="n"/>
      <c r="N409" s="14">
        <f>IF(A409="","",COUNT(H409:M409)/6)</f>
        <v/>
      </c>
      <c r="O409" s="15">
        <f>IF(COUNT(H409:M409)=0,"",IF(LEN(IF(COUNT(I409,J409)=2,IF(J409&gt;I409+1,"EBE &gt; VA ",""),"")&amp;IF(COUNT(H409,M409)=2,IF(ABS(M409)&gt;ABS(H409),"RN &gt; CA ",""),"")&amp;IF(COUNT(H409,K409)=2,IF(ABS(K409)&gt;ABS(H409),"RE &gt; CA ",""),""))=0,"OK",IF(COUNT(I409,J409)=2,IF(J409&gt;I409+1,"EBE &gt; VA ",""),"")&amp;IF(COUNT(H409,M409)=2,IF(ABS(M409)&gt;ABS(H409),"RN &gt; CA ",""),"")&amp;IF(COUNT(H409,K409)=2,IF(ABS(K409)&gt;ABS(H409),"RE &gt; CA ",""),"")))</f>
        <v/>
      </c>
    </row>
    <row r="410">
      <c r="A410" s="9" t="inlineStr">
        <is>
          <t>ETIT</t>
        </is>
      </c>
      <c r="B410" s="10">
        <f>IF(A410="","",IFERROR(VLOOKUP(A410,Titres!$A$2:$B$400,2,FALSE),"Ticker inconnu"))</f>
        <v/>
      </c>
      <c r="C410" s="11" t="n">
        <v>2024</v>
      </c>
      <c r="D410" s="11" t="inlineStr">
        <is>
          <t>T1</t>
        </is>
      </c>
      <c r="E410" s="9" t="n"/>
      <c r="F410" s="12" t="n"/>
      <c r="G410" s="9" t="n"/>
      <c r="H410" s="13" t="n"/>
      <c r="I410" s="13" t="n"/>
      <c r="J410" s="13" t="n"/>
      <c r="K410" s="13" t="n"/>
      <c r="L410" s="13" t="n"/>
      <c r="M410" s="13" t="n"/>
      <c r="N410" s="14">
        <f>IF(A410="","",COUNT(H410:M410)/6)</f>
        <v/>
      </c>
      <c r="O410" s="15">
        <f>IF(COUNT(H410:M410)=0,"",IF(LEN(IF(COUNT(I410,J410)=2,IF(J410&gt;I410+1,"EBE &gt; VA ",""),"")&amp;IF(COUNT(H410,M410)=2,IF(ABS(M410)&gt;ABS(H410),"RN &gt; CA ",""),"")&amp;IF(COUNT(H410,K410)=2,IF(ABS(K410)&gt;ABS(H410),"RE &gt; CA ",""),""))=0,"OK",IF(COUNT(I410,J410)=2,IF(J410&gt;I410+1,"EBE &gt; VA ",""),"")&amp;IF(COUNT(H410,M410)=2,IF(ABS(M410)&gt;ABS(H410),"RN &gt; CA ",""),"")&amp;IF(COUNT(H410,K410)=2,IF(ABS(K410)&gt;ABS(H410),"RE &gt; CA ",""),"")))</f>
        <v/>
      </c>
    </row>
    <row r="411">
      <c r="A411" s="9" t="inlineStr">
        <is>
          <t>ETIT</t>
        </is>
      </c>
      <c r="B411" s="10">
        <f>IF(A411="","",IFERROR(VLOOKUP(A411,Titres!$A$2:$B$400,2,FALSE),"Ticker inconnu"))</f>
        <v/>
      </c>
      <c r="C411" s="11" t="n">
        <v>2024</v>
      </c>
      <c r="D411" s="11" t="inlineStr">
        <is>
          <t>S1</t>
        </is>
      </c>
      <c r="E411" s="9" t="n"/>
      <c r="F411" s="12" t="n"/>
      <c r="G411" s="9" t="n"/>
      <c r="H411" s="13" t="n"/>
      <c r="I411" s="13" t="n"/>
      <c r="J411" s="13" t="n"/>
      <c r="K411" s="13" t="n"/>
      <c r="L411" s="13" t="n"/>
      <c r="M411" s="13" t="n"/>
      <c r="N411" s="14">
        <f>IF(A411="","",COUNT(H411:M411)/6)</f>
        <v/>
      </c>
      <c r="O411" s="15">
        <f>IF(COUNT(H411:M411)=0,"",IF(LEN(IF(COUNT(I411,J411)=2,IF(J411&gt;I411+1,"EBE &gt; VA ",""),"")&amp;IF(COUNT(H411,M411)=2,IF(ABS(M411)&gt;ABS(H411),"RN &gt; CA ",""),"")&amp;IF(COUNT(H411,K411)=2,IF(ABS(K411)&gt;ABS(H411),"RE &gt; CA ",""),""))=0,"OK",IF(COUNT(I411,J411)=2,IF(J411&gt;I411+1,"EBE &gt; VA ",""),"")&amp;IF(COUNT(H411,M411)=2,IF(ABS(M411)&gt;ABS(H411),"RN &gt; CA ",""),"")&amp;IF(COUNT(H411,K411)=2,IF(ABS(K411)&gt;ABS(H411),"RE &gt; CA ",""),"")))</f>
        <v/>
      </c>
    </row>
    <row r="412">
      <c r="A412" s="9" t="inlineStr">
        <is>
          <t>ETIT</t>
        </is>
      </c>
      <c r="B412" s="10">
        <f>IF(A412="","",IFERROR(VLOOKUP(A412,Titres!$A$2:$B$400,2,FALSE),"Ticker inconnu"))</f>
        <v/>
      </c>
      <c r="C412" s="11" t="n">
        <v>2024</v>
      </c>
      <c r="D412" s="11" t="inlineStr">
        <is>
          <t>T3</t>
        </is>
      </c>
      <c r="E412" s="9" t="n"/>
      <c r="F412" s="12" t="n"/>
      <c r="G412" s="9" t="n"/>
      <c r="H412" s="13" t="n"/>
      <c r="I412" s="13" t="n"/>
      <c r="J412" s="13" t="n"/>
      <c r="K412" s="13" t="n"/>
      <c r="L412" s="13" t="n"/>
      <c r="M412" s="13" t="n"/>
      <c r="N412" s="14">
        <f>IF(A412="","",COUNT(H412:M412)/6)</f>
        <v/>
      </c>
      <c r="O412" s="15">
        <f>IF(COUNT(H412:M412)=0,"",IF(LEN(IF(COUNT(I412,J412)=2,IF(J412&gt;I412+1,"EBE &gt; VA ",""),"")&amp;IF(COUNT(H412,M412)=2,IF(ABS(M412)&gt;ABS(H412),"RN &gt; CA ",""),"")&amp;IF(COUNT(H412,K412)=2,IF(ABS(K412)&gt;ABS(H412),"RE &gt; CA ",""),""))=0,"OK",IF(COUNT(I412,J412)=2,IF(J412&gt;I412+1,"EBE &gt; VA ",""),"")&amp;IF(COUNT(H412,M412)=2,IF(ABS(M412)&gt;ABS(H412),"RN &gt; CA ",""),"")&amp;IF(COUNT(H412,K412)=2,IF(ABS(K412)&gt;ABS(H412),"RE &gt; CA ",""),"")))</f>
        <v/>
      </c>
    </row>
    <row r="413">
      <c r="A413" s="9" t="inlineStr">
        <is>
          <t>ETIT</t>
        </is>
      </c>
      <c r="B413" s="10">
        <f>IF(A413="","",IFERROR(VLOOKUP(A413,Titres!$A$2:$B$400,2,FALSE),"Ticker inconnu"))</f>
        <v/>
      </c>
      <c r="C413" s="11" t="n">
        <v>2025</v>
      </c>
      <c r="D413" s="11" t="inlineStr">
        <is>
          <t>T1</t>
        </is>
      </c>
      <c r="E413" s="9" t="n"/>
      <c r="F413" s="12" t="n"/>
      <c r="G413" s="9" t="n"/>
      <c r="H413" s="13" t="n"/>
      <c r="I413" s="13" t="n"/>
      <c r="J413" s="13" t="n"/>
      <c r="K413" s="13" t="n"/>
      <c r="L413" s="13" t="n"/>
      <c r="M413" s="13" t="n"/>
      <c r="N413" s="14">
        <f>IF(A413="","",COUNT(H413:M413)/6)</f>
        <v/>
      </c>
      <c r="O413" s="15">
        <f>IF(COUNT(H413:M413)=0,"",IF(LEN(IF(COUNT(I413,J413)=2,IF(J413&gt;I413+1,"EBE &gt; VA ",""),"")&amp;IF(COUNT(H413,M413)=2,IF(ABS(M413)&gt;ABS(H413),"RN &gt; CA ",""),"")&amp;IF(COUNT(H413,K413)=2,IF(ABS(K413)&gt;ABS(H413),"RE &gt; CA ",""),""))=0,"OK",IF(COUNT(I413,J413)=2,IF(J413&gt;I413+1,"EBE &gt; VA ",""),"")&amp;IF(COUNT(H413,M413)=2,IF(ABS(M413)&gt;ABS(H413),"RN &gt; CA ",""),"")&amp;IF(COUNT(H413,K413)=2,IF(ABS(K413)&gt;ABS(H413),"RE &gt; CA ",""),"")))</f>
        <v/>
      </c>
    </row>
    <row r="414">
      <c r="A414" s="9" t="inlineStr">
        <is>
          <t>ETIT</t>
        </is>
      </c>
      <c r="B414" s="10">
        <f>IF(A414="","",IFERROR(VLOOKUP(A414,Titres!$A$2:$B$400,2,FALSE),"Ticker inconnu"))</f>
        <v/>
      </c>
      <c r="C414" s="11" t="n">
        <v>2025</v>
      </c>
      <c r="D414" s="11" t="inlineStr">
        <is>
          <t>S1</t>
        </is>
      </c>
      <c r="E414" s="9" t="n"/>
      <c r="F414" s="12" t="n"/>
      <c r="G414" s="9" t="n"/>
      <c r="H414" s="13" t="n"/>
      <c r="I414" s="13" t="n"/>
      <c r="J414" s="13" t="n"/>
      <c r="K414" s="13" t="n"/>
      <c r="L414" s="13" t="n"/>
      <c r="M414" s="13" t="n"/>
      <c r="N414" s="14">
        <f>IF(A414="","",COUNT(H414:M414)/6)</f>
        <v/>
      </c>
      <c r="O414" s="15">
        <f>IF(COUNT(H414:M414)=0,"",IF(LEN(IF(COUNT(I414,J414)=2,IF(J414&gt;I414+1,"EBE &gt; VA ",""),"")&amp;IF(COUNT(H414,M414)=2,IF(ABS(M414)&gt;ABS(H414),"RN &gt; CA ",""),"")&amp;IF(COUNT(H414,K414)=2,IF(ABS(K414)&gt;ABS(H414),"RE &gt; CA ",""),""))=0,"OK",IF(COUNT(I414,J414)=2,IF(J414&gt;I414+1,"EBE &gt; VA ",""),"")&amp;IF(COUNT(H414,M414)=2,IF(ABS(M414)&gt;ABS(H414),"RN &gt; CA ",""),"")&amp;IF(COUNT(H414,K414)=2,IF(ABS(K414)&gt;ABS(H414),"RE &gt; CA ",""),"")))</f>
        <v/>
      </c>
    </row>
    <row r="415">
      <c r="A415" s="9" t="inlineStr">
        <is>
          <t>ETIT</t>
        </is>
      </c>
      <c r="B415" s="10">
        <f>IF(A415="","",IFERROR(VLOOKUP(A415,Titres!$A$2:$B$400,2,FALSE),"Ticker inconnu"))</f>
        <v/>
      </c>
      <c r="C415" s="11" t="n">
        <v>2025</v>
      </c>
      <c r="D415" s="11" t="inlineStr">
        <is>
          <t>T3</t>
        </is>
      </c>
      <c r="E415" s="9" t="n"/>
      <c r="F415" s="12" t="n"/>
      <c r="G415" s="9" t="n"/>
      <c r="H415" s="13" t="n"/>
      <c r="I415" s="13" t="n"/>
      <c r="J415" s="13" t="n"/>
      <c r="K415" s="13" t="n"/>
      <c r="L415" s="13" t="n"/>
      <c r="M415" s="13" t="n"/>
      <c r="N415" s="14">
        <f>IF(A415="","",COUNT(H415:M415)/6)</f>
        <v/>
      </c>
      <c r="O415" s="15">
        <f>IF(COUNT(H415:M415)=0,"",IF(LEN(IF(COUNT(I415,J415)=2,IF(J415&gt;I415+1,"EBE &gt; VA ",""),"")&amp;IF(COUNT(H415,M415)=2,IF(ABS(M415)&gt;ABS(H415),"RN &gt; CA ",""),"")&amp;IF(COUNT(H415,K415)=2,IF(ABS(K415)&gt;ABS(H415),"RE &gt; CA ",""),""))=0,"OK",IF(COUNT(I415,J415)=2,IF(J415&gt;I415+1,"EBE &gt; VA ",""),"")&amp;IF(COUNT(H415,M415)=2,IF(ABS(M415)&gt;ABS(H415),"RN &gt; CA ",""),"")&amp;IF(COUNT(H415,K415)=2,IF(ABS(K415)&gt;ABS(H415),"RE &gt; CA ",""),"")))</f>
        <v/>
      </c>
    </row>
    <row r="416">
      <c r="A416" s="9" t="inlineStr">
        <is>
          <t>ETIT</t>
        </is>
      </c>
      <c r="B416" s="10">
        <f>IF(A416="","",IFERROR(VLOOKUP(A416,Titres!$A$2:$B$400,2,FALSE),"Ticker inconnu"))</f>
        <v/>
      </c>
      <c r="C416" s="11" t="n">
        <v>2026</v>
      </c>
      <c r="D416" s="11" t="inlineStr">
        <is>
          <t>T1</t>
        </is>
      </c>
      <c r="E416" s="9" t="n"/>
      <c r="F416" s="12" t="n"/>
      <c r="G416" s="9" t="n"/>
      <c r="H416" s="13" t="n"/>
      <c r="I416" s="13" t="n"/>
      <c r="J416" s="13" t="n"/>
      <c r="K416" s="13" t="n"/>
      <c r="L416" s="13" t="n"/>
      <c r="M416" s="13" t="n"/>
      <c r="N416" s="14">
        <f>IF(A416="","",COUNT(H416:M416)/6)</f>
        <v/>
      </c>
      <c r="O416" s="15">
        <f>IF(COUNT(H416:M416)=0,"",IF(LEN(IF(COUNT(I416,J416)=2,IF(J416&gt;I416+1,"EBE &gt; VA ",""),"")&amp;IF(COUNT(H416,M416)=2,IF(ABS(M416)&gt;ABS(H416),"RN &gt; CA ",""),"")&amp;IF(COUNT(H416,K416)=2,IF(ABS(K416)&gt;ABS(H416),"RE &gt; CA ",""),""))=0,"OK",IF(COUNT(I416,J416)=2,IF(J416&gt;I416+1,"EBE &gt; VA ",""),"")&amp;IF(COUNT(H416,M416)=2,IF(ABS(M416)&gt;ABS(H416),"RN &gt; CA ",""),"")&amp;IF(COUNT(H416,K416)=2,IF(ABS(K416)&gt;ABS(H416),"RE &gt; CA ",""),"")))</f>
        <v/>
      </c>
    </row>
    <row r="417">
      <c r="A417" s="9" t="inlineStr">
        <is>
          <t>ETIT</t>
        </is>
      </c>
      <c r="B417" s="10">
        <f>IF(A417="","",IFERROR(VLOOKUP(A417,Titres!$A$2:$B$400,2,FALSE),"Ticker inconnu"))</f>
        <v/>
      </c>
      <c r="C417" s="11" t="n">
        <v>2026</v>
      </c>
      <c r="D417" s="11" t="inlineStr">
        <is>
          <t>S1</t>
        </is>
      </c>
      <c r="E417" s="9" t="n"/>
      <c r="F417" s="12" t="n"/>
      <c r="G417" s="9" t="n"/>
      <c r="H417" s="13" t="n"/>
      <c r="I417" s="13" t="n"/>
      <c r="J417" s="13" t="n"/>
      <c r="K417" s="13" t="n"/>
      <c r="L417" s="13" t="n"/>
      <c r="M417" s="13" t="n"/>
      <c r="N417" s="14">
        <f>IF(A417="","",COUNT(H417:M417)/6)</f>
        <v/>
      </c>
      <c r="O417" s="15">
        <f>IF(COUNT(H417:M417)=0,"",IF(LEN(IF(COUNT(I417,J417)=2,IF(J417&gt;I417+1,"EBE &gt; VA ",""),"")&amp;IF(COUNT(H417,M417)=2,IF(ABS(M417)&gt;ABS(H417),"RN &gt; CA ",""),"")&amp;IF(COUNT(H417,K417)=2,IF(ABS(K417)&gt;ABS(H417),"RE &gt; CA ",""),""))=0,"OK",IF(COUNT(I417,J417)=2,IF(J417&gt;I417+1,"EBE &gt; VA ",""),"")&amp;IF(COUNT(H417,M417)=2,IF(ABS(M417)&gt;ABS(H417),"RN &gt; CA ",""),"")&amp;IF(COUNT(H417,K417)=2,IF(ABS(K417)&gt;ABS(H417),"RE &gt; CA ",""),"")))</f>
        <v/>
      </c>
    </row>
    <row r="418">
      <c r="A418" s="9" t="inlineStr">
        <is>
          <t>ETIT</t>
        </is>
      </c>
      <c r="B418" s="10">
        <f>IF(A418="","",IFERROR(VLOOKUP(A418,Titres!$A$2:$B$400,2,FALSE),"Ticker inconnu"))</f>
        <v/>
      </c>
      <c r="C418" s="11" t="n">
        <v>2026</v>
      </c>
      <c r="D418" s="11" t="inlineStr">
        <is>
          <t>T3</t>
        </is>
      </c>
      <c r="E418" s="9" t="n"/>
      <c r="F418" s="12" t="n"/>
      <c r="G418" s="9" t="n"/>
      <c r="H418" s="13" t="n"/>
      <c r="I418" s="13" t="n"/>
      <c r="J418" s="13" t="n"/>
      <c r="K418" s="13" t="n"/>
      <c r="L418" s="13" t="n"/>
      <c r="M418" s="13" t="n"/>
      <c r="N418" s="14">
        <f>IF(A418="","",COUNT(H418:M418)/6)</f>
        <v/>
      </c>
      <c r="O418" s="15">
        <f>IF(COUNT(H418:M418)=0,"",IF(LEN(IF(COUNT(I418,J418)=2,IF(J418&gt;I418+1,"EBE &gt; VA ",""),"")&amp;IF(COUNT(H418,M418)=2,IF(ABS(M418)&gt;ABS(H418),"RN &gt; CA ",""),"")&amp;IF(COUNT(H418,K418)=2,IF(ABS(K418)&gt;ABS(H418),"RE &gt; CA ",""),""))=0,"OK",IF(COUNT(I418,J418)=2,IF(J418&gt;I418+1,"EBE &gt; VA ",""),"")&amp;IF(COUNT(H418,M418)=2,IF(ABS(M418)&gt;ABS(H418),"RN &gt; CA ",""),"")&amp;IF(COUNT(H418,K418)=2,IF(ABS(K418)&gt;ABS(H418),"RE &gt; CA ",""),"")))</f>
        <v/>
      </c>
    </row>
    <row r="419">
      <c r="A419" s="9" t="inlineStr">
        <is>
          <t>ORGT</t>
        </is>
      </c>
      <c r="B419" s="10">
        <f>IF(A419="","",IFERROR(VLOOKUP(A419,Titres!$A$2:$B$400,2,FALSE),"Ticker inconnu"))</f>
        <v/>
      </c>
      <c r="C419" s="11" t="n">
        <v>2021</v>
      </c>
      <c r="D419" s="11" t="inlineStr">
        <is>
          <t>T1</t>
        </is>
      </c>
      <c r="E419" s="9" t="n"/>
      <c r="F419" s="12" t="n"/>
      <c r="G419" s="9" t="n"/>
      <c r="H419" s="13" t="n"/>
      <c r="I419" s="13" t="n"/>
      <c r="J419" s="13" t="n"/>
      <c r="K419" s="13" t="n"/>
      <c r="L419" s="13" t="n"/>
      <c r="M419" s="13" t="n"/>
      <c r="N419" s="14">
        <f>IF(A419="","",COUNT(H419:M419)/6)</f>
        <v/>
      </c>
      <c r="O419" s="15">
        <f>IF(COUNT(H419:M419)=0,"",IF(LEN(IF(COUNT(I419,J419)=2,IF(J419&gt;I419+1,"EBE &gt; VA ",""),"")&amp;IF(COUNT(H419,M419)=2,IF(ABS(M419)&gt;ABS(H419),"RN &gt; CA ",""),"")&amp;IF(COUNT(H419,K419)=2,IF(ABS(K419)&gt;ABS(H419),"RE &gt; CA ",""),""))=0,"OK",IF(COUNT(I419,J419)=2,IF(J419&gt;I419+1,"EBE &gt; VA ",""),"")&amp;IF(COUNT(H419,M419)=2,IF(ABS(M419)&gt;ABS(H419),"RN &gt; CA ",""),"")&amp;IF(COUNT(H419,K419)=2,IF(ABS(K419)&gt;ABS(H419),"RE &gt; CA ",""),"")))</f>
        <v/>
      </c>
    </row>
    <row r="420">
      <c r="A420" s="9" t="inlineStr">
        <is>
          <t>ORGT</t>
        </is>
      </c>
      <c r="B420" s="10">
        <f>IF(A420="","",IFERROR(VLOOKUP(A420,Titres!$A$2:$B$400,2,FALSE),"Ticker inconnu"))</f>
        <v/>
      </c>
      <c r="C420" s="11" t="n">
        <v>2021</v>
      </c>
      <c r="D420" s="11" t="inlineStr">
        <is>
          <t>S1</t>
        </is>
      </c>
      <c r="E420" s="9" t="n"/>
      <c r="F420" s="12" t="n"/>
      <c r="G420" s="9" t="n"/>
      <c r="H420" s="13" t="n"/>
      <c r="I420" s="13" t="n"/>
      <c r="J420" s="13" t="n"/>
      <c r="K420" s="13" t="n"/>
      <c r="L420" s="13" t="n"/>
      <c r="M420" s="13" t="n"/>
      <c r="N420" s="14">
        <f>IF(A420="","",COUNT(H420:M420)/6)</f>
        <v/>
      </c>
      <c r="O420" s="15">
        <f>IF(COUNT(H420:M420)=0,"",IF(LEN(IF(COUNT(I420,J420)=2,IF(J420&gt;I420+1,"EBE &gt; VA ",""),"")&amp;IF(COUNT(H420,M420)=2,IF(ABS(M420)&gt;ABS(H420),"RN &gt; CA ",""),"")&amp;IF(COUNT(H420,K420)=2,IF(ABS(K420)&gt;ABS(H420),"RE &gt; CA ",""),""))=0,"OK",IF(COUNT(I420,J420)=2,IF(J420&gt;I420+1,"EBE &gt; VA ",""),"")&amp;IF(COUNT(H420,M420)=2,IF(ABS(M420)&gt;ABS(H420),"RN &gt; CA ",""),"")&amp;IF(COUNT(H420,K420)=2,IF(ABS(K420)&gt;ABS(H420),"RE &gt; CA ",""),"")))</f>
        <v/>
      </c>
    </row>
    <row r="421">
      <c r="A421" s="9" t="inlineStr">
        <is>
          <t>ORGT</t>
        </is>
      </c>
      <c r="B421" s="10">
        <f>IF(A421="","",IFERROR(VLOOKUP(A421,Titres!$A$2:$B$400,2,FALSE),"Ticker inconnu"))</f>
        <v/>
      </c>
      <c r="C421" s="11" t="n">
        <v>2021</v>
      </c>
      <c r="D421" s="11" t="inlineStr">
        <is>
          <t>T3</t>
        </is>
      </c>
      <c r="E421" s="9" t="n"/>
      <c r="F421" s="12" t="n"/>
      <c r="G421" s="9" t="n"/>
      <c r="H421" s="13" t="n"/>
      <c r="I421" s="13" t="n"/>
      <c r="J421" s="13" t="n"/>
      <c r="K421" s="13" t="n"/>
      <c r="L421" s="13" t="n"/>
      <c r="M421" s="13" t="n"/>
      <c r="N421" s="14">
        <f>IF(A421="","",COUNT(H421:M421)/6)</f>
        <v/>
      </c>
      <c r="O421" s="15">
        <f>IF(COUNT(H421:M421)=0,"",IF(LEN(IF(COUNT(I421,J421)=2,IF(J421&gt;I421+1,"EBE &gt; VA ",""),"")&amp;IF(COUNT(H421,M421)=2,IF(ABS(M421)&gt;ABS(H421),"RN &gt; CA ",""),"")&amp;IF(COUNT(H421,K421)=2,IF(ABS(K421)&gt;ABS(H421),"RE &gt; CA ",""),""))=0,"OK",IF(COUNT(I421,J421)=2,IF(J421&gt;I421+1,"EBE &gt; VA ",""),"")&amp;IF(COUNT(H421,M421)=2,IF(ABS(M421)&gt;ABS(H421),"RN &gt; CA ",""),"")&amp;IF(COUNT(H421,K421)=2,IF(ABS(K421)&gt;ABS(H421),"RE &gt; CA ",""),"")))</f>
        <v/>
      </c>
    </row>
    <row r="422">
      <c r="A422" s="9" t="inlineStr">
        <is>
          <t>ORGT</t>
        </is>
      </c>
      <c r="B422" s="10">
        <f>IF(A422="","",IFERROR(VLOOKUP(A422,Titres!$A$2:$B$400,2,FALSE),"Ticker inconnu"))</f>
        <v/>
      </c>
      <c r="C422" s="11" t="n">
        <v>2022</v>
      </c>
      <c r="D422" s="11" t="inlineStr">
        <is>
          <t>T1</t>
        </is>
      </c>
      <c r="E422" s="9" t="n"/>
      <c r="F422" s="12" t="n"/>
      <c r="G422" s="9" t="n"/>
      <c r="H422" s="13" t="n"/>
      <c r="I422" s="13" t="n"/>
      <c r="J422" s="13" t="n"/>
      <c r="K422" s="13" t="n"/>
      <c r="L422" s="13" t="n"/>
      <c r="M422" s="13" t="n"/>
      <c r="N422" s="14">
        <f>IF(A422="","",COUNT(H422:M422)/6)</f>
        <v/>
      </c>
      <c r="O422" s="15">
        <f>IF(COUNT(H422:M422)=0,"",IF(LEN(IF(COUNT(I422,J422)=2,IF(J422&gt;I422+1,"EBE &gt; VA ",""),"")&amp;IF(COUNT(H422,M422)=2,IF(ABS(M422)&gt;ABS(H422),"RN &gt; CA ",""),"")&amp;IF(COUNT(H422,K422)=2,IF(ABS(K422)&gt;ABS(H422),"RE &gt; CA ",""),""))=0,"OK",IF(COUNT(I422,J422)=2,IF(J422&gt;I422+1,"EBE &gt; VA ",""),"")&amp;IF(COUNT(H422,M422)=2,IF(ABS(M422)&gt;ABS(H422),"RN &gt; CA ",""),"")&amp;IF(COUNT(H422,K422)=2,IF(ABS(K422)&gt;ABS(H422),"RE &gt; CA ",""),"")))</f>
        <v/>
      </c>
    </row>
    <row r="423">
      <c r="A423" s="9" t="inlineStr">
        <is>
          <t>ORGT</t>
        </is>
      </c>
      <c r="B423" s="10">
        <f>IF(A423="","",IFERROR(VLOOKUP(A423,Titres!$A$2:$B$400,2,FALSE),"Ticker inconnu"))</f>
        <v/>
      </c>
      <c r="C423" s="11" t="n">
        <v>2022</v>
      </c>
      <c r="D423" s="11" t="inlineStr">
        <is>
          <t>S1</t>
        </is>
      </c>
      <c r="E423" s="9" t="n"/>
      <c r="F423" s="12" t="n"/>
      <c r="G423" s="9" t="n"/>
      <c r="H423" s="13" t="n"/>
      <c r="I423" s="13" t="n"/>
      <c r="J423" s="13" t="n"/>
      <c r="K423" s="13" t="n"/>
      <c r="L423" s="13" t="n"/>
      <c r="M423" s="13" t="n"/>
      <c r="N423" s="14">
        <f>IF(A423="","",COUNT(H423:M423)/6)</f>
        <v/>
      </c>
      <c r="O423" s="15">
        <f>IF(COUNT(H423:M423)=0,"",IF(LEN(IF(COUNT(I423,J423)=2,IF(J423&gt;I423+1,"EBE &gt; VA ",""),"")&amp;IF(COUNT(H423,M423)=2,IF(ABS(M423)&gt;ABS(H423),"RN &gt; CA ",""),"")&amp;IF(COUNT(H423,K423)=2,IF(ABS(K423)&gt;ABS(H423),"RE &gt; CA ",""),""))=0,"OK",IF(COUNT(I423,J423)=2,IF(J423&gt;I423+1,"EBE &gt; VA ",""),"")&amp;IF(COUNT(H423,M423)=2,IF(ABS(M423)&gt;ABS(H423),"RN &gt; CA ",""),"")&amp;IF(COUNT(H423,K423)=2,IF(ABS(K423)&gt;ABS(H423),"RE &gt; CA ",""),"")))</f>
        <v/>
      </c>
    </row>
    <row r="424">
      <c r="A424" s="9" t="inlineStr">
        <is>
          <t>ORGT</t>
        </is>
      </c>
      <c r="B424" s="10">
        <f>IF(A424="","",IFERROR(VLOOKUP(A424,Titres!$A$2:$B$400,2,FALSE),"Ticker inconnu"))</f>
        <v/>
      </c>
      <c r="C424" s="11" t="n">
        <v>2022</v>
      </c>
      <c r="D424" s="11" t="inlineStr">
        <is>
          <t>T3</t>
        </is>
      </c>
      <c r="E424" s="9" t="n"/>
      <c r="F424" s="12" t="n"/>
      <c r="G424" s="9" t="n"/>
      <c r="H424" s="13" t="n"/>
      <c r="I424" s="13" t="n"/>
      <c r="J424" s="13" t="n"/>
      <c r="K424" s="13" t="n"/>
      <c r="L424" s="13" t="n"/>
      <c r="M424" s="13" t="n"/>
      <c r="N424" s="14">
        <f>IF(A424="","",COUNT(H424:M424)/6)</f>
        <v/>
      </c>
      <c r="O424" s="15">
        <f>IF(COUNT(H424:M424)=0,"",IF(LEN(IF(COUNT(I424,J424)=2,IF(J424&gt;I424+1,"EBE &gt; VA ",""),"")&amp;IF(COUNT(H424,M424)=2,IF(ABS(M424)&gt;ABS(H424),"RN &gt; CA ",""),"")&amp;IF(COUNT(H424,K424)=2,IF(ABS(K424)&gt;ABS(H424),"RE &gt; CA ",""),""))=0,"OK",IF(COUNT(I424,J424)=2,IF(J424&gt;I424+1,"EBE &gt; VA ",""),"")&amp;IF(COUNT(H424,M424)=2,IF(ABS(M424)&gt;ABS(H424),"RN &gt; CA ",""),"")&amp;IF(COUNT(H424,K424)=2,IF(ABS(K424)&gt;ABS(H424),"RE &gt; CA ",""),"")))</f>
        <v/>
      </c>
    </row>
    <row r="425">
      <c r="A425" s="9" t="inlineStr">
        <is>
          <t>ORGT</t>
        </is>
      </c>
      <c r="B425" s="10">
        <f>IF(A425="","",IFERROR(VLOOKUP(A425,Titres!$A$2:$B$400,2,FALSE),"Ticker inconnu"))</f>
        <v/>
      </c>
      <c r="C425" s="11" t="n">
        <v>2023</v>
      </c>
      <c r="D425" s="11" t="inlineStr">
        <is>
          <t>T1</t>
        </is>
      </c>
      <c r="E425" s="9" t="n"/>
      <c r="F425" s="12" t="n"/>
      <c r="G425" s="9" t="n"/>
      <c r="H425" s="13" t="n"/>
      <c r="I425" s="13" t="n"/>
      <c r="J425" s="13" t="n"/>
      <c r="K425" s="13" t="n"/>
      <c r="L425" s="13" t="n"/>
      <c r="M425" s="13" t="n"/>
      <c r="N425" s="14">
        <f>IF(A425="","",COUNT(H425:M425)/6)</f>
        <v/>
      </c>
      <c r="O425" s="15">
        <f>IF(COUNT(H425:M425)=0,"",IF(LEN(IF(COUNT(I425,J425)=2,IF(J425&gt;I425+1,"EBE &gt; VA ",""),"")&amp;IF(COUNT(H425,M425)=2,IF(ABS(M425)&gt;ABS(H425),"RN &gt; CA ",""),"")&amp;IF(COUNT(H425,K425)=2,IF(ABS(K425)&gt;ABS(H425),"RE &gt; CA ",""),""))=0,"OK",IF(COUNT(I425,J425)=2,IF(J425&gt;I425+1,"EBE &gt; VA ",""),"")&amp;IF(COUNT(H425,M425)=2,IF(ABS(M425)&gt;ABS(H425),"RN &gt; CA ",""),"")&amp;IF(COUNT(H425,K425)=2,IF(ABS(K425)&gt;ABS(H425),"RE &gt; CA ",""),"")))</f>
        <v/>
      </c>
    </row>
    <row r="426">
      <c r="A426" s="9" t="inlineStr">
        <is>
          <t>ORGT</t>
        </is>
      </c>
      <c r="B426" s="10">
        <f>IF(A426="","",IFERROR(VLOOKUP(A426,Titres!$A$2:$B$400,2,FALSE),"Ticker inconnu"))</f>
        <v/>
      </c>
      <c r="C426" s="11" t="n">
        <v>2023</v>
      </c>
      <c r="D426" s="11" t="inlineStr">
        <is>
          <t>S1</t>
        </is>
      </c>
      <c r="E426" s="9" t="n"/>
      <c r="F426" s="12" t="n"/>
      <c r="G426" s="9" t="n"/>
      <c r="H426" s="13" t="n"/>
      <c r="I426" s="13" t="n"/>
      <c r="J426" s="13" t="n"/>
      <c r="K426" s="13" t="n"/>
      <c r="L426" s="13" t="n"/>
      <c r="M426" s="13" t="n"/>
      <c r="N426" s="14">
        <f>IF(A426="","",COUNT(H426:M426)/6)</f>
        <v/>
      </c>
      <c r="O426" s="15">
        <f>IF(COUNT(H426:M426)=0,"",IF(LEN(IF(COUNT(I426,J426)=2,IF(J426&gt;I426+1,"EBE &gt; VA ",""),"")&amp;IF(COUNT(H426,M426)=2,IF(ABS(M426)&gt;ABS(H426),"RN &gt; CA ",""),"")&amp;IF(COUNT(H426,K426)=2,IF(ABS(K426)&gt;ABS(H426),"RE &gt; CA ",""),""))=0,"OK",IF(COUNT(I426,J426)=2,IF(J426&gt;I426+1,"EBE &gt; VA ",""),"")&amp;IF(COUNT(H426,M426)=2,IF(ABS(M426)&gt;ABS(H426),"RN &gt; CA ",""),"")&amp;IF(COUNT(H426,K426)=2,IF(ABS(K426)&gt;ABS(H426),"RE &gt; CA ",""),"")))</f>
        <v/>
      </c>
    </row>
    <row r="427">
      <c r="A427" s="9" t="inlineStr">
        <is>
          <t>ORGT</t>
        </is>
      </c>
      <c r="B427" s="10">
        <f>IF(A427="","",IFERROR(VLOOKUP(A427,Titres!$A$2:$B$400,2,FALSE),"Ticker inconnu"))</f>
        <v/>
      </c>
      <c r="C427" s="11" t="n">
        <v>2023</v>
      </c>
      <c r="D427" s="11" t="inlineStr">
        <is>
          <t>T3</t>
        </is>
      </c>
      <c r="E427" s="9" t="n"/>
      <c r="F427" s="12" t="n"/>
      <c r="G427" s="9" t="n"/>
      <c r="H427" s="13" t="n"/>
      <c r="I427" s="13" t="n"/>
      <c r="J427" s="13" t="n"/>
      <c r="K427" s="13" t="n"/>
      <c r="L427" s="13" t="n"/>
      <c r="M427" s="13" t="n"/>
      <c r="N427" s="14">
        <f>IF(A427="","",COUNT(H427:M427)/6)</f>
        <v/>
      </c>
      <c r="O427" s="15">
        <f>IF(COUNT(H427:M427)=0,"",IF(LEN(IF(COUNT(I427,J427)=2,IF(J427&gt;I427+1,"EBE &gt; VA ",""),"")&amp;IF(COUNT(H427,M427)=2,IF(ABS(M427)&gt;ABS(H427),"RN &gt; CA ",""),"")&amp;IF(COUNT(H427,K427)=2,IF(ABS(K427)&gt;ABS(H427),"RE &gt; CA ",""),""))=0,"OK",IF(COUNT(I427,J427)=2,IF(J427&gt;I427+1,"EBE &gt; VA ",""),"")&amp;IF(COUNT(H427,M427)=2,IF(ABS(M427)&gt;ABS(H427),"RN &gt; CA ",""),"")&amp;IF(COUNT(H427,K427)=2,IF(ABS(K427)&gt;ABS(H427),"RE &gt; CA ",""),"")))</f>
        <v/>
      </c>
    </row>
    <row r="428">
      <c r="A428" s="9" t="inlineStr">
        <is>
          <t>ORGT</t>
        </is>
      </c>
      <c r="B428" s="10">
        <f>IF(A428="","",IFERROR(VLOOKUP(A428,Titres!$A$2:$B$400,2,FALSE),"Ticker inconnu"))</f>
        <v/>
      </c>
      <c r="C428" s="11" t="n">
        <v>2024</v>
      </c>
      <c r="D428" s="11" t="inlineStr">
        <is>
          <t>T1</t>
        </is>
      </c>
      <c r="E428" s="9" t="n"/>
      <c r="F428" s="12" t="n"/>
      <c r="G428" s="9" t="n"/>
      <c r="H428" s="13" t="n"/>
      <c r="I428" s="13" t="n"/>
      <c r="J428" s="13" t="n"/>
      <c r="K428" s="13" t="n"/>
      <c r="L428" s="13" t="n"/>
      <c r="M428" s="13" t="n"/>
      <c r="N428" s="14">
        <f>IF(A428="","",COUNT(H428:M428)/6)</f>
        <v/>
      </c>
      <c r="O428" s="15">
        <f>IF(COUNT(H428:M428)=0,"",IF(LEN(IF(COUNT(I428,J428)=2,IF(J428&gt;I428+1,"EBE &gt; VA ",""),"")&amp;IF(COUNT(H428,M428)=2,IF(ABS(M428)&gt;ABS(H428),"RN &gt; CA ",""),"")&amp;IF(COUNT(H428,K428)=2,IF(ABS(K428)&gt;ABS(H428),"RE &gt; CA ",""),""))=0,"OK",IF(COUNT(I428,J428)=2,IF(J428&gt;I428+1,"EBE &gt; VA ",""),"")&amp;IF(COUNT(H428,M428)=2,IF(ABS(M428)&gt;ABS(H428),"RN &gt; CA ",""),"")&amp;IF(COUNT(H428,K428)=2,IF(ABS(K428)&gt;ABS(H428),"RE &gt; CA ",""),"")))</f>
        <v/>
      </c>
    </row>
    <row r="429">
      <c r="A429" s="9" t="inlineStr">
        <is>
          <t>ORGT</t>
        </is>
      </c>
      <c r="B429" s="10">
        <f>IF(A429="","",IFERROR(VLOOKUP(A429,Titres!$A$2:$B$400,2,FALSE),"Ticker inconnu"))</f>
        <v/>
      </c>
      <c r="C429" s="11" t="n">
        <v>2024</v>
      </c>
      <c r="D429" s="11" t="inlineStr">
        <is>
          <t>S1</t>
        </is>
      </c>
      <c r="E429" s="9" t="n"/>
      <c r="F429" s="12" t="n"/>
      <c r="G429" s="9" t="n"/>
      <c r="H429" s="13" t="n"/>
      <c r="I429" s="13" t="n"/>
      <c r="J429" s="13" t="n"/>
      <c r="K429" s="13" t="n"/>
      <c r="L429" s="13" t="n"/>
      <c r="M429" s="13" t="n"/>
      <c r="N429" s="14">
        <f>IF(A429="","",COUNT(H429:M429)/6)</f>
        <v/>
      </c>
      <c r="O429" s="15">
        <f>IF(COUNT(H429:M429)=0,"",IF(LEN(IF(COUNT(I429,J429)=2,IF(J429&gt;I429+1,"EBE &gt; VA ",""),"")&amp;IF(COUNT(H429,M429)=2,IF(ABS(M429)&gt;ABS(H429),"RN &gt; CA ",""),"")&amp;IF(COUNT(H429,K429)=2,IF(ABS(K429)&gt;ABS(H429),"RE &gt; CA ",""),""))=0,"OK",IF(COUNT(I429,J429)=2,IF(J429&gt;I429+1,"EBE &gt; VA ",""),"")&amp;IF(COUNT(H429,M429)=2,IF(ABS(M429)&gt;ABS(H429),"RN &gt; CA ",""),"")&amp;IF(COUNT(H429,K429)=2,IF(ABS(K429)&gt;ABS(H429),"RE &gt; CA ",""),"")))</f>
        <v/>
      </c>
    </row>
    <row r="430">
      <c r="A430" s="9" t="inlineStr">
        <is>
          <t>ORGT</t>
        </is>
      </c>
      <c r="B430" s="10">
        <f>IF(A430="","",IFERROR(VLOOKUP(A430,Titres!$A$2:$B$400,2,FALSE),"Ticker inconnu"))</f>
        <v/>
      </c>
      <c r="C430" s="11" t="n">
        <v>2024</v>
      </c>
      <c r="D430" s="11" t="inlineStr">
        <is>
          <t>T3</t>
        </is>
      </c>
      <c r="E430" s="9" t="n"/>
      <c r="F430" s="12" t="n"/>
      <c r="G430" s="9" t="n"/>
      <c r="H430" s="13" t="n"/>
      <c r="I430" s="13" t="n"/>
      <c r="J430" s="13" t="n"/>
      <c r="K430" s="13" t="n"/>
      <c r="L430" s="13" t="n"/>
      <c r="M430" s="13" t="n"/>
      <c r="N430" s="14">
        <f>IF(A430="","",COUNT(H430:M430)/6)</f>
        <v/>
      </c>
      <c r="O430" s="15">
        <f>IF(COUNT(H430:M430)=0,"",IF(LEN(IF(COUNT(I430,J430)=2,IF(J430&gt;I430+1,"EBE &gt; VA ",""),"")&amp;IF(COUNT(H430,M430)=2,IF(ABS(M430)&gt;ABS(H430),"RN &gt; CA ",""),"")&amp;IF(COUNT(H430,K430)=2,IF(ABS(K430)&gt;ABS(H430),"RE &gt; CA ",""),""))=0,"OK",IF(COUNT(I430,J430)=2,IF(J430&gt;I430+1,"EBE &gt; VA ",""),"")&amp;IF(COUNT(H430,M430)=2,IF(ABS(M430)&gt;ABS(H430),"RN &gt; CA ",""),"")&amp;IF(COUNT(H430,K430)=2,IF(ABS(K430)&gt;ABS(H430),"RE &gt; CA ",""),"")))</f>
        <v/>
      </c>
    </row>
    <row r="431">
      <c r="A431" s="9" t="inlineStr">
        <is>
          <t>ORGT</t>
        </is>
      </c>
      <c r="B431" s="10">
        <f>IF(A431="","",IFERROR(VLOOKUP(A431,Titres!$A$2:$B$400,2,FALSE),"Ticker inconnu"))</f>
        <v/>
      </c>
      <c r="C431" s="11" t="n">
        <v>2025</v>
      </c>
      <c r="D431" s="11" t="inlineStr">
        <is>
          <t>T1</t>
        </is>
      </c>
      <c r="E431" s="9" t="n"/>
      <c r="F431" s="12" t="n"/>
      <c r="G431" s="9" t="n"/>
      <c r="H431" s="13" t="n"/>
      <c r="I431" s="13" t="n"/>
      <c r="J431" s="13" t="n"/>
      <c r="K431" s="13" t="n"/>
      <c r="L431" s="13" t="n"/>
      <c r="M431" s="13" t="n"/>
      <c r="N431" s="14">
        <f>IF(A431="","",COUNT(H431:M431)/6)</f>
        <v/>
      </c>
      <c r="O431" s="15">
        <f>IF(COUNT(H431:M431)=0,"",IF(LEN(IF(COUNT(I431,J431)=2,IF(J431&gt;I431+1,"EBE &gt; VA ",""),"")&amp;IF(COUNT(H431,M431)=2,IF(ABS(M431)&gt;ABS(H431),"RN &gt; CA ",""),"")&amp;IF(COUNT(H431,K431)=2,IF(ABS(K431)&gt;ABS(H431),"RE &gt; CA ",""),""))=0,"OK",IF(COUNT(I431,J431)=2,IF(J431&gt;I431+1,"EBE &gt; VA ",""),"")&amp;IF(COUNT(H431,M431)=2,IF(ABS(M431)&gt;ABS(H431),"RN &gt; CA ",""),"")&amp;IF(COUNT(H431,K431)=2,IF(ABS(K431)&gt;ABS(H431),"RE &gt; CA ",""),"")))</f>
        <v/>
      </c>
    </row>
    <row r="432">
      <c r="A432" s="9" t="inlineStr">
        <is>
          <t>ORGT</t>
        </is>
      </c>
      <c r="B432" s="10">
        <f>IF(A432="","",IFERROR(VLOOKUP(A432,Titres!$A$2:$B$400,2,FALSE),"Ticker inconnu"))</f>
        <v/>
      </c>
      <c r="C432" s="11" t="n">
        <v>2025</v>
      </c>
      <c r="D432" s="11" t="inlineStr">
        <is>
          <t>S1</t>
        </is>
      </c>
      <c r="E432" s="9" t="n"/>
      <c r="F432" s="12" t="n"/>
      <c r="G432" s="9" t="n"/>
      <c r="H432" s="13" t="n"/>
      <c r="I432" s="13" t="n"/>
      <c r="J432" s="13" t="n"/>
      <c r="K432" s="13" t="n"/>
      <c r="L432" s="13" t="n"/>
      <c r="M432" s="13" t="n"/>
      <c r="N432" s="14">
        <f>IF(A432="","",COUNT(H432:M432)/6)</f>
        <v/>
      </c>
      <c r="O432" s="15">
        <f>IF(COUNT(H432:M432)=0,"",IF(LEN(IF(COUNT(I432,J432)=2,IF(J432&gt;I432+1,"EBE &gt; VA ",""),"")&amp;IF(COUNT(H432,M432)=2,IF(ABS(M432)&gt;ABS(H432),"RN &gt; CA ",""),"")&amp;IF(COUNT(H432,K432)=2,IF(ABS(K432)&gt;ABS(H432),"RE &gt; CA ",""),""))=0,"OK",IF(COUNT(I432,J432)=2,IF(J432&gt;I432+1,"EBE &gt; VA ",""),"")&amp;IF(COUNT(H432,M432)=2,IF(ABS(M432)&gt;ABS(H432),"RN &gt; CA ",""),"")&amp;IF(COUNT(H432,K432)=2,IF(ABS(K432)&gt;ABS(H432),"RE &gt; CA ",""),"")))</f>
        <v/>
      </c>
    </row>
    <row r="433">
      <c r="A433" s="9" t="inlineStr">
        <is>
          <t>ORGT</t>
        </is>
      </c>
      <c r="B433" s="10">
        <f>IF(A433="","",IFERROR(VLOOKUP(A433,Titres!$A$2:$B$400,2,FALSE),"Ticker inconnu"))</f>
        <v/>
      </c>
      <c r="C433" s="11" t="n">
        <v>2025</v>
      </c>
      <c r="D433" s="11" t="inlineStr">
        <is>
          <t>T3</t>
        </is>
      </c>
      <c r="E433" s="9" t="n"/>
      <c r="F433" s="12" t="n"/>
      <c r="G433" s="9" t="n"/>
      <c r="H433" s="13" t="n"/>
      <c r="I433" s="13" t="n"/>
      <c r="J433" s="13" t="n"/>
      <c r="K433" s="13" t="n"/>
      <c r="L433" s="13" t="n"/>
      <c r="M433" s="13" t="n"/>
      <c r="N433" s="14">
        <f>IF(A433="","",COUNT(H433:M433)/6)</f>
        <v/>
      </c>
      <c r="O433" s="15">
        <f>IF(COUNT(H433:M433)=0,"",IF(LEN(IF(COUNT(I433,J433)=2,IF(J433&gt;I433+1,"EBE &gt; VA ",""),"")&amp;IF(COUNT(H433,M433)=2,IF(ABS(M433)&gt;ABS(H433),"RN &gt; CA ",""),"")&amp;IF(COUNT(H433,K433)=2,IF(ABS(K433)&gt;ABS(H433),"RE &gt; CA ",""),""))=0,"OK",IF(COUNT(I433,J433)=2,IF(J433&gt;I433+1,"EBE &gt; VA ",""),"")&amp;IF(COUNT(H433,M433)=2,IF(ABS(M433)&gt;ABS(H433),"RN &gt; CA ",""),"")&amp;IF(COUNT(H433,K433)=2,IF(ABS(K433)&gt;ABS(H433),"RE &gt; CA ",""),"")))</f>
        <v/>
      </c>
    </row>
    <row r="434">
      <c r="A434" s="9" t="inlineStr">
        <is>
          <t>ORGT</t>
        </is>
      </c>
      <c r="B434" s="10">
        <f>IF(A434="","",IFERROR(VLOOKUP(A434,Titres!$A$2:$B$400,2,FALSE),"Ticker inconnu"))</f>
        <v/>
      </c>
      <c r="C434" s="11" t="n">
        <v>2026</v>
      </c>
      <c r="D434" s="11" t="inlineStr">
        <is>
          <t>T1</t>
        </is>
      </c>
      <c r="E434" s="9" t="n"/>
      <c r="F434" s="12" t="n"/>
      <c r="G434" s="9" t="n"/>
      <c r="H434" s="13" t="n"/>
      <c r="I434" s="13" t="n"/>
      <c r="J434" s="13" t="n"/>
      <c r="K434" s="13" t="n"/>
      <c r="L434" s="13" t="n"/>
      <c r="M434" s="13" t="n"/>
      <c r="N434" s="14">
        <f>IF(A434="","",COUNT(H434:M434)/6)</f>
        <v/>
      </c>
      <c r="O434" s="15">
        <f>IF(COUNT(H434:M434)=0,"",IF(LEN(IF(COUNT(I434,J434)=2,IF(J434&gt;I434+1,"EBE &gt; VA ",""),"")&amp;IF(COUNT(H434,M434)=2,IF(ABS(M434)&gt;ABS(H434),"RN &gt; CA ",""),"")&amp;IF(COUNT(H434,K434)=2,IF(ABS(K434)&gt;ABS(H434),"RE &gt; CA ",""),""))=0,"OK",IF(COUNT(I434,J434)=2,IF(J434&gt;I434+1,"EBE &gt; VA ",""),"")&amp;IF(COUNT(H434,M434)=2,IF(ABS(M434)&gt;ABS(H434),"RN &gt; CA ",""),"")&amp;IF(COUNT(H434,K434)=2,IF(ABS(K434)&gt;ABS(H434),"RE &gt; CA ",""),"")))</f>
        <v/>
      </c>
    </row>
    <row r="435">
      <c r="A435" s="9" t="inlineStr">
        <is>
          <t>ORGT</t>
        </is>
      </c>
      <c r="B435" s="10">
        <f>IF(A435="","",IFERROR(VLOOKUP(A435,Titres!$A$2:$B$400,2,FALSE),"Ticker inconnu"))</f>
        <v/>
      </c>
      <c r="C435" s="11" t="n">
        <v>2026</v>
      </c>
      <c r="D435" s="11" t="inlineStr">
        <is>
          <t>S1</t>
        </is>
      </c>
      <c r="E435" s="9" t="n"/>
      <c r="F435" s="12" t="n"/>
      <c r="G435" s="9" t="n"/>
      <c r="H435" s="13" t="n"/>
      <c r="I435" s="13" t="n"/>
      <c r="J435" s="13" t="n"/>
      <c r="K435" s="13" t="n"/>
      <c r="L435" s="13" t="n"/>
      <c r="M435" s="13" t="n"/>
      <c r="N435" s="14">
        <f>IF(A435="","",COUNT(H435:M435)/6)</f>
        <v/>
      </c>
      <c r="O435" s="15">
        <f>IF(COUNT(H435:M435)=0,"",IF(LEN(IF(COUNT(I435,J435)=2,IF(J435&gt;I435+1,"EBE &gt; VA ",""),"")&amp;IF(COUNT(H435,M435)=2,IF(ABS(M435)&gt;ABS(H435),"RN &gt; CA ",""),"")&amp;IF(COUNT(H435,K435)=2,IF(ABS(K435)&gt;ABS(H435),"RE &gt; CA ",""),""))=0,"OK",IF(COUNT(I435,J435)=2,IF(J435&gt;I435+1,"EBE &gt; VA ",""),"")&amp;IF(COUNT(H435,M435)=2,IF(ABS(M435)&gt;ABS(H435),"RN &gt; CA ",""),"")&amp;IF(COUNT(H435,K435)=2,IF(ABS(K435)&gt;ABS(H435),"RE &gt; CA ",""),"")))</f>
        <v/>
      </c>
    </row>
    <row r="436">
      <c r="A436" s="9" t="inlineStr">
        <is>
          <t>ORGT</t>
        </is>
      </c>
      <c r="B436" s="10">
        <f>IF(A436="","",IFERROR(VLOOKUP(A436,Titres!$A$2:$B$400,2,FALSE),"Ticker inconnu"))</f>
        <v/>
      </c>
      <c r="C436" s="11" t="n">
        <v>2026</v>
      </c>
      <c r="D436" s="11" t="inlineStr">
        <is>
          <t>T3</t>
        </is>
      </c>
      <c r="E436" s="9" t="n"/>
      <c r="F436" s="12" t="n"/>
      <c r="G436" s="9" t="n"/>
      <c r="H436" s="13" t="n"/>
      <c r="I436" s="13" t="n"/>
      <c r="J436" s="13" t="n"/>
      <c r="K436" s="13" t="n"/>
      <c r="L436" s="13" t="n"/>
      <c r="M436" s="13" t="n"/>
      <c r="N436" s="14">
        <f>IF(A436="","",COUNT(H436:M436)/6)</f>
        <v/>
      </c>
      <c r="O436" s="15">
        <f>IF(COUNT(H436:M436)=0,"",IF(LEN(IF(COUNT(I436,J436)=2,IF(J436&gt;I436+1,"EBE &gt; VA ",""),"")&amp;IF(COUNT(H436,M436)=2,IF(ABS(M436)&gt;ABS(H436),"RN &gt; CA ",""),"")&amp;IF(COUNT(H436,K436)=2,IF(ABS(K436)&gt;ABS(H436),"RE &gt; CA ",""),""))=0,"OK",IF(COUNT(I436,J436)=2,IF(J436&gt;I436+1,"EBE &gt; VA ",""),"")&amp;IF(COUNT(H436,M436)=2,IF(ABS(M436)&gt;ABS(H436),"RN &gt; CA ",""),"")&amp;IF(COUNT(H436,K436)=2,IF(ABS(K436)&gt;ABS(H436),"RE &gt; CA ",""),"")))</f>
        <v/>
      </c>
    </row>
    <row r="437">
      <c r="A437" s="9" t="inlineStr">
        <is>
          <t>CIEC</t>
        </is>
      </c>
      <c r="B437" s="10">
        <f>IF(A437="","",IFERROR(VLOOKUP(A437,Titres!$A$2:$B$400,2,FALSE),"Ticker inconnu"))</f>
        <v/>
      </c>
      <c r="C437" s="11" t="n">
        <v>2021</v>
      </c>
      <c r="D437" s="11" t="inlineStr">
        <is>
          <t>T1</t>
        </is>
      </c>
      <c r="E437" s="9" t="n"/>
      <c r="F437" s="12" t="n"/>
      <c r="G437" s="9" t="n"/>
      <c r="H437" s="13" t="n"/>
      <c r="I437" s="13" t="n"/>
      <c r="J437" s="13" t="n"/>
      <c r="K437" s="13" t="n"/>
      <c r="L437" s="13" t="n"/>
      <c r="M437" s="13" t="n"/>
      <c r="N437" s="14">
        <f>IF(A437="","",COUNT(H437:M437)/6)</f>
        <v/>
      </c>
      <c r="O437" s="15">
        <f>IF(COUNT(H437:M437)=0,"",IF(LEN(IF(COUNT(I437,J437)=2,IF(J437&gt;I437+1,"EBE &gt; VA ",""),"")&amp;IF(COUNT(H437,M437)=2,IF(ABS(M437)&gt;ABS(H437),"RN &gt; CA ",""),"")&amp;IF(COUNT(H437,K437)=2,IF(ABS(K437)&gt;ABS(H437),"RE &gt; CA ",""),""))=0,"OK",IF(COUNT(I437,J437)=2,IF(J437&gt;I437+1,"EBE &gt; VA ",""),"")&amp;IF(COUNT(H437,M437)=2,IF(ABS(M437)&gt;ABS(H437),"RN &gt; CA ",""),"")&amp;IF(COUNT(H437,K437)=2,IF(ABS(K437)&gt;ABS(H437),"RE &gt; CA ",""),"")))</f>
        <v/>
      </c>
    </row>
    <row r="438">
      <c r="A438" s="9" t="inlineStr">
        <is>
          <t>CIEC</t>
        </is>
      </c>
      <c r="B438" s="10">
        <f>IF(A438="","",IFERROR(VLOOKUP(A438,Titres!$A$2:$B$400,2,FALSE),"Ticker inconnu"))</f>
        <v/>
      </c>
      <c r="C438" s="11" t="n">
        <v>2021</v>
      </c>
      <c r="D438" s="11" t="inlineStr">
        <is>
          <t>S1</t>
        </is>
      </c>
      <c r="E438" s="9" t="n"/>
      <c r="F438" s="12" t="n"/>
      <c r="G438" s="9" t="n"/>
      <c r="H438" s="13" t="n"/>
      <c r="I438" s="13" t="n"/>
      <c r="J438" s="13" t="n"/>
      <c r="K438" s="13" t="n"/>
      <c r="L438" s="13" t="n"/>
      <c r="M438" s="13" t="n"/>
      <c r="N438" s="14">
        <f>IF(A438="","",COUNT(H438:M438)/6)</f>
        <v/>
      </c>
      <c r="O438" s="15">
        <f>IF(COUNT(H438:M438)=0,"",IF(LEN(IF(COUNT(I438,J438)=2,IF(J438&gt;I438+1,"EBE &gt; VA ",""),"")&amp;IF(COUNT(H438,M438)=2,IF(ABS(M438)&gt;ABS(H438),"RN &gt; CA ",""),"")&amp;IF(COUNT(H438,K438)=2,IF(ABS(K438)&gt;ABS(H438),"RE &gt; CA ",""),""))=0,"OK",IF(COUNT(I438,J438)=2,IF(J438&gt;I438+1,"EBE &gt; VA ",""),"")&amp;IF(COUNT(H438,M438)=2,IF(ABS(M438)&gt;ABS(H438),"RN &gt; CA ",""),"")&amp;IF(COUNT(H438,K438)=2,IF(ABS(K438)&gt;ABS(H438),"RE &gt; CA ",""),"")))</f>
        <v/>
      </c>
    </row>
    <row r="439">
      <c r="A439" s="9" t="inlineStr">
        <is>
          <t>CIEC</t>
        </is>
      </c>
      <c r="B439" s="10">
        <f>IF(A439="","",IFERROR(VLOOKUP(A439,Titres!$A$2:$B$400,2,FALSE),"Ticker inconnu"))</f>
        <v/>
      </c>
      <c r="C439" s="11" t="n">
        <v>2021</v>
      </c>
      <c r="D439" s="11" t="inlineStr">
        <is>
          <t>T3</t>
        </is>
      </c>
      <c r="E439" s="9" t="n"/>
      <c r="F439" s="12" t="n"/>
      <c r="G439" s="9" t="n"/>
      <c r="H439" s="13" t="n"/>
      <c r="I439" s="13" t="n"/>
      <c r="J439" s="13" t="n"/>
      <c r="K439" s="13" t="n"/>
      <c r="L439" s="13" t="n"/>
      <c r="M439" s="13" t="n"/>
      <c r="N439" s="14">
        <f>IF(A439="","",COUNT(H439:M439)/6)</f>
        <v/>
      </c>
      <c r="O439" s="15">
        <f>IF(COUNT(H439:M439)=0,"",IF(LEN(IF(COUNT(I439,J439)=2,IF(J439&gt;I439+1,"EBE &gt; VA ",""),"")&amp;IF(COUNT(H439,M439)=2,IF(ABS(M439)&gt;ABS(H439),"RN &gt; CA ",""),"")&amp;IF(COUNT(H439,K439)=2,IF(ABS(K439)&gt;ABS(H439),"RE &gt; CA ",""),""))=0,"OK",IF(COUNT(I439,J439)=2,IF(J439&gt;I439+1,"EBE &gt; VA ",""),"")&amp;IF(COUNT(H439,M439)=2,IF(ABS(M439)&gt;ABS(H439),"RN &gt; CA ",""),"")&amp;IF(COUNT(H439,K439)=2,IF(ABS(K439)&gt;ABS(H439),"RE &gt; CA ",""),"")))</f>
        <v/>
      </c>
    </row>
    <row r="440">
      <c r="A440" s="9" t="inlineStr">
        <is>
          <t>CIEC</t>
        </is>
      </c>
      <c r="B440" s="10">
        <f>IF(A440="","",IFERROR(VLOOKUP(A440,Titres!$A$2:$B$400,2,FALSE),"Ticker inconnu"))</f>
        <v/>
      </c>
      <c r="C440" s="11" t="n">
        <v>2022</v>
      </c>
      <c r="D440" s="11" t="inlineStr">
        <is>
          <t>T1</t>
        </is>
      </c>
      <c r="E440" s="9" t="n"/>
      <c r="F440" s="12" t="n"/>
      <c r="G440" s="9" t="n"/>
      <c r="H440" s="13" t="n"/>
      <c r="I440" s="13" t="n"/>
      <c r="J440" s="13" t="n"/>
      <c r="K440" s="13" t="n"/>
      <c r="L440" s="13" t="n"/>
      <c r="M440" s="13" t="n"/>
      <c r="N440" s="14">
        <f>IF(A440="","",COUNT(H440:M440)/6)</f>
        <v/>
      </c>
      <c r="O440" s="15">
        <f>IF(COUNT(H440:M440)=0,"",IF(LEN(IF(COUNT(I440,J440)=2,IF(J440&gt;I440+1,"EBE &gt; VA ",""),"")&amp;IF(COUNT(H440,M440)=2,IF(ABS(M440)&gt;ABS(H440),"RN &gt; CA ",""),"")&amp;IF(COUNT(H440,K440)=2,IF(ABS(K440)&gt;ABS(H440),"RE &gt; CA ",""),""))=0,"OK",IF(COUNT(I440,J440)=2,IF(J440&gt;I440+1,"EBE &gt; VA ",""),"")&amp;IF(COUNT(H440,M440)=2,IF(ABS(M440)&gt;ABS(H440),"RN &gt; CA ",""),"")&amp;IF(COUNT(H440,K440)=2,IF(ABS(K440)&gt;ABS(H440),"RE &gt; CA ",""),"")))</f>
        <v/>
      </c>
    </row>
    <row r="441">
      <c r="A441" s="9" t="inlineStr">
        <is>
          <t>CIEC</t>
        </is>
      </c>
      <c r="B441" s="10">
        <f>IF(A441="","",IFERROR(VLOOKUP(A441,Titres!$A$2:$B$400,2,FALSE),"Ticker inconnu"))</f>
        <v/>
      </c>
      <c r="C441" s="11" t="n">
        <v>2022</v>
      </c>
      <c r="D441" s="11" t="inlineStr">
        <is>
          <t>S1</t>
        </is>
      </c>
      <c r="E441" s="9" t="n"/>
      <c r="F441" s="12" t="n"/>
      <c r="G441" s="9" t="n"/>
      <c r="H441" s="13" t="n"/>
      <c r="I441" s="13" t="n"/>
      <c r="J441" s="13" t="n"/>
      <c r="K441" s="13" t="n"/>
      <c r="L441" s="13" t="n"/>
      <c r="M441" s="13" t="n"/>
      <c r="N441" s="14">
        <f>IF(A441="","",COUNT(H441:M441)/6)</f>
        <v/>
      </c>
      <c r="O441" s="15">
        <f>IF(COUNT(H441:M441)=0,"",IF(LEN(IF(COUNT(I441,J441)=2,IF(J441&gt;I441+1,"EBE &gt; VA ",""),"")&amp;IF(COUNT(H441,M441)=2,IF(ABS(M441)&gt;ABS(H441),"RN &gt; CA ",""),"")&amp;IF(COUNT(H441,K441)=2,IF(ABS(K441)&gt;ABS(H441),"RE &gt; CA ",""),""))=0,"OK",IF(COUNT(I441,J441)=2,IF(J441&gt;I441+1,"EBE &gt; VA ",""),"")&amp;IF(COUNT(H441,M441)=2,IF(ABS(M441)&gt;ABS(H441),"RN &gt; CA ",""),"")&amp;IF(COUNT(H441,K441)=2,IF(ABS(K441)&gt;ABS(H441),"RE &gt; CA ",""),"")))</f>
        <v/>
      </c>
    </row>
    <row r="442">
      <c r="A442" s="9" t="inlineStr">
        <is>
          <t>CIEC</t>
        </is>
      </c>
      <c r="B442" s="10">
        <f>IF(A442="","",IFERROR(VLOOKUP(A442,Titres!$A$2:$B$400,2,FALSE),"Ticker inconnu"))</f>
        <v/>
      </c>
      <c r="C442" s="11" t="n">
        <v>2022</v>
      </c>
      <c r="D442" s="11" t="inlineStr">
        <is>
          <t>T3</t>
        </is>
      </c>
      <c r="E442" s="9" t="n"/>
      <c r="F442" s="12" t="n"/>
      <c r="G442" s="9" t="n"/>
      <c r="H442" s="13" t="n"/>
      <c r="I442" s="13" t="n"/>
      <c r="J442" s="13" t="n"/>
      <c r="K442" s="13" t="n"/>
      <c r="L442" s="13" t="n"/>
      <c r="M442" s="13" t="n"/>
      <c r="N442" s="14">
        <f>IF(A442="","",COUNT(H442:M442)/6)</f>
        <v/>
      </c>
      <c r="O442" s="15">
        <f>IF(COUNT(H442:M442)=0,"",IF(LEN(IF(COUNT(I442,J442)=2,IF(J442&gt;I442+1,"EBE &gt; VA ",""),"")&amp;IF(COUNT(H442,M442)=2,IF(ABS(M442)&gt;ABS(H442),"RN &gt; CA ",""),"")&amp;IF(COUNT(H442,K442)=2,IF(ABS(K442)&gt;ABS(H442),"RE &gt; CA ",""),""))=0,"OK",IF(COUNT(I442,J442)=2,IF(J442&gt;I442+1,"EBE &gt; VA ",""),"")&amp;IF(COUNT(H442,M442)=2,IF(ABS(M442)&gt;ABS(H442),"RN &gt; CA ",""),"")&amp;IF(COUNT(H442,K442)=2,IF(ABS(K442)&gt;ABS(H442),"RE &gt; CA ",""),"")))</f>
        <v/>
      </c>
    </row>
    <row r="443">
      <c r="A443" s="9" t="inlineStr">
        <is>
          <t>CIEC</t>
        </is>
      </c>
      <c r="B443" s="10">
        <f>IF(A443="","",IFERROR(VLOOKUP(A443,Titres!$A$2:$B$400,2,FALSE),"Ticker inconnu"))</f>
        <v/>
      </c>
      <c r="C443" s="11" t="n">
        <v>2023</v>
      </c>
      <c r="D443" s="11" t="inlineStr">
        <is>
          <t>T1</t>
        </is>
      </c>
      <c r="E443" s="9" t="n"/>
      <c r="F443" s="12" t="n"/>
      <c r="G443" s="9" t="n"/>
      <c r="H443" s="13" t="n"/>
      <c r="I443" s="13" t="n"/>
      <c r="J443" s="13" t="n"/>
      <c r="K443" s="13" t="n"/>
      <c r="L443" s="13" t="n"/>
      <c r="M443" s="13" t="n"/>
      <c r="N443" s="14">
        <f>IF(A443="","",COUNT(H443:M443)/6)</f>
        <v/>
      </c>
      <c r="O443" s="15">
        <f>IF(COUNT(H443:M443)=0,"",IF(LEN(IF(COUNT(I443,J443)=2,IF(J443&gt;I443+1,"EBE &gt; VA ",""),"")&amp;IF(COUNT(H443,M443)=2,IF(ABS(M443)&gt;ABS(H443),"RN &gt; CA ",""),"")&amp;IF(COUNT(H443,K443)=2,IF(ABS(K443)&gt;ABS(H443),"RE &gt; CA ",""),""))=0,"OK",IF(COUNT(I443,J443)=2,IF(J443&gt;I443+1,"EBE &gt; VA ",""),"")&amp;IF(COUNT(H443,M443)=2,IF(ABS(M443)&gt;ABS(H443),"RN &gt; CA ",""),"")&amp;IF(COUNT(H443,K443)=2,IF(ABS(K443)&gt;ABS(H443),"RE &gt; CA ",""),"")))</f>
        <v/>
      </c>
    </row>
    <row r="444">
      <c r="A444" s="9" t="inlineStr">
        <is>
          <t>CIEC</t>
        </is>
      </c>
      <c r="B444" s="10">
        <f>IF(A444="","",IFERROR(VLOOKUP(A444,Titres!$A$2:$B$400,2,FALSE),"Ticker inconnu"))</f>
        <v/>
      </c>
      <c r="C444" s="11" t="n">
        <v>2023</v>
      </c>
      <c r="D444" s="11" t="inlineStr">
        <is>
          <t>S1</t>
        </is>
      </c>
      <c r="E444" s="9" t="n"/>
      <c r="F444" s="12" t="n"/>
      <c r="G444" s="9" t="n"/>
      <c r="H444" s="13" t="n"/>
      <c r="I444" s="13" t="n"/>
      <c r="J444" s="13" t="n"/>
      <c r="K444" s="13" t="n"/>
      <c r="L444" s="13" t="n"/>
      <c r="M444" s="13" t="n"/>
      <c r="N444" s="14">
        <f>IF(A444="","",COUNT(H444:M444)/6)</f>
        <v/>
      </c>
      <c r="O444" s="15">
        <f>IF(COUNT(H444:M444)=0,"",IF(LEN(IF(COUNT(I444,J444)=2,IF(J444&gt;I444+1,"EBE &gt; VA ",""),"")&amp;IF(COUNT(H444,M444)=2,IF(ABS(M444)&gt;ABS(H444),"RN &gt; CA ",""),"")&amp;IF(COUNT(H444,K444)=2,IF(ABS(K444)&gt;ABS(H444),"RE &gt; CA ",""),""))=0,"OK",IF(COUNT(I444,J444)=2,IF(J444&gt;I444+1,"EBE &gt; VA ",""),"")&amp;IF(COUNT(H444,M444)=2,IF(ABS(M444)&gt;ABS(H444),"RN &gt; CA ",""),"")&amp;IF(COUNT(H444,K444)=2,IF(ABS(K444)&gt;ABS(H444),"RE &gt; CA ",""),"")))</f>
        <v/>
      </c>
    </row>
    <row r="445">
      <c r="A445" s="9" t="inlineStr">
        <is>
          <t>CIEC</t>
        </is>
      </c>
      <c r="B445" s="10">
        <f>IF(A445="","",IFERROR(VLOOKUP(A445,Titres!$A$2:$B$400,2,FALSE),"Ticker inconnu"))</f>
        <v/>
      </c>
      <c r="C445" s="11" t="n">
        <v>2023</v>
      </c>
      <c r="D445" s="11" t="inlineStr">
        <is>
          <t>T3</t>
        </is>
      </c>
      <c r="E445" s="9" t="n"/>
      <c r="F445" s="12" t="n"/>
      <c r="G445" s="9" t="n"/>
      <c r="H445" s="13" t="n"/>
      <c r="I445" s="13" t="n"/>
      <c r="J445" s="13" t="n"/>
      <c r="K445" s="13" t="n"/>
      <c r="L445" s="13" t="n"/>
      <c r="M445" s="13" t="n"/>
      <c r="N445" s="14">
        <f>IF(A445="","",COUNT(H445:M445)/6)</f>
        <v/>
      </c>
      <c r="O445" s="15">
        <f>IF(COUNT(H445:M445)=0,"",IF(LEN(IF(COUNT(I445,J445)=2,IF(J445&gt;I445+1,"EBE &gt; VA ",""),"")&amp;IF(COUNT(H445,M445)=2,IF(ABS(M445)&gt;ABS(H445),"RN &gt; CA ",""),"")&amp;IF(COUNT(H445,K445)=2,IF(ABS(K445)&gt;ABS(H445),"RE &gt; CA ",""),""))=0,"OK",IF(COUNT(I445,J445)=2,IF(J445&gt;I445+1,"EBE &gt; VA ",""),"")&amp;IF(COUNT(H445,M445)=2,IF(ABS(M445)&gt;ABS(H445),"RN &gt; CA ",""),"")&amp;IF(COUNT(H445,K445)=2,IF(ABS(K445)&gt;ABS(H445),"RE &gt; CA ",""),"")))</f>
        <v/>
      </c>
    </row>
    <row r="446">
      <c r="A446" s="9" t="inlineStr">
        <is>
          <t>CIEC</t>
        </is>
      </c>
      <c r="B446" s="10">
        <f>IF(A446="","",IFERROR(VLOOKUP(A446,Titres!$A$2:$B$400,2,FALSE),"Ticker inconnu"))</f>
        <v/>
      </c>
      <c r="C446" s="11" t="n">
        <v>2024</v>
      </c>
      <c r="D446" s="11" t="inlineStr">
        <is>
          <t>T1</t>
        </is>
      </c>
      <c r="E446" s="9" t="n"/>
      <c r="F446" s="12" t="n"/>
      <c r="G446" s="9" t="n"/>
      <c r="H446" s="13" t="n"/>
      <c r="I446" s="13" t="n"/>
      <c r="J446" s="13" t="n"/>
      <c r="K446" s="13" t="n"/>
      <c r="L446" s="13" t="n"/>
      <c r="M446" s="13" t="n"/>
      <c r="N446" s="14">
        <f>IF(A446="","",COUNT(H446:M446)/6)</f>
        <v/>
      </c>
      <c r="O446" s="15">
        <f>IF(COUNT(H446:M446)=0,"",IF(LEN(IF(COUNT(I446,J446)=2,IF(J446&gt;I446+1,"EBE &gt; VA ",""),"")&amp;IF(COUNT(H446,M446)=2,IF(ABS(M446)&gt;ABS(H446),"RN &gt; CA ",""),"")&amp;IF(COUNT(H446,K446)=2,IF(ABS(K446)&gt;ABS(H446),"RE &gt; CA ",""),""))=0,"OK",IF(COUNT(I446,J446)=2,IF(J446&gt;I446+1,"EBE &gt; VA ",""),"")&amp;IF(COUNT(H446,M446)=2,IF(ABS(M446)&gt;ABS(H446),"RN &gt; CA ",""),"")&amp;IF(COUNT(H446,K446)=2,IF(ABS(K446)&gt;ABS(H446),"RE &gt; CA ",""),"")))</f>
        <v/>
      </c>
    </row>
    <row r="447">
      <c r="A447" s="9" t="inlineStr">
        <is>
          <t>CIEC</t>
        </is>
      </c>
      <c r="B447" s="10">
        <f>IF(A447="","",IFERROR(VLOOKUP(A447,Titres!$A$2:$B$400,2,FALSE),"Ticker inconnu"))</f>
        <v/>
      </c>
      <c r="C447" s="11" t="n">
        <v>2024</v>
      </c>
      <c r="D447" s="11" t="inlineStr">
        <is>
          <t>S1</t>
        </is>
      </c>
      <c r="E447" s="9" t="n"/>
      <c r="F447" s="12" t="n"/>
      <c r="G447" s="9" t="n"/>
      <c r="H447" s="13" t="n"/>
      <c r="I447" s="13" t="n"/>
      <c r="J447" s="13" t="n"/>
      <c r="K447" s="13" t="n"/>
      <c r="L447" s="13" t="n"/>
      <c r="M447" s="13" t="n"/>
      <c r="N447" s="14">
        <f>IF(A447="","",COUNT(H447:M447)/6)</f>
        <v/>
      </c>
      <c r="O447" s="15">
        <f>IF(COUNT(H447:M447)=0,"",IF(LEN(IF(COUNT(I447,J447)=2,IF(J447&gt;I447+1,"EBE &gt; VA ",""),"")&amp;IF(COUNT(H447,M447)=2,IF(ABS(M447)&gt;ABS(H447),"RN &gt; CA ",""),"")&amp;IF(COUNT(H447,K447)=2,IF(ABS(K447)&gt;ABS(H447),"RE &gt; CA ",""),""))=0,"OK",IF(COUNT(I447,J447)=2,IF(J447&gt;I447+1,"EBE &gt; VA ",""),"")&amp;IF(COUNT(H447,M447)=2,IF(ABS(M447)&gt;ABS(H447),"RN &gt; CA ",""),"")&amp;IF(COUNT(H447,K447)=2,IF(ABS(K447)&gt;ABS(H447),"RE &gt; CA ",""),"")))</f>
        <v/>
      </c>
    </row>
    <row r="448">
      <c r="A448" s="9" t="inlineStr">
        <is>
          <t>CIEC</t>
        </is>
      </c>
      <c r="B448" s="10">
        <f>IF(A448="","",IFERROR(VLOOKUP(A448,Titres!$A$2:$B$400,2,FALSE),"Ticker inconnu"))</f>
        <v/>
      </c>
      <c r="C448" s="11" t="n">
        <v>2024</v>
      </c>
      <c r="D448" s="11" t="inlineStr">
        <is>
          <t>T3</t>
        </is>
      </c>
      <c r="E448" s="9" t="n"/>
      <c r="F448" s="12" t="n"/>
      <c r="G448" s="9" t="n"/>
      <c r="H448" s="13" t="n"/>
      <c r="I448" s="13" t="n"/>
      <c r="J448" s="13" t="n"/>
      <c r="K448" s="13" t="n"/>
      <c r="L448" s="13" t="n"/>
      <c r="M448" s="13" t="n"/>
      <c r="N448" s="14">
        <f>IF(A448="","",COUNT(H448:M448)/6)</f>
        <v/>
      </c>
      <c r="O448" s="15">
        <f>IF(COUNT(H448:M448)=0,"",IF(LEN(IF(COUNT(I448,J448)=2,IF(J448&gt;I448+1,"EBE &gt; VA ",""),"")&amp;IF(COUNT(H448,M448)=2,IF(ABS(M448)&gt;ABS(H448),"RN &gt; CA ",""),"")&amp;IF(COUNT(H448,K448)=2,IF(ABS(K448)&gt;ABS(H448),"RE &gt; CA ",""),""))=0,"OK",IF(COUNT(I448,J448)=2,IF(J448&gt;I448+1,"EBE &gt; VA ",""),"")&amp;IF(COUNT(H448,M448)=2,IF(ABS(M448)&gt;ABS(H448),"RN &gt; CA ",""),"")&amp;IF(COUNT(H448,K448)=2,IF(ABS(K448)&gt;ABS(H448),"RE &gt; CA ",""),"")))</f>
        <v/>
      </c>
    </row>
    <row r="449">
      <c r="A449" s="9" t="inlineStr">
        <is>
          <t>CIEC</t>
        </is>
      </c>
      <c r="B449" s="10">
        <f>IF(A449="","",IFERROR(VLOOKUP(A449,Titres!$A$2:$B$400,2,FALSE),"Ticker inconnu"))</f>
        <v/>
      </c>
      <c r="C449" s="11" t="n">
        <v>2025</v>
      </c>
      <c r="D449" s="11" t="inlineStr">
        <is>
          <t>T1</t>
        </is>
      </c>
      <c r="E449" s="9" t="n"/>
      <c r="F449" s="12" t="n"/>
      <c r="G449" s="9" t="n"/>
      <c r="H449" s="13" t="n"/>
      <c r="I449" s="13" t="n"/>
      <c r="J449" s="13" t="n"/>
      <c r="K449" s="13" t="n"/>
      <c r="L449" s="13" t="n"/>
      <c r="M449" s="13" t="n"/>
      <c r="N449" s="14">
        <f>IF(A449="","",COUNT(H449:M449)/6)</f>
        <v/>
      </c>
      <c r="O449" s="15">
        <f>IF(COUNT(H449:M449)=0,"",IF(LEN(IF(COUNT(I449,J449)=2,IF(J449&gt;I449+1,"EBE &gt; VA ",""),"")&amp;IF(COUNT(H449,M449)=2,IF(ABS(M449)&gt;ABS(H449),"RN &gt; CA ",""),"")&amp;IF(COUNT(H449,K449)=2,IF(ABS(K449)&gt;ABS(H449),"RE &gt; CA ",""),""))=0,"OK",IF(COUNT(I449,J449)=2,IF(J449&gt;I449+1,"EBE &gt; VA ",""),"")&amp;IF(COUNT(H449,M449)=2,IF(ABS(M449)&gt;ABS(H449),"RN &gt; CA ",""),"")&amp;IF(COUNT(H449,K449)=2,IF(ABS(K449)&gt;ABS(H449),"RE &gt; CA ",""),"")))</f>
        <v/>
      </c>
    </row>
    <row r="450">
      <c r="A450" s="9" t="inlineStr">
        <is>
          <t>CIEC</t>
        </is>
      </c>
      <c r="B450" s="10">
        <f>IF(A450="","",IFERROR(VLOOKUP(A450,Titres!$A$2:$B$400,2,FALSE),"Ticker inconnu"))</f>
        <v/>
      </c>
      <c r="C450" s="11" t="n">
        <v>2025</v>
      </c>
      <c r="D450" s="11" t="inlineStr">
        <is>
          <t>S1</t>
        </is>
      </c>
      <c r="E450" s="9" t="n"/>
      <c r="F450" s="12" t="n"/>
      <c r="G450" s="9" t="n"/>
      <c r="H450" s="13" t="n"/>
      <c r="I450" s="13" t="n"/>
      <c r="J450" s="13" t="n"/>
      <c r="K450" s="13" t="n"/>
      <c r="L450" s="13" t="n"/>
      <c r="M450" s="13" t="n"/>
      <c r="N450" s="14">
        <f>IF(A450="","",COUNT(H450:M450)/6)</f>
        <v/>
      </c>
      <c r="O450" s="15">
        <f>IF(COUNT(H450:M450)=0,"",IF(LEN(IF(COUNT(I450,J450)=2,IF(J450&gt;I450+1,"EBE &gt; VA ",""),"")&amp;IF(COUNT(H450,M450)=2,IF(ABS(M450)&gt;ABS(H450),"RN &gt; CA ",""),"")&amp;IF(COUNT(H450,K450)=2,IF(ABS(K450)&gt;ABS(H450),"RE &gt; CA ",""),""))=0,"OK",IF(COUNT(I450,J450)=2,IF(J450&gt;I450+1,"EBE &gt; VA ",""),"")&amp;IF(COUNT(H450,M450)=2,IF(ABS(M450)&gt;ABS(H450),"RN &gt; CA ",""),"")&amp;IF(COUNT(H450,K450)=2,IF(ABS(K450)&gt;ABS(H450),"RE &gt; CA ",""),"")))</f>
        <v/>
      </c>
    </row>
    <row r="451">
      <c r="A451" s="9" t="inlineStr">
        <is>
          <t>CIEC</t>
        </is>
      </c>
      <c r="B451" s="10">
        <f>IF(A451="","",IFERROR(VLOOKUP(A451,Titres!$A$2:$B$400,2,FALSE),"Ticker inconnu"))</f>
        <v/>
      </c>
      <c r="C451" s="11" t="n">
        <v>2025</v>
      </c>
      <c r="D451" s="11" t="inlineStr">
        <is>
          <t>T3</t>
        </is>
      </c>
      <c r="E451" s="9" t="n"/>
      <c r="F451" s="12" t="n"/>
      <c r="G451" s="9" t="n"/>
      <c r="H451" s="13" t="n"/>
      <c r="I451" s="13" t="n"/>
      <c r="J451" s="13" t="n"/>
      <c r="K451" s="13" t="n"/>
      <c r="L451" s="13" t="n"/>
      <c r="M451" s="13" t="n"/>
      <c r="N451" s="14">
        <f>IF(A451="","",COUNT(H451:M451)/6)</f>
        <v/>
      </c>
      <c r="O451" s="15">
        <f>IF(COUNT(H451:M451)=0,"",IF(LEN(IF(COUNT(I451,J451)=2,IF(J451&gt;I451+1,"EBE &gt; VA ",""),"")&amp;IF(COUNT(H451,M451)=2,IF(ABS(M451)&gt;ABS(H451),"RN &gt; CA ",""),"")&amp;IF(COUNT(H451,K451)=2,IF(ABS(K451)&gt;ABS(H451),"RE &gt; CA ",""),""))=0,"OK",IF(COUNT(I451,J451)=2,IF(J451&gt;I451+1,"EBE &gt; VA ",""),"")&amp;IF(COUNT(H451,M451)=2,IF(ABS(M451)&gt;ABS(H451),"RN &gt; CA ",""),"")&amp;IF(COUNT(H451,K451)=2,IF(ABS(K451)&gt;ABS(H451),"RE &gt; CA ",""),"")))</f>
        <v/>
      </c>
    </row>
    <row r="452">
      <c r="A452" s="9" t="inlineStr">
        <is>
          <t>CIEC</t>
        </is>
      </c>
      <c r="B452" s="10">
        <f>IF(A452="","",IFERROR(VLOOKUP(A452,Titres!$A$2:$B$400,2,FALSE),"Ticker inconnu"))</f>
        <v/>
      </c>
      <c r="C452" s="11" t="n">
        <v>2026</v>
      </c>
      <c r="D452" s="11" t="inlineStr">
        <is>
          <t>T1</t>
        </is>
      </c>
      <c r="E452" s="9" t="n"/>
      <c r="F452" s="12" t="n"/>
      <c r="G452" s="9" t="n"/>
      <c r="H452" s="13" t="n"/>
      <c r="I452" s="13" t="n"/>
      <c r="J452" s="13" t="n"/>
      <c r="K452" s="13" t="n"/>
      <c r="L452" s="13" t="n"/>
      <c r="M452" s="13" t="n"/>
      <c r="N452" s="14">
        <f>IF(A452="","",COUNT(H452:M452)/6)</f>
        <v/>
      </c>
      <c r="O452" s="15">
        <f>IF(COUNT(H452:M452)=0,"",IF(LEN(IF(COUNT(I452,J452)=2,IF(J452&gt;I452+1,"EBE &gt; VA ",""),"")&amp;IF(COUNT(H452,M452)=2,IF(ABS(M452)&gt;ABS(H452),"RN &gt; CA ",""),"")&amp;IF(COUNT(H452,K452)=2,IF(ABS(K452)&gt;ABS(H452),"RE &gt; CA ",""),""))=0,"OK",IF(COUNT(I452,J452)=2,IF(J452&gt;I452+1,"EBE &gt; VA ",""),"")&amp;IF(COUNT(H452,M452)=2,IF(ABS(M452)&gt;ABS(H452),"RN &gt; CA ",""),"")&amp;IF(COUNT(H452,K452)=2,IF(ABS(K452)&gt;ABS(H452),"RE &gt; CA ",""),"")))</f>
        <v/>
      </c>
    </row>
    <row r="453">
      <c r="A453" s="9" t="inlineStr">
        <is>
          <t>CIEC</t>
        </is>
      </c>
      <c r="B453" s="10">
        <f>IF(A453="","",IFERROR(VLOOKUP(A453,Titres!$A$2:$B$400,2,FALSE),"Ticker inconnu"))</f>
        <v/>
      </c>
      <c r="C453" s="11" t="n">
        <v>2026</v>
      </c>
      <c r="D453" s="11" t="inlineStr">
        <is>
          <t>S1</t>
        </is>
      </c>
      <c r="E453" s="9" t="n"/>
      <c r="F453" s="12" t="n"/>
      <c r="G453" s="9" t="n"/>
      <c r="H453" s="13" t="n"/>
      <c r="I453" s="13" t="n"/>
      <c r="J453" s="13" t="n"/>
      <c r="K453" s="13" t="n"/>
      <c r="L453" s="13" t="n"/>
      <c r="M453" s="13" t="n"/>
      <c r="N453" s="14">
        <f>IF(A453="","",COUNT(H453:M453)/6)</f>
        <v/>
      </c>
      <c r="O453" s="15">
        <f>IF(COUNT(H453:M453)=0,"",IF(LEN(IF(COUNT(I453,J453)=2,IF(J453&gt;I453+1,"EBE &gt; VA ",""),"")&amp;IF(COUNT(H453,M453)=2,IF(ABS(M453)&gt;ABS(H453),"RN &gt; CA ",""),"")&amp;IF(COUNT(H453,K453)=2,IF(ABS(K453)&gt;ABS(H453),"RE &gt; CA ",""),""))=0,"OK",IF(COUNT(I453,J453)=2,IF(J453&gt;I453+1,"EBE &gt; VA ",""),"")&amp;IF(COUNT(H453,M453)=2,IF(ABS(M453)&gt;ABS(H453),"RN &gt; CA ",""),"")&amp;IF(COUNT(H453,K453)=2,IF(ABS(K453)&gt;ABS(H453),"RE &gt; CA ",""),"")))</f>
        <v/>
      </c>
    </row>
    <row r="454">
      <c r="A454" s="9" t="inlineStr">
        <is>
          <t>CIEC</t>
        </is>
      </c>
      <c r="B454" s="10">
        <f>IF(A454="","",IFERROR(VLOOKUP(A454,Titres!$A$2:$B$400,2,FALSE),"Ticker inconnu"))</f>
        <v/>
      </c>
      <c r="C454" s="11" t="n">
        <v>2026</v>
      </c>
      <c r="D454" s="11" t="inlineStr">
        <is>
          <t>T3</t>
        </is>
      </c>
      <c r="E454" s="9" t="n"/>
      <c r="F454" s="12" t="n"/>
      <c r="G454" s="9" t="n"/>
      <c r="H454" s="13" t="n"/>
      <c r="I454" s="13" t="n"/>
      <c r="J454" s="13" t="n"/>
      <c r="K454" s="13" t="n"/>
      <c r="L454" s="13" t="n"/>
      <c r="M454" s="13" t="n"/>
      <c r="N454" s="14">
        <f>IF(A454="","",COUNT(H454:M454)/6)</f>
        <v/>
      </c>
      <c r="O454" s="15">
        <f>IF(COUNT(H454:M454)=0,"",IF(LEN(IF(COUNT(I454,J454)=2,IF(J454&gt;I454+1,"EBE &gt; VA ",""),"")&amp;IF(COUNT(H454,M454)=2,IF(ABS(M454)&gt;ABS(H454),"RN &gt; CA ",""),"")&amp;IF(COUNT(H454,K454)=2,IF(ABS(K454)&gt;ABS(H454),"RE &gt; CA ",""),""))=0,"OK",IF(COUNT(I454,J454)=2,IF(J454&gt;I454+1,"EBE &gt; VA ",""),"")&amp;IF(COUNT(H454,M454)=2,IF(ABS(M454)&gt;ABS(H454),"RN &gt; CA ",""),"")&amp;IF(COUNT(H454,K454)=2,IF(ABS(K454)&gt;ABS(H454),"RE &gt; CA ",""),"")))</f>
        <v/>
      </c>
    </row>
    <row r="455">
      <c r="A455" s="9" t="inlineStr">
        <is>
          <t>SDCC</t>
        </is>
      </c>
      <c r="B455" s="10">
        <f>IF(A455="","",IFERROR(VLOOKUP(A455,Titres!$A$2:$B$400,2,FALSE),"Ticker inconnu"))</f>
        <v/>
      </c>
      <c r="C455" s="11" t="n">
        <v>2021</v>
      </c>
      <c r="D455" s="11" t="inlineStr">
        <is>
          <t>T1</t>
        </is>
      </c>
      <c r="E455" s="9" t="n"/>
      <c r="F455" s="12" t="n"/>
      <c r="G455" s="9" t="n"/>
      <c r="H455" s="13" t="n"/>
      <c r="I455" s="13" t="n"/>
      <c r="J455" s="13" t="n"/>
      <c r="K455" s="13" t="n"/>
      <c r="L455" s="13" t="n"/>
      <c r="M455" s="13" t="n"/>
      <c r="N455" s="14">
        <f>IF(A455="","",COUNT(H455:M455)/6)</f>
        <v/>
      </c>
      <c r="O455" s="15">
        <f>IF(COUNT(H455:M455)=0,"",IF(LEN(IF(COUNT(I455,J455)=2,IF(J455&gt;I455+1,"EBE &gt; VA ",""),"")&amp;IF(COUNT(H455,M455)=2,IF(ABS(M455)&gt;ABS(H455),"RN &gt; CA ",""),"")&amp;IF(COUNT(H455,K455)=2,IF(ABS(K455)&gt;ABS(H455),"RE &gt; CA ",""),""))=0,"OK",IF(COUNT(I455,J455)=2,IF(J455&gt;I455+1,"EBE &gt; VA ",""),"")&amp;IF(COUNT(H455,M455)=2,IF(ABS(M455)&gt;ABS(H455),"RN &gt; CA ",""),"")&amp;IF(COUNT(H455,K455)=2,IF(ABS(K455)&gt;ABS(H455),"RE &gt; CA ",""),"")))</f>
        <v/>
      </c>
    </row>
    <row r="456">
      <c r="A456" s="9" t="inlineStr">
        <is>
          <t>SDCC</t>
        </is>
      </c>
      <c r="B456" s="10">
        <f>IF(A456="","",IFERROR(VLOOKUP(A456,Titres!$A$2:$B$400,2,FALSE),"Ticker inconnu"))</f>
        <v/>
      </c>
      <c r="C456" s="11" t="n">
        <v>2021</v>
      </c>
      <c r="D456" s="11" t="inlineStr">
        <is>
          <t>S1</t>
        </is>
      </c>
      <c r="E456" s="9" t="n"/>
      <c r="F456" s="12" t="n"/>
      <c r="G456" s="9" t="n"/>
      <c r="H456" s="13" t="n"/>
      <c r="I456" s="13" t="n"/>
      <c r="J456" s="13" t="n"/>
      <c r="K456" s="13" t="n"/>
      <c r="L456" s="13" t="n"/>
      <c r="M456" s="13" t="n"/>
      <c r="N456" s="14">
        <f>IF(A456="","",COUNT(H456:M456)/6)</f>
        <v/>
      </c>
      <c r="O456" s="15">
        <f>IF(COUNT(H456:M456)=0,"",IF(LEN(IF(COUNT(I456,J456)=2,IF(J456&gt;I456+1,"EBE &gt; VA ",""),"")&amp;IF(COUNT(H456,M456)=2,IF(ABS(M456)&gt;ABS(H456),"RN &gt; CA ",""),"")&amp;IF(COUNT(H456,K456)=2,IF(ABS(K456)&gt;ABS(H456),"RE &gt; CA ",""),""))=0,"OK",IF(COUNT(I456,J456)=2,IF(J456&gt;I456+1,"EBE &gt; VA ",""),"")&amp;IF(COUNT(H456,M456)=2,IF(ABS(M456)&gt;ABS(H456),"RN &gt; CA ",""),"")&amp;IF(COUNT(H456,K456)=2,IF(ABS(K456)&gt;ABS(H456),"RE &gt; CA ",""),"")))</f>
        <v/>
      </c>
    </row>
    <row r="457">
      <c r="A457" s="9" t="inlineStr">
        <is>
          <t>SDCC</t>
        </is>
      </c>
      <c r="B457" s="10">
        <f>IF(A457="","",IFERROR(VLOOKUP(A457,Titres!$A$2:$B$400,2,FALSE),"Ticker inconnu"))</f>
        <v/>
      </c>
      <c r="C457" s="11" t="n">
        <v>2021</v>
      </c>
      <c r="D457" s="11" t="inlineStr">
        <is>
          <t>T3</t>
        </is>
      </c>
      <c r="E457" s="9" t="n"/>
      <c r="F457" s="12" t="n"/>
      <c r="G457" s="9" t="n"/>
      <c r="H457" s="13" t="n"/>
      <c r="I457" s="13" t="n"/>
      <c r="J457" s="13" t="n"/>
      <c r="K457" s="13" t="n"/>
      <c r="L457" s="13" t="n"/>
      <c r="M457" s="13" t="n"/>
      <c r="N457" s="14">
        <f>IF(A457="","",COUNT(H457:M457)/6)</f>
        <v/>
      </c>
      <c r="O457" s="15">
        <f>IF(COUNT(H457:M457)=0,"",IF(LEN(IF(COUNT(I457,J457)=2,IF(J457&gt;I457+1,"EBE &gt; VA ",""),"")&amp;IF(COUNT(H457,M457)=2,IF(ABS(M457)&gt;ABS(H457),"RN &gt; CA ",""),"")&amp;IF(COUNT(H457,K457)=2,IF(ABS(K457)&gt;ABS(H457),"RE &gt; CA ",""),""))=0,"OK",IF(COUNT(I457,J457)=2,IF(J457&gt;I457+1,"EBE &gt; VA ",""),"")&amp;IF(COUNT(H457,M457)=2,IF(ABS(M457)&gt;ABS(H457),"RN &gt; CA ",""),"")&amp;IF(COUNT(H457,K457)=2,IF(ABS(K457)&gt;ABS(H457),"RE &gt; CA ",""),"")))</f>
        <v/>
      </c>
    </row>
    <row r="458">
      <c r="A458" s="9" t="inlineStr">
        <is>
          <t>SDCC</t>
        </is>
      </c>
      <c r="B458" s="10">
        <f>IF(A458="","",IFERROR(VLOOKUP(A458,Titres!$A$2:$B$400,2,FALSE),"Ticker inconnu"))</f>
        <v/>
      </c>
      <c r="C458" s="11" t="n">
        <v>2022</v>
      </c>
      <c r="D458" s="11" t="inlineStr">
        <is>
          <t>T1</t>
        </is>
      </c>
      <c r="E458" s="9" t="n"/>
      <c r="F458" s="12" t="n"/>
      <c r="G458" s="9" t="n"/>
      <c r="H458" s="13" t="n"/>
      <c r="I458" s="13" t="n"/>
      <c r="J458" s="13" t="n"/>
      <c r="K458" s="13" t="n"/>
      <c r="L458" s="13" t="n"/>
      <c r="M458" s="13" t="n"/>
      <c r="N458" s="14">
        <f>IF(A458="","",COUNT(H458:M458)/6)</f>
        <v/>
      </c>
      <c r="O458" s="15">
        <f>IF(COUNT(H458:M458)=0,"",IF(LEN(IF(COUNT(I458,J458)=2,IF(J458&gt;I458+1,"EBE &gt; VA ",""),"")&amp;IF(COUNT(H458,M458)=2,IF(ABS(M458)&gt;ABS(H458),"RN &gt; CA ",""),"")&amp;IF(COUNT(H458,K458)=2,IF(ABS(K458)&gt;ABS(H458),"RE &gt; CA ",""),""))=0,"OK",IF(COUNT(I458,J458)=2,IF(J458&gt;I458+1,"EBE &gt; VA ",""),"")&amp;IF(COUNT(H458,M458)=2,IF(ABS(M458)&gt;ABS(H458),"RN &gt; CA ",""),"")&amp;IF(COUNT(H458,K458)=2,IF(ABS(K458)&gt;ABS(H458),"RE &gt; CA ",""),"")))</f>
        <v/>
      </c>
    </row>
    <row r="459">
      <c r="A459" s="9" t="inlineStr">
        <is>
          <t>SDCC</t>
        </is>
      </c>
      <c r="B459" s="10">
        <f>IF(A459="","",IFERROR(VLOOKUP(A459,Titres!$A$2:$B$400,2,FALSE),"Ticker inconnu"))</f>
        <v/>
      </c>
      <c r="C459" s="11" t="n">
        <v>2022</v>
      </c>
      <c r="D459" s="11" t="inlineStr">
        <is>
          <t>S1</t>
        </is>
      </c>
      <c r="E459" s="9" t="n"/>
      <c r="F459" s="12" t="n"/>
      <c r="G459" s="9" t="n"/>
      <c r="H459" s="13" t="n"/>
      <c r="I459" s="13" t="n"/>
      <c r="J459" s="13" t="n"/>
      <c r="K459" s="13" t="n"/>
      <c r="L459" s="13" t="n"/>
      <c r="M459" s="13" t="n"/>
      <c r="N459" s="14">
        <f>IF(A459="","",COUNT(H459:M459)/6)</f>
        <v/>
      </c>
      <c r="O459" s="15">
        <f>IF(COUNT(H459:M459)=0,"",IF(LEN(IF(COUNT(I459,J459)=2,IF(J459&gt;I459+1,"EBE &gt; VA ",""),"")&amp;IF(COUNT(H459,M459)=2,IF(ABS(M459)&gt;ABS(H459),"RN &gt; CA ",""),"")&amp;IF(COUNT(H459,K459)=2,IF(ABS(K459)&gt;ABS(H459),"RE &gt; CA ",""),""))=0,"OK",IF(COUNT(I459,J459)=2,IF(J459&gt;I459+1,"EBE &gt; VA ",""),"")&amp;IF(COUNT(H459,M459)=2,IF(ABS(M459)&gt;ABS(H459),"RN &gt; CA ",""),"")&amp;IF(COUNT(H459,K459)=2,IF(ABS(K459)&gt;ABS(H459),"RE &gt; CA ",""),"")))</f>
        <v/>
      </c>
    </row>
    <row r="460">
      <c r="A460" s="9" t="inlineStr">
        <is>
          <t>SDCC</t>
        </is>
      </c>
      <c r="B460" s="10">
        <f>IF(A460="","",IFERROR(VLOOKUP(A460,Titres!$A$2:$B$400,2,FALSE),"Ticker inconnu"))</f>
        <v/>
      </c>
      <c r="C460" s="11" t="n">
        <v>2022</v>
      </c>
      <c r="D460" s="11" t="inlineStr">
        <is>
          <t>T3</t>
        </is>
      </c>
      <c r="E460" s="9" t="n"/>
      <c r="F460" s="12" t="n"/>
      <c r="G460" s="9" t="n"/>
      <c r="H460" s="13" t="n"/>
      <c r="I460" s="13" t="n"/>
      <c r="J460" s="13" t="n"/>
      <c r="K460" s="13" t="n"/>
      <c r="L460" s="13" t="n"/>
      <c r="M460" s="13" t="n"/>
      <c r="N460" s="14">
        <f>IF(A460="","",COUNT(H460:M460)/6)</f>
        <v/>
      </c>
      <c r="O460" s="15">
        <f>IF(COUNT(H460:M460)=0,"",IF(LEN(IF(COUNT(I460,J460)=2,IF(J460&gt;I460+1,"EBE &gt; VA ",""),"")&amp;IF(COUNT(H460,M460)=2,IF(ABS(M460)&gt;ABS(H460),"RN &gt; CA ",""),"")&amp;IF(COUNT(H460,K460)=2,IF(ABS(K460)&gt;ABS(H460),"RE &gt; CA ",""),""))=0,"OK",IF(COUNT(I460,J460)=2,IF(J460&gt;I460+1,"EBE &gt; VA ",""),"")&amp;IF(COUNT(H460,M460)=2,IF(ABS(M460)&gt;ABS(H460),"RN &gt; CA ",""),"")&amp;IF(COUNT(H460,K460)=2,IF(ABS(K460)&gt;ABS(H460),"RE &gt; CA ",""),"")))</f>
        <v/>
      </c>
    </row>
    <row r="461">
      <c r="A461" s="9" t="inlineStr">
        <is>
          <t>SDCC</t>
        </is>
      </c>
      <c r="B461" s="10">
        <f>IF(A461="","",IFERROR(VLOOKUP(A461,Titres!$A$2:$B$400,2,FALSE),"Ticker inconnu"))</f>
        <v/>
      </c>
      <c r="C461" s="11" t="n">
        <v>2023</v>
      </c>
      <c r="D461" s="11" t="inlineStr">
        <is>
          <t>T1</t>
        </is>
      </c>
      <c r="E461" s="9" t="n"/>
      <c r="F461" s="12" t="n"/>
      <c r="G461" s="9" t="n"/>
      <c r="H461" s="13" t="n"/>
      <c r="I461" s="13" t="n"/>
      <c r="J461" s="13" t="n"/>
      <c r="K461" s="13" t="n"/>
      <c r="L461" s="13" t="n"/>
      <c r="M461" s="13" t="n"/>
      <c r="N461" s="14">
        <f>IF(A461="","",COUNT(H461:M461)/6)</f>
        <v/>
      </c>
      <c r="O461" s="15">
        <f>IF(COUNT(H461:M461)=0,"",IF(LEN(IF(COUNT(I461,J461)=2,IF(J461&gt;I461+1,"EBE &gt; VA ",""),"")&amp;IF(COUNT(H461,M461)=2,IF(ABS(M461)&gt;ABS(H461),"RN &gt; CA ",""),"")&amp;IF(COUNT(H461,K461)=2,IF(ABS(K461)&gt;ABS(H461),"RE &gt; CA ",""),""))=0,"OK",IF(COUNT(I461,J461)=2,IF(J461&gt;I461+1,"EBE &gt; VA ",""),"")&amp;IF(COUNT(H461,M461)=2,IF(ABS(M461)&gt;ABS(H461),"RN &gt; CA ",""),"")&amp;IF(COUNT(H461,K461)=2,IF(ABS(K461)&gt;ABS(H461),"RE &gt; CA ",""),"")))</f>
        <v/>
      </c>
    </row>
    <row r="462">
      <c r="A462" s="9" t="inlineStr">
        <is>
          <t>SDCC</t>
        </is>
      </c>
      <c r="B462" s="10">
        <f>IF(A462="","",IFERROR(VLOOKUP(A462,Titres!$A$2:$B$400,2,FALSE),"Ticker inconnu"))</f>
        <v/>
      </c>
      <c r="C462" s="11" t="n">
        <v>2023</v>
      </c>
      <c r="D462" s="11" t="inlineStr">
        <is>
          <t>S1</t>
        </is>
      </c>
      <c r="E462" s="9" t="n"/>
      <c r="F462" s="12" t="n"/>
      <c r="G462" s="9" t="n"/>
      <c r="H462" s="13" t="n"/>
      <c r="I462" s="13" t="n"/>
      <c r="J462" s="13" t="n"/>
      <c r="K462" s="13" t="n"/>
      <c r="L462" s="13" t="n"/>
      <c r="M462" s="13" t="n"/>
      <c r="N462" s="14">
        <f>IF(A462="","",COUNT(H462:M462)/6)</f>
        <v/>
      </c>
      <c r="O462" s="15">
        <f>IF(COUNT(H462:M462)=0,"",IF(LEN(IF(COUNT(I462,J462)=2,IF(J462&gt;I462+1,"EBE &gt; VA ",""),"")&amp;IF(COUNT(H462,M462)=2,IF(ABS(M462)&gt;ABS(H462),"RN &gt; CA ",""),"")&amp;IF(COUNT(H462,K462)=2,IF(ABS(K462)&gt;ABS(H462),"RE &gt; CA ",""),""))=0,"OK",IF(COUNT(I462,J462)=2,IF(J462&gt;I462+1,"EBE &gt; VA ",""),"")&amp;IF(COUNT(H462,M462)=2,IF(ABS(M462)&gt;ABS(H462),"RN &gt; CA ",""),"")&amp;IF(COUNT(H462,K462)=2,IF(ABS(K462)&gt;ABS(H462),"RE &gt; CA ",""),"")))</f>
        <v/>
      </c>
    </row>
    <row r="463">
      <c r="A463" s="9" t="inlineStr">
        <is>
          <t>SDCC</t>
        </is>
      </c>
      <c r="B463" s="10">
        <f>IF(A463="","",IFERROR(VLOOKUP(A463,Titres!$A$2:$B$400,2,FALSE),"Ticker inconnu"))</f>
        <v/>
      </c>
      <c r="C463" s="11" t="n">
        <v>2023</v>
      </c>
      <c r="D463" s="11" t="inlineStr">
        <is>
          <t>T3</t>
        </is>
      </c>
      <c r="E463" s="9" t="n"/>
      <c r="F463" s="12" t="n"/>
      <c r="G463" s="9" t="n"/>
      <c r="H463" s="13" t="n"/>
      <c r="I463" s="13" t="n"/>
      <c r="J463" s="13" t="n"/>
      <c r="K463" s="13" t="n"/>
      <c r="L463" s="13" t="n"/>
      <c r="M463" s="13" t="n"/>
      <c r="N463" s="14">
        <f>IF(A463="","",COUNT(H463:M463)/6)</f>
        <v/>
      </c>
      <c r="O463" s="15">
        <f>IF(COUNT(H463:M463)=0,"",IF(LEN(IF(COUNT(I463,J463)=2,IF(J463&gt;I463+1,"EBE &gt; VA ",""),"")&amp;IF(COUNT(H463,M463)=2,IF(ABS(M463)&gt;ABS(H463),"RN &gt; CA ",""),"")&amp;IF(COUNT(H463,K463)=2,IF(ABS(K463)&gt;ABS(H463),"RE &gt; CA ",""),""))=0,"OK",IF(COUNT(I463,J463)=2,IF(J463&gt;I463+1,"EBE &gt; VA ",""),"")&amp;IF(COUNT(H463,M463)=2,IF(ABS(M463)&gt;ABS(H463),"RN &gt; CA ",""),"")&amp;IF(COUNT(H463,K463)=2,IF(ABS(K463)&gt;ABS(H463),"RE &gt; CA ",""),"")))</f>
        <v/>
      </c>
    </row>
    <row r="464">
      <c r="A464" s="9" t="inlineStr">
        <is>
          <t>SDCC</t>
        </is>
      </c>
      <c r="B464" s="10">
        <f>IF(A464="","",IFERROR(VLOOKUP(A464,Titres!$A$2:$B$400,2,FALSE),"Ticker inconnu"))</f>
        <v/>
      </c>
      <c r="C464" s="11" t="n">
        <v>2024</v>
      </c>
      <c r="D464" s="11" t="inlineStr">
        <is>
          <t>T1</t>
        </is>
      </c>
      <c r="E464" s="9" t="n"/>
      <c r="F464" s="12" t="n"/>
      <c r="G464" s="9" t="n"/>
      <c r="H464" s="13" t="n"/>
      <c r="I464" s="13" t="n"/>
      <c r="J464" s="13" t="n"/>
      <c r="K464" s="13" t="n"/>
      <c r="L464" s="13" t="n"/>
      <c r="M464" s="13" t="n"/>
      <c r="N464" s="14">
        <f>IF(A464="","",COUNT(H464:M464)/6)</f>
        <v/>
      </c>
      <c r="O464" s="15">
        <f>IF(COUNT(H464:M464)=0,"",IF(LEN(IF(COUNT(I464,J464)=2,IF(J464&gt;I464+1,"EBE &gt; VA ",""),"")&amp;IF(COUNT(H464,M464)=2,IF(ABS(M464)&gt;ABS(H464),"RN &gt; CA ",""),"")&amp;IF(COUNT(H464,K464)=2,IF(ABS(K464)&gt;ABS(H464),"RE &gt; CA ",""),""))=0,"OK",IF(COUNT(I464,J464)=2,IF(J464&gt;I464+1,"EBE &gt; VA ",""),"")&amp;IF(COUNT(H464,M464)=2,IF(ABS(M464)&gt;ABS(H464),"RN &gt; CA ",""),"")&amp;IF(COUNT(H464,K464)=2,IF(ABS(K464)&gt;ABS(H464),"RE &gt; CA ",""),"")))</f>
        <v/>
      </c>
    </row>
    <row r="465">
      <c r="A465" s="9" t="inlineStr">
        <is>
          <t>SDCC</t>
        </is>
      </c>
      <c r="B465" s="10">
        <f>IF(A465="","",IFERROR(VLOOKUP(A465,Titres!$A$2:$B$400,2,FALSE),"Ticker inconnu"))</f>
        <v/>
      </c>
      <c r="C465" s="11" t="n">
        <v>2024</v>
      </c>
      <c r="D465" s="11" t="inlineStr">
        <is>
          <t>S1</t>
        </is>
      </c>
      <c r="E465" s="9" t="n"/>
      <c r="F465" s="12" t="n"/>
      <c r="G465" s="9" t="n"/>
      <c r="H465" s="13" t="n"/>
      <c r="I465" s="13" t="n"/>
      <c r="J465" s="13" t="n"/>
      <c r="K465" s="13" t="n"/>
      <c r="L465" s="13" t="n"/>
      <c r="M465" s="13" t="n"/>
      <c r="N465" s="14">
        <f>IF(A465="","",COUNT(H465:M465)/6)</f>
        <v/>
      </c>
      <c r="O465" s="15">
        <f>IF(COUNT(H465:M465)=0,"",IF(LEN(IF(COUNT(I465,J465)=2,IF(J465&gt;I465+1,"EBE &gt; VA ",""),"")&amp;IF(COUNT(H465,M465)=2,IF(ABS(M465)&gt;ABS(H465),"RN &gt; CA ",""),"")&amp;IF(COUNT(H465,K465)=2,IF(ABS(K465)&gt;ABS(H465),"RE &gt; CA ",""),""))=0,"OK",IF(COUNT(I465,J465)=2,IF(J465&gt;I465+1,"EBE &gt; VA ",""),"")&amp;IF(COUNT(H465,M465)=2,IF(ABS(M465)&gt;ABS(H465),"RN &gt; CA ",""),"")&amp;IF(COUNT(H465,K465)=2,IF(ABS(K465)&gt;ABS(H465),"RE &gt; CA ",""),"")))</f>
        <v/>
      </c>
    </row>
    <row r="466">
      <c r="A466" s="9" t="inlineStr">
        <is>
          <t>SDCC</t>
        </is>
      </c>
      <c r="B466" s="10">
        <f>IF(A466="","",IFERROR(VLOOKUP(A466,Titres!$A$2:$B$400,2,FALSE),"Ticker inconnu"))</f>
        <v/>
      </c>
      <c r="C466" s="11" t="n">
        <v>2024</v>
      </c>
      <c r="D466" s="11" t="inlineStr">
        <is>
          <t>T3</t>
        </is>
      </c>
      <c r="E466" s="9" t="n"/>
      <c r="F466" s="12" t="n"/>
      <c r="G466" s="9" t="n"/>
      <c r="H466" s="13" t="n"/>
      <c r="I466" s="13" t="n"/>
      <c r="J466" s="13" t="n"/>
      <c r="K466" s="13" t="n"/>
      <c r="L466" s="13" t="n"/>
      <c r="M466" s="13" t="n"/>
      <c r="N466" s="14">
        <f>IF(A466="","",COUNT(H466:M466)/6)</f>
        <v/>
      </c>
      <c r="O466" s="15">
        <f>IF(COUNT(H466:M466)=0,"",IF(LEN(IF(COUNT(I466,J466)=2,IF(J466&gt;I466+1,"EBE &gt; VA ",""),"")&amp;IF(COUNT(H466,M466)=2,IF(ABS(M466)&gt;ABS(H466),"RN &gt; CA ",""),"")&amp;IF(COUNT(H466,K466)=2,IF(ABS(K466)&gt;ABS(H466),"RE &gt; CA ",""),""))=0,"OK",IF(COUNT(I466,J466)=2,IF(J466&gt;I466+1,"EBE &gt; VA ",""),"")&amp;IF(COUNT(H466,M466)=2,IF(ABS(M466)&gt;ABS(H466),"RN &gt; CA ",""),"")&amp;IF(COUNT(H466,K466)=2,IF(ABS(K466)&gt;ABS(H466),"RE &gt; CA ",""),"")))</f>
        <v/>
      </c>
    </row>
    <row r="467">
      <c r="A467" s="9" t="inlineStr">
        <is>
          <t>SDCC</t>
        </is>
      </c>
      <c r="B467" s="10">
        <f>IF(A467="","",IFERROR(VLOOKUP(A467,Titres!$A$2:$B$400,2,FALSE),"Ticker inconnu"))</f>
        <v/>
      </c>
      <c r="C467" s="11" t="n">
        <v>2025</v>
      </c>
      <c r="D467" s="11" t="inlineStr">
        <is>
          <t>T1</t>
        </is>
      </c>
      <c r="E467" s="9" t="n"/>
      <c r="F467" s="12" t="n"/>
      <c r="G467" s="9" t="n"/>
      <c r="H467" s="13" t="n"/>
      <c r="I467" s="13" t="n"/>
      <c r="J467" s="13" t="n"/>
      <c r="K467" s="13" t="n"/>
      <c r="L467" s="13" t="n"/>
      <c r="M467" s="13" t="n"/>
      <c r="N467" s="14">
        <f>IF(A467="","",COUNT(H467:M467)/6)</f>
        <v/>
      </c>
      <c r="O467" s="15">
        <f>IF(COUNT(H467:M467)=0,"",IF(LEN(IF(COUNT(I467,J467)=2,IF(J467&gt;I467+1,"EBE &gt; VA ",""),"")&amp;IF(COUNT(H467,M467)=2,IF(ABS(M467)&gt;ABS(H467),"RN &gt; CA ",""),"")&amp;IF(COUNT(H467,K467)=2,IF(ABS(K467)&gt;ABS(H467),"RE &gt; CA ",""),""))=0,"OK",IF(COUNT(I467,J467)=2,IF(J467&gt;I467+1,"EBE &gt; VA ",""),"")&amp;IF(COUNT(H467,M467)=2,IF(ABS(M467)&gt;ABS(H467),"RN &gt; CA ",""),"")&amp;IF(COUNT(H467,K467)=2,IF(ABS(K467)&gt;ABS(H467),"RE &gt; CA ",""),"")))</f>
        <v/>
      </c>
    </row>
    <row r="468">
      <c r="A468" s="9" t="inlineStr">
        <is>
          <t>SDCC</t>
        </is>
      </c>
      <c r="B468" s="10">
        <f>IF(A468="","",IFERROR(VLOOKUP(A468,Titres!$A$2:$B$400,2,FALSE),"Ticker inconnu"))</f>
        <v/>
      </c>
      <c r="C468" s="11" t="n">
        <v>2025</v>
      </c>
      <c r="D468" s="11" t="inlineStr">
        <is>
          <t>S1</t>
        </is>
      </c>
      <c r="E468" s="9" t="n"/>
      <c r="F468" s="12" t="n"/>
      <c r="G468" s="9" t="n"/>
      <c r="H468" s="13" t="n"/>
      <c r="I468" s="13" t="n"/>
      <c r="J468" s="13" t="n"/>
      <c r="K468" s="13" t="n"/>
      <c r="L468" s="13" t="n"/>
      <c r="M468" s="13" t="n"/>
      <c r="N468" s="14">
        <f>IF(A468="","",COUNT(H468:M468)/6)</f>
        <v/>
      </c>
      <c r="O468" s="15">
        <f>IF(COUNT(H468:M468)=0,"",IF(LEN(IF(COUNT(I468,J468)=2,IF(J468&gt;I468+1,"EBE &gt; VA ",""),"")&amp;IF(COUNT(H468,M468)=2,IF(ABS(M468)&gt;ABS(H468),"RN &gt; CA ",""),"")&amp;IF(COUNT(H468,K468)=2,IF(ABS(K468)&gt;ABS(H468),"RE &gt; CA ",""),""))=0,"OK",IF(COUNT(I468,J468)=2,IF(J468&gt;I468+1,"EBE &gt; VA ",""),"")&amp;IF(COUNT(H468,M468)=2,IF(ABS(M468)&gt;ABS(H468),"RN &gt; CA ",""),"")&amp;IF(COUNT(H468,K468)=2,IF(ABS(K468)&gt;ABS(H468),"RE &gt; CA ",""),"")))</f>
        <v/>
      </c>
    </row>
    <row r="469">
      <c r="A469" s="9" t="inlineStr">
        <is>
          <t>SDCC</t>
        </is>
      </c>
      <c r="B469" s="10">
        <f>IF(A469="","",IFERROR(VLOOKUP(A469,Titres!$A$2:$B$400,2,FALSE),"Ticker inconnu"))</f>
        <v/>
      </c>
      <c r="C469" s="11" t="n">
        <v>2025</v>
      </c>
      <c r="D469" s="11" t="inlineStr">
        <is>
          <t>T3</t>
        </is>
      </c>
      <c r="E469" s="9" t="n"/>
      <c r="F469" s="12" t="n"/>
      <c r="G469" s="9" t="n"/>
      <c r="H469" s="13" t="n"/>
      <c r="I469" s="13" t="n"/>
      <c r="J469" s="13" t="n"/>
      <c r="K469" s="13" t="n"/>
      <c r="L469" s="13" t="n"/>
      <c r="M469" s="13" t="n"/>
      <c r="N469" s="14">
        <f>IF(A469="","",COUNT(H469:M469)/6)</f>
        <v/>
      </c>
      <c r="O469" s="15">
        <f>IF(COUNT(H469:M469)=0,"",IF(LEN(IF(COUNT(I469,J469)=2,IF(J469&gt;I469+1,"EBE &gt; VA ",""),"")&amp;IF(COUNT(H469,M469)=2,IF(ABS(M469)&gt;ABS(H469),"RN &gt; CA ",""),"")&amp;IF(COUNT(H469,K469)=2,IF(ABS(K469)&gt;ABS(H469),"RE &gt; CA ",""),""))=0,"OK",IF(COUNT(I469,J469)=2,IF(J469&gt;I469+1,"EBE &gt; VA ",""),"")&amp;IF(COUNT(H469,M469)=2,IF(ABS(M469)&gt;ABS(H469),"RN &gt; CA ",""),"")&amp;IF(COUNT(H469,K469)=2,IF(ABS(K469)&gt;ABS(H469),"RE &gt; CA ",""),"")))</f>
        <v/>
      </c>
    </row>
    <row r="470">
      <c r="A470" s="9" t="inlineStr">
        <is>
          <t>SDCC</t>
        </is>
      </c>
      <c r="B470" s="10">
        <f>IF(A470="","",IFERROR(VLOOKUP(A470,Titres!$A$2:$B$400,2,FALSE),"Ticker inconnu"))</f>
        <v/>
      </c>
      <c r="C470" s="11" t="n">
        <v>2026</v>
      </c>
      <c r="D470" s="11" t="inlineStr">
        <is>
          <t>T1</t>
        </is>
      </c>
      <c r="E470" s="9" t="n"/>
      <c r="F470" s="12" t="n"/>
      <c r="G470" s="9" t="n"/>
      <c r="H470" s="13" t="n"/>
      <c r="I470" s="13" t="n"/>
      <c r="J470" s="13" t="n"/>
      <c r="K470" s="13" t="n"/>
      <c r="L470" s="13" t="n"/>
      <c r="M470" s="13" t="n"/>
      <c r="N470" s="14">
        <f>IF(A470="","",COUNT(H470:M470)/6)</f>
        <v/>
      </c>
      <c r="O470" s="15">
        <f>IF(COUNT(H470:M470)=0,"",IF(LEN(IF(COUNT(I470,J470)=2,IF(J470&gt;I470+1,"EBE &gt; VA ",""),"")&amp;IF(COUNT(H470,M470)=2,IF(ABS(M470)&gt;ABS(H470),"RN &gt; CA ",""),"")&amp;IF(COUNT(H470,K470)=2,IF(ABS(K470)&gt;ABS(H470),"RE &gt; CA ",""),""))=0,"OK",IF(COUNT(I470,J470)=2,IF(J470&gt;I470+1,"EBE &gt; VA ",""),"")&amp;IF(COUNT(H470,M470)=2,IF(ABS(M470)&gt;ABS(H470),"RN &gt; CA ",""),"")&amp;IF(COUNT(H470,K470)=2,IF(ABS(K470)&gt;ABS(H470),"RE &gt; CA ",""),"")))</f>
        <v/>
      </c>
    </row>
    <row r="471">
      <c r="A471" s="9" t="inlineStr">
        <is>
          <t>SDCC</t>
        </is>
      </c>
      <c r="B471" s="10">
        <f>IF(A471="","",IFERROR(VLOOKUP(A471,Titres!$A$2:$B$400,2,FALSE),"Ticker inconnu"))</f>
        <v/>
      </c>
      <c r="C471" s="11" t="n">
        <v>2026</v>
      </c>
      <c r="D471" s="11" t="inlineStr">
        <is>
          <t>S1</t>
        </is>
      </c>
      <c r="E471" s="9" t="n"/>
      <c r="F471" s="12" t="n"/>
      <c r="G471" s="9" t="n"/>
      <c r="H471" s="13" t="n"/>
      <c r="I471" s="13" t="n"/>
      <c r="J471" s="13" t="n"/>
      <c r="K471" s="13" t="n"/>
      <c r="L471" s="13" t="n"/>
      <c r="M471" s="13" t="n"/>
      <c r="N471" s="14">
        <f>IF(A471="","",COUNT(H471:M471)/6)</f>
        <v/>
      </c>
      <c r="O471" s="15">
        <f>IF(COUNT(H471:M471)=0,"",IF(LEN(IF(COUNT(I471,J471)=2,IF(J471&gt;I471+1,"EBE &gt; VA ",""),"")&amp;IF(COUNT(H471,M471)=2,IF(ABS(M471)&gt;ABS(H471),"RN &gt; CA ",""),"")&amp;IF(COUNT(H471,K471)=2,IF(ABS(K471)&gt;ABS(H471),"RE &gt; CA ",""),""))=0,"OK",IF(COUNT(I471,J471)=2,IF(J471&gt;I471+1,"EBE &gt; VA ",""),"")&amp;IF(COUNT(H471,M471)=2,IF(ABS(M471)&gt;ABS(H471),"RN &gt; CA ",""),"")&amp;IF(COUNT(H471,K471)=2,IF(ABS(K471)&gt;ABS(H471),"RE &gt; CA ",""),"")))</f>
        <v/>
      </c>
    </row>
    <row r="472">
      <c r="A472" s="9" t="inlineStr">
        <is>
          <t>SDCC</t>
        </is>
      </c>
      <c r="B472" s="10">
        <f>IF(A472="","",IFERROR(VLOOKUP(A472,Titres!$A$2:$B$400,2,FALSE),"Ticker inconnu"))</f>
        <v/>
      </c>
      <c r="C472" s="11" t="n">
        <v>2026</v>
      </c>
      <c r="D472" s="11" t="inlineStr">
        <is>
          <t>T3</t>
        </is>
      </c>
      <c r="E472" s="9" t="n"/>
      <c r="F472" s="12" t="n"/>
      <c r="G472" s="9" t="n"/>
      <c r="H472" s="13" t="n"/>
      <c r="I472" s="13" t="n"/>
      <c r="J472" s="13" t="n"/>
      <c r="K472" s="13" t="n"/>
      <c r="L472" s="13" t="n"/>
      <c r="M472" s="13" t="n"/>
      <c r="N472" s="14">
        <f>IF(A472="","",COUNT(H472:M472)/6)</f>
        <v/>
      </c>
      <c r="O472" s="15">
        <f>IF(COUNT(H472:M472)=0,"",IF(LEN(IF(COUNT(I472,J472)=2,IF(J472&gt;I472+1,"EBE &gt; VA ",""),"")&amp;IF(COUNT(H472,M472)=2,IF(ABS(M472)&gt;ABS(H472),"RN &gt; CA ",""),"")&amp;IF(COUNT(H472,K472)=2,IF(ABS(K472)&gt;ABS(H472),"RE &gt; CA ",""),""))=0,"OK",IF(COUNT(I472,J472)=2,IF(J472&gt;I472+1,"EBE &gt; VA ",""),"")&amp;IF(COUNT(H472,M472)=2,IF(ABS(M472)&gt;ABS(H472),"RN &gt; CA ",""),"")&amp;IF(COUNT(H472,K472)=2,IF(ABS(K472)&gt;ABS(H472),"RE &gt; CA ",""),"")))</f>
        <v/>
      </c>
    </row>
    <row r="473">
      <c r="A473" s="9" t="inlineStr">
        <is>
          <t>ONTBF</t>
        </is>
      </c>
      <c r="B473" s="10">
        <f>IF(A473="","",IFERROR(VLOOKUP(A473,Titres!$A$2:$B$400,2,FALSE),"Ticker inconnu"))</f>
        <v/>
      </c>
      <c r="C473" s="11" t="n">
        <v>2021</v>
      </c>
      <c r="D473" s="11" t="inlineStr">
        <is>
          <t>T1</t>
        </is>
      </c>
      <c r="E473" s="9" t="n"/>
      <c r="F473" s="12" t="n"/>
      <c r="G473" s="9" t="n"/>
      <c r="H473" s="13" t="n"/>
      <c r="I473" s="13" t="n"/>
      <c r="J473" s="13" t="n"/>
      <c r="K473" s="13" t="n"/>
      <c r="L473" s="13" t="n"/>
      <c r="M473" s="13" t="n"/>
      <c r="N473" s="14">
        <f>IF(A473="","",COUNT(H473:M473)/6)</f>
        <v/>
      </c>
      <c r="O473" s="15">
        <f>IF(COUNT(H473:M473)=0,"",IF(LEN(IF(COUNT(I473,J473)=2,IF(J473&gt;I473+1,"EBE &gt; VA ",""),"")&amp;IF(COUNT(H473,M473)=2,IF(ABS(M473)&gt;ABS(H473),"RN &gt; CA ",""),"")&amp;IF(COUNT(H473,K473)=2,IF(ABS(K473)&gt;ABS(H473),"RE &gt; CA ",""),""))=0,"OK",IF(COUNT(I473,J473)=2,IF(J473&gt;I473+1,"EBE &gt; VA ",""),"")&amp;IF(COUNT(H473,M473)=2,IF(ABS(M473)&gt;ABS(H473),"RN &gt; CA ",""),"")&amp;IF(COUNT(H473,K473)=2,IF(ABS(K473)&gt;ABS(H473),"RE &gt; CA ",""),"")))</f>
        <v/>
      </c>
    </row>
    <row r="474">
      <c r="A474" s="9" t="inlineStr">
        <is>
          <t>ONTBF</t>
        </is>
      </c>
      <c r="B474" s="10">
        <f>IF(A474="","",IFERROR(VLOOKUP(A474,Titres!$A$2:$B$400,2,FALSE),"Ticker inconnu"))</f>
        <v/>
      </c>
      <c r="C474" s="11" t="n">
        <v>2021</v>
      </c>
      <c r="D474" s="11" t="inlineStr">
        <is>
          <t>S1</t>
        </is>
      </c>
      <c r="E474" s="9" t="n"/>
      <c r="F474" s="12" t="n"/>
      <c r="G474" s="9" t="n"/>
      <c r="H474" s="13" t="n"/>
      <c r="I474" s="13" t="n"/>
      <c r="J474" s="13" t="n"/>
      <c r="K474" s="13" t="n"/>
      <c r="L474" s="13" t="n"/>
      <c r="M474" s="13" t="n"/>
      <c r="N474" s="14">
        <f>IF(A474="","",COUNT(H474:M474)/6)</f>
        <v/>
      </c>
      <c r="O474" s="15">
        <f>IF(COUNT(H474:M474)=0,"",IF(LEN(IF(COUNT(I474,J474)=2,IF(J474&gt;I474+1,"EBE &gt; VA ",""),"")&amp;IF(COUNT(H474,M474)=2,IF(ABS(M474)&gt;ABS(H474),"RN &gt; CA ",""),"")&amp;IF(COUNT(H474,K474)=2,IF(ABS(K474)&gt;ABS(H474),"RE &gt; CA ",""),""))=0,"OK",IF(COUNT(I474,J474)=2,IF(J474&gt;I474+1,"EBE &gt; VA ",""),"")&amp;IF(COUNT(H474,M474)=2,IF(ABS(M474)&gt;ABS(H474),"RN &gt; CA ",""),"")&amp;IF(COUNT(H474,K474)=2,IF(ABS(K474)&gt;ABS(H474),"RE &gt; CA ",""),"")))</f>
        <v/>
      </c>
    </row>
    <row r="475">
      <c r="A475" s="9" t="inlineStr">
        <is>
          <t>ONTBF</t>
        </is>
      </c>
      <c r="B475" s="10">
        <f>IF(A475="","",IFERROR(VLOOKUP(A475,Titres!$A$2:$B$400,2,FALSE),"Ticker inconnu"))</f>
        <v/>
      </c>
      <c r="C475" s="11" t="n">
        <v>2021</v>
      </c>
      <c r="D475" s="11" t="inlineStr">
        <is>
          <t>T3</t>
        </is>
      </c>
      <c r="E475" s="9" t="n"/>
      <c r="F475" s="12" t="n"/>
      <c r="G475" s="9" t="n"/>
      <c r="H475" s="13" t="n"/>
      <c r="I475" s="13" t="n"/>
      <c r="J475" s="13" t="n"/>
      <c r="K475" s="13" t="n"/>
      <c r="L475" s="13" t="n"/>
      <c r="M475" s="13" t="n"/>
      <c r="N475" s="14">
        <f>IF(A475="","",COUNT(H475:M475)/6)</f>
        <v/>
      </c>
      <c r="O475" s="15">
        <f>IF(COUNT(H475:M475)=0,"",IF(LEN(IF(COUNT(I475,J475)=2,IF(J475&gt;I475+1,"EBE &gt; VA ",""),"")&amp;IF(COUNT(H475,M475)=2,IF(ABS(M475)&gt;ABS(H475),"RN &gt; CA ",""),"")&amp;IF(COUNT(H475,K475)=2,IF(ABS(K475)&gt;ABS(H475),"RE &gt; CA ",""),""))=0,"OK",IF(COUNT(I475,J475)=2,IF(J475&gt;I475+1,"EBE &gt; VA ",""),"")&amp;IF(COUNT(H475,M475)=2,IF(ABS(M475)&gt;ABS(H475),"RN &gt; CA ",""),"")&amp;IF(COUNT(H475,K475)=2,IF(ABS(K475)&gt;ABS(H475),"RE &gt; CA ",""),"")))</f>
        <v/>
      </c>
    </row>
    <row r="476">
      <c r="A476" s="9" t="inlineStr">
        <is>
          <t>ONTBF</t>
        </is>
      </c>
      <c r="B476" s="10">
        <f>IF(A476="","",IFERROR(VLOOKUP(A476,Titres!$A$2:$B$400,2,FALSE),"Ticker inconnu"))</f>
        <v/>
      </c>
      <c r="C476" s="11" t="n">
        <v>2022</v>
      </c>
      <c r="D476" s="11" t="inlineStr">
        <is>
          <t>T1</t>
        </is>
      </c>
      <c r="E476" s="9" t="n"/>
      <c r="F476" s="12" t="n"/>
      <c r="G476" s="9" t="n"/>
      <c r="H476" s="13" t="n"/>
      <c r="I476" s="13" t="n"/>
      <c r="J476" s="13" t="n"/>
      <c r="K476" s="13" t="n"/>
      <c r="L476" s="13" t="n"/>
      <c r="M476" s="13" t="n"/>
      <c r="N476" s="14">
        <f>IF(A476="","",COUNT(H476:M476)/6)</f>
        <v/>
      </c>
      <c r="O476" s="15">
        <f>IF(COUNT(H476:M476)=0,"",IF(LEN(IF(COUNT(I476,J476)=2,IF(J476&gt;I476+1,"EBE &gt; VA ",""),"")&amp;IF(COUNT(H476,M476)=2,IF(ABS(M476)&gt;ABS(H476),"RN &gt; CA ",""),"")&amp;IF(COUNT(H476,K476)=2,IF(ABS(K476)&gt;ABS(H476),"RE &gt; CA ",""),""))=0,"OK",IF(COUNT(I476,J476)=2,IF(J476&gt;I476+1,"EBE &gt; VA ",""),"")&amp;IF(COUNT(H476,M476)=2,IF(ABS(M476)&gt;ABS(H476),"RN &gt; CA ",""),"")&amp;IF(COUNT(H476,K476)=2,IF(ABS(K476)&gt;ABS(H476),"RE &gt; CA ",""),"")))</f>
        <v/>
      </c>
    </row>
    <row r="477">
      <c r="A477" s="9" t="inlineStr">
        <is>
          <t>ONTBF</t>
        </is>
      </c>
      <c r="B477" s="10">
        <f>IF(A477="","",IFERROR(VLOOKUP(A477,Titres!$A$2:$B$400,2,FALSE),"Ticker inconnu"))</f>
        <v/>
      </c>
      <c r="C477" s="11" t="n">
        <v>2022</v>
      </c>
      <c r="D477" s="11" t="inlineStr">
        <is>
          <t>S1</t>
        </is>
      </c>
      <c r="E477" s="9" t="n"/>
      <c r="F477" s="12" t="n"/>
      <c r="G477" s="9" t="n"/>
      <c r="H477" s="13" t="n"/>
      <c r="I477" s="13" t="n"/>
      <c r="J477" s="13" t="n"/>
      <c r="K477" s="13" t="n"/>
      <c r="L477" s="13" t="n"/>
      <c r="M477" s="13" t="n"/>
      <c r="N477" s="14">
        <f>IF(A477="","",COUNT(H477:M477)/6)</f>
        <v/>
      </c>
      <c r="O477" s="15">
        <f>IF(COUNT(H477:M477)=0,"",IF(LEN(IF(COUNT(I477,J477)=2,IF(J477&gt;I477+1,"EBE &gt; VA ",""),"")&amp;IF(COUNT(H477,M477)=2,IF(ABS(M477)&gt;ABS(H477),"RN &gt; CA ",""),"")&amp;IF(COUNT(H477,K477)=2,IF(ABS(K477)&gt;ABS(H477),"RE &gt; CA ",""),""))=0,"OK",IF(COUNT(I477,J477)=2,IF(J477&gt;I477+1,"EBE &gt; VA ",""),"")&amp;IF(COUNT(H477,M477)=2,IF(ABS(M477)&gt;ABS(H477),"RN &gt; CA ",""),"")&amp;IF(COUNT(H477,K477)=2,IF(ABS(K477)&gt;ABS(H477),"RE &gt; CA ",""),"")))</f>
        <v/>
      </c>
    </row>
    <row r="478">
      <c r="A478" s="9" t="inlineStr">
        <is>
          <t>ONTBF</t>
        </is>
      </c>
      <c r="B478" s="10">
        <f>IF(A478="","",IFERROR(VLOOKUP(A478,Titres!$A$2:$B$400,2,FALSE),"Ticker inconnu"))</f>
        <v/>
      </c>
      <c r="C478" s="11" t="n">
        <v>2022</v>
      </c>
      <c r="D478" s="11" t="inlineStr">
        <is>
          <t>T3</t>
        </is>
      </c>
      <c r="E478" s="9" t="n"/>
      <c r="F478" s="12" t="n"/>
      <c r="G478" s="9" t="n"/>
      <c r="H478" s="13" t="n"/>
      <c r="I478" s="13" t="n"/>
      <c r="J478" s="13" t="n"/>
      <c r="K478" s="13" t="n"/>
      <c r="L478" s="13" t="n"/>
      <c r="M478" s="13" t="n"/>
      <c r="N478" s="14">
        <f>IF(A478="","",COUNT(H478:M478)/6)</f>
        <v/>
      </c>
      <c r="O478" s="15">
        <f>IF(COUNT(H478:M478)=0,"",IF(LEN(IF(COUNT(I478,J478)=2,IF(J478&gt;I478+1,"EBE &gt; VA ",""),"")&amp;IF(COUNT(H478,M478)=2,IF(ABS(M478)&gt;ABS(H478),"RN &gt; CA ",""),"")&amp;IF(COUNT(H478,K478)=2,IF(ABS(K478)&gt;ABS(H478),"RE &gt; CA ",""),""))=0,"OK",IF(COUNT(I478,J478)=2,IF(J478&gt;I478+1,"EBE &gt; VA ",""),"")&amp;IF(COUNT(H478,M478)=2,IF(ABS(M478)&gt;ABS(H478),"RN &gt; CA ",""),"")&amp;IF(COUNT(H478,K478)=2,IF(ABS(K478)&gt;ABS(H478),"RE &gt; CA ",""),"")))</f>
        <v/>
      </c>
    </row>
    <row r="479">
      <c r="A479" s="9" t="inlineStr">
        <is>
          <t>ONTBF</t>
        </is>
      </c>
      <c r="B479" s="10">
        <f>IF(A479="","",IFERROR(VLOOKUP(A479,Titres!$A$2:$B$400,2,FALSE),"Ticker inconnu"))</f>
        <v/>
      </c>
      <c r="C479" s="11" t="n">
        <v>2023</v>
      </c>
      <c r="D479" s="11" t="inlineStr">
        <is>
          <t>T1</t>
        </is>
      </c>
      <c r="E479" s="9" t="n"/>
      <c r="F479" s="12" t="n"/>
      <c r="G479" s="9" t="n"/>
      <c r="H479" s="13" t="n"/>
      <c r="I479" s="13" t="n"/>
      <c r="J479" s="13" t="n"/>
      <c r="K479" s="13" t="n"/>
      <c r="L479" s="13" t="n"/>
      <c r="M479" s="13" t="n"/>
      <c r="N479" s="14">
        <f>IF(A479="","",COUNT(H479:M479)/6)</f>
        <v/>
      </c>
      <c r="O479" s="15">
        <f>IF(COUNT(H479:M479)=0,"",IF(LEN(IF(COUNT(I479,J479)=2,IF(J479&gt;I479+1,"EBE &gt; VA ",""),"")&amp;IF(COUNT(H479,M479)=2,IF(ABS(M479)&gt;ABS(H479),"RN &gt; CA ",""),"")&amp;IF(COUNT(H479,K479)=2,IF(ABS(K479)&gt;ABS(H479),"RE &gt; CA ",""),""))=0,"OK",IF(COUNT(I479,J479)=2,IF(J479&gt;I479+1,"EBE &gt; VA ",""),"")&amp;IF(COUNT(H479,M479)=2,IF(ABS(M479)&gt;ABS(H479),"RN &gt; CA ",""),"")&amp;IF(COUNT(H479,K479)=2,IF(ABS(K479)&gt;ABS(H479),"RE &gt; CA ",""),"")))</f>
        <v/>
      </c>
    </row>
    <row r="480">
      <c r="A480" s="9" t="inlineStr">
        <is>
          <t>ONTBF</t>
        </is>
      </c>
      <c r="B480" s="10">
        <f>IF(A480="","",IFERROR(VLOOKUP(A480,Titres!$A$2:$B$400,2,FALSE),"Ticker inconnu"))</f>
        <v/>
      </c>
      <c r="C480" s="11" t="n">
        <v>2023</v>
      </c>
      <c r="D480" s="11" t="inlineStr">
        <is>
          <t>S1</t>
        </is>
      </c>
      <c r="E480" s="9" t="n"/>
      <c r="F480" s="12" t="n"/>
      <c r="G480" s="9" t="n"/>
      <c r="H480" s="13" t="n"/>
      <c r="I480" s="13" t="n"/>
      <c r="J480" s="13" t="n"/>
      <c r="K480" s="13" t="n"/>
      <c r="L480" s="13" t="n"/>
      <c r="M480" s="13" t="n"/>
      <c r="N480" s="14">
        <f>IF(A480="","",COUNT(H480:M480)/6)</f>
        <v/>
      </c>
      <c r="O480" s="15">
        <f>IF(COUNT(H480:M480)=0,"",IF(LEN(IF(COUNT(I480,J480)=2,IF(J480&gt;I480+1,"EBE &gt; VA ",""),"")&amp;IF(COUNT(H480,M480)=2,IF(ABS(M480)&gt;ABS(H480),"RN &gt; CA ",""),"")&amp;IF(COUNT(H480,K480)=2,IF(ABS(K480)&gt;ABS(H480),"RE &gt; CA ",""),""))=0,"OK",IF(COUNT(I480,J480)=2,IF(J480&gt;I480+1,"EBE &gt; VA ",""),"")&amp;IF(COUNT(H480,M480)=2,IF(ABS(M480)&gt;ABS(H480),"RN &gt; CA ",""),"")&amp;IF(COUNT(H480,K480)=2,IF(ABS(K480)&gt;ABS(H480),"RE &gt; CA ",""),"")))</f>
        <v/>
      </c>
    </row>
    <row r="481">
      <c r="A481" s="9" t="inlineStr">
        <is>
          <t>ONTBF</t>
        </is>
      </c>
      <c r="B481" s="10">
        <f>IF(A481="","",IFERROR(VLOOKUP(A481,Titres!$A$2:$B$400,2,FALSE),"Ticker inconnu"))</f>
        <v/>
      </c>
      <c r="C481" s="11" t="n">
        <v>2023</v>
      </c>
      <c r="D481" s="11" t="inlineStr">
        <is>
          <t>T3</t>
        </is>
      </c>
      <c r="E481" s="9" t="n"/>
      <c r="F481" s="12" t="n"/>
      <c r="G481" s="9" t="n"/>
      <c r="H481" s="13" t="n"/>
      <c r="I481" s="13" t="n"/>
      <c r="J481" s="13" t="n"/>
      <c r="K481" s="13" t="n"/>
      <c r="L481" s="13" t="n"/>
      <c r="M481" s="13" t="n"/>
      <c r="N481" s="14">
        <f>IF(A481="","",COUNT(H481:M481)/6)</f>
        <v/>
      </c>
      <c r="O481" s="15">
        <f>IF(COUNT(H481:M481)=0,"",IF(LEN(IF(COUNT(I481,J481)=2,IF(J481&gt;I481+1,"EBE &gt; VA ",""),"")&amp;IF(COUNT(H481,M481)=2,IF(ABS(M481)&gt;ABS(H481),"RN &gt; CA ",""),"")&amp;IF(COUNT(H481,K481)=2,IF(ABS(K481)&gt;ABS(H481),"RE &gt; CA ",""),""))=0,"OK",IF(COUNT(I481,J481)=2,IF(J481&gt;I481+1,"EBE &gt; VA ",""),"")&amp;IF(COUNT(H481,M481)=2,IF(ABS(M481)&gt;ABS(H481),"RN &gt; CA ",""),"")&amp;IF(COUNT(H481,K481)=2,IF(ABS(K481)&gt;ABS(H481),"RE &gt; CA ",""),"")))</f>
        <v/>
      </c>
    </row>
    <row r="482">
      <c r="A482" s="9" t="inlineStr">
        <is>
          <t>ONTBF</t>
        </is>
      </c>
      <c r="B482" s="10">
        <f>IF(A482="","",IFERROR(VLOOKUP(A482,Titres!$A$2:$B$400,2,FALSE),"Ticker inconnu"))</f>
        <v/>
      </c>
      <c r="C482" s="11" t="n">
        <v>2024</v>
      </c>
      <c r="D482" s="11" t="inlineStr">
        <is>
          <t>T1</t>
        </is>
      </c>
      <c r="E482" s="9" t="n"/>
      <c r="F482" s="12" t="n"/>
      <c r="G482" s="9" t="n"/>
      <c r="H482" s="13" t="n"/>
      <c r="I482" s="13" t="n"/>
      <c r="J482" s="13" t="n"/>
      <c r="K482" s="13" t="n"/>
      <c r="L482" s="13" t="n"/>
      <c r="M482" s="13" t="n"/>
      <c r="N482" s="14">
        <f>IF(A482="","",COUNT(H482:M482)/6)</f>
        <v/>
      </c>
      <c r="O482" s="15">
        <f>IF(COUNT(H482:M482)=0,"",IF(LEN(IF(COUNT(I482,J482)=2,IF(J482&gt;I482+1,"EBE &gt; VA ",""),"")&amp;IF(COUNT(H482,M482)=2,IF(ABS(M482)&gt;ABS(H482),"RN &gt; CA ",""),"")&amp;IF(COUNT(H482,K482)=2,IF(ABS(K482)&gt;ABS(H482),"RE &gt; CA ",""),""))=0,"OK",IF(COUNT(I482,J482)=2,IF(J482&gt;I482+1,"EBE &gt; VA ",""),"")&amp;IF(COUNT(H482,M482)=2,IF(ABS(M482)&gt;ABS(H482),"RN &gt; CA ",""),"")&amp;IF(COUNT(H482,K482)=2,IF(ABS(K482)&gt;ABS(H482),"RE &gt; CA ",""),"")))</f>
        <v/>
      </c>
    </row>
    <row r="483">
      <c r="A483" s="9" t="inlineStr">
        <is>
          <t>ONTBF</t>
        </is>
      </c>
      <c r="B483" s="10">
        <f>IF(A483="","",IFERROR(VLOOKUP(A483,Titres!$A$2:$B$400,2,FALSE),"Ticker inconnu"))</f>
        <v/>
      </c>
      <c r="C483" s="11" t="n">
        <v>2024</v>
      </c>
      <c r="D483" s="11" t="inlineStr">
        <is>
          <t>S1</t>
        </is>
      </c>
      <c r="E483" s="9" t="n"/>
      <c r="F483" s="12" t="n"/>
      <c r="G483" s="9" t="n"/>
      <c r="H483" s="13" t="n"/>
      <c r="I483" s="13" t="n"/>
      <c r="J483" s="13" t="n"/>
      <c r="K483" s="13" t="n"/>
      <c r="L483" s="13" t="n"/>
      <c r="M483" s="13" t="n"/>
      <c r="N483" s="14">
        <f>IF(A483="","",COUNT(H483:M483)/6)</f>
        <v/>
      </c>
      <c r="O483" s="15">
        <f>IF(COUNT(H483:M483)=0,"",IF(LEN(IF(COUNT(I483,J483)=2,IF(J483&gt;I483+1,"EBE &gt; VA ",""),"")&amp;IF(COUNT(H483,M483)=2,IF(ABS(M483)&gt;ABS(H483),"RN &gt; CA ",""),"")&amp;IF(COUNT(H483,K483)=2,IF(ABS(K483)&gt;ABS(H483),"RE &gt; CA ",""),""))=0,"OK",IF(COUNT(I483,J483)=2,IF(J483&gt;I483+1,"EBE &gt; VA ",""),"")&amp;IF(COUNT(H483,M483)=2,IF(ABS(M483)&gt;ABS(H483),"RN &gt; CA ",""),"")&amp;IF(COUNT(H483,K483)=2,IF(ABS(K483)&gt;ABS(H483),"RE &gt; CA ",""),"")))</f>
        <v/>
      </c>
    </row>
    <row r="484">
      <c r="A484" s="9" t="inlineStr">
        <is>
          <t>ONTBF</t>
        </is>
      </c>
      <c r="B484" s="10">
        <f>IF(A484="","",IFERROR(VLOOKUP(A484,Titres!$A$2:$B$400,2,FALSE),"Ticker inconnu"))</f>
        <v/>
      </c>
      <c r="C484" s="11" t="n">
        <v>2024</v>
      </c>
      <c r="D484" s="11" t="inlineStr">
        <is>
          <t>T3</t>
        </is>
      </c>
      <c r="E484" s="9" t="n"/>
      <c r="F484" s="12" t="n"/>
      <c r="G484" s="9" t="n"/>
      <c r="H484" s="13" t="n"/>
      <c r="I484" s="13" t="n"/>
      <c r="J484" s="13" t="n"/>
      <c r="K484" s="13" t="n"/>
      <c r="L484" s="13" t="n"/>
      <c r="M484" s="13" t="n"/>
      <c r="N484" s="14">
        <f>IF(A484="","",COUNT(H484:M484)/6)</f>
        <v/>
      </c>
      <c r="O484" s="15">
        <f>IF(COUNT(H484:M484)=0,"",IF(LEN(IF(COUNT(I484,J484)=2,IF(J484&gt;I484+1,"EBE &gt; VA ",""),"")&amp;IF(COUNT(H484,M484)=2,IF(ABS(M484)&gt;ABS(H484),"RN &gt; CA ",""),"")&amp;IF(COUNT(H484,K484)=2,IF(ABS(K484)&gt;ABS(H484),"RE &gt; CA ",""),""))=0,"OK",IF(COUNT(I484,J484)=2,IF(J484&gt;I484+1,"EBE &gt; VA ",""),"")&amp;IF(COUNT(H484,M484)=2,IF(ABS(M484)&gt;ABS(H484),"RN &gt; CA ",""),"")&amp;IF(COUNT(H484,K484)=2,IF(ABS(K484)&gt;ABS(H484),"RE &gt; CA ",""),"")))</f>
        <v/>
      </c>
    </row>
    <row r="485">
      <c r="A485" s="9" t="inlineStr">
        <is>
          <t>ONTBF</t>
        </is>
      </c>
      <c r="B485" s="10">
        <f>IF(A485="","",IFERROR(VLOOKUP(A485,Titres!$A$2:$B$400,2,FALSE),"Ticker inconnu"))</f>
        <v/>
      </c>
      <c r="C485" s="11" t="n">
        <v>2025</v>
      </c>
      <c r="D485" s="11" t="inlineStr">
        <is>
          <t>T1</t>
        </is>
      </c>
      <c r="E485" s="9" t="n"/>
      <c r="F485" s="12" t="n"/>
      <c r="G485" s="9" t="n"/>
      <c r="H485" s="13" t="n"/>
      <c r="I485" s="13" t="n"/>
      <c r="J485" s="13" t="n"/>
      <c r="K485" s="13" t="n"/>
      <c r="L485" s="13" t="n"/>
      <c r="M485" s="13" t="n"/>
      <c r="N485" s="14">
        <f>IF(A485="","",COUNT(H485:M485)/6)</f>
        <v/>
      </c>
      <c r="O485" s="15">
        <f>IF(COUNT(H485:M485)=0,"",IF(LEN(IF(COUNT(I485,J485)=2,IF(J485&gt;I485+1,"EBE &gt; VA ",""),"")&amp;IF(COUNT(H485,M485)=2,IF(ABS(M485)&gt;ABS(H485),"RN &gt; CA ",""),"")&amp;IF(COUNT(H485,K485)=2,IF(ABS(K485)&gt;ABS(H485),"RE &gt; CA ",""),""))=0,"OK",IF(COUNT(I485,J485)=2,IF(J485&gt;I485+1,"EBE &gt; VA ",""),"")&amp;IF(COUNT(H485,M485)=2,IF(ABS(M485)&gt;ABS(H485),"RN &gt; CA ",""),"")&amp;IF(COUNT(H485,K485)=2,IF(ABS(K485)&gt;ABS(H485),"RE &gt; CA ",""),"")))</f>
        <v/>
      </c>
    </row>
    <row r="486">
      <c r="A486" s="9" t="inlineStr">
        <is>
          <t>ONTBF</t>
        </is>
      </c>
      <c r="B486" s="10">
        <f>IF(A486="","",IFERROR(VLOOKUP(A486,Titres!$A$2:$B$400,2,FALSE),"Ticker inconnu"))</f>
        <v/>
      </c>
      <c r="C486" s="11" t="n">
        <v>2025</v>
      </c>
      <c r="D486" s="11" t="inlineStr">
        <is>
          <t>S1</t>
        </is>
      </c>
      <c r="E486" s="9" t="n"/>
      <c r="F486" s="12" t="n"/>
      <c r="G486" s="9" t="n"/>
      <c r="H486" s="13" t="n"/>
      <c r="I486" s="13" t="n"/>
      <c r="J486" s="13" t="n"/>
      <c r="K486" s="13" t="n"/>
      <c r="L486" s="13" t="n"/>
      <c r="M486" s="13" t="n"/>
      <c r="N486" s="14">
        <f>IF(A486="","",COUNT(H486:M486)/6)</f>
        <v/>
      </c>
      <c r="O486" s="15">
        <f>IF(COUNT(H486:M486)=0,"",IF(LEN(IF(COUNT(I486,J486)=2,IF(J486&gt;I486+1,"EBE &gt; VA ",""),"")&amp;IF(COUNT(H486,M486)=2,IF(ABS(M486)&gt;ABS(H486),"RN &gt; CA ",""),"")&amp;IF(COUNT(H486,K486)=2,IF(ABS(K486)&gt;ABS(H486),"RE &gt; CA ",""),""))=0,"OK",IF(COUNT(I486,J486)=2,IF(J486&gt;I486+1,"EBE &gt; VA ",""),"")&amp;IF(COUNT(H486,M486)=2,IF(ABS(M486)&gt;ABS(H486),"RN &gt; CA ",""),"")&amp;IF(COUNT(H486,K486)=2,IF(ABS(K486)&gt;ABS(H486),"RE &gt; CA ",""),"")))</f>
        <v/>
      </c>
    </row>
    <row r="487">
      <c r="A487" s="9" t="inlineStr">
        <is>
          <t>ONTBF</t>
        </is>
      </c>
      <c r="B487" s="10">
        <f>IF(A487="","",IFERROR(VLOOKUP(A487,Titres!$A$2:$B$400,2,FALSE),"Ticker inconnu"))</f>
        <v/>
      </c>
      <c r="C487" s="11" t="n">
        <v>2025</v>
      </c>
      <c r="D487" s="11" t="inlineStr">
        <is>
          <t>T3</t>
        </is>
      </c>
      <c r="E487" s="9" t="n"/>
      <c r="F487" s="12" t="n"/>
      <c r="G487" s="9" t="n"/>
      <c r="H487" s="13" t="n"/>
      <c r="I487" s="13" t="n"/>
      <c r="J487" s="13" t="n"/>
      <c r="K487" s="13" t="n"/>
      <c r="L487" s="13" t="n"/>
      <c r="M487" s="13" t="n"/>
      <c r="N487" s="14">
        <f>IF(A487="","",COUNT(H487:M487)/6)</f>
        <v/>
      </c>
      <c r="O487" s="15">
        <f>IF(COUNT(H487:M487)=0,"",IF(LEN(IF(COUNT(I487,J487)=2,IF(J487&gt;I487+1,"EBE &gt; VA ",""),"")&amp;IF(COUNT(H487,M487)=2,IF(ABS(M487)&gt;ABS(H487),"RN &gt; CA ",""),"")&amp;IF(COUNT(H487,K487)=2,IF(ABS(K487)&gt;ABS(H487),"RE &gt; CA ",""),""))=0,"OK",IF(COUNT(I487,J487)=2,IF(J487&gt;I487+1,"EBE &gt; VA ",""),"")&amp;IF(COUNT(H487,M487)=2,IF(ABS(M487)&gt;ABS(H487),"RN &gt; CA ",""),"")&amp;IF(COUNT(H487,K487)=2,IF(ABS(K487)&gt;ABS(H487),"RE &gt; CA ",""),"")))</f>
        <v/>
      </c>
    </row>
    <row r="488">
      <c r="A488" s="9" t="inlineStr">
        <is>
          <t>ONTBF</t>
        </is>
      </c>
      <c r="B488" s="10">
        <f>IF(A488="","",IFERROR(VLOOKUP(A488,Titres!$A$2:$B$400,2,FALSE),"Ticker inconnu"))</f>
        <v/>
      </c>
      <c r="C488" s="11" t="n">
        <v>2026</v>
      </c>
      <c r="D488" s="11" t="inlineStr">
        <is>
          <t>T1</t>
        </is>
      </c>
      <c r="E488" s="9" t="n"/>
      <c r="F488" s="12" t="n"/>
      <c r="G488" s="9" t="n"/>
      <c r="H488" s="13" t="n"/>
      <c r="I488" s="13" t="n"/>
      <c r="J488" s="13" t="n"/>
      <c r="K488" s="13" t="n"/>
      <c r="L488" s="13" t="n"/>
      <c r="M488" s="13" t="n"/>
      <c r="N488" s="14">
        <f>IF(A488="","",COUNT(H488:M488)/6)</f>
        <v/>
      </c>
      <c r="O488" s="15">
        <f>IF(COUNT(H488:M488)=0,"",IF(LEN(IF(COUNT(I488,J488)=2,IF(J488&gt;I488+1,"EBE &gt; VA ",""),"")&amp;IF(COUNT(H488,M488)=2,IF(ABS(M488)&gt;ABS(H488),"RN &gt; CA ",""),"")&amp;IF(COUNT(H488,K488)=2,IF(ABS(K488)&gt;ABS(H488),"RE &gt; CA ",""),""))=0,"OK",IF(COUNT(I488,J488)=2,IF(J488&gt;I488+1,"EBE &gt; VA ",""),"")&amp;IF(COUNT(H488,M488)=2,IF(ABS(M488)&gt;ABS(H488),"RN &gt; CA ",""),"")&amp;IF(COUNT(H488,K488)=2,IF(ABS(K488)&gt;ABS(H488),"RE &gt; CA ",""),"")))</f>
        <v/>
      </c>
    </row>
    <row r="489">
      <c r="A489" s="9" t="inlineStr">
        <is>
          <t>ONTBF</t>
        </is>
      </c>
      <c r="B489" s="10">
        <f>IF(A489="","",IFERROR(VLOOKUP(A489,Titres!$A$2:$B$400,2,FALSE),"Ticker inconnu"))</f>
        <v/>
      </c>
      <c r="C489" s="11" t="n">
        <v>2026</v>
      </c>
      <c r="D489" s="11" t="inlineStr">
        <is>
          <t>S1</t>
        </is>
      </c>
      <c r="E489" s="9" t="n"/>
      <c r="F489" s="12" t="n"/>
      <c r="G489" s="9" t="n"/>
      <c r="H489" s="13" t="n"/>
      <c r="I489" s="13" t="n"/>
      <c r="J489" s="13" t="n"/>
      <c r="K489" s="13" t="n"/>
      <c r="L489" s="13" t="n"/>
      <c r="M489" s="13" t="n"/>
      <c r="N489" s="14">
        <f>IF(A489="","",COUNT(H489:M489)/6)</f>
        <v/>
      </c>
      <c r="O489" s="15">
        <f>IF(COUNT(H489:M489)=0,"",IF(LEN(IF(COUNT(I489,J489)=2,IF(J489&gt;I489+1,"EBE &gt; VA ",""),"")&amp;IF(COUNT(H489,M489)=2,IF(ABS(M489)&gt;ABS(H489),"RN &gt; CA ",""),"")&amp;IF(COUNT(H489,K489)=2,IF(ABS(K489)&gt;ABS(H489),"RE &gt; CA ",""),""))=0,"OK",IF(COUNT(I489,J489)=2,IF(J489&gt;I489+1,"EBE &gt; VA ",""),"")&amp;IF(COUNT(H489,M489)=2,IF(ABS(M489)&gt;ABS(H489),"RN &gt; CA ",""),"")&amp;IF(COUNT(H489,K489)=2,IF(ABS(K489)&gt;ABS(H489),"RE &gt; CA ",""),"")))</f>
        <v/>
      </c>
    </row>
    <row r="490">
      <c r="A490" s="9" t="inlineStr">
        <is>
          <t>ONTBF</t>
        </is>
      </c>
      <c r="B490" s="10">
        <f>IF(A490="","",IFERROR(VLOOKUP(A490,Titres!$A$2:$B$400,2,FALSE),"Ticker inconnu"))</f>
        <v/>
      </c>
      <c r="C490" s="11" t="n">
        <v>2026</v>
      </c>
      <c r="D490" s="11" t="inlineStr">
        <is>
          <t>T3</t>
        </is>
      </c>
      <c r="E490" s="9" t="n"/>
      <c r="F490" s="12" t="n"/>
      <c r="G490" s="9" t="n"/>
      <c r="H490" s="13" t="n"/>
      <c r="I490" s="13" t="n"/>
      <c r="J490" s="13" t="n"/>
      <c r="K490" s="13" t="n"/>
      <c r="L490" s="13" t="n"/>
      <c r="M490" s="13" t="n"/>
      <c r="N490" s="14">
        <f>IF(A490="","",COUNT(H490:M490)/6)</f>
        <v/>
      </c>
      <c r="O490" s="15">
        <f>IF(COUNT(H490:M490)=0,"",IF(LEN(IF(COUNT(I490,J490)=2,IF(J490&gt;I490+1,"EBE &gt; VA ",""),"")&amp;IF(COUNT(H490,M490)=2,IF(ABS(M490)&gt;ABS(H490),"RN &gt; CA ",""),"")&amp;IF(COUNT(H490,K490)=2,IF(ABS(K490)&gt;ABS(H490),"RE &gt; CA ",""),""))=0,"OK",IF(COUNT(I490,J490)=2,IF(J490&gt;I490+1,"EBE &gt; VA ",""),"")&amp;IF(COUNT(H490,M490)=2,IF(ABS(M490)&gt;ABS(H490),"RN &gt; CA ",""),"")&amp;IF(COUNT(H490,K490)=2,IF(ABS(K490)&gt;ABS(H490),"RE &gt; CA ",""),"")))</f>
        <v/>
      </c>
    </row>
    <row r="491">
      <c r="A491" s="9" t="inlineStr">
        <is>
          <t>ORAC</t>
        </is>
      </c>
      <c r="B491" s="10">
        <f>IF(A491="","",IFERROR(VLOOKUP(A491,Titres!$A$2:$B$400,2,FALSE),"Ticker inconnu"))</f>
        <v/>
      </c>
      <c r="C491" s="11" t="n">
        <v>2021</v>
      </c>
      <c r="D491" s="11" t="inlineStr">
        <is>
          <t>T1</t>
        </is>
      </c>
      <c r="E491" s="9" t="n"/>
      <c r="F491" s="12" t="n"/>
      <c r="G491" s="9" t="n"/>
      <c r="H491" s="13" t="n"/>
      <c r="I491" s="13" t="n"/>
      <c r="J491" s="13" t="n"/>
      <c r="K491" s="13" t="n"/>
      <c r="L491" s="13" t="n"/>
      <c r="M491" s="13" t="n"/>
      <c r="N491" s="14">
        <f>IF(A491="","",COUNT(H491:M491)/6)</f>
        <v/>
      </c>
      <c r="O491" s="15">
        <f>IF(COUNT(H491:M491)=0,"",IF(LEN(IF(COUNT(I491,J491)=2,IF(J491&gt;I491+1,"EBE &gt; VA ",""),"")&amp;IF(COUNT(H491,M491)=2,IF(ABS(M491)&gt;ABS(H491),"RN &gt; CA ",""),"")&amp;IF(COUNT(H491,K491)=2,IF(ABS(K491)&gt;ABS(H491),"RE &gt; CA ",""),""))=0,"OK",IF(COUNT(I491,J491)=2,IF(J491&gt;I491+1,"EBE &gt; VA ",""),"")&amp;IF(COUNT(H491,M491)=2,IF(ABS(M491)&gt;ABS(H491),"RN &gt; CA ",""),"")&amp;IF(COUNT(H491,K491)=2,IF(ABS(K491)&gt;ABS(H491),"RE &gt; CA ",""),"")))</f>
        <v/>
      </c>
    </row>
    <row r="492">
      <c r="A492" s="9" t="inlineStr">
        <is>
          <t>ORAC</t>
        </is>
      </c>
      <c r="B492" s="10">
        <f>IF(A492="","",IFERROR(VLOOKUP(A492,Titres!$A$2:$B$400,2,FALSE),"Ticker inconnu"))</f>
        <v/>
      </c>
      <c r="C492" s="11" t="n">
        <v>2021</v>
      </c>
      <c r="D492" s="11" t="inlineStr">
        <is>
          <t>S1</t>
        </is>
      </c>
      <c r="E492" s="9" t="n"/>
      <c r="F492" s="12" t="n"/>
      <c r="G492" s="9" t="n"/>
      <c r="H492" s="13" t="n"/>
      <c r="I492" s="13" t="n"/>
      <c r="J492" s="13" t="n"/>
      <c r="K492" s="13" t="n"/>
      <c r="L492" s="13" t="n"/>
      <c r="M492" s="13" t="n"/>
      <c r="N492" s="14">
        <f>IF(A492="","",COUNT(H492:M492)/6)</f>
        <v/>
      </c>
      <c r="O492" s="15">
        <f>IF(COUNT(H492:M492)=0,"",IF(LEN(IF(COUNT(I492,J492)=2,IF(J492&gt;I492+1,"EBE &gt; VA ",""),"")&amp;IF(COUNT(H492,M492)=2,IF(ABS(M492)&gt;ABS(H492),"RN &gt; CA ",""),"")&amp;IF(COUNT(H492,K492)=2,IF(ABS(K492)&gt;ABS(H492),"RE &gt; CA ",""),""))=0,"OK",IF(COUNT(I492,J492)=2,IF(J492&gt;I492+1,"EBE &gt; VA ",""),"")&amp;IF(COUNT(H492,M492)=2,IF(ABS(M492)&gt;ABS(H492),"RN &gt; CA ",""),"")&amp;IF(COUNT(H492,K492)=2,IF(ABS(K492)&gt;ABS(H492),"RE &gt; CA ",""),"")))</f>
        <v/>
      </c>
    </row>
    <row r="493">
      <c r="A493" s="9" t="inlineStr">
        <is>
          <t>ORAC</t>
        </is>
      </c>
      <c r="B493" s="10">
        <f>IF(A493="","",IFERROR(VLOOKUP(A493,Titres!$A$2:$B$400,2,FALSE),"Ticker inconnu"))</f>
        <v/>
      </c>
      <c r="C493" s="11" t="n">
        <v>2021</v>
      </c>
      <c r="D493" s="11" t="inlineStr">
        <is>
          <t>T3</t>
        </is>
      </c>
      <c r="E493" s="9" t="n"/>
      <c r="F493" s="12" t="n"/>
      <c r="G493" s="9" t="n"/>
      <c r="H493" s="13" t="n"/>
      <c r="I493" s="13" t="n"/>
      <c r="J493" s="13" t="n"/>
      <c r="K493" s="13" t="n"/>
      <c r="L493" s="13" t="n"/>
      <c r="M493" s="13" t="n"/>
      <c r="N493" s="14">
        <f>IF(A493="","",COUNT(H493:M493)/6)</f>
        <v/>
      </c>
      <c r="O493" s="15">
        <f>IF(COUNT(H493:M493)=0,"",IF(LEN(IF(COUNT(I493,J493)=2,IF(J493&gt;I493+1,"EBE &gt; VA ",""),"")&amp;IF(COUNT(H493,M493)=2,IF(ABS(M493)&gt;ABS(H493),"RN &gt; CA ",""),"")&amp;IF(COUNT(H493,K493)=2,IF(ABS(K493)&gt;ABS(H493),"RE &gt; CA ",""),""))=0,"OK",IF(COUNT(I493,J493)=2,IF(J493&gt;I493+1,"EBE &gt; VA ",""),"")&amp;IF(COUNT(H493,M493)=2,IF(ABS(M493)&gt;ABS(H493),"RN &gt; CA ",""),"")&amp;IF(COUNT(H493,K493)=2,IF(ABS(K493)&gt;ABS(H493),"RE &gt; CA ",""),"")))</f>
        <v/>
      </c>
    </row>
    <row r="494">
      <c r="A494" s="9" t="inlineStr">
        <is>
          <t>ORAC</t>
        </is>
      </c>
      <c r="B494" s="10">
        <f>IF(A494="","",IFERROR(VLOOKUP(A494,Titres!$A$2:$B$400,2,FALSE),"Ticker inconnu"))</f>
        <v/>
      </c>
      <c r="C494" s="11" t="n">
        <v>2022</v>
      </c>
      <c r="D494" s="11" t="inlineStr">
        <is>
          <t>T1</t>
        </is>
      </c>
      <c r="E494" s="9" t="n"/>
      <c r="F494" s="12" t="n"/>
      <c r="G494" s="9" t="n"/>
      <c r="H494" s="13" t="n"/>
      <c r="I494" s="13" t="n"/>
      <c r="J494" s="13" t="n"/>
      <c r="K494" s="13" t="n"/>
      <c r="L494" s="13" t="n"/>
      <c r="M494" s="13" t="n"/>
      <c r="N494" s="14">
        <f>IF(A494="","",COUNT(H494:M494)/6)</f>
        <v/>
      </c>
      <c r="O494" s="15">
        <f>IF(COUNT(H494:M494)=0,"",IF(LEN(IF(COUNT(I494,J494)=2,IF(J494&gt;I494+1,"EBE &gt; VA ",""),"")&amp;IF(COUNT(H494,M494)=2,IF(ABS(M494)&gt;ABS(H494),"RN &gt; CA ",""),"")&amp;IF(COUNT(H494,K494)=2,IF(ABS(K494)&gt;ABS(H494),"RE &gt; CA ",""),""))=0,"OK",IF(COUNT(I494,J494)=2,IF(J494&gt;I494+1,"EBE &gt; VA ",""),"")&amp;IF(COUNT(H494,M494)=2,IF(ABS(M494)&gt;ABS(H494),"RN &gt; CA ",""),"")&amp;IF(COUNT(H494,K494)=2,IF(ABS(K494)&gt;ABS(H494),"RE &gt; CA ",""),"")))</f>
        <v/>
      </c>
    </row>
    <row r="495">
      <c r="A495" s="9" t="inlineStr">
        <is>
          <t>ORAC</t>
        </is>
      </c>
      <c r="B495" s="10">
        <f>IF(A495="","",IFERROR(VLOOKUP(A495,Titres!$A$2:$B$400,2,FALSE),"Ticker inconnu"))</f>
        <v/>
      </c>
      <c r="C495" s="11" t="n">
        <v>2022</v>
      </c>
      <c r="D495" s="11" t="inlineStr">
        <is>
          <t>S1</t>
        </is>
      </c>
      <c r="E495" s="9" t="n"/>
      <c r="F495" s="12" t="n"/>
      <c r="G495" s="9" t="n"/>
      <c r="H495" s="13" t="n"/>
      <c r="I495" s="13" t="n"/>
      <c r="J495" s="13" t="n"/>
      <c r="K495" s="13" t="n"/>
      <c r="L495" s="13" t="n"/>
      <c r="M495" s="13" t="n"/>
      <c r="N495" s="14">
        <f>IF(A495="","",COUNT(H495:M495)/6)</f>
        <v/>
      </c>
      <c r="O495" s="15">
        <f>IF(COUNT(H495:M495)=0,"",IF(LEN(IF(COUNT(I495,J495)=2,IF(J495&gt;I495+1,"EBE &gt; VA ",""),"")&amp;IF(COUNT(H495,M495)=2,IF(ABS(M495)&gt;ABS(H495),"RN &gt; CA ",""),"")&amp;IF(COUNT(H495,K495)=2,IF(ABS(K495)&gt;ABS(H495),"RE &gt; CA ",""),""))=0,"OK",IF(COUNT(I495,J495)=2,IF(J495&gt;I495+1,"EBE &gt; VA ",""),"")&amp;IF(COUNT(H495,M495)=2,IF(ABS(M495)&gt;ABS(H495),"RN &gt; CA ",""),"")&amp;IF(COUNT(H495,K495)=2,IF(ABS(K495)&gt;ABS(H495),"RE &gt; CA ",""),"")))</f>
        <v/>
      </c>
    </row>
    <row r="496">
      <c r="A496" s="9" t="inlineStr">
        <is>
          <t>ORAC</t>
        </is>
      </c>
      <c r="B496" s="10">
        <f>IF(A496="","",IFERROR(VLOOKUP(A496,Titres!$A$2:$B$400,2,FALSE),"Ticker inconnu"))</f>
        <v/>
      </c>
      <c r="C496" s="11" t="n">
        <v>2022</v>
      </c>
      <c r="D496" s="11" t="inlineStr">
        <is>
          <t>T3</t>
        </is>
      </c>
      <c r="E496" s="9" t="n"/>
      <c r="F496" s="12" t="n"/>
      <c r="G496" s="9" t="n"/>
      <c r="H496" s="13" t="n"/>
      <c r="I496" s="13" t="n"/>
      <c r="J496" s="13" t="n"/>
      <c r="K496" s="13" t="n"/>
      <c r="L496" s="13" t="n"/>
      <c r="M496" s="13" t="n"/>
      <c r="N496" s="14">
        <f>IF(A496="","",COUNT(H496:M496)/6)</f>
        <v/>
      </c>
      <c r="O496" s="15">
        <f>IF(COUNT(H496:M496)=0,"",IF(LEN(IF(COUNT(I496,J496)=2,IF(J496&gt;I496+1,"EBE &gt; VA ",""),"")&amp;IF(COUNT(H496,M496)=2,IF(ABS(M496)&gt;ABS(H496),"RN &gt; CA ",""),"")&amp;IF(COUNT(H496,K496)=2,IF(ABS(K496)&gt;ABS(H496),"RE &gt; CA ",""),""))=0,"OK",IF(COUNT(I496,J496)=2,IF(J496&gt;I496+1,"EBE &gt; VA ",""),"")&amp;IF(COUNT(H496,M496)=2,IF(ABS(M496)&gt;ABS(H496),"RN &gt; CA ",""),"")&amp;IF(COUNT(H496,K496)=2,IF(ABS(K496)&gt;ABS(H496),"RE &gt; CA ",""),"")))</f>
        <v/>
      </c>
    </row>
    <row r="497">
      <c r="A497" s="9" t="inlineStr">
        <is>
          <t>ORAC</t>
        </is>
      </c>
      <c r="B497" s="10">
        <f>IF(A497="","",IFERROR(VLOOKUP(A497,Titres!$A$2:$B$400,2,FALSE),"Ticker inconnu"))</f>
        <v/>
      </c>
      <c r="C497" s="11" t="n">
        <v>2023</v>
      </c>
      <c r="D497" s="11" t="inlineStr">
        <is>
          <t>T1</t>
        </is>
      </c>
      <c r="E497" s="9" t="n"/>
      <c r="F497" s="12" t="n"/>
      <c r="G497" s="9" t="n"/>
      <c r="H497" s="13" t="n"/>
      <c r="I497" s="13" t="n"/>
      <c r="J497" s="13" t="n"/>
      <c r="K497" s="13" t="n"/>
      <c r="L497" s="13" t="n"/>
      <c r="M497" s="13" t="n"/>
      <c r="N497" s="14">
        <f>IF(A497="","",COUNT(H497:M497)/6)</f>
        <v/>
      </c>
      <c r="O497" s="15">
        <f>IF(COUNT(H497:M497)=0,"",IF(LEN(IF(COUNT(I497,J497)=2,IF(J497&gt;I497+1,"EBE &gt; VA ",""),"")&amp;IF(COUNT(H497,M497)=2,IF(ABS(M497)&gt;ABS(H497),"RN &gt; CA ",""),"")&amp;IF(COUNT(H497,K497)=2,IF(ABS(K497)&gt;ABS(H497),"RE &gt; CA ",""),""))=0,"OK",IF(COUNT(I497,J497)=2,IF(J497&gt;I497+1,"EBE &gt; VA ",""),"")&amp;IF(COUNT(H497,M497)=2,IF(ABS(M497)&gt;ABS(H497),"RN &gt; CA ",""),"")&amp;IF(COUNT(H497,K497)=2,IF(ABS(K497)&gt;ABS(H497),"RE &gt; CA ",""),"")))</f>
        <v/>
      </c>
    </row>
    <row r="498">
      <c r="A498" s="9" t="inlineStr">
        <is>
          <t>ORAC</t>
        </is>
      </c>
      <c r="B498" s="10">
        <f>IF(A498="","",IFERROR(VLOOKUP(A498,Titres!$A$2:$B$400,2,FALSE),"Ticker inconnu"))</f>
        <v/>
      </c>
      <c r="C498" s="11" t="n">
        <v>2023</v>
      </c>
      <c r="D498" s="11" t="inlineStr">
        <is>
          <t>S1</t>
        </is>
      </c>
      <c r="E498" s="9" t="n"/>
      <c r="F498" s="12" t="n"/>
      <c r="G498" s="9" t="n"/>
      <c r="H498" s="13" t="n"/>
      <c r="I498" s="13" t="n"/>
      <c r="J498" s="13" t="n"/>
      <c r="K498" s="13" t="n"/>
      <c r="L498" s="13" t="n"/>
      <c r="M498" s="13" t="n"/>
      <c r="N498" s="14">
        <f>IF(A498="","",COUNT(H498:M498)/6)</f>
        <v/>
      </c>
      <c r="O498" s="15">
        <f>IF(COUNT(H498:M498)=0,"",IF(LEN(IF(COUNT(I498,J498)=2,IF(J498&gt;I498+1,"EBE &gt; VA ",""),"")&amp;IF(COUNT(H498,M498)=2,IF(ABS(M498)&gt;ABS(H498),"RN &gt; CA ",""),"")&amp;IF(COUNT(H498,K498)=2,IF(ABS(K498)&gt;ABS(H498),"RE &gt; CA ",""),""))=0,"OK",IF(COUNT(I498,J498)=2,IF(J498&gt;I498+1,"EBE &gt; VA ",""),"")&amp;IF(COUNT(H498,M498)=2,IF(ABS(M498)&gt;ABS(H498),"RN &gt; CA ",""),"")&amp;IF(COUNT(H498,K498)=2,IF(ABS(K498)&gt;ABS(H498),"RE &gt; CA ",""),"")))</f>
        <v/>
      </c>
    </row>
    <row r="499">
      <c r="A499" s="9" t="inlineStr">
        <is>
          <t>ORAC</t>
        </is>
      </c>
      <c r="B499" s="10">
        <f>IF(A499="","",IFERROR(VLOOKUP(A499,Titres!$A$2:$B$400,2,FALSE),"Ticker inconnu"))</f>
        <v/>
      </c>
      <c r="C499" s="11" t="n">
        <v>2023</v>
      </c>
      <c r="D499" s="11" t="inlineStr">
        <is>
          <t>T3</t>
        </is>
      </c>
      <c r="E499" s="9" t="n"/>
      <c r="F499" s="12" t="n"/>
      <c r="G499" s="9" t="n"/>
      <c r="H499" s="13" t="n"/>
      <c r="I499" s="13" t="n"/>
      <c r="J499" s="13" t="n"/>
      <c r="K499" s="13" t="n"/>
      <c r="L499" s="13" t="n"/>
      <c r="M499" s="13" t="n"/>
      <c r="N499" s="14">
        <f>IF(A499="","",COUNT(H499:M499)/6)</f>
        <v/>
      </c>
      <c r="O499" s="15">
        <f>IF(COUNT(H499:M499)=0,"",IF(LEN(IF(COUNT(I499,J499)=2,IF(J499&gt;I499+1,"EBE &gt; VA ",""),"")&amp;IF(COUNT(H499,M499)=2,IF(ABS(M499)&gt;ABS(H499),"RN &gt; CA ",""),"")&amp;IF(COUNT(H499,K499)=2,IF(ABS(K499)&gt;ABS(H499),"RE &gt; CA ",""),""))=0,"OK",IF(COUNT(I499,J499)=2,IF(J499&gt;I499+1,"EBE &gt; VA ",""),"")&amp;IF(COUNT(H499,M499)=2,IF(ABS(M499)&gt;ABS(H499),"RN &gt; CA ",""),"")&amp;IF(COUNT(H499,K499)=2,IF(ABS(K499)&gt;ABS(H499),"RE &gt; CA ",""),"")))</f>
        <v/>
      </c>
    </row>
    <row r="500">
      <c r="A500" s="9" t="inlineStr">
        <is>
          <t>ORAC</t>
        </is>
      </c>
      <c r="B500" s="10">
        <f>IF(A500="","",IFERROR(VLOOKUP(A500,Titres!$A$2:$B$400,2,FALSE),"Ticker inconnu"))</f>
        <v/>
      </c>
      <c r="C500" s="11" t="n">
        <v>2024</v>
      </c>
      <c r="D500" s="11" t="inlineStr">
        <is>
          <t>T1</t>
        </is>
      </c>
      <c r="E500" s="9" t="n"/>
      <c r="F500" s="12" t="n"/>
      <c r="G500" s="9" t="n"/>
      <c r="H500" s="13" t="n"/>
      <c r="I500" s="13" t="n"/>
      <c r="J500" s="13" t="n"/>
      <c r="K500" s="13" t="n"/>
      <c r="L500" s="13" t="n"/>
      <c r="M500" s="13" t="n"/>
      <c r="N500" s="14">
        <f>IF(A500="","",COUNT(H500:M500)/6)</f>
        <v/>
      </c>
      <c r="O500" s="15">
        <f>IF(COUNT(H500:M500)=0,"",IF(LEN(IF(COUNT(I500,J500)=2,IF(J500&gt;I500+1,"EBE &gt; VA ",""),"")&amp;IF(COUNT(H500,M500)=2,IF(ABS(M500)&gt;ABS(H500),"RN &gt; CA ",""),"")&amp;IF(COUNT(H500,K500)=2,IF(ABS(K500)&gt;ABS(H500),"RE &gt; CA ",""),""))=0,"OK",IF(COUNT(I500,J500)=2,IF(J500&gt;I500+1,"EBE &gt; VA ",""),"")&amp;IF(COUNT(H500,M500)=2,IF(ABS(M500)&gt;ABS(H500),"RN &gt; CA ",""),"")&amp;IF(COUNT(H500,K500)=2,IF(ABS(K500)&gt;ABS(H500),"RE &gt; CA ",""),"")))</f>
        <v/>
      </c>
    </row>
    <row r="501">
      <c r="A501" s="9" t="inlineStr">
        <is>
          <t>ORAC</t>
        </is>
      </c>
      <c r="B501" s="10">
        <f>IF(A501="","",IFERROR(VLOOKUP(A501,Titres!$A$2:$B$400,2,FALSE),"Ticker inconnu"))</f>
        <v/>
      </c>
      <c r="C501" s="11" t="n">
        <v>2024</v>
      </c>
      <c r="D501" s="11" t="inlineStr">
        <is>
          <t>S1</t>
        </is>
      </c>
      <c r="E501" s="9" t="n"/>
      <c r="F501" s="12" t="n"/>
      <c r="G501" s="9" t="n"/>
      <c r="H501" s="13" t="n"/>
      <c r="I501" s="13" t="n"/>
      <c r="J501" s="13" t="n"/>
      <c r="K501" s="13" t="n"/>
      <c r="L501" s="13" t="n"/>
      <c r="M501" s="13" t="n"/>
      <c r="N501" s="14">
        <f>IF(A501="","",COUNT(H501:M501)/6)</f>
        <v/>
      </c>
      <c r="O501" s="15">
        <f>IF(COUNT(H501:M501)=0,"",IF(LEN(IF(COUNT(I501,J501)=2,IF(J501&gt;I501+1,"EBE &gt; VA ",""),"")&amp;IF(COUNT(H501,M501)=2,IF(ABS(M501)&gt;ABS(H501),"RN &gt; CA ",""),"")&amp;IF(COUNT(H501,K501)=2,IF(ABS(K501)&gt;ABS(H501),"RE &gt; CA ",""),""))=0,"OK",IF(COUNT(I501,J501)=2,IF(J501&gt;I501+1,"EBE &gt; VA ",""),"")&amp;IF(COUNT(H501,M501)=2,IF(ABS(M501)&gt;ABS(H501),"RN &gt; CA ",""),"")&amp;IF(COUNT(H501,K501)=2,IF(ABS(K501)&gt;ABS(H501),"RE &gt; CA ",""),"")))</f>
        <v/>
      </c>
    </row>
    <row r="502">
      <c r="A502" s="9" t="inlineStr">
        <is>
          <t>ORAC</t>
        </is>
      </c>
      <c r="B502" s="10">
        <f>IF(A502="","",IFERROR(VLOOKUP(A502,Titres!$A$2:$B$400,2,FALSE),"Ticker inconnu"))</f>
        <v/>
      </c>
      <c r="C502" s="11" t="n">
        <v>2024</v>
      </c>
      <c r="D502" s="11" t="inlineStr">
        <is>
          <t>T3</t>
        </is>
      </c>
      <c r="E502" s="9" t="n"/>
      <c r="F502" s="12" t="n"/>
      <c r="G502" s="9" t="n"/>
      <c r="H502" s="13" t="n"/>
      <c r="I502" s="13" t="n"/>
      <c r="J502" s="13" t="n"/>
      <c r="K502" s="13" t="n"/>
      <c r="L502" s="13" t="n"/>
      <c r="M502" s="13" t="n"/>
      <c r="N502" s="14">
        <f>IF(A502="","",COUNT(H502:M502)/6)</f>
        <v/>
      </c>
      <c r="O502" s="15">
        <f>IF(COUNT(H502:M502)=0,"",IF(LEN(IF(COUNT(I502,J502)=2,IF(J502&gt;I502+1,"EBE &gt; VA ",""),"")&amp;IF(COUNT(H502,M502)=2,IF(ABS(M502)&gt;ABS(H502),"RN &gt; CA ",""),"")&amp;IF(COUNT(H502,K502)=2,IF(ABS(K502)&gt;ABS(H502),"RE &gt; CA ",""),""))=0,"OK",IF(COUNT(I502,J502)=2,IF(J502&gt;I502+1,"EBE &gt; VA ",""),"")&amp;IF(COUNT(H502,M502)=2,IF(ABS(M502)&gt;ABS(H502),"RN &gt; CA ",""),"")&amp;IF(COUNT(H502,K502)=2,IF(ABS(K502)&gt;ABS(H502),"RE &gt; CA ",""),"")))</f>
        <v/>
      </c>
    </row>
    <row r="503">
      <c r="A503" s="9" t="inlineStr">
        <is>
          <t>ORAC</t>
        </is>
      </c>
      <c r="B503" s="10">
        <f>IF(A503="","",IFERROR(VLOOKUP(A503,Titres!$A$2:$B$400,2,FALSE),"Ticker inconnu"))</f>
        <v/>
      </c>
      <c r="C503" s="11" t="n">
        <v>2025</v>
      </c>
      <c r="D503" s="11" t="inlineStr">
        <is>
          <t>T1</t>
        </is>
      </c>
      <c r="E503" s="9" t="n"/>
      <c r="F503" s="12" t="n"/>
      <c r="G503" s="9" t="n"/>
      <c r="H503" s="13" t="n"/>
      <c r="I503" s="13" t="n"/>
      <c r="J503" s="13" t="n"/>
      <c r="K503" s="13" t="n"/>
      <c r="L503" s="13" t="n"/>
      <c r="M503" s="13" t="n"/>
      <c r="N503" s="14">
        <f>IF(A503="","",COUNT(H503:M503)/6)</f>
        <v/>
      </c>
      <c r="O503" s="15">
        <f>IF(COUNT(H503:M503)=0,"",IF(LEN(IF(COUNT(I503,J503)=2,IF(J503&gt;I503+1,"EBE &gt; VA ",""),"")&amp;IF(COUNT(H503,M503)=2,IF(ABS(M503)&gt;ABS(H503),"RN &gt; CA ",""),"")&amp;IF(COUNT(H503,K503)=2,IF(ABS(K503)&gt;ABS(H503),"RE &gt; CA ",""),""))=0,"OK",IF(COUNT(I503,J503)=2,IF(J503&gt;I503+1,"EBE &gt; VA ",""),"")&amp;IF(COUNT(H503,M503)=2,IF(ABS(M503)&gt;ABS(H503),"RN &gt; CA ",""),"")&amp;IF(COUNT(H503,K503)=2,IF(ABS(K503)&gt;ABS(H503),"RE &gt; CA ",""),"")))</f>
        <v/>
      </c>
    </row>
    <row r="504">
      <c r="A504" s="9" t="inlineStr">
        <is>
          <t>ORAC</t>
        </is>
      </c>
      <c r="B504" s="10">
        <f>IF(A504="","",IFERROR(VLOOKUP(A504,Titres!$A$2:$B$400,2,FALSE),"Ticker inconnu"))</f>
        <v/>
      </c>
      <c r="C504" s="11" t="n">
        <v>2025</v>
      </c>
      <c r="D504" s="11" t="inlineStr">
        <is>
          <t>S1</t>
        </is>
      </c>
      <c r="E504" s="9" t="inlineStr">
        <is>
          <t>Publié</t>
        </is>
      </c>
      <c r="F504" s="12" t="n">
        <v>46303</v>
      </c>
      <c r="G504" s="9" t="inlineStr">
        <is>
          <t>https://www.richbourse.com/common/actualite/afficher-fichier/08-10-2026-orange-ci-rapport-d-activites-1er-semestre-2026 (comparatif N-1)</t>
        </is>
      </c>
      <c r="H504" s="13" t="n">
        <v>579300</v>
      </c>
      <c r="I504" s="13" t="n"/>
      <c r="J504" s="13" t="n">
        <v>200800</v>
      </c>
      <c r="K504" s="13" t="n">
        <v>131800</v>
      </c>
      <c r="L504" s="13" t="n">
        <v>118200</v>
      </c>
      <c r="M504" s="13" t="n">
        <v>76300</v>
      </c>
      <c r="N504" s="14">
        <f>IF(A504="","",COUNT(H504:M504)/6)</f>
        <v/>
      </c>
      <c r="O504" s="15">
        <f>IF(COUNT(H504:M504)=0,"",IF(LEN(IF(COUNT(I504,J504)=2,IF(J504&gt;I504+1,"EBE &gt; VA ",""),"")&amp;IF(COUNT(H504,M504)=2,IF(ABS(M504)&gt;ABS(H504),"RN &gt; CA ",""),"")&amp;IF(COUNT(H504,K504)=2,IF(ABS(K504)&gt;ABS(H504),"RE &gt; CA ",""),""))=0,"OK",IF(COUNT(I504,J504)=2,IF(J504&gt;I504+1,"EBE &gt; VA ",""),"")&amp;IF(COUNT(H504,M504)=2,IF(ABS(M504)&gt;ABS(H504),"RN &gt; CA ",""),"")&amp;IF(COUNT(H504,K504)=2,IF(ABS(K504)&gt;ABS(H504),"RE &gt; CA ",""),"")))</f>
        <v/>
      </c>
    </row>
    <row r="505">
      <c r="A505" s="9" t="inlineStr">
        <is>
          <t>ORAC</t>
        </is>
      </c>
      <c r="B505" s="10">
        <f>IF(A505="","",IFERROR(VLOOKUP(A505,Titres!$A$2:$B$400,2,FALSE),"Ticker inconnu"))</f>
        <v/>
      </c>
      <c r="C505" s="11" t="n">
        <v>2025</v>
      </c>
      <c r="D505" s="11" t="inlineStr">
        <is>
          <t>T3</t>
        </is>
      </c>
      <c r="E505" s="9" t="n"/>
      <c r="F505" s="12" t="n"/>
      <c r="G505" s="9" t="n"/>
      <c r="H505" s="13" t="n"/>
      <c r="I505" s="13" t="n"/>
      <c r="J505" s="13" t="n"/>
      <c r="K505" s="13" t="n"/>
      <c r="L505" s="13" t="n"/>
      <c r="M505" s="13" t="n"/>
      <c r="N505" s="14">
        <f>IF(A505="","",COUNT(H505:M505)/6)</f>
        <v/>
      </c>
      <c r="O505" s="15">
        <f>IF(COUNT(H505:M505)=0,"",IF(LEN(IF(COUNT(I505,J505)=2,IF(J505&gt;I505+1,"EBE &gt; VA ",""),"")&amp;IF(COUNT(H505,M505)=2,IF(ABS(M505)&gt;ABS(H505),"RN &gt; CA ",""),"")&amp;IF(COUNT(H505,K505)=2,IF(ABS(K505)&gt;ABS(H505),"RE &gt; CA ",""),""))=0,"OK",IF(COUNT(I505,J505)=2,IF(J505&gt;I505+1,"EBE &gt; VA ",""),"")&amp;IF(COUNT(H505,M505)=2,IF(ABS(M505)&gt;ABS(H505),"RN &gt; CA ",""),"")&amp;IF(COUNT(H505,K505)=2,IF(ABS(K505)&gt;ABS(H505),"RE &gt; CA ",""),"")))</f>
        <v/>
      </c>
    </row>
    <row r="506">
      <c r="A506" s="9" t="inlineStr">
        <is>
          <t>ORAC</t>
        </is>
      </c>
      <c r="B506" s="10">
        <f>IF(A506="","",IFERROR(VLOOKUP(A506,Titres!$A$2:$B$400,2,FALSE),"Ticker inconnu"))</f>
        <v/>
      </c>
      <c r="C506" s="11" t="n">
        <v>2026</v>
      </c>
      <c r="D506" s="11" t="inlineStr">
        <is>
          <t>T1</t>
        </is>
      </c>
      <c r="E506" s="9" t="n"/>
      <c r="F506" s="12" t="n"/>
      <c r="G506" s="9" t="n"/>
      <c r="H506" s="13" t="n"/>
      <c r="I506" s="13" t="n"/>
      <c r="J506" s="13" t="n"/>
      <c r="K506" s="13" t="n"/>
      <c r="L506" s="13" t="n"/>
      <c r="M506" s="13" t="n"/>
      <c r="N506" s="14">
        <f>IF(A506="","",COUNT(H506:M506)/6)</f>
        <v/>
      </c>
      <c r="O506" s="15">
        <f>IF(COUNT(H506:M506)=0,"",IF(LEN(IF(COUNT(I506,J506)=2,IF(J506&gt;I506+1,"EBE &gt; VA ",""),"")&amp;IF(COUNT(H506,M506)=2,IF(ABS(M506)&gt;ABS(H506),"RN &gt; CA ",""),"")&amp;IF(COUNT(H506,K506)=2,IF(ABS(K506)&gt;ABS(H506),"RE &gt; CA ",""),""))=0,"OK",IF(COUNT(I506,J506)=2,IF(J506&gt;I506+1,"EBE &gt; VA ",""),"")&amp;IF(COUNT(H506,M506)=2,IF(ABS(M506)&gt;ABS(H506),"RN &gt; CA ",""),"")&amp;IF(COUNT(H506,K506)=2,IF(ABS(K506)&gt;ABS(H506),"RE &gt; CA ",""),"")))</f>
        <v/>
      </c>
    </row>
    <row r="507">
      <c r="A507" s="9" t="inlineStr">
        <is>
          <t>ORAC</t>
        </is>
      </c>
      <c r="B507" s="10">
        <f>IF(A507="","",IFERROR(VLOOKUP(A507,Titres!$A$2:$B$400,2,FALSE),"Ticker inconnu"))</f>
        <v/>
      </c>
      <c r="C507" s="11" t="n">
        <v>2026</v>
      </c>
      <c r="D507" s="11" t="inlineStr">
        <is>
          <t>S1</t>
        </is>
      </c>
      <c r="E507" s="9" t="inlineStr">
        <is>
          <t>Publié</t>
        </is>
      </c>
      <c r="F507" s="12" t="n">
        <v>46303</v>
      </c>
      <c r="G507" s="9" t="inlineStr">
        <is>
          <t>https://www.richbourse.com/common/actualite/afficher-fichier/08-10-2026-orange-ci-rapport-d-activites-1er-semestre-2026</t>
        </is>
      </c>
      <c r="H507" s="13" t="n">
        <v>672800</v>
      </c>
      <c r="I507" s="13" t="n"/>
      <c r="J507" s="13" t="n">
        <v>239300</v>
      </c>
      <c r="K507" s="13" t="n">
        <v>159600</v>
      </c>
      <c r="L507" s="13" t="n">
        <v>146800</v>
      </c>
      <c r="M507" s="13" t="n">
        <v>90300</v>
      </c>
      <c r="N507" s="14">
        <f>IF(A507="","",COUNT(H507:M507)/6)</f>
        <v/>
      </c>
      <c r="O507" s="15">
        <f>IF(COUNT(H507:M507)=0,"",IF(LEN(IF(COUNT(I507,J507)=2,IF(J507&gt;I507+1,"EBE &gt; VA ",""),"")&amp;IF(COUNT(H507,M507)=2,IF(ABS(M507)&gt;ABS(H507),"RN &gt; CA ",""),"")&amp;IF(COUNT(H507,K507)=2,IF(ABS(K507)&gt;ABS(H507),"RE &gt; CA ",""),""))=0,"OK",IF(COUNT(I507,J507)=2,IF(J507&gt;I507+1,"EBE &gt; VA ",""),"")&amp;IF(COUNT(H507,M507)=2,IF(ABS(M507)&gt;ABS(H507),"RN &gt; CA ",""),"")&amp;IF(COUNT(H507,K507)=2,IF(ABS(K507)&gt;ABS(H507),"RE &gt; CA ",""),"")))</f>
        <v/>
      </c>
    </row>
    <row r="508">
      <c r="A508" s="9" t="inlineStr">
        <is>
          <t>ORAC</t>
        </is>
      </c>
      <c r="B508" s="10">
        <f>IF(A508="","",IFERROR(VLOOKUP(A508,Titres!$A$2:$B$400,2,FALSE),"Ticker inconnu"))</f>
        <v/>
      </c>
      <c r="C508" s="11" t="n">
        <v>2026</v>
      </c>
      <c r="D508" s="11" t="inlineStr">
        <is>
          <t>T3</t>
        </is>
      </c>
      <c r="E508" s="9" t="n"/>
      <c r="F508" s="12" t="n"/>
      <c r="G508" s="9" t="n"/>
      <c r="H508" s="13" t="n"/>
      <c r="I508" s="13" t="n"/>
      <c r="J508" s="13" t="n"/>
      <c r="K508" s="13" t="n"/>
      <c r="L508" s="13" t="n"/>
      <c r="M508" s="13" t="n"/>
      <c r="N508" s="14">
        <f>IF(A508="","",COUNT(H508:M508)/6)</f>
        <v/>
      </c>
      <c r="O508" s="15">
        <f>IF(COUNT(H508:M508)=0,"",IF(LEN(IF(COUNT(I508,J508)=2,IF(J508&gt;I508+1,"EBE &gt; VA ",""),"")&amp;IF(COUNT(H508,M508)=2,IF(ABS(M508)&gt;ABS(H508),"RN &gt; CA ",""),"")&amp;IF(COUNT(H508,K508)=2,IF(ABS(K508)&gt;ABS(H508),"RE &gt; CA ",""),""))=0,"OK",IF(COUNT(I508,J508)=2,IF(J508&gt;I508+1,"EBE &gt; VA ",""),"")&amp;IF(COUNT(H508,M508)=2,IF(ABS(M508)&gt;ABS(H508),"RN &gt; CA ",""),"")&amp;IF(COUNT(H508,K508)=2,IF(ABS(K508)&gt;ABS(H508),"RE &gt; CA ",""),"")))</f>
        <v/>
      </c>
    </row>
    <row r="509">
      <c r="A509" s="9" t="inlineStr">
        <is>
          <t>SNTS</t>
        </is>
      </c>
      <c r="B509" s="10">
        <f>IF(A509="","",IFERROR(VLOOKUP(A509,Titres!$A$2:$B$400,2,FALSE),"Ticker inconnu"))</f>
        <v/>
      </c>
      <c r="C509" s="11" t="n">
        <v>2021</v>
      </c>
      <c r="D509" s="11" t="inlineStr">
        <is>
          <t>T1</t>
        </is>
      </c>
      <c r="E509" s="9" t="n"/>
      <c r="F509" s="12" t="n"/>
      <c r="G509" s="9" t="n"/>
      <c r="H509" s="13" t="n"/>
      <c r="I509" s="13" t="n"/>
      <c r="J509" s="13" t="n"/>
      <c r="K509" s="13" t="n"/>
      <c r="L509" s="13" t="n"/>
      <c r="M509" s="13" t="n"/>
      <c r="N509" s="14">
        <f>IF(A509="","",COUNT(H509:M509)/6)</f>
        <v/>
      </c>
      <c r="O509" s="15">
        <f>IF(COUNT(H509:M509)=0,"",IF(LEN(IF(COUNT(I509,J509)=2,IF(J509&gt;I509+1,"EBE &gt; VA ",""),"")&amp;IF(COUNT(H509,M509)=2,IF(ABS(M509)&gt;ABS(H509),"RN &gt; CA ",""),"")&amp;IF(COUNT(H509,K509)=2,IF(ABS(K509)&gt;ABS(H509),"RE &gt; CA ",""),""))=0,"OK",IF(COUNT(I509,J509)=2,IF(J509&gt;I509+1,"EBE &gt; VA ",""),"")&amp;IF(COUNT(H509,M509)=2,IF(ABS(M509)&gt;ABS(H509),"RN &gt; CA ",""),"")&amp;IF(COUNT(H509,K509)=2,IF(ABS(K509)&gt;ABS(H509),"RE &gt; CA ",""),"")))</f>
        <v/>
      </c>
    </row>
    <row r="510">
      <c r="A510" s="9" t="inlineStr">
        <is>
          <t>SNTS</t>
        </is>
      </c>
      <c r="B510" s="10">
        <f>IF(A510="","",IFERROR(VLOOKUP(A510,Titres!$A$2:$B$400,2,FALSE),"Ticker inconnu"))</f>
        <v/>
      </c>
      <c r="C510" s="11" t="n">
        <v>2021</v>
      </c>
      <c r="D510" s="11" t="inlineStr">
        <is>
          <t>S1</t>
        </is>
      </c>
      <c r="E510" s="9" t="n"/>
      <c r="F510" s="12" t="n"/>
      <c r="G510" s="9" t="n"/>
      <c r="H510" s="13" t="n"/>
      <c r="I510" s="13" t="n"/>
      <c r="J510" s="13" t="n"/>
      <c r="K510" s="13" t="n"/>
      <c r="L510" s="13" t="n"/>
      <c r="M510" s="13" t="n"/>
      <c r="N510" s="14">
        <f>IF(A510="","",COUNT(H510:M510)/6)</f>
        <v/>
      </c>
      <c r="O510" s="15">
        <f>IF(COUNT(H510:M510)=0,"",IF(LEN(IF(COUNT(I510,J510)=2,IF(J510&gt;I510+1,"EBE &gt; VA ",""),"")&amp;IF(COUNT(H510,M510)=2,IF(ABS(M510)&gt;ABS(H510),"RN &gt; CA ",""),"")&amp;IF(COUNT(H510,K510)=2,IF(ABS(K510)&gt;ABS(H510),"RE &gt; CA ",""),""))=0,"OK",IF(COUNT(I510,J510)=2,IF(J510&gt;I510+1,"EBE &gt; VA ",""),"")&amp;IF(COUNT(H510,M510)=2,IF(ABS(M510)&gt;ABS(H510),"RN &gt; CA ",""),"")&amp;IF(COUNT(H510,K510)=2,IF(ABS(K510)&gt;ABS(H510),"RE &gt; CA ",""),"")))</f>
        <v/>
      </c>
    </row>
    <row r="511">
      <c r="A511" s="9" t="inlineStr">
        <is>
          <t>SNTS</t>
        </is>
      </c>
      <c r="B511" s="10">
        <f>IF(A511="","",IFERROR(VLOOKUP(A511,Titres!$A$2:$B$400,2,FALSE),"Ticker inconnu"))</f>
        <v/>
      </c>
      <c r="C511" s="11" t="n">
        <v>2021</v>
      </c>
      <c r="D511" s="11" t="inlineStr">
        <is>
          <t>T3</t>
        </is>
      </c>
      <c r="E511" s="9" t="n"/>
      <c r="F511" s="12" t="n"/>
      <c r="G511" s="9" t="n"/>
      <c r="H511" s="13" t="n"/>
      <c r="I511" s="13" t="n"/>
      <c r="J511" s="13" t="n"/>
      <c r="K511" s="13" t="n"/>
      <c r="L511" s="13" t="n"/>
      <c r="M511" s="13" t="n"/>
      <c r="N511" s="14">
        <f>IF(A511="","",COUNT(H511:M511)/6)</f>
        <v/>
      </c>
      <c r="O511" s="15">
        <f>IF(COUNT(H511:M511)=0,"",IF(LEN(IF(COUNT(I511,J511)=2,IF(J511&gt;I511+1,"EBE &gt; VA ",""),"")&amp;IF(COUNT(H511,M511)=2,IF(ABS(M511)&gt;ABS(H511),"RN &gt; CA ",""),"")&amp;IF(COUNT(H511,K511)=2,IF(ABS(K511)&gt;ABS(H511),"RE &gt; CA ",""),""))=0,"OK",IF(COUNT(I511,J511)=2,IF(J511&gt;I511+1,"EBE &gt; VA ",""),"")&amp;IF(COUNT(H511,M511)=2,IF(ABS(M511)&gt;ABS(H511),"RN &gt; CA ",""),"")&amp;IF(COUNT(H511,K511)=2,IF(ABS(K511)&gt;ABS(H511),"RE &gt; CA ",""),"")))</f>
        <v/>
      </c>
    </row>
    <row r="512">
      <c r="A512" s="9" t="inlineStr">
        <is>
          <t>SNTS</t>
        </is>
      </c>
      <c r="B512" s="10">
        <f>IF(A512="","",IFERROR(VLOOKUP(A512,Titres!$A$2:$B$400,2,FALSE),"Ticker inconnu"))</f>
        <v/>
      </c>
      <c r="C512" s="11" t="n">
        <v>2022</v>
      </c>
      <c r="D512" s="11" t="inlineStr">
        <is>
          <t>T1</t>
        </is>
      </c>
      <c r="E512" s="9" t="n"/>
      <c r="F512" s="12" t="n"/>
      <c r="G512" s="9" t="n"/>
      <c r="H512" s="13" t="n"/>
      <c r="I512" s="13" t="n"/>
      <c r="J512" s="13" t="n"/>
      <c r="K512" s="13" t="n"/>
      <c r="L512" s="13" t="n"/>
      <c r="M512" s="13" t="n"/>
      <c r="N512" s="14">
        <f>IF(A512="","",COUNT(H512:M512)/6)</f>
        <v/>
      </c>
      <c r="O512" s="15">
        <f>IF(COUNT(H512:M512)=0,"",IF(LEN(IF(COUNT(I512,J512)=2,IF(J512&gt;I512+1,"EBE &gt; VA ",""),"")&amp;IF(COUNT(H512,M512)=2,IF(ABS(M512)&gt;ABS(H512),"RN &gt; CA ",""),"")&amp;IF(COUNT(H512,K512)=2,IF(ABS(K512)&gt;ABS(H512),"RE &gt; CA ",""),""))=0,"OK",IF(COUNT(I512,J512)=2,IF(J512&gt;I512+1,"EBE &gt; VA ",""),"")&amp;IF(COUNT(H512,M512)=2,IF(ABS(M512)&gt;ABS(H512),"RN &gt; CA ",""),"")&amp;IF(COUNT(H512,K512)=2,IF(ABS(K512)&gt;ABS(H512),"RE &gt; CA ",""),"")))</f>
        <v/>
      </c>
    </row>
    <row r="513">
      <c r="A513" s="9" t="inlineStr">
        <is>
          <t>SNTS</t>
        </is>
      </c>
      <c r="B513" s="10">
        <f>IF(A513="","",IFERROR(VLOOKUP(A513,Titres!$A$2:$B$400,2,FALSE),"Ticker inconnu"))</f>
        <v/>
      </c>
      <c r="C513" s="11" t="n">
        <v>2022</v>
      </c>
      <c r="D513" s="11" t="inlineStr">
        <is>
          <t>S1</t>
        </is>
      </c>
      <c r="E513" s="9" t="n"/>
      <c r="F513" s="12" t="n"/>
      <c r="G513" s="9" t="n"/>
      <c r="H513" s="13" t="n"/>
      <c r="I513" s="13" t="n"/>
      <c r="J513" s="13" t="n"/>
      <c r="K513" s="13" t="n"/>
      <c r="L513" s="13" t="n"/>
      <c r="M513" s="13" t="n"/>
      <c r="N513" s="14">
        <f>IF(A513="","",COUNT(H513:M513)/6)</f>
        <v/>
      </c>
      <c r="O513" s="15">
        <f>IF(COUNT(H513:M513)=0,"",IF(LEN(IF(COUNT(I513,J513)=2,IF(J513&gt;I513+1,"EBE &gt; VA ",""),"")&amp;IF(COUNT(H513,M513)=2,IF(ABS(M513)&gt;ABS(H513),"RN &gt; CA ",""),"")&amp;IF(COUNT(H513,K513)=2,IF(ABS(K513)&gt;ABS(H513),"RE &gt; CA ",""),""))=0,"OK",IF(COUNT(I513,J513)=2,IF(J513&gt;I513+1,"EBE &gt; VA ",""),"")&amp;IF(COUNT(H513,M513)=2,IF(ABS(M513)&gt;ABS(H513),"RN &gt; CA ",""),"")&amp;IF(COUNT(H513,K513)=2,IF(ABS(K513)&gt;ABS(H513),"RE &gt; CA ",""),"")))</f>
        <v/>
      </c>
    </row>
    <row r="514">
      <c r="A514" s="9" t="inlineStr">
        <is>
          <t>SNTS</t>
        </is>
      </c>
      <c r="B514" s="10">
        <f>IF(A514="","",IFERROR(VLOOKUP(A514,Titres!$A$2:$B$400,2,FALSE),"Ticker inconnu"))</f>
        <v/>
      </c>
      <c r="C514" s="11" t="n">
        <v>2022</v>
      </c>
      <c r="D514" s="11" t="inlineStr">
        <is>
          <t>T3</t>
        </is>
      </c>
      <c r="E514" s="9" t="n"/>
      <c r="F514" s="12" t="n"/>
      <c r="G514" s="9" t="n"/>
      <c r="H514" s="13" t="n"/>
      <c r="I514" s="13" t="n"/>
      <c r="J514" s="13" t="n"/>
      <c r="K514" s="13" t="n"/>
      <c r="L514" s="13" t="n"/>
      <c r="M514" s="13" t="n"/>
      <c r="N514" s="14">
        <f>IF(A514="","",COUNT(H514:M514)/6)</f>
        <v/>
      </c>
      <c r="O514" s="15">
        <f>IF(COUNT(H514:M514)=0,"",IF(LEN(IF(COUNT(I514,J514)=2,IF(J514&gt;I514+1,"EBE &gt; VA ",""),"")&amp;IF(COUNT(H514,M514)=2,IF(ABS(M514)&gt;ABS(H514),"RN &gt; CA ",""),"")&amp;IF(COUNT(H514,K514)=2,IF(ABS(K514)&gt;ABS(H514),"RE &gt; CA ",""),""))=0,"OK",IF(COUNT(I514,J514)=2,IF(J514&gt;I514+1,"EBE &gt; VA ",""),"")&amp;IF(COUNT(H514,M514)=2,IF(ABS(M514)&gt;ABS(H514),"RN &gt; CA ",""),"")&amp;IF(COUNT(H514,K514)=2,IF(ABS(K514)&gt;ABS(H514),"RE &gt; CA ",""),"")))</f>
        <v/>
      </c>
    </row>
    <row r="515">
      <c r="A515" s="9" t="inlineStr">
        <is>
          <t>SNTS</t>
        </is>
      </c>
      <c r="B515" s="10">
        <f>IF(A515="","",IFERROR(VLOOKUP(A515,Titres!$A$2:$B$400,2,FALSE),"Ticker inconnu"))</f>
        <v/>
      </c>
      <c r="C515" s="11" t="n">
        <v>2023</v>
      </c>
      <c r="D515" s="11" t="inlineStr">
        <is>
          <t>T1</t>
        </is>
      </c>
      <c r="E515" s="9" t="n"/>
      <c r="F515" s="12" t="n"/>
      <c r="G515" s="9" t="n"/>
      <c r="H515" s="13" t="n"/>
      <c r="I515" s="13" t="n"/>
      <c r="J515" s="13" t="n"/>
      <c r="K515" s="13" t="n"/>
      <c r="L515" s="13" t="n"/>
      <c r="M515" s="13" t="n"/>
      <c r="N515" s="14">
        <f>IF(A515="","",COUNT(H515:M515)/6)</f>
        <v/>
      </c>
      <c r="O515" s="15">
        <f>IF(COUNT(H515:M515)=0,"",IF(LEN(IF(COUNT(I515,J515)=2,IF(J515&gt;I515+1,"EBE &gt; VA ",""),"")&amp;IF(COUNT(H515,M515)=2,IF(ABS(M515)&gt;ABS(H515),"RN &gt; CA ",""),"")&amp;IF(COUNT(H515,K515)=2,IF(ABS(K515)&gt;ABS(H515),"RE &gt; CA ",""),""))=0,"OK",IF(COUNT(I515,J515)=2,IF(J515&gt;I515+1,"EBE &gt; VA ",""),"")&amp;IF(COUNT(H515,M515)=2,IF(ABS(M515)&gt;ABS(H515),"RN &gt; CA ",""),"")&amp;IF(COUNT(H515,K515)=2,IF(ABS(K515)&gt;ABS(H515),"RE &gt; CA ",""),"")))</f>
        <v/>
      </c>
    </row>
    <row r="516">
      <c r="A516" s="9" t="inlineStr">
        <is>
          <t>SNTS</t>
        </is>
      </c>
      <c r="B516" s="10">
        <f>IF(A516="","",IFERROR(VLOOKUP(A516,Titres!$A$2:$B$400,2,FALSE),"Ticker inconnu"))</f>
        <v/>
      </c>
      <c r="C516" s="11" t="n">
        <v>2023</v>
      </c>
      <c r="D516" s="11" t="inlineStr">
        <is>
          <t>S1</t>
        </is>
      </c>
      <c r="E516" s="9" t="n"/>
      <c r="F516" s="12" t="n"/>
      <c r="G516" s="9" t="n"/>
      <c r="H516" s="13" t="n"/>
      <c r="I516" s="13" t="n"/>
      <c r="J516" s="13" t="n"/>
      <c r="K516" s="13" t="n"/>
      <c r="L516" s="13" t="n"/>
      <c r="M516" s="13" t="n"/>
      <c r="N516" s="14">
        <f>IF(A516="","",COUNT(H516:M516)/6)</f>
        <v/>
      </c>
      <c r="O516" s="15">
        <f>IF(COUNT(H516:M516)=0,"",IF(LEN(IF(COUNT(I516,J516)=2,IF(J516&gt;I516+1,"EBE &gt; VA ",""),"")&amp;IF(COUNT(H516,M516)=2,IF(ABS(M516)&gt;ABS(H516),"RN &gt; CA ",""),"")&amp;IF(COUNT(H516,K516)=2,IF(ABS(K516)&gt;ABS(H516),"RE &gt; CA ",""),""))=0,"OK",IF(COUNT(I516,J516)=2,IF(J516&gt;I516+1,"EBE &gt; VA ",""),"")&amp;IF(COUNT(H516,M516)=2,IF(ABS(M516)&gt;ABS(H516),"RN &gt; CA ",""),"")&amp;IF(COUNT(H516,K516)=2,IF(ABS(K516)&gt;ABS(H516),"RE &gt; CA ",""),"")))</f>
        <v/>
      </c>
    </row>
    <row r="517">
      <c r="A517" s="9" t="inlineStr">
        <is>
          <t>SNTS</t>
        </is>
      </c>
      <c r="B517" s="10">
        <f>IF(A517="","",IFERROR(VLOOKUP(A517,Titres!$A$2:$B$400,2,FALSE),"Ticker inconnu"))</f>
        <v/>
      </c>
      <c r="C517" s="11" t="n">
        <v>2023</v>
      </c>
      <c r="D517" s="11" t="inlineStr">
        <is>
          <t>T3</t>
        </is>
      </c>
      <c r="E517" s="9" t="n"/>
      <c r="F517" s="12" t="n"/>
      <c r="G517" s="9" t="n"/>
      <c r="H517" s="13" t="n"/>
      <c r="I517" s="13" t="n"/>
      <c r="J517" s="13" t="n"/>
      <c r="K517" s="13" t="n"/>
      <c r="L517" s="13" t="n"/>
      <c r="M517" s="13" t="n"/>
      <c r="N517" s="14">
        <f>IF(A517="","",COUNT(H517:M517)/6)</f>
        <v/>
      </c>
      <c r="O517" s="15">
        <f>IF(COUNT(H517:M517)=0,"",IF(LEN(IF(COUNT(I517,J517)=2,IF(J517&gt;I517+1,"EBE &gt; VA ",""),"")&amp;IF(COUNT(H517,M517)=2,IF(ABS(M517)&gt;ABS(H517),"RN &gt; CA ",""),"")&amp;IF(COUNT(H517,K517)=2,IF(ABS(K517)&gt;ABS(H517),"RE &gt; CA ",""),""))=0,"OK",IF(COUNT(I517,J517)=2,IF(J517&gt;I517+1,"EBE &gt; VA ",""),"")&amp;IF(COUNT(H517,M517)=2,IF(ABS(M517)&gt;ABS(H517),"RN &gt; CA ",""),"")&amp;IF(COUNT(H517,K517)=2,IF(ABS(K517)&gt;ABS(H517),"RE &gt; CA ",""),"")))</f>
        <v/>
      </c>
    </row>
    <row r="518">
      <c r="A518" s="9" t="inlineStr">
        <is>
          <t>SNTS</t>
        </is>
      </c>
      <c r="B518" s="10">
        <f>IF(A518="","",IFERROR(VLOOKUP(A518,Titres!$A$2:$B$400,2,FALSE),"Ticker inconnu"))</f>
        <v/>
      </c>
      <c r="C518" s="11" t="n">
        <v>2024</v>
      </c>
      <c r="D518" s="11" t="inlineStr">
        <is>
          <t>T1</t>
        </is>
      </c>
      <c r="E518" s="9" t="n"/>
      <c r="F518" s="12" t="n"/>
      <c r="G518" s="9" t="n"/>
      <c r="H518" s="13" t="n"/>
      <c r="I518" s="13" t="n"/>
      <c r="J518" s="13" t="n"/>
      <c r="K518" s="13" t="n"/>
      <c r="L518" s="13" t="n"/>
      <c r="M518" s="13" t="n"/>
      <c r="N518" s="14">
        <f>IF(A518="","",COUNT(H518:M518)/6)</f>
        <v/>
      </c>
      <c r="O518" s="15">
        <f>IF(COUNT(H518:M518)=0,"",IF(LEN(IF(COUNT(I518,J518)=2,IF(J518&gt;I518+1,"EBE &gt; VA ",""),"")&amp;IF(COUNT(H518,M518)=2,IF(ABS(M518)&gt;ABS(H518),"RN &gt; CA ",""),"")&amp;IF(COUNT(H518,K518)=2,IF(ABS(K518)&gt;ABS(H518),"RE &gt; CA ",""),""))=0,"OK",IF(COUNT(I518,J518)=2,IF(J518&gt;I518+1,"EBE &gt; VA ",""),"")&amp;IF(COUNT(H518,M518)=2,IF(ABS(M518)&gt;ABS(H518),"RN &gt; CA ",""),"")&amp;IF(COUNT(H518,K518)=2,IF(ABS(K518)&gt;ABS(H518),"RE &gt; CA ",""),"")))</f>
        <v/>
      </c>
    </row>
    <row r="519">
      <c r="A519" s="9" t="inlineStr">
        <is>
          <t>SNTS</t>
        </is>
      </c>
      <c r="B519" s="10">
        <f>IF(A519="","",IFERROR(VLOOKUP(A519,Titres!$A$2:$B$400,2,FALSE),"Ticker inconnu"))</f>
        <v/>
      </c>
      <c r="C519" s="11" t="n">
        <v>2024</v>
      </c>
      <c r="D519" s="11" t="inlineStr">
        <is>
          <t>S1</t>
        </is>
      </c>
      <c r="E519" s="9" t="n"/>
      <c r="F519" s="12" t="n"/>
      <c r="G519" s="9" t="n"/>
      <c r="H519" s="13" t="n"/>
      <c r="I519" s="13" t="n"/>
      <c r="J519" s="13" t="n"/>
      <c r="K519" s="13" t="n"/>
      <c r="L519" s="13" t="n"/>
      <c r="M519" s="13" t="n"/>
      <c r="N519" s="14">
        <f>IF(A519="","",COUNT(H519:M519)/6)</f>
        <v/>
      </c>
      <c r="O519" s="15">
        <f>IF(COUNT(H519:M519)=0,"",IF(LEN(IF(COUNT(I519,J519)=2,IF(J519&gt;I519+1,"EBE &gt; VA ",""),"")&amp;IF(COUNT(H519,M519)=2,IF(ABS(M519)&gt;ABS(H519),"RN &gt; CA ",""),"")&amp;IF(COUNT(H519,K519)=2,IF(ABS(K519)&gt;ABS(H519),"RE &gt; CA ",""),""))=0,"OK",IF(COUNT(I519,J519)=2,IF(J519&gt;I519+1,"EBE &gt; VA ",""),"")&amp;IF(COUNT(H519,M519)=2,IF(ABS(M519)&gt;ABS(H519),"RN &gt; CA ",""),"")&amp;IF(COUNT(H519,K519)=2,IF(ABS(K519)&gt;ABS(H519),"RE &gt; CA ",""),"")))</f>
        <v/>
      </c>
    </row>
    <row r="520">
      <c r="A520" s="9" t="inlineStr">
        <is>
          <t>SNTS</t>
        </is>
      </c>
      <c r="B520" s="10">
        <f>IF(A520="","",IFERROR(VLOOKUP(A520,Titres!$A$2:$B$400,2,FALSE),"Ticker inconnu"))</f>
        <v/>
      </c>
      <c r="C520" s="11" t="n">
        <v>2024</v>
      </c>
      <c r="D520" s="11" t="inlineStr">
        <is>
          <t>T3</t>
        </is>
      </c>
      <c r="E520" s="9" t="n"/>
      <c r="F520" s="12" t="n"/>
      <c r="G520" s="9" t="n"/>
      <c r="H520" s="13" t="n"/>
      <c r="I520" s="13" t="n"/>
      <c r="J520" s="13" t="n"/>
      <c r="K520" s="13" t="n"/>
      <c r="L520" s="13" t="n"/>
      <c r="M520" s="13" t="n"/>
      <c r="N520" s="14">
        <f>IF(A520="","",COUNT(H520:M520)/6)</f>
        <v/>
      </c>
      <c r="O520" s="15">
        <f>IF(COUNT(H520:M520)=0,"",IF(LEN(IF(COUNT(I520,J520)=2,IF(J520&gt;I520+1,"EBE &gt; VA ",""),"")&amp;IF(COUNT(H520,M520)=2,IF(ABS(M520)&gt;ABS(H520),"RN &gt; CA ",""),"")&amp;IF(COUNT(H520,K520)=2,IF(ABS(K520)&gt;ABS(H520),"RE &gt; CA ",""),""))=0,"OK",IF(COUNT(I520,J520)=2,IF(J520&gt;I520+1,"EBE &gt; VA ",""),"")&amp;IF(COUNT(H520,M520)=2,IF(ABS(M520)&gt;ABS(H520),"RN &gt; CA ",""),"")&amp;IF(COUNT(H520,K520)=2,IF(ABS(K520)&gt;ABS(H520),"RE &gt; CA ",""),"")))</f>
        <v/>
      </c>
    </row>
    <row r="521">
      <c r="A521" s="9" t="inlineStr">
        <is>
          <t>SNTS</t>
        </is>
      </c>
      <c r="B521" s="10">
        <f>IF(A521="","",IFERROR(VLOOKUP(A521,Titres!$A$2:$B$400,2,FALSE),"Ticker inconnu"))</f>
        <v/>
      </c>
      <c r="C521" s="11" t="n">
        <v>2025</v>
      </c>
      <c r="D521" s="11" t="inlineStr">
        <is>
          <t>T1</t>
        </is>
      </c>
      <c r="E521" s="9" t="n"/>
      <c r="F521" s="12" t="n"/>
      <c r="G521" s="9" t="n"/>
      <c r="H521" s="13" t="n"/>
      <c r="I521" s="13" t="n"/>
      <c r="J521" s="13" t="n"/>
      <c r="K521" s="13" t="n"/>
      <c r="L521" s="13" t="n"/>
      <c r="M521" s="13" t="n"/>
      <c r="N521" s="14">
        <f>IF(A521="","",COUNT(H521:M521)/6)</f>
        <v/>
      </c>
      <c r="O521" s="15">
        <f>IF(COUNT(H521:M521)=0,"",IF(LEN(IF(COUNT(I521,J521)=2,IF(J521&gt;I521+1,"EBE &gt; VA ",""),"")&amp;IF(COUNT(H521,M521)=2,IF(ABS(M521)&gt;ABS(H521),"RN &gt; CA ",""),"")&amp;IF(COUNT(H521,K521)=2,IF(ABS(K521)&gt;ABS(H521),"RE &gt; CA ",""),""))=0,"OK",IF(COUNT(I521,J521)=2,IF(J521&gt;I521+1,"EBE &gt; VA ",""),"")&amp;IF(COUNT(H521,M521)=2,IF(ABS(M521)&gt;ABS(H521),"RN &gt; CA ",""),"")&amp;IF(COUNT(H521,K521)=2,IF(ABS(K521)&gt;ABS(H521),"RE &gt; CA ",""),"")))</f>
        <v/>
      </c>
    </row>
    <row r="522">
      <c r="A522" s="9" t="inlineStr">
        <is>
          <t>SNTS</t>
        </is>
      </c>
      <c r="B522" s="10">
        <f>IF(A522="","",IFERROR(VLOOKUP(A522,Titres!$A$2:$B$400,2,FALSE),"Ticker inconnu"))</f>
        <v/>
      </c>
      <c r="C522" s="11" t="n">
        <v>2025</v>
      </c>
      <c r="D522" s="11" t="inlineStr">
        <is>
          <t>S1</t>
        </is>
      </c>
      <c r="E522" s="9" t="n"/>
      <c r="F522" s="12" t="n"/>
      <c r="G522" s="9" t="n"/>
      <c r="H522" s="13" t="n"/>
      <c r="I522" s="13" t="n"/>
      <c r="J522" s="13" t="n"/>
      <c r="K522" s="13" t="n"/>
      <c r="L522" s="13" t="n"/>
      <c r="M522" s="13" t="n"/>
      <c r="N522" s="14">
        <f>IF(A522="","",COUNT(H522:M522)/6)</f>
        <v/>
      </c>
      <c r="O522" s="15">
        <f>IF(COUNT(H522:M522)=0,"",IF(LEN(IF(COUNT(I522,J522)=2,IF(J522&gt;I522+1,"EBE &gt; VA ",""),"")&amp;IF(COUNT(H522,M522)=2,IF(ABS(M522)&gt;ABS(H522),"RN &gt; CA ",""),"")&amp;IF(COUNT(H522,K522)=2,IF(ABS(K522)&gt;ABS(H522),"RE &gt; CA ",""),""))=0,"OK",IF(COUNT(I522,J522)=2,IF(J522&gt;I522+1,"EBE &gt; VA ",""),"")&amp;IF(COUNT(H522,M522)=2,IF(ABS(M522)&gt;ABS(H522),"RN &gt; CA ",""),"")&amp;IF(COUNT(H522,K522)=2,IF(ABS(K522)&gt;ABS(H522),"RE &gt; CA ",""),"")))</f>
        <v/>
      </c>
    </row>
    <row r="523">
      <c r="A523" s="9" t="inlineStr">
        <is>
          <t>SNTS</t>
        </is>
      </c>
      <c r="B523" s="10">
        <f>IF(A523="","",IFERROR(VLOOKUP(A523,Titres!$A$2:$B$400,2,FALSE),"Ticker inconnu"))</f>
        <v/>
      </c>
      <c r="C523" s="11" t="n">
        <v>2025</v>
      </c>
      <c r="D523" s="11" t="inlineStr">
        <is>
          <t>T3</t>
        </is>
      </c>
      <c r="E523" s="9" t="n"/>
      <c r="F523" s="12" t="n"/>
      <c r="G523" s="9" t="n"/>
      <c r="H523" s="13" t="n"/>
      <c r="I523" s="13" t="n"/>
      <c r="J523" s="13" t="n"/>
      <c r="K523" s="13" t="n"/>
      <c r="L523" s="13" t="n"/>
      <c r="M523" s="13" t="n"/>
      <c r="N523" s="14">
        <f>IF(A523="","",COUNT(H523:M523)/6)</f>
        <v/>
      </c>
      <c r="O523" s="15">
        <f>IF(COUNT(H523:M523)=0,"",IF(LEN(IF(COUNT(I523,J523)=2,IF(J523&gt;I523+1,"EBE &gt; VA ",""),"")&amp;IF(COUNT(H523,M523)=2,IF(ABS(M523)&gt;ABS(H523),"RN &gt; CA ",""),"")&amp;IF(COUNT(H523,K523)=2,IF(ABS(K523)&gt;ABS(H523),"RE &gt; CA ",""),""))=0,"OK",IF(COUNT(I523,J523)=2,IF(J523&gt;I523+1,"EBE &gt; VA ",""),"")&amp;IF(COUNT(H523,M523)=2,IF(ABS(M523)&gt;ABS(H523),"RN &gt; CA ",""),"")&amp;IF(COUNT(H523,K523)=2,IF(ABS(K523)&gt;ABS(H523),"RE &gt; CA ",""),"")))</f>
        <v/>
      </c>
    </row>
    <row r="524">
      <c r="A524" s="9" t="inlineStr">
        <is>
          <t>SNTS</t>
        </is>
      </c>
      <c r="B524" s="10">
        <f>IF(A524="","",IFERROR(VLOOKUP(A524,Titres!$A$2:$B$400,2,FALSE),"Ticker inconnu"))</f>
        <v/>
      </c>
      <c r="C524" s="11" t="n">
        <v>2026</v>
      </c>
      <c r="D524" s="11" t="inlineStr">
        <is>
          <t>T1</t>
        </is>
      </c>
      <c r="E524" s="9" t="n"/>
      <c r="F524" s="12" t="n"/>
      <c r="G524" s="9" t="n"/>
      <c r="H524" s="13" t="n"/>
      <c r="I524" s="13" t="n"/>
      <c r="J524" s="13" t="n"/>
      <c r="K524" s="13" t="n"/>
      <c r="L524" s="13" t="n"/>
      <c r="M524" s="13" t="n"/>
      <c r="N524" s="14">
        <f>IF(A524="","",COUNT(H524:M524)/6)</f>
        <v/>
      </c>
      <c r="O524" s="15">
        <f>IF(COUNT(H524:M524)=0,"",IF(LEN(IF(COUNT(I524,J524)=2,IF(J524&gt;I524+1,"EBE &gt; VA ",""),"")&amp;IF(COUNT(H524,M524)=2,IF(ABS(M524)&gt;ABS(H524),"RN &gt; CA ",""),"")&amp;IF(COUNT(H524,K524)=2,IF(ABS(K524)&gt;ABS(H524),"RE &gt; CA ",""),""))=0,"OK",IF(COUNT(I524,J524)=2,IF(J524&gt;I524+1,"EBE &gt; VA ",""),"")&amp;IF(COUNT(H524,M524)=2,IF(ABS(M524)&gt;ABS(H524),"RN &gt; CA ",""),"")&amp;IF(COUNT(H524,K524)=2,IF(ABS(K524)&gt;ABS(H524),"RE &gt; CA ",""),"")))</f>
        <v/>
      </c>
    </row>
    <row r="525">
      <c r="A525" s="9" t="inlineStr">
        <is>
          <t>SNTS</t>
        </is>
      </c>
      <c r="B525" s="10">
        <f>IF(A525="","",IFERROR(VLOOKUP(A525,Titres!$A$2:$B$400,2,FALSE),"Ticker inconnu"))</f>
        <v/>
      </c>
      <c r="C525" s="11" t="n">
        <v>2026</v>
      </c>
      <c r="D525" s="11" t="inlineStr">
        <is>
          <t>S1</t>
        </is>
      </c>
      <c r="E525" s="9" t="n"/>
      <c r="F525" s="12" t="n"/>
      <c r="G525" s="9" t="n"/>
      <c r="H525" s="13" t="n"/>
      <c r="I525" s="13" t="n"/>
      <c r="J525" s="13" t="n"/>
      <c r="K525" s="13" t="n"/>
      <c r="L525" s="13" t="n"/>
      <c r="M525" s="13" t="n"/>
      <c r="N525" s="14">
        <f>IF(A525="","",COUNT(H525:M525)/6)</f>
        <v/>
      </c>
      <c r="O525" s="15">
        <f>IF(COUNT(H525:M525)=0,"",IF(LEN(IF(COUNT(I525,J525)=2,IF(J525&gt;I525+1,"EBE &gt; VA ",""),"")&amp;IF(COUNT(H525,M525)=2,IF(ABS(M525)&gt;ABS(H525),"RN &gt; CA ",""),"")&amp;IF(COUNT(H525,K525)=2,IF(ABS(K525)&gt;ABS(H525),"RE &gt; CA ",""),""))=0,"OK",IF(COUNT(I525,J525)=2,IF(J525&gt;I525+1,"EBE &gt; VA ",""),"")&amp;IF(COUNT(H525,M525)=2,IF(ABS(M525)&gt;ABS(H525),"RN &gt; CA ",""),"")&amp;IF(COUNT(H525,K525)=2,IF(ABS(K525)&gt;ABS(H525),"RE &gt; CA ",""),"")))</f>
        <v/>
      </c>
    </row>
    <row r="526">
      <c r="A526" s="9" t="inlineStr">
        <is>
          <t>SNTS</t>
        </is>
      </c>
      <c r="B526" s="10">
        <f>IF(A526="","",IFERROR(VLOOKUP(A526,Titres!$A$2:$B$400,2,FALSE),"Ticker inconnu"))</f>
        <v/>
      </c>
      <c r="C526" s="11" t="n">
        <v>2026</v>
      </c>
      <c r="D526" s="11" t="inlineStr">
        <is>
          <t>T3</t>
        </is>
      </c>
      <c r="E526" s="9" t="n"/>
      <c r="F526" s="12" t="n"/>
      <c r="G526" s="9" t="n"/>
      <c r="H526" s="13" t="n"/>
      <c r="I526" s="13" t="n"/>
      <c r="J526" s="13" t="n"/>
      <c r="K526" s="13" t="n"/>
      <c r="L526" s="13" t="n"/>
      <c r="M526" s="13" t="n"/>
      <c r="N526" s="14">
        <f>IF(A526="","",COUNT(H526:M526)/6)</f>
        <v/>
      </c>
      <c r="O526" s="15">
        <f>IF(COUNT(H526:M526)=0,"",IF(LEN(IF(COUNT(I526,J526)=2,IF(J526&gt;I526+1,"EBE &gt; VA ",""),"")&amp;IF(COUNT(H526,M526)=2,IF(ABS(M526)&gt;ABS(H526),"RN &gt; CA ",""),"")&amp;IF(COUNT(H526,K526)=2,IF(ABS(K526)&gt;ABS(H526),"RE &gt; CA ",""),""))=0,"OK",IF(COUNT(I526,J526)=2,IF(J526&gt;I526+1,"EBE &gt; VA ",""),"")&amp;IF(COUNT(H526,M526)=2,IF(ABS(M526)&gt;ABS(H526),"RN &gt; CA ",""),"")&amp;IF(COUNT(H526,K526)=2,IF(ABS(K526)&gt;ABS(H526),"RE &gt; CA ",""),"")))</f>
        <v/>
      </c>
    </row>
    <row r="527">
      <c r="A527" s="9" t="inlineStr">
        <is>
          <t>SHEC</t>
        </is>
      </c>
      <c r="B527" s="10">
        <f>IF(A527="","",IFERROR(VLOOKUP(A527,Titres!$A$2:$B$400,2,FALSE),"Ticker inconnu"))</f>
        <v/>
      </c>
      <c r="C527" s="11" t="n">
        <v>2021</v>
      </c>
      <c r="D527" s="11" t="inlineStr">
        <is>
          <t>T1</t>
        </is>
      </c>
      <c r="E527" s="9" t="n"/>
      <c r="F527" s="12" t="n"/>
      <c r="G527" s="9" t="n"/>
      <c r="H527" s="13" t="n"/>
      <c r="I527" s="13" t="n"/>
      <c r="J527" s="13" t="n"/>
      <c r="K527" s="13" t="n"/>
      <c r="L527" s="13" t="n"/>
      <c r="M527" s="13" t="n"/>
      <c r="N527" s="14">
        <f>IF(A527="","",COUNT(H527:M527)/6)</f>
        <v/>
      </c>
      <c r="O527" s="15">
        <f>IF(COUNT(H527:M527)=0,"",IF(LEN(IF(COUNT(I527,J527)=2,IF(J527&gt;I527+1,"EBE &gt; VA ",""),"")&amp;IF(COUNT(H527,M527)=2,IF(ABS(M527)&gt;ABS(H527),"RN &gt; CA ",""),"")&amp;IF(COUNT(H527,K527)=2,IF(ABS(K527)&gt;ABS(H527),"RE &gt; CA ",""),""))=0,"OK",IF(COUNT(I527,J527)=2,IF(J527&gt;I527+1,"EBE &gt; VA ",""),"")&amp;IF(COUNT(H527,M527)=2,IF(ABS(M527)&gt;ABS(H527),"RN &gt; CA ",""),"")&amp;IF(COUNT(H527,K527)=2,IF(ABS(K527)&gt;ABS(H527),"RE &gt; CA ",""),"")))</f>
        <v/>
      </c>
    </row>
    <row r="528">
      <c r="A528" s="9" t="inlineStr">
        <is>
          <t>SHEC</t>
        </is>
      </c>
      <c r="B528" s="10">
        <f>IF(A528="","",IFERROR(VLOOKUP(A528,Titres!$A$2:$B$400,2,FALSE),"Ticker inconnu"))</f>
        <v/>
      </c>
      <c r="C528" s="11" t="n">
        <v>2021</v>
      </c>
      <c r="D528" s="11" t="inlineStr">
        <is>
          <t>S1</t>
        </is>
      </c>
      <c r="E528" s="9" t="n"/>
      <c r="F528" s="12" t="n"/>
      <c r="G528" s="9" t="n"/>
      <c r="H528" s="13" t="n"/>
      <c r="I528" s="13" t="n"/>
      <c r="J528" s="13" t="n"/>
      <c r="K528" s="13" t="n"/>
      <c r="L528" s="13" t="n"/>
      <c r="M528" s="13" t="n"/>
      <c r="N528" s="14">
        <f>IF(A528="","",COUNT(H528:M528)/6)</f>
        <v/>
      </c>
      <c r="O528" s="15">
        <f>IF(COUNT(H528:M528)=0,"",IF(LEN(IF(COUNT(I528,J528)=2,IF(J528&gt;I528+1,"EBE &gt; VA ",""),"")&amp;IF(COUNT(H528,M528)=2,IF(ABS(M528)&gt;ABS(H528),"RN &gt; CA ",""),"")&amp;IF(COUNT(H528,K528)=2,IF(ABS(K528)&gt;ABS(H528),"RE &gt; CA ",""),""))=0,"OK",IF(COUNT(I528,J528)=2,IF(J528&gt;I528+1,"EBE &gt; VA ",""),"")&amp;IF(COUNT(H528,M528)=2,IF(ABS(M528)&gt;ABS(H528),"RN &gt; CA ",""),"")&amp;IF(COUNT(H528,K528)=2,IF(ABS(K528)&gt;ABS(H528),"RE &gt; CA ",""),"")))</f>
        <v/>
      </c>
    </row>
    <row r="529">
      <c r="A529" s="9" t="inlineStr">
        <is>
          <t>SHEC</t>
        </is>
      </c>
      <c r="B529" s="10">
        <f>IF(A529="","",IFERROR(VLOOKUP(A529,Titres!$A$2:$B$400,2,FALSE),"Ticker inconnu"))</f>
        <v/>
      </c>
      <c r="C529" s="11" t="n">
        <v>2021</v>
      </c>
      <c r="D529" s="11" t="inlineStr">
        <is>
          <t>T3</t>
        </is>
      </c>
      <c r="E529" s="9" t="n"/>
      <c r="F529" s="12" t="n"/>
      <c r="G529" s="9" t="n"/>
      <c r="H529" s="13" t="n"/>
      <c r="I529" s="13" t="n"/>
      <c r="J529" s="13" t="n"/>
      <c r="K529" s="13" t="n"/>
      <c r="L529" s="13" t="n"/>
      <c r="M529" s="13" t="n"/>
      <c r="N529" s="14">
        <f>IF(A529="","",COUNT(H529:M529)/6)</f>
        <v/>
      </c>
      <c r="O529" s="15">
        <f>IF(COUNT(H529:M529)=0,"",IF(LEN(IF(COUNT(I529,J529)=2,IF(J529&gt;I529+1,"EBE &gt; VA ",""),"")&amp;IF(COUNT(H529,M529)=2,IF(ABS(M529)&gt;ABS(H529),"RN &gt; CA ",""),"")&amp;IF(COUNT(H529,K529)=2,IF(ABS(K529)&gt;ABS(H529),"RE &gt; CA ",""),""))=0,"OK",IF(COUNT(I529,J529)=2,IF(J529&gt;I529+1,"EBE &gt; VA ",""),"")&amp;IF(COUNT(H529,M529)=2,IF(ABS(M529)&gt;ABS(H529),"RN &gt; CA ",""),"")&amp;IF(COUNT(H529,K529)=2,IF(ABS(K529)&gt;ABS(H529),"RE &gt; CA ",""),"")))</f>
        <v/>
      </c>
    </row>
    <row r="530">
      <c r="A530" s="9" t="inlineStr">
        <is>
          <t>SHEC</t>
        </is>
      </c>
      <c r="B530" s="10">
        <f>IF(A530="","",IFERROR(VLOOKUP(A530,Titres!$A$2:$B$400,2,FALSE),"Ticker inconnu"))</f>
        <v/>
      </c>
      <c r="C530" s="11" t="n">
        <v>2022</v>
      </c>
      <c r="D530" s="11" t="inlineStr">
        <is>
          <t>T1</t>
        </is>
      </c>
      <c r="E530" s="9" t="n"/>
      <c r="F530" s="12" t="n"/>
      <c r="G530" s="9" t="n"/>
      <c r="H530" s="13" t="n"/>
      <c r="I530" s="13" t="n"/>
      <c r="J530" s="13" t="n"/>
      <c r="K530" s="13" t="n"/>
      <c r="L530" s="13" t="n"/>
      <c r="M530" s="13" t="n"/>
      <c r="N530" s="14">
        <f>IF(A530="","",COUNT(H530:M530)/6)</f>
        <v/>
      </c>
      <c r="O530" s="15">
        <f>IF(COUNT(H530:M530)=0,"",IF(LEN(IF(COUNT(I530,J530)=2,IF(J530&gt;I530+1,"EBE &gt; VA ",""),"")&amp;IF(COUNT(H530,M530)=2,IF(ABS(M530)&gt;ABS(H530),"RN &gt; CA ",""),"")&amp;IF(COUNT(H530,K530)=2,IF(ABS(K530)&gt;ABS(H530),"RE &gt; CA ",""),""))=0,"OK",IF(COUNT(I530,J530)=2,IF(J530&gt;I530+1,"EBE &gt; VA ",""),"")&amp;IF(COUNT(H530,M530)=2,IF(ABS(M530)&gt;ABS(H530),"RN &gt; CA ",""),"")&amp;IF(COUNT(H530,K530)=2,IF(ABS(K530)&gt;ABS(H530),"RE &gt; CA ",""),"")))</f>
        <v/>
      </c>
    </row>
    <row r="531">
      <c r="A531" s="9" t="inlineStr">
        <is>
          <t>SHEC</t>
        </is>
      </c>
      <c r="B531" s="10">
        <f>IF(A531="","",IFERROR(VLOOKUP(A531,Titres!$A$2:$B$400,2,FALSE),"Ticker inconnu"))</f>
        <v/>
      </c>
      <c r="C531" s="11" t="n">
        <v>2022</v>
      </c>
      <c r="D531" s="11" t="inlineStr">
        <is>
          <t>S1</t>
        </is>
      </c>
      <c r="E531" s="9" t="n"/>
      <c r="F531" s="12" t="n"/>
      <c r="G531" s="9" t="n"/>
      <c r="H531" s="13" t="n"/>
      <c r="I531" s="13" t="n"/>
      <c r="J531" s="13" t="n"/>
      <c r="K531" s="13" t="n"/>
      <c r="L531" s="13" t="n"/>
      <c r="M531" s="13" t="n"/>
      <c r="N531" s="14">
        <f>IF(A531="","",COUNT(H531:M531)/6)</f>
        <v/>
      </c>
      <c r="O531" s="15">
        <f>IF(COUNT(H531:M531)=0,"",IF(LEN(IF(COUNT(I531,J531)=2,IF(J531&gt;I531+1,"EBE &gt; VA ",""),"")&amp;IF(COUNT(H531,M531)=2,IF(ABS(M531)&gt;ABS(H531),"RN &gt; CA ",""),"")&amp;IF(COUNT(H531,K531)=2,IF(ABS(K531)&gt;ABS(H531),"RE &gt; CA ",""),""))=0,"OK",IF(COUNT(I531,J531)=2,IF(J531&gt;I531+1,"EBE &gt; VA ",""),"")&amp;IF(COUNT(H531,M531)=2,IF(ABS(M531)&gt;ABS(H531),"RN &gt; CA ",""),"")&amp;IF(COUNT(H531,K531)=2,IF(ABS(K531)&gt;ABS(H531),"RE &gt; CA ",""),"")))</f>
        <v/>
      </c>
    </row>
    <row r="532">
      <c r="A532" s="9" t="inlineStr">
        <is>
          <t>SHEC</t>
        </is>
      </c>
      <c r="B532" s="10">
        <f>IF(A532="","",IFERROR(VLOOKUP(A532,Titres!$A$2:$B$400,2,FALSE),"Ticker inconnu"))</f>
        <v/>
      </c>
      <c r="C532" s="11" t="n">
        <v>2022</v>
      </c>
      <c r="D532" s="11" t="inlineStr">
        <is>
          <t>T3</t>
        </is>
      </c>
      <c r="E532" s="9" t="n"/>
      <c r="F532" s="12" t="n"/>
      <c r="G532" s="9" t="n"/>
      <c r="H532" s="13" t="n"/>
      <c r="I532" s="13" t="n"/>
      <c r="J532" s="13" t="n"/>
      <c r="K532" s="13" t="n"/>
      <c r="L532" s="13" t="n"/>
      <c r="M532" s="13" t="n"/>
      <c r="N532" s="14">
        <f>IF(A532="","",COUNT(H532:M532)/6)</f>
        <v/>
      </c>
      <c r="O532" s="15">
        <f>IF(COUNT(H532:M532)=0,"",IF(LEN(IF(COUNT(I532,J532)=2,IF(J532&gt;I532+1,"EBE &gt; VA ",""),"")&amp;IF(COUNT(H532,M532)=2,IF(ABS(M532)&gt;ABS(H532),"RN &gt; CA ",""),"")&amp;IF(COUNT(H532,K532)=2,IF(ABS(K532)&gt;ABS(H532),"RE &gt; CA ",""),""))=0,"OK",IF(COUNT(I532,J532)=2,IF(J532&gt;I532+1,"EBE &gt; VA ",""),"")&amp;IF(COUNT(H532,M532)=2,IF(ABS(M532)&gt;ABS(H532),"RN &gt; CA ",""),"")&amp;IF(COUNT(H532,K532)=2,IF(ABS(K532)&gt;ABS(H532),"RE &gt; CA ",""),"")))</f>
        <v/>
      </c>
    </row>
    <row r="533">
      <c r="A533" s="9" t="inlineStr">
        <is>
          <t>SHEC</t>
        </is>
      </c>
      <c r="B533" s="10">
        <f>IF(A533="","",IFERROR(VLOOKUP(A533,Titres!$A$2:$B$400,2,FALSE),"Ticker inconnu"))</f>
        <v/>
      </c>
      <c r="C533" s="11" t="n">
        <v>2023</v>
      </c>
      <c r="D533" s="11" t="inlineStr">
        <is>
          <t>T1</t>
        </is>
      </c>
      <c r="E533" s="9" t="n"/>
      <c r="F533" s="12" t="n"/>
      <c r="G533" s="9" t="n"/>
      <c r="H533" s="13" t="n"/>
      <c r="I533" s="13" t="n"/>
      <c r="J533" s="13" t="n"/>
      <c r="K533" s="13" t="n"/>
      <c r="L533" s="13" t="n"/>
      <c r="M533" s="13" t="n"/>
      <c r="N533" s="14">
        <f>IF(A533="","",COUNT(H533:M533)/6)</f>
        <v/>
      </c>
      <c r="O533" s="15">
        <f>IF(COUNT(H533:M533)=0,"",IF(LEN(IF(COUNT(I533,J533)=2,IF(J533&gt;I533+1,"EBE &gt; VA ",""),"")&amp;IF(COUNT(H533,M533)=2,IF(ABS(M533)&gt;ABS(H533),"RN &gt; CA ",""),"")&amp;IF(COUNT(H533,K533)=2,IF(ABS(K533)&gt;ABS(H533),"RE &gt; CA ",""),""))=0,"OK",IF(COUNT(I533,J533)=2,IF(J533&gt;I533+1,"EBE &gt; VA ",""),"")&amp;IF(COUNT(H533,M533)=2,IF(ABS(M533)&gt;ABS(H533),"RN &gt; CA ",""),"")&amp;IF(COUNT(H533,K533)=2,IF(ABS(K533)&gt;ABS(H533),"RE &gt; CA ",""),"")))</f>
        <v/>
      </c>
    </row>
    <row r="534">
      <c r="A534" s="9" t="inlineStr">
        <is>
          <t>SHEC</t>
        </is>
      </c>
      <c r="B534" s="10">
        <f>IF(A534="","",IFERROR(VLOOKUP(A534,Titres!$A$2:$B$400,2,FALSE),"Ticker inconnu"))</f>
        <v/>
      </c>
      <c r="C534" s="11" t="n">
        <v>2023</v>
      </c>
      <c r="D534" s="11" t="inlineStr">
        <is>
          <t>S1</t>
        </is>
      </c>
      <c r="E534" s="9" t="n"/>
      <c r="F534" s="12" t="n"/>
      <c r="G534" s="9" t="n"/>
      <c r="H534" s="13" t="n"/>
      <c r="I534" s="13" t="n"/>
      <c r="J534" s="13" t="n"/>
      <c r="K534" s="13" t="n"/>
      <c r="L534" s="13" t="n"/>
      <c r="M534" s="13" t="n"/>
      <c r="N534" s="14">
        <f>IF(A534="","",COUNT(H534:M534)/6)</f>
        <v/>
      </c>
      <c r="O534" s="15">
        <f>IF(COUNT(H534:M534)=0,"",IF(LEN(IF(COUNT(I534,J534)=2,IF(J534&gt;I534+1,"EBE &gt; VA ",""),"")&amp;IF(COUNT(H534,M534)=2,IF(ABS(M534)&gt;ABS(H534),"RN &gt; CA ",""),"")&amp;IF(COUNT(H534,K534)=2,IF(ABS(K534)&gt;ABS(H534),"RE &gt; CA ",""),""))=0,"OK",IF(COUNT(I534,J534)=2,IF(J534&gt;I534+1,"EBE &gt; VA ",""),"")&amp;IF(COUNT(H534,M534)=2,IF(ABS(M534)&gt;ABS(H534),"RN &gt; CA ",""),"")&amp;IF(COUNT(H534,K534)=2,IF(ABS(K534)&gt;ABS(H534),"RE &gt; CA ",""),"")))</f>
        <v/>
      </c>
    </row>
    <row r="535">
      <c r="A535" s="9" t="inlineStr">
        <is>
          <t>SHEC</t>
        </is>
      </c>
      <c r="B535" s="10">
        <f>IF(A535="","",IFERROR(VLOOKUP(A535,Titres!$A$2:$B$400,2,FALSE),"Ticker inconnu"))</f>
        <v/>
      </c>
      <c r="C535" s="11" t="n">
        <v>2023</v>
      </c>
      <c r="D535" s="11" t="inlineStr">
        <is>
          <t>T3</t>
        </is>
      </c>
      <c r="E535" s="9" t="n"/>
      <c r="F535" s="12" t="n"/>
      <c r="G535" s="9" t="n"/>
      <c r="H535" s="13" t="n"/>
      <c r="I535" s="13" t="n"/>
      <c r="J535" s="13" t="n"/>
      <c r="K535" s="13" t="n"/>
      <c r="L535" s="13" t="n"/>
      <c r="M535" s="13" t="n"/>
      <c r="N535" s="14">
        <f>IF(A535="","",COUNT(H535:M535)/6)</f>
        <v/>
      </c>
      <c r="O535" s="15">
        <f>IF(COUNT(H535:M535)=0,"",IF(LEN(IF(COUNT(I535,J535)=2,IF(J535&gt;I535+1,"EBE &gt; VA ",""),"")&amp;IF(COUNT(H535,M535)=2,IF(ABS(M535)&gt;ABS(H535),"RN &gt; CA ",""),"")&amp;IF(COUNT(H535,K535)=2,IF(ABS(K535)&gt;ABS(H535),"RE &gt; CA ",""),""))=0,"OK",IF(COUNT(I535,J535)=2,IF(J535&gt;I535+1,"EBE &gt; VA ",""),"")&amp;IF(COUNT(H535,M535)=2,IF(ABS(M535)&gt;ABS(H535),"RN &gt; CA ",""),"")&amp;IF(COUNT(H535,K535)=2,IF(ABS(K535)&gt;ABS(H535),"RE &gt; CA ",""),"")))</f>
        <v/>
      </c>
    </row>
    <row r="536">
      <c r="A536" s="9" t="inlineStr">
        <is>
          <t>SHEC</t>
        </is>
      </c>
      <c r="B536" s="10">
        <f>IF(A536="","",IFERROR(VLOOKUP(A536,Titres!$A$2:$B$400,2,FALSE),"Ticker inconnu"))</f>
        <v/>
      </c>
      <c r="C536" s="11" t="n">
        <v>2024</v>
      </c>
      <c r="D536" s="11" t="inlineStr">
        <is>
          <t>T1</t>
        </is>
      </c>
      <c r="E536" s="9" t="n"/>
      <c r="F536" s="12" t="n"/>
      <c r="G536" s="9" t="n"/>
      <c r="H536" s="13" t="n"/>
      <c r="I536" s="13" t="n"/>
      <c r="J536" s="13" t="n"/>
      <c r="K536" s="13" t="n"/>
      <c r="L536" s="13" t="n"/>
      <c r="M536" s="13" t="n"/>
      <c r="N536" s="14">
        <f>IF(A536="","",COUNT(H536:M536)/6)</f>
        <v/>
      </c>
      <c r="O536" s="15">
        <f>IF(COUNT(H536:M536)=0,"",IF(LEN(IF(COUNT(I536,J536)=2,IF(J536&gt;I536+1,"EBE &gt; VA ",""),"")&amp;IF(COUNT(H536,M536)=2,IF(ABS(M536)&gt;ABS(H536),"RN &gt; CA ",""),"")&amp;IF(COUNT(H536,K536)=2,IF(ABS(K536)&gt;ABS(H536),"RE &gt; CA ",""),""))=0,"OK",IF(COUNT(I536,J536)=2,IF(J536&gt;I536+1,"EBE &gt; VA ",""),"")&amp;IF(COUNT(H536,M536)=2,IF(ABS(M536)&gt;ABS(H536),"RN &gt; CA ",""),"")&amp;IF(COUNT(H536,K536)=2,IF(ABS(K536)&gt;ABS(H536),"RE &gt; CA ",""),"")))</f>
        <v/>
      </c>
    </row>
    <row r="537">
      <c r="A537" s="9" t="inlineStr">
        <is>
          <t>SHEC</t>
        </is>
      </c>
      <c r="B537" s="10">
        <f>IF(A537="","",IFERROR(VLOOKUP(A537,Titres!$A$2:$B$400,2,FALSE),"Ticker inconnu"))</f>
        <v/>
      </c>
      <c r="C537" s="11" t="n">
        <v>2024</v>
      </c>
      <c r="D537" s="11" t="inlineStr">
        <is>
          <t>S1</t>
        </is>
      </c>
      <c r="E537" s="9" t="n"/>
      <c r="F537" s="12" t="n"/>
      <c r="G537" s="9" t="n"/>
      <c r="H537" s="13" t="n"/>
      <c r="I537" s="13" t="n"/>
      <c r="J537" s="13" t="n"/>
      <c r="K537" s="13" t="n"/>
      <c r="L537" s="13" t="n"/>
      <c r="M537" s="13" t="n"/>
      <c r="N537" s="14">
        <f>IF(A537="","",COUNT(H537:M537)/6)</f>
        <v/>
      </c>
      <c r="O537" s="15">
        <f>IF(COUNT(H537:M537)=0,"",IF(LEN(IF(COUNT(I537,J537)=2,IF(J537&gt;I537+1,"EBE &gt; VA ",""),"")&amp;IF(COUNT(H537,M537)=2,IF(ABS(M537)&gt;ABS(H537),"RN &gt; CA ",""),"")&amp;IF(COUNT(H537,K537)=2,IF(ABS(K537)&gt;ABS(H537),"RE &gt; CA ",""),""))=0,"OK",IF(COUNT(I537,J537)=2,IF(J537&gt;I537+1,"EBE &gt; VA ",""),"")&amp;IF(COUNT(H537,M537)=2,IF(ABS(M537)&gt;ABS(H537),"RN &gt; CA ",""),"")&amp;IF(COUNT(H537,K537)=2,IF(ABS(K537)&gt;ABS(H537),"RE &gt; CA ",""),"")))</f>
        <v/>
      </c>
    </row>
    <row r="538">
      <c r="A538" s="9" t="inlineStr">
        <is>
          <t>SHEC</t>
        </is>
      </c>
      <c r="B538" s="10">
        <f>IF(A538="","",IFERROR(VLOOKUP(A538,Titres!$A$2:$B$400,2,FALSE),"Ticker inconnu"))</f>
        <v/>
      </c>
      <c r="C538" s="11" t="n">
        <v>2024</v>
      </c>
      <c r="D538" s="11" t="inlineStr">
        <is>
          <t>T3</t>
        </is>
      </c>
      <c r="E538" s="9" t="n"/>
      <c r="F538" s="12" t="n"/>
      <c r="G538" s="9" t="n"/>
      <c r="H538" s="13" t="n"/>
      <c r="I538" s="13" t="n"/>
      <c r="J538" s="13" t="n"/>
      <c r="K538" s="13" t="n"/>
      <c r="L538" s="13" t="n"/>
      <c r="M538" s="13" t="n"/>
      <c r="N538" s="14">
        <f>IF(A538="","",COUNT(H538:M538)/6)</f>
        <v/>
      </c>
      <c r="O538" s="15">
        <f>IF(COUNT(H538:M538)=0,"",IF(LEN(IF(COUNT(I538,J538)=2,IF(J538&gt;I538+1,"EBE &gt; VA ",""),"")&amp;IF(COUNT(H538,M538)=2,IF(ABS(M538)&gt;ABS(H538),"RN &gt; CA ",""),"")&amp;IF(COUNT(H538,K538)=2,IF(ABS(K538)&gt;ABS(H538),"RE &gt; CA ",""),""))=0,"OK",IF(COUNT(I538,J538)=2,IF(J538&gt;I538+1,"EBE &gt; VA ",""),"")&amp;IF(COUNT(H538,M538)=2,IF(ABS(M538)&gt;ABS(H538),"RN &gt; CA ",""),"")&amp;IF(COUNT(H538,K538)=2,IF(ABS(K538)&gt;ABS(H538),"RE &gt; CA ",""),"")))</f>
        <v/>
      </c>
    </row>
    <row r="539">
      <c r="A539" s="9" t="inlineStr">
        <is>
          <t>SHEC</t>
        </is>
      </c>
      <c r="B539" s="10">
        <f>IF(A539="","",IFERROR(VLOOKUP(A539,Titres!$A$2:$B$400,2,FALSE),"Ticker inconnu"))</f>
        <v/>
      </c>
      <c r="C539" s="11" t="n">
        <v>2025</v>
      </c>
      <c r="D539" s="11" t="inlineStr">
        <is>
          <t>T1</t>
        </is>
      </c>
      <c r="E539" s="9" t="n"/>
      <c r="F539" s="12" t="n"/>
      <c r="G539" s="9" t="n"/>
      <c r="H539" s="13" t="n"/>
      <c r="I539" s="13" t="n"/>
      <c r="J539" s="13" t="n"/>
      <c r="K539" s="13" t="n"/>
      <c r="L539" s="13" t="n"/>
      <c r="M539" s="13" t="n"/>
      <c r="N539" s="14">
        <f>IF(A539="","",COUNT(H539:M539)/6)</f>
        <v/>
      </c>
      <c r="O539" s="15">
        <f>IF(COUNT(H539:M539)=0,"",IF(LEN(IF(COUNT(I539,J539)=2,IF(J539&gt;I539+1,"EBE &gt; VA ",""),"")&amp;IF(COUNT(H539,M539)=2,IF(ABS(M539)&gt;ABS(H539),"RN &gt; CA ",""),"")&amp;IF(COUNT(H539,K539)=2,IF(ABS(K539)&gt;ABS(H539),"RE &gt; CA ",""),""))=0,"OK",IF(COUNT(I539,J539)=2,IF(J539&gt;I539+1,"EBE &gt; VA ",""),"")&amp;IF(COUNT(H539,M539)=2,IF(ABS(M539)&gt;ABS(H539),"RN &gt; CA ",""),"")&amp;IF(COUNT(H539,K539)=2,IF(ABS(K539)&gt;ABS(H539),"RE &gt; CA ",""),"")))</f>
        <v/>
      </c>
    </row>
    <row r="540">
      <c r="A540" s="9" t="inlineStr">
        <is>
          <t>SHEC</t>
        </is>
      </c>
      <c r="B540" s="10">
        <f>IF(A540="","",IFERROR(VLOOKUP(A540,Titres!$A$2:$B$400,2,FALSE),"Ticker inconnu"))</f>
        <v/>
      </c>
      <c r="C540" s="11" t="n">
        <v>2025</v>
      </c>
      <c r="D540" s="11" t="inlineStr">
        <is>
          <t>S1</t>
        </is>
      </c>
      <c r="E540" s="9" t="n"/>
      <c r="F540" s="12" t="n"/>
      <c r="G540" s="9" t="n"/>
      <c r="H540" s="13" t="n"/>
      <c r="I540" s="13" t="n"/>
      <c r="J540" s="13" t="n"/>
      <c r="K540" s="13" t="n"/>
      <c r="L540" s="13" t="n"/>
      <c r="M540" s="13" t="n"/>
      <c r="N540" s="14">
        <f>IF(A540="","",COUNT(H540:M540)/6)</f>
        <v/>
      </c>
      <c r="O540" s="15">
        <f>IF(COUNT(H540:M540)=0,"",IF(LEN(IF(COUNT(I540,J540)=2,IF(J540&gt;I540+1,"EBE &gt; VA ",""),"")&amp;IF(COUNT(H540,M540)=2,IF(ABS(M540)&gt;ABS(H540),"RN &gt; CA ",""),"")&amp;IF(COUNT(H540,K540)=2,IF(ABS(K540)&gt;ABS(H540),"RE &gt; CA ",""),""))=0,"OK",IF(COUNT(I540,J540)=2,IF(J540&gt;I540+1,"EBE &gt; VA ",""),"")&amp;IF(COUNT(H540,M540)=2,IF(ABS(M540)&gt;ABS(H540),"RN &gt; CA ",""),"")&amp;IF(COUNT(H540,K540)=2,IF(ABS(K540)&gt;ABS(H540),"RE &gt; CA ",""),"")))</f>
        <v/>
      </c>
    </row>
    <row r="541">
      <c r="A541" s="9" t="inlineStr">
        <is>
          <t>SHEC</t>
        </is>
      </c>
      <c r="B541" s="10">
        <f>IF(A541="","",IFERROR(VLOOKUP(A541,Titres!$A$2:$B$400,2,FALSE),"Ticker inconnu"))</f>
        <v/>
      </c>
      <c r="C541" s="11" t="n">
        <v>2025</v>
      </c>
      <c r="D541" s="11" t="inlineStr">
        <is>
          <t>T3</t>
        </is>
      </c>
      <c r="E541" s="9" t="n"/>
      <c r="F541" s="12" t="n"/>
      <c r="G541" s="9" t="n"/>
      <c r="H541" s="13" t="n"/>
      <c r="I541" s="13" t="n"/>
      <c r="J541" s="13" t="n"/>
      <c r="K541" s="13" t="n"/>
      <c r="L541" s="13" t="n"/>
      <c r="M541" s="13" t="n"/>
      <c r="N541" s="14">
        <f>IF(A541="","",COUNT(H541:M541)/6)</f>
        <v/>
      </c>
      <c r="O541" s="15">
        <f>IF(COUNT(H541:M541)=0,"",IF(LEN(IF(COUNT(I541,J541)=2,IF(J541&gt;I541+1,"EBE &gt; VA ",""),"")&amp;IF(COUNT(H541,M541)=2,IF(ABS(M541)&gt;ABS(H541),"RN &gt; CA ",""),"")&amp;IF(COUNT(H541,K541)=2,IF(ABS(K541)&gt;ABS(H541),"RE &gt; CA ",""),""))=0,"OK",IF(COUNT(I541,J541)=2,IF(J541&gt;I541+1,"EBE &gt; VA ",""),"")&amp;IF(COUNT(H541,M541)=2,IF(ABS(M541)&gt;ABS(H541),"RN &gt; CA ",""),"")&amp;IF(COUNT(H541,K541)=2,IF(ABS(K541)&gt;ABS(H541),"RE &gt; CA ",""),"")))</f>
        <v/>
      </c>
    </row>
    <row r="542">
      <c r="A542" s="9" t="inlineStr">
        <is>
          <t>SHEC</t>
        </is>
      </c>
      <c r="B542" s="10">
        <f>IF(A542="","",IFERROR(VLOOKUP(A542,Titres!$A$2:$B$400,2,FALSE),"Ticker inconnu"))</f>
        <v/>
      </c>
      <c r="C542" s="11" t="n">
        <v>2026</v>
      </c>
      <c r="D542" s="11" t="inlineStr">
        <is>
          <t>T1</t>
        </is>
      </c>
      <c r="E542" s="9" t="n"/>
      <c r="F542" s="12" t="n"/>
      <c r="G542" s="9" t="n"/>
      <c r="H542" s="13" t="n"/>
      <c r="I542" s="13" t="n"/>
      <c r="J542" s="13" t="n"/>
      <c r="K542" s="13" t="n"/>
      <c r="L542" s="13" t="n"/>
      <c r="M542" s="13" t="n"/>
      <c r="N542" s="14">
        <f>IF(A542="","",COUNT(H542:M542)/6)</f>
        <v/>
      </c>
      <c r="O542" s="15">
        <f>IF(COUNT(H542:M542)=0,"",IF(LEN(IF(COUNT(I542,J542)=2,IF(J542&gt;I542+1,"EBE &gt; VA ",""),"")&amp;IF(COUNT(H542,M542)=2,IF(ABS(M542)&gt;ABS(H542),"RN &gt; CA ",""),"")&amp;IF(COUNT(H542,K542)=2,IF(ABS(K542)&gt;ABS(H542),"RE &gt; CA ",""),""))=0,"OK",IF(COUNT(I542,J542)=2,IF(J542&gt;I542+1,"EBE &gt; VA ",""),"")&amp;IF(COUNT(H542,M542)=2,IF(ABS(M542)&gt;ABS(H542),"RN &gt; CA ",""),"")&amp;IF(COUNT(H542,K542)=2,IF(ABS(K542)&gt;ABS(H542),"RE &gt; CA ",""),"")))</f>
        <v/>
      </c>
    </row>
    <row r="543">
      <c r="A543" s="9" t="inlineStr">
        <is>
          <t>SHEC</t>
        </is>
      </c>
      <c r="B543" s="10">
        <f>IF(A543="","",IFERROR(VLOOKUP(A543,Titres!$A$2:$B$400,2,FALSE),"Ticker inconnu"))</f>
        <v/>
      </c>
      <c r="C543" s="11" t="n">
        <v>2026</v>
      </c>
      <c r="D543" s="11" t="inlineStr">
        <is>
          <t>S1</t>
        </is>
      </c>
      <c r="E543" s="9" t="n"/>
      <c r="F543" s="12" t="n"/>
      <c r="G543" s="9" t="n"/>
      <c r="H543" s="13" t="n"/>
      <c r="I543" s="13" t="n"/>
      <c r="J543" s="13" t="n"/>
      <c r="K543" s="13" t="n"/>
      <c r="L543" s="13" t="n"/>
      <c r="M543" s="13" t="n"/>
      <c r="N543" s="14">
        <f>IF(A543="","",COUNT(H543:M543)/6)</f>
        <v/>
      </c>
      <c r="O543" s="15">
        <f>IF(COUNT(H543:M543)=0,"",IF(LEN(IF(COUNT(I543,J543)=2,IF(J543&gt;I543+1,"EBE &gt; VA ",""),"")&amp;IF(COUNT(H543,M543)=2,IF(ABS(M543)&gt;ABS(H543),"RN &gt; CA ",""),"")&amp;IF(COUNT(H543,K543)=2,IF(ABS(K543)&gt;ABS(H543),"RE &gt; CA ",""),""))=0,"OK",IF(COUNT(I543,J543)=2,IF(J543&gt;I543+1,"EBE &gt; VA ",""),"")&amp;IF(COUNT(H543,M543)=2,IF(ABS(M543)&gt;ABS(H543),"RN &gt; CA ",""),"")&amp;IF(COUNT(H543,K543)=2,IF(ABS(K543)&gt;ABS(H543),"RE &gt; CA ",""),"")))</f>
        <v/>
      </c>
    </row>
    <row r="544">
      <c r="A544" s="9" t="inlineStr">
        <is>
          <t>SHEC</t>
        </is>
      </c>
      <c r="B544" s="10">
        <f>IF(A544="","",IFERROR(VLOOKUP(A544,Titres!$A$2:$B$400,2,FALSE),"Ticker inconnu"))</f>
        <v/>
      </c>
      <c r="C544" s="11" t="n">
        <v>2026</v>
      </c>
      <c r="D544" s="11" t="inlineStr">
        <is>
          <t>T3</t>
        </is>
      </c>
      <c r="E544" s="9" t="n"/>
      <c r="F544" s="12" t="n"/>
      <c r="G544" s="9" t="n"/>
      <c r="H544" s="13" t="n"/>
      <c r="I544" s="13" t="n"/>
      <c r="J544" s="13" t="n"/>
      <c r="K544" s="13" t="n"/>
      <c r="L544" s="13" t="n"/>
      <c r="M544" s="13" t="n"/>
      <c r="N544" s="14">
        <f>IF(A544="","",COUNT(H544:M544)/6)</f>
        <v/>
      </c>
      <c r="O544" s="15">
        <f>IF(COUNT(H544:M544)=0,"",IF(LEN(IF(COUNT(I544,J544)=2,IF(J544&gt;I544+1,"EBE &gt; VA ",""),"")&amp;IF(COUNT(H544,M544)=2,IF(ABS(M544)&gt;ABS(H544),"RN &gt; CA ",""),"")&amp;IF(COUNT(H544,K544)=2,IF(ABS(K544)&gt;ABS(H544),"RE &gt; CA ",""),""))=0,"OK",IF(COUNT(I544,J544)=2,IF(J544&gt;I544+1,"EBE &gt; VA ",""),"")&amp;IF(COUNT(H544,M544)=2,IF(ABS(M544)&gt;ABS(H544),"RN &gt; CA ",""),"")&amp;IF(COUNT(H544,K544)=2,IF(ABS(K544)&gt;ABS(H544),"RE &gt; CA ",""),"")))</f>
        <v/>
      </c>
    </row>
    <row r="545">
      <c r="A545" s="9" t="inlineStr">
        <is>
          <t>SMBC</t>
        </is>
      </c>
      <c r="B545" s="10">
        <f>IF(A545="","",IFERROR(VLOOKUP(A545,Titres!$A$2:$B$400,2,FALSE),"Ticker inconnu"))</f>
        <v/>
      </c>
      <c r="C545" s="11" t="n">
        <v>2021</v>
      </c>
      <c r="D545" s="11" t="inlineStr">
        <is>
          <t>T1</t>
        </is>
      </c>
      <c r="E545" s="9" t="n"/>
      <c r="F545" s="12" t="n"/>
      <c r="G545" s="9" t="n"/>
      <c r="H545" s="13" t="n"/>
      <c r="I545" s="13" t="n"/>
      <c r="J545" s="13" t="n"/>
      <c r="K545" s="13" t="n"/>
      <c r="L545" s="13" t="n"/>
      <c r="M545" s="13" t="n"/>
      <c r="N545" s="14">
        <f>IF(A545="","",COUNT(H545:M545)/6)</f>
        <v/>
      </c>
      <c r="O545" s="15">
        <f>IF(COUNT(H545:M545)=0,"",IF(LEN(IF(COUNT(I545,J545)=2,IF(J545&gt;I545+1,"EBE &gt; VA ",""),"")&amp;IF(COUNT(H545,M545)=2,IF(ABS(M545)&gt;ABS(H545),"RN &gt; CA ",""),"")&amp;IF(COUNT(H545,K545)=2,IF(ABS(K545)&gt;ABS(H545),"RE &gt; CA ",""),""))=0,"OK",IF(COUNT(I545,J545)=2,IF(J545&gt;I545+1,"EBE &gt; VA ",""),"")&amp;IF(COUNT(H545,M545)=2,IF(ABS(M545)&gt;ABS(H545),"RN &gt; CA ",""),"")&amp;IF(COUNT(H545,K545)=2,IF(ABS(K545)&gt;ABS(H545),"RE &gt; CA ",""),"")))</f>
        <v/>
      </c>
    </row>
    <row r="546">
      <c r="A546" s="9" t="inlineStr">
        <is>
          <t>SMBC</t>
        </is>
      </c>
      <c r="B546" s="10">
        <f>IF(A546="","",IFERROR(VLOOKUP(A546,Titres!$A$2:$B$400,2,FALSE),"Ticker inconnu"))</f>
        <v/>
      </c>
      <c r="C546" s="11" t="n">
        <v>2021</v>
      </c>
      <c r="D546" s="11" t="inlineStr">
        <is>
          <t>S1</t>
        </is>
      </c>
      <c r="E546" s="9" t="n"/>
      <c r="F546" s="12" t="n"/>
      <c r="G546" s="9" t="n"/>
      <c r="H546" s="13" t="n"/>
      <c r="I546" s="13" t="n"/>
      <c r="J546" s="13" t="n"/>
      <c r="K546" s="13" t="n"/>
      <c r="L546" s="13" t="n"/>
      <c r="M546" s="13" t="n"/>
      <c r="N546" s="14">
        <f>IF(A546="","",COUNT(H546:M546)/6)</f>
        <v/>
      </c>
      <c r="O546" s="15">
        <f>IF(COUNT(H546:M546)=0,"",IF(LEN(IF(COUNT(I546,J546)=2,IF(J546&gt;I546+1,"EBE &gt; VA ",""),"")&amp;IF(COUNT(H546,M546)=2,IF(ABS(M546)&gt;ABS(H546),"RN &gt; CA ",""),"")&amp;IF(COUNT(H546,K546)=2,IF(ABS(K546)&gt;ABS(H546),"RE &gt; CA ",""),""))=0,"OK",IF(COUNT(I546,J546)=2,IF(J546&gt;I546+1,"EBE &gt; VA ",""),"")&amp;IF(COUNT(H546,M546)=2,IF(ABS(M546)&gt;ABS(H546),"RN &gt; CA ",""),"")&amp;IF(COUNT(H546,K546)=2,IF(ABS(K546)&gt;ABS(H546),"RE &gt; CA ",""),"")))</f>
        <v/>
      </c>
    </row>
    <row r="547">
      <c r="A547" s="9" t="inlineStr">
        <is>
          <t>SMBC</t>
        </is>
      </c>
      <c r="B547" s="10">
        <f>IF(A547="","",IFERROR(VLOOKUP(A547,Titres!$A$2:$B$400,2,FALSE),"Ticker inconnu"))</f>
        <v/>
      </c>
      <c r="C547" s="11" t="n">
        <v>2021</v>
      </c>
      <c r="D547" s="11" t="inlineStr">
        <is>
          <t>T3</t>
        </is>
      </c>
      <c r="E547" s="9" t="n"/>
      <c r="F547" s="12" t="n"/>
      <c r="G547" s="9" t="n"/>
      <c r="H547" s="13" t="n"/>
      <c r="I547" s="13" t="n"/>
      <c r="J547" s="13" t="n"/>
      <c r="K547" s="13" t="n"/>
      <c r="L547" s="13" t="n"/>
      <c r="M547" s="13" t="n"/>
      <c r="N547" s="14">
        <f>IF(A547="","",COUNT(H547:M547)/6)</f>
        <v/>
      </c>
      <c r="O547" s="15">
        <f>IF(COUNT(H547:M547)=0,"",IF(LEN(IF(COUNT(I547,J547)=2,IF(J547&gt;I547+1,"EBE &gt; VA ",""),"")&amp;IF(COUNT(H547,M547)=2,IF(ABS(M547)&gt;ABS(H547),"RN &gt; CA ",""),"")&amp;IF(COUNT(H547,K547)=2,IF(ABS(K547)&gt;ABS(H547),"RE &gt; CA ",""),""))=0,"OK",IF(COUNT(I547,J547)=2,IF(J547&gt;I547+1,"EBE &gt; VA ",""),"")&amp;IF(COUNT(H547,M547)=2,IF(ABS(M547)&gt;ABS(H547),"RN &gt; CA ",""),"")&amp;IF(COUNT(H547,K547)=2,IF(ABS(K547)&gt;ABS(H547),"RE &gt; CA ",""),"")))</f>
        <v/>
      </c>
    </row>
    <row r="548">
      <c r="A548" s="9" t="inlineStr">
        <is>
          <t>SMBC</t>
        </is>
      </c>
      <c r="B548" s="10">
        <f>IF(A548="","",IFERROR(VLOOKUP(A548,Titres!$A$2:$B$400,2,FALSE),"Ticker inconnu"))</f>
        <v/>
      </c>
      <c r="C548" s="11" t="n">
        <v>2022</v>
      </c>
      <c r="D548" s="11" t="inlineStr">
        <is>
          <t>T1</t>
        </is>
      </c>
      <c r="E548" s="9" t="n"/>
      <c r="F548" s="12" t="n"/>
      <c r="G548" s="9" t="n"/>
      <c r="H548" s="13" t="n"/>
      <c r="I548" s="13" t="n"/>
      <c r="J548" s="13" t="n"/>
      <c r="K548" s="13" t="n"/>
      <c r="L548" s="13" t="n"/>
      <c r="M548" s="13" t="n"/>
      <c r="N548" s="14">
        <f>IF(A548="","",COUNT(H548:M548)/6)</f>
        <v/>
      </c>
      <c r="O548" s="15">
        <f>IF(COUNT(H548:M548)=0,"",IF(LEN(IF(COUNT(I548,J548)=2,IF(J548&gt;I548+1,"EBE &gt; VA ",""),"")&amp;IF(COUNT(H548,M548)=2,IF(ABS(M548)&gt;ABS(H548),"RN &gt; CA ",""),"")&amp;IF(COUNT(H548,K548)=2,IF(ABS(K548)&gt;ABS(H548),"RE &gt; CA ",""),""))=0,"OK",IF(COUNT(I548,J548)=2,IF(J548&gt;I548+1,"EBE &gt; VA ",""),"")&amp;IF(COUNT(H548,M548)=2,IF(ABS(M548)&gt;ABS(H548),"RN &gt; CA ",""),"")&amp;IF(COUNT(H548,K548)=2,IF(ABS(K548)&gt;ABS(H548),"RE &gt; CA ",""),"")))</f>
        <v/>
      </c>
    </row>
    <row r="549">
      <c r="A549" s="9" t="inlineStr">
        <is>
          <t>SMBC</t>
        </is>
      </c>
      <c r="B549" s="10">
        <f>IF(A549="","",IFERROR(VLOOKUP(A549,Titres!$A$2:$B$400,2,FALSE),"Ticker inconnu"))</f>
        <v/>
      </c>
      <c r="C549" s="11" t="n">
        <v>2022</v>
      </c>
      <c r="D549" s="11" t="inlineStr">
        <is>
          <t>S1</t>
        </is>
      </c>
      <c r="E549" s="9" t="n"/>
      <c r="F549" s="12" t="n"/>
      <c r="G549" s="9" t="n"/>
      <c r="H549" s="13" t="n"/>
      <c r="I549" s="13" t="n"/>
      <c r="J549" s="13" t="n"/>
      <c r="K549" s="13" t="n"/>
      <c r="L549" s="13" t="n"/>
      <c r="M549" s="13" t="n"/>
      <c r="N549" s="14">
        <f>IF(A549="","",COUNT(H549:M549)/6)</f>
        <v/>
      </c>
      <c r="O549" s="15">
        <f>IF(COUNT(H549:M549)=0,"",IF(LEN(IF(COUNT(I549,J549)=2,IF(J549&gt;I549+1,"EBE &gt; VA ",""),"")&amp;IF(COUNT(H549,M549)=2,IF(ABS(M549)&gt;ABS(H549),"RN &gt; CA ",""),"")&amp;IF(COUNT(H549,K549)=2,IF(ABS(K549)&gt;ABS(H549),"RE &gt; CA ",""),""))=0,"OK",IF(COUNT(I549,J549)=2,IF(J549&gt;I549+1,"EBE &gt; VA ",""),"")&amp;IF(COUNT(H549,M549)=2,IF(ABS(M549)&gt;ABS(H549),"RN &gt; CA ",""),"")&amp;IF(COUNT(H549,K549)=2,IF(ABS(K549)&gt;ABS(H549),"RE &gt; CA ",""),"")))</f>
        <v/>
      </c>
    </row>
    <row r="550">
      <c r="A550" s="9" t="inlineStr">
        <is>
          <t>SMBC</t>
        </is>
      </c>
      <c r="B550" s="10">
        <f>IF(A550="","",IFERROR(VLOOKUP(A550,Titres!$A$2:$B$400,2,FALSE),"Ticker inconnu"))</f>
        <v/>
      </c>
      <c r="C550" s="11" t="n">
        <v>2022</v>
      </c>
      <c r="D550" s="11" t="inlineStr">
        <is>
          <t>T3</t>
        </is>
      </c>
      <c r="E550" s="9" t="n"/>
      <c r="F550" s="12" t="n"/>
      <c r="G550" s="9" t="n"/>
      <c r="H550" s="13" t="n"/>
      <c r="I550" s="13" t="n"/>
      <c r="J550" s="13" t="n"/>
      <c r="K550" s="13" t="n"/>
      <c r="L550" s="13" t="n"/>
      <c r="M550" s="13" t="n"/>
      <c r="N550" s="14">
        <f>IF(A550="","",COUNT(H550:M550)/6)</f>
        <v/>
      </c>
      <c r="O550" s="15">
        <f>IF(COUNT(H550:M550)=0,"",IF(LEN(IF(COUNT(I550,J550)=2,IF(J550&gt;I550+1,"EBE &gt; VA ",""),"")&amp;IF(COUNT(H550,M550)=2,IF(ABS(M550)&gt;ABS(H550),"RN &gt; CA ",""),"")&amp;IF(COUNT(H550,K550)=2,IF(ABS(K550)&gt;ABS(H550),"RE &gt; CA ",""),""))=0,"OK",IF(COUNT(I550,J550)=2,IF(J550&gt;I550+1,"EBE &gt; VA ",""),"")&amp;IF(COUNT(H550,M550)=2,IF(ABS(M550)&gt;ABS(H550),"RN &gt; CA ",""),"")&amp;IF(COUNT(H550,K550)=2,IF(ABS(K550)&gt;ABS(H550),"RE &gt; CA ",""),"")))</f>
        <v/>
      </c>
    </row>
    <row r="551">
      <c r="A551" s="9" t="inlineStr">
        <is>
          <t>SMBC</t>
        </is>
      </c>
      <c r="B551" s="10">
        <f>IF(A551="","",IFERROR(VLOOKUP(A551,Titres!$A$2:$B$400,2,FALSE),"Ticker inconnu"))</f>
        <v/>
      </c>
      <c r="C551" s="11" t="n">
        <v>2023</v>
      </c>
      <c r="D551" s="11" t="inlineStr">
        <is>
          <t>T1</t>
        </is>
      </c>
      <c r="E551" s="9" t="n"/>
      <c r="F551" s="12" t="n"/>
      <c r="G551" s="9" t="n"/>
      <c r="H551" s="13" t="n"/>
      <c r="I551" s="13" t="n"/>
      <c r="J551" s="13" t="n"/>
      <c r="K551" s="13" t="n"/>
      <c r="L551" s="13" t="n"/>
      <c r="M551" s="13" t="n"/>
      <c r="N551" s="14">
        <f>IF(A551="","",COUNT(H551:M551)/6)</f>
        <v/>
      </c>
      <c r="O551" s="15">
        <f>IF(COUNT(H551:M551)=0,"",IF(LEN(IF(COUNT(I551,J551)=2,IF(J551&gt;I551+1,"EBE &gt; VA ",""),"")&amp;IF(COUNT(H551,M551)=2,IF(ABS(M551)&gt;ABS(H551),"RN &gt; CA ",""),"")&amp;IF(COUNT(H551,K551)=2,IF(ABS(K551)&gt;ABS(H551),"RE &gt; CA ",""),""))=0,"OK",IF(COUNT(I551,J551)=2,IF(J551&gt;I551+1,"EBE &gt; VA ",""),"")&amp;IF(COUNT(H551,M551)=2,IF(ABS(M551)&gt;ABS(H551),"RN &gt; CA ",""),"")&amp;IF(COUNT(H551,K551)=2,IF(ABS(K551)&gt;ABS(H551),"RE &gt; CA ",""),"")))</f>
        <v/>
      </c>
    </row>
    <row r="552">
      <c r="A552" s="9" t="inlineStr">
        <is>
          <t>SMBC</t>
        </is>
      </c>
      <c r="B552" s="10">
        <f>IF(A552="","",IFERROR(VLOOKUP(A552,Titres!$A$2:$B$400,2,FALSE),"Ticker inconnu"))</f>
        <v/>
      </c>
      <c r="C552" s="11" t="n">
        <v>2023</v>
      </c>
      <c r="D552" s="11" t="inlineStr">
        <is>
          <t>S1</t>
        </is>
      </c>
      <c r="E552" s="9" t="n"/>
      <c r="F552" s="12" t="n"/>
      <c r="G552" s="9" t="n"/>
      <c r="H552" s="13" t="n"/>
      <c r="I552" s="13" t="n"/>
      <c r="J552" s="13" t="n"/>
      <c r="K552" s="13" t="n"/>
      <c r="L552" s="13" t="n"/>
      <c r="M552" s="13" t="n"/>
      <c r="N552" s="14">
        <f>IF(A552="","",COUNT(H552:M552)/6)</f>
        <v/>
      </c>
      <c r="O552" s="15">
        <f>IF(COUNT(H552:M552)=0,"",IF(LEN(IF(COUNT(I552,J552)=2,IF(J552&gt;I552+1,"EBE &gt; VA ",""),"")&amp;IF(COUNT(H552,M552)=2,IF(ABS(M552)&gt;ABS(H552),"RN &gt; CA ",""),"")&amp;IF(COUNT(H552,K552)=2,IF(ABS(K552)&gt;ABS(H552),"RE &gt; CA ",""),""))=0,"OK",IF(COUNT(I552,J552)=2,IF(J552&gt;I552+1,"EBE &gt; VA ",""),"")&amp;IF(COUNT(H552,M552)=2,IF(ABS(M552)&gt;ABS(H552),"RN &gt; CA ",""),"")&amp;IF(COUNT(H552,K552)=2,IF(ABS(K552)&gt;ABS(H552),"RE &gt; CA ",""),"")))</f>
        <v/>
      </c>
    </row>
    <row r="553">
      <c r="A553" s="9" t="inlineStr">
        <is>
          <t>SMBC</t>
        </is>
      </c>
      <c r="B553" s="10">
        <f>IF(A553="","",IFERROR(VLOOKUP(A553,Titres!$A$2:$B$400,2,FALSE),"Ticker inconnu"))</f>
        <v/>
      </c>
      <c r="C553" s="11" t="n">
        <v>2023</v>
      </c>
      <c r="D553" s="11" t="inlineStr">
        <is>
          <t>T3</t>
        </is>
      </c>
      <c r="E553" s="9" t="n"/>
      <c r="F553" s="12" t="n"/>
      <c r="G553" s="9" t="n"/>
      <c r="H553" s="13" t="n"/>
      <c r="I553" s="13" t="n"/>
      <c r="J553" s="13" t="n"/>
      <c r="K553" s="13" t="n"/>
      <c r="L553" s="13" t="n"/>
      <c r="M553" s="13" t="n"/>
      <c r="N553" s="14">
        <f>IF(A553="","",COUNT(H553:M553)/6)</f>
        <v/>
      </c>
      <c r="O553" s="15">
        <f>IF(COUNT(H553:M553)=0,"",IF(LEN(IF(COUNT(I553,J553)=2,IF(J553&gt;I553+1,"EBE &gt; VA ",""),"")&amp;IF(COUNT(H553,M553)=2,IF(ABS(M553)&gt;ABS(H553),"RN &gt; CA ",""),"")&amp;IF(COUNT(H553,K553)=2,IF(ABS(K553)&gt;ABS(H553),"RE &gt; CA ",""),""))=0,"OK",IF(COUNT(I553,J553)=2,IF(J553&gt;I553+1,"EBE &gt; VA ",""),"")&amp;IF(COUNT(H553,M553)=2,IF(ABS(M553)&gt;ABS(H553),"RN &gt; CA ",""),"")&amp;IF(COUNT(H553,K553)=2,IF(ABS(K553)&gt;ABS(H553),"RE &gt; CA ",""),"")))</f>
        <v/>
      </c>
    </row>
    <row r="554">
      <c r="A554" s="9" t="inlineStr">
        <is>
          <t>SMBC</t>
        </is>
      </c>
      <c r="B554" s="10">
        <f>IF(A554="","",IFERROR(VLOOKUP(A554,Titres!$A$2:$B$400,2,FALSE),"Ticker inconnu"))</f>
        <v/>
      </c>
      <c r="C554" s="11" t="n">
        <v>2024</v>
      </c>
      <c r="D554" s="11" t="inlineStr">
        <is>
          <t>T1</t>
        </is>
      </c>
      <c r="E554" s="9" t="n"/>
      <c r="F554" s="12" t="n"/>
      <c r="G554" s="9" t="n"/>
      <c r="H554" s="13" t="n"/>
      <c r="I554" s="13" t="n"/>
      <c r="J554" s="13" t="n"/>
      <c r="K554" s="13" t="n"/>
      <c r="L554" s="13" t="n"/>
      <c r="M554" s="13" t="n"/>
      <c r="N554" s="14">
        <f>IF(A554="","",COUNT(H554:M554)/6)</f>
        <v/>
      </c>
      <c r="O554" s="15">
        <f>IF(COUNT(H554:M554)=0,"",IF(LEN(IF(COUNT(I554,J554)=2,IF(J554&gt;I554+1,"EBE &gt; VA ",""),"")&amp;IF(COUNT(H554,M554)=2,IF(ABS(M554)&gt;ABS(H554),"RN &gt; CA ",""),"")&amp;IF(COUNT(H554,K554)=2,IF(ABS(K554)&gt;ABS(H554),"RE &gt; CA ",""),""))=0,"OK",IF(COUNT(I554,J554)=2,IF(J554&gt;I554+1,"EBE &gt; VA ",""),"")&amp;IF(COUNT(H554,M554)=2,IF(ABS(M554)&gt;ABS(H554),"RN &gt; CA ",""),"")&amp;IF(COUNT(H554,K554)=2,IF(ABS(K554)&gt;ABS(H554),"RE &gt; CA ",""),"")))</f>
        <v/>
      </c>
    </row>
    <row r="555">
      <c r="A555" s="9" t="inlineStr">
        <is>
          <t>SMBC</t>
        </is>
      </c>
      <c r="B555" s="10">
        <f>IF(A555="","",IFERROR(VLOOKUP(A555,Titres!$A$2:$B$400,2,FALSE),"Ticker inconnu"))</f>
        <v/>
      </c>
      <c r="C555" s="11" t="n">
        <v>2024</v>
      </c>
      <c r="D555" s="11" t="inlineStr">
        <is>
          <t>S1</t>
        </is>
      </c>
      <c r="E555" s="9" t="n"/>
      <c r="F555" s="12" t="n"/>
      <c r="G555" s="9" t="n"/>
      <c r="H555" s="13" t="n"/>
      <c r="I555" s="13" t="n"/>
      <c r="J555" s="13" t="n"/>
      <c r="K555" s="13" t="n"/>
      <c r="L555" s="13" t="n"/>
      <c r="M555" s="13" t="n"/>
      <c r="N555" s="14">
        <f>IF(A555="","",COUNT(H555:M555)/6)</f>
        <v/>
      </c>
      <c r="O555" s="15">
        <f>IF(COUNT(H555:M555)=0,"",IF(LEN(IF(COUNT(I555,J555)=2,IF(J555&gt;I555+1,"EBE &gt; VA ",""),"")&amp;IF(COUNT(H555,M555)=2,IF(ABS(M555)&gt;ABS(H555),"RN &gt; CA ",""),"")&amp;IF(COUNT(H555,K555)=2,IF(ABS(K555)&gt;ABS(H555),"RE &gt; CA ",""),""))=0,"OK",IF(COUNT(I555,J555)=2,IF(J555&gt;I555+1,"EBE &gt; VA ",""),"")&amp;IF(COUNT(H555,M555)=2,IF(ABS(M555)&gt;ABS(H555),"RN &gt; CA ",""),"")&amp;IF(COUNT(H555,K555)=2,IF(ABS(K555)&gt;ABS(H555),"RE &gt; CA ",""),"")))</f>
        <v/>
      </c>
    </row>
    <row r="556">
      <c r="A556" s="9" t="inlineStr">
        <is>
          <t>SMBC</t>
        </is>
      </c>
      <c r="B556" s="10">
        <f>IF(A556="","",IFERROR(VLOOKUP(A556,Titres!$A$2:$B$400,2,FALSE),"Ticker inconnu"))</f>
        <v/>
      </c>
      <c r="C556" s="11" t="n">
        <v>2024</v>
      </c>
      <c r="D556" s="11" t="inlineStr">
        <is>
          <t>T3</t>
        </is>
      </c>
      <c r="E556" s="9" t="n"/>
      <c r="F556" s="12" t="n"/>
      <c r="G556" s="9" t="n"/>
      <c r="H556" s="13" t="n"/>
      <c r="I556" s="13" t="n"/>
      <c r="J556" s="13" t="n"/>
      <c r="K556" s="13" t="n"/>
      <c r="L556" s="13" t="n"/>
      <c r="M556" s="13" t="n"/>
      <c r="N556" s="14">
        <f>IF(A556="","",COUNT(H556:M556)/6)</f>
        <v/>
      </c>
      <c r="O556" s="15">
        <f>IF(COUNT(H556:M556)=0,"",IF(LEN(IF(COUNT(I556,J556)=2,IF(J556&gt;I556+1,"EBE &gt; VA ",""),"")&amp;IF(COUNT(H556,M556)=2,IF(ABS(M556)&gt;ABS(H556),"RN &gt; CA ",""),"")&amp;IF(COUNT(H556,K556)=2,IF(ABS(K556)&gt;ABS(H556),"RE &gt; CA ",""),""))=0,"OK",IF(COUNT(I556,J556)=2,IF(J556&gt;I556+1,"EBE &gt; VA ",""),"")&amp;IF(COUNT(H556,M556)=2,IF(ABS(M556)&gt;ABS(H556),"RN &gt; CA ",""),"")&amp;IF(COUNT(H556,K556)=2,IF(ABS(K556)&gt;ABS(H556),"RE &gt; CA ",""),"")))</f>
        <v/>
      </c>
    </row>
    <row r="557">
      <c r="A557" s="9" t="inlineStr">
        <is>
          <t>SMBC</t>
        </is>
      </c>
      <c r="B557" s="10">
        <f>IF(A557="","",IFERROR(VLOOKUP(A557,Titres!$A$2:$B$400,2,FALSE),"Ticker inconnu"))</f>
        <v/>
      </c>
      <c r="C557" s="11" t="n">
        <v>2025</v>
      </c>
      <c r="D557" s="11" t="inlineStr">
        <is>
          <t>T1</t>
        </is>
      </c>
      <c r="E557" s="9" t="inlineStr">
        <is>
          <t>Publié</t>
        </is>
      </c>
      <c r="F557" s="12" t="n">
        <v>46142</v>
      </c>
      <c r="G557" s="9" t="inlineStr">
        <is>
          <t>https://www.richbourse.com/common/actualite/afficher-fichier/30-04-2026-smb-ci-rapport-dactivites-1er-trimestre-2026 (comparatif N-1)</t>
        </is>
      </c>
      <c r="H557" s="13" t="n">
        <v>54777</v>
      </c>
      <c r="I557" s="13" t="n"/>
      <c r="J557" s="13" t="n"/>
      <c r="K557" s="13" t="n"/>
      <c r="L557" s="13" t="n"/>
      <c r="M557" s="13" t="n">
        <v>2715</v>
      </c>
      <c r="N557" s="14">
        <f>IF(A557="","",COUNT(H557:M557)/6)</f>
        <v/>
      </c>
      <c r="O557" s="15">
        <f>IF(COUNT(H557:M557)=0,"",IF(LEN(IF(COUNT(I557,J557)=2,IF(J557&gt;I557+1,"EBE &gt; VA ",""),"")&amp;IF(COUNT(H557,M557)=2,IF(ABS(M557)&gt;ABS(H557),"RN &gt; CA ",""),"")&amp;IF(COUNT(H557,K557)=2,IF(ABS(K557)&gt;ABS(H557),"RE &gt; CA ",""),""))=0,"OK",IF(COUNT(I557,J557)=2,IF(J557&gt;I557+1,"EBE &gt; VA ",""),"")&amp;IF(COUNT(H557,M557)=2,IF(ABS(M557)&gt;ABS(H557),"RN &gt; CA ",""),"")&amp;IF(COUNT(H557,K557)=2,IF(ABS(K557)&gt;ABS(H557),"RE &gt; CA ",""),"")))</f>
        <v/>
      </c>
    </row>
    <row r="558">
      <c r="A558" s="9" t="inlineStr">
        <is>
          <t>SMBC</t>
        </is>
      </c>
      <c r="B558" s="10">
        <f>IF(A558="","",IFERROR(VLOOKUP(A558,Titres!$A$2:$B$400,2,FALSE),"Ticker inconnu"))</f>
        <v/>
      </c>
      <c r="C558" s="11" t="n">
        <v>2025</v>
      </c>
      <c r="D558" s="11" t="inlineStr">
        <is>
          <t>S1</t>
        </is>
      </c>
      <c r="E558" s="9" t="n"/>
      <c r="F558" s="12" t="n"/>
      <c r="G558" s="9" t="n"/>
      <c r="H558" s="13" t="n"/>
      <c r="I558" s="13" t="n"/>
      <c r="J558" s="13" t="n"/>
      <c r="K558" s="13" t="n"/>
      <c r="L558" s="13" t="n"/>
      <c r="M558" s="13" t="n"/>
      <c r="N558" s="14">
        <f>IF(A558="","",COUNT(H558:M558)/6)</f>
        <v/>
      </c>
      <c r="O558" s="15">
        <f>IF(COUNT(H558:M558)=0,"",IF(LEN(IF(COUNT(I558,J558)=2,IF(J558&gt;I558+1,"EBE &gt; VA ",""),"")&amp;IF(COUNT(H558,M558)=2,IF(ABS(M558)&gt;ABS(H558),"RN &gt; CA ",""),"")&amp;IF(COUNT(H558,K558)=2,IF(ABS(K558)&gt;ABS(H558),"RE &gt; CA ",""),""))=0,"OK",IF(COUNT(I558,J558)=2,IF(J558&gt;I558+1,"EBE &gt; VA ",""),"")&amp;IF(COUNT(H558,M558)=2,IF(ABS(M558)&gt;ABS(H558),"RN &gt; CA ",""),"")&amp;IF(COUNT(H558,K558)=2,IF(ABS(K558)&gt;ABS(H558),"RE &gt; CA ",""),"")))</f>
        <v/>
      </c>
    </row>
    <row r="559">
      <c r="A559" s="9" t="inlineStr">
        <is>
          <t>SMBC</t>
        </is>
      </c>
      <c r="B559" s="10">
        <f>IF(A559="","",IFERROR(VLOOKUP(A559,Titres!$A$2:$B$400,2,FALSE),"Ticker inconnu"))</f>
        <v/>
      </c>
      <c r="C559" s="11" t="n">
        <v>2025</v>
      </c>
      <c r="D559" s="11" t="inlineStr">
        <is>
          <t>T3</t>
        </is>
      </c>
      <c r="E559" s="9" t="n"/>
      <c r="F559" s="12" t="n"/>
      <c r="G559" s="9" t="n"/>
      <c r="H559" s="13" t="n"/>
      <c r="I559" s="13" t="n"/>
      <c r="J559" s="13" t="n"/>
      <c r="K559" s="13" t="n"/>
      <c r="L559" s="13" t="n"/>
      <c r="M559" s="13" t="n"/>
      <c r="N559" s="14">
        <f>IF(A559="","",COUNT(H559:M559)/6)</f>
        <v/>
      </c>
      <c r="O559" s="15">
        <f>IF(COUNT(H559:M559)=0,"",IF(LEN(IF(COUNT(I559,J559)=2,IF(J559&gt;I559+1,"EBE &gt; VA ",""),"")&amp;IF(COUNT(H559,M559)=2,IF(ABS(M559)&gt;ABS(H559),"RN &gt; CA ",""),"")&amp;IF(COUNT(H559,K559)=2,IF(ABS(K559)&gt;ABS(H559),"RE &gt; CA ",""),""))=0,"OK",IF(COUNT(I559,J559)=2,IF(J559&gt;I559+1,"EBE &gt; VA ",""),"")&amp;IF(COUNT(H559,M559)=2,IF(ABS(M559)&gt;ABS(H559),"RN &gt; CA ",""),"")&amp;IF(COUNT(H559,K559)=2,IF(ABS(K559)&gt;ABS(H559),"RE &gt; CA ",""),"")))</f>
        <v/>
      </c>
    </row>
    <row r="560">
      <c r="A560" s="9" t="inlineStr">
        <is>
          <t>SMBC</t>
        </is>
      </c>
      <c r="B560" s="10">
        <f>IF(A560="","",IFERROR(VLOOKUP(A560,Titres!$A$2:$B$400,2,FALSE),"Ticker inconnu"))</f>
        <v/>
      </c>
      <c r="C560" s="11" t="n">
        <v>2026</v>
      </c>
      <c r="D560" s="11" t="inlineStr">
        <is>
          <t>T1</t>
        </is>
      </c>
      <c r="E560" s="9" t="inlineStr">
        <is>
          <t>Publié</t>
        </is>
      </c>
      <c r="F560" s="12" t="n">
        <v>46142</v>
      </c>
      <c r="G560" s="9" t="inlineStr">
        <is>
          <t>https://www.richbourse.com/common/actualite/afficher-fichier/30-04-2026-smb-ci-rapport-dactivites-1er-trimestre-2026</t>
        </is>
      </c>
      <c r="H560" s="13" t="n">
        <v>31143</v>
      </c>
      <c r="I560" s="13" t="n"/>
      <c r="J560" s="13" t="n"/>
      <c r="K560" s="13" t="n"/>
      <c r="L560" s="13" t="n">
        <v>1983</v>
      </c>
      <c r="M560" s="13" t="n">
        <v>1487</v>
      </c>
      <c r="N560" s="14">
        <f>IF(A560="","",COUNT(H560:M560)/6)</f>
        <v/>
      </c>
      <c r="O560" s="15">
        <f>IF(COUNT(H560:M560)=0,"",IF(LEN(IF(COUNT(I560,J560)=2,IF(J560&gt;I560+1,"EBE &gt; VA ",""),"")&amp;IF(COUNT(H560,M560)=2,IF(ABS(M560)&gt;ABS(H560),"RN &gt; CA ",""),"")&amp;IF(COUNT(H560,K560)=2,IF(ABS(K560)&gt;ABS(H560),"RE &gt; CA ",""),""))=0,"OK",IF(COUNT(I560,J560)=2,IF(J560&gt;I560+1,"EBE &gt; VA ",""),"")&amp;IF(COUNT(H560,M560)=2,IF(ABS(M560)&gt;ABS(H560),"RN &gt; CA ",""),"")&amp;IF(COUNT(H560,K560)=2,IF(ABS(K560)&gt;ABS(H560),"RE &gt; CA ",""),"")))</f>
        <v/>
      </c>
    </row>
    <row r="561">
      <c r="A561" s="9" t="inlineStr">
        <is>
          <t>SMBC</t>
        </is>
      </c>
      <c r="B561" s="10">
        <f>IF(A561="","",IFERROR(VLOOKUP(A561,Titres!$A$2:$B$400,2,FALSE),"Ticker inconnu"))</f>
        <v/>
      </c>
      <c r="C561" s="11" t="n">
        <v>2026</v>
      </c>
      <c r="D561" s="11" t="inlineStr">
        <is>
          <t>S1</t>
        </is>
      </c>
      <c r="E561" s="9" t="n"/>
      <c r="F561" s="12" t="n"/>
      <c r="G561" s="9" t="n"/>
      <c r="H561" s="13" t="n"/>
      <c r="I561" s="13" t="n"/>
      <c r="J561" s="13" t="n"/>
      <c r="K561" s="13" t="n"/>
      <c r="L561" s="13" t="n"/>
      <c r="M561" s="13" t="n"/>
      <c r="N561" s="14">
        <f>IF(A561="","",COUNT(H561:M561)/6)</f>
        <v/>
      </c>
      <c r="O561" s="15">
        <f>IF(COUNT(H561:M561)=0,"",IF(LEN(IF(COUNT(I561,J561)=2,IF(J561&gt;I561+1,"EBE &gt; VA ",""),"")&amp;IF(COUNT(H561,M561)=2,IF(ABS(M561)&gt;ABS(H561),"RN &gt; CA ",""),"")&amp;IF(COUNT(H561,K561)=2,IF(ABS(K561)&gt;ABS(H561),"RE &gt; CA ",""),""))=0,"OK",IF(COUNT(I561,J561)=2,IF(J561&gt;I561+1,"EBE &gt; VA ",""),"")&amp;IF(COUNT(H561,M561)=2,IF(ABS(M561)&gt;ABS(H561),"RN &gt; CA ",""),"")&amp;IF(COUNT(H561,K561)=2,IF(ABS(K561)&gt;ABS(H561),"RE &gt; CA ",""),"")))</f>
        <v/>
      </c>
    </row>
    <row r="562">
      <c r="A562" s="9" t="inlineStr">
        <is>
          <t>SMBC</t>
        </is>
      </c>
      <c r="B562" s="10">
        <f>IF(A562="","",IFERROR(VLOOKUP(A562,Titres!$A$2:$B$400,2,FALSE),"Ticker inconnu"))</f>
        <v/>
      </c>
      <c r="C562" s="11" t="n">
        <v>2026</v>
      </c>
      <c r="D562" s="11" t="inlineStr">
        <is>
          <t>T3</t>
        </is>
      </c>
      <c r="E562" s="9" t="n"/>
      <c r="F562" s="12" t="n"/>
      <c r="G562" s="9" t="n"/>
      <c r="H562" s="13" t="n"/>
      <c r="I562" s="13" t="n"/>
      <c r="J562" s="13" t="n"/>
      <c r="K562" s="13" t="n"/>
      <c r="L562" s="13" t="n"/>
      <c r="M562" s="13" t="n"/>
      <c r="N562" s="14">
        <f>IF(A562="","",COUNT(H562:M562)/6)</f>
        <v/>
      </c>
      <c r="O562" s="15">
        <f>IF(COUNT(H562:M562)=0,"",IF(LEN(IF(COUNT(I562,J562)=2,IF(J562&gt;I562+1,"EBE &gt; VA ",""),"")&amp;IF(COUNT(H562,M562)=2,IF(ABS(M562)&gt;ABS(H562),"RN &gt; CA ",""),"")&amp;IF(COUNT(H562,K562)=2,IF(ABS(K562)&gt;ABS(H562),"RE &gt; CA ",""),""))=0,"OK",IF(COUNT(I562,J562)=2,IF(J562&gt;I562+1,"EBE &gt; VA ",""),"")&amp;IF(COUNT(H562,M562)=2,IF(ABS(M562)&gt;ABS(H562),"RN &gt; CA ",""),"")&amp;IF(COUNT(H562,K562)=2,IF(ABS(K562)&gt;ABS(H562),"RE &gt; CA ",""),"")))</f>
        <v/>
      </c>
    </row>
    <row r="563">
      <c r="A563" s="9" t="inlineStr">
        <is>
          <t>TTLC</t>
        </is>
      </c>
      <c r="B563" s="10">
        <f>IF(A563="","",IFERROR(VLOOKUP(A563,Titres!$A$2:$B$400,2,FALSE),"Ticker inconnu"))</f>
        <v/>
      </c>
      <c r="C563" s="11" t="n">
        <v>2021</v>
      </c>
      <c r="D563" s="11" t="inlineStr">
        <is>
          <t>T1</t>
        </is>
      </c>
      <c r="E563" s="9" t="n"/>
      <c r="F563" s="12" t="n"/>
      <c r="G563" s="9" t="n"/>
      <c r="H563" s="13" t="n"/>
      <c r="I563" s="13" t="n"/>
      <c r="J563" s="13" t="n"/>
      <c r="K563" s="13" t="n"/>
      <c r="L563" s="13" t="n"/>
      <c r="M563" s="13" t="n"/>
      <c r="N563" s="14">
        <f>IF(A563="","",COUNT(H563:M563)/6)</f>
        <v/>
      </c>
      <c r="O563" s="15">
        <f>IF(COUNT(H563:M563)=0,"",IF(LEN(IF(COUNT(I563,J563)=2,IF(J563&gt;I563+1,"EBE &gt; VA ",""),"")&amp;IF(COUNT(H563,M563)=2,IF(ABS(M563)&gt;ABS(H563),"RN &gt; CA ",""),"")&amp;IF(COUNT(H563,K563)=2,IF(ABS(K563)&gt;ABS(H563),"RE &gt; CA ",""),""))=0,"OK",IF(COUNT(I563,J563)=2,IF(J563&gt;I563+1,"EBE &gt; VA ",""),"")&amp;IF(COUNT(H563,M563)=2,IF(ABS(M563)&gt;ABS(H563),"RN &gt; CA ",""),"")&amp;IF(COUNT(H563,K563)=2,IF(ABS(K563)&gt;ABS(H563),"RE &gt; CA ",""),"")))</f>
        <v/>
      </c>
    </row>
    <row r="564">
      <c r="A564" s="9" t="inlineStr">
        <is>
          <t>TTLC</t>
        </is>
      </c>
      <c r="B564" s="10">
        <f>IF(A564="","",IFERROR(VLOOKUP(A564,Titres!$A$2:$B$400,2,FALSE),"Ticker inconnu"))</f>
        <v/>
      </c>
      <c r="C564" s="11" t="n">
        <v>2021</v>
      </c>
      <c r="D564" s="11" t="inlineStr">
        <is>
          <t>S1</t>
        </is>
      </c>
      <c r="E564" s="9" t="n"/>
      <c r="F564" s="12" t="n"/>
      <c r="G564" s="9" t="n"/>
      <c r="H564" s="13" t="n"/>
      <c r="I564" s="13" t="n"/>
      <c r="J564" s="13" t="n"/>
      <c r="K564" s="13" t="n"/>
      <c r="L564" s="13" t="n"/>
      <c r="M564" s="13" t="n"/>
      <c r="N564" s="14">
        <f>IF(A564="","",COUNT(H564:M564)/6)</f>
        <v/>
      </c>
      <c r="O564" s="15">
        <f>IF(COUNT(H564:M564)=0,"",IF(LEN(IF(COUNT(I564,J564)=2,IF(J564&gt;I564+1,"EBE &gt; VA ",""),"")&amp;IF(COUNT(H564,M564)=2,IF(ABS(M564)&gt;ABS(H564),"RN &gt; CA ",""),"")&amp;IF(COUNT(H564,K564)=2,IF(ABS(K564)&gt;ABS(H564),"RE &gt; CA ",""),""))=0,"OK",IF(COUNT(I564,J564)=2,IF(J564&gt;I564+1,"EBE &gt; VA ",""),"")&amp;IF(COUNT(H564,M564)=2,IF(ABS(M564)&gt;ABS(H564),"RN &gt; CA ",""),"")&amp;IF(COUNT(H564,K564)=2,IF(ABS(K564)&gt;ABS(H564),"RE &gt; CA ",""),"")))</f>
        <v/>
      </c>
    </row>
    <row r="565">
      <c r="A565" s="9" t="inlineStr">
        <is>
          <t>TTLC</t>
        </is>
      </c>
      <c r="B565" s="10">
        <f>IF(A565="","",IFERROR(VLOOKUP(A565,Titres!$A$2:$B$400,2,FALSE),"Ticker inconnu"))</f>
        <v/>
      </c>
      <c r="C565" s="11" t="n">
        <v>2021</v>
      </c>
      <c r="D565" s="11" t="inlineStr">
        <is>
          <t>T3</t>
        </is>
      </c>
      <c r="E565" s="9" t="n"/>
      <c r="F565" s="12" t="n"/>
      <c r="G565" s="9" t="n"/>
      <c r="H565" s="13" t="n"/>
      <c r="I565" s="13" t="n"/>
      <c r="J565" s="13" t="n"/>
      <c r="K565" s="13" t="n"/>
      <c r="L565" s="13" t="n"/>
      <c r="M565" s="13" t="n"/>
      <c r="N565" s="14">
        <f>IF(A565="","",COUNT(H565:M565)/6)</f>
        <v/>
      </c>
      <c r="O565" s="15">
        <f>IF(COUNT(H565:M565)=0,"",IF(LEN(IF(COUNT(I565,J565)=2,IF(J565&gt;I565+1,"EBE &gt; VA ",""),"")&amp;IF(COUNT(H565,M565)=2,IF(ABS(M565)&gt;ABS(H565),"RN &gt; CA ",""),"")&amp;IF(COUNT(H565,K565)=2,IF(ABS(K565)&gt;ABS(H565),"RE &gt; CA ",""),""))=0,"OK",IF(COUNT(I565,J565)=2,IF(J565&gt;I565+1,"EBE &gt; VA ",""),"")&amp;IF(COUNT(H565,M565)=2,IF(ABS(M565)&gt;ABS(H565),"RN &gt; CA ",""),"")&amp;IF(COUNT(H565,K565)=2,IF(ABS(K565)&gt;ABS(H565),"RE &gt; CA ",""),"")))</f>
        <v/>
      </c>
    </row>
    <row r="566">
      <c r="A566" s="9" t="inlineStr">
        <is>
          <t>TTLC</t>
        </is>
      </c>
      <c r="B566" s="10">
        <f>IF(A566="","",IFERROR(VLOOKUP(A566,Titres!$A$2:$B$400,2,FALSE),"Ticker inconnu"))</f>
        <v/>
      </c>
      <c r="C566" s="11" t="n">
        <v>2022</v>
      </c>
      <c r="D566" s="11" t="inlineStr">
        <is>
          <t>T1</t>
        </is>
      </c>
      <c r="E566" s="9" t="n"/>
      <c r="F566" s="12" t="n"/>
      <c r="G566" s="9" t="n"/>
      <c r="H566" s="13" t="n"/>
      <c r="I566" s="13" t="n"/>
      <c r="J566" s="13" t="n"/>
      <c r="K566" s="13" t="n"/>
      <c r="L566" s="13" t="n"/>
      <c r="M566" s="13" t="n"/>
      <c r="N566" s="14">
        <f>IF(A566="","",COUNT(H566:M566)/6)</f>
        <v/>
      </c>
      <c r="O566" s="15">
        <f>IF(COUNT(H566:M566)=0,"",IF(LEN(IF(COUNT(I566,J566)=2,IF(J566&gt;I566+1,"EBE &gt; VA ",""),"")&amp;IF(COUNT(H566,M566)=2,IF(ABS(M566)&gt;ABS(H566),"RN &gt; CA ",""),"")&amp;IF(COUNT(H566,K566)=2,IF(ABS(K566)&gt;ABS(H566),"RE &gt; CA ",""),""))=0,"OK",IF(COUNT(I566,J566)=2,IF(J566&gt;I566+1,"EBE &gt; VA ",""),"")&amp;IF(COUNT(H566,M566)=2,IF(ABS(M566)&gt;ABS(H566),"RN &gt; CA ",""),"")&amp;IF(COUNT(H566,K566)=2,IF(ABS(K566)&gt;ABS(H566),"RE &gt; CA ",""),"")))</f>
        <v/>
      </c>
    </row>
    <row r="567">
      <c r="A567" s="9" t="inlineStr">
        <is>
          <t>TTLC</t>
        </is>
      </c>
      <c r="B567" s="10">
        <f>IF(A567="","",IFERROR(VLOOKUP(A567,Titres!$A$2:$B$400,2,FALSE),"Ticker inconnu"))</f>
        <v/>
      </c>
      <c r="C567" s="11" t="n">
        <v>2022</v>
      </c>
      <c r="D567" s="11" t="inlineStr">
        <is>
          <t>S1</t>
        </is>
      </c>
      <c r="E567" s="9" t="n"/>
      <c r="F567" s="12" t="n"/>
      <c r="G567" s="9" t="n"/>
      <c r="H567" s="13" t="n"/>
      <c r="I567" s="13" t="n"/>
      <c r="J567" s="13" t="n"/>
      <c r="K567" s="13" t="n"/>
      <c r="L567" s="13" t="n"/>
      <c r="M567" s="13" t="n"/>
      <c r="N567" s="14">
        <f>IF(A567="","",COUNT(H567:M567)/6)</f>
        <v/>
      </c>
      <c r="O567" s="15">
        <f>IF(COUNT(H567:M567)=0,"",IF(LEN(IF(COUNT(I567,J567)=2,IF(J567&gt;I567+1,"EBE &gt; VA ",""),"")&amp;IF(COUNT(H567,M567)=2,IF(ABS(M567)&gt;ABS(H567),"RN &gt; CA ",""),"")&amp;IF(COUNT(H567,K567)=2,IF(ABS(K567)&gt;ABS(H567),"RE &gt; CA ",""),""))=0,"OK",IF(COUNT(I567,J567)=2,IF(J567&gt;I567+1,"EBE &gt; VA ",""),"")&amp;IF(COUNT(H567,M567)=2,IF(ABS(M567)&gt;ABS(H567),"RN &gt; CA ",""),"")&amp;IF(COUNT(H567,K567)=2,IF(ABS(K567)&gt;ABS(H567),"RE &gt; CA ",""),"")))</f>
        <v/>
      </c>
    </row>
    <row r="568">
      <c r="A568" s="9" t="inlineStr">
        <is>
          <t>TTLC</t>
        </is>
      </c>
      <c r="B568" s="10">
        <f>IF(A568="","",IFERROR(VLOOKUP(A568,Titres!$A$2:$B$400,2,FALSE),"Ticker inconnu"))</f>
        <v/>
      </c>
      <c r="C568" s="11" t="n">
        <v>2022</v>
      </c>
      <c r="D568" s="11" t="inlineStr">
        <is>
          <t>T3</t>
        </is>
      </c>
      <c r="E568" s="9" t="n"/>
      <c r="F568" s="12" t="n"/>
      <c r="G568" s="9" t="n"/>
      <c r="H568" s="13" t="n"/>
      <c r="I568" s="13" t="n"/>
      <c r="J568" s="13" t="n"/>
      <c r="K568" s="13" t="n"/>
      <c r="L568" s="13" t="n"/>
      <c r="M568" s="13" t="n"/>
      <c r="N568" s="14">
        <f>IF(A568="","",COUNT(H568:M568)/6)</f>
        <v/>
      </c>
      <c r="O568" s="15">
        <f>IF(COUNT(H568:M568)=0,"",IF(LEN(IF(COUNT(I568,J568)=2,IF(J568&gt;I568+1,"EBE &gt; VA ",""),"")&amp;IF(COUNT(H568,M568)=2,IF(ABS(M568)&gt;ABS(H568),"RN &gt; CA ",""),"")&amp;IF(COUNT(H568,K568)=2,IF(ABS(K568)&gt;ABS(H568),"RE &gt; CA ",""),""))=0,"OK",IF(COUNT(I568,J568)=2,IF(J568&gt;I568+1,"EBE &gt; VA ",""),"")&amp;IF(COUNT(H568,M568)=2,IF(ABS(M568)&gt;ABS(H568),"RN &gt; CA ",""),"")&amp;IF(COUNT(H568,K568)=2,IF(ABS(K568)&gt;ABS(H568),"RE &gt; CA ",""),"")))</f>
        <v/>
      </c>
    </row>
    <row r="569">
      <c r="A569" s="9" t="inlineStr">
        <is>
          <t>TTLC</t>
        </is>
      </c>
      <c r="B569" s="10">
        <f>IF(A569="","",IFERROR(VLOOKUP(A569,Titres!$A$2:$B$400,2,FALSE),"Ticker inconnu"))</f>
        <v/>
      </c>
      <c r="C569" s="11" t="n">
        <v>2023</v>
      </c>
      <c r="D569" s="11" t="inlineStr">
        <is>
          <t>T1</t>
        </is>
      </c>
      <c r="E569" s="9" t="n"/>
      <c r="F569" s="12" t="n"/>
      <c r="G569" s="9" t="n"/>
      <c r="H569" s="13" t="n"/>
      <c r="I569" s="13" t="n"/>
      <c r="J569" s="13" t="n"/>
      <c r="K569" s="13" t="n"/>
      <c r="L569" s="13" t="n"/>
      <c r="M569" s="13" t="n"/>
      <c r="N569" s="14">
        <f>IF(A569="","",COUNT(H569:M569)/6)</f>
        <v/>
      </c>
      <c r="O569" s="15">
        <f>IF(COUNT(H569:M569)=0,"",IF(LEN(IF(COUNT(I569,J569)=2,IF(J569&gt;I569+1,"EBE &gt; VA ",""),"")&amp;IF(COUNT(H569,M569)=2,IF(ABS(M569)&gt;ABS(H569),"RN &gt; CA ",""),"")&amp;IF(COUNT(H569,K569)=2,IF(ABS(K569)&gt;ABS(H569),"RE &gt; CA ",""),""))=0,"OK",IF(COUNT(I569,J569)=2,IF(J569&gt;I569+1,"EBE &gt; VA ",""),"")&amp;IF(COUNT(H569,M569)=2,IF(ABS(M569)&gt;ABS(H569),"RN &gt; CA ",""),"")&amp;IF(COUNT(H569,K569)=2,IF(ABS(K569)&gt;ABS(H569),"RE &gt; CA ",""),"")))</f>
        <v/>
      </c>
    </row>
    <row r="570">
      <c r="A570" s="9" t="inlineStr">
        <is>
          <t>TTLC</t>
        </is>
      </c>
      <c r="B570" s="10">
        <f>IF(A570="","",IFERROR(VLOOKUP(A570,Titres!$A$2:$B$400,2,FALSE),"Ticker inconnu"))</f>
        <v/>
      </c>
      <c r="C570" s="11" t="n">
        <v>2023</v>
      </c>
      <c r="D570" s="11" t="inlineStr">
        <is>
          <t>S1</t>
        </is>
      </c>
      <c r="E570" s="9" t="n"/>
      <c r="F570" s="12" t="n"/>
      <c r="G570" s="9" t="n"/>
      <c r="H570" s="13" t="n"/>
      <c r="I570" s="13" t="n"/>
      <c r="J570" s="13" t="n"/>
      <c r="K570" s="13" t="n"/>
      <c r="L570" s="13" t="n"/>
      <c r="M570" s="13" t="n"/>
      <c r="N570" s="14">
        <f>IF(A570="","",COUNT(H570:M570)/6)</f>
        <v/>
      </c>
      <c r="O570" s="15">
        <f>IF(COUNT(H570:M570)=0,"",IF(LEN(IF(COUNT(I570,J570)=2,IF(J570&gt;I570+1,"EBE &gt; VA ",""),"")&amp;IF(COUNT(H570,M570)=2,IF(ABS(M570)&gt;ABS(H570),"RN &gt; CA ",""),"")&amp;IF(COUNT(H570,K570)=2,IF(ABS(K570)&gt;ABS(H570),"RE &gt; CA ",""),""))=0,"OK",IF(COUNT(I570,J570)=2,IF(J570&gt;I570+1,"EBE &gt; VA ",""),"")&amp;IF(COUNT(H570,M570)=2,IF(ABS(M570)&gt;ABS(H570),"RN &gt; CA ",""),"")&amp;IF(COUNT(H570,K570)=2,IF(ABS(K570)&gt;ABS(H570),"RE &gt; CA ",""),"")))</f>
        <v/>
      </c>
    </row>
    <row r="571">
      <c r="A571" s="9" t="inlineStr">
        <is>
          <t>TTLC</t>
        </is>
      </c>
      <c r="B571" s="10">
        <f>IF(A571="","",IFERROR(VLOOKUP(A571,Titres!$A$2:$B$400,2,FALSE),"Ticker inconnu"))</f>
        <v/>
      </c>
      <c r="C571" s="11" t="n">
        <v>2023</v>
      </c>
      <c r="D571" s="11" t="inlineStr">
        <is>
          <t>T3</t>
        </is>
      </c>
      <c r="E571" s="9" t="n"/>
      <c r="F571" s="12" t="n"/>
      <c r="G571" s="9" t="n"/>
      <c r="H571" s="13" t="n"/>
      <c r="I571" s="13" t="n"/>
      <c r="J571" s="13" t="n"/>
      <c r="K571" s="13" t="n"/>
      <c r="L571" s="13" t="n"/>
      <c r="M571" s="13" t="n"/>
      <c r="N571" s="14">
        <f>IF(A571="","",COUNT(H571:M571)/6)</f>
        <v/>
      </c>
      <c r="O571" s="15">
        <f>IF(COUNT(H571:M571)=0,"",IF(LEN(IF(COUNT(I571,J571)=2,IF(J571&gt;I571+1,"EBE &gt; VA ",""),"")&amp;IF(COUNT(H571,M571)=2,IF(ABS(M571)&gt;ABS(H571),"RN &gt; CA ",""),"")&amp;IF(COUNT(H571,K571)=2,IF(ABS(K571)&gt;ABS(H571),"RE &gt; CA ",""),""))=0,"OK",IF(COUNT(I571,J571)=2,IF(J571&gt;I571+1,"EBE &gt; VA ",""),"")&amp;IF(COUNT(H571,M571)=2,IF(ABS(M571)&gt;ABS(H571),"RN &gt; CA ",""),"")&amp;IF(COUNT(H571,K571)=2,IF(ABS(K571)&gt;ABS(H571),"RE &gt; CA ",""),"")))</f>
        <v/>
      </c>
    </row>
    <row r="572">
      <c r="A572" s="9" t="inlineStr">
        <is>
          <t>TTLC</t>
        </is>
      </c>
      <c r="B572" s="10">
        <f>IF(A572="","",IFERROR(VLOOKUP(A572,Titres!$A$2:$B$400,2,FALSE),"Ticker inconnu"))</f>
        <v/>
      </c>
      <c r="C572" s="11" t="n">
        <v>2024</v>
      </c>
      <c r="D572" s="11" t="inlineStr">
        <is>
          <t>T1</t>
        </is>
      </c>
      <c r="E572" s="9" t="n"/>
      <c r="F572" s="12" t="n"/>
      <c r="G572" s="9" t="n"/>
      <c r="H572" s="13" t="n"/>
      <c r="I572" s="13" t="n"/>
      <c r="J572" s="13" t="n"/>
      <c r="K572" s="13" t="n"/>
      <c r="L572" s="13" t="n"/>
      <c r="M572" s="13" t="n"/>
      <c r="N572" s="14">
        <f>IF(A572="","",COUNT(H572:M572)/6)</f>
        <v/>
      </c>
      <c r="O572" s="15">
        <f>IF(COUNT(H572:M572)=0,"",IF(LEN(IF(COUNT(I572,J572)=2,IF(J572&gt;I572+1,"EBE &gt; VA ",""),"")&amp;IF(COUNT(H572,M572)=2,IF(ABS(M572)&gt;ABS(H572),"RN &gt; CA ",""),"")&amp;IF(COUNT(H572,K572)=2,IF(ABS(K572)&gt;ABS(H572),"RE &gt; CA ",""),""))=0,"OK",IF(COUNT(I572,J572)=2,IF(J572&gt;I572+1,"EBE &gt; VA ",""),"")&amp;IF(COUNT(H572,M572)=2,IF(ABS(M572)&gt;ABS(H572),"RN &gt; CA ",""),"")&amp;IF(COUNT(H572,K572)=2,IF(ABS(K572)&gt;ABS(H572),"RE &gt; CA ",""),"")))</f>
        <v/>
      </c>
    </row>
    <row r="573">
      <c r="A573" s="9" t="inlineStr">
        <is>
          <t>TTLC</t>
        </is>
      </c>
      <c r="B573" s="10">
        <f>IF(A573="","",IFERROR(VLOOKUP(A573,Titres!$A$2:$B$400,2,FALSE),"Ticker inconnu"))</f>
        <v/>
      </c>
      <c r="C573" s="11" t="n">
        <v>2024</v>
      </c>
      <c r="D573" s="11" t="inlineStr">
        <is>
          <t>S1</t>
        </is>
      </c>
      <c r="E573" s="9" t="n"/>
      <c r="F573" s="12" t="n"/>
      <c r="G573" s="9" t="n"/>
      <c r="H573" s="13" t="n"/>
      <c r="I573" s="13" t="n"/>
      <c r="J573" s="13" t="n"/>
      <c r="K573" s="13" t="n"/>
      <c r="L573" s="13" t="n"/>
      <c r="M573" s="13" t="n"/>
      <c r="N573" s="14">
        <f>IF(A573="","",COUNT(H573:M573)/6)</f>
        <v/>
      </c>
      <c r="O573" s="15">
        <f>IF(COUNT(H573:M573)=0,"",IF(LEN(IF(COUNT(I573,J573)=2,IF(J573&gt;I573+1,"EBE &gt; VA ",""),"")&amp;IF(COUNT(H573,M573)=2,IF(ABS(M573)&gt;ABS(H573),"RN &gt; CA ",""),"")&amp;IF(COUNT(H573,K573)=2,IF(ABS(K573)&gt;ABS(H573),"RE &gt; CA ",""),""))=0,"OK",IF(COUNT(I573,J573)=2,IF(J573&gt;I573+1,"EBE &gt; VA ",""),"")&amp;IF(COUNT(H573,M573)=2,IF(ABS(M573)&gt;ABS(H573),"RN &gt; CA ",""),"")&amp;IF(COUNT(H573,K573)=2,IF(ABS(K573)&gt;ABS(H573),"RE &gt; CA ",""),"")))</f>
        <v/>
      </c>
    </row>
    <row r="574">
      <c r="A574" s="9" t="inlineStr">
        <is>
          <t>TTLC</t>
        </is>
      </c>
      <c r="B574" s="10">
        <f>IF(A574="","",IFERROR(VLOOKUP(A574,Titres!$A$2:$B$400,2,FALSE),"Ticker inconnu"))</f>
        <v/>
      </c>
      <c r="C574" s="11" t="n">
        <v>2024</v>
      </c>
      <c r="D574" s="11" t="inlineStr">
        <is>
          <t>T3</t>
        </is>
      </c>
      <c r="E574" s="9" t="n"/>
      <c r="F574" s="12" t="n"/>
      <c r="G574" s="9" t="n"/>
      <c r="H574" s="13" t="n"/>
      <c r="I574" s="13" t="n"/>
      <c r="J574" s="13" t="n"/>
      <c r="K574" s="13" t="n"/>
      <c r="L574" s="13" t="n"/>
      <c r="M574" s="13" t="n"/>
      <c r="N574" s="14">
        <f>IF(A574="","",COUNT(H574:M574)/6)</f>
        <v/>
      </c>
      <c r="O574" s="15">
        <f>IF(COUNT(H574:M574)=0,"",IF(LEN(IF(COUNT(I574,J574)=2,IF(J574&gt;I574+1,"EBE &gt; VA ",""),"")&amp;IF(COUNT(H574,M574)=2,IF(ABS(M574)&gt;ABS(H574),"RN &gt; CA ",""),"")&amp;IF(COUNT(H574,K574)=2,IF(ABS(K574)&gt;ABS(H574),"RE &gt; CA ",""),""))=0,"OK",IF(COUNT(I574,J574)=2,IF(J574&gt;I574+1,"EBE &gt; VA ",""),"")&amp;IF(COUNT(H574,M574)=2,IF(ABS(M574)&gt;ABS(H574),"RN &gt; CA ",""),"")&amp;IF(COUNT(H574,K574)=2,IF(ABS(K574)&gt;ABS(H574),"RE &gt; CA ",""),"")))</f>
        <v/>
      </c>
    </row>
    <row r="575">
      <c r="A575" s="9" t="inlineStr">
        <is>
          <t>TTLC</t>
        </is>
      </c>
      <c r="B575" s="10">
        <f>IF(A575="","",IFERROR(VLOOKUP(A575,Titres!$A$2:$B$400,2,FALSE),"Ticker inconnu"))</f>
        <v/>
      </c>
      <c r="C575" s="11" t="n">
        <v>2025</v>
      </c>
      <c r="D575" s="11" t="inlineStr">
        <is>
          <t>T1</t>
        </is>
      </c>
      <c r="E575" s="9" t="n"/>
      <c r="F575" s="12" t="n"/>
      <c r="G575" s="9" t="n"/>
      <c r="H575" s="13" t="n"/>
      <c r="I575" s="13" t="n"/>
      <c r="J575" s="13" t="n"/>
      <c r="K575" s="13" t="n"/>
      <c r="L575" s="13" t="n"/>
      <c r="M575" s="13" t="n"/>
      <c r="N575" s="14">
        <f>IF(A575="","",COUNT(H575:M575)/6)</f>
        <v/>
      </c>
      <c r="O575" s="15">
        <f>IF(COUNT(H575:M575)=0,"",IF(LEN(IF(COUNT(I575,J575)=2,IF(J575&gt;I575+1,"EBE &gt; VA ",""),"")&amp;IF(COUNT(H575,M575)=2,IF(ABS(M575)&gt;ABS(H575),"RN &gt; CA ",""),"")&amp;IF(COUNT(H575,K575)=2,IF(ABS(K575)&gt;ABS(H575),"RE &gt; CA ",""),""))=0,"OK",IF(COUNT(I575,J575)=2,IF(J575&gt;I575+1,"EBE &gt; VA ",""),"")&amp;IF(COUNT(H575,M575)=2,IF(ABS(M575)&gt;ABS(H575),"RN &gt; CA ",""),"")&amp;IF(COUNT(H575,K575)=2,IF(ABS(K575)&gt;ABS(H575),"RE &gt; CA ",""),"")))</f>
        <v/>
      </c>
    </row>
    <row r="576">
      <c r="A576" s="9" t="inlineStr">
        <is>
          <t>TTLC</t>
        </is>
      </c>
      <c r="B576" s="10">
        <f>IF(A576="","",IFERROR(VLOOKUP(A576,Titres!$A$2:$B$400,2,FALSE),"Ticker inconnu"))</f>
        <v/>
      </c>
      <c r="C576" s="11" t="n">
        <v>2025</v>
      </c>
      <c r="D576" s="11" t="inlineStr">
        <is>
          <t>S1</t>
        </is>
      </c>
      <c r="E576" s="9" t="n"/>
      <c r="F576" s="12" t="n"/>
      <c r="G576" s="9" t="n"/>
      <c r="H576" s="13" t="n"/>
      <c r="I576" s="13" t="n"/>
      <c r="J576" s="13" t="n"/>
      <c r="K576" s="13" t="n"/>
      <c r="L576" s="13" t="n"/>
      <c r="M576" s="13" t="n"/>
      <c r="N576" s="14">
        <f>IF(A576="","",COUNT(H576:M576)/6)</f>
        <v/>
      </c>
      <c r="O576" s="15">
        <f>IF(COUNT(H576:M576)=0,"",IF(LEN(IF(COUNT(I576,J576)=2,IF(J576&gt;I576+1,"EBE &gt; VA ",""),"")&amp;IF(COUNT(H576,M576)=2,IF(ABS(M576)&gt;ABS(H576),"RN &gt; CA ",""),"")&amp;IF(COUNT(H576,K576)=2,IF(ABS(K576)&gt;ABS(H576),"RE &gt; CA ",""),""))=0,"OK",IF(COUNT(I576,J576)=2,IF(J576&gt;I576+1,"EBE &gt; VA ",""),"")&amp;IF(COUNT(H576,M576)=2,IF(ABS(M576)&gt;ABS(H576),"RN &gt; CA ",""),"")&amp;IF(COUNT(H576,K576)=2,IF(ABS(K576)&gt;ABS(H576),"RE &gt; CA ",""),"")))</f>
        <v/>
      </c>
    </row>
    <row r="577">
      <c r="A577" s="9" t="inlineStr">
        <is>
          <t>TTLC</t>
        </is>
      </c>
      <c r="B577" s="10">
        <f>IF(A577="","",IFERROR(VLOOKUP(A577,Titres!$A$2:$B$400,2,FALSE),"Ticker inconnu"))</f>
        <v/>
      </c>
      <c r="C577" s="11" t="n">
        <v>2025</v>
      </c>
      <c r="D577" s="11" t="inlineStr">
        <is>
          <t>T3</t>
        </is>
      </c>
      <c r="E577" s="9" t="n"/>
      <c r="F577" s="12" t="n"/>
      <c r="G577" s="9" t="n"/>
      <c r="H577" s="13" t="n"/>
      <c r="I577" s="13" t="n"/>
      <c r="J577" s="13" t="n"/>
      <c r="K577" s="13" t="n"/>
      <c r="L577" s="13" t="n"/>
      <c r="M577" s="13" t="n"/>
      <c r="N577" s="14">
        <f>IF(A577="","",COUNT(H577:M577)/6)</f>
        <v/>
      </c>
      <c r="O577" s="15">
        <f>IF(COUNT(H577:M577)=0,"",IF(LEN(IF(COUNT(I577,J577)=2,IF(J577&gt;I577+1,"EBE &gt; VA ",""),"")&amp;IF(COUNT(H577,M577)=2,IF(ABS(M577)&gt;ABS(H577),"RN &gt; CA ",""),"")&amp;IF(COUNT(H577,K577)=2,IF(ABS(K577)&gt;ABS(H577),"RE &gt; CA ",""),""))=0,"OK",IF(COUNT(I577,J577)=2,IF(J577&gt;I577+1,"EBE &gt; VA ",""),"")&amp;IF(COUNT(H577,M577)=2,IF(ABS(M577)&gt;ABS(H577),"RN &gt; CA ",""),"")&amp;IF(COUNT(H577,K577)=2,IF(ABS(K577)&gt;ABS(H577),"RE &gt; CA ",""),"")))</f>
        <v/>
      </c>
    </row>
    <row r="578">
      <c r="A578" s="9" t="inlineStr">
        <is>
          <t>TTLC</t>
        </is>
      </c>
      <c r="B578" s="10">
        <f>IF(A578="","",IFERROR(VLOOKUP(A578,Titres!$A$2:$B$400,2,FALSE),"Ticker inconnu"))</f>
        <v/>
      </c>
      <c r="C578" s="11" t="n">
        <v>2026</v>
      </c>
      <c r="D578" s="11" t="inlineStr">
        <is>
          <t>T1</t>
        </is>
      </c>
      <c r="E578" s="9" t="n"/>
      <c r="F578" s="12" t="n"/>
      <c r="G578" s="9" t="n"/>
      <c r="H578" s="13" t="n"/>
      <c r="I578" s="13" t="n"/>
      <c r="J578" s="13" t="n"/>
      <c r="K578" s="13" t="n"/>
      <c r="L578" s="13" t="n"/>
      <c r="M578" s="13" t="n"/>
      <c r="N578" s="14">
        <f>IF(A578="","",COUNT(H578:M578)/6)</f>
        <v/>
      </c>
      <c r="O578" s="15">
        <f>IF(COUNT(H578:M578)=0,"",IF(LEN(IF(COUNT(I578,J578)=2,IF(J578&gt;I578+1,"EBE &gt; VA ",""),"")&amp;IF(COUNT(H578,M578)=2,IF(ABS(M578)&gt;ABS(H578),"RN &gt; CA ",""),"")&amp;IF(COUNT(H578,K578)=2,IF(ABS(K578)&gt;ABS(H578),"RE &gt; CA ",""),""))=0,"OK",IF(COUNT(I578,J578)=2,IF(J578&gt;I578+1,"EBE &gt; VA ",""),"")&amp;IF(COUNT(H578,M578)=2,IF(ABS(M578)&gt;ABS(H578),"RN &gt; CA ",""),"")&amp;IF(COUNT(H578,K578)=2,IF(ABS(K578)&gt;ABS(H578),"RE &gt; CA ",""),"")))</f>
        <v/>
      </c>
    </row>
    <row r="579">
      <c r="A579" s="9" t="inlineStr">
        <is>
          <t>TTLC</t>
        </is>
      </c>
      <c r="B579" s="10">
        <f>IF(A579="","",IFERROR(VLOOKUP(A579,Titres!$A$2:$B$400,2,FALSE),"Ticker inconnu"))</f>
        <v/>
      </c>
      <c r="C579" s="11" t="n">
        <v>2026</v>
      </c>
      <c r="D579" s="11" t="inlineStr">
        <is>
          <t>S1</t>
        </is>
      </c>
      <c r="E579" s="9" t="n"/>
      <c r="F579" s="12" t="n"/>
      <c r="G579" s="9" t="n"/>
      <c r="H579" s="13" t="n"/>
      <c r="I579" s="13" t="n"/>
      <c r="J579" s="13" t="n"/>
      <c r="K579" s="13" t="n"/>
      <c r="L579" s="13" t="n"/>
      <c r="M579" s="13" t="n"/>
      <c r="N579" s="14">
        <f>IF(A579="","",COUNT(H579:M579)/6)</f>
        <v/>
      </c>
      <c r="O579" s="15">
        <f>IF(COUNT(H579:M579)=0,"",IF(LEN(IF(COUNT(I579,J579)=2,IF(J579&gt;I579+1,"EBE &gt; VA ",""),"")&amp;IF(COUNT(H579,M579)=2,IF(ABS(M579)&gt;ABS(H579),"RN &gt; CA ",""),"")&amp;IF(COUNT(H579,K579)=2,IF(ABS(K579)&gt;ABS(H579),"RE &gt; CA ",""),""))=0,"OK",IF(COUNT(I579,J579)=2,IF(J579&gt;I579+1,"EBE &gt; VA ",""),"")&amp;IF(COUNT(H579,M579)=2,IF(ABS(M579)&gt;ABS(H579),"RN &gt; CA ",""),"")&amp;IF(COUNT(H579,K579)=2,IF(ABS(K579)&gt;ABS(H579),"RE &gt; CA ",""),"")))</f>
        <v/>
      </c>
    </row>
    <row r="580">
      <c r="A580" s="9" t="inlineStr">
        <is>
          <t>TTLC</t>
        </is>
      </c>
      <c r="B580" s="10">
        <f>IF(A580="","",IFERROR(VLOOKUP(A580,Titres!$A$2:$B$400,2,FALSE),"Ticker inconnu"))</f>
        <v/>
      </c>
      <c r="C580" s="11" t="n">
        <v>2026</v>
      </c>
      <c r="D580" s="11" t="inlineStr">
        <is>
          <t>T3</t>
        </is>
      </c>
      <c r="E580" s="9" t="n"/>
      <c r="F580" s="12" t="n"/>
      <c r="G580" s="9" t="n"/>
      <c r="H580" s="13" t="n"/>
      <c r="I580" s="13" t="n"/>
      <c r="J580" s="13" t="n"/>
      <c r="K580" s="13" t="n"/>
      <c r="L580" s="13" t="n"/>
      <c r="M580" s="13" t="n"/>
      <c r="N580" s="14">
        <f>IF(A580="","",COUNT(H580:M580)/6)</f>
        <v/>
      </c>
      <c r="O580" s="15">
        <f>IF(COUNT(H580:M580)=0,"",IF(LEN(IF(COUNT(I580,J580)=2,IF(J580&gt;I580+1,"EBE &gt; VA ",""),"")&amp;IF(COUNT(H580,M580)=2,IF(ABS(M580)&gt;ABS(H580),"RN &gt; CA ",""),"")&amp;IF(COUNT(H580,K580)=2,IF(ABS(K580)&gt;ABS(H580),"RE &gt; CA ",""),""))=0,"OK",IF(COUNT(I580,J580)=2,IF(J580&gt;I580+1,"EBE &gt; VA ",""),"")&amp;IF(COUNT(H580,M580)=2,IF(ABS(M580)&gt;ABS(H580),"RN &gt; CA ",""),"")&amp;IF(COUNT(H580,K580)=2,IF(ABS(K580)&gt;ABS(H580),"RE &gt; CA ",""),"")))</f>
        <v/>
      </c>
    </row>
    <row r="581">
      <c r="A581" s="9" t="inlineStr">
        <is>
          <t>TTLS</t>
        </is>
      </c>
      <c r="B581" s="10">
        <f>IF(A581="","",IFERROR(VLOOKUP(A581,Titres!$A$2:$B$400,2,FALSE),"Ticker inconnu"))</f>
        <v/>
      </c>
      <c r="C581" s="11" t="n">
        <v>2021</v>
      </c>
      <c r="D581" s="11" t="inlineStr">
        <is>
          <t>T1</t>
        </is>
      </c>
      <c r="E581" s="9" t="n"/>
      <c r="F581" s="12" t="n"/>
      <c r="G581" s="9" t="n"/>
      <c r="H581" s="13" t="n"/>
      <c r="I581" s="13" t="n"/>
      <c r="J581" s="13" t="n"/>
      <c r="K581" s="13" t="n"/>
      <c r="L581" s="13" t="n"/>
      <c r="M581" s="13" t="n"/>
      <c r="N581" s="14">
        <f>IF(A581="","",COUNT(H581:M581)/6)</f>
        <v/>
      </c>
      <c r="O581" s="15">
        <f>IF(COUNT(H581:M581)=0,"",IF(LEN(IF(COUNT(I581,J581)=2,IF(J581&gt;I581+1,"EBE &gt; VA ",""),"")&amp;IF(COUNT(H581,M581)=2,IF(ABS(M581)&gt;ABS(H581),"RN &gt; CA ",""),"")&amp;IF(COUNT(H581,K581)=2,IF(ABS(K581)&gt;ABS(H581),"RE &gt; CA ",""),""))=0,"OK",IF(COUNT(I581,J581)=2,IF(J581&gt;I581+1,"EBE &gt; VA ",""),"")&amp;IF(COUNT(H581,M581)=2,IF(ABS(M581)&gt;ABS(H581),"RN &gt; CA ",""),"")&amp;IF(COUNT(H581,K581)=2,IF(ABS(K581)&gt;ABS(H581),"RE &gt; CA ",""),"")))</f>
        <v/>
      </c>
    </row>
    <row r="582">
      <c r="A582" s="9" t="inlineStr">
        <is>
          <t>TTLS</t>
        </is>
      </c>
      <c r="B582" s="10">
        <f>IF(A582="","",IFERROR(VLOOKUP(A582,Titres!$A$2:$B$400,2,FALSE),"Ticker inconnu"))</f>
        <v/>
      </c>
      <c r="C582" s="11" t="n">
        <v>2021</v>
      </c>
      <c r="D582" s="11" t="inlineStr">
        <is>
          <t>S1</t>
        </is>
      </c>
      <c r="E582" s="9" t="n"/>
      <c r="F582" s="12" t="n"/>
      <c r="G582" s="9" t="n"/>
      <c r="H582" s="13" t="n"/>
      <c r="I582" s="13" t="n"/>
      <c r="J582" s="13" t="n"/>
      <c r="K582" s="13" t="n"/>
      <c r="L582" s="13" t="n"/>
      <c r="M582" s="13" t="n"/>
      <c r="N582" s="14">
        <f>IF(A582="","",COUNT(H582:M582)/6)</f>
        <v/>
      </c>
      <c r="O582" s="15">
        <f>IF(COUNT(H582:M582)=0,"",IF(LEN(IF(COUNT(I582,J582)=2,IF(J582&gt;I582+1,"EBE &gt; VA ",""),"")&amp;IF(COUNT(H582,M582)=2,IF(ABS(M582)&gt;ABS(H582),"RN &gt; CA ",""),"")&amp;IF(COUNT(H582,K582)=2,IF(ABS(K582)&gt;ABS(H582),"RE &gt; CA ",""),""))=0,"OK",IF(COUNT(I582,J582)=2,IF(J582&gt;I582+1,"EBE &gt; VA ",""),"")&amp;IF(COUNT(H582,M582)=2,IF(ABS(M582)&gt;ABS(H582),"RN &gt; CA ",""),"")&amp;IF(COUNT(H582,K582)=2,IF(ABS(K582)&gt;ABS(H582),"RE &gt; CA ",""),"")))</f>
        <v/>
      </c>
    </row>
    <row r="583">
      <c r="A583" s="9" t="inlineStr">
        <is>
          <t>TTLS</t>
        </is>
      </c>
      <c r="B583" s="10">
        <f>IF(A583="","",IFERROR(VLOOKUP(A583,Titres!$A$2:$B$400,2,FALSE),"Ticker inconnu"))</f>
        <v/>
      </c>
      <c r="C583" s="11" t="n">
        <v>2021</v>
      </c>
      <c r="D583" s="11" t="inlineStr">
        <is>
          <t>T3</t>
        </is>
      </c>
      <c r="E583" s="9" t="n"/>
      <c r="F583" s="12" t="n"/>
      <c r="G583" s="9" t="n"/>
      <c r="H583" s="13" t="n"/>
      <c r="I583" s="13" t="n"/>
      <c r="J583" s="13" t="n"/>
      <c r="K583" s="13" t="n"/>
      <c r="L583" s="13" t="n"/>
      <c r="M583" s="13" t="n"/>
      <c r="N583" s="14">
        <f>IF(A583="","",COUNT(H583:M583)/6)</f>
        <v/>
      </c>
      <c r="O583" s="15">
        <f>IF(COUNT(H583:M583)=0,"",IF(LEN(IF(COUNT(I583,J583)=2,IF(J583&gt;I583+1,"EBE &gt; VA ",""),"")&amp;IF(COUNT(H583,M583)=2,IF(ABS(M583)&gt;ABS(H583),"RN &gt; CA ",""),"")&amp;IF(COUNT(H583,K583)=2,IF(ABS(K583)&gt;ABS(H583),"RE &gt; CA ",""),""))=0,"OK",IF(COUNT(I583,J583)=2,IF(J583&gt;I583+1,"EBE &gt; VA ",""),"")&amp;IF(COUNT(H583,M583)=2,IF(ABS(M583)&gt;ABS(H583),"RN &gt; CA ",""),"")&amp;IF(COUNT(H583,K583)=2,IF(ABS(K583)&gt;ABS(H583),"RE &gt; CA ",""),"")))</f>
        <v/>
      </c>
    </row>
    <row r="584">
      <c r="A584" s="9" t="inlineStr">
        <is>
          <t>TTLS</t>
        </is>
      </c>
      <c r="B584" s="10">
        <f>IF(A584="","",IFERROR(VLOOKUP(A584,Titres!$A$2:$B$400,2,FALSE),"Ticker inconnu"))</f>
        <v/>
      </c>
      <c r="C584" s="11" t="n">
        <v>2022</v>
      </c>
      <c r="D584" s="11" t="inlineStr">
        <is>
          <t>T1</t>
        </is>
      </c>
      <c r="E584" s="9" t="n"/>
      <c r="F584" s="12" t="n"/>
      <c r="G584" s="9" t="n"/>
      <c r="H584" s="13" t="n"/>
      <c r="I584" s="13" t="n"/>
      <c r="J584" s="13" t="n"/>
      <c r="K584" s="13" t="n"/>
      <c r="L584" s="13" t="n"/>
      <c r="M584" s="13" t="n"/>
      <c r="N584" s="14">
        <f>IF(A584="","",COUNT(H584:M584)/6)</f>
        <v/>
      </c>
      <c r="O584" s="15">
        <f>IF(COUNT(H584:M584)=0,"",IF(LEN(IF(COUNT(I584,J584)=2,IF(J584&gt;I584+1,"EBE &gt; VA ",""),"")&amp;IF(COUNT(H584,M584)=2,IF(ABS(M584)&gt;ABS(H584),"RN &gt; CA ",""),"")&amp;IF(COUNT(H584,K584)=2,IF(ABS(K584)&gt;ABS(H584),"RE &gt; CA ",""),""))=0,"OK",IF(COUNT(I584,J584)=2,IF(J584&gt;I584+1,"EBE &gt; VA ",""),"")&amp;IF(COUNT(H584,M584)=2,IF(ABS(M584)&gt;ABS(H584),"RN &gt; CA ",""),"")&amp;IF(COUNT(H584,K584)=2,IF(ABS(K584)&gt;ABS(H584),"RE &gt; CA ",""),"")))</f>
        <v/>
      </c>
    </row>
    <row r="585">
      <c r="A585" s="9" t="inlineStr">
        <is>
          <t>TTLS</t>
        </is>
      </c>
      <c r="B585" s="10">
        <f>IF(A585="","",IFERROR(VLOOKUP(A585,Titres!$A$2:$B$400,2,FALSE),"Ticker inconnu"))</f>
        <v/>
      </c>
      <c r="C585" s="11" t="n">
        <v>2022</v>
      </c>
      <c r="D585" s="11" t="inlineStr">
        <is>
          <t>S1</t>
        </is>
      </c>
      <c r="E585" s="9" t="n"/>
      <c r="F585" s="12" t="n"/>
      <c r="G585" s="9" t="n"/>
      <c r="H585" s="13" t="n"/>
      <c r="I585" s="13" t="n"/>
      <c r="J585" s="13" t="n"/>
      <c r="K585" s="13" t="n"/>
      <c r="L585" s="13" t="n"/>
      <c r="M585" s="13" t="n"/>
      <c r="N585" s="14">
        <f>IF(A585="","",COUNT(H585:M585)/6)</f>
        <v/>
      </c>
      <c r="O585" s="15">
        <f>IF(COUNT(H585:M585)=0,"",IF(LEN(IF(COUNT(I585,J585)=2,IF(J585&gt;I585+1,"EBE &gt; VA ",""),"")&amp;IF(COUNT(H585,M585)=2,IF(ABS(M585)&gt;ABS(H585),"RN &gt; CA ",""),"")&amp;IF(COUNT(H585,K585)=2,IF(ABS(K585)&gt;ABS(H585),"RE &gt; CA ",""),""))=0,"OK",IF(COUNT(I585,J585)=2,IF(J585&gt;I585+1,"EBE &gt; VA ",""),"")&amp;IF(COUNT(H585,M585)=2,IF(ABS(M585)&gt;ABS(H585),"RN &gt; CA ",""),"")&amp;IF(COUNT(H585,K585)=2,IF(ABS(K585)&gt;ABS(H585),"RE &gt; CA ",""),"")))</f>
        <v/>
      </c>
    </row>
    <row r="586">
      <c r="A586" s="9" t="inlineStr">
        <is>
          <t>TTLS</t>
        </is>
      </c>
      <c r="B586" s="10">
        <f>IF(A586="","",IFERROR(VLOOKUP(A586,Titres!$A$2:$B$400,2,FALSE),"Ticker inconnu"))</f>
        <v/>
      </c>
      <c r="C586" s="11" t="n">
        <v>2022</v>
      </c>
      <c r="D586" s="11" t="inlineStr">
        <is>
          <t>T3</t>
        </is>
      </c>
      <c r="E586" s="9" t="n"/>
      <c r="F586" s="12" t="n"/>
      <c r="G586" s="9" t="n"/>
      <c r="H586" s="13" t="n"/>
      <c r="I586" s="13" t="n"/>
      <c r="J586" s="13" t="n"/>
      <c r="K586" s="13" t="n"/>
      <c r="L586" s="13" t="n"/>
      <c r="M586" s="13" t="n"/>
      <c r="N586" s="14">
        <f>IF(A586="","",COUNT(H586:M586)/6)</f>
        <v/>
      </c>
      <c r="O586" s="15">
        <f>IF(COUNT(H586:M586)=0,"",IF(LEN(IF(COUNT(I586,J586)=2,IF(J586&gt;I586+1,"EBE &gt; VA ",""),"")&amp;IF(COUNT(H586,M586)=2,IF(ABS(M586)&gt;ABS(H586),"RN &gt; CA ",""),"")&amp;IF(COUNT(H586,K586)=2,IF(ABS(K586)&gt;ABS(H586),"RE &gt; CA ",""),""))=0,"OK",IF(COUNT(I586,J586)=2,IF(J586&gt;I586+1,"EBE &gt; VA ",""),"")&amp;IF(COUNT(H586,M586)=2,IF(ABS(M586)&gt;ABS(H586),"RN &gt; CA ",""),"")&amp;IF(COUNT(H586,K586)=2,IF(ABS(K586)&gt;ABS(H586),"RE &gt; CA ",""),"")))</f>
        <v/>
      </c>
    </row>
    <row r="587">
      <c r="A587" s="9" t="inlineStr">
        <is>
          <t>TTLS</t>
        </is>
      </c>
      <c r="B587" s="10">
        <f>IF(A587="","",IFERROR(VLOOKUP(A587,Titres!$A$2:$B$400,2,FALSE),"Ticker inconnu"))</f>
        <v/>
      </c>
      <c r="C587" s="11" t="n">
        <v>2023</v>
      </c>
      <c r="D587" s="11" t="inlineStr">
        <is>
          <t>T1</t>
        </is>
      </c>
      <c r="E587" s="9" t="n"/>
      <c r="F587" s="12" t="n"/>
      <c r="G587" s="9" t="n"/>
      <c r="H587" s="13" t="n"/>
      <c r="I587" s="13" t="n"/>
      <c r="J587" s="13" t="n"/>
      <c r="K587" s="13" t="n"/>
      <c r="L587" s="13" t="n"/>
      <c r="M587" s="13" t="n"/>
      <c r="N587" s="14">
        <f>IF(A587="","",COUNT(H587:M587)/6)</f>
        <v/>
      </c>
      <c r="O587" s="15">
        <f>IF(COUNT(H587:M587)=0,"",IF(LEN(IF(COUNT(I587,J587)=2,IF(J587&gt;I587+1,"EBE &gt; VA ",""),"")&amp;IF(COUNT(H587,M587)=2,IF(ABS(M587)&gt;ABS(H587),"RN &gt; CA ",""),"")&amp;IF(COUNT(H587,K587)=2,IF(ABS(K587)&gt;ABS(H587),"RE &gt; CA ",""),""))=0,"OK",IF(COUNT(I587,J587)=2,IF(J587&gt;I587+1,"EBE &gt; VA ",""),"")&amp;IF(COUNT(H587,M587)=2,IF(ABS(M587)&gt;ABS(H587),"RN &gt; CA ",""),"")&amp;IF(COUNT(H587,K587)=2,IF(ABS(K587)&gt;ABS(H587),"RE &gt; CA ",""),"")))</f>
        <v/>
      </c>
    </row>
    <row r="588">
      <c r="A588" s="9" t="inlineStr">
        <is>
          <t>TTLS</t>
        </is>
      </c>
      <c r="B588" s="10">
        <f>IF(A588="","",IFERROR(VLOOKUP(A588,Titres!$A$2:$B$400,2,FALSE),"Ticker inconnu"))</f>
        <v/>
      </c>
      <c r="C588" s="11" t="n">
        <v>2023</v>
      </c>
      <c r="D588" s="11" t="inlineStr">
        <is>
          <t>S1</t>
        </is>
      </c>
      <c r="E588" s="9" t="n"/>
      <c r="F588" s="12" t="n"/>
      <c r="G588" s="9" t="n"/>
      <c r="H588" s="13" t="n"/>
      <c r="I588" s="13" t="n"/>
      <c r="J588" s="13" t="n"/>
      <c r="K588" s="13" t="n"/>
      <c r="L588" s="13" t="n"/>
      <c r="M588" s="13" t="n"/>
      <c r="N588" s="14">
        <f>IF(A588="","",COUNT(H588:M588)/6)</f>
        <v/>
      </c>
      <c r="O588" s="15">
        <f>IF(COUNT(H588:M588)=0,"",IF(LEN(IF(COUNT(I588,J588)=2,IF(J588&gt;I588+1,"EBE &gt; VA ",""),"")&amp;IF(COUNT(H588,M588)=2,IF(ABS(M588)&gt;ABS(H588),"RN &gt; CA ",""),"")&amp;IF(COUNT(H588,K588)=2,IF(ABS(K588)&gt;ABS(H588),"RE &gt; CA ",""),""))=0,"OK",IF(COUNT(I588,J588)=2,IF(J588&gt;I588+1,"EBE &gt; VA ",""),"")&amp;IF(COUNT(H588,M588)=2,IF(ABS(M588)&gt;ABS(H588),"RN &gt; CA ",""),"")&amp;IF(COUNT(H588,K588)=2,IF(ABS(K588)&gt;ABS(H588),"RE &gt; CA ",""),"")))</f>
        <v/>
      </c>
    </row>
    <row r="589">
      <c r="A589" s="9" t="inlineStr">
        <is>
          <t>TTLS</t>
        </is>
      </c>
      <c r="B589" s="10">
        <f>IF(A589="","",IFERROR(VLOOKUP(A589,Titres!$A$2:$B$400,2,FALSE),"Ticker inconnu"))</f>
        <v/>
      </c>
      <c r="C589" s="11" t="n">
        <v>2023</v>
      </c>
      <c r="D589" s="11" t="inlineStr">
        <is>
          <t>T3</t>
        </is>
      </c>
      <c r="E589" s="9" t="n"/>
      <c r="F589" s="12" t="n"/>
      <c r="G589" s="9" t="n"/>
      <c r="H589" s="13" t="n"/>
      <c r="I589" s="13" t="n"/>
      <c r="J589" s="13" t="n"/>
      <c r="K589" s="13" t="n"/>
      <c r="L589" s="13" t="n"/>
      <c r="M589" s="13" t="n"/>
      <c r="N589" s="14">
        <f>IF(A589="","",COUNT(H589:M589)/6)</f>
        <v/>
      </c>
      <c r="O589" s="15">
        <f>IF(COUNT(H589:M589)=0,"",IF(LEN(IF(COUNT(I589,J589)=2,IF(J589&gt;I589+1,"EBE &gt; VA ",""),"")&amp;IF(COUNT(H589,M589)=2,IF(ABS(M589)&gt;ABS(H589),"RN &gt; CA ",""),"")&amp;IF(COUNT(H589,K589)=2,IF(ABS(K589)&gt;ABS(H589),"RE &gt; CA ",""),""))=0,"OK",IF(COUNT(I589,J589)=2,IF(J589&gt;I589+1,"EBE &gt; VA ",""),"")&amp;IF(COUNT(H589,M589)=2,IF(ABS(M589)&gt;ABS(H589),"RN &gt; CA ",""),"")&amp;IF(COUNT(H589,K589)=2,IF(ABS(K589)&gt;ABS(H589),"RE &gt; CA ",""),"")))</f>
        <v/>
      </c>
    </row>
    <row r="590">
      <c r="A590" s="9" t="inlineStr">
        <is>
          <t>TTLS</t>
        </is>
      </c>
      <c r="B590" s="10">
        <f>IF(A590="","",IFERROR(VLOOKUP(A590,Titres!$A$2:$B$400,2,FALSE),"Ticker inconnu"))</f>
        <v/>
      </c>
      <c r="C590" s="11" t="n">
        <v>2024</v>
      </c>
      <c r="D590" s="11" t="inlineStr">
        <is>
          <t>T1</t>
        </is>
      </c>
      <c r="E590" s="9" t="n"/>
      <c r="F590" s="12" t="n"/>
      <c r="G590" s="9" t="n"/>
      <c r="H590" s="13" t="n"/>
      <c r="I590" s="13" t="n"/>
      <c r="J590" s="13" t="n"/>
      <c r="K590" s="13" t="n"/>
      <c r="L590" s="13" t="n"/>
      <c r="M590" s="13" t="n"/>
      <c r="N590" s="14">
        <f>IF(A590="","",COUNT(H590:M590)/6)</f>
        <v/>
      </c>
      <c r="O590" s="15">
        <f>IF(COUNT(H590:M590)=0,"",IF(LEN(IF(COUNT(I590,J590)=2,IF(J590&gt;I590+1,"EBE &gt; VA ",""),"")&amp;IF(COUNT(H590,M590)=2,IF(ABS(M590)&gt;ABS(H590),"RN &gt; CA ",""),"")&amp;IF(COUNT(H590,K590)=2,IF(ABS(K590)&gt;ABS(H590),"RE &gt; CA ",""),""))=0,"OK",IF(COUNT(I590,J590)=2,IF(J590&gt;I590+1,"EBE &gt; VA ",""),"")&amp;IF(COUNT(H590,M590)=2,IF(ABS(M590)&gt;ABS(H590),"RN &gt; CA ",""),"")&amp;IF(COUNT(H590,K590)=2,IF(ABS(K590)&gt;ABS(H590),"RE &gt; CA ",""),"")))</f>
        <v/>
      </c>
    </row>
    <row r="591">
      <c r="A591" s="9" t="inlineStr">
        <is>
          <t>TTLS</t>
        </is>
      </c>
      <c r="B591" s="10">
        <f>IF(A591="","",IFERROR(VLOOKUP(A591,Titres!$A$2:$B$400,2,FALSE),"Ticker inconnu"))</f>
        <v/>
      </c>
      <c r="C591" s="11" t="n">
        <v>2024</v>
      </c>
      <c r="D591" s="11" t="inlineStr">
        <is>
          <t>S1</t>
        </is>
      </c>
      <c r="E591" s="9" t="n"/>
      <c r="F591" s="12" t="n"/>
      <c r="G591" s="9" t="n"/>
      <c r="H591" s="13" t="n"/>
      <c r="I591" s="13" t="n"/>
      <c r="J591" s="13" t="n"/>
      <c r="K591" s="13" t="n"/>
      <c r="L591" s="13" t="n"/>
      <c r="M591" s="13" t="n"/>
      <c r="N591" s="14">
        <f>IF(A591="","",COUNT(H591:M591)/6)</f>
        <v/>
      </c>
      <c r="O591" s="15">
        <f>IF(COUNT(H591:M591)=0,"",IF(LEN(IF(COUNT(I591,J591)=2,IF(J591&gt;I591+1,"EBE &gt; VA ",""),"")&amp;IF(COUNT(H591,M591)=2,IF(ABS(M591)&gt;ABS(H591),"RN &gt; CA ",""),"")&amp;IF(COUNT(H591,K591)=2,IF(ABS(K591)&gt;ABS(H591),"RE &gt; CA ",""),""))=0,"OK",IF(COUNT(I591,J591)=2,IF(J591&gt;I591+1,"EBE &gt; VA ",""),"")&amp;IF(COUNT(H591,M591)=2,IF(ABS(M591)&gt;ABS(H591),"RN &gt; CA ",""),"")&amp;IF(COUNT(H591,K591)=2,IF(ABS(K591)&gt;ABS(H591),"RE &gt; CA ",""),"")))</f>
        <v/>
      </c>
    </row>
    <row r="592">
      <c r="A592" s="9" t="inlineStr">
        <is>
          <t>TTLS</t>
        </is>
      </c>
      <c r="B592" s="10">
        <f>IF(A592="","",IFERROR(VLOOKUP(A592,Titres!$A$2:$B$400,2,FALSE),"Ticker inconnu"))</f>
        <v/>
      </c>
      <c r="C592" s="11" t="n">
        <v>2024</v>
      </c>
      <c r="D592" s="11" t="inlineStr">
        <is>
          <t>T3</t>
        </is>
      </c>
      <c r="E592" s="9" t="n"/>
      <c r="F592" s="12" t="n"/>
      <c r="G592" s="9" t="n"/>
      <c r="H592" s="13" t="n"/>
      <c r="I592" s="13" t="n"/>
      <c r="J592" s="13" t="n"/>
      <c r="K592" s="13" t="n"/>
      <c r="L592" s="13" t="n"/>
      <c r="M592" s="13" t="n"/>
      <c r="N592" s="14">
        <f>IF(A592="","",COUNT(H592:M592)/6)</f>
        <v/>
      </c>
      <c r="O592" s="15">
        <f>IF(COUNT(H592:M592)=0,"",IF(LEN(IF(COUNT(I592,J592)=2,IF(J592&gt;I592+1,"EBE &gt; VA ",""),"")&amp;IF(COUNT(H592,M592)=2,IF(ABS(M592)&gt;ABS(H592),"RN &gt; CA ",""),"")&amp;IF(COUNT(H592,K592)=2,IF(ABS(K592)&gt;ABS(H592),"RE &gt; CA ",""),""))=0,"OK",IF(COUNT(I592,J592)=2,IF(J592&gt;I592+1,"EBE &gt; VA ",""),"")&amp;IF(COUNT(H592,M592)=2,IF(ABS(M592)&gt;ABS(H592),"RN &gt; CA ",""),"")&amp;IF(COUNT(H592,K592)=2,IF(ABS(K592)&gt;ABS(H592),"RE &gt; CA ",""),"")))</f>
        <v/>
      </c>
    </row>
    <row r="593">
      <c r="A593" s="9" t="inlineStr">
        <is>
          <t>TTLS</t>
        </is>
      </c>
      <c r="B593" s="10">
        <f>IF(A593="","",IFERROR(VLOOKUP(A593,Titres!$A$2:$B$400,2,FALSE),"Ticker inconnu"))</f>
        <v/>
      </c>
      <c r="C593" s="11" t="n">
        <v>2025</v>
      </c>
      <c r="D593" s="11" t="inlineStr">
        <is>
          <t>T1</t>
        </is>
      </c>
      <c r="E593" s="9" t="n"/>
      <c r="F593" s="12" t="n"/>
      <c r="G593" s="9" t="n"/>
      <c r="H593" s="13" t="n"/>
      <c r="I593" s="13" t="n"/>
      <c r="J593" s="13" t="n"/>
      <c r="K593" s="13" t="n"/>
      <c r="L593" s="13" t="n"/>
      <c r="M593" s="13" t="n"/>
      <c r="N593" s="14">
        <f>IF(A593="","",COUNT(H593:M593)/6)</f>
        <v/>
      </c>
      <c r="O593" s="15">
        <f>IF(COUNT(H593:M593)=0,"",IF(LEN(IF(COUNT(I593,J593)=2,IF(J593&gt;I593+1,"EBE &gt; VA ",""),"")&amp;IF(COUNT(H593,M593)=2,IF(ABS(M593)&gt;ABS(H593),"RN &gt; CA ",""),"")&amp;IF(COUNT(H593,K593)=2,IF(ABS(K593)&gt;ABS(H593),"RE &gt; CA ",""),""))=0,"OK",IF(COUNT(I593,J593)=2,IF(J593&gt;I593+1,"EBE &gt; VA ",""),"")&amp;IF(COUNT(H593,M593)=2,IF(ABS(M593)&gt;ABS(H593),"RN &gt; CA ",""),"")&amp;IF(COUNT(H593,K593)=2,IF(ABS(K593)&gt;ABS(H593),"RE &gt; CA ",""),"")))</f>
        <v/>
      </c>
    </row>
    <row r="594">
      <c r="A594" s="9" t="inlineStr">
        <is>
          <t>TTLS</t>
        </is>
      </c>
      <c r="B594" s="10">
        <f>IF(A594="","",IFERROR(VLOOKUP(A594,Titres!$A$2:$B$400,2,FALSE),"Ticker inconnu"))</f>
        <v/>
      </c>
      <c r="C594" s="11" t="n">
        <v>2025</v>
      </c>
      <c r="D594" s="11" t="inlineStr">
        <is>
          <t>S1</t>
        </is>
      </c>
      <c r="E594" s="9" t="n"/>
      <c r="F594" s="12" t="n"/>
      <c r="G594" s="9" t="n"/>
      <c r="H594" s="13" t="n"/>
      <c r="I594" s="13" t="n"/>
      <c r="J594" s="13" t="n"/>
      <c r="K594" s="13" t="n"/>
      <c r="L594" s="13" t="n"/>
      <c r="M594" s="13" t="n"/>
      <c r="N594" s="14">
        <f>IF(A594="","",COUNT(H594:M594)/6)</f>
        <v/>
      </c>
      <c r="O594" s="15">
        <f>IF(COUNT(H594:M594)=0,"",IF(LEN(IF(COUNT(I594,J594)=2,IF(J594&gt;I594+1,"EBE &gt; VA ",""),"")&amp;IF(COUNT(H594,M594)=2,IF(ABS(M594)&gt;ABS(H594),"RN &gt; CA ",""),"")&amp;IF(COUNT(H594,K594)=2,IF(ABS(K594)&gt;ABS(H594),"RE &gt; CA ",""),""))=0,"OK",IF(COUNT(I594,J594)=2,IF(J594&gt;I594+1,"EBE &gt; VA ",""),"")&amp;IF(COUNT(H594,M594)=2,IF(ABS(M594)&gt;ABS(H594),"RN &gt; CA ",""),"")&amp;IF(COUNT(H594,K594)=2,IF(ABS(K594)&gt;ABS(H594),"RE &gt; CA ",""),"")))</f>
        <v/>
      </c>
    </row>
    <row r="595">
      <c r="A595" s="9" t="inlineStr">
        <is>
          <t>TTLS</t>
        </is>
      </c>
      <c r="B595" s="10">
        <f>IF(A595="","",IFERROR(VLOOKUP(A595,Titres!$A$2:$B$400,2,FALSE),"Ticker inconnu"))</f>
        <v/>
      </c>
      <c r="C595" s="11" t="n">
        <v>2025</v>
      </c>
      <c r="D595" s="11" t="inlineStr">
        <is>
          <t>T3</t>
        </is>
      </c>
      <c r="E595" s="9" t="n"/>
      <c r="F595" s="12" t="n"/>
      <c r="G595" s="9" t="n"/>
      <c r="H595" s="13" t="n"/>
      <c r="I595" s="13" t="n"/>
      <c r="J595" s="13" t="n"/>
      <c r="K595" s="13" t="n"/>
      <c r="L595" s="13" t="n"/>
      <c r="M595" s="13" t="n"/>
      <c r="N595" s="14">
        <f>IF(A595="","",COUNT(H595:M595)/6)</f>
        <v/>
      </c>
      <c r="O595" s="15">
        <f>IF(COUNT(H595:M595)=0,"",IF(LEN(IF(COUNT(I595,J595)=2,IF(J595&gt;I595+1,"EBE &gt; VA ",""),"")&amp;IF(COUNT(H595,M595)=2,IF(ABS(M595)&gt;ABS(H595),"RN &gt; CA ",""),"")&amp;IF(COUNT(H595,K595)=2,IF(ABS(K595)&gt;ABS(H595),"RE &gt; CA ",""),""))=0,"OK",IF(COUNT(I595,J595)=2,IF(J595&gt;I595+1,"EBE &gt; VA ",""),"")&amp;IF(COUNT(H595,M595)=2,IF(ABS(M595)&gt;ABS(H595),"RN &gt; CA ",""),"")&amp;IF(COUNT(H595,K595)=2,IF(ABS(K595)&gt;ABS(H595),"RE &gt; CA ",""),"")))</f>
        <v/>
      </c>
    </row>
    <row r="596">
      <c r="A596" s="9" t="inlineStr">
        <is>
          <t>TTLS</t>
        </is>
      </c>
      <c r="B596" s="10">
        <f>IF(A596="","",IFERROR(VLOOKUP(A596,Titres!$A$2:$B$400,2,FALSE),"Ticker inconnu"))</f>
        <v/>
      </c>
      <c r="C596" s="11" t="n">
        <v>2026</v>
      </c>
      <c r="D596" s="11" t="inlineStr">
        <is>
          <t>T1</t>
        </is>
      </c>
      <c r="E596" s="9" t="n"/>
      <c r="F596" s="12" t="n"/>
      <c r="G596" s="9" t="n"/>
      <c r="H596" s="13" t="n"/>
      <c r="I596" s="13" t="n"/>
      <c r="J596" s="13" t="n"/>
      <c r="K596" s="13" t="n"/>
      <c r="L596" s="13" t="n"/>
      <c r="M596" s="13" t="n"/>
      <c r="N596" s="14">
        <f>IF(A596="","",COUNT(H596:M596)/6)</f>
        <v/>
      </c>
      <c r="O596" s="15">
        <f>IF(COUNT(H596:M596)=0,"",IF(LEN(IF(COUNT(I596,J596)=2,IF(J596&gt;I596+1,"EBE &gt; VA ",""),"")&amp;IF(COUNT(H596,M596)=2,IF(ABS(M596)&gt;ABS(H596),"RN &gt; CA ",""),"")&amp;IF(COUNT(H596,K596)=2,IF(ABS(K596)&gt;ABS(H596),"RE &gt; CA ",""),""))=0,"OK",IF(COUNT(I596,J596)=2,IF(J596&gt;I596+1,"EBE &gt; VA ",""),"")&amp;IF(COUNT(H596,M596)=2,IF(ABS(M596)&gt;ABS(H596),"RN &gt; CA ",""),"")&amp;IF(COUNT(H596,K596)=2,IF(ABS(K596)&gt;ABS(H596),"RE &gt; CA ",""),"")))</f>
        <v/>
      </c>
    </row>
    <row r="597">
      <c r="A597" s="9" t="inlineStr">
        <is>
          <t>TTLS</t>
        </is>
      </c>
      <c r="B597" s="10">
        <f>IF(A597="","",IFERROR(VLOOKUP(A597,Titres!$A$2:$B$400,2,FALSE),"Ticker inconnu"))</f>
        <v/>
      </c>
      <c r="C597" s="11" t="n">
        <v>2026</v>
      </c>
      <c r="D597" s="11" t="inlineStr">
        <is>
          <t>S1</t>
        </is>
      </c>
      <c r="E597" s="9" t="n"/>
      <c r="F597" s="12" t="n"/>
      <c r="G597" s="9" t="n"/>
      <c r="H597" s="13" t="n"/>
      <c r="I597" s="13" t="n"/>
      <c r="J597" s="13" t="n"/>
      <c r="K597" s="13" t="n"/>
      <c r="L597" s="13" t="n"/>
      <c r="M597" s="13" t="n"/>
      <c r="N597" s="14">
        <f>IF(A597="","",COUNT(H597:M597)/6)</f>
        <v/>
      </c>
      <c r="O597" s="15">
        <f>IF(COUNT(H597:M597)=0,"",IF(LEN(IF(COUNT(I597,J597)=2,IF(J597&gt;I597+1,"EBE &gt; VA ",""),"")&amp;IF(COUNT(H597,M597)=2,IF(ABS(M597)&gt;ABS(H597),"RN &gt; CA ",""),"")&amp;IF(COUNT(H597,K597)=2,IF(ABS(K597)&gt;ABS(H597),"RE &gt; CA ",""),""))=0,"OK",IF(COUNT(I597,J597)=2,IF(J597&gt;I597+1,"EBE &gt; VA ",""),"")&amp;IF(COUNT(H597,M597)=2,IF(ABS(M597)&gt;ABS(H597),"RN &gt; CA ",""),"")&amp;IF(COUNT(H597,K597)=2,IF(ABS(K597)&gt;ABS(H597),"RE &gt; CA ",""),"")))</f>
        <v/>
      </c>
    </row>
    <row r="598">
      <c r="A598" s="9" t="inlineStr">
        <is>
          <t>TTLS</t>
        </is>
      </c>
      <c r="B598" s="10">
        <f>IF(A598="","",IFERROR(VLOOKUP(A598,Titres!$A$2:$B$400,2,FALSE),"Ticker inconnu"))</f>
        <v/>
      </c>
      <c r="C598" s="11" t="n">
        <v>2026</v>
      </c>
      <c r="D598" s="11" t="inlineStr">
        <is>
          <t>T3</t>
        </is>
      </c>
      <c r="E598" s="9" t="n"/>
      <c r="F598" s="12" t="n"/>
      <c r="G598" s="9" t="n"/>
      <c r="H598" s="13" t="n"/>
      <c r="I598" s="13" t="n"/>
      <c r="J598" s="13" t="n"/>
      <c r="K598" s="13" t="n"/>
      <c r="L598" s="13" t="n"/>
      <c r="M598" s="13" t="n"/>
      <c r="N598" s="14">
        <f>IF(A598="","",COUNT(H598:M598)/6)</f>
        <v/>
      </c>
      <c r="O598" s="15">
        <f>IF(COUNT(H598:M598)=0,"",IF(LEN(IF(COUNT(I598,J598)=2,IF(J598&gt;I598+1,"EBE &gt; VA ",""),"")&amp;IF(COUNT(H598,M598)=2,IF(ABS(M598)&gt;ABS(H598),"RN &gt; CA ",""),"")&amp;IF(COUNT(H598,K598)=2,IF(ABS(K598)&gt;ABS(H598),"RE &gt; CA ",""),""))=0,"OK",IF(COUNT(I598,J598)=2,IF(J598&gt;I598+1,"EBE &gt; VA ",""),"")&amp;IF(COUNT(H598,M598)=2,IF(ABS(M598)&gt;ABS(H598),"RN &gt; CA ",""),"")&amp;IF(COUNT(H598,K598)=2,IF(ABS(K598)&gt;ABS(H598),"RE &gt; CA ",""),"")))</f>
        <v/>
      </c>
    </row>
    <row r="599">
      <c r="A599" s="9" t="n"/>
      <c r="B599" s="10">
        <f>IF(A599="","",IFERROR(VLOOKUP(A599,Titres!$A$2:$B$400,2,FALSE),"Ticker inconnu"))</f>
        <v/>
      </c>
      <c r="C599" s="11" t="n"/>
      <c r="D599" s="11" t="n"/>
      <c r="E599" s="9" t="n"/>
      <c r="F599" s="12" t="n"/>
      <c r="G599" s="9" t="n"/>
      <c r="H599" s="13" t="n"/>
      <c r="I599" s="13" t="n"/>
      <c r="J599" s="13" t="n"/>
      <c r="K599" s="13" t="n"/>
      <c r="L599" s="13" t="n"/>
      <c r="M599" s="13" t="n"/>
      <c r="N599" s="14">
        <f>IF(A599="","",COUNT(H599:M599)/6)</f>
        <v/>
      </c>
      <c r="O599" s="15">
        <f>IF(COUNT(H599:M599)=0,"",IF(LEN(IF(COUNT(I599,J599)=2,IF(J599&gt;I599+1,"EBE &gt; VA ",""),"")&amp;IF(COUNT(H599,M599)=2,IF(ABS(M599)&gt;ABS(H599),"RN &gt; CA ",""),"")&amp;IF(COUNT(H599,K599)=2,IF(ABS(K599)&gt;ABS(H599),"RE &gt; CA ",""),""))=0,"OK",IF(COUNT(I599,J599)=2,IF(J599&gt;I599+1,"EBE &gt; VA ",""),"")&amp;IF(COUNT(H599,M599)=2,IF(ABS(M599)&gt;ABS(H599),"RN &gt; CA ",""),"")&amp;IF(COUNT(H599,K599)=2,IF(ABS(K599)&gt;ABS(H599),"RE &gt; CA ",""),"")))</f>
        <v/>
      </c>
    </row>
    <row r="600">
      <c r="A600" s="9" t="n"/>
      <c r="B600" s="10">
        <f>IF(A600="","",IFERROR(VLOOKUP(A600,Titres!$A$2:$B$400,2,FALSE),"Ticker inconnu"))</f>
        <v/>
      </c>
      <c r="C600" s="11" t="n"/>
      <c r="D600" s="11" t="n"/>
      <c r="E600" s="9" t="n"/>
      <c r="F600" s="12" t="n"/>
      <c r="G600" s="9" t="n"/>
      <c r="H600" s="13" t="n"/>
      <c r="I600" s="13" t="n"/>
      <c r="J600" s="13" t="n"/>
      <c r="K600" s="13" t="n"/>
      <c r="L600" s="13" t="n"/>
      <c r="M600" s="13" t="n"/>
      <c r="N600" s="14">
        <f>IF(A600="","",COUNT(H600:M600)/6)</f>
        <v/>
      </c>
      <c r="O600" s="15">
        <f>IF(COUNT(H600:M600)=0,"",IF(LEN(IF(COUNT(I600,J600)=2,IF(J600&gt;I600+1,"EBE &gt; VA ",""),"")&amp;IF(COUNT(H600,M600)=2,IF(ABS(M600)&gt;ABS(H600),"RN &gt; CA ",""),"")&amp;IF(COUNT(H600,K600)=2,IF(ABS(K600)&gt;ABS(H600),"RE &gt; CA ",""),""))=0,"OK",IF(COUNT(I600,J600)=2,IF(J600&gt;I600+1,"EBE &gt; VA ",""),"")&amp;IF(COUNT(H600,M600)=2,IF(ABS(M600)&gt;ABS(H600),"RN &gt; CA ",""),"")&amp;IF(COUNT(H600,K600)=2,IF(ABS(K600)&gt;ABS(H600),"RE &gt; CA ",""),"")))</f>
        <v/>
      </c>
    </row>
    <row r="601">
      <c r="A601" s="9" t="n"/>
      <c r="B601" s="10">
        <f>IF(A601="","",IFERROR(VLOOKUP(A601,Titres!$A$2:$B$400,2,FALSE),"Ticker inconnu"))</f>
        <v/>
      </c>
      <c r="C601" s="11" t="n"/>
      <c r="D601" s="11" t="n"/>
      <c r="E601" s="9" t="n"/>
      <c r="F601" s="12" t="n"/>
      <c r="G601" s="9" t="n"/>
      <c r="H601" s="13" t="n"/>
      <c r="I601" s="13" t="n"/>
      <c r="J601" s="13" t="n"/>
      <c r="K601" s="13" t="n"/>
      <c r="L601" s="13" t="n"/>
      <c r="M601" s="13" t="n"/>
      <c r="N601" s="14">
        <f>IF(A601="","",COUNT(H601:M601)/6)</f>
        <v/>
      </c>
      <c r="O601" s="15">
        <f>IF(COUNT(H601:M601)=0,"",IF(LEN(IF(COUNT(I601,J601)=2,IF(J601&gt;I601+1,"EBE &gt; VA ",""),"")&amp;IF(COUNT(H601,M601)=2,IF(ABS(M601)&gt;ABS(H601),"RN &gt; CA ",""),"")&amp;IF(COUNT(H601,K601)=2,IF(ABS(K601)&gt;ABS(H601),"RE &gt; CA ",""),""))=0,"OK",IF(COUNT(I601,J601)=2,IF(J601&gt;I601+1,"EBE &gt; VA ",""),"")&amp;IF(COUNT(H601,M601)=2,IF(ABS(M601)&gt;ABS(H601),"RN &gt; CA ",""),"")&amp;IF(COUNT(H601,K601)=2,IF(ABS(K601)&gt;ABS(H601),"RE &gt; CA ",""),"")))</f>
        <v/>
      </c>
    </row>
    <row r="602">
      <c r="A602" s="9" t="n"/>
      <c r="B602" s="10">
        <f>IF(A602="","",IFERROR(VLOOKUP(A602,Titres!$A$2:$B$400,2,FALSE),"Ticker inconnu"))</f>
        <v/>
      </c>
      <c r="C602" s="11" t="n"/>
      <c r="D602" s="11" t="n"/>
      <c r="E602" s="9" t="n"/>
      <c r="F602" s="12" t="n"/>
      <c r="G602" s="9" t="n"/>
      <c r="H602" s="13" t="n"/>
      <c r="I602" s="13" t="n"/>
      <c r="J602" s="13" t="n"/>
      <c r="K602" s="13" t="n"/>
      <c r="L602" s="13" t="n"/>
      <c r="M602" s="13" t="n"/>
      <c r="N602" s="14">
        <f>IF(A602="","",COUNT(H602:M602)/6)</f>
        <v/>
      </c>
      <c r="O602" s="15">
        <f>IF(COUNT(H602:M602)=0,"",IF(LEN(IF(COUNT(I602,J602)=2,IF(J602&gt;I602+1,"EBE &gt; VA ",""),"")&amp;IF(COUNT(H602,M602)=2,IF(ABS(M602)&gt;ABS(H602),"RN &gt; CA ",""),"")&amp;IF(COUNT(H602,K602)=2,IF(ABS(K602)&gt;ABS(H602),"RE &gt; CA ",""),""))=0,"OK",IF(COUNT(I602,J602)=2,IF(J602&gt;I602+1,"EBE &gt; VA ",""),"")&amp;IF(COUNT(H602,M602)=2,IF(ABS(M602)&gt;ABS(H602),"RN &gt; CA ",""),"")&amp;IF(COUNT(H602,K602)=2,IF(ABS(K602)&gt;ABS(H602),"RE &gt; CA ",""),"")))</f>
        <v/>
      </c>
    </row>
    <row r="603">
      <c r="A603" s="9" t="n"/>
      <c r="B603" s="10">
        <f>IF(A603="","",IFERROR(VLOOKUP(A603,Titres!$A$2:$B$400,2,FALSE),"Ticker inconnu"))</f>
        <v/>
      </c>
      <c r="C603" s="11" t="n"/>
      <c r="D603" s="11" t="n"/>
      <c r="E603" s="9" t="n"/>
      <c r="F603" s="12" t="n"/>
      <c r="G603" s="9" t="n"/>
      <c r="H603" s="13" t="n"/>
      <c r="I603" s="13" t="n"/>
      <c r="J603" s="13" t="n"/>
      <c r="K603" s="13" t="n"/>
      <c r="L603" s="13" t="n"/>
      <c r="M603" s="13" t="n"/>
      <c r="N603" s="14">
        <f>IF(A603="","",COUNT(H603:M603)/6)</f>
        <v/>
      </c>
      <c r="O603" s="15">
        <f>IF(COUNT(H603:M603)=0,"",IF(LEN(IF(COUNT(I603,J603)=2,IF(J603&gt;I603+1,"EBE &gt; VA ",""),"")&amp;IF(COUNT(H603,M603)=2,IF(ABS(M603)&gt;ABS(H603),"RN &gt; CA ",""),"")&amp;IF(COUNT(H603,K603)=2,IF(ABS(K603)&gt;ABS(H603),"RE &gt; CA ",""),""))=0,"OK",IF(COUNT(I603,J603)=2,IF(J603&gt;I603+1,"EBE &gt; VA ",""),"")&amp;IF(COUNT(H603,M603)=2,IF(ABS(M603)&gt;ABS(H603),"RN &gt; CA ",""),"")&amp;IF(COUNT(H603,K603)=2,IF(ABS(K603)&gt;ABS(H603),"RE &gt; CA ",""),"")))</f>
        <v/>
      </c>
    </row>
    <row r="604">
      <c r="A604" s="9" t="n"/>
      <c r="B604" s="10">
        <f>IF(A604="","",IFERROR(VLOOKUP(A604,Titres!$A$2:$B$400,2,FALSE),"Ticker inconnu"))</f>
        <v/>
      </c>
      <c r="C604" s="11" t="n"/>
      <c r="D604" s="11" t="n"/>
      <c r="E604" s="9" t="n"/>
      <c r="F604" s="12" t="n"/>
      <c r="G604" s="9" t="n"/>
      <c r="H604" s="13" t="n"/>
      <c r="I604" s="13" t="n"/>
      <c r="J604" s="13" t="n"/>
      <c r="K604" s="13" t="n"/>
      <c r="L604" s="13" t="n"/>
      <c r="M604" s="13" t="n"/>
      <c r="N604" s="14">
        <f>IF(A604="","",COUNT(H604:M604)/6)</f>
        <v/>
      </c>
      <c r="O604" s="15">
        <f>IF(COUNT(H604:M604)=0,"",IF(LEN(IF(COUNT(I604,J604)=2,IF(J604&gt;I604+1,"EBE &gt; VA ",""),"")&amp;IF(COUNT(H604,M604)=2,IF(ABS(M604)&gt;ABS(H604),"RN &gt; CA ",""),"")&amp;IF(COUNT(H604,K604)=2,IF(ABS(K604)&gt;ABS(H604),"RE &gt; CA ",""),""))=0,"OK",IF(COUNT(I604,J604)=2,IF(J604&gt;I604+1,"EBE &gt; VA ",""),"")&amp;IF(COUNT(H604,M604)=2,IF(ABS(M604)&gt;ABS(H604),"RN &gt; CA ",""),"")&amp;IF(COUNT(H604,K604)=2,IF(ABS(K604)&gt;ABS(H604),"RE &gt; CA ",""),"")))</f>
        <v/>
      </c>
    </row>
    <row r="605">
      <c r="A605" s="9" t="n"/>
      <c r="B605" s="10">
        <f>IF(A605="","",IFERROR(VLOOKUP(A605,Titres!$A$2:$B$400,2,FALSE),"Ticker inconnu"))</f>
        <v/>
      </c>
      <c r="C605" s="11" t="n"/>
      <c r="D605" s="11" t="n"/>
      <c r="E605" s="9" t="n"/>
      <c r="F605" s="12" t="n"/>
      <c r="G605" s="9" t="n"/>
      <c r="H605" s="13" t="n"/>
      <c r="I605" s="13" t="n"/>
      <c r="J605" s="13" t="n"/>
      <c r="K605" s="13" t="n"/>
      <c r="L605" s="13" t="n"/>
      <c r="M605" s="13" t="n"/>
      <c r="N605" s="14">
        <f>IF(A605="","",COUNT(H605:M605)/6)</f>
        <v/>
      </c>
      <c r="O605" s="15">
        <f>IF(COUNT(H605:M605)=0,"",IF(LEN(IF(COUNT(I605,J605)=2,IF(J605&gt;I605+1,"EBE &gt; VA ",""),"")&amp;IF(COUNT(H605,M605)=2,IF(ABS(M605)&gt;ABS(H605),"RN &gt; CA ",""),"")&amp;IF(COUNT(H605,K605)=2,IF(ABS(K605)&gt;ABS(H605),"RE &gt; CA ",""),""))=0,"OK",IF(COUNT(I605,J605)=2,IF(J605&gt;I605+1,"EBE &gt; VA ",""),"")&amp;IF(COUNT(H605,M605)=2,IF(ABS(M605)&gt;ABS(H605),"RN &gt; CA ",""),"")&amp;IF(COUNT(H605,K605)=2,IF(ABS(K605)&gt;ABS(H605),"RE &gt; CA ",""),"")))</f>
        <v/>
      </c>
    </row>
    <row r="606">
      <c r="A606" s="9" t="n"/>
      <c r="B606" s="10">
        <f>IF(A606="","",IFERROR(VLOOKUP(A606,Titres!$A$2:$B$400,2,FALSE),"Ticker inconnu"))</f>
        <v/>
      </c>
      <c r="C606" s="11" t="n"/>
      <c r="D606" s="11" t="n"/>
      <c r="E606" s="9" t="n"/>
      <c r="F606" s="12" t="n"/>
      <c r="G606" s="9" t="n"/>
      <c r="H606" s="13" t="n"/>
      <c r="I606" s="13" t="n"/>
      <c r="J606" s="13" t="n"/>
      <c r="K606" s="13" t="n"/>
      <c r="L606" s="13" t="n"/>
      <c r="M606" s="13" t="n"/>
      <c r="N606" s="14">
        <f>IF(A606="","",COUNT(H606:M606)/6)</f>
        <v/>
      </c>
      <c r="O606" s="15">
        <f>IF(COUNT(H606:M606)=0,"",IF(LEN(IF(COUNT(I606,J606)=2,IF(J606&gt;I606+1,"EBE &gt; VA ",""),"")&amp;IF(COUNT(H606,M606)=2,IF(ABS(M606)&gt;ABS(H606),"RN &gt; CA ",""),"")&amp;IF(COUNT(H606,K606)=2,IF(ABS(K606)&gt;ABS(H606),"RE &gt; CA ",""),""))=0,"OK",IF(COUNT(I606,J606)=2,IF(J606&gt;I606+1,"EBE &gt; VA ",""),"")&amp;IF(COUNT(H606,M606)=2,IF(ABS(M606)&gt;ABS(H606),"RN &gt; CA ",""),"")&amp;IF(COUNT(H606,K606)=2,IF(ABS(K606)&gt;ABS(H606),"RE &gt; CA ",""),"")))</f>
        <v/>
      </c>
    </row>
    <row r="607">
      <c r="A607" s="9" t="n"/>
      <c r="B607" s="10">
        <f>IF(A607="","",IFERROR(VLOOKUP(A607,Titres!$A$2:$B$400,2,FALSE),"Ticker inconnu"))</f>
        <v/>
      </c>
      <c r="C607" s="11" t="n"/>
      <c r="D607" s="11" t="n"/>
      <c r="E607" s="9" t="n"/>
      <c r="F607" s="12" t="n"/>
      <c r="G607" s="9" t="n"/>
      <c r="H607" s="13" t="n"/>
      <c r="I607" s="13" t="n"/>
      <c r="J607" s="13" t="n"/>
      <c r="K607" s="13" t="n"/>
      <c r="L607" s="13" t="n"/>
      <c r="M607" s="13" t="n"/>
      <c r="N607" s="14">
        <f>IF(A607="","",COUNT(H607:M607)/6)</f>
        <v/>
      </c>
      <c r="O607" s="15">
        <f>IF(COUNT(H607:M607)=0,"",IF(LEN(IF(COUNT(I607,J607)=2,IF(J607&gt;I607+1,"EBE &gt; VA ",""),"")&amp;IF(COUNT(H607,M607)=2,IF(ABS(M607)&gt;ABS(H607),"RN &gt; CA ",""),"")&amp;IF(COUNT(H607,K607)=2,IF(ABS(K607)&gt;ABS(H607),"RE &gt; CA ",""),""))=0,"OK",IF(COUNT(I607,J607)=2,IF(J607&gt;I607+1,"EBE &gt; VA ",""),"")&amp;IF(COUNT(H607,M607)=2,IF(ABS(M607)&gt;ABS(H607),"RN &gt; CA ",""),"")&amp;IF(COUNT(H607,K607)=2,IF(ABS(K607)&gt;ABS(H607),"RE &gt; CA ",""),"")))</f>
        <v/>
      </c>
    </row>
    <row r="608">
      <c r="A608" s="9" t="n"/>
      <c r="B608" s="10">
        <f>IF(A608="","",IFERROR(VLOOKUP(A608,Titres!$A$2:$B$400,2,FALSE),"Ticker inconnu"))</f>
        <v/>
      </c>
      <c r="C608" s="11" t="n"/>
      <c r="D608" s="11" t="n"/>
      <c r="E608" s="9" t="n"/>
      <c r="F608" s="12" t="n"/>
      <c r="G608" s="9" t="n"/>
      <c r="H608" s="13" t="n"/>
      <c r="I608" s="13" t="n"/>
      <c r="J608" s="13" t="n"/>
      <c r="K608" s="13" t="n"/>
      <c r="L608" s="13" t="n"/>
      <c r="M608" s="13" t="n"/>
      <c r="N608" s="14">
        <f>IF(A608="","",COUNT(H608:M608)/6)</f>
        <v/>
      </c>
      <c r="O608" s="15">
        <f>IF(COUNT(H608:M608)=0,"",IF(LEN(IF(COUNT(I608,J608)=2,IF(J608&gt;I608+1,"EBE &gt; VA ",""),"")&amp;IF(COUNT(H608,M608)=2,IF(ABS(M608)&gt;ABS(H608),"RN &gt; CA ",""),"")&amp;IF(COUNT(H608,K608)=2,IF(ABS(K608)&gt;ABS(H608),"RE &gt; CA ",""),""))=0,"OK",IF(COUNT(I608,J608)=2,IF(J608&gt;I608+1,"EBE &gt; VA ",""),"")&amp;IF(COUNT(H608,M608)=2,IF(ABS(M608)&gt;ABS(H608),"RN &gt; CA ",""),"")&amp;IF(COUNT(H608,K608)=2,IF(ABS(K608)&gt;ABS(H608),"RE &gt; CA ",""),"")))</f>
        <v/>
      </c>
    </row>
    <row r="609">
      <c r="A609" s="9" t="n"/>
      <c r="B609" s="10">
        <f>IF(A609="","",IFERROR(VLOOKUP(A609,Titres!$A$2:$B$400,2,FALSE),"Ticker inconnu"))</f>
        <v/>
      </c>
      <c r="C609" s="11" t="n"/>
      <c r="D609" s="11" t="n"/>
      <c r="E609" s="9" t="n"/>
      <c r="F609" s="12" t="n"/>
      <c r="G609" s="9" t="n"/>
      <c r="H609" s="13" t="n"/>
      <c r="I609" s="13" t="n"/>
      <c r="J609" s="13" t="n"/>
      <c r="K609" s="13" t="n"/>
      <c r="L609" s="13" t="n"/>
      <c r="M609" s="13" t="n"/>
      <c r="N609" s="14">
        <f>IF(A609="","",COUNT(H609:M609)/6)</f>
        <v/>
      </c>
      <c r="O609" s="15">
        <f>IF(COUNT(H609:M609)=0,"",IF(LEN(IF(COUNT(I609,J609)=2,IF(J609&gt;I609+1,"EBE &gt; VA ",""),"")&amp;IF(COUNT(H609,M609)=2,IF(ABS(M609)&gt;ABS(H609),"RN &gt; CA ",""),"")&amp;IF(COUNT(H609,K609)=2,IF(ABS(K609)&gt;ABS(H609),"RE &gt; CA ",""),""))=0,"OK",IF(COUNT(I609,J609)=2,IF(J609&gt;I609+1,"EBE &gt; VA ",""),"")&amp;IF(COUNT(H609,M609)=2,IF(ABS(M609)&gt;ABS(H609),"RN &gt; CA ",""),"")&amp;IF(COUNT(H609,K609)=2,IF(ABS(K609)&gt;ABS(H609),"RE &gt; CA ",""),"")))</f>
        <v/>
      </c>
    </row>
    <row r="610">
      <c r="A610" s="9" t="n"/>
      <c r="B610" s="10">
        <f>IF(A610="","",IFERROR(VLOOKUP(A610,Titres!$A$2:$B$400,2,FALSE),"Ticker inconnu"))</f>
        <v/>
      </c>
      <c r="C610" s="11" t="n"/>
      <c r="D610" s="11" t="n"/>
      <c r="E610" s="9" t="n"/>
      <c r="F610" s="12" t="n"/>
      <c r="G610" s="9" t="n"/>
      <c r="H610" s="13" t="n"/>
      <c r="I610" s="13" t="n"/>
      <c r="J610" s="13" t="n"/>
      <c r="K610" s="13" t="n"/>
      <c r="L610" s="13" t="n"/>
      <c r="M610" s="13" t="n"/>
      <c r="N610" s="14">
        <f>IF(A610="","",COUNT(H610:M610)/6)</f>
        <v/>
      </c>
      <c r="O610" s="15">
        <f>IF(COUNT(H610:M610)=0,"",IF(LEN(IF(COUNT(I610,J610)=2,IF(J610&gt;I610+1,"EBE &gt; VA ",""),"")&amp;IF(COUNT(H610,M610)=2,IF(ABS(M610)&gt;ABS(H610),"RN &gt; CA ",""),"")&amp;IF(COUNT(H610,K610)=2,IF(ABS(K610)&gt;ABS(H610),"RE &gt; CA ",""),""))=0,"OK",IF(COUNT(I610,J610)=2,IF(J610&gt;I610+1,"EBE &gt; VA ",""),"")&amp;IF(COUNT(H610,M610)=2,IF(ABS(M610)&gt;ABS(H610),"RN &gt; CA ",""),"")&amp;IF(COUNT(H610,K610)=2,IF(ABS(K610)&gt;ABS(H610),"RE &gt; CA ",""),"")))</f>
        <v/>
      </c>
    </row>
    <row r="611">
      <c r="A611" s="9" t="n"/>
      <c r="B611" s="10">
        <f>IF(A611="","",IFERROR(VLOOKUP(A611,Titres!$A$2:$B$400,2,FALSE),"Ticker inconnu"))</f>
        <v/>
      </c>
      <c r="C611" s="11" t="n"/>
      <c r="D611" s="11" t="n"/>
      <c r="E611" s="9" t="n"/>
      <c r="F611" s="12" t="n"/>
      <c r="G611" s="9" t="n"/>
      <c r="H611" s="13" t="n"/>
      <c r="I611" s="13" t="n"/>
      <c r="J611" s="13" t="n"/>
      <c r="K611" s="13" t="n"/>
      <c r="L611" s="13" t="n"/>
      <c r="M611" s="13" t="n"/>
      <c r="N611" s="14">
        <f>IF(A611="","",COUNT(H611:M611)/6)</f>
        <v/>
      </c>
      <c r="O611" s="15">
        <f>IF(COUNT(H611:M611)=0,"",IF(LEN(IF(COUNT(I611,J611)=2,IF(J611&gt;I611+1,"EBE &gt; VA ",""),"")&amp;IF(COUNT(H611,M611)=2,IF(ABS(M611)&gt;ABS(H611),"RN &gt; CA ",""),"")&amp;IF(COUNT(H611,K611)=2,IF(ABS(K611)&gt;ABS(H611),"RE &gt; CA ",""),""))=0,"OK",IF(COUNT(I611,J611)=2,IF(J611&gt;I611+1,"EBE &gt; VA ",""),"")&amp;IF(COUNT(H611,M611)=2,IF(ABS(M611)&gt;ABS(H611),"RN &gt; CA ",""),"")&amp;IF(COUNT(H611,K611)=2,IF(ABS(K611)&gt;ABS(H611),"RE &gt; CA ",""),"")))</f>
        <v/>
      </c>
    </row>
    <row r="612">
      <c r="A612" s="9" t="n"/>
      <c r="B612" s="10">
        <f>IF(A612="","",IFERROR(VLOOKUP(A612,Titres!$A$2:$B$400,2,FALSE),"Ticker inconnu"))</f>
        <v/>
      </c>
      <c r="C612" s="11" t="n"/>
      <c r="D612" s="11" t="n"/>
      <c r="E612" s="9" t="n"/>
      <c r="F612" s="12" t="n"/>
      <c r="G612" s="9" t="n"/>
      <c r="H612" s="13" t="n"/>
      <c r="I612" s="13" t="n"/>
      <c r="J612" s="13" t="n"/>
      <c r="K612" s="13" t="n"/>
      <c r="L612" s="13" t="n"/>
      <c r="M612" s="13" t="n"/>
      <c r="N612" s="14">
        <f>IF(A612="","",COUNT(H612:M612)/6)</f>
        <v/>
      </c>
      <c r="O612" s="15">
        <f>IF(COUNT(H612:M612)=0,"",IF(LEN(IF(COUNT(I612,J612)=2,IF(J612&gt;I612+1,"EBE &gt; VA ",""),"")&amp;IF(COUNT(H612,M612)=2,IF(ABS(M612)&gt;ABS(H612),"RN &gt; CA ",""),"")&amp;IF(COUNT(H612,K612)=2,IF(ABS(K612)&gt;ABS(H612),"RE &gt; CA ",""),""))=0,"OK",IF(COUNT(I612,J612)=2,IF(J612&gt;I612+1,"EBE &gt; VA ",""),"")&amp;IF(COUNT(H612,M612)=2,IF(ABS(M612)&gt;ABS(H612),"RN &gt; CA ",""),"")&amp;IF(COUNT(H612,K612)=2,IF(ABS(K612)&gt;ABS(H612),"RE &gt; CA ",""),"")))</f>
        <v/>
      </c>
    </row>
    <row r="613">
      <c r="A613" s="9" t="n"/>
      <c r="B613" s="10">
        <f>IF(A613="","",IFERROR(VLOOKUP(A613,Titres!$A$2:$B$400,2,FALSE),"Ticker inconnu"))</f>
        <v/>
      </c>
      <c r="C613" s="11" t="n"/>
      <c r="D613" s="11" t="n"/>
      <c r="E613" s="9" t="n"/>
      <c r="F613" s="12" t="n"/>
      <c r="G613" s="9" t="n"/>
      <c r="H613" s="13" t="n"/>
      <c r="I613" s="13" t="n"/>
      <c r="J613" s="13" t="n"/>
      <c r="K613" s="13" t="n"/>
      <c r="L613" s="13" t="n"/>
      <c r="M613" s="13" t="n"/>
      <c r="N613" s="14">
        <f>IF(A613="","",COUNT(H613:M613)/6)</f>
        <v/>
      </c>
      <c r="O613" s="15">
        <f>IF(COUNT(H613:M613)=0,"",IF(LEN(IF(COUNT(I613,J613)=2,IF(J613&gt;I613+1,"EBE &gt; VA ",""),"")&amp;IF(COUNT(H613,M613)=2,IF(ABS(M613)&gt;ABS(H613),"RN &gt; CA ",""),"")&amp;IF(COUNT(H613,K613)=2,IF(ABS(K613)&gt;ABS(H613),"RE &gt; CA ",""),""))=0,"OK",IF(COUNT(I613,J613)=2,IF(J613&gt;I613+1,"EBE &gt; VA ",""),"")&amp;IF(COUNT(H613,M613)=2,IF(ABS(M613)&gt;ABS(H613),"RN &gt; CA ",""),"")&amp;IF(COUNT(H613,K613)=2,IF(ABS(K613)&gt;ABS(H613),"RE &gt; CA ",""),"")))</f>
        <v/>
      </c>
    </row>
    <row r="614">
      <c r="A614" s="9" t="n"/>
      <c r="B614" s="10">
        <f>IF(A614="","",IFERROR(VLOOKUP(A614,Titres!$A$2:$B$400,2,FALSE),"Ticker inconnu"))</f>
        <v/>
      </c>
      <c r="C614" s="11" t="n"/>
      <c r="D614" s="11" t="n"/>
      <c r="E614" s="9" t="n"/>
      <c r="F614" s="12" t="n"/>
      <c r="G614" s="9" t="n"/>
      <c r="H614" s="13" t="n"/>
      <c r="I614" s="13" t="n"/>
      <c r="J614" s="13" t="n"/>
      <c r="K614" s="13" t="n"/>
      <c r="L614" s="13" t="n"/>
      <c r="M614" s="13" t="n"/>
      <c r="N614" s="14">
        <f>IF(A614="","",COUNT(H614:M614)/6)</f>
        <v/>
      </c>
      <c r="O614" s="15">
        <f>IF(COUNT(H614:M614)=0,"",IF(LEN(IF(COUNT(I614,J614)=2,IF(J614&gt;I614+1,"EBE &gt; VA ",""),"")&amp;IF(COUNT(H614,M614)=2,IF(ABS(M614)&gt;ABS(H614),"RN &gt; CA ",""),"")&amp;IF(COUNT(H614,K614)=2,IF(ABS(K614)&gt;ABS(H614),"RE &gt; CA ",""),""))=0,"OK",IF(COUNT(I614,J614)=2,IF(J614&gt;I614+1,"EBE &gt; VA ",""),"")&amp;IF(COUNT(H614,M614)=2,IF(ABS(M614)&gt;ABS(H614),"RN &gt; CA ",""),"")&amp;IF(COUNT(H614,K614)=2,IF(ABS(K614)&gt;ABS(H614),"RE &gt; CA ",""),"")))</f>
        <v/>
      </c>
    </row>
    <row r="615">
      <c r="A615" s="9" t="n"/>
      <c r="B615" s="10">
        <f>IF(A615="","",IFERROR(VLOOKUP(A615,Titres!$A$2:$B$400,2,FALSE),"Ticker inconnu"))</f>
        <v/>
      </c>
      <c r="C615" s="11" t="n"/>
      <c r="D615" s="11" t="n"/>
      <c r="E615" s="9" t="n"/>
      <c r="F615" s="12" t="n"/>
      <c r="G615" s="9" t="n"/>
      <c r="H615" s="13" t="n"/>
      <c r="I615" s="13" t="n"/>
      <c r="J615" s="13" t="n"/>
      <c r="K615" s="13" t="n"/>
      <c r="L615" s="13" t="n"/>
      <c r="M615" s="13" t="n"/>
      <c r="N615" s="14">
        <f>IF(A615="","",COUNT(H615:M615)/6)</f>
        <v/>
      </c>
      <c r="O615" s="15">
        <f>IF(COUNT(H615:M615)=0,"",IF(LEN(IF(COUNT(I615,J615)=2,IF(J615&gt;I615+1,"EBE &gt; VA ",""),"")&amp;IF(COUNT(H615,M615)=2,IF(ABS(M615)&gt;ABS(H615),"RN &gt; CA ",""),"")&amp;IF(COUNT(H615,K615)=2,IF(ABS(K615)&gt;ABS(H615),"RE &gt; CA ",""),""))=0,"OK",IF(COUNT(I615,J615)=2,IF(J615&gt;I615+1,"EBE &gt; VA ",""),"")&amp;IF(COUNT(H615,M615)=2,IF(ABS(M615)&gt;ABS(H615),"RN &gt; CA ",""),"")&amp;IF(COUNT(H615,K615)=2,IF(ABS(K615)&gt;ABS(H615),"RE &gt; CA ",""),"")))</f>
        <v/>
      </c>
    </row>
    <row r="616">
      <c r="A616" s="9" t="n"/>
      <c r="B616" s="10">
        <f>IF(A616="","",IFERROR(VLOOKUP(A616,Titres!$A$2:$B$400,2,FALSE),"Ticker inconnu"))</f>
        <v/>
      </c>
      <c r="C616" s="11" t="n"/>
      <c r="D616" s="11" t="n"/>
      <c r="E616" s="9" t="n"/>
      <c r="F616" s="12" t="n"/>
      <c r="G616" s="9" t="n"/>
      <c r="H616" s="13" t="n"/>
      <c r="I616" s="13" t="n"/>
      <c r="J616" s="13" t="n"/>
      <c r="K616" s="13" t="n"/>
      <c r="L616" s="13" t="n"/>
      <c r="M616" s="13" t="n"/>
      <c r="N616" s="14">
        <f>IF(A616="","",COUNT(H616:M616)/6)</f>
        <v/>
      </c>
      <c r="O616" s="15">
        <f>IF(COUNT(H616:M616)=0,"",IF(LEN(IF(COUNT(I616,J616)=2,IF(J616&gt;I616+1,"EBE &gt; VA ",""),"")&amp;IF(COUNT(H616,M616)=2,IF(ABS(M616)&gt;ABS(H616),"RN &gt; CA ",""),"")&amp;IF(COUNT(H616,K616)=2,IF(ABS(K616)&gt;ABS(H616),"RE &gt; CA ",""),""))=0,"OK",IF(COUNT(I616,J616)=2,IF(J616&gt;I616+1,"EBE &gt; VA ",""),"")&amp;IF(COUNT(H616,M616)=2,IF(ABS(M616)&gt;ABS(H616),"RN &gt; CA ",""),"")&amp;IF(COUNT(H616,K616)=2,IF(ABS(K616)&gt;ABS(H616),"RE &gt; CA ",""),"")))</f>
        <v/>
      </c>
    </row>
    <row r="617">
      <c r="A617" s="9" t="n"/>
      <c r="B617" s="10">
        <f>IF(A617="","",IFERROR(VLOOKUP(A617,Titres!$A$2:$B$400,2,FALSE),"Ticker inconnu"))</f>
        <v/>
      </c>
      <c r="C617" s="11" t="n"/>
      <c r="D617" s="11" t="n"/>
      <c r="E617" s="9" t="n"/>
      <c r="F617" s="12" t="n"/>
      <c r="G617" s="9" t="n"/>
      <c r="H617" s="13" t="n"/>
      <c r="I617" s="13" t="n"/>
      <c r="J617" s="13" t="n"/>
      <c r="K617" s="13" t="n"/>
      <c r="L617" s="13" t="n"/>
      <c r="M617" s="13" t="n"/>
      <c r="N617" s="14">
        <f>IF(A617="","",COUNT(H617:M617)/6)</f>
        <v/>
      </c>
      <c r="O617" s="15">
        <f>IF(COUNT(H617:M617)=0,"",IF(LEN(IF(COUNT(I617,J617)=2,IF(J617&gt;I617+1,"EBE &gt; VA ",""),"")&amp;IF(COUNT(H617,M617)=2,IF(ABS(M617)&gt;ABS(H617),"RN &gt; CA ",""),"")&amp;IF(COUNT(H617,K617)=2,IF(ABS(K617)&gt;ABS(H617),"RE &gt; CA ",""),""))=0,"OK",IF(COUNT(I617,J617)=2,IF(J617&gt;I617+1,"EBE &gt; VA ",""),"")&amp;IF(COUNT(H617,M617)=2,IF(ABS(M617)&gt;ABS(H617),"RN &gt; CA ",""),"")&amp;IF(COUNT(H617,K617)=2,IF(ABS(K617)&gt;ABS(H617),"RE &gt; CA ",""),"")))</f>
        <v/>
      </c>
    </row>
    <row r="618">
      <c r="A618" s="9" t="n"/>
      <c r="B618" s="10">
        <f>IF(A618="","",IFERROR(VLOOKUP(A618,Titres!$A$2:$B$400,2,FALSE),"Ticker inconnu"))</f>
        <v/>
      </c>
      <c r="C618" s="11" t="n"/>
      <c r="D618" s="11" t="n"/>
      <c r="E618" s="9" t="n"/>
      <c r="F618" s="12" t="n"/>
      <c r="G618" s="9" t="n"/>
      <c r="H618" s="13" t="n"/>
      <c r="I618" s="13" t="n"/>
      <c r="J618" s="13" t="n"/>
      <c r="K618" s="13" t="n"/>
      <c r="L618" s="13" t="n"/>
      <c r="M618" s="13" t="n"/>
      <c r="N618" s="14">
        <f>IF(A618="","",COUNT(H618:M618)/6)</f>
        <v/>
      </c>
      <c r="O618" s="15">
        <f>IF(COUNT(H618:M618)=0,"",IF(LEN(IF(COUNT(I618,J618)=2,IF(J618&gt;I618+1,"EBE &gt; VA ",""),"")&amp;IF(COUNT(H618,M618)=2,IF(ABS(M618)&gt;ABS(H618),"RN &gt; CA ",""),"")&amp;IF(COUNT(H618,K618)=2,IF(ABS(K618)&gt;ABS(H618),"RE &gt; CA ",""),""))=0,"OK",IF(COUNT(I618,J618)=2,IF(J618&gt;I618+1,"EBE &gt; VA ",""),"")&amp;IF(COUNT(H618,M618)=2,IF(ABS(M618)&gt;ABS(H618),"RN &gt; CA ",""),"")&amp;IF(COUNT(H618,K618)=2,IF(ABS(K618)&gt;ABS(H618),"RE &gt; CA ",""),"")))</f>
        <v/>
      </c>
    </row>
    <row r="619">
      <c r="A619" s="9" t="n"/>
      <c r="B619" s="10">
        <f>IF(A619="","",IFERROR(VLOOKUP(A619,Titres!$A$2:$B$400,2,FALSE),"Ticker inconnu"))</f>
        <v/>
      </c>
      <c r="C619" s="11" t="n"/>
      <c r="D619" s="11" t="n"/>
      <c r="E619" s="9" t="n"/>
      <c r="F619" s="12" t="n"/>
      <c r="G619" s="9" t="n"/>
      <c r="H619" s="13" t="n"/>
      <c r="I619" s="13" t="n"/>
      <c r="J619" s="13" t="n"/>
      <c r="K619" s="13" t="n"/>
      <c r="L619" s="13" t="n"/>
      <c r="M619" s="13" t="n"/>
      <c r="N619" s="14">
        <f>IF(A619="","",COUNT(H619:M619)/6)</f>
        <v/>
      </c>
      <c r="O619" s="15">
        <f>IF(COUNT(H619:M619)=0,"",IF(LEN(IF(COUNT(I619,J619)=2,IF(J619&gt;I619+1,"EBE &gt; VA ",""),"")&amp;IF(COUNT(H619,M619)=2,IF(ABS(M619)&gt;ABS(H619),"RN &gt; CA ",""),"")&amp;IF(COUNT(H619,K619)=2,IF(ABS(K619)&gt;ABS(H619),"RE &gt; CA ",""),""))=0,"OK",IF(COUNT(I619,J619)=2,IF(J619&gt;I619+1,"EBE &gt; VA ",""),"")&amp;IF(COUNT(H619,M619)=2,IF(ABS(M619)&gt;ABS(H619),"RN &gt; CA ",""),"")&amp;IF(COUNT(H619,K619)=2,IF(ABS(K619)&gt;ABS(H619),"RE &gt; CA ",""),"")))</f>
        <v/>
      </c>
    </row>
    <row r="620">
      <c r="A620" s="9" t="n"/>
      <c r="B620" s="10">
        <f>IF(A620="","",IFERROR(VLOOKUP(A620,Titres!$A$2:$B$400,2,FALSE),"Ticker inconnu"))</f>
        <v/>
      </c>
      <c r="C620" s="11" t="n"/>
      <c r="D620" s="11" t="n"/>
      <c r="E620" s="9" t="n"/>
      <c r="F620" s="12" t="n"/>
      <c r="G620" s="9" t="n"/>
      <c r="H620" s="13" t="n"/>
      <c r="I620" s="13" t="n"/>
      <c r="J620" s="13" t="n"/>
      <c r="K620" s="13" t="n"/>
      <c r="L620" s="13" t="n"/>
      <c r="M620" s="13" t="n"/>
      <c r="N620" s="14">
        <f>IF(A620="","",COUNT(H620:M620)/6)</f>
        <v/>
      </c>
      <c r="O620" s="15">
        <f>IF(COUNT(H620:M620)=0,"",IF(LEN(IF(COUNT(I620,J620)=2,IF(J620&gt;I620+1,"EBE &gt; VA ",""),"")&amp;IF(COUNT(H620,M620)=2,IF(ABS(M620)&gt;ABS(H620),"RN &gt; CA ",""),"")&amp;IF(COUNT(H620,K620)=2,IF(ABS(K620)&gt;ABS(H620),"RE &gt; CA ",""),""))=0,"OK",IF(COUNT(I620,J620)=2,IF(J620&gt;I620+1,"EBE &gt; VA ",""),"")&amp;IF(COUNT(H620,M620)=2,IF(ABS(M620)&gt;ABS(H620),"RN &gt; CA ",""),"")&amp;IF(COUNT(H620,K620)=2,IF(ABS(K620)&gt;ABS(H620),"RE &gt; CA ",""),"")))</f>
        <v/>
      </c>
    </row>
    <row r="621">
      <c r="A621" s="9" t="n"/>
      <c r="B621" s="10">
        <f>IF(A621="","",IFERROR(VLOOKUP(A621,Titres!$A$2:$B$400,2,FALSE),"Ticker inconnu"))</f>
        <v/>
      </c>
      <c r="C621" s="11" t="n"/>
      <c r="D621" s="11" t="n"/>
      <c r="E621" s="9" t="n"/>
      <c r="F621" s="12" t="n"/>
      <c r="G621" s="9" t="n"/>
      <c r="H621" s="13" t="n"/>
      <c r="I621" s="13" t="n"/>
      <c r="J621" s="13" t="n"/>
      <c r="K621" s="13" t="n"/>
      <c r="L621" s="13" t="n"/>
      <c r="M621" s="13" t="n"/>
      <c r="N621" s="14">
        <f>IF(A621="","",COUNT(H621:M621)/6)</f>
        <v/>
      </c>
      <c r="O621" s="15">
        <f>IF(COUNT(H621:M621)=0,"",IF(LEN(IF(COUNT(I621,J621)=2,IF(J621&gt;I621+1,"EBE &gt; VA ",""),"")&amp;IF(COUNT(H621,M621)=2,IF(ABS(M621)&gt;ABS(H621),"RN &gt; CA ",""),"")&amp;IF(COUNT(H621,K621)=2,IF(ABS(K621)&gt;ABS(H621),"RE &gt; CA ",""),""))=0,"OK",IF(COUNT(I621,J621)=2,IF(J621&gt;I621+1,"EBE &gt; VA ",""),"")&amp;IF(COUNT(H621,M621)=2,IF(ABS(M621)&gt;ABS(H621),"RN &gt; CA ",""),"")&amp;IF(COUNT(H621,K621)=2,IF(ABS(K621)&gt;ABS(H621),"RE &gt; CA ",""),"")))</f>
        <v/>
      </c>
    </row>
    <row r="622">
      <c r="A622" s="9" t="n"/>
      <c r="B622" s="10">
        <f>IF(A622="","",IFERROR(VLOOKUP(A622,Titres!$A$2:$B$400,2,FALSE),"Ticker inconnu"))</f>
        <v/>
      </c>
      <c r="C622" s="11" t="n"/>
      <c r="D622" s="11" t="n"/>
      <c r="E622" s="9" t="n"/>
      <c r="F622" s="12" t="n"/>
      <c r="G622" s="9" t="n"/>
      <c r="H622" s="13" t="n"/>
      <c r="I622" s="13" t="n"/>
      <c r="J622" s="13" t="n"/>
      <c r="K622" s="13" t="n"/>
      <c r="L622" s="13" t="n"/>
      <c r="M622" s="13" t="n"/>
      <c r="N622" s="14">
        <f>IF(A622="","",COUNT(H622:M622)/6)</f>
        <v/>
      </c>
      <c r="O622" s="15">
        <f>IF(COUNT(H622:M622)=0,"",IF(LEN(IF(COUNT(I622,J622)=2,IF(J622&gt;I622+1,"EBE &gt; VA ",""),"")&amp;IF(COUNT(H622,M622)=2,IF(ABS(M622)&gt;ABS(H622),"RN &gt; CA ",""),"")&amp;IF(COUNT(H622,K622)=2,IF(ABS(K622)&gt;ABS(H622),"RE &gt; CA ",""),""))=0,"OK",IF(COUNT(I622,J622)=2,IF(J622&gt;I622+1,"EBE &gt; VA ",""),"")&amp;IF(COUNT(H622,M622)=2,IF(ABS(M622)&gt;ABS(H622),"RN &gt; CA ",""),"")&amp;IF(COUNT(H622,K622)=2,IF(ABS(K622)&gt;ABS(H622),"RE &gt; CA ",""),"")))</f>
        <v/>
      </c>
    </row>
    <row r="623">
      <c r="A623" s="9" t="n"/>
      <c r="B623" s="10">
        <f>IF(A623="","",IFERROR(VLOOKUP(A623,Titres!$A$2:$B$400,2,FALSE),"Ticker inconnu"))</f>
        <v/>
      </c>
      <c r="C623" s="11" t="n"/>
      <c r="D623" s="11" t="n"/>
      <c r="E623" s="9" t="n"/>
      <c r="F623" s="12" t="n"/>
      <c r="G623" s="9" t="n"/>
      <c r="H623" s="13" t="n"/>
      <c r="I623" s="13" t="n"/>
      <c r="J623" s="13" t="n"/>
      <c r="K623" s="13" t="n"/>
      <c r="L623" s="13" t="n"/>
      <c r="M623" s="13" t="n"/>
      <c r="N623" s="14">
        <f>IF(A623="","",COUNT(H623:M623)/6)</f>
        <v/>
      </c>
      <c r="O623" s="15">
        <f>IF(COUNT(H623:M623)=0,"",IF(LEN(IF(COUNT(I623,J623)=2,IF(J623&gt;I623+1,"EBE &gt; VA ",""),"")&amp;IF(COUNT(H623,M623)=2,IF(ABS(M623)&gt;ABS(H623),"RN &gt; CA ",""),"")&amp;IF(COUNT(H623,K623)=2,IF(ABS(K623)&gt;ABS(H623),"RE &gt; CA ",""),""))=0,"OK",IF(COUNT(I623,J623)=2,IF(J623&gt;I623+1,"EBE &gt; VA ",""),"")&amp;IF(COUNT(H623,M623)=2,IF(ABS(M623)&gt;ABS(H623),"RN &gt; CA ",""),"")&amp;IF(COUNT(H623,K623)=2,IF(ABS(K623)&gt;ABS(H623),"RE &gt; CA ",""),"")))</f>
        <v/>
      </c>
    </row>
    <row r="624">
      <c r="A624" s="9" t="n"/>
      <c r="B624" s="10">
        <f>IF(A624="","",IFERROR(VLOOKUP(A624,Titres!$A$2:$B$400,2,FALSE),"Ticker inconnu"))</f>
        <v/>
      </c>
      <c r="C624" s="11" t="n"/>
      <c r="D624" s="11" t="n"/>
      <c r="E624" s="9" t="n"/>
      <c r="F624" s="12" t="n"/>
      <c r="G624" s="9" t="n"/>
      <c r="H624" s="13" t="n"/>
      <c r="I624" s="13" t="n"/>
      <c r="J624" s="13" t="n"/>
      <c r="K624" s="13" t="n"/>
      <c r="L624" s="13" t="n"/>
      <c r="M624" s="13" t="n"/>
      <c r="N624" s="14">
        <f>IF(A624="","",COUNT(H624:M624)/6)</f>
        <v/>
      </c>
      <c r="O624" s="15">
        <f>IF(COUNT(H624:M624)=0,"",IF(LEN(IF(COUNT(I624,J624)=2,IF(J624&gt;I624+1,"EBE &gt; VA ",""),"")&amp;IF(COUNT(H624,M624)=2,IF(ABS(M624)&gt;ABS(H624),"RN &gt; CA ",""),"")&amp;IF(COUNT(H624,K624)=2,IF(ABS(K624)&gt;ABS(H624),"RE &gt; CA ",""),""))=0,"OK",IF(COUNT(I624,J624)=2,IF(J624&gt;I624+1,"EBE &gt; VA ",""),"")&amp;IF(COUNT(H624,M624)=2,IF(ABS(M624)&gt;ABS(H624),"RN &gt; CA ",""),"")&amp;IF(COUNT(H624,K624)=2,IF(ABS(K624)&gt;ABS(H624),"RE &gt; CA ",""),"")))</f>
        <v/>
      </c>
    </row>
    <row r="625">
      <c r="A625" s="9" t="n"/>
      <c r="B625" s="10">
        <f>IF(A625="","",IFERROR(VLOOKUP(A625,Titres!$A$2:$B$400,2,FALSE),"Ticker inconnu"))</f>
        <v/>
      </c>
      <c r="C625" s="11" t="n"/>
      <c r="D625" s="11" t="n"/>
      <c r="E625" s="9" t="n"/>
      <c r="F625" s="12" t="n"/>
      <c r="G625" s="9" t="n"/>
      <c r="H625" s="13" t="n"/>
      <c r="I625" s="13" t="n"/>
      <c r="J625" s="13" t="n"/>
      <c r="K625" s="13" t="n"/>
      <c r="L625" s="13" t="n"/>
      <c r="M625" s="13" t="n"/>
      <c r="N625" s="14">
        <f>IF(A625="","",COUNT(H625:M625)/6)</f>
        <v/>
      </c>
      <c r="O625" s="15">
        <f>IF(COUNT(H625:M625)=0,"",IF(LEN(IF(COUNT(I625,J625)=2,IF(J625&gt;I625+1,"EBE &gt; VA ",""),"")&amp;IF(COUNT(H625,M625)=2,IF(ABS(M625)&gt;ABS(H625),"RN &gt; CA ",""),"")&amp;IF(COUNT(H625,K625)=2,IF(ABS(K625)&gt;ABS(H625),"RE &gt; CA ",""),""))=0,"OK",IF(COUNT(I625,J625)=2,IF(J625&gt;I625+1,"EBE &gt; VA ",""),"")&amp;IF(COUNT(H625,M625)=2,IF(ABS(M625)&gt;ABS(H625),"RN &gt; CA ",""),"")&amp;IF(COUNT(H625,K625)=2,IF(ABS(K625)&gt;ABS(H625),"RE &gt; CA ",""),"")))</f>
        <v/>
      </c>
    </row>
    <row r="626">
      <c r="A626" s="9" t="n"/>
      <c r="B626" s="10">
        <f>IF(A626="","",IFERROR(VLOOKUP(A626,Titres!$A$2:$B$400,2,FALSE),"Ticker inconnu"))</f>
        <v/>
      </c>
      <c r="C626" s="11" t="n"/>
      <c r="D626" s="11" t="n"/>
      <c r="E626" s="9" t="n"/>
      <c r="F626" s="12" t="n"/>
      <c r="G626" s="9" t="n"/>
      <c r="H626" s="13" t="n"/>
      <c r="I626" s="13" t="n"/>
      <c r="J626" s="13" t="n"/>
      <c r="K626" s="13" t="n"/>
      <c r="L626" s="13" t="n"/>
      <c r="M626" s="13" t="n"/>
      <c r="N626" s="14">
        <f>IF(A626="","",COUNT(H626:M626)/6)</f>
        <v/>
      </c>
      <c r="O626" s="15">
        <f>IF(COUNT(H626:M626)=0,"",IF(LEN(IF(COUNT(I626,J626)=2,IF(J626&gt;I626+1,"EBE &gt; VA ",""),"")&amp;IF(COUNT(H626,M626)=2,IF(ABS(M626)&gt;ABS(H626),"RN &gt; CA ",""),"")&amp;IF(COUNT(H626,K626)=2,IF(ABS(K626)&gt;ABS(H626),"RE &gt; CA ",""),""))=0,"OK",IF(COUNT(I626,J626)=2,IF(J626&gt;I626+1,"EBE &gt; VA ",""),"")&amp;IF(COUNT(H626,M626)=2,IF(ABS(M626)&gt;ABS(H626),"RN &gt; CA ",""),"")&amp;IF(COUNT(H626,K626)=2,IF(ABS(K626)&gt;ABS(H626),"RE &gt; CA ",""),"")))</f>
        <v/>
      </c>
    </row>
    <row r="627">
      <c r="A627" s="9" t="n"/>
      <c r="B627" s="10">
        <f>IF(A627="","",IFERROR(VLOOKUP(A627,Titres!$A$2:$B$400,2,FALSE),"Ticker inconnu"))</f>
        <v/>
      </c>
      <c r="C627" s="11" t="n"/>
      <c r="D627" s="11" t="n"/>
      <c r="E627" s="9" t="n"/>
      <c r="F627" s="12" t="n"/>
      <c r="G627" s="9" t="n"/>
      <c r="H627" s="13" t="n"/>
      <c r="I627" s="13" t="n"/>
      <c r="J627" s="13" t="n"/>
      <c r="K627" s="13" t="n"/>
      <c r="L627" s="13" t="n"/>
      <c r="M627" s="13" t="n"/>
      <c r="N627" s="14">
        <f>IF(A627="","",COUNT(H627:M627)/6)</f>
        <v/>
      </c>
      <c r="O627" s="15">
        <f>IF(COUNT(H627:M627)=0,"",IF(LEN(IF(COUNT(I627,J627)=2,IF(J627&gt;I627+1,"EBE &gt; VA ",""),"")&amp;IF(COUNT(H627,M627)=2,IF(ABS(M627)&gt;ABS(H627),"RN &gt; CA ",""),"")&amp;IF(COUNT(H627,K627)=2,IF(ABS(K627)&gt;ABS(H627),"RE &gt; CA ",""),""))=0,"OK",IF(COUNT(I627,J627)=2,IF(J627&gt;I627+1,"EBE &gt; VA ",""),"")&amp;IF(COUNT(H627,M627)=2,IF(ABS(M627)&gt;ABS(H627),"RN &gt; CA ",""),"")&amp;IF(COUNT(H627,K627)=2,IF(ABS(K627)&gt;ABS(H627),"RE &gt; CA ",""),"")))</f>
        <v/>
      </c>
    </row>
    <row r="628">
      <c r="A628" s="9" t="n"/>
      <c r="B628" s="10">
        <f>IF(A628="","",IFERROR(VLOOKUP(A628,Titres!$A$2:$B$400,2,FALSE),"Ticker inconnu"))</f>
        <v/>
      </c>
      <c r="C628" s="11" t="n"/>
      <c r="D628" s="11" t="n"/>
      <c r="E628" s="9" t="n"/>
      <c r="F628" s="12" t="n"/>
      <c r="G628" s="9" t="n"/>
      <c r="H628" s="13" t="n"/>
      <c r="I628" s="13" t="n"/>
      <c r="J628" s="13" t="n"/>
      <c r="K628" s="13" t="n"/>
      <c r="L628" s="13" t="n"/>
      <c r="M628" s="13" t="n"/>
      <c r="N628" s="14">
        <f>IF(A628="","",COUNT(H628:M628)/6)</f>
        <v/>
      </c>
      <c r="O628" s="15">
        <f>IF(COUNT(H628:M628)=0,"",IF(LEN(IF(COUNT(I628,J628)=2,IF(J628&gt;I628+1,"EBE &gt; VA ",""),"")&amp;IF(COUNT(H628,M628)=2,IF(ABS(M628)&gt;ABS(H628),"RN &gt; CA ",""),"")&amp;IF(COUNT(H628,K628)=2,IF(ABS(K628)&gt;ABS(H628),"RE &gt; CA ",""),""))=0,"OK",IF(COUNT(I628,J628)=2,IF(J628&gt;I628+1,"EBE &gt; VA ",""),"")&amp;IF(COUNT(H628,M628)=2,IF(ABS(M628)&gt;ABS(H628),"RN &gt; CA ",""),"")&amp;IF(COUNT(H628,K628)=2,IF(ABS(K628)&gt;ABS(H628),"RE &gt; CA ",""),"")))</f>
        <v/>
      </c>
    </row>
    <row r="629">
      <c r="A629" s="9" t="n"/>
      <c r="B629" s="10">
        <f>IF(A629="","",IFERROR(VLOOKUP(A629,Titres!$A$2:$B$400,2,FALSE),"Ticker inconnu"))</f>
        <v/>
      </c>
      <c r="C629" s="11" t="n"/>
      <c r="D629" s="11" t="n"/>
      <c r="E629" s="9" t="n"/>
      <c r="F629" s="12" t="n"/>
      <c r="G629" s="9" t="n"/>
      <c r="H629" s="13" t="n"/>
      <c r="I629" s="13" t="n"/>
      <c r="J629" s="13" t="n"/>
      <c r="K629" s="13" t="n"/>
      <c r="L629" s="13" t="n"/>
      <c r="M629" s="13" t="n"/>
      <c r="N629" s="14">
        <f>IF(A629="","",COUNT(H629:M629)/6)</f>
        <v/>
      </c>
      <c r="O629" s="15">
        <f>IF(COUNT(H629:M629)=0,"",IF(LEN(IF(COUNT(I629,J629)=2,IF(J629&gt;I629+1,"EBE &gt; VA ",""),"")&amp;IF(COUNT(H629,M629)=2,IF(ABS(M629)&gt;ABS(H629),"RN &gt; CA ",""),"")&amp;IF(COUNT(H629,K629)=2,IF(ABS(K629)&gt;ABS(H629),"RE &gt; CA ",""),""))=0,"OK",IF(COUNT(I629,J629)=2,IF(J629&gt;I629+1,"EBE &gt; VA ",""),"")&amp;IF(COUNT(H629,M629)=2,IF(ABS(M629)&gt;ABS(H629),"RN &gt; CA ",""),"")&amp;IF(COUNT(H629,K629)=2,IF(ABS(K629)&gt;ABS(H629),"RE &gt; CA ",""),"")))</f>
        <v/>
      </c>
    </row>
    <row r="630">
      <c r="A630" s="9" t="n"/>
      <c r="B630" s="10">
        <f>IF(A630="","",IFERROR(VLOOKUP(A630,Titres!$A$2:$B$400,2,FALSE),"Ticker inconnu"))</f>
        <v/>
      </c>
      <c r="C630" s="11" t="n"/>
      <c r="D630" s="11" t="n"/>
      <c r="E630" s="9" t="n"/>
      <c r="F630" s="12" t="n"/>
      <c r="G630" s="9" t="n"/>
      <c r="H630" s="13" t="n"/>
      <c r="I630" s="13" t="n"/>
      <c r="J630" s="13" t="n"/>
      <c r="K630" s="13" t="n"/>
      <c r="L630" s="13" t="n"/>
      <c r="M630" s="13" t="n"/>
      <c r="N630" s="14">
        <f>IF(A630="","",COUNT(H630:M630)/6)</f>
        <v/>
      </c>
      <c r="O630" s="15">
        <f>IF(COUNT(H630:M630)=0,"",IF(LEN(IF(COUNT(I630,J630)=2,IF(J630&gt;I630+1,"EBE &gt; VA ",""),"")&amp;IF(COUNT(H630,M630)=2,IF(ABS(M630)&gt;ABS(H630),"RN &gt; CA ",""),"")&amp;IF(COUNT(H630,K630)=2,IF(ABS(K630)&gt;ABS(H630),"RE &gt; CA ",""),""))=0,"OK",IF(COUNT(I630,J630)=2,IF(J630&gt;I630+1,"EBE &gt; VA ",""),"")&amp;IF(COUNT(H630,M630)=2,IF(ABS(M630)&gt;ABS(H630),"RN &gt; CA ",""),"")&amp;IF(COUNT(H630,K630)=2,IF(ABS(K630)&gt;ABS(H630),"RE &gt; CA ",""),"")))</f>
        <v/>
      </c>
    </row>
    <row r="631">
      <c r="A631" s="9" t="n"/>
      <c r="B631" s="10">
        <f>IF(A631="","",IFERROR(VLOOKUP(A631,Titres!$A$2:$B$400,2,FALSE),"Ticker inconnu"))</f>
        <v/>
      </c>
      <c r="C631" s="11" t="n"/>
      <c r="D631" s="11" t="n"/>
      <c r="E631" s="9" t="n"/>
      <c r="F631" s="12" t="n"/>
      <c r="G631" s="9" t="n"/>
      <c r="H631" s="13" t="n"/>
      <c r="I631" s="13" t="n"/>
      <c r="J631" s="13" t="n"/>
      <c r="K631" s="13" t="n"/>
      <c r="L631" s="13" t="n"/>
      <c r="M631" s="13" t="n"/>
      <c r="N631" s="14">
        <f>IF(A631="","",COUNT(H631:M631)/6)</f>
        <v/>
      </c>
      <c r="O631" s="15">
        <f>IF(COUNT(H631:M631)=0,"",IF(LEN(IF(COUNT(I631,J631)=2,IF(J631&gt;I631+1,"EBE &gt; VA ",""),"")&amp;IF(COUNT(H631,M631)=2,IF(ABS(M631)&gt;ABS(H631),"RN &gt; CA ",""),"")&amp;IF(COUNT(H631,K631)=2,IF(ABS(K631)&gt;ABS(H631),"RE &gt; CA ",""),""))=0,"OK",IF(COUNT(I631,J631)=2,IF(J631&gt;I631+1,"EBE &gt; VA ",""),"")&amp;IF(COUNT(H631,M631)=2,IF(ABS(M631)&gt;ABS(H631),"RN &gt; CA ",""),"")&amp;IF(COUNT(H631,K631)=2,IF(ABS(K631)&gt;ABS(H631),"RE &gt; CA ",""),"")))</f>
        <v/>
      </c>
    </row>
    <row r="632">
      <c r="A632" s="9" t="n"/>
      <c r="B632" s="10">
        <f>IF(A632="","",IFERROR(VLOOKUP(A632,Titres!$A$2:$B$400,2,FALSE),"Ticker inconnu"))</f>
        <v/>
      </c>
      <c r="C632" s="11" t="n"/>
      <c r="D632" s="11" t="n"/>
      <c r="E632" s="9" t="n"/>
      <c r="F632" s="12" t="n"/>
      <c r="G632" s="9" t="n"/>
      <c r="H632" s="13" t="n"/>
      <c r="I632" s="13" t="n"/>
      <c r="J632" s="13" t="n"/>
      <c r="K632" s="13" t="n"/>
      <c r="L632" s="13" t="n"/>
      <c r="M632" s="13" t="n"/>
      <c r="N632" s="14">
        <f>IF(A632="","",COUNT(H632:M632)/6)</f>
        <v/>
      </c>
      <c r="O632" s="15">
        <f>IF(COUNT(H632:M632)=0,"",IF(LEN(IF(COUNT(I632,J632)=2,IF(J632&gt;I632+1,"EBE &gt; VA ",""),"")&amp;IF(COUNT(H632,M632)=2,IF(ABS(M632)&gt;ABS(H632),"RN &gt; CA ",""),"")&amp;IF(COUNT(H632,K632)=2,IF(ABS(K632)&gt;ABS(H632),"RE &gt; CA ",""),""))=0,"OK",IF(COUNT(I632,J632)=2,IF(J632&gt;I632+1,"EBE &gt; VA ",""),"")&amp;IF(COUNT(H632,M632)=2,IF(ABS(M632)&gt;ABS(H632),"RN &gt; CA ",""),"")&amp;IF(COUNT(H632,K632)=2,IF(ABS(K632)&gt;ABS(H632),"RE &gt; CA ",""),"")))</f>
        <v/>
      </c>
    </row>
    <row r="633">
      <c r="A633" s="9" t="n"/>
      <c r="B633" s="10">
        <f>IF(A633="","",IFERROR(VLOOKUP(A633,Titres!$A$2:$B$400,2,FALSE),"Ticker inconnu"))</f>
        <v/>
      </c>
      <c r="C633" s="11" t="n"/>
      <c r="D633" s="11" t="n"/>
      <c r="E633" s="9" t="n"/>
      <c r="F633" s="12" t="n"/>
      <c r="G633" s="9" t="n"/>
      <c r="H633" s="13" t="n"/>
      <c r="I633" s="13" t="n"/>
      <c r="J633" s="13" t="n"/>
      <c r="K633" s="13" t="n"/>
      <c r="L633" s="13" t="n"/>
      <c r="M633" s="13" t="n"/>
      <c r="N633" s="14">
        <f>IF(A633="","",COUNT(H633:M633)/6)</f>
        <v/>
      </c>
      <c r="O633" s="15">
        <f>IF(COUNT(H633:M633)=0,"",IF(LEN(IF(COUNT(I633,J633)=2,IF(J633&gt;I633+1,"EBE &gt; VA ",""),"")&amp;IF(COUNT(H633,M633)=2,IF(ABS(M633)&gt;ABS(H633),"RN &gt; CA ",""),"")&amp;IF(COUNT(H633,K633)=2,IF(ABS(K633)&gt;ABS(H633),"RE &gt; CA ",""),""))=0,"OK",IF(COUNT(I633,J633)=2,IF(J633&gt;I633+1,"EBE &gt; VA ",""),"")&amp;IF(COUNT(H633,M633)=2,IF(ABS(M633)&gt;ABS(H633),"RN &gt; CA ",""),"")&amp;IF(COUNT(H633,K633)=2,IF(ABS(K633)&gt;ABS(H633),"RE &gt; CA ",""),"")))</f>
        <v/>
      </c>
    </row>
    <row r="634">
      <c r="A634" s="9" t="n"/>
      <c r="B634" s="10">
        <f>IF(A634="","",IFERROR(VLOOKUP(A634,Titres!$A$2:$B$400,2,FALSE),"Ticker inconnu"))</f>
        <v/>
      </c>
      <c r="C634" s="11" t="n"/>
      <c r="D634" s="11" t="n"/>
      <c r="E634" s="9" t="n"/>
      <c r="F634" s="12" t="n"/>
      <c r="G634" s="9" t="n"/>
      <c r="H634" s="13" t="n"/>
      <c r="I634" s="13" t="n"/>
      <c r="J634" s="13" t="n"/>
      <c r="K634" s="13" t="n"/>
      <c r="L634" s="13" t="n"/>
      <c r="M634" s="13" t="n"/>
      <c r="N634" s="14">
        <f>IF(A634="","",COUNT(H634:M634)/6)</f>
        <v/>
      </c>
      <c r="O634" s="15">
        <f>IF(COUNT(H634:M634)=0,"",IF(LEN(IF(COUNT(I634,J634)=2,IF(J634&gt;I634+1,"EBE &gt; VA ",""),"")&amp;IF(COUNT(H634,M634)=2,IF(ABS(M634)&gt;ABS(H634),"RN &gt; CA ",""),"")&amp;IF(COUNT(H634,K634)=2,IF(ABS(K634)&gt;ABS(H634),"RE &gt; CA ",""),""))=0,"OK",IF(COUNT(I634,J634)=2,IF(J634&gt;I634+1,"EBE &gt; VA ",""),"")&amp;IF(COUNT(H634,M634)=2,IF(ABS(M634)&gt;ABS(H634),"RN &gt; CA ",""),"")&amp;IF(COUNT(H634,K634)=2,IF(ABS(K634)&gt;ABS(H634),"RE &gt; CA ",""),"")))</f>
        <v/>
      </c>
    </row>
    <row r="635">
      <c r="A635" s="9" t="n"/>
      <c r="B635" s="10">
        <f>IF(A635="","",IFERROR(VLOOKUP(A635,Titres!$A$2:$B$400,2,FALSE),"Ticker inconnu"))</f>
        <v/>
      </c>
      <c r="C635" s="11" t="n"/>
      <c r="D635" s="11" t="n"/>
      <c r="E635" s="9" t="n"/>
      <c r="F635" s="12" t="n"/>
      <c r="G635" s="9" t="n"/>
      <c r="H635" s="13" t="n"/>
      <c r="I635" s="13" t="n"/>
      <c r="J635" s="13" t="n"/>
      <c r="K635" s="13" t="n"/>
      <c r="L635" s="13" t="n"/>
      <c r="M635" s="13" t="n"/>
      <c r="N635" s="14">
        <f>IF(A635="","",COUNT(H635:M635)/6)</f>
        <v/>
      </c>
      <c r="O635" s="15">
        <f>IF(COUNT(H635:M635)=0,"",IF(LEN(IF(COUNT(I635,J635)=2,IF(J635&gt;I635+1,"EBE &gt; VA ",""),"")&amp;IF(COUNT(H635,M635)=2,IF(ABS(M635)&gt;ABS(H635),"RN &gt; CA ",""),"")&amp;IF(COUNT(H635,K635)=2,IF(ABS(K635)&gt;ABS(H635),"RE &gt; CA ",""),""))=0,"OK",IF(COUNT(I635,J635)=2,IF(J635&gt;I635+1,"EBE &gt; VA ",""),"")&amp;IF(COUNT(H635,M635)=2,IF(ABS(M635)&gt;ABS(H635),"RN &gt; CA ",""),"")&amp;IF(COUNT(H635,K635)=2,IF(ABS(K635)&gt;ABS(H635),"RE &gt; CA ",""),"")))</f>
        <v/>
      </c>
    </row>
    <row r="636">
      <c r="A636" s="9" t="n"/>
      <c r="B636" s="10">
        <f>IF(A636="","",IFERROR(VLOOKUP(A636,Titres!$A$2:$B$400,2,FALSE),"Ticker inconnu"))</f>
        <v/>
      </c>
      <c r="C636" s="11" t="n"/>
      <c r="D636" s="11" t="n"/>
      <c r="E636" s="9" t="n"/>
      <c r="F636" s="12" t="n"/>
      <c r="G636" s="9" t="n"/>
      <c r="H636" s="13" t="n"/>
      <c r="I636" s="13" t="n"/>
      <c r="J636" s="13" t="n"/>
      <c r="K636" s="13" t="n"/>
      <c r="L636" s="13" t="n"/>
      <c r="M636" s="13" t="n"/>
      <c r="N636" s="14">
        <f>IF(A636="","",COUNT(H636:M636)/6)</f>
        <v/>
      </c>
      <c r="O636" s="15">
        <f>IF(COUNT(H636:M636)=0,"",IF(LEN(IF(COUNT(I636,J636)=2,IF(J636&gt;I636+1,"EBE &gt; VA ",""),"")&amp;IF(COUNT(H636,M636)=2,IF(ABS(M636)&gt;ABS(H636),"RN &gt; CA ",""),"")&amp;IF(COUNT(H636,K636)=2,IF(ABS(K636)&gt;ABS(H636),"RE &gt; CA ",""),""))=0,"OK",IF(COUNT(I636,J636)=2,IF(J636&gt;I636+1,"EBE &gt; VA ",""),"")&amp;IF(COUNT(H636,M636)=2,IF(ABS(M636)&gt;ABS(H636),"RN &gt; CA ",""),"")&amp;IF(COUNT(H636,K636)=2,IF(ABS(K636)&gt;ABS(H636),"RE &gt; CA ",""),"")))</f>
        <v/>
      </c>
    </row>
    <row r="637">
      <c r="A637" s="9" t="n"/>
      <c r="B637" s="10">
        <f>IF(A637="","",IFERROR(VLOOKUP(A637,Titres!$A$2:$B$400,2,FALSE),"Ticker inconnu"))</f>
        <v/>
      </c>
      <c r="C637" s="11" t="n"/>
      <c r="D637" s="11" t="n"/>
      <c r="E637" s="9" t="n"/>
      <c r="F637" s="12" t="n"/>
      <c r="G637" s="9" t="n"/>
      <c r="H637" s="13" t="n"/>
      <c r="I637" s="13" t="n"/>
      <c r="J637" s="13" t="n"/>
      <c r="K637" s="13" t="n"/>
      <c r="L637" s="13" t="n"/>
      <c r="M637" s="13" t="n"/>
      <c r="N637" s="14">
        <f>IF(A637="","",COUNT(H637:M637)/6)</f>
        <v/>
      </c>
      <c r="O637" s="15">
        <f>IF(COUNT(H637:M637)=0,"",IF(LEN(IF(COUNT(I637,J637)=2,IF(J637&gt;I637+1,"EBE &gt; VA ",""),"")&amp;IF(COUNT(H637,M637)=2,IF(ABS(M637)&gt;ABS(H637),"RN &gt; CA ",""),"")&amp;IF(COUNT(H637,K637)=2,IF(ABS(K637)&gt;ABS(H637),"RE &gt; CA ",""),""))=0,"OK",IF(COUNT(I637,J637)=2,IF(J637&gt;I637+1,"EBE &gt; VA ",""),"")&amp;IF(COUNT(H637,M637)=2,IF(ABS(M637)&gt;ABS(H637),"RN &gt; CA ",""),"")&amp;IF(COUNT(H637,K637)=2,IF(ABS(K637)&gt;ABS(H637),"RE &gt; CA ",""),"")))</f>
        <v/>
      </c>
    </row>
    <row r="638">
      <c r="A638" s="9" t="n"/>
      <c r="B638" s="10">
        <f>IF(A638="","",IFERROR(VLOOKUP(A638,Titres!$A$2:$B$400,2,FALSE),"Ticker inconnu"))</f>
        <v/>
      </c>
      <c r="C638" s="11" t="n"/>
      <c r="D638" s="11" t="n"/>
      <c r="E638" s="9" t="n"/>
      <c r="F638" s="12" t="n"/>
      <c r="G638" s="9" t="n"/>
      <c r="H638" s="13" t="n"/>
      <c r="I638" s="13" t="n"/>
      <c r="J638" s="13" t="n"/>
      <c r="K638" s="13" t="n"/>
      <c r="L638" s="13" t="n"/>
      <c r="M638" s="13" t="n"/>
      <c r="N638" s="14">
        <f>IF(A638="","",COUNT(H638:M638)/6)</f>
        <v/>
      </c>
      <c r="O638" s="15">
        <f>IF(COUNT(H638:M638)=0,"",IF(LEN(IF(COUNT(I638,J638)=2,IF(J638&gt;I638+1,"EBE &gt; VA ",""),"")&amp;IF(COUNT(H638,M638)=2,IF(ABS(M638)&gt;ABS(H638),"RN &gt; CA ",""),"")&amp;IF(COUNT(H638,K638)=2,IF(ABS(K638)&gt;ABS(H638),"RE &gt; CA ",""),""))=0,"OK",IF(COUNT(I638,J638)=2,IF(J638&gt;I638+1,"EBE &gt; VA ",""),"")&amp;IF(COUNT(H638,M638)=2,IF(ABS(M638)&gt;ABS(H638),"RN &gt; CA ",""),"")&amp;IF(COUNT(H638,K638)=2,IF(ABS(K638)&gt;ABS(H638),"RE &gt; CA ",""),"")))</f>
        <v/>
      </c>
    </row>
    <row r="639">
      <c r="A639" s="9" t="n"/>
      <c r="B639" s="10">
        <f>IF(A639="","",IFERROR(VLOOKUP(A639,Titres!$A$2:$B$400,2,FALSE),"Ticker inconnu"))</f>
        <v/>
      </c>
      <c r="C639" s="11" t="n"/>
      <c r="D639" s="11" t="n"/>
      <c r="E639" s="9" t="n"/>
      <c r="F639" s="12" t="n"/>
      <c r="G639" s="9" t="n"/>
      <c r="H639" s="13" t="n"/>
      <c r="I639" s="13" t="n"/>
      <c r="J639" s="13" t="n"/>
      <c r="K639" s="13" t="n"/>
      <c r="L639" s="13" t="n"/>
      <c r="M639" s="13" t="n"/>
      <c r="N639" s="14">
        <f>IF(A639="","",COUNT(H639:M639)/6)</f>
        <v/>
      </c>
      <c r="O639" s="15">
        <f>IF(COUNT(H639:M639)=0,"",IF(LEN(IF(COUNT(I639,J639)=2,IF(J639&gt;I639+1,"EBE &gt; VA ",""),"")&amp;IF(COUNT(H639,M639)=2,IF(ABS(M639)&gt;ABS(H639),"RN &gt; CA ",""),"")&amp;IF(COUNT(H639,K639)=2,IF(ABS(K639)&gt;ABS(H639),"RE &gt; CA ",""),""))=0,"OK",IF(COUNT(I639,J639)=2,IF(J639&gt;I639+1,"EBE &gt; VA ",""),"")&amp;IF(COUNT(H639,M639)=2,IF(ABS(M639)&gt;ABS(H639),"RN &gt; CA ",""),"")&amp;IF(COUNT(H639,K639)=2,IF(ABS(K639)&gt;ABS(H639),"RE &gt; CA ",""),"")))</f>
        <v/>
      </c>
    </row>
  </sheetData>
  <autoFilter ref="A4:O639"/>
  <mergeCells count="1">
    <mergeCell ref="A2:L2"/>
  </mergeCells>
  <conditionalFormatting sqref="O5:O639">
    <cfRule type="expression" priority="1" dxfId="0">
      <formula>AND(O5&lt;&gt;"",O5&lt;&gt;"OK")</formula>
    </cfRule>
    <cfRule type="expression" priority="2" dxfId="1">
      <formula>O5="OK"</formula>
    </cfRule>
  </conditionalFormatting>
  <conditionalFormatting sqref="N5:N639">
    <cfRule type="colorScale" priority="3">
      <colorScale>
        <cfvo type="num" val="0"/>
        <cfvo type="num" val="1"/>
        <color rgb="00FFFFFF"/>
        <color rgb="009CCBE3"/>
      </colorScale>
    </cfRule>
  </conditionalFormatting>
  <dataValidations count="5">
    <dataValidation sqref="A5:A639" showDropDown="0" showInputMessage="0" showErrorMessage="1" allowBlank="1" errorTitle="Ticker" error="Choisissez un ticker de la feuille « Titres »." type="list">
      <formula1>=Titres!$A$2:$A$400</formula1>
    </dataValidation>
    <dataValidation sqref="C5:C639" showDropDown="0" showInputMessage="0" showErrorMessage="1" allowBlank="1" errorTitle="Exercice" error="Saisissez une année (ex. 2026)." type="whole" operator="between">
      <formula1>1990</formula1>
      <formula2>2100</formula2>
    </dataValidation>
    <dataValidation sqref="D5:D639" showDropDown="0" showInputMessage="0" showErrorMessage="1" allowBlank="1" errorTitle="Période" error="T1, S1 ou T3." type="list">
      <formula1>"T1,S1,T3"</formula1>
    </dataValidation>
    <dataValidation sqref="E5:E639" showDropDown="0" showInputMessage="0" showErrorMessage="0" allowBlank="1" type="list">
      <formula1>"Publié,Provisoire,À vérifier"</formula1>
    </dataValidation>
    <dataValidation sqref="H5:M639" showDropDown="0" showInputMessage="0" showErrorMessage="1" allowBlank="1" errorTitle="Montant" error="Saisissez un nombre (millions de FCFA)." type="decimal" operator="between">
      <formula1>-1E+12</formula1>
      <formula2>1E+12</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15"/>
  <sheetViews>
    <sheetView zoomScale="90" workbookViewId="0">
      <pane xSplit="7" ySplit="4" topLeftCell="H5"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9" customWidth="1" min="3" max="3"/>
    <col width="9" customWidth="1" min="4" max="4"/>
    <col width="12" customWidth="1" min="5" max="5"/>
    <col width="14" customWidth="1" min="6" max="6"/>
    <col width="40"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1" customWidth="1" min="16" max="16"/>
    <col width="30" customWidth="1" min="17" max="17"/>
  </cols>
  <sheetData>
    <row r="1">
      <c r="A1" s="6" t="inlineStr">
        <is>
          <t>Publications intermédiaires (T1, S1, T3) - banques et établissements financiers</t>
        </is>
      </c>
    </row>
    <row r="2" ht="40" customHeight="1">
      <c r="A2" s="7" t="inlineStr">
        <is>
          <t>Une ligne par titre, exercice et période. Montants cumulés depuis le 1er janvier (T1 = 3 mois, S1 = 6 mois, T3 = 9 mois), en millions de FCFA, tels que publiés. Charges en négatif. Une publication donne l'exercice N et le comparatif N-1 : renseignez les deux lignes. Texte bleu : saisie. Voir « Lisez-moi ».</t>
        </is>
      </c>
    </row>
    <row r="4" ht="54" customHeight="1">
      <c r="A4" s="8" t="inlineStr">
        <is>
          <t>Ticker</t>
        </is>
      </c>
      <c r="B4" s="8" t="inlineStr">
        <is>
          <t>Société</t>
        </is>
      </c>
      <c r="C4" s="8" t="inlineStr">
        <is>
          <t>Exercice</t>
        </is>
      </c>
      <c r="D4" s="8" t="inlineStr">
        <is>
          <t>Période</t>
        </is>
      </c>
      <c r="E4" s="8" t="inlineStr">
        <is>
          <t>Statut</t>
        </is>
      </c>
      <c r="F4" s="8" t="inlineStr">
        <is>
          <t>Date de publication</t>
        </is>
      </c>
      <c r="G4" s="8" t="inlineStr">
        <is>
          <t>Source (lien ou référence)</t>
        </is>
      </c>
      <c r="H4" s="8" t="inlineStr">
        <is>
          <t>Produit net bancaire (PNB)</t>
        </is>
      </c>
      <c r="I4" s="8" t="inlineStr">
        <is>
          <t>Frais de gestion (charges générales)</t>
        </is>
      </c>
      <c r="J4" s="8" t="inlineStr">
        <is>
          <t>Résultat brut d'exploitation (RBE)</t>
        </is>
      </c>
      <c r="K4" s="8" t="inlineStr">
        <is>
          <t>Coût du risque</t>
        </is>
      </c>
      <c r="L4" s="8" t="inlineStr">
        <is>
          <t>Résultat avant impôt</t>
        </is>
      </c>
      <c r="M4" s="8" t="inlineStr">
        <is>
          <t>Résultat net</t>
        </is>
      </c>
      <c r="N4" s="8" t="inlineStr">
        <is>
          <t>Crédits nets à la clientèle</t>
        </is>
      </c>
      <c r="O4" s="8" t="inlineStr">
        <is>
          <t>Dépôts de la clientèle</t>
        </is>
      </c>
      <c r="P4" s="8" t="inlineStr">
        <is>
          <t>Complétude</t>
        </is>
      </c>
      <c r="Q4" s="8" t="inlineStr">
        <is>
          <t>Contrôle de cohérence</t>
        </is>
      </c>
    </row>
    <row r="5">
      <c r="A5" s="9" t="inlineStr">
        <is>
          <t>BBGC</t>
        </is>
      </c>
      <c r="B5" s="10">
        <f>IF(A5="","",IFERROR(VLOOKUP(A5,Titres!$A$2:$B$400,2,FALSE),"Ticker inconnu"))</f>
        <v/>
      </c>
      <c r="C5" s="11" t="n">
        <v>2021</v>
      </c>
      <c r="D5" s="11" t="inlineStr">
        <is>
          <t>T1</t>
        </is>
      </c>
      <c r="E5" s="9" t="n"/>
      <c r="F5" s="12" t="n"/>
      <c r="G5" s="9" t="n"/>
      <c r="H5" s="13" t="n"/>
      <c r="I5" s="13" t="n"/>
      <c r="J5" s="13" t="n"/>
      <c r="K5" s="13" t="n"/>
      <c r="L5" s="13" t="n"/>
      <c r="M5" s="13" t="n"/>
      <c r="N5" s="13" t="n"/>
      <c r="O5" s="13" t="n"/>
      <c r="P5" s="14">
        <f>IF(A5="","",COUNT(H5:O5)/8)</f>
        <v/>
      </c>
      <c r="Q5" s="15">
        <f>IF(COUNT(H5:O5)=0,"",IF(LEN(IF(COUNT(H5,I5,J5)=3,IF(ABS(H5+I5-J5)&lt;=MAX(1,0.02*ABS(J5)),"","RBE &lt;&gt; PNB + frais "),"")&amp;IF(COUNT(J5,K5,L5)=3,IF(ABS(J5+K5-L5)&lt;=MAX(1,0.03*ABS(L5)),"","RAI &lt;&gt; RBE + coût du risque "),"")&amp;IF(COUNT(H5,M5)=2,IF(ABS(M5)&gt;ABS(H5),"RN &gt; PNB ",""),""))=0,"OK",IF(COUNT(H5,I5,J5)=3,IF(ABS(H5+I5-J5)&lt;=MAX(1,0.02*ABS(J5)),"","RBE &lt;&gt; PNB + frais "),"")&amp;IF(COUNT(J5,K5,L5)=3,IF(ABS(J5+K5-L5)&lt;=MAX(1,0.03*ABS(L5)),"","RAI &lt;&gt; RBE + coût du risque "),"")&amp;IF(COUNT(H5,M5)=2,IF(ABS(M5)&gt;ABS(H5),"RN &gt; PNB ",""),"")))</f>
        <v/>
      </c>
    </row>
    <row r="6">
      <c r="A6" s="9" t="inlineStr">
        <is>
          <t>BBGC</t>
        </is>
      </c>
      <c r="B6" s="10">
        <f>IF(A6="","",IFERROR(VLOOKUP(A6,Titres!$A$2:$B$400,2,FALSE),"Ticker inconnu"))</f>
        <v/>
      </c>
      <c r="C6" s="11" t="n">
        <v>2021</v>
      </c>
      <c r="D6" s="11" t="inlineStr">
        <is>
          <t>S1</t>
        </is>
      </c>
      <c r="E6" s="9" t="n"/>
      <c r="F6" s="12" t="n"/>
      <c r="G6" s="9" t="n"/>
      <c r="H6" s="13" t="n"/>
      <c r="I6" s="13" t="n"/>
      <c r="J6" s="13" t="n"/>
      <c r="K6" s="13" t="n"/>
      <c r="L6" s="13" t="n"/>
      <c r="M6" s="13" t="n"/>
      <c r="N6" s="13" t="n"/>
      <c r="O6" s="13" t="n"/>
      <c r="P6" s="14">
        <f>IF(A6="","",COUNT(H6:O6)/8)</f>
        <v/>
      </c>
      <c r="Q6" s="15">
        <f>IF(COUNT(H6:O6)=0,"",IF(LEN(IF(COUNT(H6,I6,J6)=3,IF(ABS(H6+I6-J6)&lt;=MAX(1,0.02*ABS(J6)),"","RBE &lt;&gt; PNB + frais "),"")&amp;IF(COUNT(J6,K6,L6)=3,IF(ABS(J6+K6-L6)&lt;=MAX(1,0.03*ABS(L6)),"","RAI &lt;&gt; RBE + coût du risque "),"")&amp;IF(COUNT(H6,M6)=2,IF(ABS(M6)&gt;ABS(H6),"RN &gt; PNB ",""),""))=0,"OK",IF(COUNT(H6,I6,J6)=3,IF(ABS(H6+I6-J6)&lt;=MAX(1,0.02*ABS(J6)),"","RBE &lt;&gt; PNB + frais "),"")&amp;IF(COUNT(J6,K6,L6)=3,IF(ABS(J6+K6-L6)&lt;=MAX(1,0.03*ABS(L6)),"","RAI &lt;&gt; RBE + coût du risque "),"")&amp;IF(COUNT(H6,M6)=2,IF(ABS(M6)&gt;ABS(H6),"RN &gt; PNB ",""),"")))</f>
        <v/>
      </c>
    </row>
    <row r="7">
      <c r="A7" s="9" t="inlineStr">
        <is>
          <t>BBGC</t>
        </is>
      </c>
      <c r="B7" s="10">
        <f>IF(A7="","",IFERROR(VLOOKUP(A7,Titres!$A$2:$B$400,2,FALSE),"Ticker inconnu"))</f>
        <v/>
      </c>
      <c r="C7" s="11" t="n">
        <v>2021</v>
      </c>
      <c r="D7" s="11" t="inlineStr">
        <is>
          <t>T3</t>
        </is>
      </c>
      <c r="E7" s="9" t="n"/>
      <c r="F7" s="12" t="n"/>
      <c r="G7" s="9" t="n"/>
      <c r="H7" s="13" t="n"/>
      <c r="I7" s="13" t="n"/>
      <c r="J7" s="13" t="n"/>
      <c r="K7" s="13" t="n"/>
      <c r="L7" s="13" t="n"/>
      <c r="M7" s="13" t="n"/>
      <c r="N7" s="13" t="n"/>
      <c r="O7" s="13" t="n"/>
      <c r="P7" s="14">
        <f>IF(A7="","",COUNT(H7:O7)/8)</f>
        <v/>
      </c>
      <c r="Q7" s="15">
        <f>IF(COUNT(H7:O7)=0,"",IF(LEN(IF(COUNT(H7,I7,J7)=3,IF(ABS(H7+I7-J7)&lt;=MAX(1,0.02*ABS(J7)),"","RBE &lt;&gt; PNB + frais "),"")&amp;IF(COUNT(J7,K7,L7)=3,IF(ABS(J7+K7-L7)&lt;=MAX(1,0.03*ABS(L7)),"","RAI &lt;&gt; RBE + coût du risque "),"")&amp;IF(COUNT(H7,M7)=2,IF(ABS(M7)&gt;ABS(H7),"RN &gt; PNB ",""),""))=0,"OK",IF(COUNT(H7,I7,J7)=3,IF(ABS(H7+I7-J7)&lt;=MAX(1,0.02*ABS(J7)),"","RBE &lt;&gt; PNB + frais "),"")&amp;IF(COUNT(J7,K7,L7)=3,IF(ABS(J7+K7-L7)&lt;=MAX(1,0.03*ABS(L7)),"","RAI &lt;&gt; RBE + coût du risque "),"")&amp;IF(COUNT(H7,M7)=2,IF(ABS(M7)&gt;ABS(H7),"RN &gt; PNB ",""),"")))</f>
        <v/>
      </c>
    </row>
    <row r="8">
      <c r="A8" s="9" t="inlineStr">
        <is>
          <t>BBGC</t>
        </is>
      </c>
      <c r="B8" s="10">
        <f>IF(A8="","",IFERROR(VLOOKUP(A8,Titres!$A$2:$B$400,2,FALSE),"Ticker inconnu"))</f>
        <v/>
      </c>
      <c r="C8" s="11" t="n">
        <v>2022</v>
      </c>
      <c r="D8" s="11" t="inlineStr">
        <is>
          <t>T1</t>
        </is>
      </c>
      <c r="E8" s="9" t="n"/>
      <c r="F8" s="12" t="n"/>
      <c r="G8" s="9" t="n"/>
      <c r="H8" s="13" t="n"/>
      <c r="I8" s="13" t="n"/>
      <c r="J8" s="13" t="n"/>
      <c r="K8" s="13" t="n"/>
      <c r="L8" s="13" t="n"/>
      <c r="M8" s="13" t="n"/>
      <c r="N8" s="13" t="n"/>
      <c r="O8" s="13" t="n"/>
      <c r="P8" s="14">
        <f>IF(A8="","",COUNT(H8:O8)/8)</f>
        <v/>
      </c>
      <c r="Q8" s="15">
        <f>IF(COUNT(H8:O8)=0,"",IF(LEN(IF(COUNT(H8,I8,J8)=3,IF(ABS(H8+I8-J8)&lt;=MAX(1,0.02*ABS(J8)),"","RBE &lt;&gt; PNB + frais "),"")&amp;IF(COUNT(J8,K8,L8)=3,IF(ABS(J8+K8-L8)&lt;=MAX(1,0.03*ABS(L8)),"","RAI &lt;&gt; RBE + coût du risque "),"")&amp;IF(COUNT(H8,M8)=2,IF(ABS(M8)&gt;ABS(H8),"RN &gt; PNB ",""),""))=0,"OK",IF(COUNT(H8,I8,J8)=3,IF(ABS(H8+I8-J8)&lt;=MAX(1,0.02*ABS(J8)),"","RBE &lt;&gt; PNB + frais "),"")&amp;IF(COUNT(J8,K8,L8)=3,IF(ABS(J8+K8-L8)&lt;=MAX(1,0.03*ABS(L8)),"","RAI &lt;&gt; RBE + coût du risque "),"")&amp;IF(COUNT(H8,M8)=2,IF(ABS(M8)&gt;ABS(H8),"RN &gt; PNB ",""),"")))</f>
        <v/>
      </c>
    </row>
    <row r="9">
      <c r="A9" s="9" t="inlineStr">
        <is>
          <t>BBGC</t>
        </is>
      </c>
      <c r="B9" s="10">
        <f>IF(A9="","",IFERROR(VLOOKUP(A9,Titres!$A$2:$B$400,2,FALSE),"Ticker inconnu"))</f>
        <v/>
      </c>
      <c r="C9" s="11" t="n">
        <v>2022</v>
      </c>
      <c r="D9" s="11" t="inlineStr">
        <is>
          <t>S1</t>
        </is>
      </c>
      <c r="E9" s="9" t="n"/>
      <c r="F9" s="12" t="n"/>
      <c r="G9" s="9" t="n"/>
      <c r="H9" s="13" t="n"/>
      <c r="I9" s="13" t="n"/>
      <c r="J9" s="13" t="n"/>
      <c r="K9" s="13" t="n"/>
      <c r="L9" s="13" t="n"/>
      <c r="M9" s="13" t="n"/>
      <c r="N9" s="13" t="n"/>
      <c r="O9" s="13" t="n"/>
      <c r="P9" s="14">
        <f>IF(A9="","",COUNT(H9:O9)/8)</f>
        <v/>
      </c>
      <c r="Q9" s="15">
        <f>IF(COUNT(H9:O9)=0,"",IF(LEN(IF(COUNT(H9,I9,J9)=3,IF(ABS(H9+I9-J9)&lt;=MAX(1,0.02*ABS(J9)),"","RBE &lt;&gt; PNB + frais "),"")&amp;IF(COUNT(J9,K9,L9)=3,IF(ABS(J9+K9-L9)&lt;=MAX(1,0.03*ABS(L9)),"","RAI &lt;&gt; RBE + coût du risque "),"")&amp;IF(COUNT(H9,M9)=2,IF(ABS(M9)&gt;ABS(H9),"RN &gt; PNB ",""),""))=0,"OK",IF(COUNT(H9,I9,J9)=3,IF(ABS(H9+I9-J9)&lt;=MAX(1,0.02*ABS(J9)),"","RBE &lt;&gt; PNB + frais "),"")&amp;IF(COUNT(J9,K9,L9)=3,IF(ABS(J9+K9-L9)&lt;=MAX(1,0.03*ABS(L9)),"","RAI &lt;&gt; RBE + coût du risque "),"")&amp;IF(COUNT(H9,M9)=2,IF(ABS(M9)&gt;ABS(H9),"RN &gt; PNB ",""),"")))</f>
        <v/>
      </c>
    </row>
    <row r="10">
      <c r="A10" s="9" t="inlineStr">
        <is>
          <t>BBGC</t>
        </is>
      </c>
      <c r="B10" s="10">
        <f>IF(A10="","",IFERROR(VLOOKUP(A10,Titres!$A$2:$B$400,2,FALSE),"Ticker inconnu"))</f>
        <v/>
      </c>
      <c r="C10" s="11" t="n">
        <v>2022</v>
      </c>
      <c r="D10" s="11" t="inlineStr">
        <is>
          <t>T3</t>
        </is>
      </c>
      <c r="E10" s="9" t="n"/>
      <c r="F10" s="12" t="n"/>
      <c r="G10" s="9" t="n"/>
      <c r="H10" s="13" t="n"/>
      <c r="I10" s="13" t="n"/>
      <c r="J10" s="13" t="n"/>
      <c r="K10" s="13" t="n"/>
      <c r="L10" s="13" t="n"/>
      <c r="M10" s="13" t="n"/>
      <c r="N10" s="13" t="n"/>
      <c r="O10" s="13" t="n"/>
      <c r="P10" s="14">
        <f>IF(A10="","",COUNT(H10:O10)/8)</f>
        <v/>
      </c>
      <c r="Q10" s="15">
        <f>IF(COUNT(H10:O10)=0,"",IF(LEN(IF(COUNT(H10,I10,J10)=3,IF(ABS(H10+I10-J10)&lt;=MAX(1,0.02*ABS(J10)),"","RBE &lt;&gt; PNB + frais "),"")&amp;IF(COUNT(J10,K10,L10)=3,IF(ABS(J10+K10-L10)&lt;=MAX(1,0.03*ABS(L10)),"","RAI &lt;&gt; RBE + coût du risque "),"")&amp;IF(COUNT(H10,M10)=2,IF(ABS(M10)&gt;ABS(H10),"RN &gt; PNB ",""),""))=0,"OK",IF(COUNT(H10,I10,J10)=3,IF(ABS(H10+I10-J10)&lt;=MAX(1,0.02*ABS(J10)),"","RBE &lt;&gt; PNB + frais "),"")&amp;IF(COUNT(J10,K10,L10)=3,IF(ABS(J10+K10-L10)&lt;=MAX(1,0.03*ABS(L10)),"","RAI &lt;&gt; RBE + coût du risque "),"")&amp;IF(COUNT(H10,M10)=2,IF(ABS(M10)&gt;ABS(H10),"RN &gt; PNB ",""),"")))</f>
        <v/>
      </c>
    </row>
    <row r="11">
      <c r="A11" s="9" t="inlineStr">
        <is>
          <t>BBGC</t>
        </is>
      </c>
      <c r="B11" s="10">
        <f>IF(A11="","",IFERROR(VLOOKUP(A11,Titres!$A$2:$B$400,2,FALSE),"Ticker inconnu"))</f>
        <v/>
      </c>
      <c r="C11" s="11" t="n">
        <v>2023</v>
      </c>
      <c r="D11" s="11" t="inlineStr">
        <is>
          <t>T1</t>
        </is>
      </c>
      <c r="E11" s="9" t="n"/>
      <c r="F11" s="12" t="n"/>
      <c r="G11" s="9" t="n"/>
      <c r="H11" s="13" t="n"/>
      <c r="I11" s="13" t="n"/>
      <c r="J11" s="13" t="n"/>
      <c r="K11" s="13" t="n"/>
      <c r="L11" s="13" t="n"/>
      <c r="M11" s="13" t="n"/>
      <c r="N11" s="13" t="n"/>
      <c r="O11" s="13" t="n"/>
      <c r="P11" s="14">
        <f>IF(A11="","",COUNT(H11:O11)/8)</f>
        <v/>
      </c>
      <c r="Q11" s="15">
        <f>IF(COUNT(H11:O11)=0,"",IF(LEN(IF(COUNT(H11,I11,J11)=3,IF(ABS(H11+I11-J11)&lt;=MAX(1,0.02*ABS(J11)),"","RBE &lt;&gt; PNB + frais "),"")&amp;IF(COUNT(J11,K11,L11)=3,IF(ABS(J11+K11-L11)&lt;=MAX(1,0.03*ABS(L11)),"","RAI &lt;&gt; RBE + coût du risque "),"")&amp;IF(COUNT(H11,M11)=2,IF(ABS(M11)&gt;ABS(H11),"RN &gt; PNB ",""),""))=0,"OK",IF(COUNT(H11,I11,J11)=3,IF(ABS(H11+I11-J11)&lt;=MAX(1,0.02*ABS(J11)),"","RBE &lt;&gt; PNB + frais "),"")&amp;IF(COUNT(J11,K11,L11)=3,IF(ABS(J11+K11-L11)&lt;=MAX(1,0.03*ABS(L11)),"","RAI &lt;&gt; RBE + coût du risque "),"")&amp;IF(COUNT(H11,M11)=2,IF(ABS(M11)&gt;ABS(H11),"RN &gt; PNB ",""),"")))</f>
        <v/>
      </c>
    </row>
    <row r="12">
      <c r="A12" s="9" t="inlineStr">
        <is>
          <t>BBGC</t>
        </is>
      </c>
      <c r="B12" s="10">
        <f>IF(A12="","",IFERROR(VLOOKUP(A12,Titres!$A$2:$B$400,2,FALSE),"Ticker inconnu"))</f>
        <v/>
      </c>
      <c r="C12" s="11" t="n">
        <v>2023</v>
      </c>
      <c r="D12" s="11" t="inlineStr">
        <is>
          <t>S1</t>
        </is>
      </c>
      <c r="E12" s="9" t="n"/>
      <c r="F12" s="12" t="n"/>
      <c r="G12" s="9" t="n"/>
      <c r="H12" s="13" t="n"/>
      <c r="I12" s="13" t="n"/>
      <c r="J12" s="13" t="n"/>
      <c r="K12" s="13" t="n"/>
      <c r="L12" s="13" t="n"/>
      <c r="M12" s="13" t="n"/>
      <c r="N12" s="13" t="n"/>
      <c r="O12" s="13" t="n"/>
      <c r="P12" s="14">
        <f>IF(A12="","",COUNT(H12:O12)/8)</f>
        <v/>
      </c>
      <c r="Q12" s="15">
        <f>IF(COUNT(H12:O12)=0,"",IF(LEN(IF(COUNT(H12,I12,J12)=3,IF(ABS(H12+I12-J12)&lt;=MAX(1,0.02*ABS(J12)),"","RBE &lt;&gt; PNB + frais "),"")&amp;IF(COUNT(J12,K12,L12)=3,IF(ABS(J12+K12-L12)&lt;=MAX(1,0.03*ABS(L12)),"","RAI &lt;&gt; RBE + coût du risque "),"")&amp;IF(COUNT(H12,M12)=2,IF(ABS(M12)&gt;ABS(H12),"RN &gt; PNB ",""),""))=0,"OK",IF(COUNT(H12,I12,J12)=3,IF(ABS(H12+I12-J12)&lt;=MAX(1,0.02*ABS(J12)),"","RBE &lt;&gt; PNB + frais "),"")&amp;IF(COUNT(J12,K12,L12)=3,IF(ABS(J12+K12-L12)&lt;=MAX(1,0.03*ABS(L12)),"","RAI &lt;&gt; RBE + coût du risque "),"")&amp;IF(COUNT(H12,M12)=2,IF(ABS(M12)&gt;ABS(H12),"RN &gt; PNB ",""),"")))</f>
        <v/>
      </c>
    </row>
    <row r="13">
      <c r="A13" s="9" t="inlineStr">
        <is>
          <t>BBGC</t>
        </is>
      </c>
      <c r="B13" s="10">
        <f>IF(A13="","",IFERROR(VLOOKUP(A13,Titres!$A$2:$B$400,2,FALSE),"Ticker inconnu"))</f>
        <v/>
      </c>
      <c r="C13" s="11" t="n">
        <v>2023</v>
      </c>
      <c r="D13" s="11" t="inlineStr">
        <is>
          <t>T3</t>
        </is>
      </c>
      <c r="E13" s="9" t="n"/>
      <c r="F13" s="12" t="n"/>
      <c r="G13" s="9" t="n"/>
      <c r="H13" s="13" t="n"/>
      <c r="I13" s="13" t="n"/>
      <c r="J13" s="13" t="n"/>
      <c r="K13" s="13" t="n"/>
      <c r="L13" s="13" t="n"/>
      <c r="M13" s="13" t="n"/>
      <c r="N13" s="13" t="n"/>
      <c r="O13" s="13" t="n"/>
      <c r="P13" s="14">
        <f>IF(A13="","",COUNT(H13:O13)/8)</f>
        <v/>
      </c>
      <c r="Q13" s="15">
        <f>IF(COUNT(H13:O13)=0,"",IF(LEN(IF(COUNT(H13,I13,J13)=3,IF(ABS(H13+I13-J13)&lt;=MAX(1,0.02*ABS(J13)),"","RBE &lt;&gt; PNB + frais "),"")&amp;IF(COUNT(J13,K13,L13)=3,IF(ABS(J13+K13-L13)&lt;=MAX(1,0.03*ABS(L13)),"","RAI &lt;&gt; RBE + coût du risque "),"")&amp;IF(COUNT(H13,M13)=2,IF(ABS(M13)&gt;ABS(H13),"RN &gt; PNB ",""),""))=0,"OK",IF(COUNT(H13,I13,J13)=3,IF(ABS(H13+I13-J13)&lt;=MAX(1,0.02*ABS(J13)),"","RBE &lt;&gt; PNB + frais "),"")&amp;IF(COUNT(J13,K13,L13)=3,IF(ABS(J13+K13-L13)&lt;=MAX(1,0.03*ABS(L13)),"","RAI &lt;&gt; RBE + coût du risque "),"")&amp;IF(COUNT(H13,M13)=2,IF(ABS(M13)&gt;ABS(H13),"RN &gt; PNB ",""),"")))</f>
        <v/>
      </c>
    </row>
    <row r="14">
      <c r="A14" s="9" t="inlineStr">
        <is>
          <t>BBGC</t>
        </is>
      </c>
      <c r="B14" s="10">
        <f>IF(A14="","",IFERROR(VLOOKUP(A14,Titres!$A$2:$B$400,2,FALSE),"Ticker inconnu"))</f>
        <v/>
      </c>
      <c r="C14" s="11" t="n">
        <v>2024</v>
      </c>
      <c r="D14" s="11" t="inlineStr">
        <is>
          <t>T1</t>
        </is>
      </c>
      <c r="E14" s="9" t="n"/>
      <c r="F14" s="12" t="n"/>
      <c r="G14" s="9" t="n"/>
      <c r="H14" s="13" t="n"/>
      <c r="I14" s="13" t="n"/>
      <c r="J14" s="13" t="n"/>
      <c r="K14" s="13" t="n"/>
      <c r="L14" s="13" t="n"/>
      <c r="M14" s="13" t="n"/>
      <c r="N14" s="13" t="n"/>
      <c r="O14" s="13" t="n"/>
      <c r="P14" s="14">
        <f>IF(A14="","",COUNT(H14:O14)/8)</f>
        <v/>
      </c>
      <c r="Q14" s="15">
        <f>IF(COUNT(H14:O14)=0,"",IF(LEN(IF(COUNT(H14,I14,J14)=3,IF(ABS(H14+I14-J14)&lt;=MAX(1,0.02*ABS(J14)),"","RBE &lt;&gt; PNB + frais "),"")&amp;IF(COUNT(J14,K14,L14)=3,IF(ABS(J14+K14-L14)&lt;=MAX(1,0.03*ABS(L14)),"","RAI &lt;&gt; RBE + coût du risque "),"")&amp;IF(COUNT(H14,M14)=2,IF(ABS(M14)&gt;ABS(H14),"RN &gt; PNB ",""),""))=0,"OK",IF(COUNT(H14,I14,J14)=3,IF(ABS(H14+I14-J14)&lt;=MAX(1,0.02*ABS(J14)),"","RBE &lt;&gt; PNB + frais "),"")&amp;IF(COUNT(J14,K14,L14)=3,IF(ABS(J14+K14-L14)&lt;=MAX(1,0.03*ABS(L14)),"","RAI &lt;&gt; RBE + coût du risque "),"")&amp;IF(COUNT(H14,M14)=2,IF(ABS(M14)&gt;ABS(H14),"RN &gt; PNB ",""),"")))</f>
        <v/>
      </c>
    </row>
    <row r="15">
      <c r="A15" s="9" t="inlineStr">
        <is>
          <t>BBGC</t>
        </is>
      </c>
      <c r="B15" s="10">
        <f>IF(A15="","",IFERROR(VLOOKUP(A15,Titres!$A$2:$B$400,2,FALSE),"Ticker inconnu"))</f>
        <v/>
      </c>
      <c r="C15" s="11" t="n">
        <v>2024</v>
      </c>
      <c r="D15" s="11" t="inlineStr">
        <is>
          <t>S1</t>
        </is>
      </c>
      <c r="E15" s="9" t="n"/>
      <c r="F15" s="12" t="n"/>
      <c r="G15" s="9" t="n"/>
      <c r="H15" s="13" t="n"/>
      <c r="I15" s="13" t="n"/>
      <c r="J15" s="13" t="n"/>
      <c r="K15" s="13" t="n"/>
      <c r="L15" s="13" t="n"/>
      <c r="M15" s="13" t="n"/>
      <c r="N15" s="13" t="n"/>
      <c r="O15" s="13" t="n"/>
      <c r="P15" s="14">
        <f>IF(A15="","",COUNT(H15:O15)/8)</f>
        <v/>
      </c>
      <c r="Q15" s="15">
        <f>IF(COUNT(H15:O15)=0,"",IF(LEN(IF(COUNT(H15,I15,J15)=3,IF(ABS(H15+I15-J15)&lt;=MAX(1,0.02*ABS(J15)),"","RBE &lt;&gt; PNB + frais "),"")&amp;IF(COUNT(J15,K15,L15)=3,IF(ABS(J15+K15-L15)&lt;=MAX(1,0.03*ABS(L15)),"","RAI &lt;&gt; RBE + coût du risque "),"")&amp;IF(COUNT(H15,M15)=2,IF(ABS(M15)&gt;ABS(H15),"RN &gt; PNB ",""),""))=0,"OK",IF(COUNT(H15,I15,J15)=3,IF(ABS(H15+I15-J15)&lt;=MAX(1,0.02*ABS(J15)),"","RBE &lt;&gt; PNB + frais "),"")&amp;IF(COUNT(J15,K15,L15)=3,IF(ABS(J15+K15-L15)&lt;=MAX(1,0.03*ABS(L15)),"","RAI &lt;&gt; RBE + coût du risque "),"")&amp;IF(COUNT(H15,M15)=2,IF(ABS(M15)&gt;ABS(H15),"RN &gt; PNB ",""),"")))</f>
        <v/>
      </c>
    </row>
    <row r="16">
      <c r="A16" s="9" t="inlineStr">
        <is>
          <t>BBGC</t>
        </is>
      </c>
      <c r="B16" s="10">
        <f>IF(A16="","",IFERROR(VLOOKUP(A16,Titres!$A$2:$B$400,2,FALSE),"Ticker inconnu"))</f>
        <v/>
      </c>
      <c r="C16" s="11" t="n">
        <v>2024</v>
      </c>
      <c r="D16" s="11" t="inlineStr">
        <is>
          <t>T3</t>
        </is>
      </c>
      <c r="E16" s="9" t="n"/>
      <c r="F16" s="12" t="n"/>
      <c r="G16" s="9" t="n"/>
      <c r="H16" s="13" t="n"/>
      <c r="I16" s="13" t="n"/>
      <c r="J16" s="13" t="n"/>
      <c r="K16" s="13" t="n"/>
      <c r="L16" s="13" t="n"/>
      <c r="M16" s="13" t="n"/>
      <c r="N16" s="13" t="n"/>
      <c r="O16" s="13" t="n"/>
      <c r="P16" s="14">
        <f>IF(A16="","",COUNT(H16:O16)/8)</f>
        <v/>
      </c>
      <c r="Q16" s="15">
        <f>IF(COUNT(H16:O16)=0,"",IF(LEN(IF(COUNT(H16,I16,J16)=3,IF(ABS(H16+I16-J16)&lt;=MAX(1,0.02*ABS(J16)),"","RBE &lt;&gt; PNB + frais "),"")&amp;IF(COUNT(J16,K16,L16)=3,IF(ABS(J16+K16-L16)&lt;=MAX(1,0.03*ABS(L16)),"","RAI &lt;&gt; RBE + coût du risque "),"")&amp;IF(COUNT(H16,M16)=2,IF(ABS(M16)&gt;ABS(H16),"RN &gt; PNB ",""),""))=0,"OK",IF(COUNT(H16,I16,J16)=3,IF(ABS(H16+I16-J16)&lt;=MAX(1,0.02*ABS(J16)),"","RBE &lt;&gt; PNB + frais "),"")&amp;IF(COUNT(J16,K16,L16)=3,IF(ABS(J16+K16-L16)&lt;=MAX(1,0.03*ABS(L16)),"","RAI &lt;&gt; RBE + coût du risque "),"")&amp;IF(COUNT(H16,M16)=2,IF(ABS(M16)&gt;ABS(H16),"RN &gt; PNB ",""),"")))</f>
        <v/>
      </c>
    </row>
    <row r="17">
      <c r="A17" s="9" t="inlineStr">
        <is>
          <t>BBGC</t>
        </is>
      </c>
      <c r="B17" s="10">
        <f>IF(A17="","",IFERROR(VLOOKUP(A17,Titres!$A$2:$B$400,2,FALSE),"Ticker inconnu"))</f>
        <v/>
      </c>
      <c r="C17" s="11" t="n">
        <v>2025</v>
      </c>
      <c r="D17" s="11" t="inlineStr">
        <is>
          <t>T1</t>
        </is>
      </c>
      <c r="E17" s="9" t="n"/>
      <c r="F17" s="12" t="n"/>
      <c r="G17" s="9" t="n"/>
      <c r="H17" s="13" t="n"/>
      <c r="I17" s="13" t="n"/>
      <c r="J17" s="13" t="n"/>
      <c r="K17" s="13" t="n"/>
      <c r="L17" s="13" t="n"/>
      <c r="M17" s="13" t="n"/>
      <c r="N17" s="13" t="n"/>
      <c r="O17" s="13" t="n"/>
      <c r="P17" s="14">
        <f>IF(A17="","",COUNT(H17:O17)/8)</f>
        <v/>
      </c>
      <c r="Q17" s="15">
        <f>IF(COUNT(H17:O17)=0,"",IF(LEN(IF(COUNT(H17,I17,J17)=3,IF(ABS(H17+I17-J17)&lt;=MAX(1,0.02*ABS(J17)),"","RBE &lt;&gt; PNB + frais "),"")&amp;IF(COUNT(J17,K17,L17)=3,IF(ABS(J17+K17-L17)&lt;=MAX(1,0.03*ABS(L17)),"","RAI &lt;&gt; RBE + coût du risque "),"")&amp;IF(COUNT(H17,M17)=2,IF(ABS(M17)&gt;ABS(H17),"RN &gt; PNB ",""),""))=0,"OK",IF(COUNT(H17,I17,J17)=3,IF(ABS(H17+I17-J17)&lt;=MAX(1,0.02*ABS(J17)),"","RBE &lt;&gt; PNB + frais "),"")&amp;IF(COUNT(J17,K17,L17)=3,IF(ABS(J17+K17-L17)&lt;=MAX(1,0.03*ABS(L17)),"","RAI &lt;&gt; RBE + coût du risque "),"")&amp;IF(COUNT(H17,M17)=2,IF(ABS(M17)&gt;ABS(H17),"RN &gt; PNB ",""),"")))</f>
        <v/>
      </c>
    </row>
    <row r="18">
      <c r="A18" s="9" t="inlineStr">
        <is>
          <t>BBGC</t>
        </is>
      </c>
      <c r="B18" s="10">
        <f>IF(A18="","",IFERROR(VLOOKUP(A18,Titres!$A$2:$B$400,2,FALSE),"Ticker inconnu"))</f>
        <v/>
      </c>
      <c r="C18" s="11" t="n">
        <v>2025</v>
      </c>
      <c r="D18" s="11" t="inlineStr">
        <is>
          <t>S1</t>
        </is>
      </c>
      <c r="E18" s="9" t="inlineStr">
        <is>
          <t>Publié</t>
        </is>
      </c>
      <c r="F18" s="12" t="n">
        <v>46289</v>
      </c>
      <c r="G18" s="9" t="inlineStr">
        <is>
          <t>https://www.richbourse.com/common/actualite/afficher-fichier/24-09-2026-bridge-bank-group-ci-rapport-d-activites-1er-semestre-2026 (comparatif N-1)</t>
        </is>
      </c>
      <c r="H18" s="13" t="n">
        <v>30200</v>
      </c>
      <c r="I18" s="13" t="n">
        <v>-13100</v>
      </c>
      <c r="J18" s="13" t="n">
        <v>17200</v>
      </c>
      <c r="K18" s="13" t="n">
        <v>-3800</v>
      </c>
      <c r="L18" s="13" t="n">
        <v>13400</v>
      </c>
      <c r="M18" s="13" t="n">
        <v>10400</v>
      </c>
      <c r="N18" s="13" t="n">
        <v>645300</v>
      </c>
      <c r="O18" s="13" t="n">
        <v>903600</v>
      </c>
      <c r="P18" s="14">
        <f>IF(A18="","",COUNT(H18:O18)/8)</f>
        <v/>
      </c>
      <c r="Q18" s="15">
        <f>IF(COUNT(H18:O18)=0,"",IF(LEN(IF(COUNT(H18,I18,J18)=3,IF(ABS(H18+I18-J18)&lt;=MAX(1,0.02*ABS(J18)),"","RBE &lt;&gt; PNB + frais "),"")&amp;IF(COUNT(J18,K18,L18)=3,IF(ABS(J18+K18-L18)&lt;=MAX(1,0.03*ABS(L18)),"","RAI &lt;&gt; RBE + coût du risque "),"")&amp;IF(COUNT(H18,M18)=2,IF(ABS(M18)&gt;ABS(H18),"RN &gt; PNB ",""),""))=0,"OK",IF(COUNT(H18,I18,J18)=3,IF(ABS(H18+I18-J18)&lt;=MAX(1,0.02*ABS(J18)),"","RBE &lt;&gt; PNB + frais "),"")&amp;IF(COUNT(J18,K18,L18)=3,IF(ABS(J18+K18-L18)&lt;=MAX(1,0.03*ABS(L18)),"","RAI &lt;&gt; RBE + coût du risque "),"")&amp;IF(COUNT(H18,M18)=2,IF(ABS(M18)&gt;ABS(H18),"RN &gt; PNB ",""),"")))</f>
        <v/>
      </c>
    </row>
    <row r="19">
      <c r="A19" s="9" t="inlineStr">
        <is>
          <t>BBGC</t>
        </is>
      </c>
      <c r="B19" s="10">
        <f>IF(A19="","",IFERROR(VLOOKUP(A19,Titres!$A$2:$B$400,2,FALSE),"Ticker inconnu"))</f>
        <v/>
      </c>
      <c r="C19" s="11" t="n">
        <v>2025</v>
      </c>
      <c r="D19" s="11" t="inlineStr">
        <is>
          <t>T3</t>
        </is>
      </c>
      <c r="E19" s="9" t="n"/>
      <c r="F19" s="12" t="n"/>
      <c r="G19" s="9" t="n"/>
      <c r="H19" s="13" t="n"/>
      <c r="I19" s="13" t="n"/>
      <c r="J19" s="13" t="n"/>
      <c r="K19" s="13" t="n"/>
      <c r="L19" s="13" t="n"/>
      <c r="M19" s="13" t="n"/>
      <c r="N19" s="13" t="n"/>
      <c r="O19" s="13" t="n"/>
      <c r="P19" s="14">
        <f>IF(A19="","",COUNT(H19:O19)/8)</f>
        <v/>
      </c>
      <c r="Q19" s="15">
        <f>IF(COUNT(H19:O19)=0,"",IF(LEN(IF(COUNT(H19,I19,J19)=3,IF(ABS(H19+I19-J19)&lt;=MAX(1,0.02*ABS(J19)),"","RBE &lt;&gt; PNB + frais "),"")&amp;IF(COUNT(J19,K19,L19)=3,IF(ABS(J19+K19-L19)&lt;=MAX(1,0.03*ABS(L19)),"","RAI &lt;&gt; RBE + coût du risque "),"")&amp;IF(COUNT(H19,M19)=2,IF(ABS(M19)&gt;ABS(H19),"RN &gt; PNB ",""),""))=0,"OK",IF(COUNT(H19,I19,J19)=3,IF(ABS(H19+I19-J19)&lt;=MAX(1,0.02*ABS(J19)),"","RBE &lt;&gt; PNB + frais "),"")&amp;IF(COUNT(J19,K19,L19)=3,IF(ABS(J19+K19-L19)&lt;=MAX(1,0.03*ABS(L19)),"","RAI &lt;&gt; RBE + coût du risque "),"")&amp;IF(COUNT(H19,M19)=2,IF(ABS(M19)&gt;ABS(H19),"RN &gt; PNB ",""),"")))</f>
        <v/>
      </c>
    </row>
    <row r="20">
      <c r="A20" s="9" t="inlineStr">
        <is>
          <t>BBGC</t>
        </is>
      </c>
      <c r="B20" s="10">
        <f>IF(A20="","",IFERROR(VLOOKUP(A20,Titres!$A$2:$B$400,2,FALSE),"Ticker inconnu"))</f>
        <v/>
      </c>
      <c r="C20" s="11" t="n">
        <v>2026</v>
      </c>
      <c r="D20" s="11" t="inlineStr">
        <is>
          <t>T1</t>
        </is>
      </c>
      <c r="E20" s="9" t="n"/>
      <c r="F20" s="12" t="n"/>
      <c r="G20" s="9" t="n"/>
      <c r="H20" s="13" t="n"/>
      <c r="I20" s="13" t="n"/>
      <c r="J20" s="13" t="n"/>
      <c r="K20" s="13" t="n"/>
      <c r="L20" s="13" t="n"/>
      <c r="M20" s="13" t="n"/>
      <c r="N20" s="13" t="n"/>
      <c r="O20" s="13" t="n"/>
      <c r="P20" s="14">
        <f>IF(A20="","",COUNT(H20:O20)/8)</f>
        <v/>
      </c>
      <c r="Q20" s="15">
        <f>IF(COUNT(H20:O20)=0,"",IF(LEN(IF(COUNT(H20,I20,J20)=3,IF(ABS(H20+I20-J20)&lt;=MAX(1,0.02*ABS(J20)),"","RBE &lt;&gt; PNB + frais "),"")&amp;IF(COUNT(J20,K20,L20)=3,IF(ABS(J20+K20-L20)&lt;=MAX(1,0.03*ABS(L20)),"","RAI &lt;&gt; RBE + coût du risque "),"")&amp;IF(COUNT(H20,M20)=2,IF(ABS(M20)&gt;ABS(H20),"RN &gt; PNB ",""),""))=0,"OK",IF(COUNT(H20,I20,J20)=3,IF(ABS(H20+I20-J20)&lt;=MAX(1,0.02*ABS(J20)),"","RBE &lt;&gt; PNB + frais "),"")&amp;IF(COUNT(J20,K20,L20)=3,IF(ABS(J20+K20-L20)&lt;=MAX(1,0.03*ABS(L20)),"","RAI &lt;&gt; RBE + coût du risque "),"")&amp;IF(COUNT(H20,M20)=2,IF(ABS(M20)&gt;ABS(H20),"RN &gt; PNB ",""),"")))</f>
        <v/>
      </c>
    </row>
    <row r="21">
      <c r="A21" s="9" t="inlineStr">
        <is>
          <t>BBGC</t>
        </is>
      </c>
      <c r="B21" s="10">
        <f>IF(A21="","",IFERROR(VLOOKUP(A21,Titres!$A$2:$B$400,2,FALSE),"Ticker inconnu"))</f>
        <v/>
      </c>
      <c r="C21" s="11" t="n">
        <v>2026</v>
      </c>
      <c r="D21" s="11" t="inlineStr">
        <is>
          <t>S1</t>
        </is>
      </c>
      <c r="E21" s="9" t="inlineStr">
        <is>
          <t>Publié</t>
        </is>
      </c>
      <c r="F21" s="12" t="n">
        <v>46289</v>
      </c>
      <c r="G21" s="9" t="inlineStr">
        <is>
          <t>https://www.richbourse.com/common/actualite/afficher-fichier/24-09-2026-bridge-bank-group-ci-rapport-d-activites-1er-semestre-2026</t>
        </is>
      </c>
      <c r="H21" s="13" t="n">
        <v>37700</v>
      </c>
      <c r="I21" s="13" t="n">
        <v>-15200</v>
      </c>
      <c r="J21" s="13" t="n">
        <v>22500</v>
      </c>
      <c r="K21" s="13" t="n">
        <v>-4300</v>
      </c>
      <c r="L21" s="13" t="n">
        <v>18200</v>
      </c>
      <c r="M21" s="13" t="n">
        <v>15200</v>
      </c>
      <c r="N21" s="13" t="n">
        <v>823900</v>
      </c>
      <c r="O21" s="13" t="n">
        <v>1318300</v>
      </c>
      <c r="P21" s="14">
        <f>IF(A21="","",COUNT(H21:O21)/8)</f>
        <v/>
      </c>
      <c r="Q21" s="15">
        <f>IF(COUNT(H21:O21)=0,"",IF(LEN(IF(COUNT(H21,I21,J21)=3,IF(ABS(H21+I21-J21)&lt;=MAX(1,0.02*ABS(J21)),"","RBE &lt;&gt; PNB + frais "),"")&amp;IF(COUNT(J21,K21,L21)=3,IF(ABS(J21+K21-L21)&lt;=MAX(1,0.03*ABS(L21)),"","RAI &lt;&gt; RBE + coût du risque "),"")&amp;IF(COUNT(H21,M21)=2,IF(ABS(M21)&gt;ABS(H21),"RN &gt; PNB ",""),""))=0,"OK",IF(COUNT(H21,I21,J21)=3,IF(ABS(H21+I21-J21)&lt;=MAX(1,0.02*ABS(J21)),"","RBE &lt;&gt; PNB + frais "),"")&amp;IF(COUNT(J21,K21,L21)=3,IF(ABS(J21+K21-L21)&lt;=MAX(1,0.03*ABS(L21)),"","RAI &lt;&gt; RBE + coût du risque "),"")&amp;IF(COUNT(H21,M21)=2,IF(ABS(M21)&gt;ABS(H21),"RN &gt; PNB ",""),"")))</f>
        <v/>
      </c>
    </row>
    <row r="22">
      <c r="A22" s="9" t="inlineStr">
        <is>
          <t>BBGC</t>
        </is>
      </c>
      <c r="B22" s="10">
        <f>IF(A22="","",IFERROR(VLOOKUP(A22,Titres!$A$2:$B$400,2,FALSE),"Ticker inconnu"))</f>
        <v/>
      </c>
      <c r="C22" s="11" t="n">
        <v>2026</v>
      </c>
      <c r="D22" s="11" t="inlineStr">
        <is>
          <t>T3</t>
        </is>
      </c>
      <c r="E22" s="9" t="n"/>
      <c r="F22" s="12" t="n"/>
      <c r="G22" s="9" t="n"/>
      <c r="H22" s="13" t="n"/>
      <c r="I22" s="13" t="n"/>
      <c r="J22" s="13" t="n"/>
      <c r="K22" s="13" t="n"/>
      <c r="L22" s="13" t="n"/>
      <c r="M22" s="13" t="n"/>
      <c r="N22" s="13" t="n"/>
      <c r="O22" s="13" t="n"/>
      <c r="P22" s="14">
        <f>IF(A22="","",COUNT(H22:O22)/8)</f>
        <v/>
      </c>
      <c r="Q22" s="15">
        <f>IF(COUNT(H22:O22)=0,"",IF(LEN(IF(COUNT(H22,I22,J22)=3,IF(ABS(H22+I22-J22)&lt;=MAX(1,0.02*ABS(J22)),"","RBE &lt;&gt; PNB + frais "),"")&amp;IF(COUNT(J22,K22,L22)=3,IF(ABS(J22+K22-L22)&lt;=MAX(1,0.03*ABS(L22)),"","RAI &lt;&gt; RBE + coût du risque "),"")&amp;IF(COUNT(H22,M22)=2,IF(ABS(M22)&gt;ABS(H22),"RN &gt; PNB ",""),""))=0,"OK",IF(COUNT(H22,I22,J22)=3,IF(ABS(H22+I22-J22)&lt;=MAX(1,0.02*ABS(J22)),"","RBE &lt;&gt; PNB + frais "),"")&amp;IF(COUNT(J22,K22,L22)=3,IF(ABS(J22+K22-L22)&lt;=MAX(1,0.03*ABS(L22)),"","RAI &lt;&gt; RBE + coût du risque "),"")&amp;IF(COUNT(H22,M22)=2,IF(ABS(M22)&gt;ABS(H22),"RN &gt; PNB ",""),"")))</f>
        <v/>
      </c>
    </row>
    <row r="23">
      <c r="A23" s="9" t="inlineStr">
        <is>
          <t>BICB</t>
        </is>
      </c>
      <c r="B23" s="10">
        <f>IF(A23="","",IFERROR(VLOOKUP(A23,Titres!$A$2:$B$400,2,FALSE),"Ticker inconnu"))</f>
        <v/>
      </c>
      <c r="C23" s="11" t="n">
        <v>2021</v>
      </c>
      <c r="D23" s="11" t="inlineStr">
        <is>
          <t>T1</t>
        </is>
      </c>
      <c r="E23" s="9" t="n"/>
      <c r="F23" s="12" t="n"/>
      <c r="G23" s="9" t="n"/>
      <c r="H23" s="13" t="n"/>
      <c r="I23" s="13" t="n"/>
      <c r="J23" s="13" t="n"/>
      <c r="K23" s="13" t="n"/>
      <c r="L23" s="13" t="n"/>
      <c r="M23" s="13" t="n"/>
      <c r="N23" s="13" t="n"/>
      <c r="O23" s="13" t="n"/>
      <c r="P23" s="14">
        <f>IF(A23="","",COUNT(H23:O23)/8)</f>
        <v/>
      </c>
      <c r="Q23" s="15">
        <f>IF(COUNT(H23:O23)=0,"",IF(LEN(IF(COUNT(H23,I23,J23)=3,IF(ABS(H23+I23-J23)&lt;=MAX(1,0.02*ABS(J23)),"","RBE &lt;&gt; PNB + frais "),"")&amp;IF(COUNT(J23,K23,L23)=3,IF(ABS(J23+K23-L23)&lt;=MAX(1,0.03*ABS(L23)),"","RAI &lt;&gt; RBE + coût du risque "),"")&amp;IF(COUNT(H23,M23)=2,IF(ABS(M23)&gt;ABS(H23),"RN &gt; PNB ",""),""))=0,"OK",IF(COUNT(H23,I23,J23)=3,IF(ABS(H23+I23-J23)&lt;=MAX(1,0.02*ABS(J23)),"","RBE &lt;&gt; PNB + frais "),"")&amp;IF(COUNT(J23,K23,L23)=3,IF(ABS(J23+K23-L23)&lt;=MAX(1,0.03*ABS(L23)),"","RAI &lt;&gt; RBE + coût du risque "),"")&amp;IF(COUNT(H23,M23)=2,IF(ABS(M23)&gt;ABS(H23),"RN &gt; PNB ",""),"")))</f>
        <v/>
      </c>
    </row>
    <row r="24">
      <c r="A24" s="9" t="inlineStr">
        <is>
          <t>BICB</t>
        </is>
      </c>
      <c r="B24" s="10">
        <f>IF(A24="","",IFERROR(VLOOKUP(A24,Titres!$A$2:$B$400,2,FALSE),"Ticker inconnu"))</f>
        <v/>
      </c>
      <c r="C24" s="11" t="n">
        <v>2021</v>
      </c>
      <c r="D24" s="11" t="inlineStr">
        <is>
          <t>S1</t>
        </is>
      </c>
      <c r="E24" s="9" t="n"/>
      <c r="F24" s="12" t="n"/>
      <c r="G24" s="9" t="n"/>
      <c r="H24" s="13" t="n"/>
      <c r="I24" s="13" t="n"/>
      <c r="J24" s="13" t="n"/>
      <c r="K24" s="13" t="n"/>
      <c r="L24" s="13" t="n"/>
      <c r="M24" s="13" t="n"/>
      <c r="N24" s="13" t="n"/>
      <c r="O24" s="13" t="n"/>
      <c r="P24" s="14">
        <f>IF(A24="","",COUNT(H24:O24)/8)</f>
        <v/>
      </c>
      <c r="Q24" s="15">
        <f>IF(COUNT(H24:O24)=0,"",IF(LEN(IF(COUNT(H24,I24,J24)=3,IF(ABS(H24+I24-J24)&lt;=MAX(1,0.02*ABS(J24)),"","RBE &lt;&gt; PNB + frais "),"")&amp;IF(COUNT(J24,K24,L24)=3,IF(ABS(J24+K24-L24)&lt;=MAX(1,0.03*ABS(L24)),"","RAI &lt;&gt; RBE + coût du risque "),"")&amp;IF(COUNT(H24,M24)=2,IF(ABS(M24)&gt;ABS(H24),"RN &gt; PNB ",""),""))=0,"OK",IF(COUNT(H24,I24,J24)=3,IF(ABS(H24+I24-J24)&lt;=MAX(1,0.02*ABS(J24)),"","RBE &lt;&gt; PNB + frais "),"")&amp;IF(COUNT(J24,K24,L24)=3,IF(ABS(J24+K24-L24)&lt;=MAX(1,0.03*ABS(L24)),"","RAI &lt;&gt; RBE + coût du risque "),"")&amp;IF(COUNT(H24,M24)=2,IF(ABS(M24)&gt;ABS(H24),"RN &gt; PNB ",""),"")))</f>
        <v/>
      </c>
    </row>
    <row r="25">
      <c r="A25" s="9" t="inlineStr">
        <is>
          <t>BICB</t>
        </is>
      </c>
      <c r="B25" s="10">
        <f>IF(A25="","",IFERROR(VLOOKUP(A25,Titres!$A$2:$B$400,2,FALSE),"Ticker inconnu"))</f>
        <v/>
      </c>
      <c r="C25" s="11" t="n">
        <v>2021</v>
      </c>
      <c r="D25" s="11" t="inlineStr">
        <is>
          <t>T3</t>
        </is>
      </c>
      <c r="E25" s="9" t="n"/>
      <c r="F25" s="12" t="n"/>
      <c r="G25" s="9" t="n"/>
      <c r="H25" s="13" t="n"/>
      <c r="I25" s="13" t="n"/>
      <c r="J25" s="13" t="n"/>
      <c r="K25" s="13" t="n"/>
      <c r="L25" s="13" t="n"/>
      <c r="M25" s="13" t="n"/>
      <c r="N25" s="13" t="n"/>
      <c r="O25" s="13" t="n"/>
      <c r="P25" s="14">
        <f>IF(A25="","",COUNT(H25:O25)/8)</f>
        <v/>
      </c>
      <c r="Q25" s="15">
        <f>IF(COUNT(H25:O25)=0,"",IF(LEN(IF(COUNT(H25,I25,J25)=3,IF(ABS(H25+I25-J25)&lt;=MAX(1,0.02*ABS(J25)),"","RBE &lt;&gt; PNB + frais "),"")&amp;IF(COUNT(J25,K25,L25)=3,IF(ABS(J25+K25-L25)&lt;=MAX(1,0.03*ABS(L25)),"","RAI &lt;&gt; RBE + coût du risque "),"")&amp;IF(COUNT(H25,M25)=2,IF(ABS(M25)&gt;ABS(H25),"RN &gt; PNB ",""),""))=0,"OK",IF(COUNT(H25,I25,J25)=3,IF(ABS(H25+I25-J25)&lt;=MAX(1,0.02*ABS(J25)),"","RBE &lt;&gt; PNB + frais "),"")&amp;IF(COUNT(J25,K25,L25)=3,IF(ABS(J25+K25-L25)&lt;=MAX(1,0.03*ABS(L25)),"","RAI &lt;&gt; RBE + coût du risque "),"")&amp;IF(COUNT(H25,M25)=2,IF(ABS(M25)&gt;ABS(H25),"RN &gt; PNB ",""),"")))</f>
        <v/>
      </c>
    </row>
    <row r="26">
      <c r="A26" s="9" t="inlineStr">
        <is>
          <t>BICB</t>
        </is>
      </c>
      <c r="B26" s="10">
        <f>IF(A26="","",IFERROR(VLOOKUP(A26,Titres!$A$2:$B$400,2,FALSE),"Ticker inconnu"))</f>
        <v/>
      </c>
      <c r="C26" s="11" t="n">
        <v>2022</v>
      </c>
      <c r="D26" s="11" t="inlineStr">
        <is>
          <t>T1</t>
        </is>
      </c>
      <c r="E26" s="9" t="n"/>
      <c r="F26" s="12" t="n"/>
      <c r="G26" s="9" t="n"/>
      <c r="H26" s="13" t="n"/>
      <c r="I26" s="13" t="n"/>
      <c r="J26" s="13" t="n"/>
      <c r="K26" s="13" t="n"/>
      <c r="L26" s="13" t="n"/>
      <c r="M26" s="13" t="n"/>
      <c r="N26" s="13" t="n"/>
      <c r="O26" s="13" t="n"/>
      <c r="P26" s="14">
        <f>IF(A26="","",COUNT(H26:O26)/8)</f>
        <v/>
      </c>
      <c r="Q26" s="15">
        <f>IF(COUNT(H26:O26)=0,"",IF(LEN(IF(COUNT(H26,I26,J26)=3,IF(ABS(H26+I26-J26)&lt;=MAX(1,0.02*ABS(J26)),"","RBE &lt;&gt; PNB + frais "),"")&amp;IF(COUNT(J26,K26,L26)=3,IF(ABS(J26+K26-L26)&lt;=MAX(1,0.03*ABS(L26)),"","RAI &lt;&gt; RBE + coût du risque "),"")&amp;IF(COUNT(H26,M26)=2,IF(ABS(M26)&gt;ABS(H26),"RN &gt; PNB ",""),""))=0,"OK",IF(COUNT(H26,I26,J26)=3,IF(ABS(H26+I26-J26)&lt;=MAX(1,0.02*ABS(J26)),"","RBE &lt;&gt; PNB + frais "),"")&amp;IF(COUNT(J26,K26,L26)=3,IF(ABS(J26+K26-L26)&lt;=MAX(1,0.03*ABS(L26)),"","RAI &lt;&gt; RBE + coût du risque "),"")&amp;IF(COUNT(H26,M26)=2,IF(ABS(M26)&gt;ABS(H26),"RN &gt; PNB ",""),"")))</f>
        <v/>
      </c>
    </row>
    <row r="27">
      <c r="A27" s="9" t="inlineStr">
        <is>
          <t>BICB</t>
        </is>
      </c>
      <c r="B27" s="10">
        <f>IF(A27="","",IFERROR(VLOOKUP(A27,Titres!$A$2:$B$400,2,FALSE),"Ticker inconnu"))</f>
        <v/>
      </c>
      <c r="C27" s="11" t="n">
        <v>2022</v>
      </c>
      <c r="D27" s="11" t="inlineStr">
        <is>
          <t>S1</t>
        </is>
      </c>
      <c r="E27" s="9" t="n"/>
      <c r="F27" s="12" t="n"/>
      <c r="G27" s="9" t="n"/>
      <c r="H27" s="13" t="n"/>
      <c r="I27" s="13" t="n"/>
      <c r="J27" s="13" t="n"/>
      <c r="K27" s="13" t="n"/>
      <c r="L27" s="13" t="n"/>
      <c r="M27" s="13" t="n"/>
      <c r="N27" s="13" t="n"/>
      <c r="O27" s="13" t="n"/>
      <c r="P27" s="14">
        <f>IF(A27="","",COUNT(H27:O27)/8)</f>
        <v/>
      </c>
      <c r="Q27" s="15">
        <f>IF(COUNT(H27:O27)=0,"",IF(LEN(IF(COUNT(H27,I27,J27)=3,IF(ABS(H27+I27-J27)&lt;=MAX(1,0.02*ABS(J27)),"","RBE &lt;&gt; PNB + frais "),"")&amp;IF(COUNT(J27,K27,L27)=3,IF(ABS(J27+K27-L27)&lt;=MAX(1,0.03*ABS(L27)),"","RAI &lt;&gt; RBE + coût du risque "),"")&amp;IF(COUNT(H27,M27)=2,IF(ABS(M27)&gt;ABS(H27),"RN &gt; PNB ",""),""))=0,"OK",IF(COUNT(H27,I27,J27)=3,IF(ABS(H27+I27-J27)&lt;=MAX(1,0.02*ABS(J27)),"","RBE &lt;&gt; PNB + frais "),"")&amp;IF(COUNT(J27,K27,L27)=3,IF(ABS(J27+K27-L27)&lt;=MAX(1,0.03*ABS(L27)),"","RAI &lt;&gt; RBE + coût du risque "),"")&amp;IF(COUNT(H27,M27)=2,IF(ABS(M27)&gt;ABS(H27),"RN &gt; PNB ",""),"")))</f>
        <v/>
      </c>
    </row>
    <row r="28">
      <c r="A28" s="9" t="inlineStr">
        <is>
          <t>BICB</t>
        </is>
      </c>
      <c r="B28" s="10">
        <f>IF(A28="","",IFERROR(VLOOKUP(A28,Titres!$A$2:$B$400,2,FALSE),"Ticker inconnu"))</f>
        <v/>
      </c>
      <c r="C28" s="11" t="n">
        <v>2022</v>
      </c>
      <c r="D28" s="11" t="inlineStr">
        <is>
          <t>T3</t>
        </is>
      </c>
      <c r="E28" s="9" t="n"/>
      <c r="F28" s="12" t="n"/>
      <c r="G28" s="9" t="n"/>
      <c r="H28" s="13" t="n"/>
      <c r="I28" s="13" t="n"/>
      <c r="J28" s="13" t="n"/>
      <c r="K28" s="13" t="n"/>
      <c r="L28" s="13" t="n"/>
      <c r="M28" s="13" t="n"/>
      <c r="N28" s="13" t="n"/>
      <c r="O28" s="13" t="n"/>
      <c r="P28" s="14">
        <f>IF(A28="","",COUNT(H28:O28)/8)</f>
        <v/>
      </c>
      <c r="Q28" s="15">
        <f>IF(COUNT(H28:O28)=0,"",IF(LEN(IF(COUNT(H28,I28,J28)=3,IF(ABS(H28+I28-J28)&lt;=MAX(1,0.02*ABS(J28)),"","RBE &lt;&gt; PNB + frais "),"")&amp;IF(COUNT(J28,K28,L28)=3,IF(ABS(J28+K28-L28)&lt;=MAX(1,0.03*ABS(L28)),"","RAI &lt;&gt; RBE + coût du risque "),"")&amp;IF(COUNT(H28,M28)=2,IF(ABS(M28)&gt;ABS(H28),"RN &gt; PNB ",""),""))=0,"OK",IF(COUNT(H28,I28,J28)=3,IF(ABS(H28+I28-J28)&lt;=MAX(1,0.02*ABS(J28)),"","RBE &lt;&gt; PNB + frais "),"")&amp;IF(COUNT(J28,K28,L28)=3,IF(ABS(J28+K28-L28)&lt;=MAX(1,0.03*ABS(L28)),"","RAI &lt;&gt; RBE + coût du risque "),"")&amp;IF(COUNT(H28,M28)=2,IF(ABS(M28)&gt;ABS(H28),"RN &gt; PNB ",""),"")))</f>
        <v/>
      </c>
    </row>
    <row r="29">
      <c r="A29" s="9" t="inlineStr">
        <is>
          <t>BICB</t>
        </is>
      </c>
      <c r="B29" s="10">
        <f>IF(A29="","",IFERROR(VLOOKUP(A29,Titres!$A$2:$B$400,2,FALSE),"Ticker inconnu"))</f>
        <v/>
      </c>
      <c r="C29" s="11" t="n">
        <v>2023</v>
      </c>
      <c r="D29" s="11" t="inlineStr">
        <is>
          <t>T1</t>
        </is>
      </c>
      <c r="E29" s="9" t="n"/>
      <c r="F29" s="12" t="n"/>
      <c r="G29" s="9" t="n"/>
      <c r="H29" s="13" t="n"/>
      <c r="I29" s="13" t="n"/>
      <c r="J29" s="13" t="n"/>
      <c r="K29" s="13" t="n"/>
      <c r="L29" s="13" t="n"/>
      <c r="M29" s="13" t="n"/>
      <c r="N29" s="13" t="n"/>
      <c r="O29" s="13" t="n"/>
      <c r="P29" s="14">
        <f>IF(A29="","",COUNT(H29:O29)/8)</f>
        <v/>
      </c>
      <c r="Q29" s="15">
        <f>IF(COUNT(H29:O29)=0,"",IF(LEN(IF(COUNT(H29,I29,J29)=3,IF(ABS(H29+I29-J29)&lt;=MAX(1,0.02*ABS(J29)),"","RBE &lt;&gt; PNB + frais "),"")&amp;IF(COUNT(J29,K29,L29)=3,IF(ABS(J29+K29-L29)&lt;=MAX(1,0.03*ABS(L29)),"","RAI &lt;&gt; RBE + coût du risque "),"")&amp;IF(COUNT(H29,M29)=2,IF(ABS(M29)&gt;ABS(H29),"RN &gt; PNB ",""),""))=0,"OK",IF(COUNT(H29,I29,J29)=3,IF(ABS(H29+I29-J29)&lt;=MAX(1,0.02*ABS(J29)),"","RBE &lt;&gt; PNB + frais "),"")&amp;IF(COUNT(J29,K29,L29)=3,IF(ABS(J29+K29-L29)&lt;=MAX(1,0.03*ABS(L29)),"","RAI &lt;&gt; RBE + coût du risque "),"")&amp;IF(COUNT(H29,M29)=2,IF(ABS(M29)&gt;ABS(H29),"RN &gt; PNB ",""),"")))</f>
        <v/>
      </c>
    </row>
    <row r="30">
      <c r="A30" s="9" t="inlineStr">
        <is>
          <t>BICB</t>
        </is>
      </c>
      <c r="B30" s="10">
        <f>IF(A30="","",IFERROR(VLOOKUP(A30,Titres!$A$2:$B$400,2,FALSE),"Ticker inconnu"))</f>
        <v/>
      </c>
      <c r="C30" s="11" t="n">
        <v>2023</v>
      </c>
      <c r="D30" s="11" t="inlineStr">
        <is>
          <t>S1</t>
        </is>
      </c>
      <c r="E30" s="9" t="n"/>
      <c r="F30" s="12" t="n"/>
      <c r="G30" s="9" t="n"/>
      <c r="H30" s="13" t="n"/>
      <c r="I30" s="13" t="n"/>
      <c r="J30" s="13" t="n"/>
      <c r="K30" s="13" t="n"/>
      <c r="L30" s="13" t="n"/>
      <c r="M30" s="13" t="n"/>
      <c r="N30" s="13" t="n"/>
      <c r="O30" s="13" t="n"/>
      <c r="P30" s="14">
        <f>IF(A30="","",COUNT(H30:O30)/8)</f>
        <v/>
      </c>
      <c r="Q30" s="15">
        <f>IF(COUNT(H30:O30)=0,"",IF(LEN(IF(COUNT(H30,I30,J30)=3,IF(ABS(H30+I30-J30)&lt;=MAX(1,0.02*ABS(J30)),"","RBE &lt;&gt; PNB + frais "),"")&amp;IF(COUNT(J30,K30,L30)=3,IF(ABS(J30+K30-L30)&lt;=MAX(1,0.03*ABS(L30)),"","RAI &lt;&gt; RBE + coût du risque "),"")&amp;IF(COUNT(H30,M30)=2,IF(ABS(M30)&gt;ABS(H30),"RN &gt; PNB ",""),""))=0,"OK",IF(COUNT(H30,I30,J30)=3,IF(ABS(H30+I30-J30)&lt;=MAX(1,0.02*ABS(J30)),"","RBE &lt;&gt; PNB + frais "),"")&amp;IF(COUNT(J30,K30,L30)=3,IF(ABS(J30+K30-L30)&lt;=MAX(1,0.03*ABS(L30)),"","RAI &lt;&gt; RBE + coût du risque "),"")&amp;IF(COUNT(H30,M30)=2,IF(ABS(M30)&gt;ABS(H30),"RN &gt; PNB ",""),"")))</f>
        <v/>
      </c>
    </row>
    <row r="31">
      <c r="A31" s="9" t="inlineStr">
        <is>
          <t>BICB</t>
        </is>
      </c>
      <c r="B31" s="10">
        <f>IF(A31="","",IFERROR(VLOOKUP(A31,Titres!$A$2:$B$400,2,FALSE),"Ticker inconnu"))</f>
        <v/>
      </c>
      <c r="C31" s="11" t="n">
        <v>2023</v>
      </c>
      <c r="D31" s="11" t="inlineStr">
        <is>
          <t>T3</t>
        </is>
      </c>
      <c r="E31" s="9" t="n"/>
      <c r="F31" s="12" t="n"/>
      <c r="G31" s="9" t="n"/>
      <c r="H31" s="13" t="n"/>
      <c r="I31" s="13" t="n"/>
      <c r="J31" s="13" t="n"/>
      <c r="K31" s="13" t="n"/>
      <c r="L31" s="13" t="n"/>
      <c r="M31" s="13" t="n"/>
      <c r="N31" s="13" t="n"/>
      <c r="O31" s="13" t="n"/>
      <c r="P31" s="14">
        <f>IF(A31="","",COUNT(H31:O31)/8)</f>
        <v/>
      </c>
      <c r="Q31" s="15">
        <f>IF(COUNT(H31:O31)=0,"",IF(LEN(IF(COUNT(H31,I31,J31)=3,IF(ABS(H31+I31-J31)&lt;=MAX(1,0.02*ABS(J31)),"","RBE &lt;&gt; PNB + frais "),"")&amp;IF(COUNT(J31,K31,L31)=3,IF(ABS(J31+K31-L31)&lt;=MAX(1,0.03*ABS(L31)),"","RAI &lt;&gt; RBE + coût du risque "),"")&amp;IF(COUNT(H31,M31)=2,IF(ABS(M31)&gt;ABS(H31),"RN &gt; PNB ",""),""))=0,"OK",IF(COUNT(H31,I31,J31)=3,IF(ABS(H31+I31-J31)&lt;=MAX(1,0.02*ABS(J31)),"","RBE &lt;&gt; PNB + frais "),"")&amp;IF(COUNT(J31,K31,L31)=3,IF(ABS(J31+K31-L31)&lt;=MAX(1,0.03*ABS(L31)),"","RAI &lt;&gt; RBE + coût du risque "),"")&amp;IF(COUNT(H31,M31)=2,IF(ABS(M31)&gt;ABS(H31),"RN &gt; PNB ",""),"")))</f>
        <v/>
      </c>
    </row>
    <row r="32">
      <c r="A32" s="9" t="inlineStr">
        <is>
          <t>BICB</t>
        </is>
      </c>
      <c r="B32" s="10">
        <f>IF(A32="","",IFERROR(VLOOKUP(A32,Titres!$A$2:$B$400,2,FALSE),"Ticker inconnu"))</f>
        <v/>
      </c>
      <c r="C32" s="11" t="n">
        <v>2024</v>
      </c>
      <c r="D32" s="11" t="inlineStr">
        <is>
          <t>T1</t>
        </is>
      </c>
      <c r="E32" s="9" t="n"/>
      <c r="F32" s="12" t="n"/>
      <c r="G32" s="9" t="n"/>
      <c r="H32" s="13" t="n"/>
      <c r="I32" s="13" t="n"/>
      <c r="J32" s="13" t="n"/>
      <c r="K32" s="13" t="n"/>
      <c r="L32" s="13" t="n"/>
      <c r="M32" s="13" t="n"/>
      <c r="N32" s="13" t="n"/>
      <c r="O32" s="13" t="n"/>
      <c r="P32" s="14">
        <f>IF(A32="","",COUNT(H32:O32)/8)</f>
        <v/>
      </c>
      <c r="Q32" s="15">
        <f>IF(COUNT(H32:O32)=0,"",IF(LEN(IF(COUNT(H32,I32,J32)=3,IF(ABS(H32+I32-J32)&lt;=MAX(1,0.02*ABS(J32)),"","RBE &lt;&gt; PNB + frais "),"")&amp;IF(COUNT(J32,K32,L32)=3,IF(ABS(J32+K32-L32)&lt;=MAX(1,0.03*ABS(L32)),"","RAI &lt;&gt; RBE + coût du risque "),"")&amp;IF(COUNT(H32,M32)=2,IF(ABS(M32)&gt;ABS(H32),"RN &gt; PNB ",""),""))=0,"OK",IF(COUNT(H32,I32,J32)=3,IF(ABS(H32+I32-J32)&lt;=MAX(1,0.02*ABS(J32)),"","RBE &lt;&gt; PNB + frais "),"")&amp;IF(COUNT(J32,K32,L32)=3,IF(ABS(J32+K32-L32)&lt;=MAX(1,0.03*ABS(L32)),"","RAI &lt;&gt; RBE + coût du risque "),"")&amp;IF(COUNT(H32,M32)=2,IF(ABS(M32)&gt;ABS(H32),"RN &gt; PNB ",""),"")))</f>
        <v/>
      </c>
    </row>
    <row r="33">
      <c r="A33" s="9" t="inlineStr">
        <is>
          <t>BICB</t>
        </is>
      </c>
      <c r="B33" s="10">
        <f>IF(A33="","",IFERROR(VLOOKUP(A33,Titres!$A$2:$B$400,2,FALSE),"Ticker inconnu"))</f>
        <v/>
      </c>
      <c r="C33" s="11" t="n">
        <v>2024</v>
      </c>
      <c r="D33" s="11" t="inlineStr">
        <is>
          <t>S1</t>
        </is>
      </c>
      <c r="E33" s="9" t="n"/>
      <c r="F33" s="12" t="n"/>
      <c r="G33" s="9" t="n"/>
      <c r="H33" s="13" t="n"/>
      <c r="I33" s="13" t="n"/>
      <c r="J33" s="13" t="n"/>
      <c r="K33" s="13" t="n"/>
      <c r="L33" s="13" t="n"/>
      <c r="M33" s="13" t="n"/>
      <c r="N33" s="13" t="n"/>
      <c r="O33" s="13" t="n"/>
      <c r="P33" s="14">
        <f>IF(A33="","",COUNT(H33:O33)/8)</f>
        <v/>
      </c>
      <c r="Q33" s="15">
        <f>IF(COUNT(H33:O33)=0,"",IF(LEN(IF(COUNT(H33,I33,J33)=3,IF(ABS(H33+I33-J33)&lt;=MAX(1,0.02*ABS(J33)),"","RBE &lt;&gt; PNB + frais "),"")&amp;IF(COUNT(J33,K33,L33)=3,IF(ABS(J33+K33-L33)&lt;=MAX(1,0.03*ABS(L33)),"","RAI &lt;&gt; RBE + coût du risque "),"")&amp;IF(COUNT(H33,M33)=2,IF(ABS(M33)&gt;ABS(H33),"RN &gt; PNB ",""),""))=0,"OK",IF(COUNT(H33,I33,J33)=3,IF(ABS(H33+I33-J33)&lt;=MAX(1,0.02*ABS(J33)),"","RBE &lt;&gt; PNB + frais "),"")&amp;IF(COUNT(J33,K33,L33)=3,IF(ABS(J33+K33-L33)&lt;=MAX(1,0.03*ABS(L33)),"","RAI &lt;&gt; RBE + coût du risque "),"")&amp;IF(COUNT(H33,M33)=2,IF(ABS(M33)&gt;ABS(H33),"RN &gt; PNB ",""),"")))</f>
        <v/>
      </c>
    </row>
    <row r="34">
      <c r="A34" s="9" t="inlineStr">
        <is>
          <t>BICB</t>
        </is>
      </c>
      <c r="B34" s="10">
        <f>IF(A34="","",IFERROR(VLOOKUP(A34,Titres!$A$2:$B$400,2,FALSE),"Ticker inconnu"))</f>
        <v/>
      </c>
      <c r="C34" s="11" t="n">
        <v>2024</v>
      </c>
      <c r="D34" s="11" t="inlineStr">
        <is>
          <t>T3</t>
        </is>
      </c>
      <c r="E34" s="9" t="n"/>
      <c r="F34" s="12" t="n"/>
      <c r="G34" s="9" t="n"/>
      <c r="H34" s="13" t="n"/>
      <c r="I34" s="13" t="n"/>
      <c r="J34" s="13" t="n"/>
      <c r="K34" s="13" t="n"/>
      <c r="L34" s="13" t="n"/>
      <c r="M34" s="13" t="n"/>
      <c r="N34" s="13" t="n"/>
      <c r="O34" s="13" t="n"/>
      <c r="P34" s="14">
        <f>IF(A34="","",COUNT(H34:O34)/8)</f>
        <v/>
      </c>
      <c r="Q34" s="15">
        <f>IF(COUNT(H34:O34)=0,"",IF(LEN(IF(COUNT(H34,I34,J34)=3,IF(ABS(H34+I34-J34)&lt;=MAX(1,0.02*ABS(J34)),"","RBE &lt;&gt; PNB + frais "),"")&amp;IF(COUNT(J34,K34,L34)=3,IF(ABS(J34+K34-L34)&lt;=MAX(1,0.03*ABS(L34)),"","RAI &lt;&gt; RBE + coût du risque "),"")&amp;IF(COUNT(H34,M34)=2,IF(ABS(M34)&gt;ABS(H34),"RN &gt; PNB ",""),""))=0,"OK",IF(COUNT(H34,I34,J34)=3,IF(ABS(H34+I34-J34)&lt;=MAX(1,0.02*ABS(J34)),"","RBE &lt;&gt; PNB + frais "),"")&amp;IF(COUNT(J34,K34,L34)=3,IF(ABS(J34+K34-L34)&lt;=MAX(1,0.03*ABS(L34)),"","RAI &lt;&gt; RBE + coût du risque "),"")&amp;IF(COUNT(H34,M34)=2,IF(ABS(M34)&gt;ABS(H34),"RN &gt; PNB ",""),"")))</f>
        <v/>
      </c>
    </row>
    <row r="35">
      <c r="A35" s="9" t="inlineStr">
        <is>
          <t>BICB</t>
        </is>
      </c>
      <c r="B35" s="10">
        <f>IF(A35="","",IFERROR(VLOOKUP(A35,Titres!$A$2:$B$400,2,FALSE),"Ticker inconnu"))</f>
        <v/>
      </c>
      <c r="C35" s="11" t="n">
        <v>2025</v>
      </c>
      <c r="D35" s="11" t="inlineStr">
        <is>
          <t>T1</t>
        </is>
      </c>
      <c r="E35" s="9" t="n"/>
      <c r="F35" s="12" t="n"/>
      <c r="G35" s="9" t="n"/>
      <c r="H35" s="13" t="n"/>
      <c r="I35" s="13" t="n"/>
      <c r="J35" s="13" t="n"/>
      <c r="K35" s="13" t="n"/>
      <c r="L35" s="13" t="n"/>
      <c r="M35" s="13" t="n"/>
      <c r="N35" s="13" t="n"/>
      <c r="O35" s="13" t="n"/>
      <c r="P35" s="14">
        <f>IF(A35="","",COUNT(H35:O35)/8)</f>
        <v/>
      </c>
      <c r="Q35" s="15">
        <f>IF(COUNT(H35:O35)=0,"",IF(LEN(IF(COUNT(H35,I35,J35)=3,IF(ABS(H35+I35-J35)&lt;=MAX(1,0.02*ABS(J35)),"","RBE &lt;&gt; PNB + frais "),"")&amp;IF(COUNT(J35,K35,L35)=3,IF(ABS(J35+K35-L35)&lt;=MAX(1,0.03*ABS(L35)),"","RAI &lt;&gt; RBE + coût du risque "),"")&amp;IF(COUNT(H35,M35)=2,IF(ABS(M35)&gt;ABS(H35),"RN &gt; PNB ",""),""))=0,"OK",IF(COUNT(H35,I35,J35)=3,IF(ABS(H35+I35-J35)&lt;=MAX(1,0.02*ABS(J35)),"","RBE &lt;&gt; PNB + frais "),"")&amp;IF(COUNT(J35,K35,L35)=3,IF(ABS(J35+K35-L35)&lt;=MAX(1,0.03*ABS(L35)),"","RAI &lt;&gt; RBE + coût du risque "),"")&amp;IF(COUNT(H35,M35)=2,IF(ABS(M35)&gt;ABS(H35),"RN &gt; PNB ",""),"")))</f>
        <v/>
      </c>
    </row>
    <row r="36">
      <c r="A36" s="9" t="inlineStr">
        <is>
          <t>BICB</t>
        </is>
      </c>
      <c r="B36" s="10">
        <f>IF(A36="","",IFERROR(VLOOKUP(A36,Titres!$A$2:$B$400,2,FALSE),"Ticker inconnu"))</f>
        <v/>
      </c>
      <c r="C36" s="11" t="n">
        <v>2025</v>
      </c>
      <c r="D36" s="11" t="inlineStr">
        <is>
          <t>S1</t>
        </is>
      </c>
      <c r="E36" s="9" t="n"/>
      <c r="F36" s="12" t="n"/>
      <c r="G36" s="9" t="n"/>
      <c r="H36" s="13" t="n"/>
      <c r="I36" s="13" t="n"/>
      <c r="J36" s="13" t="n"/>
      <c r="K36" s="13" t="n"/>
      <c r="L36" s="13" t="n"/>
      <c r="M36" s="13" t="n"/>
      <c r="N36" s="13" t="n"/>
      <c r="O36" s="13" t="n"/>
      <c r="P36" s="14">
        <f>IF(A36="","",COUNT(H36:O36)/8)</f>
        <v/>
      </c>
      <c r="Q36" s="15">
        <f>IF(COUNT(H36:O36)=0,"",IF(LEN(IF(COUNT(H36,I36,J36)=3,IF(ABS(H36+I36-J36)&lt;=MAX(1,0.02*ABS(J36)),"","RBE &lt;&gt; PNB + frais "),"")&amp;IF(COUNT(J36,K36,L36)=3,IF(ABS(J36+K36-L36)&lt;=MAX(1,0.03*ABS(L36)),"","RAI &lt;&gt; RBE + coût du risque "),"")&amp;IF(COUNT(H36,M36)=2,IF(ABS(M36)&gt;ABS(H36),"RN &gt; PNB ",""),""))=0,"OK",IF(COUNT(H36,I36,J36)=3,IF(ABS(H36+I36-J36)&lt;=MAX(1,0.02*ABS(J36)),"","RBE &lt;&gt; PNB + frais "),"")&amp;IF(COUNT(J36,K36,L36)=3,IF(ABS(J36+K36-L36)&lt;=MAX(1,0.03*ABS(L36)),"","RAI &lt;&gt; RBE + coût du risque "),"")&amp;IF(COUNT(H36,M36)=2,IF(ABS(M36)&gt;ABS(H36),"RN &gt; PNB ",""),"")))</f>
        <v/>
      </c>
    </row>
    <row r="37">
      <c r="A37" s="9" t="inlineStr">
        <is>
          <t>BICB</t>
        </is>
      </c>
      <c r="B37" s="10">
        <f>IF(A37="","",IFERROR(VLOOKUP(A37,Titres!$A$2:$B$400,2,FALSE),"Ticker inconnu"))</f>
        <v/>
      </c>
      <c r="C37" s="11" t="n">
        <v>2025</v>
      </c>
      <c r="D37" s="11" t="inlineStr">
        <is>
          <t>T3</t>
        </is>
      </c>
      <c r="E37" s="9" t="n"/>
      <c r="F37" s="12" t="n"/>
      <c r="G37" s="9" t="n"/>
      <c r="H37" s="13" t="n"/>
      <c r="I37" s="13" t="n"/>
      <c r="J37" s="13" t="n"/>
      <c r="K37" s="13" t="n"/>
      <c r="L37" s="13" t="n"/>
      <c r="M37" s="13" t="n"/>
      <c r="N37" s="13" t="n"/>
      <c r="O37" s="13" t="n"/>
      <c r="P37" s="14">
        <f>IF(A37="","",COUNT(H37:O37)/8)</f>
        <v/>
      </c>
      <c r="Q37" s="15">
        <f>IF(COUNT(H37:O37)=0,"",IF(LEN(IF(COUNT(H37,I37,J37)=3,IF(ABS(H37+I37-J37)&lt;=MAX(1,0.02*ABS(J37)),"","RBE &lt;&gt; PNB + frais "),"")&amp;IF(COUNT(J37,K37,L37)=3,IF(ABS(J37+K37-L37)&lt;=MAX(1,0.03*ABS(L37)),"","RAI &lt;&gt; RBE + coût du risque "),"")&amp;IF(COUNT(H37,M37)=2,IF(ABS(M37)&gt;ABS(H37),"RN &gt; PNB ",""),""))=0,"OK",IF(COUNT(H37,I37,J37)=3,IF(ABS(H37+I37-J37)&lt;=MAX(1,0.02*ABS(J37)),"","RBE &lt;&gt; PNB + frais "),"")&amp;IF(COUNT(J37,K37,L37)=3,IF(ABS(J37+K37-L37)&lt;=MAX(1,0.03*ABS(L37)),"","RAI &lt;&gt; RBE + coût du risque "),"")&amp;IF(COUNT(H37,M37)=2,IF(ABS(M37)&gt;ABS(H37),"RN &gt; PNB ",""),"")))</f>
        <v/>
      </c>
    </row>
    <row r="38">
      <c r="A38" s="9" t="inlineStr">
        <is>
          <t>BICB</t>
        </is>
      </c>
      <c r="B38" s="10">
        <f>IF(A38="","",IFERROR(VLOOKUP(A38,Titres!$A$2:$B$400,2,FALSE),"Ticker inconnu"))</f>
        <v/>
      </c>
      <c r="C38" s="11" t="n">
        <v>2026</v>
      </c>
      <c r="D38" s="11" t="inlineStr">
        <is>
          <t>T1</t>
        </is>
      </c>
      <c r="E38" s="9" t="n"/>
      <c r="F38" s="12" t="n"/>
      <c r="G38" s="9" t="n"/>
      <c r="H38" s="13" t="n"/>
      <c r="I38" s="13" t="n"/>
      <c r="J38" s="13" t="n"/>
      <c r="K38" s="13" t="n"/>
      <c r="L38" s="13" t="n"/>
      <c r="M38" s="13" t="n"/>
      <c r="N38" s="13" t="n"/>
      <c r="O38" s="13" t="n"/>
      <c r="P38" s="14">
        <f>IF(A38="","",COUNT(H38:O38)/8)</f>
        <v/>
      </c>
      <c r="Q38" s="15">
        <f>IF(COUNT(H38:O38)=0,"",IF(LEN(IF(COUNT(H38,I38,J38)=3,IF(ABS(H38+I38-J38)&lt;=MAX(1,0.02*ABS(J38)),"","RBE &lt;&gt; PNB + frais "),"")&amp;IF(COUNT(J38,K38,L38)=3,IF(ABS(J38+K38-L38)&lt;=MAX(1,0.03*ABS(L38)),"","RAI &lt;&gt; RBE + coût du risque "),"")&amp;IF(COUNT(H38,M38)=2,IF(ABS(M38)&gt;ABS(H38),"RN &gt; PNB ",""),""))=0,"OK",IF(COUNT(H38,I38,J38)=3,IF(ABS(H38+I38-J38)&lt;=MAX(1,0.02*ABS(J38)),"","RBE &lt;&gt; PNB + frais "),"")&amp;IF(COUNT(J38,K38,L38)=3,IF(ABS(J38+K38-L38)&lt;=MAX(1,0.03*ABS(L38)),"","RAI &lt;&gt; RBE + coût du risque "),"")&amp;IF(COUNT(H38,M38)=2,IF(ABS(M38)&gt;ABS(H38),"RN &gt; PNB ",""),"")))</f>
        <v/>
      </c>
    </row>
    <row r="39">
      <c r="A39" s="9" t="inlineStr">
        <is>
          <t>BICB</t>
        </is>
      </c>
      <c r="B39" s="10">
        <f>IF(A39="","",IFERROR(VLOOKUP(A39,Titres!$A$2:$B$400,2,FALSE),"Ticker inconnu"))</f>
        <v/>
      </c>
      <c r="C39" s="11" t="n">
        <v>2026</v>
      </c>
      <c r="D39" s="11" t="inlineStr">
        <is>
          <t>S1</t>
        </is>
      </c>
      <c r="E39" s="9" t="n"/>
      <c r="F39" s="12" t="n"/>
      <c r="G39" s="9" t="n"/>
      <c r="H39" s="13" t="n"/>
      <c r="I39" s="13" t="n"/>
      <c r="J39" s="13" t="n"/>
      <c r="K39" s="13" t="n"/>
      <c r="L39" s="13" t="n"/>
      <c r="M39" s="13" t="n"/>
      <c r="N39" s="13" t="n"/>
      <c r="O39" s="13" t="n"/>
      <c r="P39" s="14">
        <f>IF(A39="","",COUNT(H39:O39)/8)</f>
        <v/>
      </c>
      <c r="Q39" s="15">
        <f>IF(COUNT(H39:O39)=0,"",IF(LEN(IF(COUNT(H39,I39,J39)=3,IF(ABS(H39+I39-J39)&lt;=MAX(1,0.02*ABS(J39)),"","RBE &lt;&gt; PNB + frais "),"")&amp;IF(COUNT(J39,K39,L39)=3,IF(ABS(J39+K39-L39)&lt;=MAX(1,0.03*ABS(L39)),"","RAI &lt;&gt; RBE + coût du risque "),"")&amp;IF(COUNT(H39,M39)=2,IF(ABS(M39)&gt;ABS(H39),"RN &gt; PNB ",""),""))=0,"OK",IF(COUNT(H39,I39,J39)=3,IF(ABS(H39+I39-J39)&lt;=MAX(1,0.02*ABS(J39)),"","RBE &lt;&gt; PNB + frais "),"")&amp;IF(COUNT(J39,K39,L39)=3,IF(ABS(J39+K39-L39)&lt;=MAX(1,0.03*ABS(L39)),"","RAI &lt;&gt; RBE + coût du risque "),"")&amp;IF(COUNT(H39,M39)=2,IF(ABS(M39)&gt;ABS(H39),"RN &gt; PNB ",""),"")))</f>
        <v/>
      </c>
    </row>
    <row r="40">
      <c r="A40" s="9" t="inlineStr">
        <is>
          <t>BICB</t>
        </is>
      </c>
      <c r="B40" s="10">
        <f>IF(A40="","",IFERROR(VLOOKUP(A40,Titres!$A$2:$B$400,2,FALSE),"Ticker inconnu"))</f>
        <v/>
      </c>
      <c r="C40" s="11" t="n">
        <v>2026</v>
      </c>
      <c r="D40" s="11" t="inlineStr">
        <is>
          <t>T3</t>
        </is>
      </c>
      <c r="E40" s="9" t="n"/>
      <c r="F40" s="12" t="n"/>
      <c r="G40" s="9" t="n"/>
      <c r="H40" s="13" t="n"/>
      <c r="I40" s="13" t="n"/>
      <c r="J40" s="13" t="n"/>
      <c r="K40" s="13" t="n"/>
      <c r="L40" s="13" t="n"/>
      <c r="M40" s="13" t="n"/>
      <c r="N40" s="13" t="n"/>
      <c r="O40" s="13" t="n"/>
      <c r="P40" s="14">
        <f>IF(A40="","",COUNT(H40:O40)/8)</f>
        <v/>
      </c>
      <c r="Q40" s="15">
        <f>IF(COUNT(H40:O40)=0,"",IF(LEN(IF(COUNT(H40,I40,J40)=3,IF(ABS(H40+I40-J40)&lt;=MAX(1,0.02*ABS(J40)),"","RBE &lt;&gt; PNB + frais "),"")&amp;IF(COUNT(J40,K40,L40)=3,IF(ABS(J40+K40-L40)&lt;=MAX(1,0.03*ABS(L40)),"","RAI &lt;&gt; RBE + coût du risque "),"")&amp;IF(COUNT(H40,M40)=2,IF(ABS(M40)&gt;ABS(H40),"RN &gt; PNB ",""),""))=0,"OK",IF(COUNT(H40,I40,J40)=3,IF(ABS(H40+I40-J40)&lt;=MAX(1,0.02*ABS(J40)),"","RBE &lt;&gt; PNB + frais "),"")&amp;IF(COUNT(J40,K40,L40)=3,IF(ABS(J40+K40-L40)&lt;=MAX(1,0.03*ABS(L40)),"","RAI &lt;&gt; RBE + coût du risque "),"")&amp;IF(COUNT(H40,M40)=2,IF(ABS(M40)&gt;ABS(H40),"RN &gt; PNB ",""),"")))</f>
        <v/>
      </c>
    </row>
    <row r="41">
      <c r="A41" s="9" t="inlineStr">
        <is>
          <t>BICC</t>
        </is>
      </c>
      <c r="B41" s="10">
        <f>IF(A41="","",IFERROR(VLOOKUP(A41,Titres!$A$2:$B$400,2,FALSE),"Ticker inconnu"))</f>
        <v/>
      </c>
      <c r="C41" s="11" t="n">
        <v>2021</v>
      </c>
      <c r="D41" s="11" t="inlineStr">
        <is>
          <t>T1</t>
        </is>
      </c>
      <c r="E41" s="9" t="n"/>
      <c r="F41" s="12" t="n"/>
      <c r="G41" s="9" t="n"/>
      <c r="H41" s="13" t="n"/>
      <c r="I41" s="13" t="n"/>
      <c r="J41" s="13" t="n"/>
      <c r="K41" s="13" t="n"/>
      <c r="L41" s="13" t="n"/>
      <c r="M41" s="13" t="n"/>
      <c r="N41" s="13" t="n"/>
      <c r="O41" s="13" t="n"/>
      <c r="P41" s="14">
        <f>IF(A41="","",COUNT(H41:O41)/8)</f>
        <v/>
      </c>
      <c r="Q41" s="15">
        <f>IF(COUNT(H41:O41)=0,"",IF(LEN(IF(COUNT(H41,I41,J41)=3,IF(ABS(H41+I41-J41)&lt;=MAX(1,0.02*ABS(J41)),"","RBE &lt;&gt; PNB + frais "),"")&amp;IF(COUNT(J41,K41,L41)=3,IF(ABS(J41+K41-L41)&lt;=MAX(1,0.03*ABS(L41)),"","RAI &lt;&gt; RBE + coût du risque "),"")&amp;IF(COUNT(H41,M41)=2,IF(ABS(M41)&gt;ABS(H41),"RN &gt; PNB ",""),""))=0,"OK",IF(COUNT(H41,I41,J41)=3,IF(ABS(H41+I41-J41)&lt;=MAX(1,0.02*ABS(J41)),"","RBE &lt;&gt; PNB + frais "),"")&amp;IF(COUNT(J41,K41,L41)=3,IF(ABS(J41+K41-L41)&lt;=MAX(1,0.03*ABS(L41)),"","RAI &lt;&gt; RBE + coût du risque "),"")&amp;IF(COUNT(H41,M41)=2,IF(ABS(M41)&gt;ABS(H41),"RN &gt; PNB ",""),"")))</f>
        <v/>
      </c>
    </row>
    <row r="42">
      <c r="A42" s="9" t="inlineStr">
        <is>
          <t>BICC</t>
        </is>
      </c>
      <c r="B42" s="10">
        <f>IF(A42="","",IFERROR(VLOOKUP(A42,Titres!$A$2:$B$400,2,FALSE),"Ticker inconnu"))</f>
        <v/>
      </c>
      <c r="C42" s="11" t="n">
        <v>2021</v>
      </c>
      <c r="D42" s="11" t="inlineStr">
        <is>
          <t>S1</t>
        </is>
      </c>
      <c r="E42" s="9" t="n"/>
      <c r="F42" s="12" t="n"/>
      <c r="G42" s="9" t="n"/>
      <c r="H42" s="13" t="n"/>
      <c r="I42" s="13" t="n"/>
      <c r="J42" s="13" t="n"/>
      <c r="K42" s="13" t="n"/>
      <c r="L42" s="13" t="n"/>
      <c r="M42" s="13" t="n"/>
      <c r="N42" s="13" t="n"/>
      <c r="O42" s="13" t="n"/>
      <c r="P42" s="14">
        <f>IF(A42="","",COUNT(H42:O42)/8)</f>
        <v/>
      </c>
      <c r="Q42" s="15">
        <f>IF(COUNT(H42:O42)=0,"",IF(LEN(IF(COUNT(H42,I42,J42)=3,IF(ABS(H42+I42-J42)&lt;=MAX(1,0.02*ABS(J42)),"","RBE &lt;&gt; PNB + frais "),"")&amp;IF(COUNT(J42,K42,L42)=3,IF(ABS(J42+K42-L42)&lt;=MAX(1,0.03*ABS(L42)),"","RAI &lt;&gt; RBE + coût du risque "),"")&amp;IF(COUNT(H42,M42)=2,IF(ABS(M42)&gt;ABS(H42),"RN &gt; PNB ",""),""))=0,"OK",IF(COUNT(H42,I42,J42)=3,IF(ABS(H42+I42-J42)&lt;=MAX(1,0.02*ABS(J42)),"","RBE &lt;&gt; PNB + frais "),"")&amp;IF(COUNT(J42,K42,L42)=3,IF(ABS(J42+K42-L42)&lt;=MAX(1,0.03*ABS(L42)),"","RAI &lt;&gt; RBE + coût du risque "),"")&amp;IF(COUNT(H42,M42)=2,IF(ABS(M42)&gt;ABS(H42),"RN &gt; PNB ",""),"")))</f>
        <v/>
      </c>
    </row>
    <row r="43">
      <c r="A43" s="9" t="inlineStr">
        <is>
          <t>BICC</t>
        </is>
      </c>
      <c r="B43" s="10">
        <f>IF(A43="","",IFERROR(VLOOKUP(A43,Titres!$A$2:$B$400,2,FALSE),"Ticker inconnu"))</f>
        <v/>
      </c>
      <c r="C43" s="11" t="n">
        <v>2021</v>
      </c>
      <c r="D43" s="11" t="inlineStr">
        <is>
          <t>T3</t>
        </is>
      </c>
      <c r="E43" s="9" t="n"/>
      <c r="F43" s="12" t="n"/>
      <c r="G43" s="9" t="n"/>
      <c r="H43" s="13" t="n"/>
      <c r="I43" s="13" t="n"/>
      <c r="J43" s="13" t="n"/>
      <c r="K43" s="13" t="n"/>
      <c r="L43" s="13" t="n"/>
      <c r="M43" s="13" t="n"/>
      <c r="N43" s="13" t="n"/>
      <c r="O43" s="13" t="n"/>
      <c r="P43" s="14">
        <f>IF(A43="","",COUNT(H43:O43)/8)</f>
        <v/>
      </c>
      <c r="Q43" s="15">
        <f>IF(COUNT(H43:O43)=0,"",IF(LEN(IF(COUNT(H43,I43,J43)=3,IF(ABS(H43+I43-J43)&lt;=MAX(1,0.02*ABS(J43)),"","RBE &lt;&gt; PNB + frais "),"")&amp;IF(COUNT(J43,K43,L43)=3,IF(ABS(J43+K43-L43)&lt;=MAX(1,0.03*ABS(L43)),"","RAI &lt;&gt; RBE + coût du risque "),"")&amp;IF(COUNT(H43,M43)=2,IF(ABS(M43)&gt;ABS(H43),"RN &gt; PNB ",""),""))=0,"OK",IF(COUNT(H43,I43,J43)=3,IF(ABS(H43+I43-J43)&lt;=MAX(1,0.02*ABS(J43)),"","RBE &lt;&gt; PNB + frais "),"")&amp;IF(COUNT(J43,K43,L43)=3,IF(ABS(J43+K43-L43)&lt;=MAX(1,0.03*ABS(L43)),"","RAI &lt;&gt; RBE + coût du risque "),"")&amp;IF(COUNT(H43,M43)=2,IF(ABS(M43)&gt;ABS(H43),"RN &gt; PNB ",""),"")))</f>
        <v/>
      </c>
    </row>
    <row r="44">
      <c r="A44" s="9" t="inlineStr">
        <is>
          <t>BICC</t>
        </is>
      </c>
      <c r="B44" s="10">
        <f>IF(A44="","",IFERROR(VLOOKUP(A44,Titres!$A$2:$B$400,2,FALSE),"Ticker inconnu"))</f>
        <v/>
      </c>
      <c r="C44" s="11" t="n">
        <v>2022</v>
      </c>
      <c r="D44" s="11" t="inlineStr">
        <is>
          <t>T1</t>
        </is>
      </c>
      <c r="E44" s="9" t="n"/>
      <c r="F44" s="12" t="n"/>
      <c r="G44" s="9" t="n"/>
      <c r="H44" s="13" t="n"/>
      <c r="I44" s="13" t="n"/>
      <c r="J44" s="13" t="n"/>
      <c r="K44" s="13" t="n"/>
      <c r="L44" s="13" t="n"/>
      <c r="M44" s="13" t="n"/>
      <c r="N44" s="13" t="n"/>
      <c r="O44" s="13" t="n"/>
      <c r="P44" s="14">
        <f>IF(A44="","",COUNT(H44:O44)/8)</f>
        <v/>
      </c>
      <c r="Q44" s="15">
        <f>IF(COUNT(H44:O44)=0,"",IF(LEN(IF(COUNT(H44,I44,J44)=3,IF(ABS(H44+I44-J44)&lt;=MAX(1,0.02*ABS(J44)),"","RBE &lt;&gt; PNB + frais "),"")&amp;IF(COUNT(J44,K44,L44)=3,IF(ABS(J44+K44-L44)&lt;=MAX(1,0.03*ABS(L44)),"","RAI &lt;&gt; RBE + coût du risque "),"")&amp;IF(COUNT(H44,M44)=2,IF(ABS(M44)&gt;ABS(H44),"RN &gt; PNB ",""),""))=0,"OK",IF(COUNT(H44,I44,J44)=3,IF(ABS(H44+I44-J44)&lt;=MAX(1,0.02*ABS(J44)),"","RBE &lt;&gt; PNB + frais "),"")&amp;IF(COUNT(J44,K44,L44)=3,IF(ABS(J44+K44-L44)&lt;=MAX(1,0.03*ABS(L44)),"","RAI &lt;&gt; RBE + coût du risque "),"")&amp;IF(COUNT(H44,M44)=2,IF(ABS(M44)&gt;ABS(H44),"RN &gt; PNB ",""),"")))</f>
        <v/>
      </c>
    </row>
    <row r="45">
      <c r="A45" s="9" t="inlineStr">
        <is>
          <t>BICC</t>
        </is>
      </c>
      <c r="B45" s="10">
        <f>IF(A45="","",IFERROR(VLOOKUP(A45,Titres!$A$2:$B$400,2,FALSE),"Ticker inconnu"))</f>
        <v/>
      </c>
      <c r="C45" s="11" t="n">
        <v>2022</v>
      </c>
      <c r="D45" s="11" t="inlineStr">
        <is>
          <t>S1</t>
        </is>
      </c>
      <c r="E45" s="9" t="n"/>
      <c r="F45" s="12" t="n"/>
      <c r="G45" s="9" t="n"/>
      <c r="H45" s="13" t="n"/>
      <c r="I45" s="13" t="n"/>
      <c r="J45" s="13" t="n"/>
      <c r="K45" s="13" t="n"/>
      <c r="L45" s="13" t="n"/>
      <c r="M45" s="13" t="n"/>
      <c r="N45" s="13" t="n"/>
      <c r="O45" s="13" t="n"/>
      <c r="P45" s="14">
        <f>IF(A45="","",COUNT(H45:O45)/8)</f>
        <v/>
      </c>
      <c r="Q45" s="15">
        <f>IF(COUNT(H45:O45)=0,"",IF(LEN(IF(COUNT(H45,I45,J45)=3,IF(ABS(H45+I45-J45)&lt;=MAX(1,0.02*ABS(J45)),"","RBE &lt;&gt; PNB + frais "),"")&amp;IF(COUNT(J45,K45,L45)=3,IF(ABS(J45+K45-L45)&lt;=MAX(1,0.03*ABS(L45)),"","RAI &lt;&gt; RBE + coût du risque "),"")&amp;IF(COUNT(H45,M45)=2,IF(ABS(M45)&gt;ABS(H45),"RN &gt; PNB ",""),""))=0,"OK",IF(COUNT(H45,I45,J45)=3,IF(ABS(H45+I45-J45)&lt;=MAX(1,0.02*ABS(J45)),"","RBE &lt;&gt; PNB + frais "),"")&amp;IF(COUNT(J45,K45,L45)=3,IF(ABS(J45+K45-L45)&lt;=MAX(1,0.03*ABS(L45)),"","RAI &lt;&gt; RBE + coût du risque "),"")&amp;IF(COUNT(H45,M45)=2,IF(ABS(M45)&gt;ABS(H45),"RN &gt; PNB ",""),"")))</f>
        <v/>
      </c>
    </row>
    <row r="46">
      <c r="A46" s="9" t="inlineStr">
        <is>
          <t>BICC</t>
        </is>
      </c>
      <c r="B46" s="10">
        <f>IF(A46="","",IFERROR(VLOOKUP(A46,Titres!$A$2:$B$400,2,FALSE),"Ticker inconnu"))</f>
        <v/>
      </c>
      <c r="C46" s="11" t="n">
        <v>2022</v>
      </c>
      <c r="D46" s="11" t="inlineStr">
        <is>
          <t>T3</t>
        </is>
      </c>
      <c r="E46" s="9" t="n"/>
      <c r="F46" s="12" t="n"/>
      <c r="G46" s="9" t="n"/>
      <c r="H46" s="13" t="n"/>
      <c r="I46" s="13" t="n"/>
      <c r="J46" s="13" t="n"/>
      <c r="K46" s="13" t="n"/>
      <c r="L46" s="13" t="n"/>
      <c r="M46" s="13" t="n"/>
      <c r="N46" s="13" t="n"/>
      <c r="O46" s="13" t="n"/>
      <c r="P46" s="14">
        <f>IF(A46="","",COUNT(H46:O46)/8)</f>
        <v/>
      </c>
      <c r="Q46" s="15">
        <f>IF(COUNT(H46:O46)=0,"",IF(LEN(IF(COUNT(H46,I46,J46)=3,IF(ABS(H46+I46-J46)&lt;=MAX(1,0.02*ABS(J46)),"","RBE &lt;&gt; PNB + frais "),"")&amp;IF(COUNT(J46,K46,L46)=3,IF(ABS(J46+K46-L46)&lt;=MAX(1,0.03*ABS(L46)),"","RAI &lt;&gt; RBE + coût du risque "),"")&amp;IF(COUNT(H46,M46)=2,IF(ABS(M46)&gt;ABS(H46),"RN &gt; PNB ",""),""))=0,"OK",IF(COUNT(H46,I46,J46)=3,IF(ABS(H46+I46-J46)&lt;=MAX(1,0.02*ABS(J46)),"","RBE &lt;&gt; PNB + frais "),"")&amp;IF(COUNT(J46,K46,L46)=3,IF(ABS(J46+K46-L46)&lt;=MAX(1,0.03*ABS(L46)),"","RAI &lt;&gt; RBE + coût du risque "),"")&amp;IF(COUNT(H46,M46)=2,IF(ABS(M46)&gt;ABS(H46),"RN &gt; PNB ",""),"")))</f>
        <v/>
      </c>
    </row>
    <row r="47">
      <c r="A47" s="9" t="inlineStr">
        <is>
          <t>BICC</t>
        </is>
      </c>
      <c r="B47" s="10">
        <f>IF(A47="","",IFERROR(VLOOKUP(A47,Titres!$A$2:$B$400,2,FALSE),"Ticker inconnu"))</f>
        <v/>
      </c>
      <c r="C47" s="11" t="n">
        <v>2023</v>
      </c>
      <c r="D47" s="11" t="inlineStr">
        <is>
          <t>T1</t>
        </is>
      </c>
      <c r="E47" s="9" t="n"/>
      <c r="F47" s="12" t="n"/>
      <c r="G47" s="9" t="n"/>
      <c r="H47" s="13" t="n"/>
      <c r="I47" s="13" t="n"/>
      <c r="J47" s="13" t="n"/>
      <c r="K47" s="13" t="n"/>
      <c r="L47" s="13" t="n"/>
      <c r="M47" s="13" t="n"/>
      <c r="N47" s="13" t="n"/>
      <c r="O47" s="13" t="n"/>
      <c r="P47" s="14">
        <f>IF(A47="","",COUNT(H47:O47)/8)</f>
        <v/>
      </c>
      <c r="Q47" s="15">
        <f>IF(COUNT(H47:O47)=0,"",IF(LEN(IF(COUNT(H47,I47,J47)=3,IF(ABS(H47+I47-J47)&lt;=MAX(1,0.02*ABS(J47)),"","RBE &lt;&gt; PNB + frais "),"")&amp;IF(COUNT(J47,K47,L47)=3,IF(ABS(J47+K47-L47)&lt;=MAX(1,0.03*ABS(L47)),"","RAI &lt;&gt; RBE + coût du risque "),"")&amp;IF(COUNT(H47,M47)=2,IF(ABS(M47)&gt;ABS(H47),"RN &gt; PNB ",""),""))=0,"OK",IF(COUNT(H47,I47,J47)=3,IF(ABS(H47+I47-J47)&lt;=MAX(1,0.02*ABS(J47)),"","RBE &lt;&gt; PNB + frais "),"")&amp;IF(COUNT(J47,K47,L47)=3,IF(ABS(J47+K47-L47)&lt;=MAX(1,0.03*ABS(L47)),"","RAI &lt;&gt; RBE + coût du risque "),"")&amp;IF(COUNT(H47,M47)=2,IF(ABS(M47)&gt;ABS(H47),"RN &gt; PNB ",""),"")))</f>
        <v/>
      </c>
    </row>
    <row r="48">
      <c r="A48" s="9" t="inlineStr">
        <is>
          <t>BICC</t>
        </is>
      </c>
      <c r="B48" s="10">
        <f>IF(A48="","",IFERROR(VLOOKUP(A48,Titres!$A$2:$B$400,2,FALSE),"Ticker inconnu"))</f>
        <v/>
      </c>
      <c r="C48" s="11" t="n">
        <v>2023</v>
      </c>
      <c r="D48" s="11" t="inlineStr">
        <is>
          <t>S1</t>
        </is>
      </c>
      <c r="E48" s="9" t="n"/>
      <c r="F48" s="12" t="n"/>
      <c r="G48" s="9" t="n"/>
      <c r="H48" s="13" t="n"/>
      <c r="I48" s="13" t="n"/>
      <c r="J48" s="13" t="n"/>
      <c r="K48" s="13" t="n"/>
      <c r="L48" s="13" t="n"/>
      <c r="M48" s="13" t="n"/>
      <c r="N48" s="13" t="n"/>
      <c r="O48" s="13" t="n"/>
      <c r="P48" s="14">
        <f>IF(A48="","",COUNT(H48:O48)/8)</f>
        <v/>
      </c>
      <c r="Q48" s="15">
        <f>IF(COUNT(H48:O48)=0,"",IF(LEN(IF(COUNT(H48,I48,J48)=3,IF(ABS(H48+I48-J48)&lt;=MAX(1,0.02*ABS(J48)),"","RBE &lt;&gt; PNB + frais "),"")&amp;IF(COUNT(J48,K48,L48)=3,IF(ABS(J48+K48-L48)&lt;=MAX(1,0.03*ABS(L48)),"","RAI &lt;&gt; RBE + coût du risque "),"")&amp;IF(COUNT(H48,M48)=2,IF(ABS(M48)&gt;ABS(H48),"RN &gt; PNB ",""),""))=0,"OK",IF(COUNT(H48,I48,J48)=3,IF(ABS(H48+I48-J48)&lt;=MAX(1,0.02*ABS(J48)),"","RBE &lt;&gt; PNB + frais "),"")&amp;IF(COUNT(J48,K48,L48)=3,IF(ABS(J48+K48-L48)&lt;=MAX(1,0.03*ABS(L48)),"","RAI &lt;&gt; RBE + coût du risque "),"")&amp;IF(COUNT(H48,M48)=2,IF(ABS(M48)&gt;ABS(H48),"RN &gt; PNB ",""),"")))</f>
        <v/>
      </c>
    </row>
    <row r="49">
      <c r="A49" s="9" t="inlineStr">
        <is>
          <t>BICC</t>
        </is>
      </c>
      <c r="B49" s="10">
        <f>IF(A49="","",IFERROR(VLOOKUP(A49,Titres!$A$2:$B$400,2,FALSE),"Ticker inconnu"))</f>
        <v/>
      </c>
      <c r="C49" s="11" t="n">
        <v>2023</v>
      </c>
      <c r="D49" s="11" t="inlineStr">
        <is>
          <t>T3</t>
        </is>
      </c>
      <c r="E49" s="9" t="n"/>
      <c r="F49" s="12" t="n"/>
      <c r="G49" s="9" t="n"/>
      <c r="H49" s="13" t="n"/>
      <c r="I49" s="13" t="n"/>
      <c r="J49" s="13" t="n"/>
      <c r="K49" s="13" t="n"/>
      <c r="L49" s="13" t="n"/>
      <c r="M49" s="13" t="n"/>
      <c r="N49" s="13" t="n"/>
      <c r="O49" s="13" t="n"/>
      <c r="P49" s="14">
        <f>IF(A49="","",COUNT(H49:O49)/8)</f>
        <v/>
      </c>
      <c r="Q49" s="15">
        <f>IF(COUNT(H49:O49)=0,"",IF(LEN(IF(COUNT(H49,I49,J49)=3,IF(ABS(H49+I49-J49)&lt;=MAX(1,0.02*ABS(J49)),"","RBE &lt;&gt; PNB + frais "),"")&amp;IF(COUNT(J49,K49,L49)=3,IF(ABS(J49+K49-L49)&lt;=MAX(1,0.03*ABS(L49)),"","RAI &lt;&gt; RBE + coût du risque "),"")&amp;IF(COUNT(H49,M49)=2,IF(ABS(M49)&gt;ABS(H49),"RN &gt; PNB ",""),""))=0,"OK",IF(COUNT(H49,I49,J49)=3,IF(ABS(H49+I49-J49)&lt;=MAX(1,0.02*ABS(J49)),"","RBE &lt;&gt; PNB + frais "),"")&amp;IF(COUNT(J49,K49,L49)=3,IF(ABS(J49+K49-L49)&lt;=MAX(1,0.03*ABS(L49)),"","RAI &lt;&gt; RBE + coût du risque "),"")&amp;IF(COUNT(H49,M49)=2,IF(ABS(M49)&gt;ABS(H49),"RN &gt; PNB ",""),"")))</f>
        <v/>
      </c>
    </row>
    <row r="50">
      <c r="A50" s="9" t="inlineStr">
        <is>
          <t>BICC</t>
        </is>
      </c>
      <c r="B50" s="10">
        <f>IF(A50="","",IFERROR(VLOOKUP(A50,Titres!$A$2:$B$400,2,FALSE),"Ticker inconnu"))</f>
        <v/>
      </c>
      <c r="C50" s="11" t="n">
        <v>2024</v>
      </c>
      <c r="D50" s="11" t="inlineStr">
        <is>
          <t>T1</t>
        </is>
      </c>
      <c r="E50" s="9" t="n"/>
      <c r="F50" s="12" t="n"/>
      <c r="G50" s="9" t="n"/>
      <c r="H50" s="13" t="n"/>
      <c r="I50" s="13" t="n"/>
      <c r="J50" s="13" t="n"/>
      <c r="K50" s="13" t="n"/>
      <c r="L50" s="13" t="n"/>
      <c r="M50" s="13" t="n"/>
      <c r="N50" s="13" t="n"/>
      <c r="O50" s="13" t="n"/>
      <c r="P50" s="14">
        <f>IF(A50="","",COUNT(H50:O50)/8)</f>
        <v/>
      </c>
      <c r="Q50" s="15">
        <f>IF(COUNT(H50:O50)=0,"",IF(LEN(IF(COUNT(H50,I50,J50)=3,IF(ABS(H50+I50-J50)&lt;=MAX(1,0.02*ABS(J50)),"","RBE &lt;&gt; PNB + frais "),"")&amp;IF(COUNT(J50,K50,L50)=3,IF(ABS(J50+K50-L50)&lt;=MAX(1,0.03*ABS(L50)),"","RAI &lt;&gt; RBE + coût du risque "),"")&amp;IF(COUNT(H50,M50)=2,IF(ABS(M50)&gt;ABS(H50),"RN &gt; PNB ",""),""))=0,"OK",IF(COUNT(H50,I50,J50)=3,IF(ABS(H50+I50-J50)&lt;=MAX(1,0.02*ABS(J50)),"","RBE &lt;&gt; PNB + frais "),"")&amp;IF(COUNT(J50,K50,L50)=3,IF(ABS(J50+K50-L50)&lt;=MAX(1,0.03*ABS(L50)),"","RAI &lt;&gt; RBE + coût du risque "),"")&amp;IF(COUNT(H50,M50)=2,IF(ABS(M50)&gt;ABS(H50),"RN &gt; PNB ",""),"")))</f>
        <v/>
      </c>
    </row>
    <row r="51">
      <c r="A51" s="9" t="inlineStr">
        <is>
          <t>BICC</t>
        </is>
      </c>
      <c r="B51" s="10">
        <f>IF(A51="","",IFERROR(VLOOKUP(A51,Titres!$A$2:$B$400,2,FALSE),"Ticker inconnu"))</f>
        <v/>
      </c>
      <c r="C51" s="11" t="n">
        <v>2024</v>
      </c>
      <c r="D51" s="11" t="inlineStr">
        <is>
          <t>S1</t>
        </is>
      </c>
      <c r="E51" s="9" t="n"/>
      <c r="F51" s="12" t="n"/>
      <c r="G51" s="9" t="n"/>
      <c r="H51" s="13" t="n"/>
      <c r="I51" s="13" t="n"/>
      <c r="J51" s="13" t="n"/>
      <c r="K51" s="13" t="n"/>
      <c r="L51" s="13" t="n"/>
      <c r="M51" s="13" t="n"/>
      <c r="N51" s="13" t="n"/>
      <c r="O51" s="13" t="n"/>
      <c r="P51" s="14">
        <f>IF(A51="","",COUNT(H51:O51)/8)</f>
        <v/>
      </c>
      <c r="Q51" s="15">
        <f>IF(COUNT(H51:O51)=0,"",IF(LEN(IF(COUNT(H51,I51,J51)=3,IF(ABS(H51+I51-J51)&lt;=MAX(1,0.02*ABS(J51)),"","RBE &lt;&gt; PNB + frais "),"")&amp;IF(COUNT(J51,K51,L51)=3,IF(ABS(J51+K51-L51)&lt;=MAX(1,0.03*ABS(L51)),"","RAI &lt;&gt; RBE + coût du risque "),"")&amp;IF(COUNT(H51,M51)=2,IF(ABS(M51)&gt;ABS(H51),"RN &gt; PNB ",""),""))=0,"OK",IF(COUNT(H51,I51,J51)=3,IF(ABS(H51+I51-J51)&lt;=MAX(1,0.02*ABS(J51)),"","RBE &lt;&gt; PNB + frais "),"")&amp;IF(COUNT(J51,K51,L51)=3,IF(ABS(J51+K51-L51)&lt;=MAX(1,0.03*ABS(L51)),"","RAI &lt;&gt; RBE + coût du risque "),"")&amp;IF(COUNT(H51,M51)=2,IF(ABS(M51)&gt;ABS(H51),"RN &gt; PNB ",""),"")))</f>
        <v/>
      </c>
    </row>
    <row r="52">
      <c r="A52" s="9" t="inlineStr">
        <is>
          <t>BICC</t>
        </is>
      </c>
      <c r="B52" s="10">
        <f>IF(A52="","",IFERROR(VLOOKUP(A52,Titres!$A$2:$B$400,2,FALSE),"Ticker inconnu"))</f>
        <v/>
      </c>
      <c r="C52" s="11" t="n">
        <v>2024</v>
      </c>
      <c r="D52" s="11" t="inlineStr">
        <is>
          <t>T3</t>
        </is>
      </c>
      <c r="E52" s="9" t="n"/>
      <c r="F52" s="12" t="n"/>
      <c r="G52" s="9" t="n"/>
      <c r="H52" s="13" t="n"/>
      <c r="I52" s="13" t="n"/>
      <c r="J52" s="13" t="n"/>
      <c r="K52" s="13" t="n"/>
      <c r="L52" s="13" t="n"/>
      <c r="M52" s="13" t="n"/>
      <c r="N52" s="13" t="n"/>
      <c r="O52" s="13" t="n"/>
      <c r="P52" s="14">
        <f>IF(A52="","",COUNT(H52:O52)/8)</f>
        <v/>
      </c>
      <c r="Q52" s="15">
        <f>IF(COUNT(H52:O52)=0,"",IF(LEN(IF(COUNT(H52,I52,J52)=3,IF(ABS(H52+I52-J52)&lt;=MAX(1,0.02*ABS(J52)),"","RBE &lt;&gt; PNB + frais "),"")&amp;IF(COUNT(J52,K52,L52)=3,IF(ABS(J52+K52-L52)&lt;=MAX(1,0.03*ABS(L52)),"","RAI &lt;&gt; RBE + coût du risque "),"")&amp;IF(COUNT(H52,M52)=2,IF(ABS(M52)&gt;ABS(H52),"RN &gt; PNB ",""),""))=0,"OK",IF(COUNT(H52,I52,J52)=3,IF(ABS(H52+I52-J52)&lt;=MAX(1,0.02*ABS(J52)),"","RBE &lt;&gt; PNB + frais "),"")&amp;IF(COUNT(J52,K52,L52)=3,IF(ABS(J52+K52-L52)&lt;=MAX(1,0.03*ABS(L52)),"","RAI &lt;&gt; RBE + coût du risque "),"")&amp;IF(COUNT(H52,M52)=2,IF(ABS(M52)&gt;ABS(H52),"RN &gt; PNB ",""),"")))</f>
        <v/>
      </c>
    </row>
    <row r="53">
      <c r="A53" s="9" t="inlineStr">
        <is>
          <t>BICC</t>
        </is>
      </c>
      <c r="B53" s="10">
        <f>IF(A53="","",IFERROR(VLOOKUP(A53,Titres!$A$2:$B$400,2,FALSE),"Ticker inconnu"))</f>
        <v/>
      </c>
      <c r="C53" s="11" t="n">
        <v>2025</v>
      </c>
      <c r="D53" s="11" t="inlineStr">
        <is>
          <t>T1</t>
        </is>
      </c>
      <c r="E53" s="9" t="inlineStr">
        <is>
          <t>Publié</t>
        </is>
      </c>
      <c r="F53" s="12" t="n">
        <v>46142</v>
      </c>
      <c r="G53" s="9" t="inlineStr">
        <is>
          <t>https://www.richbourse.com/common/actualite/afficher-fichier/30-04-2026-bici-ci-rapport-dactivites-1er-trimestre-2026 (comparatif N-1)</t>
        </is>
      </c>
      <c r="H53" s="13" t="n">
        <v>18130</v>
      </c>
      <c r="I53" s="13" t="n"/>
      <c r="J53" s="13" t="n"/>
      <c r="K53" s="13" t="n"/>
      <c r="L53" s="13" t="n">
        <v>9266</v>
      </c>
      <c r="M53" s="13" t="n">
        <v>8011</v>
      </c>
      <c r="N53" s="13" t="n">
        <v>547784</v>
      </c>
      <c r="O53" s="13" t="n">
        <v>870535</v>
      </c>
      <c r="P53" s="14">
        <f>IF(A53="","",COUNT(H53:O53)/8)</f>
        <v/>
      </c>
      <c r="Q53" s="15">
        <f>IF(COUNT(H53:O53)=0,"",IF(LEN(IF(COUNT(H53,I53,J53)=3,IF(ABS(H53+I53-J53)&lt;=MAX(1,0.02*ABS(J53)),"","RBE &lt;&gt; PNB + frais "),"")&amp;IF(COUNT(J53,K53,L53)=3,IF(ABS(J53+K53-L53)&lt;=MAX(1,0.03*ABS(L53)),"","RAI &lt;&gt; RBE + coût du risque "),"")&amp;IF(COUNT(H53,M53)=2,IF(ABS(M53)&gt;ABS(H53),"RN &gt; PNB ",""),""))=0,"OK",IF(COUNT(H53,I53,J53)=3,IF(ABS(H53+I53-J53)&lt;=MAX(1,0.02*ABS(J53)),"","RBE &lt;&gt; PNB + frais "),"")&amp;IF(COUNT(J53,K53,L53)=3,IF(ABS(J53+K53-L53)&lt;=MAX(1,0.03*ABS(L53)),"","RAI &lt;&gt; RBE + coût du risque "),"")&amp;IF(COUNT(H53,M53)=2,IF(ABS(M53)&gt;ABS(H53),"RN &gt; PNB ",""),"")))</f>
        <v/>
      </c>
    </row>
    <row r="54">
      <c r="A54" s="9" t="inlineStr">
        <is>
          <t>BICC</t>
        </is>
      </c>
      <c r="B54" s="10">
        <f>IF(A54="","",IFERROR(VLOOKUP(A54,Titres!$A$2:$B$400,2,FALSE),"Ticker inconnu"))</f>
        <v/>
      </c>
      <c r="C54" s="11" t="n">
        <v>2025</v>
      </c>
      <c r="D54" s="11" t="inlineStr">
        <is>
          <t>S1</t>
        </is>
      </c>
      <c r="E54" s="9" t="inlineStr">
        <is>
          <t>Publié</t>
        </is>
      </c>
      <c r="F54" s="12" t="n">
        <v>46308</v>
      </c>
      <c r="G54" s="9" t="inlineStr">
        <is>
          <t>https://www.richbourse.com/common/actualite/afficher-fichier/13-10-2026-bici-ci-rapport-d-activites-1er-semestre-2026 (comparatif N-1)</t>
        </is>
      </c>
      <c r="H54" s="13" t="n">
        <v>37146</v>
      </c>
      <c r="I54" s="13" t="n">
        <v>-19355</v>
      </c>
      <c r="J54" s="13" t="n">
        <v>17791</v>
      </c>
      <c r="K54" s="13" t="n">
        <v>-123</v>
      </c>
      <c r="L54" s="13" t="n">
        <v>17673</v>
      </c>
      <c r="M54" s="13" t="n">
        <v>16253</v>
      </c>
      <c r="N54" s="13" t="n">
        <v>512559</v>
      </c>
      <c r="O54" s="13" t="n">
        <v>947270</v>
      </c>
      <c r="P54" s="14">
        <f>IF(A54="","",COUNT(H54:O54)/8)</f>
        <v/>
      </c>
      <c r="Q54" s="15">
        <f>IF(COUNT(H54:O54)=0,"",IF(LEN(IF(COUNT(H54,I54,J54)=3,IF(ABS(H54+I54-J54)&lt;=MAX(1,0.02*ABS(J54)),"","RBE &lt;&gt; PNB + frais "),"")&amp;IF(COUNT(J54,K54,L54)=3,IF(ABS(J54+K54-L54)&lt;=MAX(1,0.03*ABS(L54)),"","RAI &lt;&gt; RBE + coût du risque "),"")&amp;IF(COUNT(H54,M54)=2,IF(ABS(M54)&gt;ABS(H54),"RN &gt; PNB ",""),""))=0,"OK",IF(COUNT(H54,I54,J54)=3,IF(ABS(H54+I54-J54)&lt;=MAX(1,0.02*ABS(J54)),"","RBE &lt;&gt; PNB + frais "),"")&amp;IF(COUNT(J54,K54,L54)=3,IF(ABS(J54+K54-L54)&lt;=MAX(1,0.03*ABS(L54)),"","RAI &lt;&gt; RBE + coût du risque "),"")&amp;IF(COUNT(H54,M54)=2,IF(ABS(M54)&gt;ABS(H54),"RN &gt; PNB ",""),"")))</f>
        <v/>
      </c>
    </row>
    <row r="55">
      <c r="A55" s="9" t="inlineStr">
        <is>
          <t>BICC</t>
        </is>
      </c>
      <c r="B55" s="10">
        <f>IF(A55="","",IFERROR(VLOOKUP(A55,Titres!$A$2:$B$400,2,FALSE),"Ticker inconnu"))</f>
        <v/>
      </c>
      <c r="C55" s="11" t="n">
        <v>2025</v>
      </c>
      <c r="D55" s="11" t="inlineStr">
        <is>
          <t>T3</t>
        </is>
      </c>
      <c r="E55" s="9" t="n"/>
      <c r="F55" s="12" t="n"/>
      <c r="G55" s="9" t="n"/>
      <c r="H55" s="13" t="n"/>
      <c r="I55" s="13" t="n"/>
      <c r="J55" s="13" t="n"/>
      <c r="K55" s="13" t="n"/>
      <c r="L55" s="13" t="n"/>
      <c r="M55" s="13" t="n"/>
      <c r="N55" s="13" t="n"/>
      <c r="O55" s="13" t="n"/>
      <c r="P55" s="14">
        <f>IF(A55="","",COUNT(H55:O55)/8)</f>
        <v/>
      </c>
      <c r="Q55" s="15">
        <f>IF(COUNT(H55:O55)=0,"",IF(LEN(IF(COUNT(H55,I55,J55)=3,IF(ABS(H55+I55-J55)&lt;=MAX(1,0.02*ABS(J55)),"","RBE &lt;&gt; PNB + frais "),"")&amp;IF(COUNT(J55,K55,L55)=3,IF(ABS(J55+K55-L55)&lt;=MAX(1,0.03*ABS(L55)),"","RAI &lt;&gt; RBE + coût du risque "),"")&amp;IF(COUNT(H55,M55)=2,IF(ABS(M55)&gt;ABS(H55),"RN &gt; PNB ",""),""))=0,"OK",IF(COUNT(H55,I55,J55)=3,IF(ABS(H55+I55-J55)&lt;=MAX(1,0.02*ABS(J55)),"","RBE &lt;&gt; PNB + frais "),"")&amp;IF(COUNT(J55,K55,L55)=3,IF(ABS(J55+K55-L55)&lt;=MAX(1,0.03*ABS(L55)),"","RAI &lt;&gt; RBE + coût du risque "),"")&amp;IF(COUNT(H55,M55)=2,IF(ABS(M55)&gt;ABS(H55),"RN &gt; PNB ",""),"")))</f>
        <v/>
      </c>
    </row>
    <row r="56">
      <c r="A56" s="9" t="inlineStr">
        <is>
          <t>BICC</t>
        </is>
      </c>
      <c r="B56" s="10">
        <f>IF(A56="","",IFERROR(VLOOKUP(A56,Titres!$A$2:$B$400,2,FALSE),"Ticker inconnu"))</f>
        <v/>
      </c>
      <c r="C56" s="11" t="n">
        <v>2026</v>
      </c>
      <c r="D56" s="11" t="inlineStr">
        <is>
          <t>T1</t>
        </is>
      </c>
      <c r="E56" s="9" t="inlineStr">
        <is>
          <t>Publié</t>
        </is>
      </c>
      <c r="F56" s="12" t="n">
        <v>46142</v>
      </c>
      <c r="G56" s="9" t="inlineStr">
        <is>
          <t>https://www.richbourse.com/common/actualite/afficher-fichier/30-04-2026-bici-ci-rapport-dactivites-1er-trimestre-2026</t>
        </is>
      </c>
      <c r="H56" s="13" t="n">
        <v>21214</v>
      </c>
      <c r="I56" s="13" t="n"/>
      <c r="J56" s="13" t="n"/>
      <c r="K56" s="13" t="n"/>
      <c r="L56" s="13" t="n">
        <v>11223</v>
      </c>
      <c r="M56" s="13" t="n">
        <v>10387</v>
      </c>
      <c r="N56" s="13" t="n">
        <v>523300</v>
      </c>
      <c r="O56" s="13" t="n">
        <v>996392</v>
      </c>
      <c r="P56" s="14">
        <f>IF(A56="","",COUNT(H56:O56)/8)</f>
        <v/>
      </c>
      <c r="Q56" s="15">
        <f>IF(COUNT(H56:O56)=0,"",IF(LEN(IF(COUNT(H56,I56,J56)=3,IF(ABS(H56+I56-J56)&lt;=MAX(1,0.02*ABS(J56)),"","RBE &lt;&gt; PNB + frais "),"")&amp;IF(COUNT(J56,K56,L56)=3,IF(ABS(J56+K56-L56)&lt;=MAX(1,0.03*ABS(L56)),"","RAI &lt;&gt; RBE + coût du risque "),"")&amp;IF(COUNT(H56,M56)=2,IF(ABS(M56)&gt;ABS(H56),"RN &gt; PNB ",""),""))=0,"OK",IF(COUNT(H56,I56,J56)=3,IF(ABS(H56+I56-J56)&lt;=MAX(1,0.02*ABS(J56)),"","RBE &lt;&gt; PNB + frais "),"")&amp;IF(COUNT(J56,K56,L56)=3,IF(ABS(J56+K56-L56)&lt;=MAX(1,0.03*ABS(L56)),"","RAI &lt;&gt; RBE + coût du risque "),"")&amp;IF(COUNT(H56,M56)=2,IF(ABS(M56)&gt;ABS(H56),"RN &gt; PNB ",""),"")))</f>
        <v/>
      </c>
    </row>
    <row r="57">
      <c r="A57" s="9" t="inlineStr">
        <is>
          <t>BICC</t>
        </is>
      </c>
      <c r="B57" s="10">
        <f>IF(A57="","",IFERROR(VLOOKUP(A57,Titres!$A$2:$B$400,2,FALSE),"Ticker inconnu"))</f>
        <v/>
      </c>
      <c r="C57" s="11" t="n">
        <v>2026</v>
      </c>
      <c r="D57" s="11" t="inlineStr">
        <is>
          <t>S1</t>
        </is>
      </c>
      <c r="E57" s="9" t="inlineStr">
        <is>
          <t>Publié</t>
        </is>
      </c>
      <c r="F57" s="12" t="n">
        <v>46308</v>
      </c>
      <c r="G57" s="9" t="inlineStr">
        <is>
          <t>https://www.richbourse.com/common/actualite/afficher-fichier/13-10-2026-bici-ci-rapport-d-activites-1er-semestre-2026</t>
        </is>
      </c>
      <c r="H57" s="13" t="n">
        <v>42637</v>
      </c>
      <c r="I57" s="13" t="n">
        <v>-18932</v>
      </c>
      <c r="J57" s="13" t="n">
        <v>23705</v>
      </c>
      <c r="K57" s="13" t="n">
        <v>-1778</v>
      </c>
      <c r="L57" s="13" t="n">
        <v>21810</v>
      </c>
      <c r="M57" s="13" t="n">
        <v>19948</v>
      </c>
      <c r="N57" s="13" t="n">
        <v>533422</v>
      </c>
      <c r="O57" s="13" t="n">
        <v>1007993</v>
      </c>
      <c r="P57" s="14">
        <f>IF(A57="","",COUNT(H57:O57)/8)</f>
        <v/>
      </c>
      <c r="Q57" s="15">
        <f>IF(COUNT(H57:O57)=0,"",IF(LEN(IF(COUNT(H57,I57,J57)=3,IF(ABS(H57+I57-J57)&lt;=MAX(1,0.02*ABS(J57)),"","RBE &lt;&gt; PNB + frais "),"")&amp;IF(COUNT(J57,K57,L57)=3,IF(ABS(J57+K57-L57)&lt;=MAX(1,0.03*ABS(L57)),"","RAI &lt;&gt; RBE + coût du risque "),"")&amp;IF(COUNT(H57,M57)=2,IF(ABS(M57)&gt;ABS(H57),"RN &gt; PNB ",""),""))=0,"OK",IF(COUNT(H57,I57,J57)=3,IF(ABS(H57+I57-J57)&lt;=MAX(1,0.02*ABS(J57)),"","RBE &lt;&gt; PNB + frais "),"")&amp;IF(COUNT(J57,K57,L57)=3,IF(ABS(J57+K57-L57)&lt;=MAX(1,0.03*ABS(L57)),"","RAI &lt;&gt; RBE + coût du risque "),"")&amp;IF(COUNT(H57,M57)=2,IF(ABS(M57)&gt;ABS(H57),"RN &gt; PNB ",""),"")))</f>
        <v/>
      </c>
    </row>
    <row r="58">
      <c r="A58" s="9" t="inlineStr">
        <is>
          <t>BICC</t>
        </is>
      </c>
      <c r="B58" s="10">
        <f>IF(A58="","",IFERROR(VLOOKUP(A58,Titres!$A$2:$B$400,2,FALSE),"Ticker inconnu"))</f>
        <v/>
      </c>
      <c r="C58" s="11" t="n">
        <v>2026</v>
      </c>
      <c r="D58" s="11" t="inlineStr">
        <is>
          <t>T3</t>
        </is>
      </c>
      <c r="E58" s="9" t="n"/>
      <c r="F58" s="12" t="n"/>
      <c r="G58" s="9" t="n"/>
      <c r="H58" s="13" t="n"/>
      <c r="I58" s="13" t="n"/>
      <c r="J58" s="13" t="n"/>
      <c r="K58" s="13" t="n"/>
      <c r="L58" s="13" t="n"/>
      <c r="M58" s="13" t="n"/>
      <c r="N58" s="13" t="n"/>
      <c r="O58" s="13" t="n"/>
      <c r="P58" s="14">
        <f>IF(A58="","",COUNT(H58:O58)/8)</f>
        <v/>
      </c>
      <c r="Q58" s="15">
        <f>IF(COUNT(H58:O58)=0,"",IF(LEN(IF(COUNT(H58,I58,J58)=3,IF(ABS(H58+I58-J58)&lt;=MAX(1,0.02*ABS(J58)),"","RBE &lt;&gt; PNB + frais "),"")&amp;IF(COUNT(J58,K58,L58)=3,IF(ABS(J58+K58-L58)&lt;=MAX(1,0.03*ABS(L58)),"","RAI &lt;&gt; RBE + coût du risque "),"")&amp;IF(COUNT(H58,M58)=2,IF(ABS(M58)&gt;ABS(H58),"RN &gt; PNB ",""),""))=0,"OK",IF(COUNT(H58,I58,J58)=3,IF(ABS(H58+I58-J58)&lt;=MAX(1,0.02*ABS(J58)),"","RBE &lt;&gt; PNB + frais "),"")&amp;IF(COUNT(J58,K58,L58)=3,IF(ABS(J58+K58-L58)&lt;=MAX(1,0.03*ABS(L58)),"","RAI &lt;&gt; RBE + coût du risque "),"")&amp;IF(COUNT(H58,M58)=2,IF(ABS(M58)&gt;ABS(H58),"RN &gt; PNB ",""),"")))</f>
        <v/>
      </c>
    </row>
    <row r="59">
      <c r="A59" s="9" t="inlineStr">
        <is>
          <t>BOAB</t>
        </is>
      </c>
      <c r="B59" s="10">
        <f>IF(A59="","",IFERROR(VLOOKUP(A59,Titres!$A$2:$B$400,2,FALSE),"Ticker inconnu"))</f>
        <v/>
      </c>
      <c r="C59" s="11" t="n">
        <v>2021</v>
      </c>
      <c r="D59" s="11" t="inlineStr">
        <is>
          <t>T1</t>
        </is>
      </c>
      <c r="E59" s="9" t="n"/>
      <c r="F59" s="12" t="n"/>
      <c r="G59" s="9" t="n"/>
      <c r="H59" s="13" t="n"/>
      <c r="I59" s="13" t="n"/>
      <c r="J59" s="13" t="n"/>
      <c r="K59" s="13" t="n"/>
      <c r="L59" s="13" t="n"/>
      <c r="M59" s="13" t="n"/>
      <c r="N59" s="13" t="n"/>
      <c r="O59" s="13" t="n"/>
      <c r="P59" s="14">
        <f>IF(A59="","",COUNT(H59:O59)/8)</f>
        <v/>
      </c>
      <c r="Q59" s="15">
        <f>IF(COUNT(H59:O59)=0,"",IF(LEN(IF(COUNT(H59,I59,J59)=3,IF(ABS(H59+I59-J59)&lt;=MAX(1,0.02*ABS(J59)),"","RBE &lt;&gt; PNB + frais "),"")&amp;IF(COUNT(J59,K59,L59)=3,IF(ABS(J59+K59-L59)&lt;=MAX(1,0.03*ABS(L59)),"","RAI &lt;&gt; RBE + coût du risque "),"")&amp;IF(COUNT(H59,M59)=2,IF(ABS(M59)&gt;ABS(H59),"RN &gt; PNB ",""),""))=0,"OK",IF(COUNT(H59,I59,J59)=3,IF(ABS(H59+I59-J59)&lt;=MAX(1,0.02*ABS(J59)),"","RBE &lt;&gt; PNB + frais "),"")&amp;IF(COUNT(J59,K59,L59)=3,IF(ABS(J59+K59-L59)&lt;=MAX(1,0.03*ABS(L59)),"","RAI &lt;&gt; RBE + coût du risque "),"")&amp;IF(COUNT(H59,M59)=2,IF(ABS(M59)&gt;ABS(H59),"RN &gt; PNB ",""),"")))</f>
        <v/>
      </c>
    </row>
    <row r="60">
      <c r="A60" s="9" t="inlineStr">
        <is>
          <t>BOAB</t>
        </is>
      </c>
      <c r="B60" s="10">
        <f>IF(A60="","",IFERROR(VLOOKUP(A60,Titres!$A$2:$B$400,2,FALSE),"Ticker inconnu"))</f>
        <v/>
      </c>
      <c r="C60" s="11" t="n">
        <v>2021</v>
      </c>
      <c r="D60" s="11" t="inlineStr">
        <is>
          <t>S1</t>
        </is>
      </c>
      <c r="E60" s="9" t="n"/>
      <c r="F60" s="12" t="n"/>
      <c r="G60" s="9" t="n"/>
      <c r="H60" s="13" t="n"/>
      <c r="I60" s="13" t="n"/>
      <c r="J60" s="13" t="n"/>
      <c r="K60" s="13" t="n"/>
      <c r="L60" s="13" t="n"/>
      <c r="M60" s="13" t="n"/>
      <c r="N60" s="13" t="n"/>
      <c r="O60" s="13" t="n"/>
      <c r="P60" s="14">
        <f>IF(A60="","",COUNT(H60:O60)/8)</f>
        <v/>
      </c>
      <c r="Q60" s="15">
        <f>IF(COUNT(H60:O60)=0,"",IF(LEN(IF(COUNT(H60,I60,J60)=3,IF(ABS(H60+I60-J60)&lt;=MAX(1,0.02*ABS(J60)),"","RBE &lt;&gt; PNB + frais "),"")&amp;IF(COUNT(J60,K60,L60)=3,IF(ABS(J60+K60-L60)&lt;=MAX(1,0.03*ABS(L60)),"","RAI &lt;&gt; RBE + coût du risque "),"")&amp;IF(COUNT(H60,M60)=2,IF(ABS(M60)&gt;ABS(H60),"RN &gt; PNB ",""),""))=0,"OK",IF(COUNT(H60,I60,J60)=3,IF(ABS(H60+I60-J60)&lt;=MAX(1,0.02*ABS(J60)),"","RBE &lt;&gt; PNB + frais "),"")&amp;IF(COUNT(J60,K60,L60)=3,IF(ABS(J60+K60-L60)&lt;=MAX(1,0.03*ABS(L60)),"","RAI &lt;&gt; RBE + coût du risque "),"")&amp;IF(COUNT(H60,M60)=2,IF(ABS(M60)&gt;ABS(H60),"RN &gt; PNB ",""),"")))</f>
        <v/>
      </c>
    </row>
    <row r="61">
      <c r="A61" s="9" t="inlineStr">
        <is>
          <t>BOAB</t>
        </is>
      </c>
      <c r="B61" s="10">
        <f>IF(A61="","",IFERROR(VLOOKUP(A61,Titres!$A$2:$B$400,2,FALSE),"Ticker inconnu"))</f>
        <v/>
      </c>
      <c r="C61" s="11" t="n">
        <v>2021</v>
      </c>
      <c r="D61" s="11" t="inlineStr">
        <is>
          <t>T3</t>
        </is>
      </c>
      <c r="E61" s="9" t="n"/>
      <c r="F61" s="12" t="n"/>
      <c r="G61" s="9" t="n"/>
      <c r="H61" s="13" t="n"/>
      <c r="I61" s="13" t="n"/>
      <c r="J61" s="13" t="n"/>
      <c r="K61" s="13" t="n"/>
      <c r="L61" s="13" t="n"/>
      <c r="M61" s="13" t="n"/>
      <c r="N61" s="13" t="n"/>
      <c r="O61" s="13" t="n"/>
      <c r="P61" s="14">
        <f>IF(A61="","",COUNT(H61:O61)/8)</f>
        <v/>
      </c>
      <c r="Q61" s="15">
        <f>IF(COUNT(H61:O61)=0,"",IF(LEN(IF(COUNT(H61,I61,J61)=3,IF(ABS(H61+I61-J61)&lt;=MAX(1,0.02*ABS(J61)),"","RBE &lt;&gt; PNB + frais "),"")&amp;IF(COUNT(J61,K61,L61)=3,IF(ABS(J61+K61-L61)&lt;=MAX(1,0.03*ABS(L61)),"","RAI &lt;&gt; RBE + coût du risque "),"")&amp;IF(COUNT(H61,M61)=2,IF(ABS(M61)&gt;ABS(H61),"RN &gt; PNB ",""),""))=0,"OK",IF(COUNT(H61,I61,J61)=3,IF(ABS(H61+I61-J61)&lt;=MAX(1,0.02*ABS(J61)),"","RBE &lt;&gt; PNB + frais "),"")&amp;IF(COUNT(J61,K61,L61)=3,IF(ABS(J61+K61-L61)&lt;=MAX(1,0.03*ABS(L61)),"","RAI &lt;&gt; RBE + coût du risque "),"")&amp;IF(COUNT(H61,M61)=2,IF(ABS(M61)&gt;ABS(H61),"RN &gt; PNB ",""),"")))</f>
        <v/>
      </c>
    </row>
    <row r="62">
      <c r="A62" s="9" t="inlineStr">
        <is>
          <t>BOAB</t>
        </is>
      </c>
      <c r="B62" s="10">
        <f>IF(A62="","",IFERROR(VLOOKUP(A62,Titres!$A$2:$B$400,2,FALSE),"Ticker inconnu"))</f>
        <v/>
      </c>
      <c r="C62" s="11" t="n">
        <v>2022</v>
      </c>
      <c r="D62" s="11" t="inlineStr">
        <is>
          <t>T1</t>
        </is>
      </c>
      <c r="E62" s="9" t="n"/>
      <c r="F62" s="12" t="n"/>
      <c r="G62" s="9" t="n"/>
      <c r="H62" s="13" t="n"/>
      <c r="I62" s="13" t="n"/>
      <c r="J62" s="13" t="n"/>
      <c r="K62" s="13" t="n"/>
      <c r="L62" s="13" t="n"/>
      <c r="M62" s="13" t="n"/>
      <c r="N62" s="13" t="n"/>
      <c r="O62" s="13" t="n"/>
      <c r="P62" s="14">
        <f>IF(A62="","",COUNT(H62:O62)/8)</f>
        <v/>
      </c>
      <c r="Q62" s="15">
        <f>IF(COUNT(H62:O62)=0,"",IF(LEN(IF(COUNT(H62,I62,J62)=3,IF(ABS(H62+I62-J62)&lt;=MAX(1,0.02*ABS(J62)),"","RBE &lt;&gt; PNB + frais "),"")&amp;IF(COUNT(J62,K62,L62)=3,IF(ABS(J62+K62-L62)&lt;=MAX(1,0.03*ABS(L62)),"","RAI &lt;&gt; RBE + coût du risque "),"")&amp;IF(COUNT(H62,M62)=2,IF(ABS(M62)&gt;ABS(H62),"RN &gt; PNB ",""),""))=0,"OK",IF(COUNT(H62,I62,J62)=3,IF(ABS(H62+I62-J62)&lt;=MAX(1,0.02*ABS(J62)),"","RBE &lt;&gt; PNB + frais "),"")&amp;IF(COUNT(J62,K62,L62)=3,IF(ABS(J62+K62-L62)&lt;=MAX(1,0.03*ABS(L62)),"","RAI &lt;&gt; RBE + coût du risque "),"")&amp;IF(COUNT(H62,M62)=2,IF(ABS(M62)&gt;ABS(H62),"RN &gt; PNB ",""),"")))</f>
        <v/>
      </c>
    </row>
    <row r="63">
      <c r="A63" s="9" t="inlineStr">
        <is>
          <t>BOAB</t>
        </is>
      </c>
      <c r="B63" s="10">
        <f>IF(A63="","",IFERROR(VLOOKUP(A63,Titres!$A$2:$B$400,2,FALSE),"Ticker inconnu"))</f>
        <v/>
      </c>
      <c r="C63" s="11" t="n">
        <v>2022</v>
      </c>
      <c r="D63" s="11" t="inlineStr">
        <is>
          <t>S1</t>
        </is>
      </c>
      <c r="E63" s="9" t="n"/>
      <c r="F63" s="12" t="n"/>
      <c r="G63" s="9" t="n"/>
      <c r="H63" s="13" t="n"/>
      <c r="I63" s="13" t="n"/>
      <c r="J63" s="13" t="n"/>
      <c r="K63" s="13" t="n"/>
      <c r="L63" s="13" t="n"/>
      <c r="M63" s="13" t="n"/>
      <c r="N63" s="13" t="n"/>
      <c r="O63" s="13" t="n"/>
      <c r="P63" s="14">
        <f>IF(A63="","",COUNT(H63:O63)/8)</f>
        <v/>
      </c>
      <c r="Q63" s="15">
        <f>IF(COUNT(H63:O63)=0,"",IF(LEN(IF(COUNT(H63,I63,J63)=3,IF(ABS(H63+I63-J63)&lt;=MAX(1,0.02*ABS(J63)),"","RBE &lt;&gt; PNB + frais "),"")&amp;IF(COUNT(J63,K63,L63)=3,IF(ABS(J63+K63-L63)&lt;=MAX(1,0.03*ABS(L63)),"","RAI &lt;&gt; RBE + coût du risque "),"")&amp;IF(COUNT(H63,M63)=2,IF(ABS(M63)&gt;ABS(H63),"RN &gt; PNB ",""),""))=0,"OK",IF(COUNT(H63,I63,J63)=3,IF(ABS(H63+I63-J63)&lt;=MAX(1,0.02*ABS(J63)),"","RBE &lt;&gt; PNB + frais "),"")&amp;IF(COUNT(J63,K63,L63)=3,IF(ABS(J63+K63-L63)&lt;=MAX(1,0.03*ABS(L63)),"","RAI &lt;&gt; RBE + coût du risque "),"")&amp;IF(COUNT(H63,M63)=2,IF(ABS(M63)&gt;ABS(H63),"RN &gt; PNB ",""),"")))</f>
        <v/>
      </c>
    </row>
    <row r="64">
      <c r="A64" s="9" t="inlineStr">
        <is>
          <t>BOAB</t>
        </is>
      </c>
      <c r="B64" s="10">
        <f>IF(A64="","",IFERROR(VLOOKUP(A64,Titres!$A$2:$B$400,2,FALSE),"Ticker inconnu"))</f>
        <v/>
      </c>
      <c r="C64" s="11" t="n">
        <v>2022</v>
      </c>
      <c r="D64" s="11" t="inlineStr">
        <is>
          <t>T3</t>
        </is>
      </c>
      <c r="E64" s="9" t="n"/>
      <c r="F64" s="12" t="n"/>
      <c r="G64" s="9" t="n"/>
      <c r="H64" s="13" t="n"/>
      <c r="I64" s="13" t="n"/>
      <c r="J64" s="13" t="n"/>
      <c r="K64" s="13" t="n"/>
      <c r="L64" s="13" t="n"/>
      <c r="M64" s="13" t="n"/>
      <c r="N64" s="13" t="n"/>
      <c r="O64" s="13" t="n"/>
      <c r="P64" s="14">
        <f>IF(A64="","",COUNT(H64:O64)/8)</f>
        <v/>
      </c>
      <c r="Q64" s="15">
        <f>IF(COUNT(H64:O64)=0,"",IF(LEN(IF(COUNT(H64,I64,J64)=3,IF(ABS(H64+I64-J64)&lt;=MAX(1,0.02*ABS(J64)),"","RBE &lt;&gt; PNB + frais "),"")&amp;IF(COUNT(J64,K64,L64)=3,IF(ABS(J64+K64-L64)&lt;=MAX(1,0.03*ABS(L64)),"","RAI &lt;&gt; RBE + coût du risque "),"")&amp;IF(COUNT(H64,M64)=2,IF(ABS(M64)&gt;ABS(H64),"RN &gt; PNB ",""),""))=0,"OK",IF(COUNT(H64,I64,J64)=3,IF(ABS(H64+I64-J64)&lt;=MAX(1,0.02*ABS(J64)),"","RBE &lt;&gt; PNB + frais "),"")&amp;IF(COUNT(J64,K64,L64)=3,IF(ABS(J64+K64-L64)&lt;=MAX(1,0.03*ABS(L64)),"","RAI &lt;&gt; RBE + coût du risque "),"")&amp;IF(COUNT(H64,M64)=2,IF(ABS(M64)&gt;ABS(H64),"RN &gt; PNB ",""),"")))</f>
        <v/>
      </c>
    </row>
    <row r="65">
      <c r="A65" s="9" t="inlineStr">
        <is>
          <t>BOAB</t>
        </is>
      </c>
      <c r="B65" s="10">
        <f>IF(A65="","",IFERROR(VLOOKUP(A65,Titres!$A$2:$B$400,2,FALSE),"Ticker inconnu"))</f>
        <v/>
      </c>
      <c r="C65" s="11" t="n">
        <v>2023</v>
      </c>
      <c r="D65" s="11" t="inlineStr">
        <is>
          <t>T1</t>
        </is>
      </c>
      <c r="E65" s="9" t="n"/>
      <c r="F65" s="12" t="n"/>
      <c r="G65" s="9" t="n"/>
      <c r="H65" s="13" t="n"/>
      <c r="I65" s="13" t="n"/>
      <c r="J65" s="13" t="n"/>
      <c r="K65" s="13" t="n"/>
      <c r="L65" s="13" t="n"/>
      <c r="M65" s="13" t="n"/>
      <c r="N65" s="13" t="n"/>
      <c r="O65" s="13" t="n"/>
      <c r="P65" s="14">
        <f>IF(A65="","",COUNT(H65:O65)/8)</f>
        <v/>
      </c>
      <c r="Q65" s="15">
        <f>IF(COUNT(H65:O65)=0,"",IF(LEN(IF(COUNT(H65,I65,J65)=3,IF(ABS(H65+I65-J65)&lt;=MAX(1,0.02*ABS(J65)),"","RBE &lt;&gt; PNB + frais "),"")&amp;IF(COUNT(J65,K65,L65)=3,IF(ABS(J65+K65-L65)&lt;=MAX(1,0.03*ABS(L65)),"","RAI &lt;&gt; RBE + coût du risque "),"")&amp;IF(COUNT(H65,M65)=2,IF(ABS(M65)&gt;ABS(H65),"RN &gt; PNB ",""),""))=0,"OK",IF(COUNT(H65,I65,J65)=3,IF(ABS(H65+I65-J65)&lt;=MAX(1,0.02*ABS(J65)),"","RBE &lt;&gt; PNB + frais "),"")&amp;IF(COUNT(J65,K65,L65)=3,IF(ABS(J65+K65-L65)&lt;=MAX(1,0.03*ABS(L65)),"","RAI &lt;&gt; RBE + coût du risque "),"")&amp;IF(COUNT(H65,M65)=2,IF(ABS(M65)&gt;ABS(H65),"RN &gt; PNB ",""),"")))</f>
        <v/>
      </c>
    </row>
    <row r="66">
      <c r="A66" s="9" t="inlineStr">
        <is>
          <t>BOAB</t>
        </is>
      </c>
      <c r="B66" s="10">
        <f>IF(A66="","",IFERROR(VLOOKUP(A66,Titres!$A$2:$B$400,2,FALSE),"Ticker inconnu"))</f>
        <v/>
      </c>
      <c r="C66" s="11" t="n">
        <v>2023</v>
      </c>
      <c r="D66" s="11" t="inlineStr">
        <is>
          <t>S1</t>
        </is>
      </c>
      <c r="E66" s="9" t="n"/>
      <c r="F66" s="12" t="n"/>
      <c r="G66" s="9" t="n"/>
      <c r="H66" s="13" t="n"/>
      <c r="I66" s="13" t="n"/>
      <c r="J66" s="13" t="n"/>
      <c r="K66" s="13" t="n"/>
      <c r="L66" s="13" t="n"/>
      <c r="M66" s="13" t="n"/>
      <c r="N66" s="13" t="n"/>
      <c r="O66" s="13" t="n"/>
      <c r="P66" s="14">
        <f>IF(A66="","",COUNT(H66:O66)/8)</f>
        <v/>
      </c>
      <c r="Q66" s="15">
        <f>IF(COUNT(H66:O66)=0,"",IF(LEN(IF(COUNT(H66,I66,J66)=3,IF(ABS(H66+I66-J66)&lt;=MAX(1,0.02*ABS(J66)),"","RBE &lt;&gt; PNB + frais "),"")&amp;IF(COUNT(J66,K66,L66)=3,IF(ABS(J66+K66-L66)&lt;=MAX(1,0.03*ABS(L66)),"","RAI &lt;&gt; RBE + coût du risque "),"")&amp;IF(COUNT(H66,M66)=2,IF(ABS(M66)&gt;ABS(H66),"RN &gt; PNB ",""),""))=0,"OK",IF(COUNT(H66,I66,J66)=3,IF(ABS(H66+I66-J66)&lt;=MAX(1,0.02*ABS(J66)),"","RBE &lt;&gt; PNB + frais "),"")&amp;IF(COUNT(J66,K66,L66)=3,IF(ABS(J66+K66-L66)&lt;=MAX(1,0.03*ABS(L66)),"","RAI &lt;&gt; RBE + coût du risque "),"")&amp;IF(COUNT(H66,M66)=2,IF(ABS(M66)&gt;ABS(H66),"RN &gt; PNB ",""),"")))</f>
        <v/>
      </c>
    </row>
    <row r="67">
      <c r="A67" s="9" t="inlineStr">
        <is>
          <t>BOAB</t>
        </is>
      </c>
      <c r="B67" s="10">
        <f>IF(A67="","",IFERROR(VLOOKUP(A67,Titres!$A$2:$B$400,2,FALSE),"Ticker inconnu"))</f>
        <v/>
      </c>
      <c r="C67" s="11" t="n">
        <v>2023</v>
      </c>
      <c r="D67" s="11" t="inlineStr">
        <is>
          <t>T3</t>
        </is>
      </c>
      <c r="E67" s="9" t="n"/>
      <c r="F67" s="12" t="n"/>
      <c r="G67" s="9" t="n"/>
      <c r="H67" s="13" t="n"/>
      <c r="I67" s="13" t="n"/>
      <c r="J67" s="13" t="n"/>
      <c r="K67" s="13" t="n"/>
      <c r="L67" s="13" t="n"/>
      <c r="M67" s="13" t="n"/>
      <c r="N67" s="13" t="n"/>
      <c r="O67" s="13" t="n"/>
      <c r="P67" s="14">
        <f>IF(A67="","",COUNT(H67:O67)/8)</f>
        <v/>
      </c>
      <c r="Q67" s="15">
        <f>IF(COUNT(H67:O67)=0,"",IF(LEN(IF(COUNT(H67,I67,J67)=3,IF(ABS(H67+I67-J67)&lt;=MAX(1,0.02*ABS(J67)),"","RBE &lt;&gt; PNB + frais "),"")&amp;IF(COUNT(J67,K67,L67)=3,IF(ABS(J67+K67-L67)&lt;=MAX(1,0.03*ABS(L67)),"","RAI &lt;&gt; RBE + coût du risque "),"")&amp;IF(COUNT(H67,M67)=2,IF(ABS(M67)&gt;ABS(H67),"RN &gt; PNB ",""),""))=0,"OK",IF(COUNT(H67,I67,J67)=3,IF(ABS(H67+I67-J67)&lt;=MAX(1,0.02*ABS(J67)),"","RBE &lt;&gt; PNB + frais "),"")&amp;IF(COUNT(J67,K67,L67)=3,IF(ABS(J67+K67-L67)&lt;=MAX(1,0.03*ABS(L67)),"","RAI &lt;&gt; RBE + coût du risque "),"")&amp;IF(COUNT(H67,M67)=2,IF(ABS(M67)&gt;ABS(H67),"RN &gt; PNB ",""),"")))</f>
        <v/>
      </c>
    </row>
    <row r="68">
      <c r="A68" s="9" t="inlineStr">
        <is>
          <t>BOAB</t>
        </is>
      </c>
      <c r="B68" s="10">
        <f>IF(A68="","",IFERROR(VLOOKUP(A68,Titres!$A$2:$B$400,2,FALSE),"Ticker inconnu"))</f>
        <v/>
      </c>
      <c r="C68" s="11" t="n">
        <v>2024</v>
      </c>
      <c r="D68" s="11" t="inlineStr">
        <is>
          <t>T1</t>
        </is>
      </c>
      <c r="E68" s="9" t="n"/>
      <c r="F68" s="12" t="n"/>
      <c r="G68" s="9" t="n"/>
      <c r="H68" s="13" t="n"/>
      <c r="I68" s="13" t="n"/>
      <c r="J68" s="13" t="n"/>
      <c r="K68" s="13" t="n"/>
      <c r="L68" s="13" t="n"/>
      <c r="M68" s="13" t="n"/>
      <c r="N68" s="13" t="n"/>
      <c r="O68" s="13" t="n"/>
      <c r="P68" s="14">
        <f>IF(A68="","",COUNT(H68:O68)/8)</f>
        <v/>
      </c>
      <c r="Q68" s="15">
        <f>IF(COUNT(H68:O68)=0,"",IF(LEN(IF(COUNT(H68,I68,J68)=3,IF(ABS(H68+I68-J68)&lt;=MAX(1,0.02*ABS(J68)),"","RBE &lt;&gt; PNB + frais "),"")&amp;IF(COUNT(J68,K68,L68)=3,IF(ABS(J68+K68-L68)&lt;=MAX(1,0.03*ABS(L68)),"","RAI &lt;&gt; RBE + coût du risque "),"")&amp;IF(COUNT(H68,M68)=2,IF(ABS(M68)&gt;ABS(H68),"RN &gt; PNB ",""),""))=0,"OK",IF(COUNT(H68,I68,J68)=3,IF(ABS(H68+I68-J68)&lt;=MAX(1,0.02*ABS(J68)),"","RBE &lt;&gt; PNB + frais "),"")&amp;IF(COUNT(J68,K68,L68)=3,IF(ABS(J68+K68-L68)&lt;=MAX(1,0.03*ABS(L68)),"","RAI &lt;&gt; RBE + coût du risque "),"")&amp;IF(COUNT(H68,M68)=2,IF(ABS(M68)&gt;ABS(H68),"RN &gt; PNB ",""),"")))</f>
        <v/>
      </c>
    </row>
    <row r="69">
      <c r="A69" s="9" t="inlineStr">
        <is>
          <t>BOAB</t>
        </is>
      </c>
      <c r="B69" s="10">
        <f>IF(A69="","",IFERROR(VLOOKUP(A69,Titres!$A$2:$B$400,2,FALSE),"Ticker inconnu"))</f>
        <v/>
      </c>
      <c r="C69" s="11" t="n">
        <v>2024</v>
      </c>
      <c r="D69" s="11" t="inlineStr">
        <is>
          <t>S1</t>
        </is>
      </c>
      <c r="E69" s="9" t="n"/>
      <c r="F69" s="12" t="n"/>
      <c r="G69" s="9" t="n"/>
      <c r="H69" s="13" t="n"/>
      <c r="I69" s="13" t="n"/>
      <c r="J69" s="13" t="n"/>
      <c r="K69" s="13" t="n"/>
      <c r="L69" s="13" t="n"/>
      <c r="M69" s="13" t="n"/>
      <c r="N69" s="13" t="n"/>
      <c r="O69" s="13" t="n"/>
      <c r="P69" s="14">
        <f>IF(A69="","",COUNT(H69:O69)/8)</f>
        <v/>
      </c>
      <c r="Q69" s="15">
        <f>IF(COUNT(H69:O69)=0,"",IF(LEN(IF(COUNT(H69,I69,J69)=3,IF(ABS(H69+I69-J69)&lt;=MAX(1,0.02*ABS(J69)),"","RBE &lt;&gt; PNB + frais "),"")&amp;IF(COUNT(J69,K69,L69)=3,IF(ABS(J69+K69-L69)&lt;=MAX(1,0.03*ABS(L69)),"","RAI &lt;&gt; RBE + coût du risque "),"")&amp;IF(COUNT(H69,M69)=2,IF(ABS(M69)&gt;ABS(H69),"RN &gt; PNB ",""),""))=0,"OK",IF(COUNT(H69,I69,J69)=3,IF(ABS(H69+I69-J69)&lt;=MAX(1,0.02*ABS(J69)),"","RBE &lt;&gt; PNB + frais "),"")&amp;IF(COUNT(J69,K69,L69)=3,IF(ABS(J69+K69-L69)&lt;=MAX(1,0.03*ABS(L69)),"","RAI &lt;&gt; RBE + coût du risque "),"")&amp;IF(COUNT(H69,M69)=2,IF(ABS(M69)&gt;ABS(H69),"RN &gt; PNB ",""),"")))</f>
        <v/>
      </c>
    </row>
    <row r="70">
      <c r="A70" s="9" t="inlineStr">
        <is>
          <t>BOAB</t>
        </is>
      </c>
      <c r="B70" s="10">
        <f>IF(A70="","",IFERROR(VLOOKUP(A70,Titres!$A$2:$B$400,2,FALSE),"Ticker inconnu"))</f>
        <v/>
      </c>
      <c r="C70" s="11" t="n">
        <v>2024</v>
      </c>
      <c r="D70" s="11" t="inlineStr">
        <is>
          <t>T3</t>
        </is>
      </c>
      <c r="E70" s="9" t="n"/>
      <c r="F70" s="12" t="n"/>
      <c r="G70" s="9" t="n"/>
      <c r="H70" s="13" t="n"/>
      <c r="I70" s="13" t="n"/>
      <c r="J70" s="13" t="n"/>
      <c r="K70" s="13" t="n"/>
      <c r="L70" s="13" t="n"/>
      <c r="M70" s="13" t="n"/>
      <c r="N70" s="13" t="n"/>
      <c r="O70" s="13" t="n"/>
      <c r="P70" s="14">
        <f>IF(A70="","",COUNT(H70:O70)/8)</f>
        <v/>
      </c>
      <c r="Q70" s="15">
        <f>IF(COUNT(H70:O70)=0,"",IF(LEN(IF(COUNT(H70,I70,J70)=3,IF(ABS(H70+I70-J70)&lt;=MAX(1,0.02*ABS(J70)),"","RBE &lt;&gt; PNB + frais "),"")&amp;IF(COUNT(J70,K70,L70)=3,IF(ABS(J70+K70-L70)&lt;=MAX(1,0.03*ABS(L70)),"","RAI &lt;&gt; RBE + coût du risque "),"")&amp;IF(COUNT(H70,M70)=2,IF(ABS(M70)&gt;ABS(H70),"RN &gt; PNB ",""),""))=0,"OK",IF(COUNT(H70,I70,J70)=3,IF(ABS(H70+I70-J70)&lt;=MAX(1,0.02*ABS(J70)),"","RBE &lt;&gt; PNB + frais "),"")&amp;IF(COUNT(J70,K70,L70)=3,IF(ABS(J70+K70-L70)&lt;=MAX(1,0.03*ABS(L70)),"","RAI &lt;&gt; RBE + coût du risque "),"")&amp;IF(COUNT(H70,M70)=2,IF(ABS(M70)&gt;ABS(H70),"RN &gt; PNB ",""),"")))</f>
        <v/>
      </c>
    </row>
    <row r="71">
      <c r="A71" s="9" t="inlineStr">
        <is>
          <t>BOAB</t>
        </is>
      </c>
      <c r="B71" s="10">
        <f>IF(A71="","",IFERROR(VLOOKUP(A71,Titres!$A$2:$B$400,2,FALSE),"Ticker inconnu"))</f>
        <v/>
      </c>
      <c r="C71" s="11" t="n">
        <v>2025</v>
      </c>
      <c r="D71" s="11" t="inlineStr">
        <is>
          <t>T1</t>
        </is>
      </c>
      <c r="E71" s="9" t="n"/>
      <c r="F71" s="12" t="n"/>
      <c r="G71" s="9" t="n"/>
      <c r="H71" s="13" t="n"/>
      <c r="I71" s="13" t="n"/>
      <c r="J71" s="13" t="n"/>
      <c r="K71" s="13" t="n"/>
      <c r="L71" s="13" t="n"/>
      <c r="M71" s="13" t="n"/>
      <c r="N71" s="13" t="n"/>
      <c r="O71" s="13" t="n"/>
      <c r="P71" s="14">
        <f>IF(A71="","",COUNT(H71:O71)/8)</f>
        <v/>
      </c>
      <c r="Q71" s="15">
        <f>IF(COUNT(H71:O71)=0,"",IF(LEN(IF(COUNT(H71,I71,J71)=3,IF(ABS(H71+I71-J71)&lt;=MAX(1,0.02*ABS(J71)),"","RBE &lt;&gt; PNB + frais "),"")&amp;IF(COUNT(J71,K71,L71)=3,IF(ABS(J71+K71-L71)&lt;=MAX(1,0.03*ABS(L71)),"","RAI &lt;&gt; RBE + coût du risque "),"")&amp;IF(COUNT(H71,M71)=2,IF(ABS(M71)&gt;ABS(H71),"RN &gt; PNB ",""),""))=0,"OK",IF(COUNT(H71,I71,J71)=3,IF(ABS(H71+I71-J71)&lt;=MAX(1,0.02*ABS(J71)),"","RBE &lt;&gt; PNB + frais "),"")&amp;IF(COUNT(J71,K71,L71)=3,IF(ABS(J71+K71-L71)&lt;=MAX(1,0.03*ABS(L71)),"","RAI &lt;&gt; RBE + coût du risque "),"")&amp;IF(COUNT(H71,M71)=2,IF(ABS(M71)&gt;ABS(H71),"RN &gt; PNB ",""),"")))</f>
        <v/>
      </c>
    </row>
    <row r="72">
      <c r="A72" s="9" t="inlineStr">
        <is>
          <t>BOAB</t>
        </is>
      </c>
      <c r="B72" s="10">
        <f>IF(A72="","",IFERROR(VLOOKUP(A72,Titres!$A$2:$B$400,2,FALSE),"Ticker inconnu"))</f>
        <v/>
      </c>
      <c r="C72" s="11" t="n">
        <v>2025</v>
      </c>
      <c r="D72" s="11" t="inlineStr">
        <is>
          <t>S1</t>
        </is>
      </c>
      <c r="E72" s="9" t="n"/>
      <c r="F72" s="12" t="n"/>
      <c r="G72" s="9" t="n"/>
      <c r="H72" s="13" t="n"/>
      <c r="I72" s="13" t="n"/>
      <c r="J72" s="13" t="n"/>
      <c r="K72" s="13" t="n"/>
      <c r="L72" s="13" t="n"/>
      <c r="M72" s="13" t="n"/>
      <c r="N72" s="13" t="n"/>
      <c r="O72" s="13" t="n"/>
      <c r="P72" s="14">
        <f>IF(A72="","",COUNT(H72:O72)/8)</f>
        <v/>
      </c>
      <c r="Q72" s="15">
        <f>IF(COUNT(H72:O72)=0,"",IF(LEN(IF(COUNT(H72,I72,J72)=3,IF(ABS(H72+I72-J72)&lt;=MAX(1,0.02*ABS(J72)),"","RBE &lt;&gt; PNB + frais "),"")&amp;IF(COUNT(J72,K72,L72)=3,IF(ABS(J72+K72-L72)&lt;=MAX(1,0.03*ABS(L72)),"","RAI &lt;&gt; RBE + coût du risque "),"")&amp;IF(COUNT(H72,M72)=2,IF(ABS(M72)&gt;ABS(H72),"RN &gt; PNB ",""),""))=0,"OK",IF(COUNT(H72,I72,J72)=3,IF(ABS(H72+I72-J72)&lt;=MAX(1,0.02*ABS(J72)),"","RBE &lt;&gt; PNB + frais "),"")&amp;IF(COUNT(J72,K72,L72)=3,IF(ABS(J72+K72-L72)&lt;=MAX(1,0.03*ABS(L72)),"","RAI &lt;&gt; RBE + coût du risque "),"")&amp;IF(COUNT(H72,M72)=2,IF(ABS(M72)&gt;ABS(H72),"RN &gt; PNB ",""),"")))</f>
        <v/>
      </c>
    </row>
    <row r="73">
      <c r="A73" s="9" t="inlineStr">
        <is>
          <t>BOAB</t>
        </is>
      </c>
      <c r="B73" s="10">
        <f>IF(A73="","",IFERROR(VLOOKUP(A73,Titres!$A$2:$B$400,2,FALSE),"Ticker inconnu"))</f>
        <v/>
      </c>
      <c r="C73" s="11" t="n">
        <v>2025</v>
      </c>
      <c r="D73" s="11" t="inlineStr">
        <is>
          <t>T3</t>
        </is>
      </c>
      <c r="E73" s="9" t="n"/>
      <c r="F73" s="12" t="n"/>
      <c r="G73" s="9" t="n"/>
      <c r="H73" s="13" t="n"/>
      <c r="I73" s="13" t="n"/>
      <c r="J73" s="13" t="n"/>
      <c r="K73" s="13" t="n"/>
      <c r="L73" s="13" t="n"/>
      <c r="M73" s="13" t="n"/>
      <c r="N73" s="13" t="n"/>
      <c r="O73" s="13" t="n"/>
      <c r="P73" s="14">
        <f>IF(A73="","",COUNT(H73:O73)/8)</f>
        <v/>
      </c>
      <c r="Q73" s="15">
        <f>IF(COUNT(H73:O73)=0,"",IF(LEN(IF(COUNT(H73,I73,J73)=3,IF(ABS(H73+I73-J73)&lt;=MAX(1,0.02*ABS(J73)),"","RBE &lt;&gt; PNB + frais "),"")&amp;IF(COUNT(J73,K73,L73)=3,IF(ABS(J73+K73-L73)&lt;=MAX(1,0.03*ABS(L73)),"","RAI &lt;&gt; RBE + coût du risque "),"")&amp;IF(COUNT(H73,M73)=2,IF(ABS(M73)&gt;ABS(H73),"RN &gt; PNB ",""),""))=0,"OK",IF(COUNT(H73,I73,J73)=3,IF(ABS(H73+I73-J73)&lt;=MAX(1,0.02*ABS(J73)),"","RBE &lt;&gt; PNB + frais "),"")&amp;IF(COUNT(J73,K73,L73)=3,IF(ABS(J73+K73-L73)&lt;=MAX(1,0.03*ABS(L73)),"","RAI &lt;&gt; RBE + coût du risque "),"")&amp;IF(COUNT(H73,M73)=2,IF(ABS(M73)&gt;ABS(H73),"RN &gt; PNB ",""),"")))</f>
        <v/>
      </c>
    </row>
    <row r="74">
      <c r="A74" s="9" t="inlineStr">
        <is>
          <t>BOAB</t>
        </is>
      </c>
      <c r="B74" s="10">
        <f>IF(A74="","",IFERROR(VLOOKUP(A74,Titres!$A$2:$B$400,2,FALSE),"Ticker inconnu"))</f>
        <v/>
      </c>
      <c r="C74" s="11" t="n">
        <v>2026</v>
      </c>
      <c r="D74" s="11" t="inlineStr">
        <is>
          <t>T1</t>
        </is>
      </c>
      <c r="E74" s="9" t="n"/>
      <c r="F74" s="12" t="n"/>
      <c r="G74" s="9" t="n"/>
      <c r="H74" s="13" t="n"/>
      <c r="I74" s="13" t="n"/>
      <c r="J74" s="13" t="n"/>
      <c r="K74" s="13" t="n"/>
      <c r="L74" s="13" t="n"/>
      <c r="M74" s="13" t="n"/>
      <c r="N74" s="13" t="n"/>
      <c r="O74" s="13" t="n"/>
      <c r="P74" s="14">
        <f>IF(A74="","",COUNT(H74:O74)/8)</f>
        <v/>
      </c>
      <c r="Q74" s="15">
        <f>IF(COUNT(H74:O74)=0,"",IF(LEN(IF(COUNT(H74,I74,J74)=3,IF(ABS(H74+I74-J74)&lt;=MAX(1,0.02*ABS(J74)),"","RBE &lt;&gt; PNB + frais "),"")&amp;IF(COUNT(J74,K74,L74)=3,IF(ABS(J74+K74-L74)&lt;=MAX(1,0.03*ABS(L74)),"","RAI &lt;&gt; RBE + coût du risque "),"")&amp;IF(COUNT(H74,M74)=2,IF(ABS(M74)&gt;ABS(H74),"RN &gt; PNB ",""),""))=0,"OK",IF(COUNT(H74,I74,J74)=3,IF(ABS(H74+I74-J74)&lt;=MAX(1,0.02*ABS(J74)),"","RBE &lt;&gt; PNB + frais "),"")&amp;IF(COUNT(J74,K74,L74)=3,IF(ABS(J74+K74-L74)&lt;=MAX(1,0.03*ABS(L74)),"","RAI &lt;&gt; RBE + coût du risque "),"")&amp;IF(COUNT(H74,M74)=2,IF(ABS(M74)&gt;ABS(H74),"RN &gt; PNB ",""),"")))</f>
        <v/>
      </c>
    </row>
    <row r="75">
      <c r="A75" s="9" t="inlineStr">
        <is>
          <t>BOAB</t>
        </is>
      </c>
      <c r="B75" s="10">
        <f>IF(A75="","",IFERROR(VLOOKUP(A75,Titres!$A$2:$B$400,2,FALSE),"Ticker inconnu"))</f>
        <v/>
      </c>
      <c r="C75" s="11" t="n">
        <v>2026</v>
      </c>
      <c r="D75" s="11" t="inlineStr">
        <is>
          <t>S1</t>
        </is>
      </c>
      <c r="E75" s="9" t="n"/>
      <c r="F75" s="12" t="n"/>
      <c r="G75" s="9" t="n"/>
      <c r="H75" s="13" t="n"/>
      <c r="I75" s="13" t="n"/>
      <c r="J75" s="13" t="n"/>
      <c r="K75" s="13" t="n"/>
      <c r="L75" s="13" t="n"/>
      <c r="M75" s="13" t="n"/>
      <c r="N75" s="13" t="n"/>
      <c r="O75" s="13" t="n"/>
      <c r="P75" s="14">
        <f>IF(A75="","",COUNT(H75:O75)/8)</f>
        <v/>
      </c>
      <c r="Q75" s="15">
        <f>IF(COUNT(H75:O75)=0,"",IF(LEN(IF(COUNT(H75,I75,J75)=3,IF(ABS(H75+I75-J75)&lt;=MAX(1,0.02*ABS(J75)),"","RBE &lt;&gt; PNB + frais "),"")&amp;IF(COUNT(J75,K75,L75)=3,IF(ABS(J75+K75-L75)&lt;=MAX(1,0.03*ABS(L75)),"","RAI &lt;&gt; RBE + coût du risque "),"")&amp;IF(COUNT(H75,M75)=2,IF(ABS(M75)&gt;ABS(H75),"RN &gt; PNB ",""),""))=0,"OK",IF(COUNT(H75,I75,J75)=3,IF(ABS(H75+I75-J75)&lt;=MAX(1,0.02*ABS(J75)),"","RBE &lt;&gt; PNB + frais "),"")&amp;IF(COUNT(J75,K75,L75)=3,IF(ABS(J75+K75-L75)&lt;=MAX(1,0.03*ABS(L75)),"","RAI &lt;&gt; RBE + coût du risque "),"")&amp;IF(COUNT(H75,M75)=2,IF(ABS(M75)&gt;ABS(H75),"RN &gt; PNB ",""),"")))</f>
        <v/>
      </c>
    </row>
    <row r="76">
      <c r="A76" s="9" t="inlineStr">
        <is>
          <t>BOAB</t>
        </is>
      </c>
      <c r="B76" s="10">
        <f>IF(A76="","",IFERROR(VLOOKUP(A76,Titres!$A$2:$B$400,2,FALSE),"Ticker inconnu"))</f>
        <v/>
      </c>
      <c r="C76" s="11" t="n">
        <v>2026</v>
      </c>
      <c r="D76" s="11" t="inlineStr">
        <is>
          <t>T3</t>
        </is>
      </c>
      <c r="E76" s="9" t="n"/>
      <c r="F76" s="12" t="n"/>
      <c r="G76" s="9" t="n"/>
      <c r="H76" s="13" t="n"/>
      <c r="I76" s="13" t="n"/>
      <c r="J76" s="13" t="n"/>
      <c r="K76" s="13" t="n"/>
      <c r="L76" s="13" t="n"/>
      <c r="M76" s="13" t="n"/>
      <c r="N76" s="13" t="n"/>
      <c r="O76" s="13" t="n"/>
      <c r="P76" s="14">
        <f>IF(A76="","",COUNT(H76:O76)/8)</f>
        <v/>
      </c>
      <c r="Q76" s="15">
        <f>IF(COUNT(H76:O76)=0,"",IF(LEN(IF(COUNT(H76,I76,J76)=3,IF(ABS(H76+I76-J76)&lt;=MAX(1,0.02*ABS(J76)),"","RBE &lt;&gt; PNB + frais "),"")&amp;IF(COUNT(J76,K76,L76)=3,IF(ABS(J76+K76-L76)&lt;=MAX(1,0.03*ABS(L76)),"","RAI &lt;&gt; RBE + coût du risque "),"")&amp;IF(COUNT(H76,M76)=2,IF(ABS(M76)&gt;ABS(H76),"RN &gt; PNB ",""),""))=0,"OK",IF(COUNT(H76,I76,J76)=3,IF(ABS(H76+I76-J76)&lt;=MAX(1,0.02*ABS(J76)),"","RBE &lt;&gt; PNB + frais "),"")&amp;IF(COUNT(J76,K76,L76)=3,IF(ABS(J76+K76-L76)&lt;=MAX(1,0.03*ABS(L76)),"","RAI &lt;&gt; RBE + coût du risque "),"")&amp;IF(COUNT(H76,M76)=2,IF(ABS(M76)&gt;ABS(H76),"RN &gt; PNB ",""),"")))</f>
        <v/>
      </c>
    </row>
    <row r="77">
      <c r="A77" s="9" t="inlineStr">
        <is>
          <t>BOABF</t>
        </is>
      </c>
      <c r="B77" s="10">
        <f>IF(A77="","",IFERROR(VLOOKUP(A77,Titres!$A$2:$B$400,2,FALSE),"Ticker inconnu"))</f>
        <v/>
      </c>
      <c r="C77" s="11" t="n">
        <v>2021</v>
      </c>
      <c r="D77" s="11" t="inlineStr">
        <is>
          <t>T1</t>
        </is>
      </c>
      <c r="E77" s="9" t="n"/>
      <c r="F77" s="12" t="n"/>
      <c r="G77" s="9" t="n"/>
      <c r="H77" s="13" t="n"/>
      <c r="I77" s="13" t="n"/>
      <c r="J77" s="13" t="n"/>
      <c r="K77" s="13" t="n"/>
      <c r="L77" s="13" t="n"/>
      <c r="M77" s="13" t="n"/>
      <c r="N77" s="13" t="n"/>
      <c r="O77" s="13" t="n"/>
      <c r="P77" s="14">
        <f>IF(A77="","",COUNT(H77:O77)/8)</f>
        <v/>
      </c>
      <c r="Q77" s="15">
        <f>IF(COUNT(H77:O77)=0,"",IF(LEN(IF(COUNT(H77,I77,J77)=3,IF(ABS(H77+I77-J77)&lt;=MAX(1,0.02*ABS(J77)),"","RBE &lt;&gt; PNB + frais "),"")&amp;IF(COUNT(J77,K77,L77)=3,IF(ABS(J77+K77-L77)&lt;=MAX(1,0.03*ABS(L77)),"","RAI &lt;&gt; RBE + coût du risque "),"")&amp;IF(COUNT(H77,M77)=2,IF(ABS(M77)&gt;ABS(H77),"RN &gt; PNB ",""),""))=0,"OK",IF(COUNT(H77,I77,J77)=3,IF(ABS(H77+I77-J77)&lt;=MAX(1,0.02*ABS(J77)),"","RBE &lt;&gt; PNB + frais "),"")&amp;IF(COUNT(J77,K77,L77)=3,IF(ABS(J77+K77-L77)&lt;=MAX(1,0.03*ABS(L77)),"","RAI &lt;&gt; RBE + coût du risque "),"")&amp;IF(COUNT(H77,M77)=2,IF(ABS(M77)&gt;ABS(H77),"RN &gt; PNB ",""),"")))</f>
        <v/>
      </c>
    </row>
    <row r="78">
      <c r="A78" s="9" t="inlineStr">
        <is>
          <t>BOABF</t>
        </is>
      </c>
      <c r="B78" s="10">
        <f>IF(A78="","",IFERROR(VLOOKUP(A78,Titres!$A$2:$B$400,2,FALSE),"Ticker inconnu"))</f>
        <v/>
      </c>
      <c r="C78" s="11" t="n">
        <v>2021</v>
      </c>
      <c r="D78" s="11" t="inlineStr">
        <is>
          <t>S1</t>
        </is>
      </c>
      <c r="E78" s="9" t="n"/>
      <c r="F78" s="12" t="n"/>
      <c r="G78" s="9" t="n"/>
      <c r="H78" s="13" t="n"/>
      <c r="I78" s="13" t="n"/>
      <c r="J78" s="13" t="n"/>
      <c r="K78" s="13" t="n"/>
      <c r="L78" s="13" t="n"/>
      <c r="M78" s="13" t="n"/>
      <c r="N78" s="13" t="n"/>
      <c r="O78" s="13" t="n"/>
      <c r="P78" s="14">
        <f>IF(A78="","",COUNT(H78:O78)/8)</f>
        <v/>
      </c>
      <c r="Q78" s="15">
        <f>IF(COUNT(H78:O78)=0,"",IF(LEN(IF(COUNT(H78,I78,J78)=3,IF(ABS(H78+I78-J78)&lt;=MAX(1,0.02*ABS(J78)),"","RBE &lt;&gt; PNB + frais "),"")&amp;IF(COUNT(J78,K78,L78)=3,IF(ABS(J78+K78-L78)&lt;=MAX(1,0.03*ABS(L78)),"","RAI &lt;&gt; RBE + coût du risque "),"")&amp;IF(COUNT(H78,M78)=2,IF(ABS(M78)&gt;ABS(H78),"RN &gt; PNB ",""),""))=0,"OK",IF(COUNT(H78,I78,J78)=3,IF(ABS(H78+I78-J78)&lt;=MAX(1,0.02*ABS(J78)),"","RBE &lt;&gt; PNB + frais "),"")&amp;IF(COUNT(J78,K78,L78)=3,IF(ABS(J78+K78-L78)&lt;=MAX(1,0.03*ABS(L78)),"","RAI &lt;&gt; RBE + coût du risque "),"")&amp;IF(COUNT(H78,M78)=2,IF(ABS(M78)&gt;ABS(H78),"RN &gt; PNB ",""),"")))</f>
        <v/>
      </c>
    </row>
    <row r="79">
      <c r="A79" s="9" t="inlineStr">
        <is>
          <t>BOABF</t>
        </is>
      </c>
      <c r="B79" s="10">
        <f>IF(A79="","",IFERROR(VLOOKUP(A79,Titres!$A$2:$B$400,2,FALSE),"Ticker inconnu"))</f>
        <v/>
      </c>
      <c r="C79" s="11" t="n">
        <v>2021</v>
      </c>
      <c r="D79" s="11" t="inlineStr">
        <is>
          <t>T3</t>
        </is>
      </c>
      <c r="E79" s="9" t="n"/>
      <c r="F79" s="12" t="n"/>
      <c r="G79" s="9" t="n"/>
      <c r="H79" s="13" t="n"/>
      <c r="I79" s="13" t="n"/>
      <c r="J79" s="13" t="n"/>
      <c r="K79" s="13" t="n"/>
      <c r="L79" s="13" t="n"/>
      <c r="M79" s="13" t="n"/>
      <c r="N79" s="13" t="n"/>
      <c r="O79" s="13" t="n"/>
      <c r="P79" s="14">
        <f>IF(A79="","",COUNT(H79:O79)/8)</f>
        <v/>
      </c>
      <c r="Q79" s="15">
        <f>IF(COUNT(H79:O79)=0,"",IF(LEN(IF(COUNT(H79,I79,J79)=3,IF(ABS(H79+I79-J79)&lt;=MAX(1,0.02*ABS(J79)),"","RBE &lt;&gt; PNB + frais "),"")&amp;IF(COUNT(J79,K79,L79)=3,IF(ABS(J79+K79-L79)&lt;=MAX(1,0.03*ABS(L79)),"","RAI &lt;&gt; RBE + coût du risque "),"")&amp;IF(COUNT(H79,M79)=2,IF(ABS(M79)&gt;ABS(H79),"RN &gt; PNB ",""),""))=0,"OK",IF(COUNT(H79,I79,J79)=3,IF(ABS(H79+I79-J79)&lt;=MAX(1,0.02*ABS(J79)),"","RBE &lt;&gt; PNB + frais "),"")&amp;IF(COUNT(J79,K79,L79)=3,IF(ABS(J79+K79-L79)&lt;=MAX(1,0.03*ABS(L79)),"","RAI &lt;&gt; RBE + coût du risque "),"")&amp;IF(COUNT(H79,M79)=2,IF(ABS(M79)&gt;ABS(H79),"RN &gt; PNB ",""),"")))</f>
        <v/>
      </c>
    </row>
    <row r="80">
      <c r="A80" s="9" t="inlineStr">
        <is>
          <t>BOABF</t>
        </is>
      </c>
      <c r="B80" s="10">
        <f>IF(A80="","",IFERROR(VLOOKUP(A80,Titres!$A$2:$B$400,2,FALSE),"Ticker inconnu"))</f>
        <v/>
      </c>
      <c r="C80" s="11" t="n">
        <v>2022</v>
      </c>
      <c r="D80" s="11" t="inlineStr">
        <is>
          <t>T1</t>
        </is>
      </c>
      <c r="E80" s="9" t="n"/>
      <c r="F80" s="12" t="n"/>
      <c r="G80" s="9" t="n"/>
      <c r="H80" s="13" t="n"/>
      <c r="I80" s="13" t="n"/>
      <c r="J80" s="13" t="n"/>
      <c r="K80" s="13" t="n"/>
      <c r="L80" s="13" t="n"/>
      <c r="M80" s="13" t="n"/>
      <c r="N80" s="13" t="n"/>
      <c r="O80" s="13" t="n"/>
      <c r="P80" s="14">
        <f>IF(A80="","",COUNT(H80:O80)/8)</f>
        <v/>
      </c>
      <c r="Q80" s="15">
        <f>IF(COUNT(H80:O80)=0,"",IF(LEN(IF(COUNT(H80,I80,J80)=3,IF(ABS(H80+I80-J80)&lt;=MAX(1,0.02*ABS(J80)),"","RBE &lt;&gt; PNB + frais "),"")&amp;IF(COUNT(J80,K80,L80)=3,IF(ABS(J80+K80-L80)&lt;=MAX(1,0.03*ABS(L80)),"","RAI &lt;&gt; RBE + coût du risque "),"")&amp;IF(COUNT(H80,M80)=2,IF(ABS(M80)&gt;ABS(H80),"RN &gt; PNB ",""),""))=0,"OK",IF(COUNT(H80,I80,J80)=3,IF(ABS(H80+I80-J80)&lt;=MAX(1,0.02*ABS(J80)),"","RBE &lt;&gt; PNB + frais "),"")&amp;IF(COUNT(J80,K80,L80)=3,IF(ABS(J80+K80-L80)&lt;=MAX(1,0.03*ABS(L80)),"","RAI &lt;&gt; RBE + coût du risque "),"")&amp;IF(COUNT(H80,M80)=2,IF(ABS(M80)&gt;ABS(H80),"RN &gt; PNB ",""),"")))</f>
        <v/>
      </c>
    </row>
    <row r="81">
      <c r="A81" s="9" t="inlineStr">
        <is>
          <t>BOABF</t>
        </is>
      </c>
      <c r="B81" s="10">
        <f>IF(A81="","",IFERROR(VLOOKUP(A81,Titres!$A$2:$B$400,2,FALSE),"Ticker inconnu"))</f>
        <v/>
      </c>
      <c r="C81" s="11" t="n">
        <v>2022</v>
      </c>
      <c r="D81" s="11" t="inlineStr">
        <is>
          <t>S1</t>
        </is>
      </c>
      <c r="E81" s="9" t="n"/>
      <c r="F81" s="12" t="n"/>
      <c r="G81" s="9" t="n"/>
      <c r="H81" s="13" t="n"/>
      <c r="I81" s="13" t="n"/>
      <c r="J81" s="13" t="n"/>
      <c r="K81" s="13" t="n"/>
      <c r="L81" s="13" t="n"/>
      <c r="M81" s="13" t="n"/>
      <c r="N81" s="13" t="n"/>
      <c r="O81" s="13" t="n"/>
      <c r="P81" s="14">
        <f>IF(A81="","",COUNT(H81:O81)/8)</f>
        <v/>
      </c>
      <c r="Q81" s="15">
        <f>IF(COUNT(H81:O81)=0,"",IF(LEN(IF(COUNT(H81,I81,J81)=3,IF(ABS(H81+I81-J81)&lt;=MAX(1,0.02*ABS(J81)),"","RBE &lt;&gt; PNB + frais "),"")&amp;IF(COUNT(J81,K81,L81)=3,IF(ABS(J81+K81-L81)&lt;=MAX(1,0.03*ABS(L81)),"","RAI &lt;&gt; RBE + coût du risque "),"")&amp;IF(COUNT(H81,M81)=2,IF(ABS(M81)&gt;ABS(H81),"RN &gt; PNB ",""),""))=0,"OK",IF(COUNT(H81,I81,J81)=3,IF(ABS(H81+I81-J81)&lt;=MAX(1,0.02*ABS(J81)),"","RBE &lt;&gt; PNB + frais "),"")&amp;IF(COUNT(J81,K81,L81)=3,IF(ABS(J81+K81-L81)&lt;=MAX(1,0.03*ABS(L81)),"","RAI &lt;&gt; RBE + coût du risque "),"")&amp;IF(COUNT(H81,M81)=2,IF(ABS(M81)&gt;ABS(H81),"RN &gt; PNB ",""),"")))</f>
        <v/>
      </c>
    </row>
    <row r="82">
      <c r="A82" s="9" t="inlineStr">
        <is>
          <t>BOABF</t>
        </is>
      </c>
      <c r="B82" s="10">
        <f>IF(A82="","",IFERROR(VLOOKUP(A82,Titres!$A$2:$B$400,2,FALSE),"Ticker inconnu"))</f>
        <v/>
      </c>
      <c r="C82" s="11" t="n">
        <v>2022</v>
      </c>
      <c r="D82" s="11" t="inlineStr">
        <is>
          <t>T3</t>
        </is>
      </c>
      <c r="E82" s="9" t="n"/>
      <c r="F82" s="12" t="n"/>
      <c r="G82" s="9" t="n"/>
      <c r="H82" s="13" t="n"/>
      <c r="I82" s="13" t="n"/>
      <c r="J82" s="13" t="n"/>
      <c r="K82" s="13" t="n"/>
      <c r="L82" s="13" t="n"/>
      <c r="M82" s="13" t="n"/>
      <c r="N82" s="13" t="n"/>
      <c r="O82" s="13" t="n"/>
      <c r="P82" s="14">
        <f>IF(A82="","",COUNT(H82:O82)/8)</f>
        <v/>
      </c>
      <c r="Q82" s="15">
        <f>IF(COUNT(H82:O82)=0,"",IF(LEN(IF(COUNT(H82,I82,J82)=3,IF(ABS(H82+I82-J82)&lt;=MAX(1,0.02*ABS(J82)),"","RBE &lt;&gt; PNB + frais "),"")&amp;IF(COUNT(J82,K82,L82)=3,IF(ABS(J82+K82-L82)&lt;=MAX(1,0.03*ABS(L82)),"","RAI &lt;&gt; RBE + coût du risque "),"")&amp;IF(COUNT(H82,M82)=2,IF(ABS(M82)&gt;ABS(H82),"RN &gt; PNB ",""),""))=0,"OK",IF(COUNT(H82,I82,J82)=3,IF(ABS(H82+I82-J82)&lt;=MAX(1,0.02*ABS(J82)),"","RBE &lt;&gt; PNB + frais "),"")&amp;IF(COUNT(J82,K82,L82)=3,IF(ABS(J82+K82-L82)&lt;=MAX(1,0.03*ABS(L82)),"","RAI &lt;&gt; RBE + coût du risque "),"")&amp;IF(COUNT(H82,M82)=2,IF(ABS(M82)&gt;ABS(H82),"RN &gt; PNB ",""),"")))</f>
        <v/>
      </c>
    </row>
    <row r="83">
      <c r="A83" s="9" t="inlineStr">
        <is>
          <t>BOABF</t>
        </is>
      </c>
      <c r="B83" s="10">
        <f>IF(A83="","",IFERROR(VLOOKUP(A83,Titres!$A$2:$B$400,2,FALSE),"Ticker inconnu"))</f>
        <v/>
      </c>
      <c r="C83" s="11" t="n">
        <v>2023</v>
      </c>
      <c r="D83" s="11" t="inlineStr">
        <is>
          <t>T1</t>
        </is>
      </c>
      <c r="E83" s="9" t="n"/>
      <c r="F83" s="12" t="n"/>
      <c r="G83" s="9" t="n"/>
      <c r="H83" s="13" t="n"/>
      <c r="I83" s="13" t="n"/>
      <c r="J83" s="13" t="n"/>
      <c r="K83" s="13" t="n"/>
      <c r="L83" s="13" t="n"/>
      <c r="M83" s="13" t="n"/>
      <c r="N83" s="13" t="n"/>
      <c r="O83" s="13" t="n"/>
      <c r="P83" s="14">
        <f>IF(A83="","",COUNT(H83:O83)/8)</f>
        <v/>
      </c>
      <c r="Q83" s="15">
        <f>IF(COUNT(H83:O83)=0,"",IF(LEN(IF(COUNT(H83,I83,J83)=3,IF(ABS(H83+I83-J83)&lt;=MAX(1,0.02*ABS(J83)),"","RBE &lt;&gt; PNB + frais "),"")&amp;IF(COUNT(J83,K83,L83)=3,IF(ABS(J83+K83-L83)&lt;=MAX(1,0.03*ABS(L83)),"","RAI &lt;&gt; RBE + coût du risque "),"")&amp;IF(COUNT(H83,M83)=2,IF(ABS(M83)&gt;ABS(H83),"RN &gt; PNB ",""),""))=0,"OK",IF(COUNT(H83,I83,J83)=3,IF(ABS(H83+I83-J83)&lt;=MAX(1,0.02*ABS(J83)),"","RBE &lt;&gt; PNB + frais "),"")&amp;IF(COUNT(J83,K83,L83)=3,IF(ABS(J83+K83-L83)&lt;=MAX(1,0.03*ABS(L83)),"","RAI &lt;&gt; RBE + coût du risque "),"")&amp;IF(COUNT(H83,M83)=2,IF(ABS(M83)&gt;ABS(H83),"RN &gt; PNB ",""),"")))</f>
        <v/>
      </c>
    </row>
    <row r="84">
      <c r="A84" s="9" t="inlineStr">
        <is>
          <t>BOABF</t>
        </is>
      </c>
      <c r="B84" s="10">
        <f>IF(A84="","",IFERROR(VLOOKUP(A84,Titres!$A$2:$B$400,2,FALSE),"Ticker inconnu"))</f>
        <v/>
      </c>
      <c r="C84" s="11" t="n">
        <v>2023</v>
      </c>
      <c r="D84" s="11" t="inlineStr">
        <is>
          <t>S1</t>
        </is>
      </c>
      <c r="E84" s="9" t="n"/>
      <c r="F84" s="12" t="n"/>
      <c r="G84" s="9" t="n"/>
      <c r="H84" s="13" t="n"/>
      <c r="I84" s="13" t="n"/>
      <c r="J84" s="13" t="n"/>
      <c r="K84" s="13" t="n"/>
      <c r="L84" s="13" t="n"/>
      <c r="M84" s="13" t="n"/>
      <c r="N84" s="13" t="n"/>
      <c r="O84" s="13" t="n"/>
      <c r="P84" s="14">
        <f>IF(A84="","",COUNT(H84:O84)/8)</f>
        <v/>
      </c>
      <c r="Q84" s="15">
        <f>IF(COUNT(H84:O84)=0,"",IF(LEN(IF(COUNT(H84,I84,J84)=3,IF(ABS(H84+I84-J84)&lt;=MAX(1,0.02*ABS(J84)),"","RBE &lt;&gt; PNB + frais "),"")&amp;IF(COUNT(J84,K84,L84)=3,IF(ABS(J84+K84-L84)&lt;=MAX(1,0.03*ABS(L84)),"","RAI &lt;&gt; RBE + coût du risque "),"")&amp;IF(COUNT(H84,M84)=2,IF(ABS(M84)&gt;ABS(H84),"RN &gt; PNB ",""),""))=0,"OK",IF(COUNT(H84,I84,J84)=3,IF(ABS(H84+I84-J84)&lt;=MAX(1,0.02*ABS(J84)),"","RBE &lt;&gt; PNB + frais "),"")&amp;IF(COUNT(J84,K84,L84)=3,IF(ABS(J84+K84-L84)&lt;=MAX(1,0.03*ABS(L84)),"","RAI &lt;&gt; RBE + coût du risque "),"")&amp;IF(COUNT(H84,M84)=2,IF(ABS(M84)&gt;ABS(H84),"RN &gt; PNB ",""),"")))</f>
        <v/>
      </c>
    </row>
    <row r="85">
      <c r="A85" s="9" t="inlineStr">
        <is>
          <t>BOABF</t>
        </is>
      </c>
      <c r="B85" s="10">
        <f>IF(A85="","",IFERROR(VLOOKUP(A85,Titres!$A$2:$B$400,2,FALSE),"Ticker inconnu"))</f>
        <v/>
      </c>
      <c r="C85" s="11" t="n">
        <v>2023</v>
      </c>
      <c r="D85" s="11" t="inlineStr">
        <is>
          <t>T3</t>
        </is>
      </c>
      <c r="E85" s="9" t="n"/>
      <c r="F85" s="12" t="n"/>
      <c r="G85" s="9" t="n"/>
      <c r="H85" s="13" t="n"/>
      <c r="I85" s="13" t="n"/>
      <c r="J85" s="13" t="n"/>
      <c r="K85" s="13" t="n"/>
      <c r="L85" s="13" t="n"/>
      <c r="M85" s="13" t="n"/>
      <c r="N85" s="13" t="n"/>
      <c r="O85" s="13" t="n"/>
      <c r="P85" s="14">
        <f>IF(A85="","",COUNT(H85:O85)/8)</f>
        <v/>
      </c>
      <c r="Q85" s="15">
        <f>IF(COUNT(H85:O85)=0,"",IF(LEN(IF(COUNT(H85,I85,J85)=3,IF(ABS(H85+I85-J85)&lt;=MAX(1,0.02*ABS(J85)),"","RBE &lt;&gt; PNB + frais "),"")&amp;IF(COUNT(J85,K85,L85)=3,IF(ABS(J85+K85-L85)&lt;=MAX(1,0.03*ABS(L85)),"","RAI &lt;&gt; RBE + coût du risque "),"")&amp;IF(COUNT(H85,M85)=2,IF(ABS(M85)&gt;ABS(H85),"RN &gt; PNB ",""),""))=0,"OK",IF(COUNT(H85,I85,J85)=3,IF(ABS(H85+I85-J85)&lt;=MAX(1,0.02*ABS(J85)),"","RBE &lt;&gt; PNB + frais "),"")&amp;IF(COUNT(J85,K85,L85)=3,IF(ABS(J85+K85-L85)&lt;=MAX(1,0.03*ABS(L85)),"","RAI &lt;&gt; RBE + coût du risque "),"")&amp;IF(COUNT(H85,M85)=2,IF(ABS(M85)&gt;ABS(H85),"RN &gt; PNB ",""),"")))</f>
        <v/>
      </c>
    </row>
    <row r="86">
      <c r="A86" s="9" t="inlineStr">
        <is>
          <t>BOABF</t>
        </is>
      </c>
      <c r="B86" s="10">
        <f>IF(A86="","",IFERROR(VLOOKUP(A86,Titres!$A$2:$B$400,2,FALSE),"Ticker inconnu"))</f>
        <v/>
      </c>
      <c r="C86" s="11" t="n">
        <v>2024</v>
      </c>
      <c r="D86" s="11" t="inlineStr">
        <is>
          <t>T1</t>
        </is>
      </c>
      <c r="E86" s="9" t="n"/>
      <c r="F86" s="12" t="n"/>
      <c r="G86" s="9" t="n"/>
      <c r="H86" s="13" t="n"/>
      <c r="I86" s="13" t="n"/>
      <c r="J86" s="13" t="n"/>
      <c r="K86" s="13" t="n"/>
      <c r="L86" s="13" t="n"/>
      <c r="M86" s="13" t="n"/>
      <c r="N86" s="13" t="n"/>
      <c r="O86" s="13" t="n"/>
      <c r="P86" s="14">
        <f>IF(A86="","",COUNT(H86:O86)/8)</f>
        <v/>
      </c>
      <c r="Q86" s="15">
        <f>IF(COUNT(H86:O86)=0,"",IF(LEN(IF(COUNT(H86,I86,J86)=3,IF(ABS(H86+I86-J86)&lt;=MAX(1,0.02*ABS(J86)),"","RBE &lt;&gt; PNB + frais "),"")&amp;IF(COUNT(J86,K86,L86)=3,IF(ABS(J86+K86-L86)&lt;=MAX(1,0.03*ABS(L86)),"","RAI &lt;&gt; RBE + coût du risque "),"")&amp;IF(COUNT(H86,M86)=2,IF(ABS(M86)&gt;ABS(H86),"RN &gt; PNB ",""),""))=0,"OK",IF(COUNT(H86,I86,J86)=3,IF(ABS(H86+I86-J86)&lt;=MAX(1,0.02*ABS(J86)),"","RBE &lt;&gt; PNB + frais "),"")&amp;IF(COUNT(J86,K86,L86)=3,IF(ABS(J86+K86-L86)&lt;=MAX(1,0.03*ABS(L86)),"","RAI &lt;&gt; RBE + coût du risque "),"")&amp;IF(COUNT(H86,M86)=2,IF(ABS(M86)&gt;ABS(H86),"RN &gt; PNB ",""),"")))</f>
        <v/>
      </c>
    </row>
    <row r="87">
      <c r="A87" s="9" t="inlineStr">
        <is>
          <t>BOABF</t>
        </is>
      </c>
      <c r="B87" s="10">
        <f>IF(A87="","",IFERROR(VLOOKUP(A87,Titres!$A$2:$B$400,2,FALSE),"Ticker inconnu"))</f>
        <v/>
      </c>
      <c r="C87" s="11" t="n">
        <v>2024</v>
      </c>
      <c r="D87" s="11" t="inlineStr">
        <is>
          <t>S1</t>
        </is>
      </c>
      <c r="E87" s="9" t="n"/>
      <c r="F87" s="12" t="n"/>
      <c r="G87" s="9" t="n"/>
      <c r="H87" s="13" t="n"/>
      <c r="I87" s="13" t="n"/>
      <c r="J87" s="13" t="n"/>
      <c r="K87" s="13" t="n"/>
      <c r="L87" s="13" t="n"/>
      <c r="M87" s="13" t="n"/>
      <c r="N87" s="13" t="n"/>
      <c r="O87" s="13" t="n"/>
      <c r="P87" s="14">
        <f>IF(A87="","",COUNT(H87:O87)/8)</f>
        <v/>
      </c>
      <c r="Q87" s="15">
        <f>IF(COUNT(H87:O87)=0,"",IF(LEN(IF(COUNT(H87,I87,J87)=3,IF(ABS(H87+I87-J87)&lt;=MAX(1,0.02*ABS(J87)),"","RBE &lt;&gt; PNB + frais "),"")&amp;IF(COUNT(J87,K87,L87)=3,IF(ABS(J87+K87-L87)&lt;=MAX(1,0.03*ABS(L87)),"","RAI &lt;&gt; RBE + coût du risque "),"")&amp;IF(COUNT(H87,M87)=2,IF(ABS(M87)&gt;ABS(H87),"RN &gt; PNB ",""),""))=0,"OK",IF(COUNT(H87,I87,J87)=3,IF(ABS(H87+I87-J87)&lt;=MAX(1,0.02*ABS(J87)),"","RBE &lt;&gt; PNB + frais "),"")&amp;IF(COUNT(J87,K87,L87)=3,IF(ABS(J87+K87-L87)&lt;=MAX(1,0.03*ABS(L87)),"","RAI &lt;&gt; RBE + coût du risque "),"")&amp;IF(COUNT(H87,M87)=2,IF(ABS(M87)&gt;ABS(H87),"RN &gt; PNB ",""),"")))</f>
        <v/>
      </c>
    </row>
    <row r="88">
      <c r="A88" s="9" t="inlineStr">
        <is>
          <t>BOABF</t>
        </is>
      </c>
      <c r="B88" s="10">
        <f>IF(A88="","",IFERROR(VLOOKUP(A88,Titres!$A$2:$B$400,2,FALSE),"Ticker inconnu"))</f>
        <v/>
      </c>
      <c r="C88" s="11" t="n">
        <v>2024</v>
      </c>
      <c r="D88" s="11" t="inlineStr">
        <is>
          <t>T3</t>
        </is>
      </c>
      <c r="E88" s="9" t="n"/>
      <c r="F88" s="12" t="n"/>
      <c r="G88" s="9" t="n"/>
      <c r="H88" s="13" t="n"/>
      <c r="I88" s="13" t="n"/>
      <c r="J88" s="13" t="n"/>
      <c r="K88" s="13" t="n"/>
      <c r="L88" s="13" t="n"/>
      <c r="M88" s="13" t="n"/>
      <c r="N88" s="13" t="n"/>
      <c r="O88" s="13" t="n"/>
      <c r="P88" s="14">
        <f>IF(A88="","",COUNT(H88:O88)/8)</f>
        <v/>
      </c>
      <c r="Q88" s="15">
        <f>IF(COUNT(H88:O88)=0,"",IF(LEN(IF(COUNT(H88,I88,J88)=3,IF(ABS(H88+I88-J88)&lt;=MAX(1,0.02*ABS(J88)),"","RBE &lt;&gt; PNB + frais "),"")&amp;IF(COUNT(J88,K88,L88)=3,IF(ABS(J88+K88-L88)&lt;=MAX(1,0.03*ABS(L88)),"","RAI &lt;&gt; RBE + coût du risque "),"")&amp;IF(COUNT(H88,M88)=2,IF(ABS(M88)&gt;ABS(H88),"RN &gt; PNB ",""),""))=0,"OK",IF(COUNT(H88,I88,J88)=3,IF(ABS(H88+I88-J88)&lt;=MAX(1,0.02*ABS(J88)),"","RBE &lt;&gt; PNB + frais "),"")&amp;IF(COUNT(J88,K88,L88)=3,IF(ABS(J88+K88-L88)&lt;=MAX(1,0.03*ABS(L88)),"","RAI &lt;&gt; RBE + coût du risque "),"")&amp;IF(COUNT(H88,M88)=2,IF(ABS(M88)&gt;ABS(H88),"RN &gt; PNB ",""),"")))</f>
        <v/>
      </c>
    </row>
    <row r="89">
      <c r="A89" s="9" t="inlineStr">
        <is>
          <t>BOABF</t>
        </is>
      </c>
      <c r="B89" s="10">
        <f>IF(A89="","",IFERROR(VLOOKUP(A89,Titres!$A$2:$B$400,2,FALSE),"Ticker inconnu"))</f>
        <v/>
      </c>
      <c r="C89" s="11" t="n">
        <v>2025</v>
      </c>
      <c r="D89" s="11" t="inlineStr">
        <is>
          <t>T1</t>
        </is>
      </c>
      <c r="E89" s="9" t="n"/>
      <c r="F89" s="12" t="n"/>
      <c r="G89" s="9" t="n"/>
      <c r="H89" s="13" t="n"/>
      <c r="I89" s="13" t="n"/>
      <c r="J89" s="13" t="n"/>
      <c r="K89" s="13" t="n"/>
      <c r="L89" s="13" t="n"/>
      <c r="M89" s="13" t="n"/>
      <c r="N89" s="13" t="n"/>
      <c r="O89" s="13" t="n"/>
      <c r="P89" s="14">
        <f>IF(A89="","",COUNT(H89:O89)/8)</f>
        <v/>
      </c>
      <c r="Q89" s="15">
        <f>IF(COUNT(H89:O89)=0,"",IF(LEN(IF(COUNT(H89,I89,J89)=3,IF(ABS(H89+I89-J89)&lt;=MAX(1,0.02*ABS(J89)),"","RBE &lt;&gt; PNB + frais "),"")&amp;IF(COUNT(J89,K89,L89)=3,IF(ABS(J89+K89-L89)&lt;=MAX(1,0.03*ABS(L89)),"","RAI &lt;&gt; RBE + coût du risque "),"")&amp;IF(COUNT(H89,M89)=2,IF(ABS(M89)&gt;ABS(H89),"RN &gt; PNB ",""),""))=0,"OK",IF(COUNT(H89,I89,J89)=3,IF(ABS(H89+I89-J89)&lt;=MAX(1,0.02*ABS(J89)),"","RBE &lt;&gt; PNB + frais "),"")&amp;IF(COUNT(J89,K89,L89)=3,IF(ABS(J89+K89-L89)&lt;=MAX(1,0.03*ABS(L89)),"","RAI &lt;&gt; RBE + coût du risque "),"")&amp;IF(COUNT(H89,M89)=2,IF(ABS(M89)&gt;ABS(H89),"RN &gt; PNB ",""),"")))</f>
        <v/>
      </c>
    </row>
    <row r="90">
      <c r="A90" s="9" t="inlineStr">
        <is>
          <t>BOABF</t>
        </is>
      </c>
      <c r="B90" s="10">
        <f>IF(A90="","",IFERROR(VLOOKUP(A90,Titres!$A$2:$B$400,2,FALSE),"Ticker inconnu"))</f>
        <v/>
      </c>
      <c r="C90" s="11" t="n">
        <v>2025</v>
      </c>
      <c r="D90" s="11" t="inlineStr">
        <is>
          <t>S1</t>
        </is>
      </c>
      <c r="E90" s="9" t="n"/>
      <c r="F90" s="12" t="n"/>
      <c r="G90" s="9" t="n"/>
      <c r="H90" s="13" t="n"/>
      <c r="I90" s="13" t="n"/>
      <c r="J90" s="13" t="n"/>
      <c r="K90" s="13" t="n"/>
      <c r="L90" s="13" t="n"/>
      <c r="M90" s="13" t="n"/>
      <c r="N90" s="13" t="n"/>
      <c r="O90" s="13" t="n"/>
      <c r="P90" s="14">
        <f>IF(A90="","",COUNT(H90:O90)/8)</f>
        <v/>
      </c>
      <c r="Q90" s="15">
        <f>IF(COUNT(H90:O90)=0,"",IF(LEN(IF(COUNT(H90,I90,J90)=3,IF(ABS(H90+I90-J90)&lt;=MAX(1,0.02*ABS(J90)),"","RBE &lt;&gt; PNB + frais "),"")&amp;IF(COUNT(J90,K90,L90)=3,IF(ABS(J90+K90-L90)&lt;=MAX(1,0.03*ABS(L90)),"","RAI &lt;&gt; RBE + coût du risque "),"")&amp;IF(COUNT(H90,M90)=2,IF(ABS(M90)&gt;ABS(H90),"RN &gt; PNB ",""),""))=0,"OK",IF(COUNT(H90,I90,J90)=3,IF(ABS(H90+I90-J90)&lt;=MAX(1,0.02*ABS(J90)),"","RBE &lt;&gt; PNB + frais "),"")&amp;IF(COUNT(J90,K90,L90)=3,IF(ABS(J90+K90-L90)&lt;=MAX(1,0.03*ABS(L90)),"","RAI &lt;&gt; RBE + coût du risque "),"")&amp;IF(COUNT(H90,M90)=2,IF(ABS(M90)&gt;ABS(H90),"RN &gt; PNB ",""),"")))</f>
        <v/>
      </c>
    </row>
    <row r="91">
      <c r="A91" s="9" t="inlineStr">
        <is>
          <t>BOABF</t>
        </is>
      </c>
      <c r="B91" s="10">
        <f>IF(A91="","",IFERROR(VLOOKUP(A91,Titres!$A$2:$B$400,2,FALSE),"Ticker inconnu"))</f>
        <v/>
      </c>
      <c r="C91" s="11" t="n">
        <v>2025</v>
      </c>
      <c r="D91" s="11" t="inlineStr">
        <is>
          <t>T3</t>
        </is>
      </c>
      <c r="E91" s="9" t="n"/>
      <c r="F91" s="12" t="n"/>
      <c r="G91" s="9" t="n"/>
      <c r="H91" s="13" t="n"/>
      <c r="I91" s="13" t="n"/>
      <c r="J91" s="13" t="n"/>
      <c r="K91" s="13" t="n"/>
      <c r="L91" s="13" t="n"/>
      <c r="M91" s="13" t="n"/>
      <c r="N91" s="13" t="n"/>
      <c r="O91" s="13" t="n"/>
      <c r="P91" s="14">
        <f>IF(A91="","",COUNT(H91:O91)/8)</f>
        <v/>
      </c>
      <c r="Q91" s="15">
        <f>IF(COUNT(H91:O91)=0,"",IF(LEN(IF(COUNT(H91,I91,J91)=3,IF(ABS(H91+I91-J91)&lt;=MAX(1,0.02*ABS(J91)),"","RBE &lt;&gt; PNB + frais "),"")&amp;IF(COUNT(J91,K91,L91)=3,IF(ABS(J91+K91-L91)&lt;=MAX(1,0.03*ABS(L91)),"","RAI &lt;&gt; RBE + coût du risque "),"")&amp;IF(COUNT(H91,M91)=2,IF(ABS(M91)&gt;ABS(H91),"RN &gt; PNB ",""),""))=0,"OK",IF(COUNT(H91,I91,J91)=3,IF(ABS(H91+I91-J91)&lt;=MAX(1,0.02*ABS(J91)),"","RBE &lt;&gt; PNB + frais "),"")&amp;IF(COUNT(J91,K91,L91)=3,IF(ABS(J91+K91-L91)&lt;=MAX(1,0.03*ABS(L91)),"","RAI &lt;&gt; RBE + coût du risque "),"")&amp;IF(COUNT(H91,M91)=2,IF(ABS(M91)&gt;ABS(H91),"RN &gt; PNB ",""),"")))</f>
        <v/>
      </c>
    </row>
    <row r="92">
      <c r="A92" s="9" t="inlineStr">
        <is>
          <t>BOABF</t>
        </is>
      </c>
      <c r="B92" s="10">
        <f>IF(A92="","",IFERROR(VLOOKUP(A92,Titres!$A$2:$B$400,2,FALSE),"Ticker inconnu"))</f>
        <v/>
      </c>
      <c r="C92" s="11" t="n">
        <v>2026</v>
      </c>
      <c r="D92" s="11" t="inlineStr">
        <is>
          <t>T1</t>
        </is>
      </c>
      <c r="E92" s="9" t="n"/>
      <c r="F92" s="12" t="n"/>
      <c r="G92" s="9" t="n"/>
      <c r="H92" s="13" t="n"/>
      <c r="I92" s="13" t="n"/>
      <c r="J92" s="13" t="n"/>
      <c r="K92" s="13" t="n"/>
      <c r="L92" s="13" t="n"/>
      <c r="M92" s="13" t="n"/>
      <c r="N92" s="13" t="n"/>
      <c r="O92" s="13" t="n"/>
      <c r="P92" s="14">
        <f>IF(A92="","",COUNT(H92:O92)/8)</f>
        <v/>
      </c>
      <c r="Q92" s="15">
        <f>IF(COUNT(H92:O92)=0,"",IF(LEN(IF(COUNT(H92,I92,J92)=3,IF(ABS(H92+I92-J92)&lt;=MAX(1,0.02*ABS(J92)),"","RBE &lt;&gt; PNB + frais "),"")&amp;IF(COUNT(J92,K92,L92)=3,IF(ABS(J92+K92-L92)&lt;=MAX(1,0.03*ABS(L92)),"","RAI &lt;&gt; RBE + coût du risque "),"")&amp;IF(COUNT(H92,M92)=2,IF(ABS(M92)&gt;ABS(H92),"RN &gt; PNB ",""),""))=0,"OK",IF(COUNT(H92,I92,J92)=3,IF(ABS(H92+I92-J92)&lt;=MAX(1,0.02*ABS(J92)),"","RBE &lt;&gt; PNB + frais "),"")&amp;IF(COUNT(J92,K92,L92)=3,IF(ABS(J92+K92-L92)&lt;=MAX(1,0.03*ABS(L92)),"","RAI &lt;&gt; RBE + coût du risque "),"")&amp;IF(COUNT(H92,M92)=2,IF(ABS(M92)&gt;ABS(H92),"RN &gt; PNB ",""),"")))</f>
        <v/>
      </c>
    </row>
    <row r="93">
      <c r="A93" s="9" t="inlineStr">
        <is>
          <t>BOABF</t>
        </is>
      </c>
      <c r="B93" s="10">
        <f>IF(A93="","",IFERROR(VLOOKUP(A93,Titres!$A$2:$B$400,2,FALSE),"Ticker inconnu"))</f>
        <v/>
      </c>
      <c r="C93" s="11" t="n">
        <v>2026</v>
      </c>
      <c r="D93" s="11" t="inlineStr">
        <is>
          <t>S1</t>
        </is>
      </c>
      <c r="E93" s="9" t="n"/>
      <c r="F93" s="12" t="n"/>
      <c r="G93" s="9" t="n"/>
      <c r="H93" s="13" t="n"/>
      <c r="I93" s="13" t="n"/>
      <c r="J93" s="13" t="n"/>
      <c r="K93" s="13" t="n"/>
      <c r="L93" s="13" t="n"/>
      <c r="M93" s="13" t="n"/>
      <c r="N93" s="13" t="n"/>
      <c r="O93" s="13" t="n"/>
      <c r="P93" s="14">
        <f>IF(A93="","",COUNT(H93:O93)/8)</f>
        <v/>
      </c>
      <c r="Q93" s="15">
        <f>IF(COUNT(H93:O93)=0,"",IF(LEN(IF(COUNT(H93,I93,J93)=3,IF(ABS(H93+I93-J93)&lt;=MAX(1,0.02*ABS(J93)),"","RBE &lt;&gt; PNB + frais "),"")&amp;IF(COUNT(J93,K93,L93)=3,IF(ABS(J93+K93-L93)&lt;=MAX(1,0.03*ABS(L93)),"","RAI &lt;&gt; RBE + coût du risque "),"")&amp;IF(COUNT(H93,M93)=2,IF(ABS(M93)&gt;ABS(H93),"RN &gt; PNB ",""),""))=0,"OK",IF(COUNT(H93,I93,J93)=3,IF(ABS(H93+I93-J93)&lt;=MAX(1,0.02*ABS(J93)),"","RBE &lt;&gt; PNB + frais "),"")&amp;IF(COUNT(J93,K93,L93)=3,IF(ABS(J93+K93-L93)&lt;=MAX(1,0.03*ABS(L93)),"","RAI &lt;&gt; RBE + coût du risque "),"")&amp;IF(COUNT(H93,M93)=2,IF(ABS(M93)&gt;ABS(H93),"RN &gt; PNB ",""),"")))</f>
        <v/>
      </c>
    </row>
    <row r="94">
      <c r="A94" s="9" t="inlineStr">
        <is>
          <t>BOABF</t>
        </is>
      </c>
      <c r="B94" s="10">
        <f>IF(A94="","",IFERROR(VLOOKUP(A94,Titres!$A$2:$B$400,2,FALSE),"Ticker inconnu"))</f>
        <v/>
      </c>
      <c r="C94" s="11" t="n">
        <v>2026</v>
      </c>
      <c r="D94" s="11" t="inlineStr">
        <is>
          <t>T3</t>
        </is>
      </c>
      <c r="E94" s="9" t="n"/>
      <c r="F94" s="12" t="n"/>
      <c r="G94" s="9" t="n"/>
      <c r="H94" s="13" t="n"/>
      <c r="I94" s="13" t="n"/>
      <c r="J94" s="13" t="n"/>
      <c r="K94" s="13" t="n"/>
      <c r="L94" s="13" t="n"/>
      <c r="M94" s="13" t="n"/>
      <c r="N94" s="13" t="n"/>
      <c r="O94" s="13" t="n"/>
      <c r="P94" s="14">
        <f>IF(A94="","",COUNT(H94:O94)/8)</f>
        <v/>
      </c>
      <c r="Q94" s="15">
        <f>IF(COUNT(H94:O94)=0,"",IF(LEN(IF(COUNT(H94,I94,J94)=3,IF(ABS(H94+I94-J94)&lt;=MAX(1,0.02*ABS(J94)),"","RBE &lt;&gt; PNB + frais "),"")&amp;IF(COUNT(J94,K94,L94)=3,IF(ABS(J94+K94-L94)&lt;=MAX(1,0.03*ABS(L94)),"","RAI &lt;&gt; RBE + coût du risque "),"")&amp;IF(COUNT(H94,M94)=2,IF(ABS(M94)&gt;ABS(H94),"RN &gt; PNB ",""),""))=0,"OK",IF(COUNT(H94,I94,J94)=3,IF(ABS(H94+I94-J94)&lt;=MAX(1,0.02*ABS(J94)),"","RBE &lt;&gt; PNB + frais "),"")&amp;IF(COUNT(J94,K94,L94)=3,IF(ABS(J94+K94-L94)&lt;=MAX(1,0.03*ABS(L94)),"","RAI &lt;&gt; RBE + coût du risque "),"")&amp;IF(COUNT(H94,M94)=2,IF(ABS(M94)&gt;ABS(H94),"RN &gt; PNB ",""),"")))</f>
        <v/>
      </c>
    </row>
    <row r="95">
      <c r="A95" s="9" t="inlineStr">
        <is>
          <t>BOAC</t>
        </is>
      </c>
      <c r="B95" s="10">
        <f>IF(A95="","",IFERROR(VLOOKUP(A95,Titres!$A$2:$B$400,2,FALSE),"Ticker inconnu"))</f>
        <v/>
      </c>
      <c r="C95" s="11" t="n">
        <v>2021</v>
      </c>
      <c r="D95" s="11" t="inlineStr">
        <is>
          <t>T1</t>
        </is>
      </c>
      <c r="E95" s="9" t="n"/>
      <c r="F95" s="12" t="n"/>
      <c r="G95" s="9" t="n"/>
      <c r="H95" s="13" t="n"/>
      <c r="I95" s="13" t="n"/>
      <c r="J95" s="13" t="n"/>
      <c r="K95" s="13" t="n"/>
      <c r="L95" s="13" t="n"/>
      <c r="M95" s="13" t="n"/>
      <c r="N95" s="13" t="n"/>
      <c r="O95" s="13" t="n"/>
      <c r="P95" s="14">
        <f>IF(A95="","",COUNT(H95:O95)/8)</f>
        <v/>
      </c>
      <c r="Q95" s="15">
        <f>IF(COUNT(H95:O95)=0,"",IF(LEN(IF(COUNT(H95,I95,J95)=3,IF(ABS(H95+I95-J95)&lt;=MAX(1,0.02*ABS(J95)),"","RBE &lt;&gt; PNB + frais "),"")&amp;IF(COUNT(J95,K95,L95)=3,IF(ABS(J95+K95-L95)&lt;=MAX(1,0.03*ABS(L95)),"","RAI &lt;&gt; RBE + coût du risque "),"")&amp;IF(COUNT(H95,M95)=2,IF(ABS(M95)&gt;ABS(H95),"RN &gt; PNB ",""),""))=0,"OK",IF(COUNT(H95,I95,J95)=3,IF(ABS(H95+I95-J95)&lt;=MAX(1,0.02*ABS(J95)),"","RBE &lt;&gt; PNB + frais "),"")&amp;IF(COUNT(J95,K95,L95)=3,IF(ABS(J95+K95-L95)&lt;=MAX(1,0.03*ABS(L95)),"","RAI &lt;&gt; RBE + coût du risque "),"")&amp;IF(COUNT(H95,M95)=2,IF(ABS(M95)&gt;ABS(H95),"RN &gt; PNB ",""),"")))</f>
        <v/>
      </c>
    </row>
    <row r="96">
      <c r="A96" s="9" t="inlineStr">
        <is>
          <t>BOAC</t>
        </is>
      </c>
      <c r="B96" s="10">
        <f>IF(A96="","",IFERROR(VLOOKUP(A96,Titres!$A$2:$B$400,2,FALSE),"Ticker inconnu"))</f>
        <v/>
      </c>
      <c r="C96" s="11" t="n">
        <v>2021</v>
      </c>
      <c r="D96" s="11" t="inlineStr">
        <is>
          <t>S1</t>
        </is>
      </c>
      <c r="E96" s="9" t="n"/>
      <c r="F96" s="12" t="n"/>
      <c r="G96" s="9" t="n"/>
      <c r="H96" s="13" t="n"/>
      <c r="I96" s="13" t="n"/>
      <c r="J96" s="13" t="n"/>
      <c r="K96" s="13" t="n"/>
      <c r="L96" s="13" t="n"/>
      <c r="M96" s="13" t="n"/>
      <c r="N96" s="13" t="n"/>
      <c r="O96" s="13" t="n"/>
      <c r="P96" s="14">
        <f>IF(A96="","",COUNT(H96:O96)/8)</f>
        <v/>
      </c>
      <c r="Q96" s="15">
        <f>IF(COUNT(H96:O96)=0,"",IF(LEN(IF(COUNT(H96,I96,J96)=3,IF(ABS(H96+I96-J96)&lt;=MAX(1,0.02*ABS(J96)),"","RBE &lt;&gt; PNB + frais "),"")&amp;IF(COUNT(J96,K96,L96)=3,IF(ABS(J96+K96-L96)&lt;=MAX(1,0.03*ABS(L96)),"","RAI &lt;&gt; RBE + coût du risque "),"")&amp;IF(COUNT(H96,M96)=2,IF(ABS(M96)&gt;ABS(H96),"RN &gt; PNB ",""),""))=0,"OK",IF(COUNT(H96,I96,J96)=3,IF(ABS(H96+I96-J96)&lt;=MAX(1,0.02*ABS(J96)),"","RBE &lt;&gt; PNB + frais "),"")&amp;IF(COUNT(J96,K96,L96)=3,IF(ABS(J96+K96-L96)&lt;=MAX(1,0.03*ABS(L96)),"","RAI &lt;&gt; RBE + coût du risque "),"")&amp;IF(COUNT(H96,M96)=2,IF(ABS(M96)&gt;ABS(H96),"RN &gt; PNB ",""),"")))</f>
        <v/>
      </c>
    </row>
    <row r="97">
      <c r="A97" s="9" t="inlineStr">
        <is>
          <t>BOAC</t>
        </is>
      </c>
      <c r="B97" s="10">
        <f>IF(A97="","",IFERROR(VLOOKUP(A97,Titres!$A$2:$B$400,2,FALSE),"Ticker inconnu"))</f>
        <v/>
      </c>
      <c r="C97" s="11" t="n">
        <v>2021</v>
      </c>
      <c r="D97" s="11" t="inlineStr">
        <is>
          <t>T3</t>
        </is>
      </c>
      <c r="E97" s="9" t="n"/>
      <c r="F97" s="12" t="n"/>
      <c r="G97" s="9" t="n"/>
      <c r="H97" s="13" t="n"/>
      <c r="I97" s="13" t="n"/>
      <c r="J97" s="13" t="n"/>
      <c r="K97" s="13" t="n"/>
      <c r="L97" s="13" t="n"/>
      <c r="M97" s="13" t="n"/>
      <c r="N97" s="13" t="n"/>
      <c r="O97" s="13" t="n"/>
      <c r="P97" s="14">
        <f>IF(A97="","",COUNT(H97:O97)/8)</f>
        <v/>
      </c>
      <c r="Q97" s="15">
        <f>IF(COUNT(H97:O97)=0,"",IF(LEN(IF(COUNT(H97,I97,J97)=3,IF(ABS(H97+I97-J97)&lt;=MAX(1,0.02*ABS(J97)),"","RBE &lt;&gt; PNB + frais "),"")&amp;IF(COUNT(J97,K97,L97)=3,IF(ABS(J97+K97-L97)&lt;=MAX(1,0.03*ABS(L97)),"","RAI &lt;&gt; RBE + coût du risque "),"")&amp;IF(COUNT(H97,M97)=2,IF(ABS(M97)&gt;ABS(H97),"RN &gt; PNB ",""),""))=0,"OK",IF(COUNT(H97,I97,J97)=3,IF(ABS(H97+I97-J97)&lt;=MAX(1,0.02*ABS(J97)),"","RBE &lt;&gt; PNB + frais "),"")&amp;IF(COUNT(J97,K97,L97)=3,IF(ABS(J97+K97-L97)&lt;=MAX(1,0.03*ABS(L97)),"","RAI &lt;&gt; RBE + coût du risque "),"")&amp;IF(COUNT(H97,M97)=2,IF(ABS(M97)&gt;ABS(H97),"RN &gt; PNB ",""),"")))</f>
        <v/>
      </c>
    </row>
    <row r="98">
      <c r="A98" s="9" t="inlineStr">
        <is>
          <t>BOAC</t>
        </is>
      </c>
      <c r="B98" s="10">
        <f>IF(A98="","",IFERROR(VLOOKUP(A98,Titres!$A$2:$B$400,2,FALSE),"Ticker inconnu"))</f>
        <v/>
      </c>
      <c r="C98" s="11" t="n">
        <v>2022</v>
      </c>
      <c r="D98" s="11" t="inlineStr">
        <is>
          <t>T1</t>
        </is>
      </c>
      <c r="E98" s="9" t="n"/>
      <c r="F98" s="12" t="n"/>
      <c r="G98" s="9" t="n"/>
      <c r="H98" s="13" t="n"/>
      <c r="I98" s="13" t="n"/>
      <c r="J98" s="13" t="n"/>
      <c r="K98" s="13" t="n"/>
      <c r="L98" s="13" t="n"/>
      <c r="M98" s="13" t="n"/>
      <c r="N98" s="13" t="n"/>
      <c r="O98" s="13" t="n"/>
      <c r="P98" s="14">
        <f>IF(A98="","",COUNT(H98:O98)/8)</f>
        <v/>
      </c>
      <c r="Q98" s="15">
        <f>IF(COUNT(H98:O98)=0,"",IF(LEN(IF(COUNT(H98,I98,J98)=3,IF(ABS(H98+I98-J98)&lt;=MAX(1,0.02*ABS(J98)),"","RBE &lt;&gt; PNB + frais "),"")&amp;IF(COUNT(J98,K98,L98)=3,IF(ABS(J98+K98-L98)&lt;=MAX(1,0.03*ABS(L98)),"","RAI &lt;&gt; RBE + coût du risque "),"")&amp;IF(COUNT(H98,M98)=2,IF(ABS(M98)&gt;ABS(H98),"RN &gt; PNB ",""),""))=0,"OK",IF(COUNT(H98,I98,J98)=3,IF(ABS(H98+I98-J98)&lt;=MAX(1,0.02*ABS(J98)),"","RBE &lt;&gt; PNB + frais "),"")&amp;IF(COUNT(J98,K98,L98)=3,IF(ABS(J98+K98-L98)&lt;=MAX(1,0.03*ABS(L98)),"","RAI &lt;&gt; RBE + coût du risque "),"")&amp;IF(COUNT(H98,M98)=2,IF(ABS(M98)&gt;ABS(H98),"RN &gt; PNB ",""),"")))</f>
        <v/>
      </c>
    </row>
    <row r="99">
      <c r="A99" s="9" t="inlineStr">
        <is>
          <t>BOAC</t>
        </is>
      </c>
      <c r="B99" s="10">
        <f>IF(A99="","",IFERROR(VLOOKUP(A99,Titres!$A$2:$B$400,2,FALSE),"Ticker inconnu"))</f>
        <v/>
      </c>
      <c r="C99" s="11" t="n">
        <v>2022</v>
      </c>
      <c r="D99" s="11" t="inlineStr">
        <is>
          <t>S1</t>
        </is>
      </c>
      <c r="E99" s="9" t="n"/>
      <c r="F99" s="12" t="n"/>
      <c r="G99" s="9" t="n"/>
      <c r="H99" s="13" t="n"/>
      <c r="I99" s="13" t="n"/>
      <c r="J99" s="13" t="n"/>
      <c r="K99" s="13" t="n"/>
      <c r="L99" s="13" t="n"/>
      <c r="M99" s="13" t="n"/>
      <c r="N99" s="13" t="n"/>
      <c r="O99" s="13" t="n"/>
      <c r="P99" s="14">
        <f>IF(A99="","",COUNT(H99:O99)/8)</f>
        <v/>
      </c>
      <c r="Q99" s="15">
        <f>IF(COUNT(H99:O99)=0,"",IF(LEN(IF(COUNT(H99,I99,J99)=3,IF(ABS(H99+I99-J99)&lt;=MAX(1,0.02*ABS(J99)),"","RBE &lt;&gt; PNB + frais "),"")&amp;IF(COUNT(J99,K99,L99)=3,IF(ABS(J99+K99-L99)&lt;=MAX(1,0.03*ABS(L99)),"","RAI &lt;&gt; RBE + coût du risque "),"")&amp;IF(COUNT(H99,M99)=2,IF(ABS(M99)&gt;ABS(H99),"RN &gt; PNB ",""),""))=0,"OK",IF(COUNT(H99,I99,J99)=3,IF(ABS(H99+I99-J99)&lt;=MAX(1,0.02*ABS(J99)),"","RBE &lt;&gt; PNB + frais "),"")&amp;IF(COUNT(J99,K99,L99)=3,IF(ABS(J99+K99-L99)&lt;=MAX(1,0.03*ABS(L99)),"","RAI &lt;&gt; RBE + coût du risque "),"")&amp;IF(COUNT(H99,M99)=2,IF(ABS(M99)&gt;ABS(H99),"RN &gt; PNB ",""),"")))</f>
        <v/>
      </c>
    </row>
    <row r="100">
      <c r="A100" s="9" t="inlineStr">
        <is>
          <t>BOAC</t>
        </is>
      </c>
      <c r="B100" s="10">
        <f>IF(A100="","",IFERROR(VLOOKUP(A100,Titres!$A$2:$B$400,2,FALSE),"Ticker inconnu"))</f>
        <v/>
      </c>
      <c r="C100" s="11" t="n">
        <v>2022</v>
      </c>
      <c r="D100" s="11" t="inlineStr">
        <is>
          <t>T3</t>
        </is>
      </c>
      <c r="E100" s="9" t="n"/>
      <c r="F100" s="12" t="n"/>
      <c r="G100" s="9" t="n"/>
      <c r="H100" s="13" t="n"/>
      <c r="I100" s="13" t="n"/>
      <c r="J100" s="13" t="n"/>
      <c r="K100" s="13" t="n"/>
      <c r="L100" s="13" t="n"/>
      <c r="M100" s="13" t="n"/>
      <c r="N100" s="13" t="n"/>
      <c r="O100" s="13" t="n"/>
      <c r="P100" s="14">
        <f>IF(A100="","",COUNT(H100:O100)/8)</f>
        <v/>
      </c>
      <c r="Q100" s="15">
        <f>IF(COUNT(H100:O100)=0,"",IF(LEN(IF(COUNT(H100,I100,J100)=3,IF(ABS(H100+I100-J100)&lt;=MAX(1,0.02*ABS(J100)),"","RBE &lt;&gt; PNB + frais "),"")&amp;IF(COUNT(J100,K100,L100)=3,IF(ABS(J100+K100-L100)&lt;=MAX(1,0.03*ABS(L100)),"","RAI &lt;&gt; RBE + coût du risque "),"")&amp;IF(COUNT(H100,M100)=2,IF(ABS(M100)&gt;ABS(H100),"RN &gt; PNB ",""),""))=0,"OK",IF(COUNT(H100,I100,J100)=3,IF(ABS(H100+I100-J100)&lt;=MAX(1,0.02*ABS(J100)),"","RBE &lt;&gt; PNB + frais "),"")&amp;IF(COUNT(J100,K100,L100)=3,IF(ABS(J100+K100-L100)&lt;=MAX(1,0.03*ABS(L100)),"","RAI &lt;&gt; RBE + coût du risque "),"")&amp;IF(COUNT(H100,M100)=2,IF(ABS(M100)&gt;ABS(H100),"RN &gt; PNB ",""),"")))</f>
        <v/>
      </c>
    </row>
    <row r="101">
      <c r="A101" s="9" t="inlineStr">
        <is>
          <t>BOAC</t>
        </is>
      </c>
      <c r="B101" s="10">
        <f>IF(A101="","",IFERROR(VLOOKUP(A101,Titres!$A$2:$B$400,2,FALSE),"Ticker inconnu"))</f>
        <v/>
      </c>
      <c r="C101" s="11" t="n">
        <v>2023</v>
      </c>
      <c r="D101" s="11" t="inlineStr">
        <is>
          <t>T1</t>
        </is>
      </c>
      <c r="E101" s="9" t="n"/>
      <c r="F101" s="12" t="n"/>
      <c r="G101" s="9" t="n"/>
      <c r="H101" s="13" t="n"/>
      <c r="I101" s="13" t="n"/>
      <c r="J101" s="13" t="n"/>
      <c r="K101" s="13" t="n"/>
      <c r="L101" s="13" t="n"/>
      <c r="M101" s="13" t="n"/>
      <c r="N101" s="13" t="n"/>
      <c r="O101" s="13" t="n"/>
      <c r="P101" s="14">
        <f>IF(A101="","",COUNT(H101:O101)/8)</f>
        <v/>
      </c>
      <c r="Q101" s="15">
        <f>IF(COUNT(H101:O101)=0,"",IF(LEN(IF(COUNT(H101,I101,J101)=3,IF(ABS(H101+I101-J101)&lt;=MAX(1,0.02*ABS(J101)),"","RBE &lt;&gt; PNB + frais "),"")&amp;IF(COUNT(J101,K101,L101)=3,IF(ABS(J101+K101-L101)&lt;=MAX(1,0.03*ABS(L101)),"","RAI &lt;&gt; RBE + coût du risque "),"")&amp;IF(COUNT(H101,M101)=2,IF(ABS(M101)&gt;ABS(H101),"RN &gt; PNB ",""),""))=0,"OK",IF(COUNT(H101,I101,J101)=3,IF(ABS(H101+I101-J101)&lt;=MAX(1,0.02*ABS(J101)),"","RBE &lt;&gt; PNB + frais "),"")&amp;IF(COUNT(J101,K101,L101)=3,IF(ABS(J101+K101-L101)&lt;=MAX(1,0.03*ABS(L101)),"","RAI &lt;&gt; RBE + coût du risque "),"")&amp;IF(COUNT(H101,M101)=2,IF(ABS(M101)&gt;ABS(H101),"RN &gt; PNB ",""),"")))</f>
        <v/>
      </c>
    </row>
    <row r="102">
      <c r="A102" s="9" t="inlineStr">
        <is>
          <t>BOAC</t>
        </is>
      </c>
      <c r="B102" s="10">
        <f>IF(A102="","",IFERROR(VLOOKUP(A102,Titres!$A$2:$B$400,2,FALSE),"Ticker inconnu"))</f>
        <v/>
      </c>
      <c r="C102" s="11" t="n">
        <v>2023</v>
      </c>
      <c r="D102" s="11" t="inlineStr">
        <is>
          <t>S1</t>
        </is>
      </c>
      <c r="E102" s="9" t="n"/>
      <c r="F102" s="12" t="n"/>
      <c r="G102" s="9" t="n"/>
      <c r="H102" s="13" t="n"/>
      <c r="I102" s="13" t="n"/>
      <c r="J102" s="13" t="n"/>
      <c r="K102" s="13" t="n"/>
      <c r="L102" s="13" t="n"/>
      <c r="M102" s="13" t="n"/>
      <c r="N102" s="13" t="n"/>
      <c r="O102" s="13" t="n"/>
      <c r="P102" s="14">
        <f>IF(A102="","",COUNT(H102:O102)/8)</f>
        <v/>
      </c>
      <c r="Q102" s="15">
        <f>IF(COUNT(H102:O102)=0,"",IF(LEN(IF(COUNT(H102,I102,J102)=3,IF(ABS(H102+I102-J102)&lt;=MAX(1,0.02*ABS(J102)),"","RBE &lt;&gt; PNB + frais "),"")&amp;IF(COUNT(J102,K102,L102)=3,IF(ABS(J102+K102-L102)&lt;=MAX(1,0.03*ABS(L102)),"","RAI &lt;&gt; RBE + coût du risque "),"")&amp;IF(COUNT(H102,M102)=2,IF(ABS(M102)&gt;ABS(H102),"RN &gt; PNB ",""),""))=0,"OK",IF(COUNT(H102,I102,J102)=3,IF(ABS(H102+I102-J102)&lt;=MAX(1,0.02*ABS(J102)),"","RBE &lt;&gt; PNB + frais "),"")&amp;IF(COUNT(J102,K102,L102)=3,IF(ABS(J102+K102-L102)&lt;=MAX(1,0.03*ABS(L102)),"","RAI &lt;&gt; RBE + coût du risque "),"")&amp;IF(COUNT(H102,M102)=2,IF(ABS(M102)&gt;ABS(H102),"RN &gt; PNB ",""),"")))</f>
        <v/>
      </c>
    </row>
    <row r="103">
      <c r="A103" s="9" t="inlineStr">
        <is>
          <t>BOAC</t>
        </is>
      </c>
      <c r="B103" s="10">
        <f>IF(A103="","",IFERROR(VLOOKUP(A103,Titres!$A$2:$B$400,2,FALSE),"Ticker inconnu"))</f>
        <v/>
      </c>
      <c r="C103" s="11" t="n">
        <v>2023</v>
      </c>
      <c r="D103" s="11" t="inlineStr">
        <is>
          <t>T3</t>
        </is>
      </c>
      <c r="E103" s="9" t="n"/>
      <c r="F103" s="12" t="n"/>
      <c r="G103" s="9" t="n"/>
      <c r="H103" s="13" t="n"/>
      <c r="I103" s="13" t="n"/>
      <c r="J103" s="13" t="n"/>
      <c r="K103" s="13" t="n"/>
      <c r="L103" s="13" t="n"/>
      <c r="M103" s="13" t="n"/>
      <c r="N103" s="13" t="n"/>
      <c r="O103" s="13" t="n"/>
      <c r="P103" s="14">
        <f>IF(A103="","",COUNT(H103:O103)/8)</f>
        <v/>
      </c>
      <c r="Q103" s="15">
        <f>IF(COUNT(H103:O103)=0,"",IF(LEN(IF(COUNT(H103,I103,J103)=3,IF(ABS(H103+I103-J103)&lt;=MAX(1,0.02*ABS(J103)),"","RBE &lt;&gt; PNB + frais "),"")&amp;IF(COUNT(J103,K103,L103)=3,IF(ABS(J103+K103-L103)&lt;=MAX(1,0.03*ABS(L103)),"","RAI &lt;&gt; RBE + coût du risque "),"")&amp;IF(COUNT(H103,M103)=2,IF(ABS(M103)&gt;ABS(H103),"RN &gt; PNB ",""),""))=0,"OK",IF(COUNT(H103,I103,J103)=3,IF(ABS(H103+I103-J103)&lt;=MAX(1,0.02*ABS(J103)),"","RBE &lt;&gt; PNB + frais "),"")&amp;IF(COUNT(J103,K103,L103)=3,IF(ABS(J103+K103-L103)&lt;=MAX(1,0.03*ABS(L103)),"","RAI &lt;&gt; RBE + coût du risque "),"")&amp;IF(COUNT(H103,M103)=2,IF(ABS(M103)&gt;ABS(H103),"RN &gt; PNB ",""),"")))</f>
        <v/>
      </c>
    </row>
    <row r="104">
      <c r="A104" s="9" t="inlineStr">
        <is>
          <t>BOAC</t>
        </is>
      </c>
      <c r="B104" s="10">
        <f>IF(A104="","",IFERROR(VLOOKUP(A104,Titres!$A$2:$B$400,2,FALSE),"Ticker inconnu"))</f>
        <v/>
      </c>
      <c r="C104" s="11" t="n">
        <v>2024</v>
      </c>
      <c r="D104" s="11" t="inlineStr">
        <is>
          <t>T1</t>
        </is>
      </c>
      <c r="E104" s="9" t="n"/>
      <c r="F104" s="12" t="n"/>
      <c r="G104" s="9" t="n"/>
      <c r="H104" s="13" t="n"/>
      <c r="I104" s="13" t="n"/>
      <c r="J104" s="13" t="n"/>
      <c r="K104" s="13" t="n"/>
      <c r="L104" s="13" t="n"/>
      <c r="M104" s="13" t="n"/>
      <c r="N104" s="13" t="n"/>
      <c r="O104" s="13" t="n"/>
      <c r="P104" s="14">
        <f>IF(A104="","",COUNT(H104:O104)/8)</f>
        <v/>
      </c>
      <c r="Q104" s="15">
        <f>IF(COUNT(H104:O104)=0,"",IF(LEN(IF(COUNT(H104,I104,J104)=3,IF(ABS(H104+I104-J104)&lt;=MAX(1,0.02*ABS(J104)),"","RBE &lt;&gt; PNB + frais "),"")&amp;IF(COUNT(J104,K104,L104)=3,IF(ABS(J104+K104-L104)&lt;=MAX(1,0.03*ABS(L104)),"","RAI &lt;&gt; RBE + coût du risque "),"")&amp;IF(COUNT(H104,M104)=2,IF(ABS(M104)&gt;ABS(H104),"RN &gt; PNB ",""),""))=0,"OK",IF(COUNT(H104,I104,J104)=3,IF(ABS(H104+I104-J104)&lt;=MAX(1,0.02*ABS(J104)),"","RBE &lt;&gt; PNB + frais "),"")&amp;IF(COUNT(J104,K104,L104)=3,IF(ABS(J104+K104-L104)&lt;=MAX(1,0.03*ABS(L104)),"","RAI &lt;&gt; RBE + coût du risque "),"")&amp;IF(COUNT(H104,M104)=2,IF(ABS(M104)&gt;ABS(H104),"RN &gt; PNB ",""),"")))</f>
        <v/>
      </c>
    </row>
    <row r="105">
      <c r="A105" s="9" t="inlineStr">
        <is>
          <t>BOAC</t>
        </is>
      </c>
      <c r="B105" s="10">
        <f>IF(A105="","",IFERROR(VLOOKUP(A105,Titres!$A$2:$B$400,2,FALSE),"Ticker inconnu"))</f>
        <v/>
      </c>
      <c r="C105" s="11" t="n">
        <v>2024</v>
      </c>
      <c r="D105" s="11" t="inlineStr">
        <is>
          <t>S1</t>
        </is>
      </c>
      <c r="E105" s="9" t="n"/>
      <c r="F105" s="12" t="n"/>
      <c r="G105" s="9" t="n"/>
      <c r="H105" s="13" t="n"/>
      <c r="I105" s="13" t="n"/>
      <c r="J105" s="13" t="n"/>
      <c r="K105" s="13" t="n"/>
      <c r="L105" s="13" t="n"/>
      <c r="M105" s="13" t="n"/>
      <c r="N105" s="13" t="n"/>
      <c r="O105" s="13" t="n"/>
      <c r="P105" s="14">
        <f>IF(A105="","",COUNT(H105:O105)/8)</f>
        <v/>
      </c>
      <c r="Q105" s="15">
        <f>IF(COUNT(H105:O105)=0,"",IF(LEN(IF(COUNT(H105,I105,J105)=3,IF(ABS(H105+I105-J105)&lt;=MAX(1,0.02*ABS(J105)),"","RBE &lt;&gt; PNB + frais "),"")&amp;IF(COUNT(J105,K105,L105)=3,IF(ABS(J105+K105-L105)&lt;=MAX(1,0.03*ABS(L105)),"","RAI &lt;&gt; RBE + coût du risque "),"")&amp;IF(COUNT(H105,M105)=2,IF(ABS(M105)&gt;ABS(H105),"RN &gt; PNB ",""),""))=0,"OK",IF(COUNT(H105,I105,J105)=3,IF(ABS(H105+I105-J105)&lt;=MAX(1,0.02*ABS(J105)),"","RBE &lt;&gt; PNB + frais "),"")&amp;IF(COUNT(J105,K105,L105)=3,IF(ABS(J105+K105-L105)&lt;=MAX(1,0.03*ABS(L105)),"","RAI &lt;&gt; RBE + coût du risque "),"")&amp;IF(COUNT(H105,M105)=2,IF(ABS(M105)&gt;ABS(H105),"RN &gt; PNB ",""),"")))</f>
        <v/>
      </c>
    </row>
    <row r="106">
      <c r="A106" s="9" t="inlineStr">
        <is>
          <t>BOAC</t>
        </is>
      </c>
      <c r="B106" s="10">
        <f>IF(A106="","",IFERROR(VLOOKUP(A106,Titres!$A$2:$B$400,2,FALSE),"Ticker inconnu"))</f>
        <v/>
      </c>
      <c r="C106" s="11" t="n">
        <v>2024</v>
      </c>
      <c r="D106" s="11" t="inlineStr">
        <is>
          <t>T3</t>
        </is>
      </c>
      <c r="E106" s="9" t="n"/>
      <c r="F106" s="12" t="n"/>
      <c r="G106" s="9" t="n"/>
      <c r="H106" s="13" t="n"/>
      <c r="I106" s="13" t="n"/>
      <c r="J106" s="13" t="n"/>
      <c r="K106" s="13" t="n"/>
      <c r="L106" s="13" t="n"/>
      <c r="M106" s="13" t="n"/>
      <c r="N106" s="13" t="n"/>
      <c r="O106" s="13" t="n"/>
      <c r="P106" s="14">
        <f>IF(A106="","",COUNT(H106:O106)/8)</f>
        <v/>
      </c>
      <c r="Q106" s="15">
        <f>IF(COUNT(H106:O106)=0,"",IF(LEN(IF(COUNT(H106,I106,J106)=3,IF(ABS(H106+I106-J106)&lt;=MAX(1,0.02*ABS(J106)),"","RBE &lt;&gt; PNB + frais "),"")&amp;IF(COUNT(J106,K106,L106)=3,IF(ABS(J106+K106-L106)&lt;=MAX(1,0.03*ABS(L106)),"","RAI &lt;&gt; RBE + coût du risque "),"")&amp;IF(COUNT(H106,M106)=2,IF(ABS(M106)&gt;ABS(H106),"RN &gt; PNB ",""),""))=0,"OK",IF(COUNT(H106,I106,J106)=3,IF(ABS(H106+I106-J106)&lt;=MAX(1,0.02*ABS(J106)),"","RBE &lt;&gt; PNB + frais "),"")&amp;IF(COUNT(J106,K106,L106)=3,IF(ABS(J106+K106-L106)&lt;=MAX(1,0.03*ABS(L106)),"","RAI &lt;&gt; RBE + coût du risque "),"")&amp;IF(COUNT(H106,M106)=2,IF(ABS(M106)&gt;ABS(H106),"RN &gt; PNB ",""),"")))</f>
        <v/>
      </c>
    </row>
    <row r="107">
      <c r="A107" s="9" t="inlineStr">
        <is>
          <t>BOAC</t>
        </is>
      </c>
      <c r="B107" s="10">
        <f>IF(A107="","",IFERROR(VLOOKUP(A107,Titres!$A$2:$B$400,2,FALSE),"Ticker inconnu"))</f>
        <v/>
      </c>
      <c r="C107" s="11" t="n">
        <v>2025</v>
      </c>
      <c r="D107" s="11" t="inlineStr">
        <is>
          <t>T1</t>
        </is>
      </c>
      <c r="E107" s="9" t="n"/>
      <c r="F107" s="12" t="n"/>
      <c r="G107" s="9" t="n"/>
      <c r="H107" s="13" t="n"/>
      <c r="I107" s="13" t="n"/>
      <c r="J107" s="13" t="n"/>
      <c r="K107" s="13" t="n"/>
      <c r="L107" s="13" t="n"/>
      <c r="M107" s="13" t="n"/>
      <c r="N107" s="13" t="n"/>
      <c r="O107" s="13" t="n"/>
      <c r="P107" s="14">
        <f>IF(A107="","",COUNT(H107:O107)/8)</f>
        <v/>
      </c>
      <c r="Q107" s="15">
        <f>IF(COUNT(H107:O107)=0,"",IF(LEN(IF(COUNT(H107,I107,J107)=3,IF(ABS(H107+I107-J107)&lt;=MAX(1,0.02*ABS(J107)),"","RBE &lt;&gt; PNB + frais "),"")&amp;IF(COUNT(J107,K107,L107)=3,IF(ABS(J107+K107-L107)&lt;=MAX(1,0.03*ABS(L107)),"","RAI &lt;&gt; RBE + coût du risque "),"")&amp;IF(COUNT(H107,M107)=2,IF(ABS(M107)&gt;ABS(H107),"RN &gt; PNB ",""),""))=0,"OK",IF(COUNT(H107,I107,J107)=3,IF(ABS(H107+I107-J107)&lt;=MAX(1,0.02*ABS(J107)),"","RBE &lt;&gt; PNB + frais "),"")&amp;IF(COUNT(J107,K107,L107)=3,IF(ABS(J107+K107-L107)&lt;=MAX(1,0.03*ABS(L107)),"","RAI &lt;&gt; RBE + coût du risque "),"")&amp;IF(COUNT(H107,M107)=2,IF(ABS(M107)&gt;ABS(H107),"RN &gt; PNB ",""),"")))</f>
        <v/>
      </c>
    </row>
    <row r="108">
      <c r="A108" s="9" t="inlineStr">
        <is>
          <t>BOAC</t>
        </is>
      </c>
      <c r="B108" s="10">
        <f>IF(A108="","",IFERROR(VLOOKUP(A108,Titres!$A$2:$B$400,2,FALSE),"Ticker inconnu"))</f>
        <v/>
      </c>
      <c r="C108" s="11" t="n">
        <v>2025</v>
      </c>
      <c r="D108" s="11" t="inlineStr">
        <is>
          <t>S1</t>
        </is>
      </c>
      <c r="E108" s="9" t="n"/>
      <c r="F108" s="12" t="n"/>
      <c r="G108" s="9" t="n"/>
      <c r="H108" s="13" t="n"/>
      <c r="I108" s="13" t="n"/>
      <c r="J108" s="13" t="n"/>
      <c r="K108" s="13" t="n"/>
      <c r="L108" s="13" t="n"/>
      <c r="M108" s="13" t="n"/>
      <c r="N108" s="13" t="n"/>
      <c r="O108" s="13" t="n"/>
      <c r="P108" s="14">
        <f>IF(A108="","",COUNT(H108:O108)/8)</f>
        <v/>
      </c>
      <c r="Q108" s="15">
        <f>IF(COUNT(H108:O108)=0,"",IF(LEN(IF(COUNT(H108,I108,J108)=3,IF(ABS(H108+I108-J108)&lt;=MAX(1,0.02*ABS(J108)),"","RBE &lt;&gt; PNB + frais "),"")&amp;IF(COUNT(J108,K108,L108)=3,IF(ABS(J108+K108-L108)&lt;=MAX(1,0.03*ABS(L108)),"","RAI &lt;&gt; RBE + coût du risque "),"")&amp;IF(COUNT(H108,M108)=2,IF(ABS(M108)&gt;ABS(H108),"RN &gt; PNB ",""),""))=0,"OK",IF(COUNT(H108,I108,J108)=3,IF(ABS(H108+I108-J108)&lt;=MAX(1,0.02*ABS(J108)),"","RBE &lt;&gt; PNB + frais "),"")&amp;IF(COUNT(J108,K108,L108)=3,IF(ABS(J108+K108-L108)&lt;=MAX(1,0.03*ABS(L108)),"","RAI &lt;&gt; RBE + coût du risque "),"")&amp;IF(COUNT(H108,M108)=2,IF(ABS(M108)&gt;ABS(H108),"RN &gt; PNB ",""),"")))</f>
        <v/>
      </c>
    </row>
    <row r="109">
      <c r="A109" s="9" t="inlineStr">
        <is>
          <t>BOAC</t>
        </is>
      </c>
      <c r="B109" s="10">
        <f>IF(A109="","",IFERROR(VLOOKUP(A109,Titres!$A$2:$B$400,2,FALSE),"Ticker inconnu"))</f>
        <v/>
      </c>
      <c r="C109" s="11" t="n">
        <v>2025</v>
      </c>
      <c r="D109" s="11" t="inlineStr">
        <is>
          <t>T3</t>
        </is>
      </c>
      <c r="E109" s="9" t="n"/>
      <c r="F109" s="12" t="n"/>
      <c r="G109" s="9" t="n"/>
      <c r="H109" s="13" t="n"/>
      <c r="I109" s="13" t="n"/>
      <c r="J109" s="13" t="n"/>
      <c r="K109" s="13" t="n"/>
      <c r="L109" s="13" t="n"/>
      <c r="M109" s="13" t="n"/>
      <c r="N109" s="13" t="n"/>
      <c r="O109" s="13" t="n"/>
      <c r="P109" s="14">
        <f>IF(A109="","",COUNT(H109:O109)/8)</f>
        <v/>
      </c>
      <c r="Q109" s="15">
        <f>IF(COUNT(H109:O109)=0,"",IF(LEN(IF(COUNT(H109,I109,J109)=3,IF(ABS(H109+I109-J109)&lt;=MAX(1,0.02*ABS(J109)),"","RBE &lt;&gt; PNB + frais "),"")&amp;IF(COUNT(J109,K109,L109)=3,IF(ABS(J109+K109-L109)&lt;=MAX(1,0.03*ABS(L109)),"","RAI &lt;&gt; RBE + coût du risque "),"")&amp;IF(COUNT(H109,M109)=2,IF(ABS(M109)&gt;ABS(H109),"RN &gt; PNB ",""),""))=0,"OK",IF(COUNT(H109,I109,J109)=3,IF(ABS(H109+I109-J109)&lt;=MAX(1,0.02*ABS(J109)),"","RBE &lt;&gt; PNB + frais "),"")&amp;IF(COUNT(J109,K109,L109)=3,IF(ABS(J109+K109-L109)&lt;=MAX(1,0.03*ABS(L109)),"","RAI &lt;&gt; RBE + coût du risque "),"")&amp;IF(COUNT(H109,M109)=2,IF(ABS(M109)&gt;ABS(H109),"RN &gt; PNB ",""),"")))</f>
        <v/>
      </c>
    </row>
    <row r="110">
      <c r="A110" s="9" t="inlineStr">
        <is>
          <t>BOAC</t>
        </is>
      </c>
      <c r="B110" s="10">
        <f>IF(A110="","",IFERROR(VLOOKUP(A110,Titres!$A$2:$B$400,2,FALSE),"Ticker inconnu"))</f>
        <v/>
      </c>
      <c r="C110" s="11" t="n">
        <v>2026</v>
      </c>
      <c r="D110" s="11" t="inlineStr">
        <is>
          <t>T1</t>
        </is>
      </c>
      <c r="E110" s="9" t="n"/>
      <c r="F110" s="12" t="n"/>
      <c r="G110" s="9" t="n"/>
      <c r="H110" s="13" t="n"/>
      <c r="I110" s="13" t="n"/>
      <c r="J110" s="13" t="n"/>
      <c r="K110" s="13" t="n"/>
      <c r="L110" s="13" t="n"/>
      <c r="M110" s="13" t="n"/>
      <c r="N110" s="13" t="n"/>
      <c r="O110" s="13" t="n"/>
      <c r="P110" s="14">
        <f>IF(A110="","",COUNT(H110:O110)/8)</f>
        <v/>
      </c>
      <c r="Q110" s="15">
        <f>IF(COUNT(H110:O110)=0,"",IF(LEN(IF(COUNT(H110,I110,J110)=3,IF(ABS(H110+I110-J110)&lt;=MAX(1,0.02*ABS(J110)),"","RBE &lt;&gt; PNB + frais "),"")&amp;IF(COUNT(J110,K110,L110)=3,IF(ABS(J110+K110-L110)&lt;=MAX(1,0.03*ABS(L110)),"","RAI &lt;&gt; RBE + coût du risque "),"")&amp;IF(COUNT(H110,M110)=2,IF(ABS(M110)&gt;ABS(H110),"RN &gt; PNB ",""),""))=0,"OK",IF(COUNT(H110,I110,J110)=3,IF(ABS(H110+I110-J110)&lt;=MAX(1,0.02*ABS(J110)),"","RBE &lt;&gt; PNB + frais "),"")&amp;IF(COUNT(J110,K110,L110)=3,IF(ABS(J110+K110-L110)&lt;=MAX(1,0.03*ABS(L110)),"","RAI &lt;&gt; RBE + coût du risque "),"")&amp;IF(COUNT(H110,M110)=2,IF(ABS(M110)&gt;ABS(H110),"RN &gt; PNB ",""),"")))</f>
        <v/>
      </c>
    </row>
    <row r="111">
      <c r="A111" s="9" t="inlineStr">
        <is>
          <t>BOAC</t>
        </is>
      </c>
      <c r="B111" s="10">
        <f>IF(A111="","",IFERROR(VLOOKUP(A111,Titres!$A$2:$B$400,2,FALSE),"Ticker inconnu"))</f>
        <v/>
      </c>
      <c r="C111" s="11" t="n">
        <v>2026</v>
      </c>
      <c r="D111" s="11" t="inlineStr">
        <is>
          <t>S1</t>
        </is>
      </c>
      <c r="E111" s="9" t="n"/>
      <c r="F111" s="12" t="n"/>
      <c r="G111" s="9" t="n"/>
      <c r="H111" s="13" t="n"/>
      <c r="I111" s="13" t="n"/>
      <c r="J111" s="13" t="n"/>
      <c r="K111" s="13" t="n"/>
      <c r="L111" s="13" t="n"/>
      <c r="M111" s="13" t="n"/>
      <c r="N111" s="13" t="n"/>
      <c r="O111" s="13" t="n"/>
      <c r="P111" s="14">
        <f>IF(A111="","",COUNT(H111:O111)/8)</f>
        <v/>
      </c>
      <c r="Q111" s="15">
        <f>IF(COUNT(H111:O111)=0,"",IF(LEN(IF(COUNT(H111,I111,J111)=3,IF(ABS(H111+I111-J111)&lt;=MAX(1,0.02*ABS(J111)),"","RBE &lt;&gt; PNB + frais "),"")&amp;IF(COUNT(J111,K111,L111)=3,IF(ABS(J111+K111-L111)&lt;=MAX(1,0.03*ABS(L111)),"","RAI &lt;&gt; RBE + coût du risque "),"")&amp;IF(COUNT(H111,M111)=2,IF(ABS(M111)&gt;ABS(H111),"RN &gt; PNB ",""),""))=0,"OK",IF(COUNT(H111,I111,J111)=3,IF(ABS(H111+I111-J111)&lt;=MAX(1,0.02*ABS(J111)),"","RBE &lt;&gt; PNB + frais "),"")&amp;IF(COUNT(J111,K111,L111)=3,IF(ABS(J111+K111-L111)&lt;=MAX(1,0.03*ABS(L111)),"","RAI &lt;&gt; RBE + coût du risque "),"")&amp;IF(COUNT(H111,M111)=2,IF(ABS(M111)&gt;ABS(H111),"RN &gt; PNB ",""),"")))</f>
        <v/>
      </c>
    </row>
    <row r="112">
      <c r="A112" s="9" t="inlineStr">
        <is>
          <t>BOAC</t>
        </is>
      </c>
      <c r="B112" s="10">
        <f>IF(A112="","",IFERROR(VLOOKUP(A112,Titres!$A$2:$B$400,2,FALSE),"Ticker inconnu"))</f>
        <v/>
      </c>
      <c r="C112" s="11" t="n">
        <v>2026</v>
      </c>
      <c r="D112" s="11" t="inlineStr">
        <is>
          <t>T3</t>
        </is>
      </c>
      <c r="E112" s="9" t="n"/>
      <c r="F112" s="12" t="n"/>
      <c r="G112" s="9" t="n"/>
      <c r="H112" s="13" t="n"/>
      <c r="I112" s="13" t="n"/>
      <c r="J112" s="13" t="n"/>
      <c r="K112" s="13" t="n"/>
      <c r="L112" s="13" t="n"/>
      <c r="M112" s="13" t="n"/>
      <c r="N112" s="13" t="n"/>
      <c r="O112" s="13" t="n"/>
      <c r="P112" s="14">
        <f>IF(A112="","",COUNT(H112:O112)/8)</f>
        <v/>
      </c>
      <c r="Q112" s="15">
        <f>IF(COUNT(H112:O112)=0,"",IF(LEN(IF(COUNT(H112,I112,J112)=3,IF(ABS(H112+I112-J112)&lt;=MAX(1,0.02*ABS(J112)),"","RBE &lt;&gt; PNB + frais "),"")&amp;IF(COUNT(J112,K112,L112)=3,IF(ABS(J112+K112-L112)&lt;=MAX(1,0.03*ABS(L112)),"","RAI &lt;&gt; RBE + coût du risque "),"")&amp;IF(COUNT(H112,M112)=2,IF(ABS(M112)&gt;ABS(H112),"RN &gt; PNB ",""),""))=0,"OK",IF(COUNT(H112,I112,J112)=3,IF(ABS(H112+I112-J112)&lt;=MAX(1,0.02*ABS(J112)),"","RBE &lt;&gt; PNB + frais "),"")&amp;IF(COUNT(J112,K112,L112)=3,IF(ABS(J112+K112-L112)&lt;=MAX(1,0.03*ABS(L112)),"","RAI &lt;&gt; RBE + coût du risque "),"")&amp;IF(COUNT(H112,M112)=2,IF(ABS(M112)&gt;ABS(H112),"RN &gt; PNB ",""),"")))</f>
        <v/>
      </c>
    </row>
    <row r="113">
      <c r="A113" s="9" t="inlineStr">
        <is>
          <t>BOAM</t>
        </is>
      </c>
      <c r="B113" s="10">
        <f>IF(A113="","",IFERROR(VLOOKUP(A113,Titres!$A$2:$B$400,2,FALSE),"Ticker inconnu"))</f>
        <v/>
      </c>
      <c r="C113" s="11" t="n">
        <v>2021</v>
      </c>
      <c r="D113" s="11" t="inlineStr">
        <is>
          <t>T1</t>
        </is>
      </c>
      <c r="E113" s="9" t="n"/>
      <c r="F113" s="12" t="n"/>
      <c r="G113" s="9" t="n"/>
      <c r="H113" s="13" t="n"/>
      <c r="I113" s="13" t="n"/>
      <c r="J113" s="13" t="n"/>
      <c r="K113" s="13" t="n"/>
      <c r="L113" s="13" t="n"/>
      <c r="M113" s="13" t="n"/>
      <c r="N113" s="13" t="n"/>
      <c r="O113" s="13" t="n"/>
      <c r="P113" s="14">
        <f>IF(A113="","",COUNT(H113:O113)/8)</f>
        <v/>
      </c>
      <c r="Q113" s="15">
        <f>IF(COUNT(H113:O113)=0,"",IF(LEN(IF(COUNT(H113,I113,J113)=3,IF(ABS(H113+I113-J113)&lt;=MAX(1,0.02*ABS(J113)),"","RBE &lt;&gt; PNB + frais "),"")&amp;IF(COUNT(J113,K113,L113)=3,IF(ABS(J113+K113-L113)&lt;=MAX(1,0.03*ABS(L113)),"","RAI &lt;&gt; RBE + coût du risque "),"")&amp;IF(COUNT(H113,M113)=2,IF(ABS(M113)&gt;ABS(H113),"RN &gt; PNB ",""),""))=0,"OK",IF(COUNT(H113,I113,J113)=3,IF(ABS(H113+I113-J113)&lt;=MAX(1,0.02*ABS(J113)),"","RBE &lt;&gt; PNB + frais "),"")&amp;IF(COUNT(J113,K113,L113)=3,IF(ABS(J113+K113-L113)&lt;=MAX(1,0.03*ABS(L113)),"","RAI &lt;&gt; RBE + coût du risque "),"")&amp;IF(COUNT(H113,M113)=2,IF(ABS(M113)&gt;ABS(H113),"RN &gt; PNB ",""),"")))</f>
        <v/>
      </c>
    </row>
    <row r="114">
      <c r="A114" s="9" t="inlineStr">
        <is>
          <t>BOAM</t>
        </is>
      </c>
      <c r="B114" s="10">
        <f>IF(A114="","",IFERROR(VLOOKUP(A114,Titres!$A$2:$B$400,2,FALSE),"Ticker inconnu"))</f>
        <v/>
      </c>
      <c r="C114" s="11" t="n">
        <v>2021</v>
      </c>
      <c r="D114" s="11" t="inlineStr">
        <is>
          <t>S1</t>
        </is>
      </c>
      <c r="E114" s="9" t="n"/>
      <c r="F114" s="12" t="n"/>
      <c r="G114" s="9" t="n"/>
      <c r="H114" s="13" t="n"/>
      <c r="I114" s="13" t="n"/>
      <c r="J114" s="13" t="n"/>
      <c r="K114" s="13" t="n"/>
      <c r="L114" s="13" t="n"/>
      <c r="M114" s="13" t="n"/>
      <c r="N114" s="13" t="n"/>
      <c r="O114" s="13" t="n"/>
      <c r="P114" s="14">
        <f>IF(A114="","",COUNT(H114:O114)/8)</f>
        <v/>
      </c>
      <c r="Q114" s="15">
        <f>IF(COUNT(H114:O114)=0,"",IF(LEN(IF(COUNT(H114,I114,J114)=3,IF(ABS(H114+I114-J114)&lt;=MAX(1,0.02*ABS(J114)),"","RBE &lt;&gt; PNB + frais "),"")&amp;IF(COUNT(J114,K114,L114)=3,IF(ABS(J114+K114-L114)&lt;=MAX(1,0.03*ABS(L114)),"","RAI &lt;&gt; RBE + coût du risque "),"")&amp;IF(COUNT(H114,M114)=2,IF(ABS(M114)&gt;ABS(H114),"RN &gt; PNB ",""),""))=0,"OK",IF(COUNT(H114,I114,J114)=3,IF(ABS(H114+I114-J114)&lt;=MAX(1,0.02*ABS(J114)),"","RBE &lt;&gt; PNB + frais "),"")&amp;IF(COUNT(J114,K114,L114)=3,IF(ABS(J114+K114-L114)&lt;=MAX(1,0.03*ABS(L114)),"","RAI &lt;&gt; RBE + coût du risque "),"")&amp;IF(COUNT(H114,M114)=2,IF(ABS(M114)&gt;ABS(H114),"RN &gt; PNB ",""),"")))</f>
        <v/>
      </c>
    </row>
    <row r="115">
      <c r="A115" s="9" t="inlineStr">
        <is>
          <t>BOAM</t>
        </is>
      </c>
      <c r="B115" s="10">
        <f>IF(A115="","",IFERROR(VLOOKUP(A115,Titres!$A$2:$B$400,2,FALSE),"Ticker inconnu"))</f>
        <v/>
      </c>
      <c r="C115" s="11" t="n">
        <v>2021</v>
      </c>
      <c r="D115" s="11" t="inlineStr">
        <is>
          <t>T3</t>
        </is>
      </c>
      <c r="E115" s="9" t="n"/>
      <c r="F115" s="12" t="n"/>
      <c r="G115" s="9" t="n"/>
      <c r="H115" s="13" t="n"/>
      <c r="I115" s="13" t="n"/>
      <c r="J115" s="13" t="n"/>
      <c r="K115" s="13" t="n"/>
      <c r="L115" s="13" t="n"/>
      <c r="M115" s="13" t="n"/>
      <c r="N115" s="13" t="n"/>
      <c r="O115" s="13" t="n"/>
      <c r="P115" s="14">
        <f>IF(A115="","",COUNT(H115:O115)/8)</f>
        <v/>
      </c>
      <c r="Q115" s="15">
        <f>IF(COUNT(H115:O115)=0,"",IF(LEN(IF(COUNT(H115,I115,J115)=3,IF(ABS(H115+I115-J115)&lt;=MAX(1,0.02*ABS(J115)),"","RBE &lt;&gt; PNB + frais "),"")&amp;IF(COUNT(J115,K115,L115)=3,IF(ABS(J115+K115-L115)&lt;=MAX(1,0.03*ABS(L115)),"","RAI &lt;&gt; RBE + coût du risque "),"")&amp;IF(COUNT(H115,M115)=2,IF(ABS(M115)&gt;ABS(H115),"RN &gt; PNB ",""),""))=0,"OK",IF(COUNT(H115,I115,J115)=3,IF(ABS(H115+I115-J115)&lt;=MAX(1,0.02*ABS(J115)),"","RBE &lt;&gt; PNB + frais "),"")&amp;IF(COUNT(J115,K115,L115)=3,IF(ABS(J115+K115-L115)&lt;=MAX(1,0.03*ABS(L115)),"","RAI &lt;&gt; RBE + coût du risque "),"")&amp;IF(COUNT(H115,M115)=2,IF(ABS(M115)&gt;ABS(H115),"RN &gt; PNB ",""),"")))</f>
        <v/>
      </c>
    </row>
    <row r="116">
      <c r="A116" s="9" t="inlineStr">
        <is>
          <t>BOAM</t>
        </is>
      </c>
      <c r="B116" s="10">
        <f>IF(A116="","",IFERROR(VLOOKUP(A116,Titres!$A$2:$B$400,2,FALSE),"Ticker inconnu"))</f>
        <v/>
      </c>
      <c r="C116" s="11" t="n">
        <v>2022</v>
      </c>
      <c r="D116" s="11" t="inlineStr">
        <is>
          <t>T1</t>
        </is>
      </c>
      <c r="E116" s="9" t="n"/>
      <c r="F116" s="12" t="n"/>
      <c r="G116" s="9" t="n"/>
      <c r="H116" s="13" t="n"/>
      <c r="I116" s="13" t="n"/>
      <c r="J116" s="13" t="n"/>
      <c r="K116" s="13" t="n"/>
      <c r="L116" s="13" t="n"/>
      <c r="M116" s="13" t="n"/>
      <c r="N116" s="13" t="n"/>
      <c r="O116" s="13" t="n"/>
      <c r="P116" s="14">
        <f>IF(A116="","",COUNT(H116:O116)/8)</f>
        <v/>
      </c>
      <c r="Q116" s="15">
        <f>IF(COUNT(H116:O116)=0,"",IF(LEN(IF(COUNT(H116,I116,J116)=3,IF(ABS(H116+I116-J116)&lt;=MAX(1,0.02*ABS(J116)),"","RBE &lt;&gt; PNB + frais "),"")&amp;IF(COUNT(J116,K116,L116)=3,IF(ABS(J116+K116-L116)&lt;=MAX(1,0.03*ABS(L116)),"","RAI &lt;&gt; RBE + coût du risque "),"")&amp;IF(COUNT(H116,M116)=2,IF(ABS(M116)&gt;ABS(H116),"RN &gt; PNB ",""),""))=0,"OK",IF(COUNT(H116,I116,J116)=3,IF(ABS(H116+I116-J116)&lt;=MAX(1,0.02*ABS(J116)),"","RBE &lt;&gt; PNB + frais "),"")&amp;IF(COUNT(J116,K116,L116)=3,IF(ABS(J116+K116-L116)&lt;=MAX(1,0.03*ABS(L116)),"","RAI &lt;&gt; RBE + coût du risque "),"")&amp;IF(COUNT(H116,M116)=2,IF(ABS(M116)&gt;ABS(H116),"RN &gt; PNB ",""),"")))</f>
        <v/>
      </c>
    </row>
    <row r="117">
      <c r="A117" s="9" t="inlineStr">
        <is>
          <t>BOAM</t>
        </is>
      </c>
      <c r="B117" s="10">
        <f>IF(A117="","",IFERROR(VLOOKUP(A117,Titres!$A$2:$B$400,2,FALSE),"Ticker inconnu"))</f>
        <v/>
      </c>
      <c r="C117" s="11" t="n">
        <v>2022</v>
      </c>
      <c r="D117" s="11" t="inlineStr">
        <is>
          <t>S1</t>
        </is>
      </c>
      <c r="E117" s="9" t="n"/>
      <c r="F117" s="12" t="n"/>
      <c r="G117" s="9" t="n"/>
      <c r="H117" s="13" t="n"/>
      <c r="I117" s="13" t="n"/>
      <c r="J117" s="13" t="n"/>
      <c r="K117" s="13" t="n"/>
      <c r="L117" s="13" t="n"/>
      <c r="M117" s="13" t="n"/>
      <c r="N117" s="13" t="n"/>
      <c r="O117" s="13" t="n"/>
      <c r="P117" s="14">
        <f>IF(A117="","",COUNT(H117:O117)/8)</f>
        <v/>
      </c>
      <c r="Q117" s="15">
        <f>IF(COUNT(H117:O117)=0,"",IF(LEN(IF(COUNT(H117,I117,J117)=3,IF(ABS(H117+I117-J117)&lt;=MAX(1,0.02*ABS(J117)),"","RBE &lt;&gt; PNB + frais "),"")&amp;IF(COUNT(J117,K117,L117)=3,IF(ABS(J117+K117-L117)&lt;=MAX(1,0.03*ABS(L117)),"","RAI &lt;&gt; RBE + coût du risque "),"")&amp;IF(COUNT(H117,M117)=2,IF(ABS(M117)&gt;ABS(H117),"RN &gt; PNB ",""),""))=0,"OK",IF(COUNT(H117,I117,J117)=3,IF(ABS(H117+I117-J117)&lt;=MAX(1,0.02*ABS(J117)),"","RBE &lt;&gt; PNB + frais "),"")&amp;IF(COUNT(J117,K117,L117)=3,IF(ABS(J117+K117-L117)&lt;=MAX(1,0.03*ABS(L117)),"","RAI &lt;&gt; RBE + coût du risque "),"")&amp;IF(COUNT(H117,M117)=2,IF(ABS(M117)&gt;ABS(H117),"RN &gt; PNB ",""),"")))</f>
        <v/>
      </c>
    </row>
    <row r="118">
      <c r="A118" s="9" t="inlineStr">
        <is>
          <t>BOAM</t>
        </is>
      </c>
      <c r="B118" s="10">
        <f>IF(A118="","",IFERROR(VLOOKUP(A118,Titres!$A$2:$B$400,2,FALSE),"Ticker inconnu"))</f>
        <v/>
      </c>
      <c r="C118" s="11" t="n">
        <v>2022</v>
      </c>
      <c r="D118" s="11" t="inlineStr">
        <is>
          <t>T3</t>
        </is>
      </c>
      <c r="E118" s="9" t="n"/>
      <c r="F118" s="12" t="n"/>
      <c r="G118" s="9" t="n"/>
      <c r="H118" s="13" t="n"/>
      <c r="I118" s="13" t="n"/>
      <c r="J118" s="13" t="n"/>
      <c r="K118" s="13" t="n"/>
      <c r="L118" s="13" t="n"/>
      <c r="M118" s="13" t="n"/>
      <c r="N118" s="13" t="n"/>
      <c r="O118" s="13" t="n"/>
      <c r="P118" s="14">
        <f>IF(A118="","",COUNT(H118:O118)/8)</f>
        <v/>
      </c>
      <c r="Q118" s="15">
        <f>IF(COUNT(H118:O118)=0,"",IF(LEN(IF(COUNT(H118,I118,J118)=3,IF(ABS(H118+I118-J118)&lt;=MAX(1,0.02*ABS(J118)),"","RBE &lt;&gt; PNB + frais "),"")&amp;IF(COUNT(J118,K118,L118)=3,IF(ABS(J118+K118-L118)&lt;=MAX(1,0.03*ABS(L118)),"","RAI &lt;&gt; RBE + coût du risque "),"")&amp;IF(COUNT(H118,M118)=2,IF(ABS(M118)&gt;ABS(H118),"RN &gt; PNB ",""),""))=0,"OK",IF(COUNT(H118,I118,J118)=3,IF(ABS(H118+I118-J118)&lt;=MAX(1,0.02*ABS(J118)),"","RBE &lt;&gt; PNB + frais "),"")&amp;IF(COUNT(J118,K118,L118)=3,IF(ABS(J118+K118-L118)&lt;=MAX(1,0.03*ABS(L118)),"","RAI &lt;&gt; RBE + coût du risque "),"")&amp;IF(COUNT(H118,M118)=2,IF(ABS(M118)&gt;ABS(H118),"RN &gt; PNB ",""),"")))</f>
        <v/>
      </c>
    </row>
    <row r="119">
      <c r="A119" s="9" t="inlineStr">
        <is>
          <t>BOAM</t>
        </is>
      </c>
      <c r="B119" s="10">
        <f>IF(A119="","",IFERROR(VLOOKUP(A119,Titres!$A$2:$B$400,2,FALSE),"Ticker inconnu"))</f>
        <v/>
      </c>
      <c r="C119" s="11" t="n">
        <v>2023</v>
      </c>
      <c r="D119" s="11" t="inlineStr">
        <is>
          <t>T1</t>
        </is>
      </c>
      <c r="E119" s="9" t="n"/>
      <c r="F119" s="12" t="n"/>
      <c r="G119" s="9" t="n"/>
      <c r="H119" s="13" t="n"/>
      <c r="I119" s="13" t="n"/>
      <c r="J119" s="13" t="n"/>
      <c r="K119" s="13" t="n"/>
      <c r="L119" s="13" t="n"/>
      <c r="M119" s="13" t="n"/>
      <c r="N119" s="13" t="n"/>
      <c r="O119" s="13" t="n"/>
      <c r="P119" s="14">
        <f>IF(A119="","",COUNT(H119:O119)/8)</f>
        <v/>
      </c>
      <c r="Q119" s="15">
        <f>IF(COUNT(H119:O119)=0,"",IF(LEN(IF(COUNT(H119,I119,J119)=3,IF(ABS(H119+I119-J119)&lt;=MAX(1,0.02*ABS(J119)),"","RBE &lt;&gt; PNB + frais "),"")&amp;IF(COUNT(J119,K119,L119)=3,IF(ABS(J119+K119-L119)&lt;=MAX(1,0.03*ABS(L119)),"","RAI &lt;&gt; RBE + coût du risque "),"")&amp;IF(COUNT(H119,M119)=2,IF(ABS(M119)&gt;ABS(H119),"RN &gt; PNB ",""),""))=0,"OK",IF(COUNT(H119,I119,J119)=3,IF(ABS(H119+I119-J119)&lt;=MAX(1,0.02*ABS(J119)),"","RBE &lt;&gt; PNB + frais "),"")&amp;IF(COUNT(J119,K119,L119)=3,IF(ABS(J119+K119-L119)&lt;=MAX(1,0.03*ABS(L119)),"","RAI &lt;&gt; RBE + coût du risque "),"")&amp;IF(COUNT(H119,M119)=2,IF(ABS(M119)&gt;ABS(H119),"RN &gt; PNB ",""),"")))</f>
        <v/>
      </c>
    </row>
    <row r="120">
      <c r="A120" s="9" t="inlineStr">
        <is>
          <t>BOAM</t>
        </is>
      </c>
      <c r="B120" s="10">
        <f>IF(A120="","",IFERROR(VLOOKUP(A120,Titres!$A$2:$B$400,2,FALSE),"Ticker inconnu"))</f>
        <v/>
      </c>
      <c r="C120" s="11" t="n">
        <v>2023</v>
      </c>
      <c r="D120" s="11" t="inlineStr">
        <is>
          <t>S1</t>
        </is>
      </c>
      <c r="E120" s="9" t="n"/>
      <c r="F120" s="12" t="n"/>
      <c r="G120" s="9" t="n"/>
      <c r="H120" s="13" t="n"/>
      <c r="I120" s="13" t="n"/>
      <c r="J120" s="13" t="n"/>
      <c r="K120" s="13" t="n"/>
      <c r="L120" s="13" t="n"/>
      <c r="M120" s="13" t="n"/>
      <c r="N120" s="13" t="n"/>
      <c r="O120" s="13" t="n"/>
      <c r="P120" s="14">
        <f>IF(A120="","",COUNT(H120:O120)/8)</f>
        <v/>
      </c>
      <c r="Q120" s="15">
        <f>IF(COUNT(H120:O120)=0,"",IF(LEN(IF(COUNT(H120,I120,J120)=3,IF(ABS(H120+I120-J120)&lt;=MAX(1,0.02*ABS(J120)),"","RBE &lt;&gt; PNB + frais "),"")&amp;IF(COUNT(J120,K120,L120)=3,IF(ABS(J120+K120-L120)&lt;=MAX(1,0.03*ABS(L120)),"","RAI &lt;&gt; RBE + coût du risque "),"")&amp;IF(COUNT(H120,M120)=2,IF(ABS(M120)&gt;ABS(H120),"RN &gt; PNB ",""),""))=0,"OK",IF(COUNT(H120,I120,J120)=3,IF(ABS(H120+I120-J120)&lt;=MAX(1,0.02*ABS(J120)),"","RBE &lt;&gt; PNB + frais "),"")&amp;IF(COUNT(J120,K120,L120)=3,IF(ABS(J120+K120-L120)&lt;=MAX(1,0.03*ABS(L120)),"","RAI &lt;&gt; RBE + coût du risque "),"")&amp;IF(COUNT(H120,M120)=2,IF(ABS(M120)&gt;ABS(H120),"RN &gt; PNB ",""),"")))</f>
        <v/>
      </c>
    </row>
    <row r="121">
      <c r="A121" s="9" t="inlineStr">
        <is>
          <t>BOAM</t>
        </is>
      </c>
      <c r="B121" s="10">
        <f>IF(A121="","",IFERROR(VLOOKUP(A121,Titres!$A$2:$B$400,2,FALSE),"Ticker inconnu"))</f>
        <v/>
      </c>
      <c r="C121" s="11" t="n">
        <v>2023</v>
      </c>
      <c r="D121" s="11" t="inlineStr">
        <is>
          <t>T3</t>
        </is>
      </c>
      <c r="E121" s="9" t="n"/>
      <c r="F121" s="12" t="n"/>
      <c r="G121" s="9" t="n"/>
      <c r="H121" s="13" t="n"/>
      <c r="I121" s="13" t="n"/>
      <c r="J121" s="13" t="n"/>
      <c r="K121" s="13" t="n"/>
      <c r="L121" s="13" t="n"/>
      <c r="M121" s="13" t="n"/>
      <c r="N121" s="13" t="n"/>
      <c r="O121" s="13" t="n"/>
      <c r="P121" s="14">
        <f>IF(A121="","",COUNT(H121:O121)/8)</f>
        <v/>
      </c>
      <c r="Q121" s="15">
        <f>IF(COUNT(H121:O121)=0,"",IF(LEN(IF(COUNT(H121,I121,J121)=3,IF(ABS(H121+I121-J121)&lt;=MAX(1,0.02*ABS(J121)),"","RBE &lt;&gt; PNB + frais "),"")&amp;IF(COUNT(J121,K121,L121)=3,IF(ABS(J121+K121-L121)&lt;=MAX(1,0.03*ABS(L121)),"","RAI &lt;&gt; RBE + coût du risque "),"")&amp;IF(COUNT(H121,M121)=2,IF(ABS(M121)&gt;ABS(H121),"RN &gt; PNB ",""),""))=0,"OK",IF(COUNT(H121,I121,J121)=3,IF(ABS(H121+I121-J121)&lt;=MAX(1,0.02*ABS(J121)),"","RBE &lt;&gt; PNB + frais "),"")&amp;IF(COUNT(J121,K121,L121)=3,IF(ABS(J121+K121-L121)&lt;=MAX(1,0.03*ABS(L121)),"","RAI &lt;&gt; RBE + coût du risque "),"")&amp;IF(COUNT(H121,M121)=2,IF(ABS(M121)&gt;ABS(H121),"RN &gt; PNB ",""),"")))</f>
        <v/>
      </c>
    </row>
    <row r="122">
      <c r="A122" s="9" t="inlineStr">
        <is>
          <t>BOAM</t>
        </is>
      </c>
      <c r="B122" s="10">
        <f>IF(A122="","",IFERROR(VLOOKUP(A122,Titres!$A$2:$B$400,2,FALSE),"Ticker inconnu"))</f>
        <v/>
      </c>
      <c r="C122" s="11" t="n">
        <v>2024</v>
      </c>
      <c r="D122" s="11" t="inlineStr">
        <is>
          <t>T1</t>
        </is>
      </c>
      <c r="E122" s="9" t="n"/>
      <c r="F122" s="12" t="n"/>
      <c r="G122" s="9" t="n"/>
      <c r="H122" s="13" t="n"/>
      <c r="I122" s="13" t="n"/>
      <c r="J122" s="13" t="n"/>
      <c r="K122" s="13" t="n"/>
      <c r="L122" s="13" t="n"/>
      <c r="M122" s="13" t="n"/>
      <c r="N122" s="13" t="n"/>
      <c r="O122" s="13" t="n"/>
      <c r="P122" s="14">
        <f>IF(A122="","",COUNT(H122:O122)/8)</f>
        <v/>
      </c>
      <c r="Q122" s="15">
        <f>IF(COUNT(H122:O122)=0,"",IF(LEN(IF(COUNT(H122,I122,J122)=3,IF(ABS(H122+I122-J122)&lt;=MAX(1,0.02*ABS(J122)),"","RBE &lt;&gt; PNB + frais "),"")&amp;IF(COUNT(J122,K122,L122)=3,IF(ABS(J122+K122-L122)&lt;=MAX(1,0.03*ABS(L122)),"","RAI &lt;&gt; RBE + coût du risque "),"")&amp;IF(COUNT(H122,M122)=2,IF(ABS(M122)&gt;ABS(H122),"RN &gt; PNB ",""),""))=0,"OK",IF(COUNT(H122,I122,J122)=3,IF(ABS(H122+I122-J122)&lt;=MAX(1,0.02*ABS(J122)),"","RBE &lt;&gt; PNB + frais "),"")&amp;IF(COUNT(J122,K122,L122)=3,IF(ABS(J122+K122-L122)&lt;=MAX(1,0.03*ABS(L122)),"","RAI &lt;&gt; RBE + coût du risque "),"")&amp;IF(COUNT(H122,M122)=2,IF(ABS(M122)&gt;ABS(H122),"RN &gt; PNB ",""),"")))</f>
        <v/>
      </c>
    </row>
    <row r="123">
      <c r="A123" s="9" t="inlineStr">
        <is>
          <t>BOAM</t>
        </is>
      </c>
      <c r="B123" s="10">
        <f>IF(A123="","",IFERROR(VLOOKUP(A123,Titres!$A$2:$B$400,2,FALSE),"Ticker inconnu"))</f>
        <v/>
      </c>
      <c r="C123" s="11" t="n">
        <v>2024</v>
      </c>
      <c r="D123" s="11" t="inlineStr">
        <is>
          <t>S1</t>
        </is>
      </c>
      <c r="E123" s="9" t="n"/>
      <c r="F123" s="12" t="n"/>
      <c r="G123" s="9" t="n"/>
      <c r="H123" s="13" t="n"/>
      <c r="I123" s="13" t="n"/>
      <c r="J123" s="13" t="n"/>
      <c r="K123" s="13" t="n"/>
      <c r="L123" s="13" t="n"/>
      <c r="M123" s="13" t="n"/>
      <c r="N123" s="13" t="n"/>
      <c r="O123" s="13" t="n"/>
      <c r="P123" s="14">
        <f>IF(A123="","",COUNT(H123:O123)/8)</f>
        <v/>
      </c>
      <c r="Q123" s="15">
        <f>IF(COUNT(H123:O123)=0,"",IF(LEN(IF(COUNT(H123,I123,J123)=3,IF(ABS(H123+I123-J123)&lt;=MAX(1,0.02*ABS(J123)),"","RBE &lt;&gt; PNB + frais "),"")&amp;IF(COUNT(J123,K123,L123)=3,IF(ABS(J123+K123-L123)&lt;=MAX(1,0.03*ABS(L123)),"","RAI &lt;&gt; RBE + coût du risque "),"")&amp;IF(COUNT(H123,M123)=2,IF(ABS(M123)&gt;ABS(H123),"RN &gt; PNB ",""),""))=0,"OK",IF(COUNT(H123,I123,J123)=3,IF(ABS(H123+I123-J123)&lt;=MAX(1,0.02*ABS(J123)),"","RBE &lt;&gt; PNB + frais "),"")&amp;IF(COUNT(J123,K123,L123)=3,IF(ABS(J123+K123-L123)&lt;=MAX(1,0.03*ABS(L123)),"","RAI &lt;&gt; RBE + coût du risque "),"")&amp;IF(COUNT(H123,M123)=2,IF(ABS(M123)&gt;ABS(H123),"RN &gt; PNB ",""),"")))</f>
        <v/>
      </c>
    </row>
    <row r="124">
      <c r="A124" s="9" t="inlineStr">
        <is>
          <t>BOAM</t>
        </is>
      </c>
      <c r="B124" s="10">
        <f>IF(A124="","",IFERROR(VLOOKUP(A124,Titres!$A$2:$B$400,2,FALSE),"Ticker inconnu"))</f>
        <v/>
      </c>
      <c r="C124" s="11" t="n">
        <v>2024</v>
      </c>
      <c r="D124" s="11" t="inlineStr">
        <is>
          <t>T3</t>
        </is>
      </c>
      <c r="E124" s="9" t="n"/>
      <c r="F124" s="12" t="n"/>
      <c r="G124" s="9" t="n"/>
      <c r="H124" s="13" t="n"/>
      <c r="I124" s="13" t="n"/>
      <c r="J124" s="13" t="n"/>
      <c r="K124" s="13" t="n"/>
      <c r="L124" s="13" t="n"/>
      <c r="M124" s="13" t="n"/>
      <c r="N124" s="13" t="n"/>
      <c r="O124" s="13" t="n"/>
      <c r="P124" s="14">
        <f>IF(A124="","",COUNT(H124:O124)/8)</f>
        <v/>
      </c>
      <c r="Q124" s="15">
        <f>IF(COUNT(H124:O124)=0,"",IF(LEN(IF(COUNT(H124,I124,J124)=3,IF(ABS(H124+I124-J124)&lt;=MAX(1,0.02*ABS(J124)),"","RBE &lt;&gt; PNB + frais "),"")&amp;IF(COUNT(J124,K124,L124)=3,IF(ABS(J124+K124-L124)&lt;=MAX(1,0.03*ABS(L124)),"","RAI &lt;&gt; RBE + coût du risque "),"")&amp;IF(COUNT(H124,M124)=2,IF(ABS(M124)&gt;ABS(H124),"RN &gt; PNB ",""),""))=0,"OK",IF(COUNT(H124,I124,J124)=3,IF(ABS(H124+I124-J124)&lt;=MAX(1,0.02*ABS(J124)),"","RBE &lt;&gt; PNB + frais "),"")&amp;IF(COUNT(J124,K124,L124)=3,IF(ABS(J124+K124-L124)&lt;=MAX(1,0.03*ABS(L124)),"","RAI &lt;&gt; RBE + coût du risque "),"")&amp;IF(COUNT(H124,M124)=2,IF(ABS(M124)&gt;ABS(H124),"RN &gt; PNB ",""),"")))</f>
        <v/>
      </c>
    </row>
    <row r="125">
      <c r="A125" s="9" t="inlineStr">
        <is>
          <t>BOAM</t>
        </is>
      </c>
      <c r="B125" s="10">
        <f>IF(A125="","",IFERROR(VLOOKUP(A125,Titres!$A$2:$B$400,2,FALSE),"Ticker inconnu"))</f>
        <v/>
      </c>
      <c r="C125" s="11" t="n">
        <v>2025</v>
      </c>
      <c r="D125" s="11" t="inlineStr">
        <is>
          <t>T1</t>
        </is>
      </c>
      <c r="E125" s="9" t="n"/>
      <c r="F125" s="12" t="n"/>
      <c r="G125" s="9" t="n"/>
      <c r="H125" s="13" t="n"/>
      <c r="I125" s="13" t="n"/>
      <c r="J125" s="13" t="n"/>
      <c r="K125" s="13" t="n"/>
      <c r="L125" s="13" t="n"/>
      <c r="M125" s="13" t="n"/>
      <c r="N125" s="13" t="n"/>
      <c r="O125" s="13" t="n"/>
      <c r="P125" s="14">
        <f>IF(A125="","",COUNT(H125:O125)/8)</f>
        <v/>
      </c>
      <c r="Q125" s="15">
        <f>IF(COUNT(H125:O125)=0,"",IF(LEN(IF(COUNT(H125,I125,J125)=3,IF(ABS(H125+I125-J125)&lt;=MAX(1,0.02*ABS(J125)),"","RBE &lt;&gt; PNB + frais "),"")&amp;IF(COUNT(J125,K125,L125)=3,IF(ABS(J125+K125-L125)&lt;=MAX(1,0.03*ABS(L125)),"","RAI &lt;&gt; RBE + coût du risque "),"")&amp;IF(COUNT(H125,M125)=2,IF(ABS(M125)&gt;ABS(H125),"RN &gt; PNB ",""),""))=0,"OK",IF(COUNT(H125,I125,J125)=3,IF(ABS(H125+I125-J125)&lt;=MAX(1,0.02*ABS(J125)),"","RBE &lt;&gt; PNB + frais "),"")&amp;IF(COUNT(J125,K125,L125)=3,IF(ABS(J125+K125-L125)&lt;=MAX(1,0.03*ABS(L125)),"","RAI &lt;&gt; RBE + coût du risque "),"")&amp;IF(COUNT(H125,M125)=2,IF(ABS(M125)&gt;ABS(H125),"RN &gt; PNB ",""),"")))</f>
        <v/>
      </c>
    </row>
    <row r="126">
      <c r="A126" s="9" t="inlineStr">
        <is>
          <t>BOAM</t>
        </is>
      </c>
      <c r="B126" s="10">
        <f>IF(A126="","",IFERROR(VLOOKUP(A126,Titres!$A$2:$B$400,2,FALSE),"Ticker inconnu"))</f>
        <v/>
      </c>
      <c r="C126" s="11" t="n">
        <v>2025</v>
      </c>
      <c r="D126" s="11" t="inlineStr">
        <is>
          <t>S1</t>
        </is>
      </c>
      <c r="E126" s="9" t="inlineStr">
        <is>
          <t>Publié</t>
        </is>
      </c>
      <c r="F126" s="12" t="n">
        <v>46288</v>
      </c>
      <c r="G126" s="9" t="inlineStr">
        <is>
          <t>https://www.richbourse.com/common/actualite/afficher-fichier/23-09-2026-boa-mali-rapport-dactivites-1er-semestre-2026 (comparatif N-1)</t>
        </is>
      </c>
      <c r="H126" s="13" t="n">
        <v>18713</v>
      </c>
      <c r="I126" s="13" t="n">
        <v>-10357</v>
      </c>
      <c r="J126" s="13" t="n">
        <v>8355</v>
      </c>
      <c r="K126" s="13" t="n">
        <v>-3664</v>
      </c>
      <c r="L126" s="13" t="n"/>
      <c r="M126" s="13" t="n">
        <v>6206</v>
      </c>
      <c r="N126" s="13" t="n"/>
      <c r="O126" s="13" t="n"/>
      <c r="P126" s="14">
        <f>IF(A126="","",COUNT(H126:O126)/8)</f>
        <v/>
      </c>
      <c r="Q126" s="15">
        <f>IF(COUNT(H126:O126)=0,"",IF(LEN(IF(COUNT(H126,I126,J126)=3,IF(ABS(H126+I126-J126)&lt;=MAX(1,0.02*ABS(J126)),"","RBE &lt;&gt; PNB + frais "),"")&amp;IF(COUNT(J126,K126,L126)=3,IF(ABS(J126+K126-L126)&lt;=MAX(1,0.03*ABS(L126)),"","RAI &lt;&gt; RBE + coût du risque "),"")&amp;IF(COUNT(H126,M126)=2,IF(ABS(M126)&gt;ABS(H126),"RN &gt; PNB ",""),""))=0,"OK",IF(COUNT(H126,I126,J126)=3,IF(ABS(H126+I126-J126)&lt;=MAX(1,0.02*ABS(J126)),"","RBE &lt;&gt; PNB + frais "),"")&amp;IF(COUNT(J126,K126,L126)=3,IF(ABS(J126+K126-L126)&lt;=MAX(1,0.03*ABS(L126)),"","RAI &lt;&gt; RBE + coût du risque "),"")&amp;IF(COUNT(H126,M126)=2,IF(ABS(M126)&gt;ABS(H126),"RN &gt; PNB ",""),"")))</f>
        <v/>
      </c>
    </row>
    <row r="127">
      <c r="A127" s="9" t="inlineStr">
        <is>
          <t>BOAM</t>
        </is>
      </c>
      <c r="B127" s="10">
        <f>IF(A127="","",IFERROR(VLOOKUP(A127,Titres!$A$2:$B$400,2,FALSE),"Ticker inconnu"))</f>
        <v/>
      </c>
      <c r="C127" s="11" t="n">
        <v>2025</v>
      </c>
      <c r="D127" s="11" t="inlineStr">
        <is>
          <t>T3</t>
        </is>
      </c>
      <c r="E127" s="9" t="n"/>
      <c r="F127" s="12" t="n"/>
      <c r="G127" s="9" t="n"/>
      <c r="H127" s="13" t="n"/>
      <c r="I127" s="13" t="n"/>
      <c r="J127" s="13" t="n"/>
      <c r="K127" s="13" t="n"/>
      <c r="L127" s="13" t="n"/>
      <c r="M127" s="13" t="n"/>
      <c r="N127" s="13" t="n"/>
      <c r="O127" s="13" t="n"/>
      <c r="P127" s="14">
        <f>IF(A127="","",COUNT(H127:O127)/8)</f>
        <v/>
      </c>
      <c r="Q127" s="15">
        <f>IF(COUNT(H127:O127)=0,"",IF(LEN(IF(COUNT(H127,I127,J127)=3,IF(ABS(H127+I127-J127)&lt;=MAX(1,0.02*ABS(J127)),"","RBE &lt;&gt; PNB + frais "),"")&amp;IF(COUNT(J127,K127,L127)=3,IF(ABS(J127+K127-L127)&lt;=MAX(1,0.03*ABS(L127)),"","RAI &lt;&gt; RBE + coût du risque "),"")&amp;IF(COUNT(H127,M127)=2,IF(ABS(M127)&gt;ABS(H127),"RN &gt; PNB ",""),""))=0,"OK",IF(COUNT(H127,I127,J127)=3,IF(ABS(H127+I127-J127)&lt;=MAX(1,0.02*ABS(J127)),"","RBE &lt;&gt; PNB + frais "),"")&amp;IF(COUNT(J127,K127,L127)=3,IF(ABS(J127+K127-L127)&lt;=MAX(1,0.03*ABS(L127)),"","RAI &lt;&gt; RBE + coût du risque "),"")&amp;IF(COUNT(H127,M127)=2,IF(ABS(M127)&gt;ABS(H127),"RN &gt; PNB ",""),"")))</f>
        <v/>
      </c>
    </row>
    <row r="128">
      <c r="A128" s="9" t="inlineStr">
        <is>
          <t>BOAM</t>
        </is>
      </c>
      <c r="B128" s="10">
        <f>IF(A128="","",IFERROR(VLOOKUP(A128,Titres!$A$2:$B$400,2,FALSE),"Ticker inconnu"))</f>
        <v/>
      </c>
      <c r="C128" s="11" t="n">
        <v>2026</v>
      </c>
      <c r="D128" s="11" t="inlineStr">
        <is>
          <t>T1</t>
        </is>
      </c>
      <c r="E128" s="9" t="n"/>
      <c r="F128" s="12" t="n"/>
      <c r="G128" s="9" t="n"/>
      <c r="H128" s="13" t="n"/>
      <c r="I128" s="13" t="n"/>
      <c r="J128" s="13" t="n"/>
      <c r="K128" s="13" t="n"/>
      <c r="L128" s="13" t="n"/>
      <c r="M128" s="13" t="n"/>
      <c r="N128" s="13" t="n"/>
      <c r="O128" s="13" t="n"/>
      <c r="P128" s="14">
        <f>IF(A128="","",COUNT(H128:O128)/8)</f>
        <v/>
      </c>
      <c r="Q128" s="15">
        <f>IF(COUNT(H128:O128)=0,"",IF(LEN(IF(COUNT(H128,I128,J128)=3,IF(ABS(H128+I128-J128)&lt;=MAX(1,0.02*ABS(J128)),"","RBE &lt;&gt; PNB + frais "),"")&amp;IF(COUNT(J128,K128,L128)=3,IF(ABS(J128+K128-L128)&lt;=MAX(1,0.03*ABS(L128)),"","RAI &lt;&gt; RBE + coût du risque "),"")&amp;IF(COUNT(H128,M128)=2,IF(ABS(M128)&gt;ABS(H128),"RN &gt; PNB ",""),""))=0,"OK",IF(COUNT(H128,I128,J128)=3,IF(ABS(H128+I128-J128)&lt;=MAX(1,0.02*ABS(J128)),"","RBE &lt;&gt; PNB + frais "),"")&amp;IF(COUNT(J128,K128,L128)=3,IF(ABS(J128+K128-L128)&lt;=MAX(1,0.03*ABS(L128)),"","RAI &lt;&gt; RBE + coût du risque "),"")&amp;IF(COUNT(H128,M128)=2,IF(ABS(M128)&gt;ABS(H128),"RN &gt; PNB ",""),"")))</f>
        <v/>
      </c>
    </row>
    <row r="129">
      <c r="A129" s="9" t="inlineStr">
        <is>
          <t>BOAM</t>
        </is>
      </c>
      <c r="B129" s="10">
        <f>IF(A129="","",IFERROR(VLOOKUP(A129,Titres!$A$2:$B$400,2,FALSE),"Ticker inconnu"))</f>
        <v/>
      </c>
      <c r="C129" s="11" t="n">
        <v>2026</v>
      </c>
      <c r="D129" s="11" t="inlineStr">
        <is>
          <t>S1</t>
        </is>
      </c>
      <c r="E129" s="9" t="inlineStr">
        <is>
          <t>Publié</t>
        </is>
      </c>
      <c r="F129" s="12" t="n">
        <v>46288</v>
      </c>
      <c r="G129" s="9" t="inlineStr">
        <is>
          <t>https://www.richbourse.com/common/actualite/afficher-fichier/23-09-2026-boa-mali-rapport-dactivites-1er-semestre-2026</t>
        </is>
      </c>
      <c r="H129" s="13" t="n">
        <v>21987</v>
      </c>
      <c r="I129" s="13" t="n">
        <v>-11176</v>
      </c>
      <c r="J129" s="13" t="n">
        <v>10811</v>
      </c>
      <c r="K129" s="13" t="n">
        <v>-4525</v>
      </c>
      <c r="L129" s="13" t="n"/>
      <c r="M129" s="13" t="n">
        <v>6716</v>
      </c>
      <c r="N129" s="13" t="n"/>
      <c r="O129" s="13" t="n"/>
      <c r="P129" s="14">
        <f>IF(A129="","",COUNT(H129:O129)/8)</f>
        <v/>
      </c>
      <c r="Q129" s="15">
        <f>IF(COUNT(H129:O129)=0,"",IF(LEN(IF(COUNT(H129,I129,J129)=3,IF(ABS(H129+I129-J129)&lt;=MAX(1,0.02*ABS(J129)),"","RBE &lt;&gt; PNB + frais "),"")&amp;IF(COUNT(J129,K129,L129)=3,IF(ABS(J129+K129-L129)&lt;=MAX(1,0.03*ABS(L129)),"","RAI &lt;&gt; RBE + coût du risque "),"")&amp;IF(COUNT(H129,M129)=2,IF(ABS(M129)&gt;ABS(H129),"RN &gt; PNB ",""),""))=0,"OK",IF(COUNT(H129,I129,J129)=3,IF(ABS(H129+I129-J129)&lt;=MAX(1,0.02*ABS(J129)),"","RBE &lt;&gt; PNB + frais "),"")&amp;IF(COUNT(J129,K129,L129)=3,IF(ABS(J129+K129-L129)&lt;=MAX(1,0.03*ABS(L129)),"","RAI &lt;&gt; RBE + coût du risque "),"")&amp;IF(COUNT(H129,M129)=2,IF(ABS(M129)&gt;ABS(H129),"RN &gt; PNB ",""),"")))</f>
        <v/>
      </c>
    </row>
    <row r="130">
      <c r="A130" s="9" t="inlineStr">
        <is>
          <t>BOAM</t>
        </is>
      </c>
      <c r="B130" s="10">
        <f>IF(A130="","",IFERROR(VLOOKUP(A130,Titres!$A$2:$B$400,2,FALSE),"Ticker inconnu"))</f>
        <v/>
      </c>
      <c r="C130" s="11" t="n">
        <v>2026</v>
      </c>
      <c r="D130" s="11" t="inlineStr">
        <is>
          <t>T3</t>
        </is>
      </c>
      <c r="E130" s="9" t="n"/>
      <c r="F130" s="12" t="n"/>
      <c r="G130" s="9" t="n"/>
      <c r="H130" s="13" t="n"/>
      <c r="I130" s="13" t="n"/>
      <c r="J130" s="13" t="n"/>
      <c r="K130" s="13" t="n"/>
      <c r="L130" s="13" t="n"/>
      <c r="M130" s="13" t="n"/>
      <c r="N130" s="13" t="n"/>
      <c r="O130" s="13" t="n"/>
      <c r="P130" s="14">
        <f>IF(A130="","",COUNT(H130:O130)/8)</f>
        <v/>
      </c>
      <c r="Q130" s="15">
        <f>IF(COUNT(H130:O130)=0,"",IF(LEN(IF(COUNT(H130,I130,J130)=3,IF(ABS(H130+I130-J130)&lt;=MAX(1,0.02*ABS(J130)),"","RBE &lt;&gt; PNB + frais "),"")&amp;IF(COUNT(J130,K130,L130)=3,IF(ABS(J130+K130-L130)&lt;=MAX(1,0.03*ABS(L130)),"","RAI &lt;&gt; RBE + coût du risque "),"")&amp;IF(COUNT(H130,M130)=2,IF(ABS(M130)&gt;ABS(H130),"RN &gt; PNB ",""),""))=0,"OK",IF(COUNT(H130,I130,J130)=3,IF(ABS(H130+I130-J130)&lt;=MAX(1,0.02*ABS(J130)),"","RBE &lt;&gt; PNB + frais "),"")&amp;IF(COUNT(J130,K130,L130)=3,IF(ABS(J130+K130-L130)&lt;=MAX(1,0.03*ABS(L130)),"","RAI &lt;&gt; RBE + coût du risque "),"")&amp;IF(COUNT(H130,M130)=2,IF(ABS(M130)&gt;ABS(H130),"RN &gt; PNB ",""),"")))</f>
        <v/>
      </c>
    </row>
    <row r="131">
      <c r="A131" s="9" t="inlineStr">
        <is>
          <t>BOAN</t>
        </is>
      </c>
      <c r="B131" s="10">
        <f>IF(A131="","",IFERROR(VLOOKUP(A131,Titres!$A$2:$B$400,2,FALSE),"Ticker inconnu"))</f>
        <v/>
      </c>
      <c r="C131" s="11" t="n">
        <v>2021</v>
      </c>
      <c r="D131" s="11" t="inlineStr">
        <is>
          <t>T1</t>
        </is>
      </c>
      <c r="E131" s="9" t="n"/>
      <c r="F131" s="12" t="n"/>
      <c r="G131" s="9" t="n"/>
      <c r="H131" s="13" t="n"/>
      <c r="I131" s="13" t="n"/>
      <c r="J131" s="13" t="n"/>
      <c r="K131" s="13" t="n"/>
      <c r="L131" s="13" t="n"/>
      <c r="M131" s="13" t="n"/>
      <c r="N131" s="13" t="n"/>
      <c r="O131" s="13" t="n"/>
      <c r="P131" s="14">
        <f>IF(A131="","",COUNT(H131:O131)/8)</f>
        <v/>
      </c>
      <c r="Q131" s="15">
        <f>IF(COUNT(H131:O131)=0,"",IF(LEN(IF(COUNT(H131,I131,J131)=3,IF(ABS(H131+I131-J131)&lt;=MAX(1,0.02*ABS(J131)),"","RBE &lt;&gt; PNB + frais "),"")&amp;IF(COUNT(J131,K131,L131)=3,IF(ABS(J131+K131-L131)&lt;=MAX(1,0.03*ABS(L131)),"","RAI &lt;&gt; RBE + coût du risque "),"")&amp;IF(COUNT(H131,M131)=2,IF(ABS(M131)&gt;ABS(H131),"RN &gt; PNB ",""),""))=0,"OK",IF(COUNT(H131,I131,J131)=3,IF(ABS(H131+I131-J131)&lt;=MAX(1,0.02*ABS(J131)),"","RBE &lt;&gt; PNB + frais "),"")&amp;IF(COUNT(J131,K131,L131)=3,IF(ABS(J131+K131-L131)&lt;=MAX(1,0.03*ABS(L131)),"","RAI &lt;&gt; RBE + coût du risque "),"")&amp;IF(COUNT(H131,M131)=2,IF(ABS(M131)&gt;ABS(H131),"RN &gt; PNB ",""),"")))</f>
        <v/>
      </c>
    </row>
    <row r="132">
      <c r="A132" s="9" t="inlineStr">
        <is>
          <t>BOAN</t>
        </is>
      </c>
      <c r="B132" s="10">
        <f>IF(A132="","",IFERROR(VLOOKUP(A132,Titres!$A$2:$B$400,2,FALSE),"Ticker inconnu"))</f>
        <v/>
      </c>
      <c r="C132" s="11" t="n">
        <v>2021</v>
      </c>
      <c r="D132" s="11" t="inlineStr">
        <is>
          <t>S1</t>
        </is>
      </c>
      <c r="E132" s="9" t="n"/>
      <c r="F132" s="12" t="n"/>
      <c r="G132" s="9" t="n"/>
      <c r="H132" s="13" t="n"/>
      <c r="I132" s="13" t="n"/>
      <c r="J132" s="13" t="n"/>
      <c r="K132" s="13" t="n"/>
      <c r="L132" s="13" t="n"/>
      <c r="M132" s="13" t="n"/>
      <c r="N132" s="13" t="n"/>
      <c r="O132" s="13" t="n"/>
      <c r="P132" s="14">
        <f>IF(A132="","",COUNT(H132:O132)/8)</f>
        <v/>
      </c>
      <c r="Q132" s="15">
        <f>IF(COUNT(H132:O132)=0,"",IF(LEN(IF(COUNT(H132,I132,J132)=3,IF(ABS(H132+I132-J132)&lt;=MAX(1,0.02*ABS(J132)),"","RBE &lt;&gt; PNB + frais "),"")&amp;IF(COUNT(J132,K132,L132)=3,IF(ABS(J132+K132-L132)&lt;=MAX(1,0.03*ABS(L132)),"","RAI &lt;&gt; RBE + coût du risque "),"")&amp;IF(COUNT(H132,M132)=2,IF(ABS(M132)&gt;ABS(H132),"RN &gt; PNB ",""),""))=0,"OK",IF(COUNT(H132,I132,J132)=3,IF(ABS(H132+I132-J132)&lt;=MAX(1,0.02*ABS(J132)),"","RBE &lt;&gt; PNB + frais "),"")&amp;IF(COUNT(J132,K132,L132)=3,IF(ABS(J132+K132-L132)&lt;=MAX(1,0.03*ABS(L132)),"","RAI &lt;&gt; RBE + coût du risque "),"")&amp;IF(COUNT(H132,M132)=2,IF(ABS(M132)&gt;ABS(H132),"RN &gt; PNB ",""),"")))</f>
        <v/>
      </c>
    </row>
    <row r="133">
      <c r="A133" s="9" t="inlineStr">
        <is>
          <t>BOAN</t>
        </is>
      </c>
      <c r="B133" s="10">
        <f>IF(A133="","",IFERROR(VLOOKUP(A133,Titres!$A$2:$B$400,2,FALSE),"Ticker inconnu"))</f>
        <v/>
      </c>
      <c r="C133" s="11" t="n">
        <v>2021</v>
      </c>
      <c r="D133" s="11" t="inlineStr">
        <is>
          <t>T3</t>
        </is>
      </c>
      <c r="E133" s="9" t="n"/>
      <c r="F133" s="12" t="n"/>
      <c r="G133" s="9" t="n"/>
      <c r="H133" s="13" t="n"/>
      <c r="I133" s="13" t="n"/>
      <c r="J133" s="13" t="n"/>
      <c r="K133" s="13" t="n"/>
      <c r="L133" s="13" t="n"/>
      <c r="M133" s="13" t="n"/>
      <c r="N133" s="13" t="n"/>
      <c r="O133" s="13" t="n"/>
      <c r="P133" s="14">
        <f>IF(A133="","",COUNT(H133:O133)/8)</f>
        <v/>
      </c>
      <c r="Q133" s="15">
        <f>IF(COUNT(H133:O133)=0,"",IF(LEN(IF(COUNT(H133,I133,J133)=3,IF(ABS(H133+I133-J133)&lt;=MAX(1,0.02*ABS(J133)),"","RBE &lt;&gt; PNB + frais "),"")&amp;IF(COUNT(J133,K133,L133)=3,IF(ABS(J133+K133-L133)&lt;=MAX(1,0.03*ABS(L133)),"","RAI &lt;&gt; RBE + coût du risque "),"")&amp;IF(COUNT(H133,M133)=2,IF(ABS(M133)&gt;ABS(H133),"RN &gt; PNB ",""),""))=0,"OK",IF(COUNT(H133,I133,J133)=3,IF(ABS(H133+I133-J133)&lt;=MAX(1,0.02*ABS(J133)),"","RBE &lt;&gt; PNB + frais "),"")&amp;IF(COUNT(J133,K133,L133)=3,IF(ABS(J133+K133-L133)&lt;=MAX(1,0.03*ABS(L133)),"","RAI &lt;&gt; RBE + coût du risque "),"")&amp;IF(COUNT(H133,M133)=2,IF(ABS(M133)&gt;ABS(H133),"RN &gt; PNB ",""),"")))</f>
        <v/>
      </c>
    </row>
    <row r="134">
      <c r="A134" s="9" t="inlineStr">
        <is>
          <t>BOAN</t>
        </is>
      </c>
      <c r="B134" s="10">
        <f>IF(A134="","",IFERROR(VLOOKUP(A134,Titres!$A$2:$B$400,2,FALSE),"Ticker inconnu"))</f>
        <v/>
      </c>
      <c r="C134" s="11" t="n">
        <v>2022</v>
      </c>
      <c r="D134" s="11" t="inlineStr">
        <is>
          <t>T1</t>
        </is>
      </c>
      <c r="E134" s="9" t="n"/>
      <c r="F134" s="12" t="n"/>
      <c r="G134" s="9" t="n"/>
      <c r="H134" s="13" t="n"/>
      <c r="I134" s="13" t="n"/>
      <c r="J134" s="13" t="n"/>
      <c r="K134" s="13" t="n"/>
      <c r="L134" s="13" t="n"/>
      <c r="M134" s="13" t="n"/>
      <c r="N134" s="13" t="n"/>
      <c r="O134" s="13" t="n"/>
      <c r="P134" s="14">
        <f>IF(A134="","",COUNT(H134:O134)/8)</f>
        <v/>
      </c>
      <c r="Q134" s="15">
        <f>IF(COUNT(H134:O134)=0,"",IF(LEN(IF(COUNT(H134,I134,J134)=3,IF(ABS(H134+I134-J134)&lt;=MAX(1,0.02*ABS(J134)),"","RBE &lt;&gt; PNB + frais "),"")&amp;IF(COUNT(J134,K134,L134)=3,IF(ABS(J134+K134-L134)&lt;=MAX(1,0.03*ABS(L134)),"","RAI &lt;&gt; RBE + coût du risque "),"")&amp;IF(COUNT(H134,M134)=2,IF(ABS(M134)&gt;ABS(H134),"RN &gt; PNB ",""),""))=0,"OK",IF(COUNT(H134,I134,J134)=3,IF(ABS(H134+I134-J134)&lt;=MAX(1,0.02*ABS(J134)),"","RBE &lt;&gt; PNB + frais "),"")&amp;IF(COUNT(J134,K134,L134)=3,IF(ABS(J134+K134-L134)&lt;=MAX(1,0.03*ABS(L134)),"","RAI &lt;&gt; RBE + coût du risque "),"")&amp;IF(COUNT(H134,M134)=2,IF(ABS(M134)&gt;ABS(H134),"RN &gt; PNB ",""),"")))</f>
        <v/>
      </c>
    </row>
    <row r="135">
      <c r="A135" s="9" t="inlineStr">
        <is>
          <t>BOAN</t>
        </is>
      </c>
      <c r="B135" s="10">
        <f>IF(A135="","",IFERROR(VLOOKUP(A135,Titres!$A$2:$B$400,2,FALSE),"Ticker inconnu"))</f>
        <v/>
      </c>
      <c r="C135" s="11" t="n">
        <v>2022</v>
      </c>
      <c r="D135" s="11" t="inlineStr">
        <is>
          <t>S1</t>
        </is>
      </c>
      <c r="E135" s="9" t="n"/>
      <c r="F135" s="12" t="n"/>
      <c r="G135" s="9" t="n"/>
      <c r="H135" s="13" t="n"/>
      <c r="I135" s="13" t="n"/>
      <c r="J135" s="13" t="n"/>
      <c r="K135" s="13" t="n"/>
      <c r="L135" s="13" t="n"/>
      <c r="M135" s="13" t="n"/>
      <c r="N135" s="13" t="n"/>
      <c r="O135" s="13" t="n"/>
      <c r="P135" s="14">
        <f>IF(A135="","",COUNT(H135:O135)/8)</f>
        <v/>
      </c>
      <c r="Q135" s="15">
        <f>IF(COUNT(H135:O135)=0,"",IF(LEN(IF(COUNT(H135,I135,J135)=3,IF(ABS(H135+I135-J135)&lt;=MAX(1,0.02*ABS(J135)),"","RBE &lt;&gt; PNB + frais "),"")&amp;IF(COUNT(J135,K135,L135)=3,IF(ABS(J135+K135-L135)&lt;=MAX(1,0.03*ABS(L135)),"","RAI &lt;&gt; RBE + coût du risque "),"")&amp;IF(COUNT(H135,M135)=2,IF(ABS(M135)&gt;ABS(H135),"RN &gt; PNB ",""),""))=0,"OK",IF(COUNT(H135,I135,J135)=3,IF(ABS(H135+I135-J135)&lt;=MAX(1,0.02*ABS(J135)),"","RBE &lt;&gt; PNB + frais "),"")&amp;IF(COUNT(J135,K135,L135)=3,IF(ABS(J135+K135-L135)&lt;=MAX(1,0.03*ABS(L135)),"","RAI &lt;&gt; RBE + coût du risque "),"")&amp;IF(COUNT(H135,M135)=2,IF(ABS(M135)&gt;ABS(H135),"RN &gt; PNB ",""),"")))</f>
        <v/>
      </c>
    </row>
    <row r="136">
      <c r="A136" s="9" t="inlineStr">
        <is>
          <t>BOAN</t>
        </is>
      </c>
      <c r="B136" s="10">
        <f>IF(A136="","",IFERROR(VLOOKUP(A136,Titres!$A$2:$B$400,2,FALSE),"Ticker inconnu"))</f>
        <v/>
      </c>
      <c r="C136" s="11" t="n">
        <v>2022</v>
      </c>
      <c r="D136" s="11" t="inlineStr">
        <is>
          <t>T3</t>
        </is>
      </c>
      <c r="E136" s="9" t="n"/>
      <c r="F136" s="12" t="n"/>
      <c r="G136" s="9" t="n"/>
      <c r="H136" s="13" t="n"/>
      <c r="I136" s="13" t="n"/>
      <c r="J136" s="13" t="n"/>
      <c r="K136" s="13" t="n"/>
      <c r="L136" s="13" t="n"/>
      <c r="M136" s="13" t="n"/>
      <c r="N136" s="13" t="n"/>
      <c r="O136" s="13" t="n"/>
      <c r="P136" s="14">
        <f>IF(A136="","",COUNT(H136:O136)/8)</f>
        <v/>
      </c>
      <c r="Q136" s="15">
        <f>IF(COUNT(H136:O136)=0,"",IF(LEN(IF(COUNT(H136,I136,J136)=3,IF(ABS(H136+I136-J136)&lt;=MAX(1,0.02*ABS(J136)),"","RBE &lt;&gt; PNB + frais "),"")&amp;IF(COUNT(J136,K136,L136)=3,IF(ABS(J136+K136-L136)&lt;=MAX(1,0.03*ABS(L136)),"","RAI &lt;&gt; RBE + coût du risque "),"")&amp;IF(COUNT(H136,M136)=2,IF(ABS(M136)&gt;ABS(H136),"RN &gt; PNB ",""),""))=0,"OK",IF(COUNT(H136,I136,J136)=3,IF(ABS(H136+I136-J136)&lt;=MAX(1,0.02*ABS(J136)),"","RBE &lt;&gt; PNB + frais "),"")&amp;IF(COUNT(J136,K136,L136)=3,IF(ABS(J136+K136-L136)&lt;=MAX(1,0.03*ABS(L136)),"","RAI &lt;&gt; RBE + coût du risque "),"")&amp;IF(COUNT(H136,M136)=2,IF(ABS(M136)&gt;ABS(H136),"RN &gt; PNB ",""),"")))</f>
        <v/>
      </c>
    </row>
    <row r="137">
      <c r="A137" s="9" t="inlineStr">
        <is>
          <t>BOAN</t>
        </is>
      </c>
      <c r="B137" s="10">
        <f>IF(A137="","",IFERROR(VLOOKUP(A137,Titres!$A$2:$B$400,2,FALSE),"Ticker inconnu"))</f>
        <v/>
      </c>
      <c r="C137" s="11" t="n">
        <v>2023</v>
      </c>
      <c r="D137" s="11" t="inlineStr">
        <is>
          <t>T1</t>
        </is>
      </c>
      <c r="E137" s="9" t="n"/>
      <c r="F137" s="12" t="n"/>
      <c r="G137" s="9" t="n"/>
      <c r="H137" s="13" t="n"/>
      <c r="I137" s="13" t="n"/>
      <c r="J137" s="13" t="n"/>
      <c r="K137" s="13" t="n"/>
      <c r="L137" s="13" t="n"/>
      <c r="M137" s="13" t="n"/>
      <c r="N137" s="13" t="n"/>
      <c r="O137" s="13" t="n"/>
      <c r="P137" s="14">
        <f>IF(A137="","",COUNT(H137:O137)/8)</f>
        <v/>
      </c>
      <c r="Q137" s="15">
        <f>IF(COUNT(H137:O137)=0,"",IF(LEN(IF(COUNT(H137,I137,J137)=3,IF(ABS(H137+I137-J137)&lt;=MAX(1,0.02*ABS(J137)),"","RBE &lt;&gt; PNB + frais "),"")&amp;IF(COUNT(J137,K137,L137)=3,IF(ABS(J137+K137-L137)&lt;=MAX(1,0.03*ABS(L137)),"","RAI &lt;&gt; RBE + coût du risque "),"")&amp;IF(COUNT(H137,M137)=2,IF(ABS(M137)&gt;ABS(H137),"RN &gt; PNB ",""),""))=0,"OK",IF(COUNT(H137,I137,J137)=3,IF(ABS(H137+I137-J137)&lt;=MAX(1,0.02*ABS(J137)),"","RBE &lt;&gt; PNB + frais "),"")&amp;IF(COUNT(J137,K137,L137)=3,IF(ABS(J137+K137-L137)&lt;=MAX(1,0.03*ABS(L137)),"","RAI &lt;&gt; RBE + coût du risque "),"")&amp;IF(COUNT(H137,M137)=2,IF(ABS(M137)&gt;ABS(H137),"RN &gt; PNB ",""),"")))</f>
        <v/>
      </c>
    </row>
    <row r="138">
      <c r="A138" s="9" t="inlineStr">
        <is>
          <t>BOAN</t>
        </is>
      </c>
      <c r="B138" s="10">
        <f>IF(A138="","",IFERROR(VLOOKUP(A138,Titres!$A$2:$B$400,2,FALSE),"Ticker inconnu"))</f>
        <v/>
      </c>
      <c r="C138" s="11" t="n">
        <v>2023</v>
      </c>
      <c r="D138" s="11" t="inlineStr">
        <is>
          <t>S1</t>
        </is>
      </c>
      <c r="E138" s="9" t="n"/>
      <c r="F138" s="12" t="n"/>
      <c r="G138" s="9" t="n"/>
      <c r="H138" s="13" t="n"/>
      <c r="I138" s="13" t="n"/>
      <c r="J138" s="13" t="n"/>
      <c r="K138" s="13" t="n"/>
      <c r="L138" s="13" t="n"/>
      <c r="M138" s="13" t="n"/>
      <c r="N138" s="13" t="n"/>
      <c r="O138" s="13" t="n"/>
      <c r="P138" s="14">
        <f>IF(A138="","",COUNT(H138:O138)/8)</f>
        <v/>
      </c>
      <c r="Q138" s="15">
        <f>IF(COUNT(H138:O138)=0,"",IF(LEN(IF(COUNT(H138,I138,J138)=3,IF(ABS(H138+I138-J138)&lt;=MAX(1,0.02*ABS(J138)),"","RBE &lt;&gt; PNB + frais "),"")&amp;IF(COUNT(J138,K138,L138)=3,IF(ABS(J138+K138-L138)&lt;=MAX(1,0.03*ABS(L138)),"","RAI &lt;&gt; RBE + coût du risque "),"")&amp;IF(COUNT(H138,M138)=2,IF(ABS(M138)&gt;ABS(H138),"RN &gt; PNB ",""),""))=0,"OK",IF(COUNT(H138,I138,J138)=3,IF(ABS(H138+I138-J138)&lt;=MAX(1,0.02*ABS(J138)),"","RBE &lt;&gt; PNB + frais "),"")&amp;IF(COUNT(J138,K138,L138)=3,IF(ABS(J138+K138-L138)&lt;=MAX(1,0.03*ABS(L138)),"","RAI &lt;&gt; RBE + coût du risque "),"")&amp;IF(COUNT(H138,M138)=2,IF(ABS(M138)&gt;ABS(H138),"RN &gt; PNB ",""),"")))</f>
        <v/>
      </c>
    </row>
    <row r="139">
      <c r="A139" s="9" t="inlineStr">
        <is>
          <t>BOAN</t>
        </is>
      </c>
      <c r="B139" s="10">
        <f>IF(A139="","",IFERROR(VLOOKUP(A139,Titres!$A$2:$B$400,2,FALSE),"Ticker inconnu"))</f>
        <v/>
      </c>
      <c r="C139" s="11" t="n">
        <v>2023</v>
      </c>
      <c r="D139" s="11" t="inlineStr">
        <is>
          <t>T3</t>
        </is>
      </c>
      <c r="E139" s="9" t="n"/>
      <c r="F139" s="12" t="n"/>
      <c r="G139" s="9" t="n"/>
      <c r="H139" s="13" t="n"/>
      <c r="I139" s="13" t="n"/>
      <c r="J139" s="13" t="n"/>
      <c r="K139" s="13" t="n"/>
      <c r="L139" s="13" t="n"/>
      <c r="M139" s="13" t="n"/>
      <c r="N139" s="13" t="n"/>
      <c r="O139" s="13" t="n"/>
      <c r="P139" s="14">
        <f>IF(A139="","",COUNT(H139:O139)/8)</f>
        <v/>
      </c>
      <c r="Q139" s="15">
        <f>IF(COUNT(H139:O139)=0,"",IF(LEN(IF(COUNT(H139,I139,J139)=3,IF(ABS(H139+I139-J139)&lt;=MAX(1,0.02*ABS(J139)),"","RBE &lt;&gt; PNB + frais "),"")&amp;IF(COUNT(J139,K139,L139)=3,IF(ABS(J139+K139-L139)&lt;=MAX(1,0.03*ABS(L139)),"","RAI &lt;&gt; RBE + coût du risque "),"")&amp;IF(COUNT(H139,M139)=2,IF(ABS(M139)&gt;ABS(H139),"RN &gt; PNB ",""),""))=0,"OK",IF(COUNT(H139,I139,J139)=3,IF(ABS(H139+I139-J139)&lt;=MAX(1,0.02*ABS(J139)),"","RBE &lt;&gt; PNB + frais "),"")&amp;IF(COUNT(J139,K139,L139)=3,IF(ABS(J139+K139-L139)&lt;=MAX(1,0.03*ABS(L139)),"","RAI &lt;&gt; RBE + coût du risque "),"")&amp;IF(COUNT(H139,M139)=2,IF(ABS(M139)&gt;ABS(H139),"RN &gt; PNB ",""),"")))</f>
        <v/>
      </c>
    </row>
    <row r="140">
      <c r="A140" s="9" t="inlineStr">
        <is>
          <t>BOAN</t>
        </is>
      </c>
      <c r="B140" s="10">
        <f>IF(A140="","",IFERROR(VLOOKUP(A140,Titres!$A$2:$B$400,2,FALSE),"Ticker inconnu"))</f>
        <v/>
      </c>
      <c r="C140" s="11" t="n">
        <v>2024</v>
      </c>
      <c r="D140" s="11" t="inlineStr">
        <is>
          <t>T1</t>
        </is>
      </c>
      <c r="E140" s="9" t="n"/>
      <c r="F140" s="12" t="n"/>
      <c r="G140" s="9" t="n"/>
      <c r="H140" s="13" t="n"/>
      <c r="I140" s="13" t="n"/>
      <c r="J140" s="13" t="n"/>
      <c r="K140" s="13" t="n"/>
      <c r="L140" s="13" t="n"/>
      <c r="M140" s="13" t="n"/>
      <c r="N140" s="13" t="n"/>
      <c r="O140" s="13" t="n"/>
      <c r="P140" s="14">
        <f>IF(A140="","",COUNT(H140:O140)/8)</f>
        <v/>
      </c>
      <c r="Q140" s="15">
        <f>IF(COUNT(H140:O140)=0,"",IF(LEN(IF(COUNT(H140,I140,J140)=3,IF(ABS(H140+I140-J140)&lt;=MAX(1,0.02*ABS(J140)),"","RBE &lt;&gt; PNB + frais "),"")&amp;IF(COUNT(J140,K140,L140)=3,IF(ABS(J140+K140-L140)&lt;=MAX(1,0.03*ABS(L140)),"","RAI &lt;&gt; RBE + coût du risque "),"")&amp;IF(COUNT(H140,M140)=2,IF(ABS(M140)&gt;ABS(H140),"RN &gt; PNB ",""),""))=0,"OK",IF(COUNT(H140,I140,J140)=3,IF(ABS(H140+I140-J140)&lt;=MAX(1,0.02*ABS(J140)),"","RBE &lt;&gt; PNB + frais "),"")&amp;IF(COUNT(J140,K140,L140)=3,IF(ABS(J140+K140-L140)&lt;=MAX(1,0.03*ABS(L140)),"","RAI &lt;&gt; RBE + coût du risque "),"")&amp;IF(COUNT(H140,M140)=2,IF(ABS(M140)&gt;ABS(H140),"RN &gt; PNB ",""),"")))</f>
        <v/>
      </c>
    </row>
    <row r="141">
      <c r="A141" s="9" t="inlineStr">
        <is>
          <t>BOAN</t>
        </is>
      </c>
      <c r="B141" s="10">
        <f>IF(A141="","",IFERROR(VLOOKUP(A141,Titres!$A$2:$B$400,2,FALSE),"Ticker inconnu"))</f>
        <v/>
      </c>
      <c r="C141" s="11" t="n">
        <v>2024</v>
      </c>
      <c r="D141" s="11" t="inlineStr">
        <is>
          <t>S1</t>
        </is>
      </c>
      <c r="E141" s="9" t="n"/>
      <c r="F141" s="12" t="n"/>
      <c r="G141" s="9" t="n"/>
      <c r="H141" s="13" t="n"/>
      <c r="I141" s="13" t="n"/>
      <c r="J141" s="13" t="n"/>
      <c r="K141" s="13" t="n"/>
      <c r="L141" s="13" t="n"/>
      <c r="M141" s="13" t="n"/>
      <c r="N141" s="13" t="n"/>
      <c r="O141" s="13" t="n"/>
      <c r="P141" s="14">
        <f>IF(A141="","",COUNT(H141:O141)/8)</f>
        <v/>
      </c>
      <c r="Q141" s="15">
        <f>IF(COUNT(H141:O141)=0,"",IF(LEN(IF(COUNT(H141,I141,J141)=3,IF(ABS(H141+I141-J141)&lt;=MAX(1,0.02*ABS(J141)),"","RBE &lt;&gt; PNB + frais "),"")&amp;IF(COUNT(J141,K141,L141)=3,IF(ABS(J141+K141-L141)&lt;=MAX(1,0.03*ABS(L141)),"","RAI &lt;&gt; RBE + coût du risque "),"")&amp;IF(COUNT(H141,M141)=2,IF(ABS(M141)&gt;ABS(H141),"RN &gt; PNB ",""),""))=0,"OK",IF(COUNT(H141,I141,J141)=3,IF(ABS(H141+I141-J141)&lt;=MAX(1,0.02*ABS(J141)),"","RBE &lt;&gt; PNB + frais "),"")&amp;IF(COUNT(J141,K141,L141)=3,IF(ABS(J141+K141-L141)&lt;=MAX(1,0.03*ABS(L141)),"","RAI &lt;&gt; RBE + coût du risque "),"")&amp;IF(COUNT(H141,M141)=2,IF(ABS(M141)&gt;ABS(H141),"RN &gt; PNB ",""),"")))</f>
        <v/>
      </c>
    </row>
    <row r="142">
      <c r="A142" s="9" t="inlineStr">
        <is>
          <t>BOAN</t>
        </is>
      </c>
      <c r="B142" s="10">
        <f>IF(A142="","",IFERROR(VLOOKUP(A142,Titres!$A$2:$B$400,2,FALSE),"Ticker inconnu"))</f>
        <v/>
      </c>
      <c r="C142" s="11" t="n">
        <v>2024</v>
      </c>
      <c r="D142" s="11" t="inlineStr">
        <is>
          <t>T3</t>
        </is>
      </c>
      <c r="E142" s="9" t="n"/>
      <c r="F142" s="12" t="n"/>
      <c r="G142" s="9" t="n"/>
      <c r="H142" s="13" t="n"/>
      <c r="I142" s="13" t="n"/>
      <c r="J142" s="13" t="n"/>
      <c r="K142" s="13" t="n"/>
      <c r="L142" s="13" t="n"/>
      <c r="M142" s="13" t="n"/>
      <c r="N142" s="13" t="n"/>
      <c r="O142" s="13" t="n"/>
      <c r="P142" s="14">
        <f>IF(A142="","",COUNT(H142:O142)/8)</f>
        <v/>
      </c>
      <c r="Q142" s="15">
        <f>IF(COUNT(H142:O142)=0,"",IF(LEN(IF(COUNT(H142,I142,J142)=3,IF(ABS(H142+I142-J142)&lt;=MAX(1,0.02*ABS(J142)),"","RBE &lt;&gt; PNB + frais "),"")&amp;IF(COUNT(J142,K142,L142)=3,IF(ABS(J142+K142-L142)&lt;=MAX(1,0.03*ABS(L142)),"","RAI &lt;&gt; RBE + coût du risque "),"")&amp;IF(COUNT(H142,M142)=2,IF(ABS(M142)&gt;ABS(H142),"RN &gt; PNB ",""),""))=0,"OK",IF(COUNT(H142,I142,J142)=3,IF(ABS(H142+I142-J142)&lt;=MAX(1,0.02*ABS(J142)),"","RBE &lt;&gt; PNB + frais "),"")&amp;IF(COUNT(J142,K142,L142)=3,IF(ABS(J142+K142-L142)&lt;=MAX(1,0.03*ABS(L142)),"","RAI &lt;&gt; RBE + coût du risque "),"")&amp;IF(COUNT(H142,M142)=2,IF(ABS(M142)&gt;ABS(H142),"RN &gt; PNB ",""),"")))</f>
        <v/>
      </c>
    </row>
    <row r="143">
      <c r="A143" s="9" t="inlineStr">
        <is>
          <t>BOAN</t>
        </is>
      </c>
      <c r="B143" s="10">
        <f>IF(A143="","",IFERROR(VLOOKUP(A143,Titres!$A$2:$B$400,2,FALSE),"Ticker inconnu"))</f>
        <v/>
      </c>
      <c r="C143" s="11" t="n">
        <v>2025</v>
      </c>
      <c r="D143" s="11" t="inlineStr">
        <is>
          <t>T1</t>
        </is>
      </c>
      <c r="E143" s="9" t="n"/>
      <c r="F143" s="12" t="n"/>
      <c r="G143" s="9" t="n"/>
      <c r="H143" s="13" t="n"/>
      <c r="I143" s="13" t="n"/>
      <c r="J143" s="13" t="n"/>
      <c r="K143" s="13" t="n"/>
      <c r="L143" s="13" t="n"/>
      <c r="M143" s="13" t="n"/>
      <c r="N143" s="13" t="n"/>
      <c r="O143" s="13" t="n"/>
      <c r="P143" s="14">
        <f>IF(A143="","",COUNT(H143:O143)/8)</f>
        <v/>
      </c>
      <c r="Q143" s="15">
        <f>IF(COUNT(H143:O143)=0,"",IF(LEN(IF(COUNT(H143,I143,J143)=3,IF(ABS(H143+I143-J143)&lt;=MAX(1,0.02*ABS(J143)),"","RBE &lt;&gt; PNB + frais "),"")&amp;IF(COUNT(J143,K143,L143)=3,IF(ABS(J143+K143-L143)&lt;=MAX(1,0.03*ABS(L143)),"","RAI &lt;&gt; RBE + coût du risque "),"")&amp;IF(COUNT(H143,M143)=2,IF(ABS(M143)&gt;ABS(H143),"RN &gt; PNB ",""),""))=0,"OK",IF(COUNT(H143,I143,J143)=3,IF(ABS(H143+I143-J143)&lt;=MAX(1,0.02*ABS(J143)),"","RBE &lt;&gt; PNB + frais "),"")&amp;IF(COUNT(J143,K143,L143)=3,IF(ABS(J143+K143-L143)&lt;=MAX(1,0.03*ABS(L143)),"","RAI &lt;&gt; RBE + coût du risque "),"")&amp;IF(COUNT(H143,M143)=2,IF(ABS(M143)&gt;ABS(H143),"RN &gt; PNB ",""),"")))</f>
        <v/>
      </c>
    </row>
    <row r="144">
      <c r="A144" s="9" t="inlineStr">
        <is>
          <t>BOAN</t>
        </is>
      </c>
      <c r="B144" s="10">
        <f>IF(A144="","",IFERROR(VLOOKUP(A144,Titres!$A$2:$B$400,2,FALSE),"Ticker inconnu"))</f>
        <v/>
      </c>
      <c r="C144" s="11" t="n">
        <v>2025</v>
      </c>
      <c r="D144" s="11" t="inlineStr">
        <is>
          <t>S1</t>
        </is>
      </c>
      <c r="E144" s="9" t="n"/>
      <c r="F144" s="12" t="n"/>
      <c r="G144" s="9" t="n"/>
      <c r="H144" s="13" t="n"/>
      <c r="I144" s="13" t="n"/>
      <c r="J144" s="13" t="n"/>
      <c r="K144" s="13" t="n"/>
      <c r="L144" s="13" t="n"/>
      <c r="M144" s="13" t="n"/>
      <c r="N144" s="13" t="n"/>
      <c r="O144" s="13" t="n"/>
      <c r="P144" s="14">
        <f>IF(A144="","",COUNT(H144:O144)/8)</f>
        <v/>
      </c>
      <c r="Q144" s="15">
        <f>IF(COUNT(H144:O144)=0,"",IF(LEN(IF(COUNT(H144,I144,J144)=3,IF(ABS(H144+I144-J144)&lt;=MAX(1,0.02*ABS(J144)),"","RBE &lt;&gt; PNB + frais "),"")&amp;IF(COUNT(J144,K144,L144)=3,IF(ABS(J144+K144-L144)&lt;=MAX(1,0.03*ABS(L144)),"","RAI &lt;&gt; RBE + coût du risque "),"")&amp;IF(COUNT(H144,M144)=2,IF(ABS(M144)&gt;ABS(H144),"RN &gt; PNB ",""),""))=0,"OK",IF(COUNT(H144,I144,J144)=3,IF(ABS(H144+I144-J144)&lt;=MAX(1,0.02*ABS(J144)),"","RBE &lt;&gt; PNB + frais "),"")&amp;IF(COUNT(J144,K144,L144)=3,IF(ABS(J144+K144-L144)&lt;=MAX(1,0.03*ABS(L144)),"","RAI &lt;&gt; RBE + coût du risque "),"")&amp;IF(COUNT(H144,M144)=2,IF(ABS(M144)&gt;ABS(H144),"RN &gt; PNB ",""),"")))</f>
        <v/>
      </c>
    </row>
    <row r="145">
      <c r="A145" s="9" t="inlineStr">
        <is>
          <t>BOAN</t>
        </is>
      </c>
      <c r="B145" s="10">
        <f>IF(A145="","",IFERROR(VLOOKUP(A145,Titres!$A$2:$B$400,2,FALSE),"Ticker inconnu"))</f>
        <v/>
      </c>
      <c r="C145" s="11" t="n">
        <v>2025</v>
      </c>
      <c r="D145" s="11" t="inlineStr">
        <is>
          <t>T3</t>
        </is>
      </c>
      <c r="E145" s="9" t="n"/>
      <c r="F145" s="12" t="n"/>
      <c r="G145" s="9" t="n"/>
      <c r="H145" s="13" t="n"/>
      <c r="I145" s="13" t="n"/>
      <c r="J145" s="13" t="n"/>
      <c r="K145" s="13" t="n"/>
      <c r="L145" s="13" t="n"/>
      <c r="M145" s="13" t="n"/>
      <c r="N145" s="13" t="n"/>
      <c r="O145" s="13" t="n"/>
      <c r="P145" s="14">
        <f>IF(A145="","",COUNT(H145:O145)/8)</f>
        <v/>
      </c>
      <c r="Q145" s="15">
        <f>IF(COUNT(H145:O145)=0,"",IF(LEN(IF(COUNT(H145,I145,J145)=3,IF(ABS(H145+I145-J145)&lt;=MAX(1,0.02*ABS(J145)),"","RBE &lt;&gt; PNB + frais "),"")&amp;IF(COUNT(J145,K145,L145)=3,IF(ABS(J145+K145-L145)&lt;=MAX(1,0.03*ABS(L145)),"","RAI &lt;&gt; RBE + coût du risque "),"")&amp;IF(COUNT(H145,M145)=2,IF(ABS(M145)&gt;ABS(H145),"RN &gt; PNB ",""),""))=0,"OK",IF(COUNT(H145,I145,J145)=3,IF(ABS(H145+I145-J145)&lt;=MAX(1,0.02*ABS(J145)),"","RBE &lt;&gt; PNB + frais "),"")&amp;IF(COUNT(J145,K145,L145)=3,IF(ABS(J145+K145-L145)&lt;=MAX(1,0.03*ABS(L145)),"","RAI &lt;&gt; RBE + coût du risque "),"")&amp;IF(COUNT(H145,M145)=2,IF(ABS(M145)&gt;ABS(H145),"RN &gt; PNB ",""),"")))</f>
        <v/>
      </c>
    </row>
    <row r="146">
      <c r="A146" s="9" t="inlineStr">
        <is>
          <t>BOAN</t>
        </is>
      </c>
      <c r="B146" s="10">
        <f>IF(A146="","",IFERROR(VLOOKUP(A146,Titres!$A$2:$B$400,2,FALSE),"Ticker inconnu"))</f>
        <v/>
      </c>
      <c r="C146" s="11" t="n">
        <v>2026</v>
      </c>
      <c r="D146" s="11" t="inlineStr">
        <is>
          <t>T1</t>
        </is>
      </c>
      <c r="E146" s="9" t="n"/>
      <c r="F146" s="12" t="n"/>
      <c r="G146" s="9" t="n"/>
      <c r="H146" s="13" t="n"/>
      <c r="I146" s="13" t="n"/>
      <c r="J146" s="13" t="n"/>
      <c r="K146" s="13" t="n"/>
      <c r="L146" s="13" t="n"/>
      <c r="M146" s="13" t="n"/>
      <c r="N146" s="13" t="n"/>
      <c r="O146" s="13" t="n"/>
      <c r="P146" s="14">
        <f>IF(A146="","",COUNT(H146:O146)/8)</f>
        <v/>
      </c>
      <c r="Q146" s="15">
        <f>IF(COUNT(H146:O146)=0,"",IF(LEN(IF(COUNT(H146,I146,J146)=3,IF(ABS(H146+I146-J146)&lt;=MAX(1,0.02*ABS(J146)),"","RBE &lt;&gt; PNB + frais "),"")&amp;IF(COUNT(J146,K146,L146)=3,IF(ABS(J146+K146-L146)&lt;=MAX(1,0.03*ABS(L146)),"","RAI &lt;&gt; RBE + coût du risque "),"")&amp;IF(COUNT(H146,M146)=2,IF(ABS(M146)&gt;ABS(H146),"RN &gt; PNB ",""),""))=0,"OK",IF(COUNT(H146,I146,J146)=3,IF(ABS(H146+I146-J146)&lt;=MAX(1,0.02*ABS(J146)),"","RBE &lt;&gt; PNB + frais "),"")&amp;IF(COUNT(J146,K146,L146)=3,IF(ABS(J146+K146-L146)&lt;=MAX(1,0.03*ABS(L146)),"","RAI &lt;&gt; RBE + coût du risque "),"")&amp;IF(COUNT(H146,M146)=2,IF(ABS(M146)&gt;ABS(H146),"RN &gt; PNB ",""),"")))</f>
        <v/>
      </c>
    </row>
    <row r="147">
      <c r="A147" s="9" t="inlineStr">
        <is>
          <t>BOAN</t>
        </is>
      </c>
      <c r="B147" s="10">
        <f>IF(A147="","",IFERROR(VLOOKUP(A147,Titres!$A$2:$B$400,2,FALSE),"Ticker inconnu"))</f>
        <v/>
      </c>
      <c r="C147" s="11" t="n">
        <v>2026</v>
      </c>
      <c r="D147" s="11" t="inlineStr">
        <is>
          <t>S1</t>
        </is>
      </c>
      <c r="E147" s="9" t="n"/>
      <c r="F147" s="12" t="n"/>
      <c r="G147" s="9" t="n"/>
      <c r="H147" s="13" t="n"/>
      <c r="I147" s="13" t="n"/>
      <c r="J147" s="13" t="n"/>
      <c r="K147" s="13" t="n"/>
      <c r="L147" s="13" t="n"/>
      <c r="M147" s="13" t="n"/>
      <c r="N147" s="13" t="n"/>
      <c r="O147" s="13" t="n"/>
      <c r="P147" s="14">
        <f>IF(A147="","",COUNT(H147:O147)/8)</f>
        <v/>
      </c>
      <c r="Q147" s="15">
        <f>IF(COUNT(H147:O147)=0,"",IF(LEN(IF(COUNT(H147,I147,J147)=3,IF(ABS(H147+I147-J147)&lt;=MAX(1,0.02*ABS(J147)),"","RBE &lt;&gt; PNB + frais "),"")&amp;IF(COUNT(J147,K147,L147)=3,IF(ABS(J147+K147-L147)&lt;=MAX(1,0.03*ABS(L147)),"","RAI &lt;&gt; RBE + coût du risque "),"")&amp;IF(COUNT(H147,M147)=2,IF(ABS(M147)&gt;ABS(H147),"RN &gt; PNB ",""),""))=0,"OK",IF(COUNT(H147,I147,J147)=3,IF(ABS(H147+I147-J147)&lt;=MAX(1,0.02*ABS(J147)),"","RBE &lt;&gt; PNB + frais "),"")&amp;IF(COUNT(J147,K147,L147)=3,IF(ABS(J147+K147-L147)&lt;=MAX(1,0.03*ABS(L147)),"","RAI &lt;&gt; RBE + coût du risque "),"")&amp;IF(COUNT(H147,M147)=2,IF(ABS(M147)&gt;ABS(H147),"RN &gt; PNB ",""),"")))</f>
        <v/>
      </c>
    </row>
    <row r="148">
      <c r="A148" s="9" t="inlineStr">
        <is>
          <t>BOAN</t>
        </is>
      </c>
      <c r="B148" s="10">
        <f>IF(A148="","",IFERROR(VLOOKUP(A148,Titres!$A$2:$B$400,2,FALSE),"Ticker inconnu"))</f>
        <v/>
      </c>
      <c r="C148" s="11" t="n">
        <v>2026</v>
      </c>
      <c r="D148" s="11" t="inlineStr">
        <is>
          <t>T3</t>
        </is>
      </c>
      <c r="E148" s="9" t="n"/>
      <c r="F148" s="12" t="n"/>
      <c r="G148" s="9" t="n"/>
      <c r="H148" s="13" t="n"/>
      <c r="I148" s="13" t="n"/>
      <c r="J148" s="13" t="n"/>
      <c r="K148" s="13" t="n"/>
      <c r="L148" s="13" t="n"/>
      <c r="M148" s="13" t="n"/>
      <c r="N148" s="13" t="n"/>
      <c r="O148" s="13" t="n"/>
      <c r="P148" s="14">
        <f>IF(A148="","",COUNT(H148:O148)/8)</f>
        <v/>
      </c>
      <c r="Q148" s="15">
        <f>IF(COUNT(H148:O148)=0,"",IF(LEN(IF(COUNT(H148,I148,J148)=3,IF(ABS(H148+I148-J148)&lt;=MAX(1,0.02*ABS(J148)),"","RBE &lt;&gt; PNB + frais "),"")&amp;IF(COUNT(J148,K148,L148)=3,IF(ABS(J148+K148-L148)&lt;=MAX(1,0.03*ABS(L148)),"","RAI &lt;&gt; RBE + coût du risque "),"")&amp;IF(COUNT(H148,M148)=2,IF(ABS(M148)&gt;ABS(H148),"RN &gt; PNB ",""),""))=0,"OK",IF(COUNT(H148,I148,J148)=3,IF(ABS(H148+I148-J148)&lt;=MAX(1,0.02*ABS(J148)),"","RBE &lt;&gt; PNB + frais "),"")&amp;IF(COUNT(J148,K148,L148)=3,IF(ABS(J148+K148-L148)&lt;=MAX(1,0.03*ABS(L148)),"","RAI &lt;&gt; RBE + coût du risque "),"")&amp;IF(COUNT(H148,M148)=2,IF(ABS(M148)&gt;ABS(H148),"RN &gt; PNB ",""),"")))</f>
        <v/>
      </c>
    </row>
    <row r="149">
      <c r="A149" s="9" t="inlineStr">
        <is>
          <t>BOAS</t>
        </is>
      </c>
      <c r="B149" s="10">
        <f>IF(A149="","",IFERROR(VLOOKUP(A149,Titres!$A$2:$B$400,2,FALSE),"Ticker inconnu"))</f>
        <v/>
      </c>
      <c r="C149" s="11" t="n">
        <v>2021</v>
      </c>
      <c r="D149" s="11" t="inlineStr">
        <is>
          <t>T1</t>
        </is>
      </c>
      <c r="E149" s="9" t="n"/>
      <c r="F149" s="12" t="n"/>
      <c r="G149" s="9" t="n"/>
      <c r="H149" s="13" t="n"/>
      <c r="I149" s="13" t="n"/>
      <c r="J149" s="13" t="n"/>
      <c r="K149" s="13" t="n"/>
      <c r="L149" s="13" t="n"/>
      <c r="M149" s="13" t="n"/>
      <c r="N149" s="13" t="n"/>
      <c r="O149" s="13" t="n"/>
      <c r="P149" s="14">
        <f>IF(A149="","",COUNT(H149:O149)/8)</f>
        <v/>
      </c>
      <c r="Q149" s="15">
        <f>IF(COUNT(H149:O149)=0,"",IF(LEN(IF(COUNT(H149,I149,J149)=3,IF(ABS(H149+I149-J149)&lt;=MAX(1,0.02*ABS(J149)),"","RBE &lt;&gt; PNB + frais "),"")&amp;IF(COUNT(J149,K149,L149)=3,IF(ABS(J149+K149-L149)&lt;=MAX(1,0.03*ABS(L149)),"","RAI &lt;&gt; RBE + coût du risque "),"")&amp;IF(COUNT(H149,M149)=2,IF(ABS(M149)&gt;ABS(H149),"RN &gt; PNB ",""),""))=0,"OK",IF(COUNT(H149,I149,J149)=3,IF(ABS(H149+I149-J149)&lt;=MAX(1,0.02*ABS(J149)),"","RBE &lt;&gt; PNB + frais "),"")&amp;IF(COUNT(J149,K149,L149)=3,IF(ABS(J149+K149-L149)&lt;=MAX(1,0.03*ABS(L149)),"","RAI &lt;&gt; RBE + coût du risque "),"")&amp;IF(COUNT(H149,M149)=2,IF(ABS(M149)&gt;ABS(H149),"RN &gt; PNB ",""),"")))</f>
        <v/>
      </c>
    </row>
    <row r="150">
      <c r="A150" s="9" t="inlineStr">
        <is>
          <t>BOAS</t>
        </is>
      </c>
      <c r="B150" s="10">
        <f>IF(A150="","",IFERROR(VLOOKUP(A150,Titres!$A$2:$B$400,2,FALSE),"Ticker inconnu"))</f>
        <v/>
      </c>
      <c r="C150" s="11" t="n">
        <v>2021</v>
      </c>
      <c r="D150" s="11" t="inlineStr">
        <is>
          <t>S1</t>
        </is>
      </c>
      <c r="E150" s="9" t="n"/>
      <c r="F150" s="12" t="n"/>
      <c r="G150" s="9" t="n"/>
      <c r="H150" s="13" t="n"/>
      <c r="I150" s="13" t="n"/>
      <c r="J150" s="13" t="n"/>
      <c r="K150" s="13" t="n"/>
      <c r="L150" s="13" t="n"/>
      <c r="M150" s="13" t="n"/>
      <c r="N150" s="13" t="n"/>
      <c r="O150" s="13" t="n"/>
      <c r="P150" s="14">
        <f>IF(A150="","",COUNT(H150:O150)/8)</f>
        <v/>
      </c>
      <c r="Q150" s="15">
        <f>IF(COUNT(H150:O150)=0,"",IF(LEN(IF(COUNT(H150,I150,J150)=3,IF(ABS(H150+I150-J150)&lt;=MAX(1,0.02*ABS(J150)),"","RBE &lt;&gt; PNB + frais "),"")&amp;IF(COUNT(J150,K150,L150)=3,IF(ABS(J150+K150-L150)&lt;=MAX(1,0.03*ABS(L150)),"","RAI &lt;&gt; RBE + coût du risque "),"")&amp;IF(COUNT(H150,M150)=2,IF(ABS(M150)&gt;ABS(H150),"RN &gt; PNB ",""),""))=0,"OK",IF(COUNT(H150,I150,J150)=3,IF(ABS(H150+I150-J150)&lt;=MAX(1,0.02*ABS(J150)),"","RBE &lt;&gt; PNB + frais "),"")&amp;IF(COUNT(J150,K150,L150)=3,IF(ABS(J150+K150-L150)&lt;=MAX(1,0.03*ABS(L150)),"","RAI &lt;&gt; RBE + coût du risque "),"")&amp;IF(COUNT(H150,M150)=2,IF(ABS(M150)&gt;ABS(H150),"RN &gt; PNB ",""),"")))</f>
        <v/>
      </c>
    </row>
    <row r="151">
      <c r="A151" s="9" t="inlineStr">
        <is>
          <t>BOAS</t>
        </is>
      </c>
      <c r="B151" s="10">
        <f>IF(A151="","",IFERROR(VLOOKUP(A151,Titres!$A$2:$B$400,2,FALSE),"Ticker inconnu"))</f>
        <v/>
      </c>
      <c r="C151" s="11" t="n">
        <v>2021</v>
      </c>
      <c r="D151" s="11" t="inlineStr">
        <is>
          <t>T3</t>
        </is>
      </c>
      <c r="E151" s="9" t="n"/>
      <c r="F151" s="12" t="n"/>
      <c r="G151" s="9" t="n"/>
      <c r="H151" s="13" t="n"/>
      <c r="I151" s="13" t="n"/>
      <c r="J151" s="13" t="n"/>
      <c r="K151" s="13" t="n"/>
      <c r="L151" s="13" t="n"/>
      <c r="M151" s="13" t="n"/>
      <c r="N151" s="13" t="n"/>
      <c r="O151" s="13" t="n"/>
      <c r="P151" s="14">
        <f>IF(A151="","",COUNT(H151:O151)/8)</f>
        <v/>
      </c>
      <c r="Q151" s="15">
        <f>IF(COUNT(H151:O151)=0,"",IF(LEN(IF(COUNT(H151,I151,J151)=3,IF(ABS(H151+I151-J151)&lt;=MAX(1,0.02*ABS(J151)),"","RBE &lt;&gt; PNB + frais "),"")&amp;IF(COUNT(J151,K151,L151)=3,IF(ABS(J151+K151-L151)&lt;=MAX(1,0.03*ABS(L151)),"","RAI &lt;&gt; RBE + coût du risque "),"")&amp;IF(COUNT(H151,M151)=2,IF(ABS(M151)&gt;ABS(H151),"RN &gt; PNB ",""),""))=0,"OK",IF(COUNT(H151,I151,J151)=3,IF(ABS(H151+I151-J151)&lt;=MAX(1,0.02*ABS(J151)),"","RBE &lt;&gt; PNB + frais "),"")&amp;IF(COUNT(J151,K151,L151)=3,IF(ABS(J151+K151-L151)&lt;=MAX(1,0.03*ABS(L151)),"","RAI &lt;&gt; RBE + coût du risque "),"")&amp;IF(COUNT(H151,M151)=2,IF(ABS(M151)&gt;ABS(H151),"RN &gt; PNB ",""),"")))</f>
        <v/>
      </c>
    </row>
    <row r="152">
      <c r="A152" s="9" t="inlineStr">
        <is>
          <t>BOAS</t>
        </is>
      </c>
      <c r="B152" s="10">
        <f>IF(A152="","",IFERROR(VLOOKUP(A152,Titres!$A$2:$B$400,2,FALSE),"Ticker inconnu"))</f>
        <v/>
      </c>
      <c r="C152" s="11" t="n">
        <v>2022</v>
      </c>
      <c r="D152" s="11" t="inlineStr">
        <is>
          <t>T1</t>
        </is>
      </c>
      <c r="E152" s="9" t="n"/>
      <c r="F152" s="12" t="n"/>
      <c r="G152" s="9" t="n"/>
      <c r="H152" s="13" t="n"/>
      <c r="I152" s="13" t="n"/>
      <c r="J152" s="13" t="n"/>
      <c r="K152" s="13" t="n"/>
      <c r="L152" s="13" t="n"/>
      <c r="M152" s="13" t="n"/>
      <c r="N152" s="13" t="n"/>
      <c r="O152" s="13" t="n"/>
      <c r="P152" s="14">
        <f>IF(A152="","",COUNT(H152:O152)/8)</f>
        <v/>
      </c>
      <c r="Q152" s="15">
        <f>IF(COUNT(H152:O152)=0,"",IF(LEN(IF(COUNT(H152,I152,J152)=3,IF(ABS(H152+I152-J152)&lt;=MAX(1,0.02*ABS(J152)),"","RBE &lt;&gt; PNB + frais "),"")&amp;IF(COUNT(J152,K152,L152)=3,IF(ABS(J152+K152-L152)&lt;=MAX(1,0.03*ABS(L152)),"","RAI &lt;&gt; RBE + coût du risque "),"")&amp;IF(COUNT(H152,M152)=2,IF(ABS(M152)&gt;ABS(H152),"RN &gt; PNB ",""),""))=0,"OK",IF(COUNT(H152,I152,J152)=3,IF(ABS(H152+I152-J152)&lt;=MAX(1,0.02*ABS(J152)),"","RBE &lt;&gt; PNB + frais "),"")&amp;IF(COUNT(J152,K152,L152)=3,IF(ABS(J152+K152-L152)&lt;=MAX(1,0.03*ABS(L152)),"","RAI &lt;&gt; RBE + coût du risque "),"")&amp;IF(COUNT(H152,M152)=2,IF(ABS(M152)&gt;ABS(H152),"RN &gt; PNB ",""),"")))</f>
        <v/>
      </c>
    </row>
    <row r="153">
      <c r="A153" s="9" t="inlineStr">
        <is>
          <t>BOAS</t>
        </is>
      </c>
      <c r="B153" s="10">
        <f>IF(A153="","",IFERROR(VLOOKUP(A153,Titres!$A$2:$B$400,2,FALSE),"Ticker inconnu"))</f>
        <v/>
      </c>
      <c r="C153" s="11" t="n">
        <v>2022</v>
      </c>
      <c r="D153" s="11" t="inlineStr">
        <is>
          <t>S1</t>
        </is>
      </c>
      <c r="E153" s="9" t="n"/>
      <c r="F153" s="12" t="n"/>
      <c r="G153" s="9" t="n"/>
      <c r="H153" s="13" t="n"/>
      <c r="I153" s="13" t="n"/>
      <c r="J153" s="13" t="n"/>
      <c r="K153" s="13" t="n"/>
      <c r="L153" s="13" t="n"/>
      <c r="M153" s="13" t="n"/>
      <c r="N153" s="13" t="n"/>
      <c r="O153" s="13" t="n"/>
      <c r="P153" s="14">
        <f>IF(A153="","",COUNT(H153:O153)/8)</f>
        <v/>
      </c>
      <c r="Q153" s="15">
        <f>IF(COUNT(H153:O153)=0,"",IF(LEN(IF(COUNT(H153,I153,J153)=3,IF(ABS(H153+I153-J153)&lt;=MAX(1,0.02*ABS(J153)),"","RBE &lt;&gt; PNB + frais "),"")&amp;IF(COUNT(J153,K153,L153)=3,IF(ABS(J153+K153-L153)&lt;=MAX(1,0.03*ABS(L153)),"","RAI &lt;&gt; RBE + coût du risque "),"")&amp;IF(COUNT(H153,M153)=2,IF(ABS(M153)&gt;ABS(H153),"RN &gt; PNB ",""),""))=0,"OK",IF(COUNT(H153,I153,J153)=3,IF(ABS(H153+I153-J153)&lt;=MAX(1,0.02*ABS(J153)),"","RBE &lt;&gt; PNB + frais "),"")&amp;IF(COUNT(J153,K153,L153)=3,IF(ABS(J153+K153-L153)&lt;=MAX(1,0.03*ABS(L153)),"","RAI &lt;&gt; RBE + coût du risque "),"")&amp;IF(COUNT(H153,M153)=2,IF(ABS(M153)&gt;ABS(H153),"RN &gt; PNB ",""),"")))</f>
        <v/>
      </c>
    </row>
    <row r="154">
      <c r="A154" s="9" t="inlineStr">
        <is>
          <t>BOAS</t>
        </is>
      </c>
      <c r="B154" s="10">
        <f>IF(A154="","",IFERROR(VLOOKUP(A154,Titres!$A$2:$B$400,2,FALSE),"Ticker inconnu"))</f>
        <v/>
      </c>
      <c r="C154" s="11" t="n">
        <v>2022</v>
      </c>
      <c r="D154" s="11" t="inlineStr">
        <is>
          <t>T3</t>
        </is>
      </c>
      <c r="E154" s="9" t="n"/>
      <c r="F154" s="12" t="n"/>
      <c r="G154" s="9" t="n"/>
      <c r="H154" s="13" t="n"/>
      <c r="I154" s="13" t="n"/>
      <c r="J154" s="13" t="n"/>
      <c r="K154" s="13" t="n"/>
      <c r="L154" s="13" t="n"/>
      <c r="M154" s="13" t="n"/>
      <c r="N154" s="13" t="n"/>
      <c r="O154" s="13" t="n"/>
      <c r="P154" s="14">
        <f>IF(A154="","",COUNT(H154:O154)/8)</f>
        <v/>
      </c>
      <c r="Q154" s="15">
        <f>IF(COUNT(H154:O154)=0,"",IF(LEN(IF(COUNT(H154,I154,J154)=3,IF(ABS(H154+I154-J154)&lt;=MAX(1,0.02*ABS(J154)),"","RBE &lt;&gt; PNB + frais "),"")&amp;IF(COUNT(J154,K154,L154)=3,IF(ABS(J154+K154-L154)&lt;=MAX(1,0.03*ABS(L154)),"","RAI &lt;&gt; RBE + coût du risque "),"")&amp;IF(COUNT(H154,M154)=2,IF(ABS(M154)&gt;ABS(H154),"RN &gt; PNB ",""),""))=0,"OK",IF(COUNT(H154,I154,J154)=3,IF(ABS(H154+I154-J154)&lt;=MAX(1,0.02*ABS(J154)),"","RBE &lt;&gt; PNB + frais "),"")&amp;IF(COUNT(J154,K154,L154)=3,IF(ABS(J154+K154-L154)&lt;=MAX(1,0.03*ABS(L154)),"","RAI &lt;&gt; RBE + coût du risque "),"")&amp;IF(COUNT(H154,M154)=2,IF(ABS(M154)&gt;ABS(H154),"RN &gt; PNB ",""),"")))</f>
        <v/>
      </c>
    </row>
    <row r="155">
      <c r="A155" s="9" t="inlineStr">
        <is>
          <t>BOAS</t>
        </is>
      </c>
      <c r="B155" s="10">
        <f>IF(A155="","",IFERROR(VLOOKUP(A155,Titres!$A$2:$B$400,2,FALSE),"Ticker inconnu"))</f>
        <v/>
      </c>
      <c r="C155" s="11" t="n">
        <v>2023</v>
      </c>
      <c r="D155" s="11" t="inlineStr">
        <is>
          <t>T1</t>
        </is>
      </c>
      <c r="E155" s="9" t="n"/>
      <c r="F155" s="12" t="n"/>
      <c r="G155" s="9" t="n"/>
      <c r="H155" s="13" t="n"/>
      <c r="I155" s="13" t="n"/>
      <c r="J155" s="13" t="n"/>
      <c r="K155" s="13" t="n"/>
      <c r="L155" s="13" t="n"/>
      <c r="M155" s="13" t="n"/>
      <c r="N155" s="13" t="n"/>
      <c r="O155" s="13" t="n"/>
      <c r="P155" s="14">
        <f>IF(A155="","",COUNT(H155:O155)/8)</f>
        <v/>
      </c>
      <c r="Q155" s="15">
        <f>IF(COUNT(H155:O155)=0,"",IF(LEN(IF(COUNT(H155,I155,J155)=3,IF(ABS(H155+I155-J155)&lt;=MAX(1,0.02*ABS(J155)),"","RBE &lt;&gt; PNB + frais "),"")&amp;IF(COUNT(J155,K155,L155)=3,IF(ABS(J155+K155-L155)&lt;=MAX(1,0.03*ABS(L155)),"","RAI &lt;&gt; RBE + coût du risque "),"")&amp;IF(COUNT(H155,M155)=2,IF(ABS(M155)&gt;ABS(H155),"RN &gt; PNB ",""),""))=0,"OK",IF(COUNT(H155,I155,J155)=3,IF(ABS(H155+I155-J155)&lt;=MAX(1,0.02*ABS(J155)),"","RBE &lt;&gt; PNB + frais "),"")&amp;IF(COUNT(J155,K155,L155)=3,IF(ABS(J155+K155-L155)&lt;=MAX(1,0.03*ABS(L155)),"","RAI &lt;&gt; RBE + coût du risque "),"")&amp;IF(COUNT(H155,M155)=2,IF(ABS(M155)&gt;ABS(H155),"RN &gt; PNB ",""),"")))</f>
        <v/>
      </c>
    </row>
    <row r="156">
      <c r="A156" s="9" t="inlineStr">
        <is>
          <t>BOAS</t>
        </is>
      </c>
      <c r="B156" s="10">
        <f>IF(A156="","",IFERROR(VLOOKUP(A156,Titres!$A$2:$B$400,2,FALSE),"Ticker inconnu"))</f>
        <v/>
      </c>
      <c r="C156" s="11" t="n">
        <v>2023</v>
      </c>
      <c r="D156" s="11" t="inlineStr">
        <is>
          <t>S1</t>
        </is>
      </c>
      <c r="E156" s="9" t="n"/>
      <c r="F156" s="12" t="n"/>
      <c r="G156" s="9" t="n"/>
      <c r="H156" s="13" t="n"/>
      <c r="I156" s="13" t="n"/>
      <c r="J156" s="13" t="n"/>
      <c r="K156" s="13" t="n"/>
      <c r="L156" s="13" t="n"/>
      <c r="M156" s="13" t="n"/>
      <c r="N156" s="13" t="n"/>
      <c r="O156" s="13" t="n"/>
      <c r="P156" s="14">
        <f>IF(A156="","",COUNT(H156:O156)/8)</f>
        <v/>
      </c>
      <c r="Q156" s="15">
        <f>IF(COUNT(H156:O156)=0,"",IF(LEN(IF(COUNT(H156,I156,J156)=3,IF(ABS(H156+I156-J156)&lt;=MAX(1,0.02*ABS(J156)),"","RBE &lt;&gt; PNB + frais "),"")&amp;IF(COUNT(J156,K156,L156)=3,IF(ABS(J156+K156-L156)&lt;=MAX(1,0.03*ABS(L156)),"","RAI &lt;&gt; RBE + coût du risque "),"")&amp;IF(COUNT(H156,M156)=2,IF(ABS(M156)&gt;ABS(H156),"RN &gt; PNB ",""),""))=0,"OK",IF(COUNT(H156,I156,J156)=3,IF(ABS(H156+I156-J156)&lt;=MAX(1,0.02*ABS(J156)),"","RBE &lt;&gt; PNB + frais "),"")&amp;IF(COUNT(J156,K156,L156)=3,IF(ABS(J156+K156-L156)&lt;=MAX(1,0.03*ABS(L156)),"","RAI &lt;&gt; RBE + coût du risque "),"")&amp;IF(COUNT(H156,M156)=2,IF(ABS(M156)&gt;ABS(H156),"RN &gt; PNB ",""),"")))</f>
        <v/>
      </c>
    </row>
    <row r="157">
      <c r="A157" s="9" t="inlineStr">
        <is>
          <t>BOAS</t>
        </is>
      </c>
      <c r="B157" s="10">
        <f>IF(A157="","",IFERROR(VLOOKUP(A157,Titres!$A$2:$B$400,2,FALSE),"Ticker inconnu"))</f>
        <v/>
      </c>
      <c r="C157" s="11" t="n">
        <v>2023</v>
      </c>
      <c r="D157" s="11" t="inlineStr">
        <is>
          <t>T3</t>
        </is>
      </c>
      <c r="E157" s="9" t="n"/>
      <c r="F157" s="12" t="n"/>
      <c r="G157" s="9" t="n"/>
      <c r="H157" s="13" t="n"/>
      <c r="I157" s="13" t="n"/>
      <c r="J157" s="13" t="n"/>
      <c r="K157" s="13" t="n"/>
      <c r="L157" s="13" t="n"/>
      <c r="M157" s="13" t="n"/>
      <c r="N157" s="13" t="n"/>
      <c r="O157" s="13" t="n"/>
      <c r="P157" s="14">
        <f>IF(A157="","",COUNT(H157:O157)/8)</f>
        <v/>
      </c>
      <c r="Q157" s="15">
        <f>IF(COUNT(H157:O157)=0,"",IF(LEN(IF(COUNT(H157,I157,J157)=3,IF(ABS(H157+I157-J157)&lt;=MAX(1,0.02*ABS(J157)),"","RBE &lt;&gt; PNB + frais "),"")&amp;IF(COUNT(J157,K157,L157)=3,IF(ABS(J157+K157-L157)&lt;=MAX(1,0.03*ABS(L157)),"","RAI &lt;&gt; RBE + coût du risque "),"")&amp;IF(COUNT(H157,M157)=2,IF(ABS(M157)&gt;ABS(H157),"RN &gt; PNB ",""),""))=0,"OK",IF(COUNT(H157,I157,J157)=3,IF(ABS(H157+I157-J157)&lt;=MAX(1,0.02*ABS(J157)),"","RBE &lt;&gt; PNB + frais "),"")&amp;IF(COUNT(J157,K157,L157)=3,IF(ABS(J157+K157-L157)&lt;=MAX(1,0.03*ABS(L157)),"","RAI &lt;&gt; RBE + coût du risque "),"")&amp;IF(COUNT(H157,M157)=2,IF(ABS(M157)&gt;ABS(H157),"RN &gt; PNB ",""),"")))</f>
        <v/>
      </c>
    </row>
    <row r="158">
      <c r="A158" s="9" t="inlineStr">
        <is>
          <t>BOAS</t>
        </is>
      </c>
      <c r="B158" s="10">
        <f>IF(A158="","",IFERROR(VLOOKUP(A158,Titres!$A$2:$B$400,2,FALSE),"Ticker inconnu"))</f>
        <v/>
      </c>
      <c r="C158" s="11" t="n">
        <v>2024</v>
      </c>
      <c r="D158" s="11" t="inlineStr">
        <is>
          <t>T1</t>
        </is>
      </c>
      <c r="E158" s="9" t="n"/>
      <c r="F158" s="12" t="n"/>
      <c r="G158" s="9" t="n"/>
      <c r="H158" s="13" t="n"/>
      <c r="I158" s="13" t="n"/>
      <c r="J158" s="13" t="n"/>
      <c r="K158" s="13" t="n"/>
      <c r="L158" s="13" t="n"/>
      <c r="M158" s="13" t="n"/>
      <c r="N158" s="13" t="n"/>
      <c r="O158" s="13" t="n"/>
      <c r="P158" s="14">
        <f>IF(A158="","",COUNT(H158:O158)/8)</f>
        <v/>
      </c>
      <c r="Q158" s="15">
        <f>IF(COUNT(H158:O158)=0,"",IF(LEN(IF(COUNT(H158,I158,J158)=3,IF(ABS(H158+I158-J158)&lt;=MAX(1,0.02*ABS(J158)),"","RBE &lt;&gt; PNB + frais "),"")&amp;IF(COUNT(J158,K158,L158)=3,IF(ABS(J158+K158-L158)&lt;=MAX(1,0.03*ABS(L158)),"","RAI &lt;&gt; RBE + coût du risque "),"")&amp;IF(COUNT(H158,M158)=2,IF(ABS(M158)&gt;ABS(H158),"RN &gt; PNB ",""),""))=0,"OK",IF(COUNT(H158,I158,J158)=3,IF(ABS(H158+I158-J158)&lt;=MAX(1,0.02*ABS(J158)),"","RBE &lt;&gt; PNB + frais "),"")&amp;IF(COUNT(J158,K158,L158)=3,IF(ABS(J158+K158-L158)&lt;=MAX(1,0.03*ABS(L158)),"","RAI &lt;&gt; RBE + coût du risque "),"")&amp;IF(COUNT(H158,M158)=2,IF(ABS(M158)&gt;ABS(H158),"RN &gt; PNB ",""),"")))</f>
        <v/>
      </c>
    </row>
    <row r="159">
      <c r="A159" s="9" t="inlineStr">
        <is>
          <t>BOAS</t>
        </is>
      </c>
      <c r="B159" s="10">
        <f>IF(A159="","",IFERROR(VLOOKUP(A159,Titres!$A$2:$B$400,2,FALSE),"Ticker inconnu"))</f>
        <v/>
      </c>
      <c r="C159" s="11" t="n">
        <v>2024</v>
      </c>
      <c r="D159" s="11" t="inlineStr">
        <is>
          <t>S1</t>
        </is>
      </c>
      <c r="E159" s="9" t="n"/>
      <c r="F159" s="12" t="n"/>
      <c r="G159" s="9" t="n"/>
      <c r="H159" s="13" t="n"/>
      <c r="I159" s="13" t="n"/>
      <c r="J159" s="13" t="n"/>
      <c r="K159" s="13" t="n"/>
      <c r="L159" s="13" t="n"/>
      <c r="M159" s="13" t="n"/>
      <c r="N159" s="13" t="n"/>
      <c r="O159" s="13" t="n"/>
      <c r="P159" s="14">
        <f>IF(A159="","",COUNT(H159:O159)/8)</f>
        <v/>
      </c>
      <c r="Q159" s="15">
        <f>IF(COUNT(H159:O159)=0,"",IF(LEN(IF(COUNT(H159,I159,J159)=3,IF(ABS(H159+I159-J159)&lt;=MAX(1,0.02*ABS(J159)),"","RBE &lt;&gt; PNB + frais "),"")&amp;IF(COUNT(J159,K159,L159)=3,IF(ABS(J159+K159-L159)&lt;=MAX(1,0.03*ABS(L159)),"","RAI &lt;&gt; RBE + coût du risque "),"")&amp;IF(COUNT(H159,M159)=2,IF(ABS(M159)&gt;ABS(H159),"RN &gt; PNB ",""),""))=0,"OK",IF(COUNT(H159,I159,J159)=3,IF(ABS(H159+I159-J159)&lt;=MAX(1,0.02*ABS(J159)),"","RBE &lt;&gt; PNB + frais "),"")&amp;IF(COUNT(J159,K159,L159)=3,IF(ABS(J159+K159-L159)&lt;=MAX(1,0.03*ABS(L159)),"","RAI &lt;&gt; RBE + coût du risque "),"")&amp;IF(COUNT(H159,M159)=2,IF(ABS(M159)&gt;ABS(H159),"RN &gt; PNB ",""),"")))</f>
        <v/>
      </c>
    </row>
    <row r="160">
      <c r="A160" s="9" t="inlineStr">
        <is>
          <t>BOAS</t>
        </is>
      </c>
      <c r="B160" s="10">
        <f>IF(A160="","",IFERROR(VLOOKUP(A160,Titres!$A$2:$B$400,2,FALSE),"Ticker inconnu"))</f>
        <v/>
      </c>
      <c r="C160" s="11" t="n">
        <v>2024</v>
      </c>
      <c r="D160" s="11" t="inlineStr">
        <is>
          <t>T3</t>
        </is>
      </c>
      <c r="E160" s="9" t="n"/>
      <c r="F160" s="12" t="n"/>
      <c r="G160" s="9" t="n"/>
      <c r="H160" s="13" t="n"/>
      <c r="I160" s="13" t="n"/>
      <c r="J160" s="13" t="n"/>
      <c r="K160" s="13" t="n"/>
      <c r="L160" s="13" t="n"/>
      <c r="M160" s="13" t="n"/>
      <c r="N160" s="13" t="n"/>
      <c r="O160" s="13" t="n"/>
      <c r="P160" s="14">
        <f>IF(A160="","",COUNT(H160:O160)/8)</f>
        <v/>
      </c>
      <c r="Q160" s="15">
        <f>IF(COUNT(H160:O160)=0,"",IF(LEN(IF(COUNT(H160,I160,J160)=3,IF(ABS(H160+I160-J160)&lt;=MAX(1,0.02*ABS(J160)),"","RBE &lt;&gt; PNB + frais "),"")&amp;IF(COUNT(J160,K160,L160)=3,IF(ABS(J160+K160-L160)&lt;=MAX(1,0.03*ABS(L160)),"","RAI &lt;&gt; RBE + coût du risque "),"")&amp;IF(COUNT(H160,M160)=2,IF(ABS(M160)&gt;ABS(H160),"RN &gt; PNB ",""),""))=0,"OK",IF(COUNT(H160,I160,J160)=3,IF(ABS(H160+I160-J160)&lt;=MAX(1,0.02*ABS(J160)),"","RBE &lt;&gt; PNB + frais "),"")&amp;IF(COUNT(J160,K160,L160)=3,IF(ABS(J160+K160-L160)&lt;=MAX(1,0.03*ABS(L160)),"","RAI &lt;&gt; RBE + coût du risque "),"")&amp;IF(COUNT(H160,M160)=2,IF(ABS(M160)&gt;ABS(H160),"RN &gt; PNB ",""),"")))</f>
        <v/>
      </c>
    </row>
    <row r="161">
      <c r="A161" s="9" t="inlineStr">
        <is>
          <t>BOAS</t>
        </is>
      </c>
      <c r="B161" s="10">
        <f>IF(A161="","",IFERROR(VLOOKUP(A161,Titres!$A$2:$B$400,2,FALSE),"Ticker inconnu"))</f>
        <v/>
      </c>
      <c r="C161" s="11" t="n">
        <v>2025</v>
      </c>
      <c r="D161" s="11" t="inlineStr">
        <is>
          <t>T1</t>
        </is>
      </c>
      <c r="E161" s="9" t="n"/>
      <c r="F161" s="12" t="n"/>
      <c r="G161" s="9" t="n"/>
      <c r="H161" s="13" t="n"/>
      <c r="I161" s="13" t="n"/>
      <c r="J161" s="13" t="n"/>
      <c r="K161" s="13" t="n"/>
      <c r="L161" s="13" t="n"/>
      <c r="M161" s="13" t="n"/>
      <c r="N161" s="13" t="n"/>
      <c r="O161" s="13" t="n"/>
      <c r="P161" s="14">
        <f>IF(A161="","",COUNT(H161:O161)/8)</f>
        <v/>
      </c>
      <c r="Q161" s="15">
        <f>IF(COUNT(H161:O161)=0,"",IF(LEN(IF(COUNT(H161,I161,J161)=3,IF(ABS(H161+I161-J161)&lt;=MAX(1,0.02*ABS(J161)),"","RBE &lt;&gt; PNB + frais "),"")&amp;IF(COUNT(J161,K161,L161)=3,IF(ABS(J161+K161-L161)&lt;=MAX(1,0.03*ABS(L161)),"","RAI &lt;&gt; RBE + coût du risque "),"")&amp;IF(COUNT(H161,M161)=2,IF(ABS(M161)&gt;ABS(H161),"RN &gt; PNB ",""),""))=0,"OK",IF(COUNT(H161,I161,J161)=3,IF(ABS(H161+I161-J161)&lt;=MAX(1,0.02*ABS(J161)),"","RBE &lt;&gt; PNB + frais "),"")&amp;IF(COUNT(J161,K161,L161)=3,IF(ABS(J161+K161-L161)&lt;=MAX(1,0.03*ABS(L161)),"","RAI &lt;&gt; RBE + coût du risque "),"")&amp;IF(COUNT(H161,M161)=2,IF(ABS(M161)&gt;ABS(H161),"RN &gt; PNB ",""),"")))</f>
        <v/>
      </c>
    </row>
    <row r="162">
      <c r="A162" s="9" t="inlineStr">
        <is>
          <t>BOAS</t>
        </is>
      </c>
      <c r="B162" s="10">
        <f>IF(A162="","",IFERROR(VLOOKUP(A162,Titres!$A$2:$B$400,2,FALSE),"Ticker inconnu"))</f>
        <v/>
      </c>
      <c r="C162" s="11" t="n">
        <v>2025</v>
      </c>
      <c r="D162" s="11" t="inlineStr">
        <is>
          <t>S1</t>
        </is>
      </c>
      <c r="E162" s="9" t="n"/>
      <c r="F162" s="12" t="n"/>
      <c r="G162" s="9" t="n"/>
      <c r="H162" s="13" t="n"/>
      <c r="I162" s="13" t="n"/>
      <c r="J162" s="13" t="n"/>
      <c r="K162" s="13" t="n"/>
      <c r="L162" s="13" t="n"/>
      <c r="M162" s="13" t="n"/>
      <c r="N162" s="13" t="n"/>
      <c r="O162" s="13" t="n"/>
      <c r="P162" s="14">
        <f>IF(A162="","",COUNT(H162:O162)/8)</f>
        <v/>
      </c>
      <c r="Q162" s="15">
        <f>IF(COUNT(H162:O162)=0,"",IF(LEN(IF(COUNT(H162,I162,J162)=3,IF(ABS(H162+I162-J162)&lt;=MAX(1,0.02*ABS(J162)),"","RBE &lt;&gt; PNB + frais "),"")&amp;IF(COUNT(J162,K162,L162)=3,IF(ABS(J162+K162-L162)&lt;=MAX(1,0.03*ABS(L162)),"","RAI &lt;&gt; RBE + coût du risque "),"")&amp;IF(COUNT(H162,M162)=2,IF(ABS(M162)&gt;ABS(H162),"RN &gt; PNB ",""),""))=0,"OK",IF(COUNT(H162,I162,J162)=3,IF(ABS(H162+I162-J162)&lt;=MAX(1,0.02*ABS(J162)),"","RBE &lt;&gt; PNB + frais "),"")&amp;IF(COUNT(J162,K162,L162)=3,IF(ABS(J162+K162-L162)&lt;=MAX(1,0.03*ABS(L162)),"","RAI &lt;&gt; RBE + coût du risque "),"")&amp;IF(COUNT(H162,M162)=2,IF(ABS(M162)&gt;ABS(H162),"RN &gt; PNB ",""),"")))</f>
        <v/>
      </c>
    </row>
    <row r="163">
      <c r="A163" s="9" t="inlineStr">
        <is>
          <t>BOAS</t>
        </is>
      </c>
      <c r="B163" s="10">
        <f>IF(A163="","",IFERROR(VLOOKUP(A163,Titres!$A$2:$B$400,2,FALSE),"Ticker inconnu"))</f>
        <v/>
      </c>
      <c r="C163" s="11" t="n">
        <v>2025</v>
      </c>
      <c r="D163" s="11" t="inlineStr">
        <is>
          <t>T3</t>
        </is>
      </c>
      <c r="E163" s="9" t="n"/>
      <c r="F163" s="12" t="n"/>
      <c r="G163" s="9" t="n"/>
      <c r="H163" s="13" t="n"/>
      <c r="I163" s="13" t="n"/>
      <c r="J163" s="13" t="n"/>
      <c r="K163" s="13" t="n"/>
      <c r="L163" s="13" t="n"/>
      <c r="M163" s="13" t="n"/>
      <c r="N163" s="13" t="n"/>
      <c r="O163" s="13" t="n"/>
      <c r="P163" s="14">
        <f>IF(A163="","",COUNT(H163:O163)/8)</f>
        <v/>
      </c>
      <c r="Q163" s="15">
        <f>IF(COUNT(H163:O163)=0,"",IF(LEN(IF(COUNT(H163,I163,J163)=3,IF(ABS(H163+I163-J163)&lt;=MAX(1,0.02*ABS(J163)),"","RBE &lt;&gt; PNB + frais "),"")&amp;IF(COUNT(J163,K163,L163)=3,IF(ABS(J163+K163-L163)&lt;=MAX(1,0.03*ABS(L163)),"","RAI &lt;&gt; RBE + coût du risque "),"")&amp;IF(COUNT(H163,M163)=2,IF(ABS(M163)&gt;ABS(H163),"RN &gt; PNB ",""),""))=0,"OK",IF(COUNT(H163,I163,J163)=3,IF(ABS(H163+I163-J163)&lt;=MAX(1,0.02*ABS(J163)),"","RBE &lt;&gt; PNB + frais "),"")&amp;IF(COUNT(J163,K163,L163)=3,IF(ABS(J163+K163-L163)&lt;=MAX(1,0.03*ABS(L163)),"","RAI &lt;&gt; RBE + coût du risque "),"")&amp;IF(COUNT(H163,M163)=2,IF(ABS(M163)&gt;ABS(H163),"RN &gt; PNB ",""),"")))</f>
        <v/>
      </c>
    </row>
    <row r="164">
      <c r="A164" s="9" t="inlineStr">
        <is>
          <t>BOAS</t>
        </is>
      </c>
      <c r="B164" s="10">
        <f>IF(A164="","",IFERROR(VLOOKUP(A164,Titres!$A$2:$B$400,2,FALSE),"Ticker inconnu"))</f>
        <v/>
      </c>
      <c r="C164" s="11" t="n">
        <v>2026</v>
      </c>
      <c r="D164" s="11" t="inlineStr">
        <is>
          <t>T1</t>
        </is>
      </c>
      <c r="E164" s="9" t="n"/>
      <c r="F164" s="12" t="n"/>
      <c r="G164" s="9" t="n"/>
      <c r="H164" s="13" t="n"/>
      <c r="I164" s="13" t="n"/>
      <c r="J164" s="13" t="n"/>
      <c r="K164" s="13" t="n"/>
      <c r="L164" s="13" t="n"/>
      <c r="M164" s="13" t="n"/>
      <c r="N164" s="13" t="n"/>
      <c r="O164" s="13" t="n"/>
      <c r="P164" s="14">
        <f>IF(A164="","",COUNT(H164:O164)/8)</f>
        <v/>
      </c>
      <c r="Q164" s="15">
        <f>IF(COUNT(H164:O164)=0,"",IF(LEN(IF(COUNT(H164,I164,J164)=3,IF(ABS(H164+I164-J164)&lt;=MAX(1,0.02*ABS(J164)),"","RBE &lt;&gt; PNB + frais "),"")&amp;IF(COUNT(J164,K164,L164)=3,IF(ABS(J164+K164-L164)&lt;=MAX(1,0.03*ABS(L164)),"","RAI &lt;&gt; RBE + coût du risque "),"")&amp;IF(COUNT(H164,M164)=2,IF(ABS(M164)&gt;ABS(H164),"RN &gt; PNB ",""),""))=0,"OK",IF(COUNT(H164,I164,J164)=3,IF(ABS(H164+I164-J164)&lt;=MAX(1,0.02*ABS(J164)),"","RBE &lt;&gt; PNB + frais "),"")&amp;IF(COUNT(J164,K164,L164)=3,IF(ABS(J164+K164-L164)&lt;=MAX(1,0.03*ABS(L164)),"","RAI &lt;&gt; RBE + coût du risque "),"")&amp;IF(COUNT(H164,M164)=2,IF(ABS(M164)&gt;ABS(H164),"RN &gt; PNB ",""),"")))</f>
        <v/>
      </c>
    </row>
    <row r="165">
      <c r="A165" s="9" t="inlineStr">
        <is>
          <t>BOAS</t>
        </is>
      </c>
      <c r="B165" s="10">
        <f>IF(A165="","",IFERROR(VLOOKUP(A165,Titres!$A$2:$B$400,2,FALSE),"Ticker inconnu"))</f>
        <v/>
      </c>
      <c r="C165" s="11" t="n">
        <v>2026</v>
      </c>
      <c r="D165" s="11" t="inlineStr">
        <is>
          <t>S1</t>
        </is>
      </c>
      <c r="E165" s="9" t="n"/>
      <c r="F165" s="12" t="n"/>
      <c r="G165" s="9" t="n"/>
      <c r="H165" s="13" t="n"/>
      <c r="I165" s="13" t="n"/>
      <c r="J165" s="13" t="n"/>
      <c r="K165" s="13" t="n"/>
      <c r="L165" s="13" t="n"/>
      <c r="M165" s="13" t="n"/>
      <c r="N165" s="13" t="n"/>
      <c r="O165" s="13" t="n"/>
      <c r="P165" s="14">
        <f>IF(A165="","",COUNT(H165:O165)/8)</f>
        <v/>
      </c>
      <c r="Q165" s="15">
        <f>IF(COUNT(H165:O165)=0,"",IF(LEN(IF(COUNT(H165,I165,J165)=3,IF(ABS(H165+I165-J165)&lt;=MAX(1,0.02*ABS(J165)),"","RBE &lt;&gt; PNB + frais "),"")&amp;IF(COUNT(J165,K165,L165)=3,IF(ABS(J165+K165-L165)&lt;=MAX(1,0.03*ABS(L165)),"","RAI &lt;&gt; RBE + coût du risque "),"")&amp;IF(COUNT(H165,M165)=2,IF(ABS(M165)&gt;ABS(H165),"RN &gt; PNB ",""),""))=0,"OK",IF(COUNT(H165,I165,J165)=3,IF(ABS(H165+I165-J165)&lt;=MAX(1,0.02*ABS(J165)),"","RBE &lt;&gt; PNB + frais "),"")&amp;IF(COUNT(J165,K165,L165)=3,IF(ABS(J165+K165-L165)&lt;=MAX(1,0.03*ABS(L165)),"","RAI &lt;&gt; RBE + coût du risque "),"")&amp;IF(COUNT(H165,M165)=2,IF(ABS(M165)&gt;ABS(H165),"RN &gt; PNB ",""),"")))</f>
        <v/>
      </c>
    </row>
    <row r="166">
      <c r="A166" s="9" t="inlineStr">
        <is>
          <t>BOAS</t>
        </is>
      </c>
      <c r="B166" s="10">
        <f>IF(A166="","",IFERROR(VLOOKUP(A166,Titres!$A$2:$B$400,2,FALSE),"Ticker inconnu"))</f>
        <v/>
      </c>
      <c r="C166" s="11" t="n">
        <v>2026</v>
      </c>
      <c r="D166" s="11" t="inlineStr">
        <is>
          <t>T3</t>
        </is>
      </c>
      <c r="E166" s="9" t="n"/>
      <c r="F166" s="12" t="n"/>
      <c r="G166" s="9" t="n"/>
      <c r="H166" s="13" t="n"/>
      <c r="I166" s="13" t="n"/>
      <c r="J166" s="13" t="n"/>
      <c r="K166" s="13" t="n"/>
      <c r="L166" s="13" t="n"/>
      <c r="M166" s="13" t="n"/>
      <c r="N166" s="13" t="n"/>
      <c r="O166" s="13" t="n"/>
      <c r="P166" s="14">
        <f>IF(A166="","",COUNT(H166:O166)/8)</f>
        <v/>
      </c>
      <c r="Q166" s="15">
        <f>IF(COUNT(H166:O166)=0,"",IF(LEN(IF(COUNT(H166,I166,J166)=3,IF(ABS(H166+I166-J166)&lt;=MAX(1,0.02*ABS(J166)),"","RBE &lt;&gt; PNB + frais "),"")&amp;IF(COUNT(J166,K166,L166)=3,IF(ABS(J166+K166-L166)&lt;=MAX(1,0.03*ABS(L166)),"","RAI &lt;&gt; RBE + coût du risque "),"")&amp;IF(COUNT(H166,M166)=2,IF(ABS(M166)&gt;ABS(H166),"RN &gt; PNB ",""),""))=0,"OK",IF(COUNT(H166,I166,J166)=3,IF(ABS(H166+I166-J166)&lt;=MAX(1,0.02*ABS(J166)),"","RBE &lt;&gt; PNB + frais "),"")&amp;IF(COUNT(J166,K166,L166)=3,IF(ABS(J166+K166-L166)&lt;=MAX(1,0.03*ABS(L166)),"","RAI &lt;&gt; RBE + coût du risque "),"")&amp;IF(COUNT(H166,M166)=2,IF(ABS(M166)&gt;ABS(H166),"RN &gt; PNB ",""),"")))</f>
        <v/>
      </c>
    </row>
    <row r="167">
      <c r="A167" s="9" t="inlineStr">
        <is>
          <t>CBIBF</t>
        </is>
      </c>
      <c r="B167" s="10">
        <f>IF(A167="","",IFERROR(VLOOKUP(A167,Titres!$A$2:$B$400,2,FALSE),"Ticker inconnu"))</f>
        <v/>
      </c>
      <c r="C167" s="11" t="n">
        <v>2021</v>
      </c>
      <c r="D167" s="11" t="inlineStr">
        <is>
          <t>T1</t>
        </is>
      </c>
      <c r="E167" s="9" t="n"/>
      <c r="F167" s="12" t="n"/>
      <c r="G167" s="9" t="n"/>
      <c r="H167" s="13" t="n"/>
      <c r="I167" s="13" t="n"/>
      <c r="J167" s="13" t="n"/>
      <c r="K167" s="13" t="n"/>
      <c r="L167" s="13" t="n"/>
      <c r="M167" s="13" t="n"/>
      <c r="N167" s="13" t="n"/>
      <c r="O167" s="13" t="n"/>
      <c r="P167" s="14">
        <f>IF(A167="","",COUNT(H167:O167)/8)</f>
        <v/>
      </c>
      <c r="Q167" s="15">
        <f>IF(COUNT(H167:O167)=0,"",IF(LEN(IF(COUNT(H167,I167,J167)=3,IF(ABS(H167+I167-J167)&lt;=MAX(1,0.02*ABS(J167)),"","RBE &lt;&gt; PNB + frais "),"")&amp;IF(COUNT(J167,K167,L167)=3,IF(ABS(J167+K167-L167)&lt;=MAX(1,0.03*ABS(L167)),"","RAI &lt;&gt; RBE + coût du risque "),"")&amp;IF(COUNT(H167,M167)=2,IF(ABS(M167)&gt;ABS(H167),"RN &gt; PNB ",""),""))=0,"OK",IF(COUNT(H167,I167,J167)=3,IF(ABS(H167+I167-J167)&lt;=MAX(1,0.02*ABS(J167)),"","RBE &lt;&gt; PNB + frais "),"")&amp;IF(COUNT(J167,K167,L167)=3,IF(ABS(J167+K167-L167)&lt;=MAX(1,0.03*ABS(L167)),"","RAI &lt;&gt; RBE + coût du risque "),"")&amp;IF(COUNT(H167,M167)=2,IF(ABS(M167)&gt;ABS(H167),"RN &gt; PNB ",""),"")))</f>
        <v/>
      </c>
    </row>
    <row r="168">
      <c r="A168" s="9" t="inlineStr">
        <is>
          <t>CBIBF</t>
        </is>
      </c>
      <c r="B168" s="10">
        <f>IF(A168="","",IFERROR(VLOOKUP(A168,Titres!$A$2:$B$400,2,FALSE),"Ticker inconnu"))</f>
        <v/>
      </c>
      <c r="C168" s="11" t="n">
        <v>2021</v>
      </c>
      <c r="D168" s="11" t="inlineStr">
        <is>
          <t>S1</t>
        </is>
      </c>
      <c r="E168" s="9" t="n"/>
      <c r="F168" s="12" t="n"/>
      <c r="G168" s="9" t="n"/>
      <c r="H168" s="13" t="n"/>
      <c r="I168" s="13" t="n"/>
      <c r="J168" s="13" t="n"/>
      <c r="K168" s="13" t="n"/>
      <c r="L168" s="13" t="n"/>
      <c r="M168" s="13" t="n"/>
      <c r="N168" s="13" t="n"/>
      <c r="O168" s="13" t="n"/>
      <c r="P168" s="14">
        <f>IF(A168="","",COUNT(H168:O168)/8)</f>
        <v/>
      </c>
      <c r="Q168" s="15">
        <f>IF(COUNT(H168:O168)=0,"",IF(LEN(IF(COUNT(H168,I168,J168)=3,IF(ABS(H168+I168-J168)&lt;=MAX(1,0.02*ABS(J168)),"","RBE &lt;&gt; PNB + frais "),"")&amp;IF(COUNT(J168,K168,L168)=3,IF(ABS(J168+K168-L168)&lt;=MAX(1,0.03*ABS(L168)),"","RAI &lt;&gt; RBE + coût du risque "),"")&amp;IF(COUNT(H168,M168)=2,IF(ABS(M168)&gt;ABS(H168),"RN &gt; PNB ",""),""))=0,"OK",IF(COUNT(H168,I168,J168)=3,IF(ABS(H168+I168-J168)&lt;=MAX(1,0.02*ABS(J168)),"","RBE &lt;&gt; PNB + frais "),"")&amp;IF(COUNT(J168,K168,L168)=3,IF(ABS(J168+K168-L168)&lt;=MAX(1,0.03*ABS(L168)),"","RAI &lt;&gt; RBE + coût du risque "),"")&amp;IF(COUNT(H168,M168)=2,IF(ABS(M168)&gt;ABS(H168),"RN &gt; PNB ",""),"")))</f>
        <v/>
      </c>
    </row>
    <row r="169">
      <c r="A169" s="9" t="inlineStr">
        <is>
          <t>CBIBF</t>
        </is>
      </c>
      <c r="B169" s="10">
        <f>IF(A169="","",IFERROR(VLOOKUP(A169,Titres!$A$2:$B$400,2,FALSE),"Ticker inconnu"))</f>
        <v/>
      </c>
      <c r="C169" s="11" t="n">
        <v>2021</v>
      </c>
      <c r="D169" s="11" t="inlineStr">
        <is>
          <t>T3</t>
        </is>
      </c>
      <c r="E169" s="9" t="n"/>
      <c r="F169" s="12" t="n"/>
      <c r="G169" s="9" t="n"/>
      <c r="H169" s="13" t="n"/>
      <c r="I169" s="13" t="n"/>
      <c r="J169" s="13" t="n"/>
      <c r="K169" s="13" t="n"/>
      <c r="L169" s="13" t="n"/>
      <c r="M169" s="13" t="n"/>
      <c r="N169" s="13" t="n"/>
      <c r="O169" s="13" t="n"/>
      <c r="P169" s="14">
        <f>IF(A169="","",COUNT(H169:O169)/8)</f>
        <v/>
      </c>
      <c r="Q169" s="15">
        <f>IF(COUNT(H169:O169)=0,"",IF(LEN(IF(COUNT(H169,I169,J169)=3,IF(ABS(H169+I169-J169)&lt;=MAX(1,0.02*ABS(J169)),"","RBE &lt;&gt; PNB + frais "),"")&amp;IF(COUNT(J169,K169,L169)=3,IF(ABS(J169+K169-L169)&lt;=MAX(1,0.03*ABS(L169)),"","RAI &lt;&gt; RBE + coût du risque "),"")&amp;IF(COUNT(H169,M169)=2,IF(ABS(M169)&gt;ABS(H169),"RN &gt; PNB ",""),""))=0,"OK",IF(COUNT(H169,I169,J169)=3,IF(ABS(H169+I169-J169)&lt;=MAX(1,0.02*ABS(J169)),"","RBE &lt;&gt; PNB + frais "),"")&amp;IF(COUNT(J169,K169,L169)=3,IF(ABS(J169+K169-L169)&lt;=MAX(1,0.03*ABS(L169)),"","RAI &lt;&gt; RBE + coût du risque "),"")&amp;IF(COUNT(H169,M169)=2,IF(ABS(M169)&gt;ABS(H169),"RN &gt; PNB ",""),"")))</f>
        <v/>
      </c>
    </row>
    <row r="170">
      <c r="A170" s="9" t="inlineStr">
        <is>
          <t>CBIBF</t>
        </is>
      </c>
      <c r="B170" s="10">
        <f>IF(A170="","",IFERROR(VLOOKUP(A170,Titres!$A$2:$B$400,2,FALSE),"Ticker inconnu"))</f>
        <v/>
      </c>
      <c r="C170" s="11" t="n">
        <v>2022</v>
      </c>
      <c r="D170" s="11" t="inlineStr">
        <is>
          <t>T1</t>
        </is>
      </c>
      <c r="E170" s="9" t="n"/>
      <c r="F170" s="12" t="n"/>
      <c r="G170" s="9" t="n"/>
      <c r="H170" s="13" t="n"/>
      <c r="I170" s="13" t="n"/>
      <c r="J170" s="13" t="n"/>
      <c r="K170" s="13" t="n"/>
      <c r="L170" s="13" t="n"/>
      <c r="M170" s="13" t="n"/>
      <c r="N170" s="13" t="n"/>
      <c r="O170" s="13" t="n"/>
      <c r="P170" s="14">
        <f>IF(A170="","",COUNT(H170:O170)/8)</f>
        <v/>
      </c>
      <c r="Q170" s="15">
        <f>IF(COUNT(H170:O170)=0,"",IF(LEN(IF(COUNT(H170,I170,J170)=3,IF(ABS(H170+I170-J170)&lt;=MAX(1,0.02*ABS(J170)),"","RBE &lt;&gt; PNB + frais "),"")&amp;IF(COUNT(J170,K170,L170)=3,IF(ABS(J170+K170-L170)&lt;=MAX(1,0.03*ABS(L170)),"","RAI &lt;&gt; RBE + coût du risque "),"")&amp;IF(COUNT(H170,M170)=2,IF(ABS(M170)&gt;ABS(H170),"RN &gt; PNB ",""),""))=0,"OK",IF(COUNT(H170,I170,J170)=3,IF(ABS(H170+I170-J170)&lt;=MAX(1,0.02*ABS(J170)),"","RBE &lt;&gt; PNB + frais "),"")&amp;IF(COUNT(J170,K170,L170)=3,IF(ABS(J170+K170-L170)&lt;=MAX(1,0.03*ABS(L170)),"","RAI &lt;&gt; RBE + coût du risque "),"")&amp;IF(COUNT(H170,M170)=2,IF(ABS(M170)&gt;ABS(H170),"RN &gt; PNB ",""),"")))</f>
        <v/>
      </c>
    </row>
    <row r="171">
      <c r="A171" s="9" t="inlineStr">
        <is>
          <t>CBIBF</t>
        </is>
      </c>
      <c r="B171" s="10">
        <f>IF(A171="","",IFERROR(VLOOKUP(A171,Titres!$A$2:$B$400,2,FALSE),"Ticker inconnu"))</f>
        <v/>
      </c>
      <c r="C171" s="11" t="n">
        <v>2022</v>
      </c>
      <c r="D171" s="11" t="inlineStr">
        <is>
          <t>S1</t>
        </is>
      </c>
      <c r="E171" s="9" t="n"/>
      <c r="F171" s="12" t="n"/>
      <c r="G171" s="9" t="n"/>
      <c r="H171" s="13" t="n"/>
      <c r="I171" s="13" t="n"/>
      <c r="J171" s="13" t="n"/>
      <c r="K171" s="13" t="n"/>
      <c r="L171" s="13" t="n"/>
      <c r="M171" s="13" t="n"/>
      <c r="N171" s="13" t="n"/>
      <c r="O171" s="13" t="n"/>
      <c r="P171" s="14">
        <f>IF(A171="","",COUNT(H171:O171)/8)</f>
        <v/>
      </c>
      <c r="Q171" s="15">
        <f>IF(COUNT(H171:O171)=0,"",IF(LEN(IF(COUNT(H171,I171,J171)=3,IF(ABS(H171+I171-J171)&lt;=MAX(1,0.02*ABS(J171)),"","RBE &lt;&gt; PNB + frais "),"")&amp;IF(COUNT(J171,K171,L171)=3,IF(ABS(J171+K171-L171)&lt;=MAX(1,0.03*ABS(L171)),"","RAI &lt;&gt; RBE + coût du risque "),"")&amp;IF(COUNT(H171,M171)=2,IF(ABS(M171)&gt;ABS(H171),"RN &gt; PNB ",""),""))=0,"OK",IF(COUNT(H171,I171,J171)=3,IF(ABS(H171+I171-J171)&lt;=MAX(1,0.02*ABS(J171)),"","RBE &lt;&gt; PNB + frais "),"")&amp;IF(COUNT(J171,K171,L171)=3,IF(ABS(J171+K171-L171)&lt;=MAX(1,0.03*ABS(L171)),"","RAI &lt;&gt; RBE + coût du risque "),"")&amp;IF(COUNT(H171,M171)=2,IF(ABS(M171)&gt;ABS(H171),"RN &gt; PNB ",""),"")))</f>
        <v/>
      </c>
    </row>
    <row r="172">
      <c r="A172" s="9" t="inlineStr">
        <is>
          <t>CBIBF</t>
        </is>
      </c>
      <c r="B172" s="10">
        <f>IF(A172="","",IFERROR(VLOOKUP(A172,Titres!$A$2:$B$400,2,FALSE),"Ticker inconnu"))</f>
        <v/>
      </c>
      <c r="C172" s="11" t="n">
        <v>2022</v>
      </c>
      <c r="D172" s="11" t="inlineStr">
        <is>
          <t>T3</t>
        </is>
      </c>
      <c r="E172" s="9" t="n"/>
      <c r="F172" s="12" t="n"/>
      <c r="G172" s="9" t="n"/>
      <c r="H172" s="13" t="n"/>
      <c r="I172" s="13" t="n"/>
      <c r="J172" s="13" t="n"/>
      <c r="K172" s="13" t="n"/>
      <c r="L172" s="13" t="n"/>
      <c r="M172" s="13" t="n"/>
      <c r="N172" s="13" t="n"/>
      <c r="O172" s="13" t="n"/>
      <c r="P172" s="14">
        <f>IF(A172="","",COUNT(H172:O172)/8)</f>
        <v/>
      </c>
      <c r="Q172" s="15">
        <f>IF(COUNT(H172:O172)=0,"",IF(LEN(IF(COUNT(H172,I172,J172)=3,IF(ABS(H172+I172-J172)&lt;=MAX(1,0.02*ABS(J172)),"","RBE &lt;&gt; PNB + frais "),"")&amp;IF(COUNT(J172,K172,L172)=3,IF(ABS(J172+K172-L172)&lt;=MAX(1,0.03*ABS(L172)),"","RAI &lt;&gt; RBE + coût du risque "),"")&amp;IF(COUNT(H172,M172)=2,IF(ABS(M172)&gt;ABS(H172),"RN &gt; PNB ",""),""))=0,"OK",IF(COUNT(H172,I172,J172)=3,IF(ABS(H172+I172-J172)&lt;=MAX(1,0.02*ABS(J172)),"","RBE &lt;&gt; PNB + frais "),"")&amp;IF(COUNT(J172,K172,L172)=3,IF(ABS(J172+K172-L172)&lt;=MAX(1,0.03*ABS(L172)),"","RAI &lt;&gt; RBE + coût du risque "),"")&amp;IF(COUNT(H172,M172)=2,IF(ABS(M172)&gt;ABS(H172),"RN &gt; PNB ",""),"")))</f>
        <v/>
      </c>
    </row>
    <row r="173">
      <c r="A173" s="9" t="inlineStr">
        <is>
          <t>CBIBF</t>
        </is>
      </c>
      <c r="B173" s="10">
        <f>IF(A173="","",IFERROR(VLOOKUP(A173,Titres!$A$2:$B$400,2,FALSE),"Ticker inconnu"))</f>
        <v/>
      </c>
      <c r="C173" s="11" t="n">
        <v>2023</v>
      </c>
      <c r="D173" s="11" t="inlineStr">
        <is>
          <t>T1</t>
        </is>
      </c>
      <c r="E173" s="9" t="n"/>
      <c r="F173" s="12" t="n"/>
      <c r="G173" s="9" t="n"/>
      <c r="H173" s="13" t="n"/>
      <c r="I173" s="13" t="n"/>
      <c r="J173" s="13" t="n"/>
      <c r="K173" s="13" t="n"/>
      <c r="L173" s="13" t="n"/>
      <c r="M173" s="13" t="n"/>
      <c r="N173" s="13" t="n"/>
      <c r="O173" s="13" t="n"/>
      <c r="P173" s="14">
        <f>IF(A173="","",COUNT(H173:O173)/8)</f>
        <v/>
      </c>
      <c r="Q173" s="15">
        <f>IF(COUNT(H173:O173)=0,"",IF(LEN(IF(COUNT(H173,I173,J173)=3,IF(ABS(H173+I173-J173)&lt;=MAX(1,0.02*ABS(J173)),"","RBE &lt;&gt; PNB + frais "),"")&amp;IF(COUNT(J173,K173,L173)=3,IF(ABS(J173+K173-L173)&lt;=MAX(1,0.03*ABS(L173)),"","RAI &lt;&gt; RBE + coût du risque "),"")&amp;IF(COUNT(H173,M173)=2,IF(ABS(M173)&gt;ABS(H173),"RN &gt; PNB ",""),""))=0,"OK",IF(COUNT(H173,I173,J173)=3,IF(ABS(H173+I173-J173)&lt;=MAX(1,0.02*ABS(J173)),"","RBE &lt;&gt; PNB + frais "),"")&amp;IF(COUNT(J173,K173,L173)=3,IF(ABS(J173+K173-L173)&lt;=MAX(1,0.03*ABS(L173)),"","RAI &lt;&gt; RBE + coût du risque "),"")&amp;IF(COUNT(H173,M173)=2,IF(ABS(M173)&gt;ABS(H173),"RN &gt; PNB ",""),"")))</f>
        <v/>
      </c>
    </row>
    <row r="174">
      <c r="A174" s="9" t="inlineStr">
        <is>
          <t>CBIBF</t>
        </is>
      </c>
      <c r="B174" s="10">
        <f>IF(A174="","",IFERROR(VLOOKUP(A174,Titres!$A$2:$B$400,2,FALSE),"Ticker inconnu"))</f>
        <v/>
      </c>
      <c r="C174" s="11" t="n">
        <v>2023</v>
      </c>
      <c r="D174" s="11" t="inlineStr">
        <is>
          <t>S1</t>
        </is>
      </c>
      <c r="E174" s="9" t="n"/>
      <c r="F174" s="12" t="n"/>
      <c r="G174" s="9" t="n"/>
      <c r="H174" s="13" t="n"/>
      <c r="I174" s="13" t="n"/>
      <c r="J174" s="13" t="n"/>
      <c r="K174" s="13" t="n"/>
      <c r="L174" s="13" t="n"/>
      <c r="M174" s="13" t="n"/>
      <c r="N174" s="13" t="n"/>
      <c r="O174" s="13" t="n"/>
      <c r="P174" s="14">
        <f>IF(A174="","",COUNT(H174:O174)/8)</f>
        <v/>
      </c>
      <c r="Q174" s="15">
        <f>IF(COUNT(H174:O174)=0,"",IF(LEN(IF(COUNT(H174,I174,J174)=3,IF(ABS(H174+I174-J174)&lt;=MAX(1,0.02*ABS(J174)),"","RBE &lt;&gt; PNB + frais "),"")&amp;IF(COUNT(J174,K174,L174)=3,IF(ABS(J174+K174-L174)&lt;=MAX(1,0.03*ABS(L174)),"","RAI &lt;&gt; RBE + coût du risque "),"")&amp;IF(COUNT(H174,M174)=2,IF(ABS(M174)&gt;ABS(H174),"RN &gt; PNB ",""),""))=0,"OK",IF(COUNT(H174,I174,J174)=3,IF(ABS(H174+I174-J174)&lt;=MAX(1,0.02*ABS(J174)),"","RBE &lt;&gt; PNB + frais "),"")&amp;IF(COUNT(J174,K174,L174)=3,IF(ABS(J174+K174-L174)&lt;=MAX(1,0.03*ABS(L174)),"","RAI &lt;&gt; RBE + coût du risque "),"")&amp;IF(COUNT(H174,M174)=2,IF(ABS(M174)&gt;ABS(H174),"RN &gt; PNB ",""),"")))</f>
        <v/>
      </c>
    </row>
    <row r="175">
      <c r="A175" s="9" t="inlineStr">
        <is>
          <t>CBIBF</t>
        </is>
      </c>
      <c r="B175" s="10">
        <f>IF(A175="","",IFERROR(VLOOKUP(A175,Titres!$A$2:$B$400,2,FALSE),"Ticker inconnu"))</f>
        <v/>
      </c>
      <c r="C175" s="11" t="n">
        <v>2023</v>
      </c>
      <c r="D175" s="11" t="inlineStr">
        <is>
          <t>T3</t>
        </is>
      </c>
      <c r="E175" s="9" t="n"/>
      <c r="F175" s="12" t="n"/>
      <c r="G175" s="9" t="n"/>
      <c r="H175" s="13" t="n"/>
      <c r="I175" s="13" t="n"/>
      <c r="J175" s="13" t="n"/>
      <c r="K175" s="13" t="n"/>
      <c r="L175" s="13" t="n"/>
      <c r="M175" s="13" t="n"/>
      <c r="N175" s="13" t="n"/>
      <c r="O175" s="13" t="n"/>
      <c r="P175" s="14">
        <f>IF(A175="","",COUNT(H175:O175)/8)</f>
        <v/>
      </c>
      <c r="Q175" s="15">
        <f>IF(COUNT(H175:O175)=0,"",IF(LEN(IF(COUNT(H175,I175,J175)=3,IF(ABS(H175+I175-J175)&lt;=MAX(1,0.02*ABS(J175)),"","RBE &lt;&gt; PNB + frais "),"")&amp;IF(COUNT(J175,K175,L175)=3,IF(ABS(J175+K175-L175)&lt;=MAX(1,0.03*ABS(L175)),"","RAI &lt;&gt; RBE + coût du risque "),"")&amp;IF(COUNT(H175,M175)=2,IF(ABS(M175)&gt;ABS(H175),"RN &gt; PNB ",""),""))=0,"OK",IF(COUNT(H175,I175,J175)=3,IF(ABS(H175+I175-J175)&lt;=MAX(1,0.02*ABS(J175)),"","RBE &lt;&gt; PNB + frais "),"")&amp;IF(COUNT(J175,K175,L175)=3,IF(ABS(J175+K175-L175)&lt;=MAX(1,0.03*ABS(L175)),"","RAI &lt;&gt; RBE + coût du risque "),"")&amp;IF(COUNT(H175,M175)=2,IF(ABS(M175)&gt;ABS(H175),"RN &gt; PNB ",""),"")))</f>
        <v/>
      </c>
    </row>
    <row r="176">
      <c r="A176" s="9" t="inlineStr">
        <is>
          <t>CBIBF</t>
        </is>
      </c>
      <c r="B176" s="10">
        <f>IF(A176="","",IFERROR(VLOOKUP(A176,Titres!$A$2:$B$400,2,FALSE),"Ticker inconnu"))</f>
        <v/>
      </c>
      <c r="C176" s="11" t="n">
        <v>2024</v>
      </c>
      <c r="D176" s="11" t="inlineStr">
        <is>
          <t>T1</t>
        </is>
      </c>
      <c r="E176" s="9" t="n"/>
      <c r="F176" s="12" t="n"/>
      <c r="G176" s="9" t="n"/>
      <c r="H176" s="13" t="n"/>
      <c r="I176" s="13" t="n"/>
      <c r="J176" s="13" t="n"/>
      <c r="K176" s="13" t="n"/>
      <c r="L176" s="13" t="n"/>
      <c r="M176" s="13" t="n"/>
      <c r="N176" s="13" t="n"/>
      <c r="O176" s="13" t="n"/>
      <c r="P176" s="14">
        <f>IF(A176="","",COUNT(H176:O176)/8)</f>
        <v/>
      </c>
      <c r="Q176" s="15">
        <f>IF(COUNT(H176:O176)=0,"",IF(LEN(IF(COUNT(H176,I176,J176)=3,IF(ABS(H176+I176-J176)&lt;=MAX(1,0.02*ABS(J176)),"","RBE &lt;&gt; PNB + frais "),"")&amp;IF(COUNT(J176,K176,L176)=3,IF(ABS(J176+K176-L176)&lt;=MAX(1,0.03*ABS(L176)),"","RAI &lt;&gt; RBE + coût du risque "),"")&amp;IF(COUNT(H176,M176)=2,IF(ABS(M176)&gt;ABS(H176),"RN &gt; PNB ",""),""))=0,"OK",IF(COUNT(H176,I176,J176)=3,IF(ABS(H176+I176-J176)&lt;=MAX(1,0.02*ABS(J176)),"","RBE &lt;&gt; PNB + frais "),"")&amp;IF(COUNT(J176,K176,L176)=3,IF(ABS(J176+K176-L176)&lt;=MAX(1,0.03*ABS(L176)),"","RAI &lt;&gt; RBE + coût du risque "),"")&amp;IF(COUNT(H176,M176)=2,IF(ABS(M176)&gt;ABS(H176),"RN &gt; PNB ",""),"")))</f>
        <v/>
      </c>
    </row>
    <row r="177">
      <c r="A177" s="9" t="inlineStr">
        <is>
          <t>CBIBF</t>
        </is>
      </c>
      <c r="B177" s="10">
        <f>IF(A177="","",IFERROR(VLOOKUP(A177,Titres!$A$2:$B$400,2,FALSE),"Ticker inconnu"))</f>
        <v/>
      </c>
      <c r="C177" s="11" t="n">
        <v>2024</v>
      </c>
      <c r="D177" s="11" t="inlineStr">
        <is>
          <t>S1</t>
        </is>
      </c>
      <c r="E177" s="9" t="n"/>
      <c r="F177" s="12" t="n"/>
      <c r="G177" s="9" t="n"/>
      <c r="H177" s="13" t="n"/>
      <c r="I177" s="13" t="n"/>
      <c r="J177" s="13" t="n"/>
      <c r="K177" s="13" t="n"/>
      <c r="L177" s="13" t="n"/>
      <c r="M177" s="13" t="n"/>
      <c r="N177" s="13" t="n"/>
      <c r="O177" s="13" t="n"/>
      <c r="P177" s="14">
        <f>IF(A177="","",COUNT(H177:O177)/8)</f>
        <v/>
      </c>
      <c r="Q177" s="15">
        <f>IF(COUNT(H177:O177)=0,"",IF(LEN(IF(COUNT(H177,I177,J177)=3,IF(ABS(H177+I177-J177)&lt;=MAX(1,0.02*ABS(J177)),"","RBE &lt;&gt; PNB + frais "),"")&amp;IF(COUNT(J177,K177,L177)=3,IF(ABS(J177+K177-L177)&lt;=MAX(1,0.03*ABS(L177)),"","RAI &lt;&gt; RBE + coût du risque "),"")&amp;IF(COUNT(H177,M177)=2,IF(ABS(M177)&gt;ABS(H177),"RN &gt; PNB ",""),""))=0,"OK",IF(COUNT(H177,I177,J177)=3,IF(ABS(H177+I177-J177)&lt;=MAX(1,0.02*ABS(J177)),"","RBE &lt;&gt; PNB + frais "),"")&amp;IF(COUNT(J177,K177,L177)=3,IF(ABS(J177+K177-L177)&lt;=MAX(1,0.03*ABS(L177)),"","RAI &lt;&gt; RBE + coût du risque "),"")&amp;IF(COUNT(H177,M177)=2,IF(ABS(M177)&gt;ABS(H177),"RN &gt; PNB ",""),"")))</f>
        <v/>
      </c>
    </row>
    <row r="178">
      <c r="A178" s="9" t="inlineStr">
        <is>
          <t>CBIBF</t>
        </is>
      </c>
      <c r="B178" s="10">
        <f>IF(A178="","",IFERROR(VLOOKUP(A178,Titres!$A$2:$B$400,2,FALSE),"Ticker inconnu"))</f>
        <v/>
      </c>
      <c r="C178" s="11" t="n">
        <v>2024</v>
      </c>
      <c r="D178" s="11" t="inlineStr">
        <is>
          <t>T3</t>
        </is>
      </c>
      <c r="E178" s="9" t="n"/>
      <c r="F178" s="12" t="n"/>
      <c r="G178" s="9" t="n"/>
      <c r="H178" s="13" t="n"/>
      <c r="I178" s="13" t="n"/>
      <c r="J178" s="13" t="n"/>
      <c r="K178" s="13" t="n"/>
      <c r="L178" s="13" t="n"/>
      <c r="M178" s="13" t="n"/>
      <c r="N178" s="13" t="n"/>
      <c r="O178" s="13" t="n"/>
      <c r="P178" s="14">
        <f>IF(A178="","",COUNT(H178:O178)/8)</f>
        <v/>
      </c>
      <c r="Q178" s="15">
        <f>IF(COUNT(H178:O178)=0,"",IF(LEN(IF(COUNT(H178,I178,J178)=3,IF(ABS(H178+I178-J178)&lt;=MAX(1,0.02*ABS(J178)),"","RBE &lt;&gt; PNB + frais "),"")&amp;IF(COUNT(J178,K178,L178)=3,IF(ABS(J178+K178-L178)&lt;=MAX(1,0.03*ABS(L178)),"","RAI &lt;&gt; RBE + coût du risque "),"")&amp;IF(COUNT(H178,M178)=2,IF(ABS(M178)&gt;ABS(H178),"RN &gt; PNB ",""),""))=0,"OK",IF(COUNT(H178,I178,J178)=3,IF(ABS(H178+I178-J178)&lt;=MAX(1,0.02*ABS(J178)),"","RBE &lt;&gt; PNB + frais "),"")&amp;IF(COUNT(J178,K178,L178)=3,IF(ABS(J178+K178-L178)&lt;=MAX(1,0.03*ABS(L178)),"","RAI &lt;&gt; RBE + coût du risque "),"")&amp;IF(COUNT(H178,M178)=2,IF(ABS(M178)&gt;ABS(H178),"RN &gt; PNB ",""),"")))</f>
        <v/>
      </c>
    </row>
    <row r="179">
      <c r="A179" s="9" t="inlineStr">
        <is>
          <t>CBIBF</t>
        </is>
      </c>
      <c r="B179" s="10">
        <f>IF(A179="","",IFERROR(VLOOKUP(A179,Titres!$A$2:$B$400,2,FALSE),"Ticker inconnu"))</f>
        <v/>
      </c>
      <c r="C179" s="11" t="n">
        <v>2025</v>
      </c>
      <c r="D179" s="11" t="inlineStr">
        <is>
          <t>T1</t>
        </is>
      </c>
      <c r="E179" s="9" t="n"/>
      <c r="F179" s="12" t="n"/>
      <c r="G179" s="9" t="n"/>
      <c r="H179" s="13" t="n"/>
      <c r="I179" s="13" t="n"/>
      <c r="J179" s="13" t="n"/>
      <c r="K179" s="13" t="n"/>
      <c r="L179" s="13" t="n"/>
      <c r="M179" s="13" t="n"/>
      <c r="N179" s="13" t="n"/>
      <c r="O179" s="13" t="n"/>
      <c r="P179" s="14">
        <f>IF(A179="","",COUNT(H179:O179)/8)</f>
        <v/>
      </c>
      <c r="Q179" s="15">
        <f>IF(COUNT(H179:O179)=0,"",IF(LEN(IF(COUNT(H179,I179,J179)=3,IF(ABS(H179+I179-J179)&lt;=MAX(1,0.02*ABS(J179)),"","RBE &lt;&gt; PNB + frais "),"")&amp;IF(COUNT(J179,K179,L179)=3,IF(ABS(J179+K179-L179)&lt;=MAX(1,0.03*ABS(L179)),"","RAI &lt;&gt; RBE + coût du risque "),"")&amp;IF(COUNT(H179,M179)=2,IF(ABS(M179)&gt;ABS(H179),"RN &gt; PNB ",""),""))=0,"OK",IF(COUNT(H179,I179,J179)=3,IF(ABS(H179+I179-J179)&lt;=MAX(1,0.02*ABS(J179)),"","RBE &lt;&gt; PNB + frais "),"")&amp;IF(COUNT(J179,K179,L179)=3,IF(ABS(J179+K179-L179)&lt;=MAX(1,0.03*ABS(L179)),"","RAI &lt;&gt; RBE + coût du risque "),"")&amp;IF(COUNT(H179,M179)=2,IF(ABS(M179)&gt;ABS(H179),"RN &gt; PNB ",""),"")))</f>
        <v/>
      </c>
    </row>
    <row r="180">
      <c r="A180" s="9" t="inlineStr">
        <is>
          <t>CBIBF</t>
        </is>
      </c>
      <c r="B180" s="10">
        <f>IF(A180="","",IFERROR(VLOOKUP(A180,Titres!$A$2:$B$400,2,FALSE),"Ticker inconnu"))</f>
        <v/>
      </c>
      <c r="C180" s="11" t="n">
        <v>2025</v>
      </c>
      <c r="D180" s="11" t="inlineStr">
        <is>
          <t>S1</t>
        </is>
      </c>
      <c r="E180" s="9" t="n"/>
      <c r="F180" s="12" t="n"/>
      <c r="G180" s="9" t="n"/>
      <c r="H180" s="13" t="n"/>
      <c r="I180" s="13" t="n"/>
      <c r="J180" s="13" t="n"/>
      <c r="K180" s="13" t="n"/>
      <c r="L180" s="13" t="n"/>
      <c r="M180" s="13" t="n"/>
      <c r="N180" s="13" t="n"/>
      <c r="O180" s="13" t="n"/>
      <c r="P180" s="14">
        <f>IF(A180="","",COUNT(H180:O180)/8)</f>
        <v/>
      </c>
      <c r="Q180" s="15">
        <f>IF(COUNT(H180:O180)=0,"",IF(LEN(IF(COUNT(H180,I180,J180)=3,IF(ABS(H180+I180-J180)&lt;=MAX(1,0.02*ABS(J180)),"","RBE &lt;&gt; PNB + frais "),"")&amp;IF(COUNT(J180,K180,L180)=3,IF(ABS(J180+K180-L180)&lt;=MAX(1,0.03*ABS(L180)),"","RAI &lt;&gt; RBE + coût du risque "),"")&amp;IF(COUNT(H180,M180)=2,IF(ABS(M180)&gt;ABS(H180),"RN &gt; PNB ",""),""))=0,"OK",IF(COUNT(H180,I180,J180)=3,IF(ABS(H180+I180-J180)&lt;=MAX(1,0.02*ABS(J180)),"","RBE &lt;&gt; PNB + frais "),"")&amp;IF(COUNT(J180,K180,L180)=3,IF(ABS(J180+K180-L180)&lt;=MAX(1,0.03*ABS(L180)),"","RAI &lt;&gt; RBE + coût du risque "),"")&amp;IF(COUNT(H180,M180)=2,IF(ABS(M180)&gt;ABS(H180),"RN &gt; PNB ",""),"")))</f>
        <v/>
      </c>
    </row>
    <row r="181">
      <c r="A181" s="9" t="inlineStr">
        <is>
          <t>CBIBF</t>
        </is>
      </c>
      <c r="B181" s="10">
        <f>IF(A181="","",IFERROR(VLOOKUP(A181,Titres!$A$2:$B$400,2,FALSE),"Ticker inconnu"))</f>
        <v/>
      </c>
      <c r="C181" s="11" t="n">
        <v>2025</v>
      </c>
      <c r="D181" s="11" t="inlineStr">
        <is>
          <t>T3</t>
        </is>
      </c>
      <c r="E181" s="9" t="n"/>
      <c r="F181" s="12" t="n"/>
      <c r="G181" s="9" t="n"/>
      <c r="H181" s="13" t="n"/>
      <c r="I181" s="13" t="n"/>
      <c r="J181" s="13" t="n"/>
      <c r="K181" s="13" t="n"/>
      <c r="L181" s="13" t="n"/>
      <c r="M181" s="13" t="n"/>
      <c r="N181" s="13" t="n"/>
      <c r="O181" s="13" t="n"/>
      <c r="P181" s="14">
        <f>IF(A181="","",COUNT(H181:O181)/8)</f>
        <v/>
      </c>
      <c r="Q181" s="15">
        <f>IF(COUNT(H181:O181)=0,"",IF(LEN(IF(COUNT(H181,I181,J181)=3,IF(ABS(H181+I181-J181)&lt;=MAX(1,0.02*ABS(J181)),"","RBE &lt;&gt; PNB + frais "),"")&amp;IF(COUNT(J181,K181,L181)=3,IF(ABS(J181+K181-L181)&lt;=MAX(1,0.03*ABS(L181)),"","RAI &lt;&gt; RBE + coût du risque "),"")&amp;IF(COUNT(H181,M181)=2,IF(ABS(M181)&gt;ABS(H181),"RN &gt; PNB ",""),""))=0,"OK",IF(COUNT(H181,I181,J181)=3,IF(ABS(H181+I181-J181)&lt;=MAX(1,0.02*ABS(J181)),"","RBE &lt;&gt; PNB + frais "),"")&amp;IF(COUNT(J181,K181,L181)=3,IF(ABS(J181+K181-L181)&lt;=MAX(1,0.03*ABS(L181)),"","RAI &lt;&gt; RBE + coût du risque "),"")&amp;IF(COUNT(H181,M181)=2,IF(ABS(M181)&gt;ABS(H181),"RN &gt; PNB ",""),"")))</f>
        <v/>
      </c>
    </row>
    <row r="182">
      <c r="A182" s="9" t="inlineStr">
        <is>
          <t>CBIBF</t>
        </is>
      </c>
      <c r="B182" s="10">
        <f>IF(A182="","",IFERROR(VLOOKUP(A182,Titres!$A$2:$B$400,2,FALSE),"Ticker inconnu"))</f>
        <v/>
      </c>
      <c r="C182" s="11" t="n">
        <v>2026</v>
      </c>
      <c r="D182" s="11" t="inlineStr">
        <is>
          <t>T1</t>
        </is>
      </c>
      <c r="E182" s="9" t="n"/>
      <c r="F182" s="12" t="n"/>
      <c r="G182" s="9" t="n"/>
      <c r="H182" s="13" t="n"/>
      <c r="I182" s="13" t="n"/>
      <c r="J182" s="13" t="n"/>
      <c r="K182" s="13" t="n"/>
      <c r="L182" s="13" t="n"/>
      <c r="M182" s="13" t="n"/>
      <c r="N182" s="13" t="n"/>
      <c r="O182" s="13" t="n"/>
      <c r="P182" s="14">
        <f>IF(A182="","",COUNT(H182:O182)/8)</f>
        <v/>
      </c>
      <c r="Q182" s="15">
        <f>IF(COUNT(H182:O182)=0,"",IF(LEN(IF(COUNT(H182,I182,J182)=3,IF(ABS(H182+I182-J182)&lt;=MAX(1,0.02*ABS(J182)),"","RBE &lt;&gt; PNB + frais "),"")&amp;IF(COUNT(J182,K182,L182)=3,IF(ABS(J182+K182-L182)&lt;=MAX(1,0.03*ABS(L182)),"","RAI &lt;&gt; RBE + coût du risque "),"")&amp;IF(COUNT(H182,M182)=2,IF(ABS(M182)&gt;ABS(H182),"RN &gt; PNB ",""),""))=0,"OK",IF(COUNT(H182,I182,J182)=3,IF(ABS(H182+I182-J182)&lt;=MAX(1,0.02*ABS(J182)),"","RBE &lt;&gt; PNB + frais "),"")&amp;IF(COUNT(J182,K182,L182)=3,IF(ABS(J182+K182-L182)&lt;=MAX(1,0.03*ABS(L182)),"","RAI &lt;&gt; RBE + coût du risque "),"")&amp;IF(COUNT(H182,M182)=2,IF(ABS(M182)&gt;ABS(H182),"RN &gt; PNB ",""),"")))</f>
        <v/>
      </c>
    </row>
    <row r="183">
      <c r="A183" s="9" t="inlineStr">
        <is>
          <t>CBIBF</t>
        </is>
      </c>
      <c r="B183" s="10">
        <f>IF(A183="","",IFERROR(VLOOKUP(A183,Titres!$A$2:$B$400,2,FALSE),"Ticker inconnu"))</f>
        <v/>
      </c>
      <c r="C183" s="11" t="n">
        <v>2026</v>
      </c>
      <c r="D183" s="11" t="inlineStr">
        <is>
          <t>S1</t>
        </is>
      </c>
      <c r="E183" s="9" t="n"/>
      <c r="F183" s="12" t="n"/>
      <c r="G183" s="9" t="n"/>
      <c r="H183" s="13" t="n"/>
      <c r="I183" s="13" t="n"/>
      <c r="J183" s="13" t="n"/>
      <c r="K183" s="13" t="n"/>
      <c r="L183" s="13" t="n"/>
      <c r="M183" s="13" t="n"/>
      <c r="N183" s="13" t="n"/>
      <c r="O183" s="13" t="n"/>
      <c r="P183" s="14">
        <f>IF(A183="","",COUNT(H183:O183)/8)</f>
        <v/>
      </c>
      <c r="Q183" s="15">
        <f>IF(COUNT(H183:O183)=0,"",IF(LEN(IF(COUNT(H183,I183,J183)=3,IF(ABS(H183+I183-J183)&lt;=MAX(1,0.02*ABS(J183)),"","RBE &lt;&gt; PNB + frais "),"")&amp;IF(COUNT(J183,K183,L183)=3,IF(ABS(J183+K183-L183)&lt;=MAX(1,0.03*ABS(L183)),"","RAI &lt;&gt; RBE + coût du risque "),"")&amp;IF(COUNT(H183,M183)=2,IF(ABS(M183)&gt;ABS(H183),"RN &gt; PNB ",""),""))=0,"OK",IF(COUNT(H183,I183,J183)=3,IF(ABS(H183+I183-J183)&lt;=MAX(1,0.02*ABS(J183)),"","RBE &lt;&gt; PNB + frais "),"")&amp;IF(COUNT(J183,K183,L183)=3,IF(ABS(J183+K183-L183)&lt;=MAX(1,0.03*ABS(L183)),"","RAI &lt;&gt; RBE + coût du risque "),"")&amp;IF(COUNT(H183,M183)=2,IF(ABS(M183)&gt;ABS(H183),"RN &gt; PNB ",""),"")))</f>
        <v/>
      </c>
    </row>
    <row r="184">
      <c r="A184" s="9" t="inlineStr">
        <is>
          <t>CBIBF</t>
        </is>
      </c>
      <c r="B184" s="10">
        <f>IF(A184="","",IFERROR(VLOOKUP(A184,Titres!$A$2:$B$400,2,FALSE),"Ticker inconnu"))</f>
        <v/>
      </c>
      <c r="C184" s="11" t="n">
        <v>2026</v>
      </c>
      <c r="D184" s="11" t="inlineStr">
        <is>
          <t>T3</t>
        </is>
      </c>
      <c r="E184" s="9" t="n"/>
      <c r="F184" s="12" t="n"/>
      <c r="G184" s="9" t="n"/>
      <c r="H184" s="13" t="n"/>
      <c r="I184" s="13" t="n"/>
      <c r="J184" s="13" t="n"/>
      <c r="K184" s="13" t="n"/>
      <c r="L184" s="13" t="n"/>
      <c r="M184" s="13" t="n"/>
      <c r="N184" s="13" t="n"/>
      <c r="O184" s="13" t="n"/>
      <c r="P184" s="14">
        <f>IF(A184="","",COUNT(H184:O184)/8)</f>
        <v/>
      </c>
      <c r="Q184" s="15">
        <f>IF(COUNT(H184:O184)=0,"",IF(LEN(IF(COUNT(H184,I184,J184)=3,IF(ABS(H184+I184-J184)&lt;=MAX(1,0.02*ABS(J184)),"","RBE &lt;&gt; PNB + frais "),"")&amp;IF(COUNT(J184,K184,L184)=3,IF(ABS(J184+K184-L184)&lt;=MAX(1,0.03*ABS(L184)),"","RAI &lt;&gt; RBE + coût du risque "),"")&amp;IF(COUNT(H184,M184)=2,IF(ABS(M184)&gt;ABS(H184),"RN &gt; PNB ",""),""))=0,"OK",IF(COUNT(H184,I184,J184)=3,IF(ABS(H184+I184-J184)&lt;=MAX(1,0.02*ABS(J184)),"","RBE &lt;&gt; PNB + frais "),"")&amp;IF(COUNT(J184,K184,L184)=3,IF(ABS(J184+K184-L184)&lt;=MAX(1,0.03*ABS(L184)),"","RAI &lt;&gt; RBE + coût du risque "),"")&amp;IF(COUNT(H184,M184)=2,IF(ABS(M184)&gt;ABS(H184),"RN &gt; PNB ",""),"")))</f>
        <v/>
      </c>
    </row>
    <row r="185">
      <c r="A185" s="9" t="inlineStr">
        <is>
          <t>ECOC</t>
        </is>
      </c>
      <c r="B185" s="10">
        <f>IF(A185="","",IFERROR(VLOOKUP(A185,Titres!$A$2:$B$400,2,FALSE),"Ticker inconnu"))</f>
        <v/>
      </c>
      <c r="C185" s="11" t="n">
        <v>2021</v>
      </c>
      <c r="D185" s="11" t="inlineStr">
        <is>
          <t>T1</t>
        </is>
      </c>
      <c r="E185" s="9" t="n"/>
      <c r="F185" s="12" t="n"/>
      <c r="G185" s="9" t="n"/>
      <c r="H185" s="13" t="n"/>
      <c r="I185" s="13" t="n"/>
      <c r="J185" s="13" t="n"/>
      <c r="K185" s="13" t="n"/>
      <c r="L185" s="13" t="n"/>
      <c r="M185" s="13" t="n"/>
      <c r="N185" s="13" t="n"/>
      <c r="O185" s="13" t="n"/>
      <c r="P185" s="14">
        <f>IF(A185="","",COUNT(H185:O185)/8)</f>
        <v/>
      </c>
      <c r="Q185" s="15">
        <f>IF(COUNT(H185:O185)=0,"",IF(LEN(IF(COUNT(H185,I185,J185)=3,IF(ABS(H185+I185-J185)&lt;=MAX(1,0.02*ABS(J185)),"","RBE &lt;&gt; PNB + frais "),"")&amp;IF(COUNT(J185,K185,L185)=3,IF(ABS(J185+K185-L185)&lt;=MAX(1,0.03*ABS(L185)),"","RAI &lt;&gt; RBE + coût du risque "),"")&amp;IF(COUNT(H185,M185)=2,IF(ABS(M185)&gt;ABS(H185),"RN &gt; PNB ",""),""))=0,"OK",IF(COUNT(H185,I185,J185)=3,IF(ABS(H185+I185-J185)&lt;=MAX(1,0.02*ABS(J185)),"","RBE &lt;&gt; PNB + frais "),"")&amp;IF(COUNT(J185,K185,L185)=3,IF(ABS(J185+K185-L185)&lt;=MAX(1,0.03*ABS(L185)),"","RAI &lt;&gt; RBE + coût du risque "),"")&amp;IF(COUNT(H185,M185)=2,IF(ABS(M185)&gt;ABS(H185),"RN &gt; PNB ",""),"")))</f>
        <v/>
      </c>
    </row>
    <row r="186">
      <c r="A186" s="9" t="inlineStr">
        <is>
          <t>ECOC</t>
        </is>
      </c>
      <c r="B186" s="10">
        <f>IF(A186="","",IFERROR(VLOOKUP(A186,Titres!$A$2:$B$400,2,FALSE),"Ticker inconnu"))</f>
        <v/>
      </c>
      <c r="C186" s="11" t="n">
        <v>2021</v>
      </c>
      <c r="D186" s="11" t="inlineStr">
        <is>
          <t>S1</t>
        </is>
      </c>
      <c r="E186" s="9" t="n"/>
      <c r="F186" s="12" t="n"/>
      <c r="G186" s="9" t="n"/>
      <c r="H186" s="13" t="n"/>
      <c r="I186" s="13" t="n"/>
      <c r="J186" s="13" t="n"/>
      <c r="K186" s="13" t="n"/>
      <c r="L186" s="13" t="n"/>
      <c r="M186" s="13" t="n"/>
      <c r="N186" s="13" t="n"/>
      <c r="O186" s="13" t="n"/>
      <c r="P186" s="14">
        <f>IF(A186="","",COUNT(H186:O186)/8)</f>
        <v/>
      </c>
      <c r="Q186" s="15">
        <f>IF(COUNT(H186:O186)=0,"",IF(LEN(IF(COUNT(H186,I186,J186)=3,IF(ABS(H186+I186-J186)&lt;=MAX(1,0.02*ABS(J186)),"","RBE &lt;&gt; PNB + frais "),"")&amp;IF(COUNT(J186,K186,L186)=3,IF(ABS(J186+K186-L186)&lt;=MAX(1,0.03*ABS(L186)),"","RAI &lt;&gt; RBE + coût du risque "),"")&amp;IF(COUNT(H186,M186)=2,IF(ABS(M186)&gt;ABS(H186),"RN &gt; PNB ",""),""))=0,"OK",IF(COUNT(H186,I186,J186)=3,IF(ABS(H186+I186-J186)&lt;=MAX(1,0.02*ABS(J186)),"","RBE &lt;&gt; PNB + frais "),"")&amp;IF(COUNT(J186,K186,L186)=3,IF(ABS(J186+K186-L186)&lt;=MAX(1,0.03*ABS(L186)),"","RAI &lt;&gt; RBE + coût du risque "),"")&amp;IF(COUNT(H186,M186)=2,IF(ABS(M186)&gt;ABS(H186),"RN &gt; PNB ",""),"")))</f>
        <v/>
      </c>
    </row>
    <row r="187">
      <c r="A187" s="9" t="inlineStr">
        <is>
          <t>ECOC</t>
        </is>
      </c>
      <c r="B187" s="10">
        <f>IF(A187="","",IFERROR(VLOOKUP(A187,Titres!$A$2:$B$400,2,FALSE),"Ticker inconnu"))</f>
        <v/>
      </c>
      <c r="C187" s="11" t="n">
        <v>2021</v>
      </c>
      <c r="D187" s="11" t="inlineStr">
        <is>
          <t>T3</t>
        </is>
      </c>
      <c r="E187" s="9" t="n"/>
      <c r="F187" s="12" t="n"/>
      <c r="G187" s="9" t="n"/>
      <c r="H187" s="13" t="n"/>
      <c r="I187" s="13" t="n"/>
      <c r="J187" s="13" t="n"/>
      <c r="K187" s="13" t="n"/>
      <c r="L187" s="13" t="n"/>
      <c r="M187" s="13" t="n"/>
      <c r="N187" s="13" t="n"/>
      <c r="O187" s="13" t="n"/>
      <c r="P187" s="14">
        <f>IF(A187="","",COUNT(H187:O187)/8)</f>
        <v/>
      </c>
      <c r="Q187" s="15">
        <f>IF(COUNT(H187:O187)=0,"",IF(LEN(IF(COUNT(H187,I187,J187)=3,IF(ABS(H187+I187-J187)&lt;=MAX(1,0.02*ABS(J187)),"","RBE &lt;&gt; PNB + frais "),"")&amp;IF(COUNT(J187,K187,L187)=3,IF(ABS(J187+K187-L187)&lt;=MAX(1,0.03*ABS(L187)),"","RAI &lt;&gt; RBE + coût du risque "),"")&amp;IF(COUNT(H187,M187)=2,IF(ABS(M187)&gt;ABS(H187),"RN &gt; PNB ",""),""))=0,"OK",IF(COUNT(H187,I187,J187)=3,IF(ABS(H187+I187-J187)&lt;=MAX(1,0.02*ABS(J187)),"","RBE &lt;&gt; PNB + frais "),"")&amp;IF(COUNT(J187,K187,L187)=3,IF(ABS(J187+K187-L187)&lt;=MAX(1,0.03*ABS(L187)),"","RAI &lt;&gt; RBE + coût du risque "),"")&amp;IF(COUNT(H187,M187)=2,IF(ABS(M187)&gt;ABS(H187),"RN &gt; PNB ",""),"")))</f>
        <v/>
      </c>
    </row>
    <row r="188">
      <c r="A188" s="9" t="inlineStr">
        <is>
          <t>ECOC</t>
        </is>
      </c>
      <c r="B188" s="10">
        <f>IF(A188="","",IFERROR(VLOOKUP(A188,Titres!$A$2:$B$400,2,FALSE),"Ticker inconnu"))</f>
        <v/>
      </c>
      <c r="C188" s="11" t="n">
        <v>2022</v>
      </c>
      <c r="D188" s="11" t="inlineStr">
        <is>
          <t>T1</t>
        </is>
      </c>
      <c r="E188" s="9" t="n"/>
      <c r="F188" s="12" t="n"/>
      <c r="G188" s="9" t="n"/>
      <c r="H188" s="13" t="n"/>
      <c r="I188" s="13" t="n"/>
      <c r="J188" s="13" t="n"/>
      <c r="K188" s="13" t="n"/>
      <c r="L188" s="13" t="n"/>
      <c r="M188" s="13" t="n"/>
      <c r="N188" s="13" t="n"/>
      <c r="O188" s="13" t="n"/>
      <c r="P188" s="14">
        <f>IF(A188="","",COUNT(H188:O188)/8)</f>
        <v/>
      </c>
      <c r="Q188" s="15">
        <f>IF(COUNT(H188:O188)=0,"",IF(LEN(IF(COUNT(H188,I188,J188)=3,IF(ABS(H188+I188-J188)&lt;=MAX(1,0.02*ABS(J188)),"","RBE &lt;&gt; PNB + frais "),"")&amp;IF(COUNT(J188,K188,L188)=3,IF(ABS(J188+K188-L188)&lt;=MAX(1,0.03*ABS(L188)),"","RAI &lt;&gt; RBE + coût du risque "),"")&amp;IF(COUNT(H188,M188)=2,IF(ABS(M188)&gt;ABS(H188),"RN &gt; PNB ",""),""))=0,"OK",IF(COUNT(H188,I188,J188)=3,IF(ABS(H188+I188-J188)&lt;=MAX(1,0.02*ABS(J188)),"","RBE &lt;&gt; PNB + frais "),"")&amp;IF(COUNT(J188,K188,L188)=3,IF(ABS(J188+K188-L188)&lt;=MAX(1,0.03*ABS(L188)),"","RAI &lt;&gt; RBE + coût du risque "),"")&amp;IF(COUNT(H188,M188)=2,IF(ABS(M188)&gt;ABS(H188),"RN &gt; PNB ",""),"")))</f>
        <v/>
      </c>
    </row>
    <row r="189">
      <c r="A189" s="9" t="inlineStr">
        <is>
          <t>ECOC</t>
        </is>
      </c>
      <c r="B189" s="10">
        <f>IF(A189="","",IFERROR(VLOOKUP(A189,Titres!$A$2:$B$400,2,FALSE),"Ticker inconnu"))</f>
        <v/>
      </c>
      <c r="C189" s="11" t="n">
        <v>2022</v>
      </c>
      <c r="D189" s="11" t="inlineStr">
        <is>
          <t>S1</t>
        </is>
      </c>
      <c r="E189" s="9" t="n"/>
      <c r="F189" s="12" t="n"/>
      <c r="G189" s="9" t="n"/>
      <c r="H189" s="13" t="n"/>
      <c r="I189" s="13" t="n"/>
      <c r="J189" s="13" t="n"/>
      <c r="K189" s="13" t="n"/>
      <c r="L189" s="13" t="n"/>
      <c r="M189" s="13" t="n"/>
      <c r="N189" s="13" t="n"/>
      <c r="O189" s="13" t="n"/>
      <c r="P189" s="14">
        <f>IF(A189="","",COUNT(H189:O189)/8)</f>
        <v/>
      </c>
      <c r="Q189" s="15">
        <f>IF(COUNT(H189:O189)=0,"",IF(LEN(IF(COUNT(H189,I189,J189)=3,IF(ABS(H189+I189-J189)&lt;=MAX(1,0.02*ABS(J189)),"","RBE &lt;&gt; PNB + frais "),"")&amp;IF(COUNT(J189,K189,L189)=3,IF(ABS(J189+K189-L189)&lt;=MAX(1,0.03*ABS(L189)),"","RAI &lt;&gt; RBE + coût du risque "),"")&amp;IF(COUNT(H189,M189)=2,IF(ABS(M189)&gt;ABS(H189),"RN &gt; PNB ",""),""))=0,"OK",IF(COUNT(H189,I189,J189)=3,IF(ABS(H189+I189-J189)&lt;=MAX(1,0.02*ABS(J189)),"","RBE &lt;&gt; PNB + frais "),"")&amp;IF(COUNT(J189,K189,L189)=3,IF(ABS(J189+K189-L189)&lt;=MAX(1,0.03*ABS(L189)),"","RAI &lt;&gt; RBE + coût du risque "),"")&amp;IF(COUNT(H189,M189)=2,IF(ABS(M189)&gt;ABS(H189),"RN &gt; PNB ",""),"")))</f>
        <v/>
      </c>
    </row>
    <row r="190">
      <c r="A190" s="9" t="inlineStr">
        <is>
          <t>ECOC</t>
        </is>
      </c>
      <c r="B190" s="10">
        <f>IF(A190="","",IFERROR(VLOOKUP(A190,Titres!$A$2:$B$400,2,FALSE),"Ticker inconnu"))</f>
        <v/>
      </c>
      <c r="C190" s="11" t="n">
        <v>2022</v>
      </c>
      <c r="D190" s="11" t="inlineStr">
        <is>
          <t>T3</t>
        </is>
      </c>
      <c r="E190" s="9" t="n"/>
      <c r="F190" s="12" t="n"/>
      <c r="G190" s="9" t="n"/>
      <c r="H190" s="13" t="n"/>
      <c r="I190" s="13" t="n"/>
      <c r="J190" s="13" t="n"/>
      <c r="K190" s="13" t="n"/>
      <c r="L190" s="13" t="n"/>
      <c r="M190" s="13" t="n"/>
      <c r="N190" s="13" t="n"/>
      <c r="O190" s="13" t="n"/>
      <c r="P190" s="14">
        <f>IF(A190="","",COUNT(H190:O190)/8)</f>
        <v/>
      </c>
      <c r="Q190" s="15">
        <f>IF(COUNT(H190:O190)=0,"",IF(LEN(IF(COUNT(H190,I190,J190)=3,IF(ABS(H190+I190-J190)&lt;=MAX(1,0.02*ABS(J190)),"","RBE &lt;&gt; PNB + frais "),"")&amp;IF(COUNT(J190,K190,L190)=3,IF(ABS(J190+K190-L190)&lt;=MAX(1,0.03*ABS(L190)),"","RAI &lt;&gt; RBE + coût du risque "),"")&amp;IF(COUNT(H190,M190)=2,IF(ABS(M190)&gt;ABS(H190),"RN &gt; PNB ",""),""))=0,"OK",IF(COUNT(H190,I190,J190)=3,IF(ABS(H190+I190-J190)&lt;=MAX(1,0.02*ABS(J190)),"","RBE &lt;&gt; PNB + frais "),"")&amp;IF(COUNT(J190,K190,L190)=3,IF(ABS(J190+K190-L190)&lt;=MAX(1,0.03*ABS(L190)),"","RAI &lt;&gt; RBE + coût du risque "),"")&amp;IF(COUNT(H190,M190)=2,IF(ABS(M190)&gt;ABS(H190),"RN &gt; PNB ",""),"")))</f>
        <v/>
      </c>
    </row>
    <row r="191">
      <c r="A191" s="9" t="inlineStr">
        <is>
          <t>ECOC</t>
        </is>
      </c>
      <c r="B191" s="10">
        <f>IF(A191="","",IFERROR(VLOOKUP(A191,Titres!$A$2:$B$400,2,FALSE),"Ticker inconnu"))</f>
        <v/>
      </c>
      <c r="C191" s="11" t="n">
        <v>2023</v>
      </c>
      <c r="D191" s="11" t="inlineStr">
        <is>
          <t>T1</t>
        </is>
      </c>
      <c r="E191" s="9" t="n"/>
      <c r="F191" s="12" t="n"/>
      <c r="G191" s="9" t="n"/>
      <c r="H191" s="13" t="n"/>
      <c r="I191" s="13" t="n"/>
      <c r="J191" s="13" t="n"/>
      <c r="K191" s="13" t="n"/>
      <c r="L191" s="13" t="n"/>
      <c r="M191" s="13" t="n"/>
      <c r="N191" s="13" t="n"/>
      <c r="O191" s="13" t="n"/>
      <c r="P191" s="14">
        <f>IF(A191="","",COUNT(H191:O191)/8)</f>
        <v/>
      </c>
      <c r="Q191" s="15">
        <f>IF(COUNT(H191:O191)=0,"",IF(LEN(IF(COUNT(H191,I191,J191)=3,IF(ABS(H191+I191-J191)&lt;=MAX(1,0.02*ABS(J191)),"","RBE &lt;&gt; PNB + frais "),"")&amp;IF(COUNT(J191,K191,L191)=3,IF(ABS(J191+K191-L191)&lt;=MAX(1,0.03*ABS(L191)),"","RAI &lt;&gt; RBE + coût du risque "),"")&amp;IF(COUNT(H191,M191)=2,IF(ABS(M191)&gt;ABS(H191),"RN &gt; PNB ",""),""))=0,"OK",IF(COUNT(H191,I191,J191)=3,IF(ABS(H191+I191-J191)&lt;=MAX(1,0.02*ABS(J191)),"","RBE &lt;&gt; PNB + frais "),"")&amp;IF(COUNT(J191,K191,L191)=3,IF(ABS(J191+K191-L191)&lt;=MAX(1,0.03*ABS(L191)),"","RAI &lt;&gt; RBE + coût du risque "),"")&amp;IF(COUNT(H191,M191)=2,IF(ABS(M191)&gt;ABS(H191),"RN &gt; PNB ",""),"")))</f>
        <v/>
      </c>
    </row>
    <row r="192">
      <c r="A192" s="9" t="inlineStr">
        <is>
          <t>ECOC</t>
        </is>
      </c>
      <c r="B192" s="10">
        <f>IF(A192="","",IFERROR(VLOOKUP(A192,Titres!$A$2:$B$400,2,FALSE),"Ticker inconnu"))</f>
        <v/>
      </c>
      <c r="C192" s="11" t="n">
        <v>2023</v>
      </c>
      <c r="D192" s="11" t="inlineStr">
        <is>
          <t>S1</t>
        </is>
      </c>
      <c r="E192" s="9" t="n"/>
      <c r="F192" s="12" t="n"/>
      <c r="G192" s="9" t="n"/>
      <c r="H192" s="13" t="n"/>
      <c r="I192" s="13" t="n"/>
      <c r="J192" s="13" t="n"/>
      <c r="K192" s="13" t="n"/>
      <c r="L192" s="13" t="n"/>
      <c r="M192" s="13" t="n"/>
      <c r="N192" s="13" t="n"/>
      <c r="O192" s="13" t="n"/>
      <c r="P192" s="14">
        <f>IF(A192="","",COUNT(H192:O192)/8)</f>
        <v/>
      </c>
      <c r="Q192" s="15">
        <f>IF(COUNT(H192:O192)=0,"",IF(LEN(IF(COUNT(H192,I192,J192)=3,IF(ABS(H192+I192-J192)&lt;=MAX(1,0.02*ABS(J192)),"","RBE &lt;&gt; PNB + frais "),"")&amp;IF(COUNT(J192,K192,L192)=3,IF(ABS(J192+K192-L192)&lt;=MAX(1,0.03*ABS(L192)),"","RAI &lt;&gt; RBE + coût du risque "),"")&amp;IF(COUNT(H192,M192)=2,IF(ABS(M192)&gt;ABS(H192),"RN &gt; PNB ",""),""))=0,"OK",IF(COUNT(H192,I192,J192)=3,IF(ABS(H192+I192-J192)&lt;=MAX(1,0.02*ABS(J192)),"","RBE &lt;&gt; PNB + frais "),"")&amp;IF(COUNT(J192,K192,L192)=3,IF(ABS(J192+K192-L192)&lt;=MAX(1,0.03*ABS(L192)),"","RAI &lt;&gt; RBE + coût du risque "),"")&amp;IF(COUNT(H192,M192)=2,IF(ABS(M192)&gt;ABS(H192),"RN &gt; PNB ",""),"")))</f>
        <v/>
      </c>
    </row>
    <row r="193">
      <c r="A193" s="9" t="inlineStr">
        <is>
          <t>ECOC</t>
        </is>
      </c>
      <c r="B193" s="10">
        <f>IF(A193="","",IFERROR(VLOOKUP(A193,Titres!$A$2:$B$400,2,FALSE),"Ticker inconnu"))</f>
        <v/>
      </c>
      <c r="C193" s="11" t="n">
        <v>2023</v>
      </c>
      <c r="D193" s="11" t="inlineStr">
        <is>
          <t>T3</t>
        </is>
      </c>
      <c r="E193" s="9" t="n"/>
      <c r="F193" s="12" t="n"/>
      <c r="G193" s="9" t="n"/>
      <c r="H193" s="13" t="n"/>
      <c r="I193" s="13" t="n"/>
      <c r="J193" s="13" t="n"/>
      <c r="K193" s="13" t="n"/>
      <c r="L193" s="13" t="n"/>
      <c r="M193" s="13" t="n"/>
      <c r="N193" s="13" t="n"/>
      <c r="O193" s="13" t="n"/>
      <c r="P193" s="14">
        <f>IF(A193="","",COUNT(H193:O193)/8)</f>
        <v/>
      </c>
      <c r="Q193" s="15">
        <f>IF(COUNT(H193:O193)=0,"",IF(LEN(IF(COUNT(H193,I193,J193)=3,IF(ABS(H193+I193-J193)&lt;=MAX(1,0.02*ABS(J193)),"","RBE &lt;&gt; PNB + frais "),"")&amp;IF(COUNT(J193,K193,L193)=3,IF(ABS(J193+K193-L193)&lt;=MAX(1,0.03*ABS(L193)),"","RAI &lt;&gt; RBE + coût du risque "),"")&amp;IF(COUNT(H193,M193)=2,IF(ABS(M193)&gt;ABS(H193),"RN &gt; PNB ",""),""))=0,"OK",IF(COUNT(H193,I193,J193)=3,IF(ABS(H193+I193-J193)&lt;=MAX(1,0.02*ABS(J193)),"","RBE &lt;&gt; PNB + frais "),"")&amp;IF(COUNT(J193,K193,L193)=3,IF(ABS(J193+K193-L193)&lt;=MAX(1,0.03*ABS(L193)),"","RAI &lt;&gt; RBE + coût du risque "),"")&amp;IF(COUNT(H193,M193)=2,IF(ABS(M193)&gt;ABS(H193),"RN &gt; PNB ",""),"")))</f>
        <v/>
      </c>
    </row>
    <row r="194">
      <c r="A194" s="9" t="inlineStr">
        <is>
          <t>ECOC</t>
        </is>
      </c>
      <c r="B194" s="10">
        <f>IF(A194="","",IFERROR(VLOOKUP(A194,Titres!$A$2:$B$400,2,FALSE),"Ticker inconnu"))</f>
        <v/>
      </c>
      <c r="C194" s="11" t="n">
        <v>2024</v>
      </c>
      <c r="D194" s="11" t="inlineStr">
        <is>
          <t>T1</t>
        </is>
      </c>
      <c r="E194" s="9" t="n"/>
      <c r="F194" s="12" t="n"/>
      <c r="G194" s="9" t="n"/>
      <c r="H194" s="13" t="n"/>
      <c r="I194" s="13" t="n"/>
      <c r="J194" s="13" t="n"/>
      <c r="K194" s="13" t="n"/>
      <c r="L194" s="13" t="n"/>
      <c r="M194" s="13" t="n"/>
      <c r="N194" s="13" t="n"/>
      <c r="O194" s="13" t="n"/>
      <c r="P194" s="14">
        <f>IF(A194="","",COUNT(H194:O194)/8)</f>
        <v/>
      </c>
      <c r="Q194" s="15">
        <f>IF(COUNT(H194:O194)=0,"",IF(LEN(IF(COUNT(H194,I194,J194)=3,IF(ABS(H194+I194-J194)&lt;=MAX(1,0.02*ABS(J194)),"","RBE &lt;&gt; PNB + frais "),"")&amp;IF(COUNT(J194,K194,L194)=3,IF(ABS(J194+K194-L194)&lt;=MAX(1,0.03*ABS(L194)),"","RAI &lt;&gt; RBE + coût du risque "),"")&amp;IF(COUNT(H194,M194)=2,IF(ABS(M194)&gt;ABS(H194),"RN &gt; PNB ",""),""))=0,"OK",IF(COUNT(H194,I194,J194)=3,IF(ABS(H194+I194-J194)&lt;=MAX(1,0.02*ABS(J194)),"","RBE &lt;&gt; PNB + frais "),"")&amp;IF(COUNT(J194,K194,L194)=3,IF(ABS(J194+K194-L194)&lt;=MAX(1,0.03*ABS(L194)),"","RAI &lt;&gt; RBE + coût du risque "),"")&amp;IF(COUNT(H194,M194)=2,IF(ABS(M194)&gt;ABS(H194),"RN &gt; PNB ",""),"")))</f>
        <v/>
      </c>
    </row>
    <row r="195">
      <c r="A195" s="9" t="inlineStr">
        <is>
          <t>ECOC</t>
        </is>
      </c>
      <c r="B195" s="10">
        <f>IF(A195="","",IFERROR(VLOOKUP(A195,Titres!$A$2:$B$400,2,FALSE),"Ticker inconnu"))</f>
        <v/>
      </c>
      <c r="C195" s="11" t="n">
        <v>2024</v>
      </c>
      <c r="D195" s="11" t="inlineStr">
        <is>
          <t>S1</t>
        </is>
      </c>
      <c r="E195" s="9" t="n"/>
      <c r="F195" s="12" t="n"/>
      <c r="G195" s="9" t="n"/>
      <c r="H195" s="13" t="n"/>
      <c r="I195" s="13" t="n"/>
      <c r="J195" s="13" t="n"/>
      <c r="K195" s="13" t="n"/>
      <c r="L195" s="13" t="n"/>
      <c r="M195" s="13" t="n"/>
      <c r="N195" s="13" t="n"/>
      <c r="O195" s="13" t="n"/>
      <c r="P195" s="14">
        <f>IF(A195="","",COUNT(H195:O195)/8)</f>
        <v/>
      </c>
      <c r="Q195" s="15">
        <f>IF(COUNT(H195:O195)=0,"",IF(LEN(IF(COUNT(H195,I195,J195)=3,IF(ABS(H195+I195-J195)&lt;=MAX(1,0.02*ABS(J195)),"","RBE &lt;&gt; PNB + frais "),"")&amp;IF(COUNT(J195,K195,L195)=3,IF(ABS(J195+K195-L195)&lt;=MAX(1,0.03*ABS(L195)),"","RAI &lt;&gt; RBE + coût du risque "),"")&amp;IF(COUNT(H195,M195)=2,IF(ABS(M195)&gt;ABS(H195),"RN &gt; PNB ",""),""))=0,"OK",IF(COUNT(H195,I195,J195)=3,IF(ABS(H195+I195-J195)&lt;=MAX(1,0.02*ABS(J195)),"","RBE &lt;&gt; PNB + frais "),"")&amp;IF(COUNT(J195,K195,L195)=3,IF(ABS(J195+K195-L195)&lt;=MAX(1,0.03*ABS(L195)),"","RAI &lt;&gt; RBE + coût du risque "),"")&amp;IF(COUNT(H195,M195)=2,IF(ABS(M195)&gt;ABS(H195),"RN &gt; PNB ",""),"")))</f>
        <v/>
      </c>
    </row>
    <row r="196">
      <c r="A196" s="9" t="inlineStr">
        <is>
          <t>ECOC</t>
        </is>
      </c>
      <c r="B196" s="10">
        <f>IF(A196="","",IFERROR(VLOOKUP(A196,Titres!$A$2:$B$400,2,FALSE),"Ticker inconnu"))</f>
        <v/>
      </c>
      <c r="C196" s="11" t="n">
        <v>2024</v>
      </c>
      <c r="D196" s="11" t="inlineStr">
        <is>
          <t>T3</t>
        </is>
      </c>
      <c r="E196" s="9" t="n"/>
      <c r="F196" s="12" t="n"/>
      <c r="G196" s="9" t="n"/>
      <c r="H196" s="13" t="n"/>
      <c r="I196" s="13" t="n"/>
      <c r="J196" s="13" t="n"/>
      <c r="K196" s="13" t="n"/>
      <c r="L196" s="13" t="n"/>
      <c r="M196" s="13" t="n"/>
      <c r="N196" s="13" t="n"/>
      <c r="O196" s="13" t="n"/>
      <c r="P196" s="14">
        <f>IF(A196="","",COUNT(H196:O196)/8)</f>
        <v/>
      </c>
      <c r="Q196" s="15">
        <f>IF(COUNT(H196:O196)=0,"",IF(LEN(IF(COUNT(H196,I196,J196)=3,IF(ABS(H196+I196-J196)&lt;=MAX(1,0.02*ABS(J196)),"","RBE &lt;&gt; PNB + frais "),"")&amp;IF(COUNT(J196,K196,L196)=3,IF(ABS(J196+K196-L196)&lt;=MAX(1,0.03*ABS(L196)),"","RAI &lt;&gt; RBE + coût du risque "),"")&amp;IF(COUNT(H196,M196)=2,IF(ABS(M196)&gt;ABS(H196),"RN &gt; PNB ",""),""))=0,"OK",IF(COUNT(H196,I196,J196)=3,IF(ABS(H196+I196-J196)&lt;=MAX(1,0.02*ABS(J196)),"","RBE &lt;&gt; PNB + frais "),"")&amp;IF(COUNT(J196,K196,L196)=3,IF(ABS(J196+K196-L196)&lt;=MAX(1,0.03*ABS(L196)),"","RAI &lt;&gt; RBE + coût du risque "),"")&amp;IF(COUNT(H196,M196)=2,IF(ABS(M196)&gt;ABS(H196),"RN &gt; PNB ",""),"")))</f>
        <v/>
      </c>
    </row>
    <row r="197">
      <c r="A197" s="9" t="inlineStr">
        <is>
          <t>ECOC</t>
        </is>
      </c>
      <c r="B197" s="10">
        <f>IF(A197="","",IFERROR(VLOOKUP(A197,Titres!$A$2:$B$400,2,FALSE),"Ticker inconnu"))</f>
        <v/>
      </c>
      <c r="C197" s="11" t="n">
        <v>2025</v>
      </c>
      <c r="D197" s="11" t="inlineStr">
        <is>
          <t>T1</t>
        </is>
      </c>
      <c r="E197" s="9" t="inlineStr">
        <is>
          <t>Publié</t>
        </is>
      </c>
      <c r="F197" s="12" t="n">
        <v>46141</v>
      </c>
      <c r="G197" s="9" t="inlineStr">
        <is>
          <t>https://www.richbourse.com/common/actualite/afficher-fichier/29-04-2026-ecobank-ci-rapport-dactivites-1er-trimestre-2026 (comparatif N-1)</t>
        </is>
      </c>
      <c r="H197" s="13" t="n">
        <v>29738</v>
      </c>
      <c r="I197" s="13" t="n"/>
      <c r="J197" s="13" t="n"/>
      <c r="K197" s="13" t="n"/>
      <c r="L197" s="13" t="n">
        <v>15459</v>
      </c>
      <c r="M197" s="13" t="n">
        <v>13258</v>
      </c>
      <c r="N197" s="13" t="n">
        <v>984547</v>
      </c>
      <c r="O197" s="13" t="n">
        <v>1526362</v>
      </c>
      <c r="P197" s="14">
        <f>IF(A197="","",COUNT(H197:O197)/8)</f>
        <v/>
      </c>
      <c r="Q197" s="15">
        <f>IF(COUNT(H197:O197)=0,"",IF(LEN(IF(COUNT(H197,I197,J197)=3,IF(ABS(H197+I197-J197)&lt;=MAX(1,0.02*ABS(J197)),"","RBE &lt;&gt; PNB + frais "),"")&amp;IF(COUNT(J197,K197,L197)=3,IF(ABS(J197+K197-L197)&lt;=MAX(1,0.03*ABS(L197)),"","RAI &lt;&gt; RBE + coût du risque "),"")&amp;IF(COUNT(H197,M197)=2,IF(ABS(M197)&gt;ABS(H197),"RN &gt; PNB ",""),""))=0,"OK",IF(COUNT(H197,I197,J197)=3,IF(ABS(H197+I197-J197)&lt;=MAX(1,0.02*ABS(J197)),"","RBE &lt;&gt; PNB + frais "),"")&amp;IF(COUNT(J197,K197,L197)=3,IF(ABS(J197+K197-L197)&lt;=MAX(1,0.03*ABS(L197)),"","RAI &lt;&gt; RBE + coût du risque "),"")&amp;IF(COUNT(H197,M197)=2,IF(ABS(M197)&gt;ABS(H197),"RN &gt; PNB ",""),"")))</f>
        <v/>
      </c>
    </row>
    <row r="198">
      <c r="A198" s="9" t="inlineStr">
        <is>
          <t>ECOC</t>
        </is>
      </c>
      <c r="B198" s="10">
        <f>IF(A198="","",IFERROR(VLOOKUP(A198,Titres!$A$2:$B$400,2,FALSE),"Ticker inconnu"))</f>
        <v/>
      </c>
      <c r="C198" s="11" t="n">
        <v>2025</v>
      </c>
      <c r="D198" s="11" t="inlineStr">
        <is>
          <t>S1</t>
        </is>
      </c>
      <c r="E198" s="9" t="n"/>
      <c r="F198" s="12" t="n"/>
      <c r="G198" s="9" t="n"/>
      <c r="H198" s="13" t="n"/>
      <c r="I198" s="13" t="n"/>
      <c r="J198" s="13" t="n"/>
      <c r="K198" s="13" t="n"/>
      <c r="L198" s="13" t="n"/>
      <c r="M198" s="13" t="n"/>
      <c r="N198" s="13" t="n"/>
      <c r="O198" s="13" t="n"/>
      <c r="P198" s="14">
        <f>IF(A198="","",COUNT(H198:O198)/8)</f>
        <v/>
      </c>
      <c r="Q198" s="15">
        <f>IF(COUNT(H198:O198)=0,"",IF(LEN(IF(COUNT(H198,I198,J198)=3,IF(ABS(H198+I198-J198)&lt;=MAX(1,0.02*ABS(J198)),"","RBE &lt;&gt; PNB + frais "),"")&amp;IF(COUNT(J198,K198,L198)=3,IF(ABS(J198+K198-L198)&lt;=MAX(1,0.03*ABS(L198)),"","RAI &lt;&gt; RBE + coût du risque "),"")&amp;IF(COUNT(H198,M198)=2,IF(ABS(M198)&gt;ABS(H198),"RN &gt; PNB ",""),""))=0,"OK",IF(COUNT(H198,I198,J198)=3,IF(ABS(H198+I198-J198)&lt;=MAX(1,0.02*ABS(J198)),"","RBE &lt;&gt; PNB + frais "),"")&amp;IF(COUNT(J198,K198,L198)=3,IF(ABS(J198+K198-L198)&lt;=MAX(1,0.03*ABS(L198)),"","RAI &lt;&gt; RBE + coût du risque "),"")&amp;IF(COUNT(H198,M198)=2,IF(ABS(M198)&gt;ABS(H198),"RN &gt; PNB ",""),"")))</f>
        <v/>
      </c>
    </row>
    <row r="199">
      <c r="A199" s="9" t="inlineStr">
        <is>
          <t>ECOC</t>
        </is>
      </c>
      <c r="B199" s="10">
        <f>IF(A199="","",IFERROR(VLOOKUP(A199,Titres!$A$2:$B$400,2,FALSE),"Ticker inconnu"))</f>
        <v/>
      </c>
      <c r="C199" s="11" t="n">
        <v>2025</v>
      </c>
      <c r="D199" s="11" t="inlineStr">
        <is>
          <t>T3</t>
        </is>
      </c>
      <c r="E199" s="9" t="n"/>
      <c r="F199" s="12" t="n"/>
      <c r="G199" s="9" t="n"/>
      <c r="H199" s="13" t="n"/>
      <c r="I199" s="13" t="n"/>
      <c r="J199" s="13" t="n"/>
      <c r="K199" s="13" t="n"/>
      <c r="L199" s="13" t="n"/>
      <c r="M199" s="13" t="n"/>
      <c r="N199" s="13" t="n"/>
      <c r="O199" s="13" t="n"/>
      <c r="P199" s="14">
        <f>IF(A199="","",COUNT(H199:O199)/8)</f>
        <v/>
      </c>
      <c r="Q199" s="15">
        <f>IF(COUNT(H199:O199)=0,"",IF(LEN(IF(COUNT(H199,I199,J199)=3,IF(ABS(H199+I199-J199)&lt;=MAX(1,0.02*ABS(J199)),"","RBE &lt;&gt; PNB + frais "),"")&amp;IF(COUNT(J199,K199,L199)=3,IF(ABS(J199+K199-L199)&lt;=MAX(1,0.03*ABS(L199)),"","RAI &lt;&gt; RBE + coût du risque "),"")&amp;IF(COUNT(H199,M199)=2,IF(ABS(M199)&gt;ABS(H199),"RN &gt; PNB ",""),""))=0,"OK",IF(COUNT(H199,I199,J199)=3,IF(ABS(H199+I199-J199)&lt;=MAX(1,0.02*ABS(J199)),"","RBE &lt;&gt; PNB + frais "),"")&amp;IF(COUNT(J199,K199,L199)=3,IF(ABS(J199+K199-L199)&lt;=MAX(1,0.03*ABS(L199)),"","RAI &lt;&gt; RBE + coût du risque "),"")&amp;IF(COUNT(H199,M199)=2,IF(ABS(M199)&gt;ABS(H199),"RN &gt; PNB ",""),"")))</f>
        <v/>
      </c>
    </row>
    <row r="200">
      <c r="A200" s="9" t="inlineStr">
        <is>
          <t>ECOC</t>
        </is>
      </c>
      <c r="B200" s="10">
        <f>IF(A200="","",IFERROR(VLOOKUP(A200,Titres!$A$2:$B$400,2,FALSE),"Ticker inconnu"))</f>
        <v/>
      </c>
      <c r="C200" s="11" t="n">
        <v>2026</v>
      </c>
      <c r="D200" s="11" t="inlineStr">
        <is>
          <t>T1</t>
        </is>
      </c>
      <c r="E200" s="9" t="inlineStr">
        <is>
          <t>Publié</t>
        </is>
      </c>
      <c r="F200" s="12" t="n">
        <v>46141</v>
      </c>
      <c r="G200" s="9" t="inlineStr">
        <is>
          <t>https://www.richbourse.com/common/actualite/afficher-fichier/29-04-2026-ecobank-ci-rapport-dactivites-1er-trimestre-2026</t>
        </is>
      </c>
      <c r="H200" s="13" t="n">
        <v>30846</v>
      </c>
      <c r="I200" s="13" t="n"/>
      <c r="J200" s="13" t="n"/>
      <c r="K200" s="13" t="n"/>
      <c r="L200" s="13" t="n">
        <v>15074</v>
      </c>
      <c r="M200" s="13" t="n">
        <v>13040</v>
      </c>
      <c r="N200" s="13" t="n">
        <v>958724</v>
      </c>
      <c r="O200" s="13" t="n">
        <v>1709280</v>
      </c>
      <c r="P200" s="14">
        <f>IF(A200="","",COUNT(H200:O200)/8)</f>
        <v/>
      </c>
      <c r="Q200" s="15">
        <f>IF(COUNT(H200:O200)=0,"",IF(LEN(IF(COUNT(H200,I200,J200)=3,IF(ABS(H200+I200-J200)&lt;=MAX(1,0.02*ABS(J200)),"","RBE &lt;&gt; PNB + frais "),"")&amp;IF(COUNT(J200,K200,L200)=3,IF(ABS(J200+K200-L200)&lt;=MAX(1,0.03*ABS(L200)),"","RAI &lt;&gt; RBE + coût du risque "),"")&amp;IF(COUNT(H200,M200)=2,IF(ABS(M200)&gt;ABS(H200),"RN &gt; PNB ",""),""))=0,"OK",IF(COUNT(H200,I200,J200)=3,IF(ABS(H200+I200-J200)&lt;=MAX(1,0.02*ABS(J200)),"","RBE &lt;&gt; PNB + frais "),"")&amp;IF(COUNT(J200,K200,L200)=3,IF(ABS(J200+K200-L200)&lt;=MAX(1,0.03*ABS(L200)),"","RAI &lt;&gt; RBE + coût du risque "),"")&amp;IF(COUNT(H200,M200)=2,IF(ABS(M200)&gt;ABS(H200),"RN &gt; PNB ",""),"")))</f>
        <v/>
      </c>
    </row>
    <row r="201">
      <c r="A201" s="9" t="inlineStr">
        <is>
          <t>ECOC</t>
        </is>
      </c>
      <c r="B201" s="10">
        <f>IF(A201="","",IFERROR(VLOOKUP(A201,Titres!$A$2:$B$400,2,FALSE),"Ticker inconnu"))</f>
        <v/>
      </c>
      <c r="C201" s="11" t="n">
        <v>2026</v>
      </c>
      <c r="D201" s="11" t="inlineStr">
        <is>
          <t>S1</t>
        </is>
      </c>
      <c r="E201" s="9" t="n"/>
      <c r="F201" s="12" t="n"/>
      <c r="G201" s="9" t="n"/>
      <c r="H201" s="13" t="n"/>
      <c r="I201" s="13" t="n"/>
      <c r="J201" s="13" t="n"/>
      <c r="K201" s="13" t="n"/>
      <c r="L201" s="13" t="n"/>
      <c r="M201" s="13" t="n"/>
      <c r="N201" s="13" t="n"/>
      <c r="O201" s="13" t="n"/>
      <c r="P201" s="14">
        <f>IF(A201="","",COUNT(H201:O201)/8)</f>
        <v/>
      </c>
      <c r="Q201" s="15">
        <f>IF(COUNT(H201:O201)=0,"",IF(LEN(IF(COUNT(H201,I201,J201)=3,IF(ABS(H201+I201-J201)&lt;=MAX(1,0.02*ABS(J201)),"","RBE &lt;&gt; PNB + frais "),"")&amp;IF(COUNT(J201,K201,L201)=3,IF(ABS(J201+K201-L201)&lt;=MAX(1,0.03*ABS(L201)),"","RAI &lt;&gt; RBE + coût du risque "),"")&amp;IF(COUNT(H201,M201)=2,IF(ABS(M201)&gt;ABS(H201),"RN &gt; PNB ",""),""))=0,"OK",IF(COUNT(H201,I201,J201)=3,IF(ABS(H201+I201-J201)&lt;=MAX(1,0.02*ABS(J201)),"","RBE &lt;&gt; PNB + frais "),"")&amp;IF(COUNT(J201,K201,L201)=3,IF(ABS(J201+K201-L201)&lt;=MAX(1,0.03*ABS(L201)),"","RAI &lt;&gt; RBE + coût du risque "),"")&amp;IF(COUNT(H201,M201)=2,IF(ABS(M201)&gt;ABS(H201),"RN &gt; PNB ",""),"")))</f>
        <v/>
      </c>
    </row>
    <row r="202">
      <c r="A202" s="9" t="inlineStr">
        <is>
          <t>ECOC</t>
        </is>
      </c>
      <c r="B202" s="10">
        <f>IF(A202="","",IFERROR(VLOOKUP(A202,Titres!$A$2:$B$400,2,FALSE),"Ticker inconnu"))</f>
        <v/>
      </c>
      <c r="C202" s="11" t="n">
        <v>2026</v>
      </c>
      <c r="D202" s="11" t="inlineStr">
        <is>
          <t>T3</t>
        </is>
      </c>
      <c r="E202" s="9" t="n"/>
      <c r="F202" s="12" t="n"/>
      <c r="G202" s="9" t="n"/>
      <c r="H202" s="13" t="n"/>
      <c r="I202" s="13" t="n"/>
      <c r="J202" s="13" t="n"/>
      <c r="K202" s="13" t="n"/>
      <c r="L202" s="13" t="n"/>
      <c r="M202" s="13" t="n"/>
      <c r="N202" s="13" t="n"/>
      <c r="O202" s="13" t="n"/>
      <c r="P202" s="14">
        <f>IF(A202="","",COUNT(H202:O202)/8)</f>
        <v/>
      </c>
      <c r="Q202" s="15">
        <f>IF(COUNT(H202:O202)=0,"",IF(LEN(IF(COUNT(H202,I202,J202)=3,IF(ABS(H202+I202-J202)&lt;=MAX(1,0.02*ABS(J202)),"","RBE &lt;&gt; PNB + frais "),"")&amp;IF(COUNT(J202,K202,L202)=3,IF(ABS(J202+K202-L202)&lt;=MAX(1,0.03*ABS(L202)),"","RAI &lt;&gt; RBE + coût du risque "),"")&amp;IF(COUNT(H202,M202)=2,IF(ABS(M202)&gt;ABS(H202),"RN &gt; PNB ",""),""))=0,"OK",IF(COUNT(H202,I202,J202)=3,IF(ABS(H202+I202-J202)&lt;=MAX(1,0.02*ABS(J202)),"","RBE &lt;&gt; PNB + frais "),"")&amp;IF(COUNT(J202,K202,L202)=3,IF(ABS(J202+K202-L202)&lt;=MAX(1,0.03*ABS(L202)),"","RAI &lt;&gt; RBE + coût du risque "),"")&amp;IF(COUNT(H202,M202)=2,IF(ABS(M202)&gt;ABS(H202),"RN &gt; PNB ",""),"")))</f>
        <v/>
      </c>
    </row>
    <row r="203">
      <c r="A203" s="9" t="inlineStr">
        <is>
          <t>NSBC</t>
        </is>
      </c>
      <c r="B203" s="10">
        <f>IF(A203="","",IFERROR(VLOOKUP(A203,Titres!$A$2:$B$400,2,FALSE),"Ticker inconnu"))</f>
        <v/>
      </c>
      <c r="C203" s="11" t="n">
        <v>2021</v>
      </c>
      <c r="D203" s="11" t="inlineStr">
        <is>
          <t>T1</t>
        </is>
      </c>
      <c r="E203" s="9" t="n"/>
      <c r="F203" s="12" t="n"/>
      <c r="G203" s="9" t="n"/>
      <c r="H203" s="13" t="n"/>
      <c r="I203" s="13" t="n"/>
      <c r="J203" s="13" t="n"/>
      <c r="K203" s="13" t="n"/>
      <c r="L203" s="13" t="n"/>
      <c r="M203" s="13" t="n"/>
      <c r="N203" s="13" t="n"/>
      <c r="O203" s="13" t="n"/>
      <c r="P203" s="14">
        <f>IF(A203="","",COUNT(H203:O203)/8)</f>
        <v/>
      </c>
      <c r="Q203" s="15">
        <f>IF(COUNT(H203:O203)=0,"",IF(LEN(IF(COUNT(H203,I203,J203)=3,IF(ABS(H203+I203-J203)&lt;=MAX(1,0.02*ABS(J203)),"","RBE &lt;&gt; PNB + frais "),"")&amp;IF(COUNT(J203,K203,L203)=3,IF(ABS(J203+K203-L203)&lt;=MAX(1,0.03*ABS(L203)),"","RAI &lt;&gt; RBE + coût du risque "),"")&amp;IF(COUNT(H203,M203)=2,IF(ABS(M203)&gt;ABS(H203),"RN &gt; PNB ",""),""))=0,"OK",IF(COUNT(H203,I203,J203)=3,IF(ABS(H203+I203-J203)&lt;=MAX(1,0.02*ABS(J203)),"","RBE &lt;&gt; PNB + frais "),"")&amp;IF(COUNT(J203,K203,L203)=3,IF(ABS(J203+K203-L203)&lt;=MAX(1,0.03*ABS(L203)),"","RAI &lt;&gt; RBE + coût du risque "),"")&amp;IF(COUNT(H203,M203)=2,IF(ABS(M203)&gt;ABS(H203),"RN &gt; PNB ",""),"")))</f>
        <v/>
      </c>
    </row>
    <row r="204">
      <c r="A204" s="9" t="inlineStr">
        <is>
          <t>NSBC</t>
        </is>
      </c>
      <c r="B204" s="10">
        <f>IF(A204="","",IFERROR(VLOOKUP(A204,Titres!$A$2:$B$400,2,FALSE),"Ticker inconnu"))</f>
        <v/>
      </c>
      <c r="C204" s="11" t="n">
        <v>2021</v>
      </c>
      <c r="D204" s="11" t="inlineStr">
        <is>
          <t>S1</t>
        </is>
      </c>
      <c r="E204" s="9" t="n"/>
      <c r="F204" s="12" t="n"/>
      <c r="G204" s="9" t="n"/>
      <c r="H204" s="13" t="n"/>
      <c r="I204" s="13" t="n"/>
      <c r="J204" s="13" t="n"/>
      <c r="K204" s="13" t="n"/>
      <c r="L204" s="13" t="n"/>
      <c r="M204" s="13" t="n"/>
      <c r="N204" s="13" t="n"/>
      <c r="O204" s="13" t="n"/>
      <c r="P204" s="14">
        <f>IF(A204="","",COUNT(H204:O204)/8)</f>
        <v/>
      </c>
      <c r="Q204" s="15">
        <f>IF(COUNT(H204:O204)=0,"",IF(LEN(IF(COUNT(H204,I204,J204)=3,IF(ABS(H204+I204-J204)&lt;=MAX(1,0.02*ABS(J204)),"","RBE &lt;&gt; PNB + frais "),"")&amp;IF(COUNT(J204,K204,L204)=3,IF(ABS(J204+K204-L204)&lt;=MAX(1,0.03*ABS(L204)),"","RAI &lt;&gt; RBE + coût du risque "),"")&amp;IF(COUNT(H204,M204)=2,IF(ABS(M204)&gt;ABS(H204),"RN &gt; PNB ",""),""))=0,"OK",IF(COUNT(H204,I204,J204)=3,IF(ABS(H204+I204-J204)&lt;=MAX(1,0.02*ABS(J204)),"","RBE &lt;&gt; PNB + frais "),"")&amp;IF(COUNT(J204,K204,L204)=3,IF(ABS(J204+K204-L204)&lt;=MAX(1,0.03*ABS(L204)),"","RAI &lt;&gt; RBE + coût du risque "),"")&amp;IF(COUNT(H204,M204)=2,IF(ABS(M204)&gt;ABS(H204),"RN &gt; PNB ",""),"")))</f>
        <v/>
      </c>
    </row>
    <row r="205">
      <c r="A205" s="9" t="inlineStr">
        <is>
          <t>NSBC</t>
        </is>
      </c>
      <c r="B205" s="10">
        <f>IF(A205="","",IFERROR(VLOOKUP(A205,Titres!$A$2:$B$400,2,FALSE),"Ticker inconnu"))</f>
        <v/>
      </c>
      <c r="C205" s="11" t="n">
        <v>2021</v>
      </c>
      <c r="D205" s="11" t="inlineStr">
        <is>
          <t>T3</t>
        </is>
      </c>
      <c r="E205" s="9" t="n"/>
      <c r="F205" s="12" t="n"/>
      <c r="G205" s="9" t="n"/>
      <c r="H205" s="13" t="n"/>
      <c r="I205" s="13" t="n"/>
      <c r="J205" s="13" t="n"/>
      <c r="K205" s="13" t="n"/>
      <c r="L205" s="13" t="n"/>
      <c r="M205" s="13" t="n"/>
      <c r="N205" s="13" t="n"/>
      <c r="O205" s="13" t="n"/>
      <c r="P205" s="14">
        <f>IF(A205="","",COUNT(H205:O205)/8)</f>
        <v/>
      </c>
      <c r="Q205" s="15">
        <f>IF(COUNT(H205:O205)=0,"",IF(LEN(IF(COUNT(H205,I205,J205)=3,IF(ABS(H205+I205-J205)&lt;=MAX(1,0.02*ABS(J205)),"","RBE &lt;&gt; PNB + frais "),"")&amp;IF(COUNT(J205,K205,L205)=3,IF(ABS(J205+K205-L205)&lt;=MAX(1,0.03*ABS(L205)),"","RAI &lt;&gt; RBE + coût du risque "),"")&amp;IF(COUNT(H205,M205)=2,IF(ABS(M205)&gt;ABS(H205),"RN &gt; PNB ",""),""))=0,"OK",IF(COUNT(H205,I205,J205)=3,IF(ABS(H205+I205-J205)&lt;=MAX(1,0.02*ABS(J205)),"","RBE &lt;&gt; PNB + frais "),"")&amp;IF(COUNT(J205,K205,L205)=3,IF(ABS(J205+K205-L205)&lt;=MAX(1,0.03*ABS(L205)),"","RAI &lt;&gt; RBE + coût du risque "),"")&amp;IF(COUNT(H205,M205)=2,IF(ABS(M205)&gt;ABS(H205),"RN &gt; PNB ",""),"")))</f>
        <v/>
      </c>
    </row>
    <row r="206">
      <c r="A206" s="9" t="inlineStr">
        <is>
          <t>NSBC</t>
        </is>
      </c>
      <c r="B206" s="10">
        <f>IF(A206="","",IFERROR(VLOOKUP(A206,Titres!$A$2:$B$400,2,FALSE),"Ticker inconnu"))</f>
        <v/>
      </c>
      <c r="C206" s="11" t="n">
        <v>2022</v>
      </c>
      <c r="D206" s="11" t="inlineStr">
        <is>
          <t>T1</t>
        </is>
      </c>
      <c r="E206" s="9" t="n"/>
      <c r="F206" s="12" t="n"/>
      <c r="G206" s="9" t="n"/>
      <c r="H206" s="13" t="n"/>
      <c r="I206" s="13" t="n"/>
      <c r="J206" s="13" t="n"/>
      <c r="K206" s="13" t="n"/>
      <c r="L206" s="13" t="n"/>
      <c r="M206" s="13" t="n"/>
      <c r="N206" s="13" t="n"/>
      <c r="O206" s="13" t="n"/>
      <c r="P206" s="14">
        <f>IF(A206="","",COUNT(H206:O206)/8)</f>
        <v/>
      </c>
      <c r="Q206" s="15">
        <f>IF(COUNT(H206:O206)=0,"",IF(LEN(IF(COUNT(H206,I206,J206)=3,IF(ABS(H206+I206-J206)&lt;=MAX(1,0.02*ABS(J206)),"","RBE &lt;&gt; PNB + frais "),"")&amp;IF(COUNT(J206,K206,L206)=3,IF(ABS(J206+K206-L206)&lt;=MAX(1,0.03*ABS(L206)),"","RAI &lt;&gt; RBE + coût du risque "),"")&amp;IF(COUNT(H206,M206)=2,IF(ABS(M206)&gt;ABS(H206),"RN &gt; PNB ",""),""))=0,"OK",IF(COUNT(H206,I206,J206)=3,IF(ABS(H206+I206-J206)&lt;=MAX(1,0.02*ABS(J206)),"","RBE &lt;&gt; PNB + frais "),"")&amp;IF(COUNT(J206,K206,L206)=3,IF(ABS(J206+K206-L206)&lt;=MAX(1,0.03*ABS(L206)),"","RAI &lt;&gt; RBE + coût du risque "),"")&amp;IF(COUNT(H206,M206)=2,IF(ABS(M206)&gt;ABS(H206),"RN &gt; PNB ",""),"")))</f>
        <v/>
      </c>
    </row>
    <row r="207">
      <c r="A207" s="9" t="inlineStr">
        <is>
          <t>NSBC</t>
        </is>
      </c>
      <c r="B207" s="10">
        <f>IF(A207="","",IFERROR(VLOOKUP(A207,Titres!$A$2:$B$400,2,FALSE),"Ticker inconnu"))</f>
        <v/>
      </c>
      <c r="C207" s="11" t="n">
        <v>2022</v>
      </c>
      <c r="D207" s="11" t="inlineStr">
        <is>
          <t>S1</t>
        </is>
      </c>
      <c r="E207" s="9" t="n"/>
      <c r="F207" s="12" t="n"/>
      <c r="G207" s="9" t="n"/>
      <c r="H207" s="13" t="n"/>
      <c r="I207" s="13" t="n"/>
      <c r="J207" s="13" t="n"/>
      <c r="K207" s="13" t="n"/>
      <c r="L207" s="13" t="n"/>
      <c r="M207" s="13" t="n"/>
      <c r="N207" s="13" t="n"/>
      <c r="O207" s="13" t="n"/>
      <c r="P207" s="14">
        <f>IF(A207="","",COUNT(H207:O207)/8)</f>
        <v/>
      </c>
      <c r="Q207" s="15">
        <f>IF(COUNT(H207:O207)=0,"",IF(LEN(IF(COUNT(H207,I207,J207)=3,IF(ABS(H207+I207-J207)&lt;=MAX(1,0.02*ABS(J207)),"","RBE &lt;&gt; PNB + frais "),"")&amp;IF(COUNT(J207,K207,L207)=3,IF(ABS(J207+K207-L207)&lt;=MAX(1,0.03*ABS(L207)),"","RAI &lt;&gt; RBE + coût du risque "),"")&amp;IF(COUNT(H207,M207)=2,IF(ABS(M207)&gt;ABS(H207),"RN &gt; PNB ",""),""))=0,"OK",IF(COUNT(H207,I207,J207)=3,IF(ABS(H207+I207-J207)&lt;=MAX(1,0.02*ABS(J207)),"","RBE &lt;&gt; PNB + frais "),"")&amp;IF(COUNT(J207,K207,L207)=3,IF(ABS(J207+K207-L207)&lt;=MAX(1,0.03*ABS(L207)),"","RAI &lt;&gt; RBE + coût du risque "),"")&amp;IF(COUNT(H207,M207)=2,IF(ABS(M207)&gt;ABS(H207),"RN &gt; PNB ",""),"")))</f>
        <v/>
      </c>
    </row>
    <row r="208">
      <c r="A208" s="9" t="inlineStr">
        <is>
          <t>NSBC</t>
        </is>
      </c>
      <c r="B208" s="10">
        <f>IF(A208="","",IFERROR(VLOOKUP(A208,Titres!$A$2:$B$400,2,FALSE),"Ticker inconnu"))</f>
        <v/>
      </c>
      <c r="C208" s="11" t="n">
        <v>2022</v>
      </c>
      <c r="D208" s="11" t="inlineStr">
        <is>
          <t>T3</t>
        </is>
      </c>
      <c r="E208" s="9" t="n"/>
      <c r="F208" s="12" t="n"/>
      <c r="G208" s="9" t="n"/>
      <c r="H208" s="13" t="n"/>
      <c r="I208" s="13" t="n"/>
      <c r="J208" s="13" t="n"/>
      <c r="K208" s="13" t="n"/>
      <c r="L208" s="13" t="n"/>
      <c r="M208" s="13" t="n"/>
      <c r="N208" s="13" t="n"/>
      <c r="O208" s="13" t="n"/>
      <c r="P208" s="14">
        <f>IF(A208="","",COUNT(H208:O208)/8)</f>
        <v/>
      </c>
      <c r="Q208" s="15">
        <f>IF(COUNT(H208:O208)=0,"",IF(LEN(IF(COUNT(H208,I208,J208)=3,IF(ABS(H208+I208-J208)&lt;=MAX(1,0.02*ABS(J208)),"","RBE &lt;&gt; PNB + frais "),"")&amp;IF(COUNT(J208,K208,L208)=3,IF(ABS(J208+K208-L208)&lt;=MAX(1,0.03*ABS(L208)),"","RAI &lt;&gt; RBE + coût du risque "),"")&amp;IF(COUNT(H208,M208)=2,IF(ABS(M208)&gt;ABS(H208),"RN &gt; PNB ",""),""))=0,"OK",IF(COUNT(H208,I208,J208)=3,IF(ABS(H208+I208-J208)&lt;=MAX(1,0.02*ABS(J208)),"","RBE &lt;&gt; PNB + frais "),"")&amp;IF(COUNT(J208,K208,L208)=3,IF(ABS(J208+K208-L208)&lt;=MAX(1,0.03*ABS(L208)),"","RAI &lt;&gt; RBE + coût du risque "),"")&amp;IF(COUNT(H208,M208)=2,IF(ABS(M208)&gt;ABS(H208),"RN &gt; PNB ",""),"")))</f>
        <v/>
      </c>
    </row>
    <row r="209">
      <c r="A209" s="9" t="inlineStr">
        <is>
          <t>NSBC</t>
        </is>
      </c>
      <c r="B209" s="10">
        <f>IF(A209="","",IFERROR(VLOOKUP(A209,Titres!$A$2:$B$400,2,FALSE),"Ticker inconnu"))</f>
        <v/>
      </c>
      <c r="C209" s="11" t="n">
        <v>2023</v>
      </c>
      <c r="D209" s="11" t="inlineStr">
        <is>
          <t>T1</t>
        </is>
      </c>
      <c r="E209" s="9" t="n"/>
      <c r="F209" s="12" t="n"/>
      <c r="G209" s="9" t="n"/>
      <c r="H209" s="13" t="n"/>
      <c r="I209" s="13" t="n"/>
      <c r="J209" s="13" t="n"/>
      <c r="K209" s="13" t="n"/>
      <c r="L209" s="13" t="n"/>
      <c r="M209" s="13" t="n"/>
      <c r="N209" s="13" t="n"/>
      <c r="O209" s="13" t="n"/>
      <c r="P209" s="14">
        <f>IF(A209="","",COUNT(H209:O209)/8)</f>
        <v/>
      </c>
      <c r="Q209" s="15">
        <f>IF(COUNT(H209:O209)=0,"",IF(LEN(IF(COUNT(H209,I209,J209)=3,IF(ABS(H209+I209-J209)&lt;=MAX(1,0.02*ABS(J209)),"","RBE &lt;&gt; PNB + frais "),"")&amp;IF(COUNT(J209,K209,L209)=3,IF(ABS(J209+K209-L209)&lt;=MAX(1,0.03*ABS(L209)),"","RAI &lt;&gt; RBE + coût du risque "),"")&amp;IF(COUNT(H209,M209)=2,IF(ABS(M209)&gt;ABS(H209),"RN &gt; PNB ",""),""))=0,"OK",IF(COUNT(H209,I209,J209)=3,IF(ABS(H209+I209-J209)&lt;=MAX(1,0.02*ABS(J209)),"","RBE &lt;&gt; PNB + frais "),"")&amp;IF(COUNT(J209,K209,L209)=3,IF(ABS(J209+K209-L209)&lt;=MAX(1,0.03*ABS(L209)),"","RAI &lt;&gt; RBE + coût du risque "),"")&amp;IF(COUNT(H209,M209)=2,IF(ABS(M209)&gt;ABS(H209),"RN &gt; PNB ",""),"")))</f>
        <v/>
      </c>
    </row>
    <row r="210">
      <c r="A210" s="9" t="inlineStr">
        <is>
          <t>NSBC</t>
        </is>
      </c>
      <c r="B210" s="10">
        <f>IF(A210="","",IFERROR(VLOOKUP(A210,Titres!$A$2:$B$400,2,FALSE),"Ticker inconnu"))</f>
        <v/>
      </c>
      <c r="C210" s="11" t="n">
        <v>2023</v>
      </c>
      <c r="D210" s="11" t="inlineStr">
        <is>
          <t>S1</t>
        </is>
      </c>
      <c r="E210" s="9" t="n"/>
      <c r="F210" s="12" t="n"/>
      <c r="G210" s="9" t="n"/>
      <c r="H210" s="13" t="n"/>
      <c r="I210" s="13" t="n"/>
      <c r="J210" s="13" t="n"/>
      <c r="K210" s="13" t="n"/>
      <c r="L210" s="13" t="n"/>
      <c r="M210" s="13" t="n"/>
      <c r="N210" s="13" t="n"/>
      <c r="O210" s="13" t="n"/>
      <c r="P210" s="14">
        <f>IF(A210="","",COUNT(H210:O210)/8)</f>
        <v/>
      </c>
      <c r="Q210" s="15">
        <f>IF(COUNT(H210:O210)=0,"",IF(LEN(IF(COUNT(H210,I210,J210)=3,IF(ABS(H210+I210-J210)&lt;=MAX(1,0.02*ABS(J210)),"","RBE &lt;&gt; PNB + frais "),"")&amp;IF(COUNT(J210,K210,L210)=3,IF(ABS(J210+K210-L210)&lt;=MAX(1,0.03*ABS(L210)),"","RAI &lt;&gt; RBE + coût du risque "),"")&amp;IF(COUNT(H210,M210)=2,IF(ABS(M210)&gt;ABS(H210),"RN &gt; PNB ",""),""))=0,"OK",IF(COUNT(H210,I210,J210)=3,IF(ABS(H210+I210-J210)&lt;=MAX(1,0.02*ABS(J210)),"","RBE &lt;&gt; PNB + frais "),"")&amp;IF(COUNT(J210,K210,L210)=3,IF(ABS(J210+K210-L210)&lt;=MAX(1,0.03*ABS(L210)),"","RAI &lt;&gt; RBE + coût du risque "),"")&amp;IF(COUNT(H210,M210)=2,IF(ABS(M210)&gt;ABS(H210),"RN &gt; PNB ",""),"")))</f>
        <v/>
      </c>
    </row>
    <row r="211">
      <c r="A211" s="9" t="inlineStr">
        <is>
          <t>NSBC</t>
        </is>
      </c>
      <c r="B211" s="10">
        <f>IF(A211="","",IFERROR(VLOOKUP(A211,Titres!$A$2:$B$400,2,FALSE),"Ticker inconnu"))</f>
        <v/>
      </c>
      <c r="C211" s="11" t="n">
        <v>2023</v>
      </c>
      <c r="D211" s="11" t="inlineStr">
        <is>
          <t>T3</t>
        </is>
      </c>
      <c r="E211" s="9" t="n"/>
      <c r="F211" s="12" t="n"/>
      <c r="G211" s="9" t="n"/>
      <c r="H211" s="13" t="n"/>
      <c r="I211" s="13" t="n"/>
      <c r="J211" s="13" t="n"/>
      <c r="K211" s="13" t="n"/>
      <c r="L211" s="13" t="n"/>
      <c r="M211" s="13" t="n"/>
      <c r="N211" s="13" t="n"/>
      <c r="O211" s="13" t="n"/>
      <c r="P211" s="14">
        <f>IF(A211="","",COUNT(H211:O211)/8)</f>
        <v/>
      </c>
      <c r="Q211" s="15">
        <f>IF(COUNT(H211:O211)=0,"",IF(LEN(IF(COUNT(H211,I211,J211)=3,IF(ABS(H211+I211-J211)&lt;=MAX(1,0.02*ABS(J211)),"","RBE &lt;&gt; PNB + frais "),"")&amp;IF(COUNT(J211,K211,L211)=3,IF(ABS(J211+K211-L211)&lt;=MAX(1,0.03*ABS(L211)),"","RAI &lt;&gt; RBE + coût du risque "),"")&amp;IF(COUNT(H211,M211)=2,IF(ABS(M211)&gt;ABS(H211),"RN &gt; PNB ",""),""))=0,"OK",IF(COUNT(H211,I211,J211)=3,IF(ABS(H211+I211-J211)&lt;=MAX(1,0.02*ABS(J211)),"","RBE &lt;&gt; PNB + frais "),"")&amp;IF(COUNT(J211,K211,L211)=3,IF(ABS(J211+K211-L211)&lt;=MAX(1,0.03*ABS(L211)),"","RAI &lt;&gt; RBE + coût du risque "),"")&amp;IF(COUNT(H211,M211)=2,IF(ABS(M211)&gt;ABS(H211),"RN &gt; PNB ",""),"")))</f>
        <v/>
      </c>
    </row>
    <row r="212">
      <c r="A212" s="9" t="inlineStr">
        <is>
          <t>NSBC</t>
        </is>
      </c>
      <c r="B212" s="10">
        <f>IF(A212="","",IFERROR(VLOOKUP(A212,Titres!$A$2:$B$400,2,FALSE),"Ticker inconnu"))</f>
        <v/>
      </c>
      <c r="C212" s="11" t="n">
        <v>2024</v>
      </c>
      <c r="D212" s="11" t="inlineStr">
        <is>
          <t>T1</t>
        </is>
      </c>
      <c r="E212" s="9" t="n"/>
      <c r="F212" s="12" t="n"/>
      <c r="G212" s="9" t="n"/>
      <c r="H212" s="13" t="n"/>
      <c r="I212" s="13" t="n"/>
      <c r="J212" s="13" t="n"/>
      <c r="K212" s="13" t="n"/>
      <c r="L212" s="13" t="n"/>
      <c r="M212" s="13" t="n"/>
      <c r="N212" s="13" t="n"/>
      <c r="O212" s="13" t="n"/>
      <c r="P212" s="14">
        <f>IF(A212="","",COUNT(H212:O212)/8)</f>
        <v/>
      </c>
      <c r="Q212" s="15">
        <f>IF(COUNT(H212:O212)=0,"",IF(LEN(IF(COUNT(H212,I212,J212)=3,IF(ABS(H212+I212-J212)&lt;=MAX(1,0.02*ABS(J212)),"","RBE &lt;&gt; PNB + frais "),"")&amp;IF(COUNT(J212,K212,L212)=3,IF(ABS(J212+K212-L212)&lt;=MAX(1,0.03*ABS(L212)),"","RAI &lt;&gt; RBE + coût du risque "),"")&amp;IF(COUNT(H212,M212)=2,IF(ABS(M212)&gt;ABS(H212),"RN &gt; PNB ",""),""))=0,"OK",IF(COUNT(H212,I212,J212)=3,IF(ABS(H212+I212-J212)&lt;=MAX(1,0.02*ABS(J212)),"","RBE &lt;&gt; PNB + frais "),"")&amp;IF(COUNT(J212,K212,L212)=3,IF(ABS(J212+K212-L212)&lt;=MAX(1,0.03*ABS(L212)),"","RAI &lt;&gt; RBE + coût du risque "),"")&amp;IF(COUNT(H212,M212)=2,IF(ABS(M212)&gt;ABS(H212),"RN &gt; PNB ",""),"")))</f>
        <v/>
      </c>
    </row>
    <row r="213">
      <c r="A213" s="9" t="inlineStr">
        <is>
          <t>NSBC</t>
        </is>
      </c>
      <c r="B213" s="10">
        <f>IF(A213="","",IFERROR(VLOOKUP(A213,Titres!$A$2:$B$400,2,FALSE),"Ticker inconnu"))</f>
        <v/>
      </c>
      <c r="C213" s="11" t="n">
        <v>2024</v>
      </c>
      <c r="D213" s="11" t="inlineStr">
        <is>
          <t>S1</t>
        </is>
      </c>
      <c r="E213" s="9" t="n"/>
      <c r="F213" s="12" t="n"/>
      <c r="G213" s="9" t="n"/>
      <c r="H213" s="13" t="n"/>
      <c r="I213" s="13" t="n"/>
      <c r="J213" s="13" t="n"/>
      <c r="K213" s="13" t="n"/>
      <c r="L213" s="13" t="n"/>
      <c r="M213" s="13" t="n"/>
      <c r="N213" s="13" t="n"/>
      <c r="O213" s="13" t="n"/>
      <c r="P213" s="14">
        <f>IF(A213="","",COUNT(H213:O213)/8)</f>
        <v/>
      </c>
      <c r="Q213" s="15">
        <f>IF(COUNT(H213:O213)=0,"",IF(LEN(IF(COUNT(H213,I213,J213)=3,IF(ABS(H213+I213-J213)&lt;=MAX(1,0.02*ABS(J213)),"","RBE &lt;&gt; PNB + frais "),"")&amp;IF(COUNT(J213,K213,L213)=3,IF(ABS(J213+K213-L213)&lt;=MAX(1,0.03*ABS(L213)),"","RAI &lt;&gt; RBE + coût du risque "),"")&amp;IF(COUNT(H213,M213)=2,IF(ABS(M213)&gt;ABS(H213),"RN &gt; PNB ",""),""))=0,"OK",IF(COUNT(H213,I213,J213)=3,IF(ABS(H213+I213-J213)&lt;=MAX(1,0.02*ABS(J213)),"","RBE &lt;&gt; PNB + frais "),"")&amp;IF(COUNT(J213,K213,L213)=3,IF(ABS(J213+K213-L213)&lt;=MAX(1,0.03*ABS(L213)),"","RAI &lt;&gt; RBE + coût du risque "),"")&amp;IF(COUNT(H213,M213)=2,IF(ABS(M213)&gt;ABS(H213),"RN &gt; PNB ",""),"")))</f>
        <v/>
      </c>
    </row>
    <row r="214">
      <c r="A214" s="9" t="inlineStr">
        <is>
          <t>NSBC</t>
        </is>
      </c>
      <c r="B214" s="10">
        <f>IF(A214="","",IFERROR(VLOOKUP(A214,Titres!$A$2:$B$400,2,FALSE),"Ticker inconnu"))</f>
        <v/>
      </c>
      <c r="C214" s="11" t="n">
        <v>2024</v>
      </c>
      <c r="D214" s="11" t="inlineStr">
        <is>
          <t>T3</t>
        </is>
      </c>
      <c r="E214" s="9" t="n"/>
      <c r="F214" s="12" t="n"/>
      <c r="G214" s="9" t="n"/>
      <c r="H214" s="13" t="n"/>
      <c r="I214" s="13" t="n"/>
      <c r="J214" s="13" t="n"/>
      <c r="K214" s="13" t="n"/>
      <c r="L214" s="13" t="n"/>
      <c r="M214" s="13" t="n"/>
      <c r="N214" s="13" t="n"/>
      <c r="O214" s="13" t="n"/>
      <c r="P214" s="14">
        <f>IF(A214="","",COUNT(H214:O214)/8)</f>
        <v/>
      </c>
      <c r="Q214" s="15">
        <f>IF(COUNT(H214:O214)=0,"",IF(LEN(IF(COUNT(H214,I214,J214)=3,IF(ABS(H214+I214-J214)&lt;=MAX(1,0.02*ABS(J214)),"","RBE &lt;&gt; PNB + frais "),"")&amp;IF(COUNT(J214,K214,L214)=3,IF(ABS(J214+K214-L214)&lt;=MAX(1,0.03*ABS(L214)),"","RAI &lt;&gt; RBE + coût du risque "),"")&amp;IF(COUNT(H214,M214)=2,IF(ABS(M214)&gt;ABS(H214),"RN &gt; PNB ",""),""))=0,"OK",IF(COUNT(H214,I214,J214)=3,IF(ABS(H214+I214-J214)&lt;=MAX(1,0.02*ABS(J214)),"","RBE &lt;&gt; PNB + frais "),"")&amp;IF(COUNT(J214,K214,L214)=3,IF(ABS(J214+K214-L214)&lt;=MAX(1,0.03*ABS(L214)),"","RAI &lt;&gt; RBE + coût du risque "),"")&amp;IF(COUNT(H214,M214)=2,IF(ABS(M214)&gt;ABS(H214),"RN &gt; PNB ",""),"")))</f>
        <v/>
      </c>
    </row>
    <row r="215">
      <c r="A215" s="9" t="inlineStr">
        <is>
          <t>NSBC</t>
        </is>
      </c>
      <c r="B215" s="10">
        <f>IF(A215="","",IFERROR(VLOOKUP(A215,Titres!$A$2:$B$400,2,FALSE),"Ticker inconnu"))</f>
        <v/>
      </c>
      <c r="C215" s="11" t="n">
        <v>2025</v>
      </c>
      <c r="D215" s="11" t="inlineStr">
        <is>
          <t>T1</t>
        </is>
      </c>
      <c r="E215" s="9" t="inlineStr">
        <is>
          <t>Publié</t>
        </is>
      </c>
      <c r="F215" s="12" t="n">
        <v>46142</v>
      </c>
      <c r="G215" s="9" t="inlineStr">
        <is>
          <t>https://www.richbourse.com/common/actualite/afficher-fichier/30-04-2026-nsia-banque-ci-rapport-dactivites-1er-trimestre-2026 (comparatif N-1)</t>
        </is>
      </c>
      <c r="H215" s="13" t="n">
        <v>22402</v>
      </c>
      <c r="I215" s="13" t="n"/>
      <c r="J215" s="13" t="n"/>
      <c r="K215" s="13" t="n"/>
      <c r="L215" s="13" t="n">
        <v>7940</v>
      </c>
      <c r="M215" s="13" t="n">
        <v>7138</v>
      </c>
      <c r="N215" s="13" t="n">
        <v>1573747</v>
      </c>
      <c r="O215" s="13" t="n">
        <v>1782582</v>
      </c>
      <c r="P215" s="14">
        <f>IF(A215="","",COUNT(H215:O215)/8)</f>
        <v/>
      </c>
      <c r="Q215" s="15">
        <f>IF(COUNT(H215:O215)=0,"",IF(LEN(IF(COUNT(H215,I215,J215)=3,IF(ABS(H215+I215-J215)&lt;=MAX(1,0.02*ABS(J215)),"","RBE &lt;&gt; PNB + frais "),"")&amp;IF(COUNT(J215,K215,L215)=3,IF(ABS(J215+K215-L215)&lt;=MAX(1,0.03*ABS(L215)),"","RAI &lt;&gt; RBE + coût du risque "),"")&amp;IF(COUNT(H215,M215)=2,IF(ABS(M215)&gt;ABS(H215),"RN &gt; PNB ",""),""))=0,"OK",IF(COUNT(H215,I215,J215)=3,IF(ABS(H215+I215-J215)&lt;=MAX(1,0.02*ABS(J215)),"","RBE &lt;&gt; PNB + frais "),"")&amp;IF(COUNT(J215,K215,L215)=3,IF(ABS(J215+K215-L215)&lt;=MAX(1,0.03*ABS(L215)),"","RAI &lt;&gt; RBE + coût du risque "),"")&amp;IF(COUNT(H215,M215)=2,IF(ABS(M215)&gt;ABS(H215),"RN &gt; PNB ",""),"")))</f>
        <v/>
      </c>
    </row>
    <row r="216">
      <c r="A216" s="9" t="inlineStr">
        <is>
          <t>NSBC</t>
        </is>
      </c>
      <c r="B216" s="10">
        <f>IF(A216="","",IFERROR(VLOOKUP(A216,Titres!$A$2:$B$400,2,FALSE),"Ticker inconnu"))</f>
        <v/>
      </c>
      <c r="C216" s="11" t="n">
        <v>2025</v>
      </c>
      <c r="D216" s="11" t="inlineStr">
        <is>
          <t>S1</t>
        </is>
      </c>
      <c r="E216" s="9" t="n"/>
      <c r="F216" s="12" t="n"/>
      <c r="G216" s="9" t="n"/>
      <c r="H216" s="13" t="n"/>
      <c r="I216" s="13" t="n"/>
      <c r="J216" s="13" t="n"/>
      <c r="K216" s="13" t="n"/>
      <c r="L216" s="13" t="n"/>
      <c r="M216" s="13" t="n"/>
      <c r="N216" s="13" t="n"/>
      <c r="O216" s="13" t="n"/>
      <c r="P216" s="14">
        <f>IF(A216="","",COUNT(H216:O216)/8)</f>
        <v/>
      </c>
      <c r="Q216" s="15">
        <f>IF(COUNT(H216:O216)=0,"",IF(LEN(IF(COUNT(H216,I216,J216)=3,IF(ABS(H216+I216-J216)&lt;=MAX(1,0.02*ABS(J216)),"","RBE &lt;&gt; PNB + frais "),"")&amp;IF(COUNT(J216,K216,L216)=3,IF(ABS(J216+K216-L216)&lt;=MAX(1,0.03*ABS(L216)),"","RAI &lt;&gt; RBE + coût du risque "),"")&amp;IF(COUNT(H216,M216)=2,IF(ABS(M216)&gt;ABS(H216),"RN &gt; PNB ",""),""))=0,"OK",IF(COUNT(H216,I216,J216)=3,IF(ABS(H216+I216-J216)&lt;=MAX(1,0.02*ABS(J216)),"","RBE &lt;&gt; PNB + frais "),"")&amp;IF(COUNT(J216,K216,L216)=3,IF(ABS(J216+K216-L216)&lt;=MAX(1,0.03*ABS(L216)),"","RAI &lt;&gt; RBE + coût du risque "),"")&amp;IF(COUNT(H216,M216)=2,IF(ABS(M216)&gt;ABS(H216),"RN &gt; PNB ",""),"")))</f>
        <v/>
      </c>
    </row>
    <row r="217">
      <c r="A217" s="9" t="inlineStr">
        <is>
          <t>NSBC</t>
        </is>
      </c>
      <c r="B217" s="10">
        <f>IF(A217="","",IFERROR(VLOOKUP(A217,Titres!$A$2:$B$400,2,FALSE),"Ticker inconnu"))</f>
        <v/>
      </c>
      <c r="C217" s="11" t="n">
        <v>2025</v>
      </c>
      <c r="D217" s="11" t="inlineStr">
        <is>
          <t>T3</t>
        </is>
      </c>
      <c r="E217" s="9" t="n"/>
      <c r="F217" s="12" t="n"/>
      <c r="G217" s="9" t="n"/>
      <c r="H217" s="13" t="n"/>
      <c r="I217" s="13" t="n"/>
      <c r="J217" s="13" t="n"/>
      <c r="K217" s="13" t="n"/>
      <c r="L217" s="13" t="n"/>
      <c r="M217" s="13" t="n"/>
      <c r="N217" s="13" t="n"/>
      <c r="O217" s="13" t="n"/>
      <c r="P217" s="14">
        <f>IF(A217="","",COUNT(H217:O217)/8)</f>
        <v/>
      </c>
      <c r="Q217" s="15">
        <f>IF(COUNT(H217:O217)=0,"",IF(LEN(IF(COUNT(H217,I217,J217)=3,IF(ABS(H217+I217-J217)&lt;=MAX(1,0.02*ABS(J217)),"","RBE &lt;&gt; PNB + frais "),"")&amp;IF(COUNT(J217,K217,L217)=3,IF(ABS(J217+K217-L217)&lt;=MAX(1,0.03*ABS(L217)),"","RAI &lt;&gt; RBE + coût du risque "),"")&amp;IF(COUNT(H217,M217)=2,IF(ABS(M217)&gt;ABS(H217),"RN &gt; PNB ",""),""))=0,"OK",IF(COUNT(H217,I217,J217)=3,IF(ABS(H217+I217-J217)&lt;=MAX(1,0.02*ABS(J217)),"","RBE &lt;&gt; PNB + frais "),"")&amp;IF(COUNT(J217,K217,L217)=3,IF(ABS(J217+K217-L217)&lt;=MAX(1,0.03*ABS(L217)),"","RAI &lt;&gt; RBE + coût du risque "),"")&amp;IF(COUNT(H217,M217)=2,IF(ABS(M217)&gt;ABS(H217),"RN &gt; PNB ",""),"")))</f>
        <v/>
      </c>
    </row>
    <row r="218">
      <c r="A218" s="9" t="inlineStr">
        <is>
          <t>NSBC</t>
        </is>
      </c>
      <c r="B218" s="10">
        <f>IF(A218="","",IFERROR(VLOOKUP(A218,Titres!$A$2:$B$400,2,FALSE),"Ticker inconnu"))</f>
        <v/>
      </c>
      <c r="C218" s="11" t="n">
        <v>2026</v>
      </c>
      <c r="D218" s="11" t="inlineStr">
        <is>
          <t>T1</t>
        </is>
      </c>
      <c r="E218" s="9" t="inlineStr">
        <is>
          <t>Publié</t>
        </is>
      </c>
      <c r="F218" s="12" t="n">
        <v>46142</v>
      </c>
      <c r="G218" s="9" t="inlineStr">
        <is>
          <t>https://www.richbourse.com/common/actualite/afficher-fichier/30-04-2026-nsia-banque-ci-rapport-dactivites-1er-trimestre-2026</t>
        </is>
      </c>
      <c r="H218" s="13" t="n">
        <v>28615</v>
      </c>
      <c r="I218" s="13" t="n"/>
      <c r="J218" s="13" t="n"/>
      <c r="K218" s="13" t="n"/>
      <c r="L218" s="13" t="n">
        <v>11830</v>
      </c>
      <c r="M218" s="13" t="n">
        <v>10912</v>
      </c>
      <c r="N218" s="13" t="n">
        <v>1744337</v>
      </c>
      <c r="O218" s="13" t="n">
        <v>2162760</v>
      </c>
      <c r="P218" s="14">
        <f>IF(A218="","",COUNT(H218:O218)/8)</f>
        <v/>
      </c>
      <c r="Q218" s="15">
        <f>IF(COUNT(H218:O218)=0,"",IF(LEN(IF(COUNT(H218,I218,J218)=3,IF(ABS(H218+I218-J218)&lt;=MAX(1,0.02*ABS(J218)),"","RBE &lt;&gt; PNB + frais "),"")&amp;IF(COUNT(J218,K218,L218)=3,IF(ABS(J218+K218-L218)&lt;=MAX(1,0.03*ABS(L218)),"","RAI &lt;&gt; RBE + coût du risque "),"")&amp;IF(COUNT(H218,M218)=2,IF(ABS(M218)&gt;ABS(H218),"RN &gt; PNB ",""),""))=0,"OK",IF(COUNT(H218,I218,J218)=3,IF(ABS(H218+I218-J218)&lt;=MAX(1,0.02*ABS(J218)),"","RBE &lt;&gt; PNB + frais "),"")&amp;IF(COUNT(J218,K218,L218)=3,IF(ABS(J218+K218-L218)&lt;=MAX(1,0.03*ABS(L218)),"","RAI &lt;&gt; RBE + coût du risque "),"")&amp;IF(COUNT(H218,M218)=2,IF(ABS(M218)&gt;ABS(H218),"RN &gt; PNB ",""),"")))</f>
        <v/>
      </c>
    </row>
    <row r="219">
      <c r="A219" s="9" t="inlineStr">
        <is>
          <t>NSBC</t>
        </is>
      </c>
      <c r="B219" s="10">
        <f>IF(A219="","",IFERROR(VLOOKUP(A219,Titres!$A$2:$B$400,2,FALSE),"Ticker inconnu"))</f>
        <v/>
      </c>
      <c r="C219" s="11" t="n">
        <v>2026</v>
      </c>
      <c r="D219" s="11" t="inlineStr">
        <is>
          <t>S1</t>
        </is>
      </c>
      <c r="E219" s="9" t="n"/>
      <c r="F219" s="12" t="n"/>
      <c r="G219" s="9" t="n"/>
      <c r="H219" s="13" t="n"/>
      <c r="I219" s="13" t="n"/>
      <c r="J219" s="13" t="n"/>
      <c r="K219" s="13" t="n"/>
      <c r="L219" s="13" t="n"/>
      <c r="M219" s="13" t="n"/>
      <c r="N219" s="13" t="n"/>
      <c r="O219" s="13" t="n"/>
      <c r="P219" s="14">
        <f>IF(A219="","",COUNT(H219:O219)/8)</f>
        <v/>
      </c>
      <c r="Q219" s="15">
        <f>IF(COUNT(H219:O219)=0,"",IF(LEN(IF(COUNT(H219,I219,J219)=3,IF(ABS(H219+I219-J219)&lt;=MAX(1,0.02*ABS(J219)),"","RBE &lt;&gt; PNB + frais "),"")&amp;IF(COUNT(J219,K219,L219)=3,IF(ABS(J219+K219-L219)&lt;=MAX(1,0.03*ABS(L219)),"","RAI &lt;&gt; RBE + coût du risque "),"")&amp;IF(COUNT(H219,M219)=2,IF(ABS(M219)&gt;ABS(H219),"RN &gt; PNB ",""),""))=0,"OK",IF(COUNT(H219,I219,J219)=3,IF(ABS(H219+I219-J219)&lt;=MAX(1,0.02*ABS(J219)),"","RBE &lt;&gt; PNB + frais "),"")&amp;IF(COUNT(J219,K219,L219)=3,IF(ABS(J219+K219-L219)&lt;=MAX(1,0.03*ABS(L219)),"","RAI &lt;&gt; RBE + coût du risque "),"")&amp;IF(COUNT(H219,M219)=2,IF(ABS(M219)&gt;ABS(H219),"RN &gt; PNB ",""),"")))</f>
        <v/>
      </c>
    </row>
    <row r="220">
      <c r="A220" s="9" t="inlineStr">
        <is>
          <t>NSBC</t>
        </is>
      </c>
      <c r="B220" s="10">
        <f>IF(A220="","",IFERROR(VLOOKUP(A220,Titres!$A$2:$B$400,2,FALSE),"Ticker inconnu"))</f>
        <v/>
      </c>
      <c r="C220" s="11" t="n">
        <v>2026</v>
      </c>
      <c r="D220" s="11" t="inlineStr">
        <is>
          <t>T3</t>
        </is>
      </c>
      <c r="E220" s="9" t="n"/>
      <c r="F220" s="12" t="n"/>
      <c r="G220" s="9" t="n"/>
      <c r="H220" s="13" t="n"/>
      <c r="I220" s="13" t="n"/>
      <c r="J220" s="13" t="n"/>
      <c r="K220" s="13" t="n"/>
      <c r="L220" s="13" t="n"/>
      <c r="M220" s="13" t="n"/>
      <c r="N220" s="13" t="n"/>
      <c r="O220" s="13" t="n"/>
      <c r="P220" s="14">
        <f>IF(A220="","",COUNT(H220:O220)/8)</f>
        <v/>
      </c>
      <c r="Q220" s="15">
        <f>IF(COUNT(H220:O220)=0,"",IF(LEN(IF(COUNT(H220,I220,J220)=3,IF(ABS(H220+I220-J220)&lt;=MAX(1,0.02*ABS(J220)),"","RBE &lt;&gt; PNB + frais "),"")&amp;IF(COUNT(J220,K220,L220)=3,IF(ABS(J220+K220-L220)&lt;=MAX(1,0.03*ABS(L220)),"","RAI &lt;&gt; RBE + coût du risque "),"")&amp;IF(COUNT(H220,M220)=2,IF(ABS(M220)&gt;ABS(H220),"RN &gt; PNB ",""),""))=0,"OK",IF(COUNT(H220,I220,J220)=3,IF(ABS(H220+I220-J220)&lt;=MAX(1,0.02*ABS(J220)),"","RBE &lt;&gt; PNB + frais "),"")&amp;IF(COUNT(J220,K220,L220)=3,IF(ABS(J220+K220-L220)&lt;=MAX(1,0.03*ABS(L220)),"","RAI &lt;&gt; RBE + coût du risque "),"")&amp;IF(COUNT(H220,M220)=2,IF(ABS(M220)&gt;ABS(H220),"RN &gt; PNB ",""),"")))</f>
        <v/>
      </c>
    </row>
    <row r="221">
      <c r="A221" s="9" t="inlineStr">
        <is>
          <t>SAFC</t>
        </is>
      </c>
      <c r="B221" s="10">
        <f>IF(A221="","",IFERROR(VLOOKUP(A221,Titres!$A$2:$B$400,2,FALSE),"Ticker inconnu"))</f>
        <v/>
      </c>
      <c r="C221" s="11" t="n">
        <v>2021</v>
      </c>
      <c r="D221" s="11" t="inlineStr">
        <is>
          <t>T1</t>
        </is>
      </c>
      <c r="E221" s="9" t="n"/>
      <c r="F221" s="12" t="n"/>
      <c r="G221" s="9" t="n"/>
      <c r="H221" s="13" t="n"/>
      <c r="I221" s="13" t="n"/>
      <c r="J221" s="13" t="n"/>
      <c r="K221" s="13" t="n"/>
      <c r="L221" s="13" t="n"/>
      <c r="M221" s="13" t="n"/>
      <c r="N221" s="13" t="n"/>
      <c r="O221" s="13" t="n"/>
      <c r="P221" s="14">
        <f>IF(A221="","",COUNT(H221:O221)/8)</f>
        <v/>
      </c>
      <c r="Q221" s="15">
        <f>IF(COUNT(H221:O221)=0,"",IF(LEN(IF(COUNT(H221,I221,J221)=3,IF(ABS(H221+I221-J221)&lt;=MAX(1,0.02*ABS(J221)),"","RBE &lt;&gt; PNB + frais "),"")&amp;IF(COUNT(J221,K221,L221)=3,IF(ABS(J221+K221-L221)&lt;=MAX(1,0.03*ABS(L221)),"","RAI &lt;&gt; RBE + coût du risque "),"")&amp;IF(COUNT(H221,M221)=2,IF(ABS(M221)&gt;ABS(H221),"RN &gt; PNB ",""),""))=0,"OK",IF(COUNT(H221,I221,J221)=3,IF(ABS(H221+I221-J221)&lt;=MAX(1,0.02*ABS(J221)),"","RBE &lt;&gt; PNB + frais "),"")&amp;IF(COUNT(J221,K221,L221)=3,IF(ABS(J221+K221-L221)&lt;=MAX(1,0.03*ABS(L221)),"","RAI &lt;&gt; RBE + coût du risque "),"")&amp;IF(COUNT(H221,M221)=2,IF(ABS(M221)&gt;ABS(H221),"RN &gt; PNB ",""),"")))</f>
        <v/>
      </c>
    </row>
    <row r="222">
      <c r="A222" s="9" t="inlineStr">
        <is>
          <t>SAFC</t>
        </is>
      </c>
      <c r="B222" s="10">
        <f>IF(A222="","",IFERROR(VLOOKUP(A222,Titres!$A$2:$B$400,2,FALSE),"Ticker inconnu"))</f>
        <v/>
      </c>
      <c r="C222" s="11" t="n">
        <v>2021</v>
      </c>
      <c r="D222" s="11" t="inlineStr">
        <is>
          <t>S1</t>
        </is>
      </c>
      <c r="E222" s="9" t="n"/>
      <c r="F222" s="12" t="n"/>
      <c r="G222" s="9" t="n"/>
      <c r="H222" s="13" t="n"/>
      <c r="I222" s="13" t="n"/>
      <c r="J222" s="13" t="n"/>
      <c r="K222" s="13" t="n"/>
      <c r="L222" s="13" t="n"/>
      <c r="M222" s="13" t="n"/>
      <c r="N222" s="13" t="n"/>
      <c r="O222" s="13" t="n"/>
      <c r="P222" s="14">
        <f>IF(A222="","",COUNT(H222:O222)/8)</f>
        <v/>
      </c>
      <c r="Q222" s="15">
        <f>IF(COUNT(H222:O222)=0,"",IF(LEN(IF(COUNT(H222,I222,J222)=3,IF(ABS(H222+I222-J222)&lt;=MAX(1,0.02*ABS(J222)),"","RBE &lt;&gt; PNB + frais "),"")&amp;IF(COUNT(J222,K222,L222)=3,IF(ABS(J222+K222-L222)&lt;=MAX(1,0.03*ABS(L222)),"","RAI &lt;&gt; RBE + coût du risque "),"")&amp;IF(COUNT(H222,M222)=2,IF(ABS(M222)&gt;ABS(H222),"RN &gt; PNB ",""),""))=0,"OK",IF(COUNT(H222,I222,J222)=3,IF(ABS(H222+I222-J222)&lt;=MAX(1,0.02*ABS(J222)),"","RBE &lt;&gt; PNB + frais "),"")&amp;IF(COUNT(J222,K222,L222)=3,IF(ABS(J222+K222-L222)&lt;=MAX(1,0.03*ABS(L222)),"","RAI &lt;&gt; RBE + coût du risque "),"")&amp;IF(COUNT(H222,M222)=2,IF(ABS(M222)&gt;ABS(H222),"RN &gt; PNB ",""),"")))</f>
        <v/>
      </c>
    </row>
    <row r="223">
      <c r="A223" s="9" t="inlineStr">
        <is>
          <t>SAFC</t>
        </is>
      </c>
      <c r="B223" s="10">
        <f>IF(A223="","",IFERROR(VLOOKUP(A223,Titres!$A$2:$B$400,2,FALSE),"Ticker inconnu"))</f>
        <v/>
      </c>
      <c r="C223" s="11" t="n">
        <v>2021</v>
      </c>
      <c r="D223" s="11" t="inlineStr">
        <is>
          <t>T3</t>
        </is>
      </c>
      <c r="E223" s="9" t="n"/>
      <c r="F223" s="12" t="n"/>
      <c r="G223" s="9" t="n"/>
      <c r="H223" s="13" t="n"/>
      <c r="I223" s="13" t="n"/>
      <c r="J223" s="13" t="n"/>
      <c r="K223" s="13" t="n"/>
      <c r="L223" s="13" t="n"/>
      <c r="M223" s="13" t="n"/>
      <c r="N223" s="13" t="n"/>
      <c r="O223" s="13" t="n"/>
      <c r="P223" s="14">
        <f>IF(A223="","",COUNT(H223:O223)/8)</f>
        <v/>
      </c>
      <c r="Q223" s="15">
        <f>IF(COUNT(H223:O223)=0,"",IF(LEN(IF(COUNT(H223,I223,J223)=3,IF(ABS(H223+I223-J223)&lt;=MAX(1,0.02*ABS(J223)),"","RBE &lt;&gt; PNB + frais "),"")&amp;IF(COUNT(J223,K223,L223)=3,IF(ABS(J223+K223-L223)&lt;=MAX(1,0.03*ABS(L223)),"","RAI &lt;&gt; RBE + coût du risque "),"")&amp;IF(COUNT(H223,M223)=2,IF(ABS(M223)&gt;ABS(H223),"RN &gt; PNB ",""),""))=0,"OK",IF(COUNT(H223,I223,J223)=3,IF(ABS(H223+I223-J223)&lt;=MAX(1,0.02*ABS(J223)),"","RBE &lt;&gt; PNB + frais "),"")&amp;IF(COUNT(J223,K223,L223)=3,IF(ABS(J223+K223-L223)&lt;=MAX(1,0.03*ABS(L223)),"","RAI &lt;&gt; RBE + coût du risque "),"")&amp;IF(COUNT(H223,M223)=2,IF(ABS(M223)&gt;ABS(H223),"RN &gt; PNB ",""),"")))</f>
        <v/>
      </c>
    </row>
    <row r="224">
      <c r="A224" s="9" t="inlineStr">
        <is>
          <t>SAFC</t>
        </is>
      </c>
      <c r="B224" s="10">
        <f>IF(A224="","",IFERROR(VLOOKUP(A224,Titres!$A$2:$B$400,2,FALSE),"Ticker inconnu"))</f>
        <v/>
      </c>
      <c r="C224" s="11" t="n">
        <v>2022</v>
      </c>
      <c r="D224" s="11" t="inlineStr">
        <is>
          <t>T1</t>
        </is>
      </c>
      <c r="E224" s="9" t="n"/>
      <c r="F224" s="12" t="n"/>
      <c r="G224" s="9" t="n"/>
      <c r="H224" s="13" t="n"/>
      <c r="I224" s="13" t="n"/>
      <c r="J224" s="13" t="n"/>
      <c r="K224" s="13" t="n"/>
      <c r="L224" s="13" t="n"/>
      <c r="M224" s="13" t="n"/>
      <c r="N224" s="13" t="n"/>
      <c r="O224" s="13" t="n"/>
      <c r="P224" s="14">
        <f>IF(A224="","",COUNT(H224:O224)/8)</f>
        <v/>
      </c>
      <c r="Q224" s="15">
        <f>IF(COUNT(H224:O224)=0,"",IF(LEN(IF(COUNT(H224,I224,J224)=3,IF(ABS(H224+I224-J224)&lt;=MAX(1,0.02*ABS(J224)),"","RBE &lt;&gt; PNB + frais "),"")&amp;IF(COUNT(J224,K224,L224)=3,IF(ABS(J224+K224-L224)&lt;=MAX(1,0.03*ABS(L224)),"","RAI &lt;&gt; RBE + coût du risque "),"")&amp;IF(COUNT(H224,M224)=2,IF(ABS(M224)&gt;ABS(H224),"RN &gt; PNB ",""),""))=0,"OK",IF(COUNT(H224,I224,J224)=3,IF(ABS(H224+I224-J224)&lt;=MAX(1,0.02*ABS(J224)),"","RBE &lt;&gt; PNB + frais "),"")&amp;IF(COUNT(J224,K224,L224)=3,IF(ABS(J224+K224-L224)&lt;=MAX(1,0.03*ABS(L224)),"","RAI &lt;&gt; RBE + coût du risque "),"")&amp;IF(COUNT(H224,M224)=2,IF(ABS(M224)&gt;ABS(H224),"RN &gt; PNB ",""),"")))</f>
        <v/>
      </c>
    </row>
    <row r="225">
      <c r="A225" s="9" t="inlineStr">
        <is>
          <t>SAFC</t>
        </is>
      </c>
      <c r="B225" s="10">
        <f>IF(A225="","",IFERROR(VLOOKUP(A225,Titres!$A$2:$B$400,2,FALSE),"Ticker inconnu"))</f>
        <v/>
      </c>
      <c r="C225" s="11" t="n">
        <v>2022</v>
      </c>
      <c r="D225" s="11" t="inlineStr">
        <is>
          <t>S1</t>
        </is>
      </c>
      <c r="E225" s="9" t="n"/>
      <c r="F225" s="12" t="n"/>
      <c r="G225" s="9" t="n"/>
      <c r="H225" s="13" t="n"/>
      <c r="I225" s="13" t="n"/>
      <c r="J225" s="13" t="n"/>
      <c r="K225" s="13" t="n"/>
      <c r="L225" s="13" t="n"/>
      <c r="M225" s="13" t="n"/>
      <c r="N225" s="13" t="n"/>
      <c r="O225" s="13" t="n"/>
      <c r="P225" s="14">
        <f>IF(A225="","",COUNT(H225:O225)/8)</f>
        <v/>
      </c>
      <c r="Q225" s="15">
        <f>IF(COUNT(H225:O225)=0,"",IF(LEN(IF(COUNT(H225,I225,J225)=3,IF(ABS(H225+I225-J225)&lt;=MAX(1,0.02*ABS(J225)),"","RBE &lt;&gt; PNB + frais "),"")&amp;IF(COUNT(J225,K225,L225)=3,IF(ABS(J225+K225-L225)&lt;=MAX(1,0.03*ABS(L225)),"","RAI &lt;&gt; RBE + coût du risque "),"")&amp;IF(COUNT(H225,M225)=2,IF(ABS(M225)&gt;ABS(H225),"RN &gt; PNB ",""),""))=0,"OK",IF(COUNT(H225,I225,J225)=3,IF(ABS(H225+I225-J225)&lt;=MAX(1,0.02*ABS(J225)),"","RBE &lt;&gt; PNB + frais "),"")&amp;IF(COUNT(J225,K225,L225)=3,IF(ABS(J225+K225-L225)&lt;=MAX(1,0.03*ABS(L225)),"","RAI &lt;&gt; RBE + coût du risque "),"")&amp;IF(COUNT(H225,M225)=2,IF(ABS(M225)&gt;ABS(H225),"RN &gt; PNB ",""),"")))</f>
        <v/>
      </c>
    </row>
    <row r="226">
      <c r="A226" s="9" t="inlineStr">
        <is>
          <t>SAFC</t>
        </is>
      </c>
      <c r="B226" s="10">
        <f>IF(A226="","",IFERROR(VLOOKUP(A226,Titres!$A$2:$B$400,2,FALSE),"Ticker inconnu"))</f>
        <v/>
      </c>
      <c r="C226" s="11" t="n">
        <v>2022</v>
      </c>
      <c r="D226" s="11" t="inlineStr">
        <is>
          <t>T3</t>
        </is>
      </c>
      <c r="E226" s="9" t="n"/>
      <c r="F226" s="12" t="n"/>
      <c r="G226" s="9" t="n"/>
      <c r="H226" s="13" t="n"/>
      <c r="I226" s="13" t="n"/>
      <c r="J226" s="13" t="n"/>
      <c r="K226" s="13" t="n"/>
      <c r="L226" s="13" t="n"/>
      <c r="M226" s="13" t="n"/>
      <c r="N226" s="13" t="n"/>
      <c r="O226" s="13" t="n"/>
      <c r="P226" s="14">
        <f>IF(A226="","",COUNT(H226:O226)/8)</f>
        <v/>
      </c>
      <c r="Q226" s="15">
        <f>IF(COUNT(H226:O226)=0,"",IF(LEN(IF(COUNT(H226,I226,J226)=3,IF(ABS(H226+I226-J226)&lt;=MAX(1,0.02*ABS(J226)),"","RBE &lt;&gt; PNB + frais "),"")&amp;IF(COUNT(J226,K226,L226)=3,IF(ABS(J226+K226-L226)&lt;=MAX(1,0.03*ABS(L226)),"","RAI &lt;&gt; RBE + coût du risque "),"")&amp;IF(COUNT(H226,M226)=2,IF(ABS(M226)&gt;ABS(H226),"RN &gt; PNB ",""),""))=0,"OK",IF(COUNT(H226,I226,J226)=3,IF(ABS(H226+I226-J226)&lt;=MAX(1,0.02*ABS(J226)),"","RBE &lt;&gt; PNB + frais "),"")&amp;IF(COUNT(J226,K226,L226)=3,IF(ABS(J226+K226-L226)&lt;=MAX(1,0.03*ABS(L226)),"","RAI &lt;&gt; RBE + coût du risque "),"")&amp;IF(COUNT(H226,M226)=2,IF(ABS(M226)&gt;ABS(H226),"RN &gt; PNB ",""),"")))</f>
        <v/>
      </c>
    </row>
    <row r="227">
      <c r="A227" s="9" t="inlineStr">
        <is>
          <t>SAFC</t>
        </is>
      </c>
      <c r="B227" s="10">
        <f>IF(A227="","",IFERROR(VLOOKUP(A227,Titres!$A$2:$B$400,2,FALSE),"Ticker inconnu"))</f>
        <v/>
      </c>
      <c r="C227" s="11" t="n">
        <v>2023</v>
      </c>
      <c r="D227" s="11" t="inlineStr">
        <is>
          <t>T1</t>
        </is>
      </c>
      <c r="E227" s="9" t="n"/>
      <c r="F227" s="12" t="n"/>
      <c r="G227" s="9" t="n"/>
      <c r="H227" s="13" t="n"/>
      <c r="I227" s="13" t="n"/>
      <c r="J227" s="13" t="n"/>
      <c r="K227" s="13" t="n"/>
      <c r="L227" s="13" t="n"/>
      <c r="M227" s="13" t="n"/>
      <c r="N227" s="13" t="n"/>
      <c r="O227" s="13" t="n"/>
      <c r="P227" s="14">
        <f>IF(A227="","",COUNT(H227:O227)/8)</f>
        <v/>
      </c>
      <c r="Q227" s="15">
        <f>IF(COUNT(H227:O227)=0,"",IF(LEN(IF(COUNT(H227,I227,J227)=3,IF(ABS(H227+I227-J227)&lt;=MAX(1,0.02*ABS(J227)),"","RBE &lt;&gt; PNB + frais "),"")&amp;IF(COUNT(J227,K227,L227)=3,IF(ABS(J227+K227-L227)&lt;=MAX(1,0.03*ABS(L227)),"","RAI &lt;&gt; RBE + coût du risque "),"")&amp;IF(COUNT(H227,M227)=2,IF(ABS(M227)&gt;ABS(H227),"RN &gt; PNB ",""),""))=0,"OK",IF(COUNT(H227,I227,J227)=3,IF(ABS(H227+I227-J227)&lt;=MAX(1,0.02*ABS(J227)),"","RBE &lt;&gt; PNB + frais "),"")&amp;IF(COUNT(J227,K227,L227)=3,IF(ABS(J227+K227-L227)&lt;=MAX(1,0.03*ABS(L227)),"","RAI &lt;&gt; RBE + coût du risque "),"")&amp;IF(COUNT(H227,M227)=2,IF(ABS(M227)&gt;ABS(H227),"RN &gt; PNB ",""),"")))</f>
        <v/>
      </c>
    </row>
    <row r="228">
      <c r="A228" s="9" t="inlineStr">
        <is>
          <t>SAFC</t>
        </is>
      </c>
      <c r="B228" s="10">
        <f>IF(A228="","",IFERROR(VLOOKUP(A228,Titres!$A$2:$B$400,2,FALSE),"Ticker inconnu"))</f>
        <v/>
      </c>
      <c r="C228" s="11" t="n">
        <v>2023</v>
      </c>
      <c r="D228" s="11" t="inlineStr">
        <is>
          <t>S1</t>
        </is>
      </c>
      <c r="E228" s="9" t="n"/>
      <c r="F228" s="12" t="n"/>
      <c r="G228" s="9" t="n"/>
      <c r="H228" s="13" t="n"/>
      <c r="I228" s="13" t="n"/>
      <c r="J228" s="13" t="n"/>
      <c r="K228" s="13" t="n"/>
      <c r="L228" s="13" t="n"/>
      <c r="M228" s="13" t="n"/>
      <c r="N228" s="13" t="n"/>
      <c r="O228" s="13" t="n"/>
      <c r="P228" s="14">
        <f>IF(A228="","",COUNT(H228:O228)/8)</f>
        <v/>
      </c>
      <c r="Q228" s="15">
        <f>IF(COUNT(H228:O228)=0,"",IF(LEN(IF(COUNT(H228,I228,J228)=3,IF(ABS(H228+I228-J228)&lt;=MAX(1,0.02*ABS(J228)),"","RBE &lt;&gt; PNB + frais "),"")&amp;IF(COUNT(J228,K228,L228)=3,IF(ABS(J228+K228-L228)&lt;=MAX(1,0.03*ABS(L228)),"","RAI &lt;&gt; RBE + coût du risque "),"")&amp;IF(COUNT(H228,M228)=2,IF(ABS(M228)&gt;ABS(H228),"RN &gt; PNB ",""),""))=0,"OK",IF(COUNT(H228,I228,J228)=3,IF(ABS(H228+I228-J228)&lt;=MAX(1,0.02*ABS(J228)),"","RBE &lt;&gt; PNB + frais "),"")&amp;IF(COUNT(J228,K228,L228)=3,IF(ABS(J228+K228-L228)&lt;=MAX(1,0.03*ABS(L228)),"","RAI &lt;&gt; RBE + coût du risque "),"")&amp;IF(COUNT(H228,M228)=2,IF(ABS(M228)&gt;ABS(H228),"RN &gt; PNB ",""),"")))</f>
        <v/>
      </c>
    </row>
    <row r="229">
      <c r="A229" s="9" t="inlineStr">
        <is>
          <t>SAFC</t>
        </is>
      </c>
      <c r="B229" s="10">
        <f>IF(A229="","",IFERROR(VLOOKUP(A229,Titres!$A$2:$B$400,2,FALSE),"Ticker inconnu"))</f>
        <v/>
      </c>
      <c r="C229" s="11" t="n">
        <v>2023</v>
      </c>
      <c r="D229" s="11" t="inlineStr">
        <is>
          <t>T3</t>
        </is>
      </c>
      <c r="E229" s="9" t="n"/>
      <c r="F229" s="12" t="n"/>
      <c r="G229" s="9" t="n"/>
      <c r="H229" s="13" t="n"/>
      <c r="I229" s="13" t="n"/>
      <c r="J229" s="13" t="n"/>
      <c r="K229" s="13" t="n"/>
      <c r="L229" s="13" t="n"/>
      <c r="M229" s="13" t="n"/>
      <c r="N229" s="13" t="n"/>
      <c r="O229" s="13" t="n"/>
      <c r="P229" s="14">
        <f>IF(A229="","",COUNT(H229:O229)/8)</f>
        <v/>
      </c>
      <c r="Q229" s="15">
        <f>IF(COUNT(H229:O229)=0,"",IF(LEN(IF(COUNT(H229,I229,J229)=3,IF(ABS(H229+I229-J229)&lt;=MAX(1,0.02*ABS(J229)),"","RBE &lt;&gt; PNB + frais "),"")&amp;IF(COUNT(J229,K229,L229)=3,IF(ABS(J229+K229-L229)&lt;=MAX(1,0.03*ABS(L229)),"","RAI &lt;&gt; RBE + coût du risque "),"")&amp;IF(COUNT(H229,M229)=2,IF(ABS(M229)&gt;ABS(H229),"RN &gt; PNB ",""),""))=0,"OK",IF(COUNT(H229,I229,J229)=3,IF(ABS(H229+I229-J229)&lt;=MAX(1,0.02*ABS(J229)),"","RBE &lt;&gt; PNB + frais "),"")&amp;IF(COUNT(J229,K229,L229)=3,IF(ABS(J229+K229-L229)&lt;=MAX(1,0.03*ABS(L229)),"","RAI &lt;&gt; RBE + coût du risque "),"")&amp;IF(COUNT(H229,M229)=2,IF(ABS(M229)&gt;ABS(H229),"RN &gt; PNB ",""),"")))</f>
        <v/>
      </c>
    </row>
    <row r="230">
      <c r="A230" s="9" t="inlineStr">
        <is>
          <t>SAFC</t>
        </is>
      </c>
      <c r="B230" s="10">
        <f>IF(A230="","",IFERROR(VLOOKUP(A230,Titres!$A$2:$B$400,2,FALSE),"Ticker inconnu"))</f>
        <v/>
      </c>
      <c r="C230" s="11" t="n">
        <v>2024</v>
      </c>
      <c r="D230" s="11" t="inlineStr">
        <is>
          <t>T1</t>
        </is>
      </c>
      <c r="E230" s="9" t="n"/>
      <c r="F230" s="12" t="n"/>
      <c r="G230" s="9" t="n"/>
      <c r="H230" s="13" t="n"/>
      <c r="I230" s="13" t="n"/>
      <c r="J230" s="13" t="n"/>
      <c r="K230" s="13" t="n"/>
      <c r="L230" s="13" t="n"/>
      <c r="M230" s="13" t="n"/>
      <c r="N230" s="13" t="n"/>
      <c r="O230" s="13" t="n"/>
      <c r="P230" s="14">
        <f>IF(A230="","",COUNT(H230:O230)/8)</f>
        <v/>
      </c>
      <c r="Q230" s="15">
        <f>IF(COUNT(H230:O230)=0,"",IF(LEN(IF(COUNT(H230,I230,J230)=3,IF(ABS(H230+I230-J230)&lt;=MAX(1,0.02*ABS(J230)),"","RBE &lt;&gt; PNB + frais "),"")&amp;IF(COUNT(J230,K230,L230)=3,IF(ABS(J230+K230-L230)&lt;=MAX(1,0.03*ABS(L230)),"","RAI &lt;&gt; RBE + coût du risque "),"")&amp;IF(COUNT(H230,M230)=2,IF(ABS(M230)&gt;ABS(H230),"RN &gt; PNB ",""),""))=0,"OK",IF(COUNT(H230,I230,J230)=3,IF(ABS(H230+I230-J230)&lt;=MAX(1,0.02*ABS(J230)),"","RBE &lt;&gt; PNB + frais "),"")&amp;IF(COUNT(J230,K230,L230)=3,IF(ABS(J230+K230-L230)&lt;=MAX(1,0.03*ABS(L230)),"","RAI &lt;&gt; RBE + coût du risque "),"")&amp;IF(COUNT(H230,M230)=2,IF(ABS(M230)&gt;ABS(H230),"RN &gt; PNB ",""),"")))</f>
        <v/>
      </c>
    </row>
    <row r="231">
      <c r="A231" s="9" t="inlineStr">
        <is>
          <t>SAFC</t>
        </is>
      </c>
      <c r="B231" s="10">
        <f>IF(A231="","",IFERROR(VLOOKUP(A231,Titres!$A$2:$B$400,2,FALSE),"Ticker inconnu"))</f>
        <v/>
      </c>
      <c r="C231" s="11" t="n">
        <v>2024</v>
      </c>
      <c r="D231" s="11" t="inlineStr">
        <is>
          <t>S1</t>
        </is>
      </c>
      <c r="E231" s="9" t="n"/>
      <c r="F231" s="12" t="n"/>
      <c r="G231" s="9" t="n"/>
      <c r="H231" s="13" t="n"/>
      <c r="I231" s="13" t="n"/>
      <c r="J231" s="13" t="n"/>
      <c r="K231" s="13" t="n"/>
      <c r="L231" s="13" t="n"/>
      <c r="M231" s="13" t="n"/>
      <c r="N231" s="13" t="n"/>
      <c r="O231" s="13" t="n"/>
      <c r="P231" s="14">
        <f>IF(A231="","",COUNT(H231:O231)/8)</f>
        <v/>
      </c>
      <c r="Q231" s="15">
        <f>IF(COUNT(H231:O231)=0,"",IF(LEN(IF(COUNT(H231,I231,J231)=3,IF(ABS(H231+I231-J231)&lt;=MAX(1,0.02*ABS(J231)),"","RBE &lt;&gt; PNB + frais "),"")&amp;IF(COUNT(J231,K231,L231)=3,IF(ABS(J231+K231-L231)&lt;=MAX(1,0.03*ABS(L231)),"","RAI &lt;&gt; RBE + coût du risque "),"")&amp;IF(COUNT(H231,M231)=2,IF(ABS(M231)&gt;ABS(H231),"RN &gt; PNB ",""),""))=0,"OK",IF(COUNT(H231,I231,J231)=3,IF(ABS(H231+I231-J231)&lt;=MAX(1,0.02*ABS(J231)),"","RBE &lt;&gt; PNB + frais "),"")&amp;IF(COUNT(J231,K231,L231)=3,IF(ABS(J231+K231-L231)&lt;=MAX(1,0.03*ABS(L231)),"","RAI &lt;&gt; RBE + coût du risque "),"")&amp;IF(COUNT(H231,M231)=2,IF(ABS(M231)&gt;ABS(H231),"RN &gt; PNB ",""),"")))</f>
        <v/>
      </c>
    </row>
    <row r="232">
      <c r="A232" s="9" t="inlineStr">
        <is>
          <t>SAFC</t>
        </is>
      </c>
      <c r="B232" s="10">
        <f>IF(A232="","",IFERROR(VLOOKUP(A232,Titres!$A$2:$B$400,2,FALSE),"Ticker inconnu"))</f>
        <v/>
      </c>
      <c r="C232" s="11" t="n">
        <v>2024</v>
      </c>
      <c r="D232" s="11" t="inlineStr">
        <is>
          <t>T3</t>
        </is>
      </c>
      <c r="E232" s="9" t="n"/>
      <c r="F232" s="12" t="n"/>
      <c r="G232" s="9" t="n"/>
      <c r="H232" s="13" t="n"/>
      <c r="I232" s="13" t="n"/>
      <c r="J232" s="13" t="n"/>
      <c r="K232" s="13" t="n"/>
      <c r="L232" s="13" t="n"/>
      <c r="M232" s="13" t="n"/>
      <c r="N232" s="13" t="n"/>
      <c r="O232" s="13" t="n"/>
      <c r="P232" s="14">
        <f>IF(A232="","",COUNT(H232:O232)/8)</f>
        <v/>
      </c>
      <c r="Q232" s="15">
        <f>IF(COUNT(H232:O232)=0,"",IF(LEN(IF(COUNT(H232,I232,J232)=3,IF(ABS(H232+I232-J232)&lt;=MAX(1,0.02*ABS(J232)),"","RBE &lt;&gt; PNB + frais "),"")&amp;IF(COUNT(J232,K232,L232)=3,IF(ABS(J232+K232-L232)&lt;=MAX(1,0.03*ABS(L232)),"","RAI &lt;&gt; RBE + coût du risque "),"")&amp;IF(COUNT(H232,M232)=2,IF(ABS(M232)&gt;ABS(H232),"RN &gt; PNB ",""),""))=0,"OK",IF(COUNT(H232,I232,J232)=3,IF(ABS(H232+I232-J232)&lt;=MAX(1,0.02*ABS(J232)),"","RBE &lt;&gt; PNB + frais "),"")&amp;IF(COUNT(J232,K232,L232)=3,IF(ABS(J232+K232-L232)&lt;=MAX(1,0.03*ABS(L232)),"","RAI &lt;&gt; RBE + coût du risque "),"")&amp;IF(COUNT(H232,M232)=2,IF(ABS(M232)&gt;ABS(H232),"RN &gt; PNB ",""),"")))</f>
        <v/>
      </c>
    </row>
    <row r="233">
      <c r="A233" s="9" t="inlineStr">
        <is>
          <t>SAFC</t>
        </is>
      </c>
      <c r="B233" s="10">
        <f>IF(A233="","",IFERROR(VLOOKUP(A233,Titres!$A$2:$B$400,2,FALSE),"Ticker inconnu"))</f>
        <v/>
      </c>
      <c r="C233" s="11" t="n">
        <v>2025</v>
      </c>
      <c r="D233" s="11" t="inlineStr">
        <is>
          <t>T1</t>
        </is>
      </c>
      <c r="E233" s="9" t="inlineStr">
        <is>
          <t>Publié</t>
        </is>
      </c>
      <c r="F233" s="12" t="n">
        <v>46153</v>
      </c>
      <c r="G233" s="9" t="inlineStr">
        <is>
          <t>https://www.richbourse.com/common/actualite/afficher-fichier/11-05-2026-safca-ci-rapport-dactivites-1er-trimestre-2026 (comparatif N-1)</t>
        </is>
      </c>
      <c r="H233" s="13" t="n">
        <v>1080</v>
      </c>
      <c r="I233" s="13" t="n"/>
      <c r="J233" s="13" t="n"/>
      <c r="K233" s="13" t="n">
        <v>-89</v>
      </c>
      <c r="L233" s="13" t="n"/>
      <c r="M233" s="13" t="n"/>
      <c r="N233" s="13" t="n"/>
      <c r="O233" s="13" t="n"/>
      <c r="P233" s="14">
        <f>IF(A233="","",COUNT(H233:O233)/8)</f>
        <v/>
      </c>
      <c r="Q233" s="15">
        <f>IF(COUNT(H233:O233)=0,"",IF(LEN(IF(COUNT(H233,I233,J233)=3,IF(ABS(H233+I233-J233)&lt;=MAX(1,0.02*ABS(J233)),"","RBE &lt;&gt; PNB + frais "),"")&amp;IF(COUNT(J233,K233,L233)=3,IF(ABS(J233+K233-L233)&lt;=MAX(1,0.03*ABS(L233)),"","RAI &lt;&gt; RBE + coût du risque "),"")&amp;IF(COUNT(H233,M233)=2,IF(ABS(M233)&gt;ABS(H233),"RN &gt; PNB ",""),""))=0,"OK",IF(COUNT(H233,I233,J233)=3,IF(ABS(H233+I233-J233)&lt;=MAX(1,0.02*ABS(J233)),"","RBE &lt;&gt; PNB + frais "),"")&amp;IF(COUNT(J233,K233,L233)=3,IF(ABS(J233+K233-L233)&lt;=MAX(1,0.03*ABS(L233)),"","RAI &lt;&gt; RBE + coût du risque "),"")&amp;IF(COUNT(H233,M233)=2,IF(ABS(M233)&gt;ABS(H233),"RN &gt; PNB ",""),"")))</f>
        <v/>
      </c>
    </row>
    <row r="234">
      <c r="A234" s="9" t="inlineStr">
        <is>
          <t>SAFC</t>
        </is>
      </c>
      <c r="B234" s="10">
        <f>IF(A234="","",IFERROR(VLOOKUP(A234,Titres!$A$2:$B$400,2,FALSE),"Ticker inconnu"))</f>
        <v/>
      </c>
      <c r="C234" s="11" t="n">
        <v>2025</v>
      </c>
      <c r="D234" s="11" t="inlineStr">
        <is>
          <t>S1</t>
        </is>
      </c>
      <c r="E234" s="9" t="n"/>
      <c r="F234" s="12" t="n"/>
      <c r="G234" s="9" t="n"/>
      <c r="H234" s="13" t="n"/>
      <c r="I234" s="13" t="n"/>
      <c r="J234" s="13" t="n"/>
      <c r="K234" s="13" t="n"/>
      <c r="L234" s="13" t="n"/>
      <c r="M234" s="13" t="n"/>
      <c r="N234" s="13" t="n"/>
      <c r="O234" s="13" t="n"/>
      <c r="P234" s="14">
        <f>IF(A234="","",COUNT(H234:O234)/8)</f>
        <v/>
      </c>
      <c r="Q234" s="15">
        <f>IF(COUNT(H234:O234)=0,"",IF(LEN(IF(COUNT(H234,I234,J234)=3,IF(ABS(H234+I234-J234)&lt;=MAX(1,0.02*ABS(J234)),"","RBE &lt;&gt; PNB + frais "),"")&amp;IF(COUNT(J234,K234,L234)=3,IF(ABS(J234+K234-L234)&lt;=MAX(1,0.03*ABS(L234)),"","RAI &lt;&gt; RBE + coût du risque "),"")&amp;IF(COUNT(H234,M234)=2,IF(ABS(M234)&gt;ABS(H234),"RN &gt; PNB ",""),""))=0,"OK",IF(COUNT(H234,I234,J234)=3,IF(ABS(H234+I234-J234)&lt;=MAX(1,0.02*ABS(J234)),"","RBE &lt;&gt; PNB + frais "),"")&amp;IF(COUNT(J234,K234,L234)=3,IF(ABS(J234+K234-L234)&lt;=MAX(1,0.03*ABS(L234)),"","RAI &lt;&gt; RBE + coût du risque "),"")&amp;IF(COUNT(H234,M234)=2,IF(ABS(M234)&gt;ABS(H234),"RN &gt; PNB ",""),"")))</f>
        <v/>
      </c>
    </row>
    <row r="235">
      <c r="A235" s="9" t="inlineStr">
        <is>
          <t>SAFC</t>
        </is>
      </c>
      <c r="B235" s="10">
        <f>IF(A235="","",IFERROR(VLOOKUP(A235,Titres!$A$2:$B$400,2,FALSE),"Ticker inconnu"))</f>
        <v/>
      </c>
      <c r="C235" s="11" t="n">
        <v>2025</v>
      </c>
      <c r="D235" s="11" t="inlineStr">
        <is>
          <t>T3</t>
        </is>
      </c>
      <c r="E235" s="9" t="n"/>
      <c r="F235" s="12" t="n"/>
      <c r="G235" s="9" t="n"/>
      <c r="H235" s="13" t="n"/>
      <c r="I235" s="13" t="n"/>
      <c r="J235" s="13" t="n"/>
      <c r="K235" s="13" t="n"/>
      <c r="L235" s="13" t="n"/>
      <c r="M235" s="13" t="n"/>
      <c r="N235" s="13" t="n"/>
      <c r="O235" s="13" t="n"/>
      <c r="P235" s="14">
        <f>IF(A235="","",COUNT(H235:O235)/8)</f>
        <v/>
      </c>
      <c r="Q235" s="15">
        <f>IF(COUNT(H235:O235)=0,"",IF(LEN(IF(COUNT(H235,I235,J235)=3,IF(ABS(H235+I235-J235)&lt;=MAX(1,0.02*ABS(J235)),"","RBE &lt;&gt; PNB + frais "),"")&amp;IF(COUNT(J235,K235,L235)=3,IF(ABS(J235+K235-L235)&lt;=MAX(1,0.03*ABS(L235)),"","RAI &lt;&gt; RBE + coût du risque "),"")&amp;IF(COUNT(H235,M235)=2,IF(ABS(M235)&gt;ABS(H235),"RN &gt; PNB ",""),""))=0,"OK",IF(COUNT(H235,I235,J235)=3,IF(ABS(H235+I235-J235)&lt;=MAX(1,0.02*ABS(J235)),"","RBE &lt;&gt; PNB + frais "),"")&amp;IF(COUNT(J235,K235,L235)=3,IF(ABS(J235+K235-L235)&lt;=MAX(1,0.03*ABS(L235)),"","RAI &lt;&gt; RBE + coût du risque "),"")&amp;IF(COUNT(H235,M235)=2,IF(ABS(M235)&gt;ABS(H235),"RN &gt; PNB ",""),"")))</f>
        <v/>
      </c>
    </row>
    <row r="236">
      <c r="A236" s="9" t="inlineStr">
        <is>
          <t>SAFC</t>
        </is>
      </c>
      <c r="B236" s="10">
        <f>IF(A236="","",IFERROR(VLOOKUP(A236,Titres!$A$2:$B$400,2,FALSE),"Ticker inconnu"))</f>
        <v/>
      </c>
      <c r="C236" s="11" t="n">
        <v>2026</v>
      </c>
      <c r="D236" s="11" t="inlineStr">
        <is>
          <t>T1</t>
        </is>
      </c>
      <c r="E236" s="9" t="inlineStr">
        <is>
          <t>Publié</t>
        </is>
      </c>
      <c r="F236" s="12" t="n">
        <v>46153</v>
      </c>
      <c r="G236" s="9" t="inlineStr">
        <is>
          <t>https://www.richbourse.com/common/actualite/afficher-fichier/11-05-2026-safca-ci-rapport-dactivites-1er-trimestre-2026</t>
        </is>
      </c>
      <c r="H236" s="13" t="n">
        <v>1395</v>
      </c>
      <c r="I236" s="13" t="n"/>
      <c r="J236" s="13" t="n"/>
      <c r="K236" s="13" t="n">
        <v>-22</v>
      </c>
      <c r="L236" s="13" t="n"/>
      <c r="M236" s="13" t="n"/>
      <c r="N236" s="13" t="n"/>
      <c r="O236" s="13" t="n"/>
      <c r="P236" s="14">
        <f>IF(A236="","",COUNT(H236:O236)/8)</f>
        <v/>
      </c>
      <c r="Q236" s="15">
        <f>IF(COUNT(H236:O236)=0,"",IF(LEN(IF(COUNT(H236,I236,J236)=3,IF(ABS(H236+I236-J236)&lt;=MAX(1,0.02*ABS(J236)),"","RBE &lt;&gt; PNB + frais "),"")&amp;IF(COUNT(J236,K236,L236)=3,IF(ABS(J236+K236-L236)&lt;=MAX(1,0.03*ABS(L236)),"","RAI &lt;&gt; RBE + coût du risque "),"")&amp;IF(COUNT(H236,M236)=2,IF(ABS(M236)&gt;ABS(H236),"RN &gt; PNB ",""),""))=0,"OK",IF(COUNT(H236,I236,J236)=3,IF(ABS(H236+I236-J236)&lt;=MAX(1,0.02*ABS(J236)),"","RBE &lt;&gt; PNB + frais "),"")&amp;IF(COUNT(J236,K236,L236)=3,IF(ABS(J236+K236-L236)&lt;=MAX(1,0.03*ABS(L236)),"","RAI &lt;&gt; RBE + coût du risque "),"")&amp;IF(COUNT(H236,M236)=2,IF(ABS(M236)&gt;ABS(H236),"RN &gt; PNB ",""),"")))</f>
        <v/>
      </c>
    </row>
    <row r="237">
      <c r="A237" s="9" t="inlineStr">
        <is>
          <t>SAFC</t>
        </is>
      </c>
      <c r="B237" s="10">
        <f>IF(A237="","",IFERROR(VLOOKUP(A237,Titres!$A$2:$B$400,2,FALSE),"Ticker inconnu"))</f>
        <v/>
      </c>
      <c r="C237" s="11" t="n">
        <v>2026</v>
      </c>
      <c r="D237" s="11" t="inlineStr">
        <is>
          <t>S1</t>
        </is>
      </c>
      <c r="E237" s="9" t="n"/>
      <c r="F237" s="12" t="n"/>
      <c r="G237" s="9" t="n"/>
      <c r="H237" s="13" t="n"/>
      <c r="I237" s="13" t="n"/>
      <c r="J237" s="13" t="n"/>
      <c r="K237" s="13" t="n"/>
      <c r="L237" s="13" t="n"/>
      <c r="M237" s="13" t="n"/>
      <c r="N237" s="13" t="n"/>
      <c r="O237" s="13" t="n"/>
      <c r="P237" s="14">
        <f>IF(A237="","",COUNT(H237:O237)/8)</f>
        <v/>
      </c>
      <c r="Q237" s="15">
        <f>IF(COUNT(H237:O237)=0,"",IF(LEN(IF(COUNT(H237,I237,J237)=3,IF(ABS(H237+I237-J237)&lt;=MAX(1,0.02*ABS(J237)),"","RBE &lt;&gt; PNB + frais "),"")&amp;IF(COUNT(J237,K237,L237)=3,IF(ABS(J237+K237-L237)&lt;=MAX(1,0.03*ABS(L237)),"","RAI &lt;&gt; RBE + coût du risque "),"")&amp;IF(COUNT(H237,M237)=2,IF(ABS(M237)&gt;ABS(H237),"RN &gt; PNB ",""),""))=0,"OK",IF(COUNT(H237,I237,J237)=3,IF(ABS(H237+I237-J237)&lt;=MAX(1,0.02*ABS(J237)),"","RBE &lt;&gt; PNB + frais "),"")&amp;IF(COUNT(J237,K237,L237)=3,IF(ABS(J237+K237-L237)&lt;=MAX(1,0.03*ABS(L237)),"","RAI &lt;&gt; RBE + coût du risque "),"")&amp;IF(COUNT(H237,M237)=2,IF(ABS(M237)&gt;ABS(H237),"RN &gt; PNB ",""),"")))</f>
        <v/>
      </c>
    </row>
    <row r="238">
      <c r="A238" s="9" t="inlineStr">
        <is>
          <t>SAFC</t>
        </is>
      </c>
      <c r="B238" s="10">
        <f>IF(A238="","",IFERROR(VLOOKUP(A238,Titres!$A$2:$B$400,2,FALSE),"Ticker inconnu"))</f>
        <v/>
      </c>
      <c r="C238" s="11" t="n">
        <v>2026</v>
      </c>
      <c r="D238" s="11" t="inlineStr">
        <is>
          <t>T3</t>
        </is>
      </c>
      <c r="E238" s="9" t="n"/>
      <c r="F238" s="12" t="n"/>
      <c r="G238" s="9" t="n"/>
      <c r="H238" s="13" t="n"/>
      <c r="I238" s="13" t="n"/>
      <c r="J238" s="13" t="n"/>
      <c r="K238" s="13" t="n"/>
      <c r="L238" s="13" t="n"/>
      <c r="M238" s="13" t="n"/>
      <c r="N238" s="13" t="n"/>
      <c r="O238" s="13" t="n"/>
      <c r="P238" s="14">
        <f>IF(A238="","",COUNT(H238:O238)/8)</f>
        <v/>
      </c>
      <c r="Q238" s="15">
        <f>IF(COUNT(H238:O238)=0,"",IF(LEN(IF(COUNT(H238,I238,J238)=3,IF(ABS(H238+I238-J238)&lt;=MAX(1,0.02*ABS(J238)),"","RBE &lt;&gt; PNB + frais "),"")&amp;IF(COUNT(J238,K238,L238)=3,IF(ABS(J238+K238-L238)&lt;=MAX(1,0.03*ABS(L238)),"","RAI &lt;&gt; RBE + coût du risque "),"")&amp;IF(COUNT(H238,M238)=2,IF(ABS(M238)&gt;ABS(H238),"RN &gt; PNB ",""),""))=0,"OK",IF(COUNT(H238,I238,J238)=3,IF(ABS(H238+I238-J238)&lt;=MAX(1,0.02*ABS(J238)),"","RBE &lt;&gt; PNB + frais "),"")&amp;IF(COUNT(J238,K238,L238)=3,IF(ABS(J238+K238-L238)&lt;=MAX(1,0.03*ABS(L238)),"","RAI &lt;&gt; RBE + coût du risque "),"")&amp;IF(COUNT(H238,M238)=2,IF(ABS(M238)&gt;ABS(H238),"RN &gt; PNB ",""),"")))</f>
        <v/>
      </c>
    </row>
    <row r="239">
      <c r="A239" s="9" t="inlineStr">
        <is>
          <t>SGBC</t>
        </is>
      </c>
      <c r="B239" s="10">
        <f>IF(A239="","",IFERROR(VLOOKUP(A239,Titres!$A$2:$B$400,2,FALSE),"Ticker inconnu"))</f>
        <v/>
      </c>
      <c r="C239" s="11" t="n">
        <v>2021</v>
      </c>
      <c r="D239" s="11" t="inlineStr">
        <is>
          <t>T1</t>
        </is>
      </c>
      <c r="E239" s="9" t="n"/>
      <c r="F239" s="12" t="n"/>
      <c r="G239" s="9" t="n"/>
      <c r="H239" s="13" t="n"/>
      <c r="I239" s="13" t="n"/>
      <c r="J239" s="13" t="n"/>
      <c r="K239" s="13" t="n"/>
      <c r="L239" s="13" t="n"/>
      <c r="M239" s="13" t="n"/>
      <c r="N239" s="13" t="n"/>
      <c r="O239" s="13" t="n"/>
      <c r="P239" s="14">
        <f>IF(A239="","",COUNT(H239:O239)/8)</f>
        <v/>
      </c>
      <c r="Q239" s="15">
        <f>IF(COUNT(H239:O239)=0,"",IF(LEN(IF(COUNT(H239,I239,J239)=3,IF(ABS(H239+I239-J239)&lt;=MAX(1,0.02*ABS(J239)),"","RBE &lt;&gt; PNB + frais "),"")&amp;IF(COUNT(J239,K239,L239)=3,IF(ABS(J239+K239-L239)&lt;=MAX(1,0.03*ABS(L239)),"","RAI &lt;&gt; RBE + coût du risque "),"")&amp;IF(COUNT(H239,M239)=2,IF(ABS(M239)&gt;ABS(H239),"RN &gt; PNB ",""),""))=0,"OK",IF(COUNT(H239,I239,J239)=3,IF(ABS(H239+I239-J239)&lt;=MAX(1,0.02*ABS(J239)),"","RBE &lt;&gt; PNB + frais "),"")&amp;IF(COUNT(J239,K239,L239)=3,IF(ABS(J239+K239-L239)&lt;=MAX(1,0.03*ABS(L239)),"","RAI &lt;&gt; RBE + coût du risque "),"")&amp;IF(COUNT(H239,M239)=2,IF(ABS(M239)&gt;ABS(H239),"RN &gt; PNB ",""),"")))</f>
        <v/>
      </c>
    </row>
    <row r="240">
      <c r="A240" s="9" t="inlineStr">
        <is>
          <t>SGBC</t>
        </is>
      </c>
      <c r="B240" s="10">
        <f>IF(A240="","",IFERROR(VLOOKUP(A240,Titres!$A$2:$B$400,2,FALSE),"Ticker inconnu"))</f>
        <v/>
      </c>
      <c r="C240" s="11" t="n">
        <v>2021</v>
      </c>
      <c r="D240" s="11" t="inlineStr">
        <is>
          <t>S1</t>
        </is>
      </c>
      <c r="E240" s="9" t="n"/>
      <c r="F240" s="12" t="n"/>
      <c r="G240" s="9" t="n"/>
      <c r="H240" s="13" t="n"/>
      <c r="I240" s="13" t="n"/>
      <c r="J240" s="13" t="n"/>
      <c r="K240" s="13" t="n"/>
      <c r="L240" s="13" t="n"/>
      <c r="M240" s="13" t="n"/>
      <c r="N240" s="13" t="n"/>
      <c r="O240" s="13" t="n"/>
      <c r="P240" s="14">
        <f>IF(A240="","",COUNT(H240:O240)/8)</f>
        <v/>
      </c>
      <c r="Q240" s="15">
        <f>IF(COUNT(H240:O240)=0,"",IF(LEN(IF(COUNT(H240,I240,J240)=3,IF(ABS(H240+I240-J240)&lt;=MAX(1,0.02*ABS(J240)),"","RBE &lt;&gt; PNB + frais "),"")&amp;IF(COUNT(J240,K240,L240)=3,IF(ABS(J240+K240-L240)&lt;=MAX(1,0.03*ABS(L240)),"","RAI &lt;&gt; RBE + coût du risque "),"")&amp;IF(COUNT(H240,M240)=2,IF(ABS(M240)&gt;ABS(H240),"RN &gt; PNB ",""),""))=0,"OK",IF(COUNT(H240,I240,J240)=3,IF(ABS(H240+I240-J240)&lt;=MAX(1,0.02*ABS(J240)),"","RBE &lt;&gt; PNB + frais "),"")&amp;IF(COUNT(J240,K240,L240)=3,IF(ABS(J240+K240-L240)&lt;=MAX(1,0.03*ABS(L240)),"","RAI &lt;&gt; RBE + coût du risque "),"")&amp;IF(COUNT(H240,M240)=2,IF(ABS(M240)&gt;ABS(H240),"RN &gt; PNB ",""),"")))</f>
        <v/>
      </c>
    </row>
    <row r="241">
      <c r="A241" s="9" t="inlineStr">
        <is>
          <t>SGBC</t>
        </is>
      </c>
      <c r="B241" s="10">
        <f>IF(A241="","",IFERROR(VLOOKUP(A241,Titres!$A$2:$B$400,2,FALSE),"Ticker inconnu"))</f>
        <v/>
      </c>
      <c r="C241" s="11" t="n">
        <v>2021</v>
      </c>
      <c r="D241" s="11" t="inlineStr">
        <is>
          <t>T3</t>
        </is>
      </c>
      <c r="E241" s="9" t="n"/>
      <c r="F241" s="12" t="n"/>
      <c r="G241" s="9" t="n"/>
      <c r="H241" s="13" t="n"/>
      <c r="I241" s="13" t="n"/>
      <c r="J241" s="13" t="n"/>
      <c r="K241" s="13" t="n"/>
      <c r="L241" s="13" t="n"/>
      <c r="M241" s="13" t="n"/>
      <c r="N241" s="13" t="n"/>
      <c r="O241" s="13" t="n"/>
      <c r="P241" s="14">
        <f>IF(A241="","",COUNT(H241:O241)/8)</f>
        <v/>
      </c>
      <c r="Q241" s="15">
        <f>IF(COUNT(H241:O241)=0,"",IF(LEN(IF(COUNT(H241,I241,J241)=3,IF(ABS(H241+I241-J241)&lt;=MAX(1,0.02*ABS(J241)),"","RBE &lt;&gt; PNB + frais "),"")&amp;IF(COUNT(J241,K241,L241)=3,IF(ABS(J241+K241-L241)&lt;=MAX(1,0.03*ABS(L241)),"","RAI &lt;&gt; RBE + coût du risque "),"")&amp;IF(COUNT(H241,M241)=2,IF(ABS(M241)&gt;ABS(H241),"RN &gt; PNB ",""),""))=0,"OK",IF(COUNT(H241,I241,J241)=3,IF(ABS(H241+I241-J241)&lt;=MAX(1,0.02*ABS(J241)),"","RBE &lt;&gt; PNB + frais "),"")&amp;IF(COUNT(J241,K241,L241)=3,IF(ABS(J241+K241-L241)&lt;=MAX(1,0.03*ABS(L241)),"","RAI &lt;&gt; RBE + coût du risque "),"")&amp;IF(COUNT(H241,M241)=2,IF(ABS(M241)&gt;ABS(H241),"RN &gt; PNB ",""),"")))</f>
        <v/>
      </c>
    </row>
    <row r="242">
      <c r="A242" s="9" t="inlineStr">
        <is>
          <t>SGBC</t>
        </is>
      </c>
      <c r="B242" s="10">
        <f>IF(A242="","",IFERROR(VLOOKUP(A242,Titres!$A$2:$B$400,2,FALSE),"Ticker inconnu"))</f>
        <v/>
      </c>
      <c r="C242" s="11" t="n">
        <v>2022</v>
      </c>
      <c r="D242" s="11" t="inlineStr">
        <is>
          <t>T1</t>
        </is>
      </c>
      <c r="E242" s="9" t="n"/>
      <c r="F242" s="12" t="n"/>
      <c r="G242" s="9" t="n"/>
      <c r="H242" s="13" t="n"/>
      <c r="I242" s="13" t="n"/>
      <c r="J242" s="13" t="n"/>
      <c r="K242" s="13" t="n"/>
      <c r="L242" s="13" t="n"/>
      <c r="M242" s="13" t="n"/>
      <c r="N242" s="13" t="n"/>
      <c r="O242" s="13" t="n"/>
      <c r="P242" s="14">
        <f>IF(A242="","",COUNT(H242:O242)/8)</f>
        <v/>
      </c>
      <c r="Q242" s="15">
        <f>IF(COUNT(H242:O242)=0,"",IF(LEN(IF(COUNT(H242,I242,J242)=3,IF(ABS(H242+I242-J242)&lt;=MAX(1,0.02*ABS(J242)),"","RBE &lt;&gt; PNB + frais "),"")&amp;IF(COUNT(J242,K242,L242)=3,IF(ABS(J242+K242-L242)&lt;=MAX(1,0.03*ABS(L242)),"","RAI &lt;&gt; RBE + coût du risque "),"")&amp;IF(COUNT(H242,M242)=2,IF(ABS(M242)&gt;ABS(H242),"RN &gt; PNB ",""),""))=0,"OK",IF(COUNT(H242,I242,J242)=3,IF(ABS(H242+I242-J242)&lt;=MAX(1,0.02*ABS(J242)),"","RBE &lt;&gt; PNB + frais "),"")&amp;IF(COUNT(J242,K242,L242)=3,IF(ABS(J242+K242-L242)&lt;=MAX(1,0.03*ABS(L242)),"","RAI &lt;&gt; RBE + coût du risque "),"")&amp;IF(COUNT(H242,M242)=2,IF(ABS(M242)&gt;ABS(H242),"RN &gt; PNB ",""),"")))</f>
        <v/>
      </c>
    </row>
    <row r="243">
      <c r="A243" s="9" t="inlineStr">
        <is>
          <t>SGBC</t>
        </is>
      </c>
      <c r="B243" s="10">
        <f>IF(A243="","",IFERROR(VLOOKUP(A243,Titres!$A$2:$B$400,2,FALSE),"Ticker inconnu"))</f>
        <v/>
      </c>
      <c r="C243" s="11" t="n">
        <v>2022</v>
      </c>
      <c r="D243" s="11" t="inlineStr">
        <is>
          <t>S1</t>
        </is>
      </c>
      <c r="E243" s="9" t="n"/>
      <c r="F243" s="12" t="n"/>
      <c r="G243" s="9" t="n"/>
      <c r="H243" s="13" t="n"/>
      <c r="I243" s="13" t="n"/>
      <c r="J243" s="13" t="n"/>
      <c r="K243" s="13" t="n"/>
      <c r="L243" s="13" t="n"/>
      <c r="M243" s="13" t="n"/>
      <c r="N243" s="13" t="n"/>
      <c r="O243" s="13" t="n"/>
      <c r="P243" s="14">
        <f>IF(A243="","",COUNT(H243:O243)/8)</f>
        <v/>
      </c>
      <c r="Q243" s="15">
        <f>IF(COUNT(H243:O243)=0,"",IF(LEN(IF(COUNT(H243,I243,J243)=3,IF(ABS(H243+I243-J243)&lt;=MAX(1,0.02*ABS(J243)),"","RBE &lt;&gt; PNB + frais "),"")&amp;IF(COUNT(J243,K243,L243)=3,IF(ABS(J243+K243-L243)&lt;=MAX(1,0.03*ABS(L243)),"","RAI &lt;&gt; RBE + coût du risque "),"")&amp;IF(COUNT(H243,M243)=2,IF(ABS(M243)&gt;ABS(H243),"RN &gt; PNB ",""),""))=0,"OK",IF(COUNT(H243,I243,J243)=3,IF(ABS(H243+I243-J243)&lt;=MAX(1,0.02*ABS(J243)),"","RBE &lt;&gt; PNB + frais "),"")&amp;IF(COUNT(J243,K243,L243)=3,IF(ABS(J243+K243-L243)&lt;=MAX(1,0.03*ABS(L243)),"","RAI &lt;&gt; RBE + coût du risque "),"")&amp;IF(COUNT(H243,M243)=2,IF(ABS(M243)&gt;ABS(H243),"RN &gt; PNB ",""),"")))</f>
        <v/>
      </c>
    </row>
    <row r="244">
      <c r="A244" s="9" t="inlineStr">
        <is>
          <t>SGBC</t>
        </is>
      </c>
      <c r="B244" s="10">
        <f>IF(A244="","",IFERROR(VLOOKUP(A244,Titres!$A$2:$B$400,2,FALSE),"Ticker inconnu"))</f>
        <v/>
      </c>
      <c r="C244" s="11" t="n">
        <v>2022</v>
      </c>
      <c r="D244" s="11" t="inlineStr">
        <is>
          <t>T3</t>
        </is>
      </c>
      <c r="E244" s="9" t="n"/>
      <c r="F244" s="12" t="n"/>
      <c r="G244" s="9" t="n"/>
      <c r="H244" s="13" t="n"/>
      <c r="I244" s="13" t="n"/>
      <c r="J244" s="13" t="n"/>
      <c r="K244" s="13" t="n"/>
      <c r="L244" s="13" t="n"/>
      <c r="M244" s="13" t="n"/>
      <c r="N244" s="13" t="n"/>
      <c r="O244" s="13" t="n"/>
      <c r="P244" s="14">
        <f>IF(A244="","",COUNT(H244:O244)/8)</f>
        <v/>
      </c>
      <c r="Q244" s="15">
        <f>IF(COUNT(H244:O244)=0,"",IF(LEN(IF(COUNT(H244,I244,J244)=3,IF(ABS(H244+I244-J244)&lt;=MAX(1,0.02*ABS(J244)),"","RBE &lt;&gt; PNB + frais "),"")&amp;IF(COUNT(J244,K244,L244)=3,IF(ABS(J244+K244-L244)&lt;=MAX(1,0.03*ABS(L244)),"","RAI &lt;&gt; RBE + coût du risque "),"")&amp;IF(COUNT(H244,M244)=2,IF(ABS(M244)&gt;ABS(H244),"RN &gt; PNB ",""),""))=0,"OK",IF(COUNT(H244,I244,J244)=3,IF(ABS(H244+I244-J244)&lt;=MAX(1,0.02*ABS(J244)),"","RBE &lt;&gt; PNB + frais "),"")&amp;IF(COUNT(J244,K244,L244)=3,IF(ABS(J244+K244-L244)&lt;=MAX(1,0.03*ABS(L244)),"","RAI &lt;&gt; RBE + coût du risque "),"")&amp;IF(COUNT(H244,M244)=2,IF(ABS(M244)&gt;ABS(H244),"RN &gt; PNB ",""),"")))</f>
        <v/>
      </c>
    </row>
    <row r="245">
      <c r="A245" s="9" t="inlineStr">
        <is>
          <t>SGBC</t>
        </is>
      </c>
      <c r="B245" s="10">
        <f>IF(A245="","",IFERROR(VLOOKUP(A245,Titres!$A$2:$B$400,2,FALSE),"Ticker inconnu"))</f>
        <v/>
      </c>
      <c r="C245" s="11" t="n">
        <v>2023</v>
      </c>
      <c r="D245" s="11" t="inlineStr">
        <is>
          <t>T1</t>
        </is>
      </c>
      <c r="E245" s="9" t="n"/>
      <c r="F245" s="12" t="n"/>
      <c r="G245" s="9" t="n"/>
      <c r="H245" s="13" t="n"/>
      <c r="I245" s="13" t="n"/>
      <c r="J245" s="13" t="n"/>
      <c r="K245" s="13" t="n"/>
      <c r="L245" s="13" t="n"/>
      <c r="M245" s="13" t="n"/>
      <c r="N245" s="13" t="n"/>
      <c r="O245" s="13" t="n"/>
      <c r="P245" s="14">
        <f>IF(A245="","",COUNT(H245:O245)/8)</f>
        <v/>
      </c>
      <c r="Q245" s="15">
        <f>IF(COUNT(H245:O245)=0,"",IF(LEN(IF(COUNT(H245,I245,J245)=3,IF(ABS(H245+I245-J245)&lt;=MAX(1,0.02*ABS(J245)),"","RBE &lt;&gt; PNB + frais "),"")&amp;IF(COUNT(J245,K245,L245)=3,IF(ABS(J245+K245-L245)&lt;=MAX(1,0.03*ABS(L245)),"","RAI &lt;&gt; RBE + coût du risque "),"")&amp;IF(COUNT(H245,M245)=2,IF(ABS(M245)&gt;ABS(H245),"RN &gt; PNB ",""),""))=0,"OK",IF(COUNT(H245,I245,J245)=3,IF(ABS(H245+I245-J245)&lt;=MAX(1,0.02*ABS(J245)),"","RBE &lt;&gt; PNB + frais "),"")&amp;IF(COUNT(J245,K245,L245)=3,IF(ABS(J245+K245-L245)&lt;=MAX(1,0.03*ABS(L245)),"","RAI &lt;&gt; RBE + coût du risque "),"")&amp;IF(COUNT(H245,M245)=2,IF(ABS(M245)&gt;ABS(H245),"RN &gt; PNB ",""),"")))</f>
        <v/>
      </c>
    </row>
    <row r="246">
      <c r="A246" s="9" t="inlineStr">
        <is>
          <t>SGBC</t>
        </is>
      </c>
      <c r="B246" s="10">
        <f>IF(A246="","",IFERROR(VLOOKUP(A246,Titres!$A$2:$B$400,2,FALSE),"Ticker inconnu"))</f>
        <v/>
      </c>
      <c r="C246" s="11" t="n">
        <v>2023</v>
      </c>
      <c r="D246" s="11" t="inlineStr">
        <is>
          <t>S1</t>
        </is>
      </c>
      <c r="E246" s="9" t="n"/>
      <c r="F246" s="12" t="n"/>
      <c r="G246" s="9" t="n"/>
      <c r="H246" s="13" t="n"/>
      <c r="I246" s="13" t="n"/>
      <c r="J246" s="13" t="n"/>
      <c r="K246" s="13" t="n"/>
      <c r="L246" s="13" t="n"/>
      <c r="M246" s="13" t="n"/>
      <c r="N246" s="13" t="n"/>
      <c r="O246" s="13" t="n"/>
      <c r="P246" s="14">
        <f>IF(A246="","",COUNT(H246:O246)/8)</f>
        <v/>
      </c>
      <c r="Q246" s="15">
        <f>IF(COUNT(H246:O246)=0,"",IF(LEN(IF(COUNT(H246,I246,J246)=3,IF(ABS(H246+I246-J246)&lt;=MAX(1,0.02*ABS(J246)),"","RBE &lt;&gt; PNB + frais "),"")&amp;IF(COUNT(J246,K246,L246)=3,IF(ABS(J246+K246-L246)&lt;=MAX(1,0.03*ABS(L246)),"","RAI &lt;&gt; RBE + coût du risque "),"")&amp;IF(COUNT(H246,M246)=2,IF(ABS(M246)&gt;ABS(H246),"RN &gt; PNB ",""),""))=0,"OK",IF(COUNT(H246,I246,J246)=3,IF(ABS(H246+I246-J246)&lt;=MAX(1,0.02*ABS(J246)),"","RBE &lt;&gt; PNB + frais "),"")&amp;IF(COUNT(J246,K246,L246)=3,IF(ABS(J246+K246-L246)&lt;=MAX(1,0.03*ABS(L246)),"","RAI &lt;&gt; RBE + coût du risque "),"")&amp;IF(COUNT(H246,M246)=2,IF(ABS(M246)&gt;ABS(H246),"RN &gt; PNB ",""),"")))</f>
        <v/>
      </c>
    </row>
    <row r="247">
      <c r="A247" s="9" t="inlineStr">
        <is>
          <t>SGBC</t>
        </is>
      </c>
      <c r="B247" s="10">
        <f>IF(A247="","",IFERROR(VLOOKUP(A247,Titres!$A$2:$B$400,2,FALSE),"Ticker inconnu"))</f>
        <v/>
      </c>
      <c r="C247" s="11" t="n">
        <v>2023</v>
      </c>
      <c r="D247" s="11" t="inlineStr">
        <is>
          <t>T3</t>
        </is>
      </c>
      <c r="E247" s="9" t="n"/>
      <c r="F247" s="12" t="n"/>
      <c r="G247" s="9" t="n"/>
      <c r="H247" s="13" t="n"/>
      <c r="I247" s="13" t="n"/>
      <c r="J247" s="13" t="n"/>
      <c r="K247" s="13" t="n"/>
      <c r="L247" s="13" t="n"/>
      <c r="M247" s="13" t="n"/>
      <c r="N247" s="13" t="n"/>
      <c r="O247" s="13" t="n"/>
      <c r="P247" s="14">
        <f>IF(A247="","",COUNT(H247:O247)/8)</f>
        <v/>
      </c>
      <c r="Q247" s="15">
        <f>IF(COUNT(H247:O247)=0,"",IF(LEN(IF(COUNT(H247,I247,J247)=3,IF(ABS(H247+I247-J247)&lt;=MAX(1,0.02*ABS(J247)),"","RBE &lt;&gt; PNB + frais "),"")&amp;IF(COUNT(J247,K247,L247)=3,IF(ABS(J247+K247-L247)&lt;=MAX(1,0.03*ABS(L247)),"","RAI &lt;&gt; RBE + coût du risque "),"")&amp;IF(COUNT(H247,M247)=2,IF(ABS(M247)&gt;ABS(H247),"RN &gt; PNB ",""),""))=0,"OK",IF(COUNT(H247,I247,J247)=3,IF(ABS(H247+I247-J247)&lt;=MAX(1,0.02*ABS(J247)),"","RBE &lt;&gt; PNB + frais "),"")&amp;IF(COUNT(J247,K247,L247)=3,IF(ABS(J247+K247-L247)&lt;=MAX(1,0.03*ABS(L247)),"","RAI &lt;&gt; RBE + coût du risque "),"")&amp;IF(COUNT(H247,M247)=2,IF(ABS(M247)&gt;ABS(H247),"RN &gt; PNB ",""),"")))</f>
        <v/>
      </c>
    </row>
    <row r="248">
      <c r="A248" s="9" t="inlineStr">
        <is>
          <t>SGBC</t>
        </is>
      </c>
      <c r="B248" s="10">
        <f>IF(A248="","",IFERROR(VLOOKUP(A248,Titres!$A$2:$B$400,2,FALSE),"Ticker inconnu"))</f>
        <v/>
      </c>
      <c r="C248" s="11" t="n">
        <v>2024</v>
      </c>
      <c r="D248" s="11" t="inlineStr">
        <is>
          <t>T1</t>
        </is>
      </c>
      <c r="E248" s="9" t="n"/>
      <c r="F248" s="12" t="n"/>
      <c r="G248" s="9" t="n"/>
      <c r="H248" s="13" t="n"/>
      <c r="I248" s="13" t="n"/>
      <c r="J248" s="13" t="n"/>
      <c r="K248" s="13" t="n"/>
      <c r="L248" s="13" t="n"/>
      <c r="M248" s="13" t="n"/>
      <c r="N248" s="13" t="n"/>
      <c r="O248" s="13" t="n"/>
      <c r="P248" s="14">
        <f>IF(A248="","",COUNT(H248:O248)/8)</f>
        <v/>
      </c>
      <c r="Q248" s="15">
        <f>IF(COUNT(H248:O248)=0,"",IF(LEN(IF(COUNT(H248,I248,J248)=3,IF(ABS(H248+I248-J248)&lt;=MAX(1,0.02*ABS(J248)),"","RBE &lt;&gt; PNB + frais "),"")&amp;IF(COUNT(J248,K248,L248)=3,IF(ABS(J248+K248-L248)&lt;=MAX(1,0.03*ABS(L248)),"","RAI &lt;&gt; RBE + coût du risque "),"")&amp;IF(COUNT(H248,M248)=2,IF(ABS(M248)&gt;ABS(H248),"RN &gt; PNB ",""),""))=0,"OK",IF(COUNT(H248,I248,J248)=3,IF(ABS(H248+I248-J248)&lt;=MAX(1,0.02*ABS(J248)),"","RBE &lt;&gt; PNB + frais "),"")&amp;IF(COUNT(J248,K248,L248)=3,IF(ABS(J248+K248-L248)&lt;=MAX(1,0.03*ABS(L248)),"","RAI &lt;&gt; RBE + coût du risque "),"")&amp;IF(COUNT(H248,M248)=2,IF(ABS(M248)&gt;ABS(H248),"RN &gt; PNB ",""),"")))</f>
        <v/>
      </c>
    </row>
    <row r="249">
      <c r="A249" s="9" t="inlineStr">
        <is>
          <t>SGBC</t>
        </is>
      </c>
      <c r="B249" s="10">
        <f>IF(A249="","",IFERROR(VLOOKUP(A249,Titres!$A$2:$B$400,2,FALSE),"Ticker inconnu"))</f>
        <v/>
      </c>
      <c r="C249" s="11" t="n">
        <v>2024</v>
      </c>
      <c r="D249" s="11" t="inlineStr">
        <is>
          <t>S1</t>
        </is>
      </c>
      <c r="E249" s="9" t="n"/>
      <c r="F249" s="12" t="n"/>
      <c r="G249" s="9" t="n"/>
      <c r="H249" s="13" t="n"/>
      <c r="I249" s="13" t="n"/>
      <c r="J249" s="13" t="n"/>
      <c r="K249" s="13" t="n"/>
      <c r="L249" s="13" t="n"/>
      <c r="M249" s="13" t="n"/>
      <c r="N249" s="13" t="n"/>
      <c r="O249" s="13" t="n"/>
      <c r="P249" s="14">
        <f>IF(A249="","",COUNT(H249:O249)/8)</f>
        <v/>
      </c>
      <c r="Q249" s="15">
        <f>IF(COUNT(H249:O249)=0,"",IF(LEN(IF(COUNT(H249,I249,J249)=3,IF(ABS(H249+I249-J249)&lt;=MAX(1,0.02*ABS(J249)),"","RBE &lt;&gt; PNB + frais "),"")&amp;IF(COUNT(J249,K249,L249)=3,IF(ABS(J249+K249-L249)&lt;=MAX(1,0.03*ABS(L249)),"","RAI &lt;&gt; RBE + coût du risque "),"")&amp;IF(COUNT(H249,M249)=2,IF(ABS(M249)&gt;ABS(H249),"RN &gt; PNB ",""),""))=0,"OK",IF(COUNT(H249,I249,J249)=3,IF(ABS(H249+I249-J249)&lt;=MAX(1,0.02*ABS(J249)),"","RBE &lt;&gt; PNB + frais "),"")&amp;IF(COUNT(J249,K249,L249)=3,IF(ABS(J249+K249-L249)&lt;=MAX(1,0.03*ABS(L249)),"","RAI &lt;&gt; RBE + coût du risque "),"")&amp;IF(COUNT(H249,M249)=2,IF(ABS(M249)&gt;ABS(H249),"RN &gt; PNB ",""),"")))</f>
        <v/>
      </c>
    </row>
    <row r="250">
      <c r="A250" s="9" t="inlineStr">
        <is>
          <t>SGBC</t>
        </is>
      </c>
      <c r="B250" s="10">
        <f>IF(A250="","",IFERROR(VLOOKUP(A250,Titres!$A$2:$B$400,2,FALSE),"Ticker inconnu"))</f>
        <v/>
      </c>
      <c r="C250" s="11" t="n">
        <v>2024</v>
      </c>
      <c r="D250" s="11" t="inlineStr">
        <is>
          <t>T3</t>
        </is>
      </c>
      <c r="E250" s="9" t="n"/>
      <c r="F250" s="12" t="n"/>
      <c r="G250" s="9" t="n"/>
      <c r="H250" s="13" t="n"/>
      <c r="I250" s="13" t="n"/>
      <c r="J250" s="13" t="n"/>
      <c r="K250" s="13" t="n"/>
      <c r="L250" s="13" t="n"/>
      <c r="M250" s="13" t="n"/>
      <c r="N250" s="13" t="n"/>
      <c r="O250" s="13" t="n"/>
      <c r="P250" s="14">
        <f>IF(A250="","",COUNT(H250:O250)/8)</f>
        <v/>
      </c>
      <c r="Q250" s="15">
        <f>IF(COUNT(H250:O250)=0,"",IF(LEN(IF(COUNT(H250,I250,J250)=3,IF(ABS(H250+I250-J250)&lt;=MAX(1,0.02*ABS(J250)),"","RBE &lt;&gt; PNB + frais "),"")&amp;IF(COUNT(J250,K250,L250)=3,IF(ABS(J250+K250-L250)&lt;=MAX(1,0.03*ABS(L250)),"","RAI &lt;&gt; RBE + coût du risque "),"")&amp;IF(COUNT(H250,M250)=2,IF(ABS(M250)&gt;ABS(H250),"RN &gt; PNB ",""),""))=0,"OK",IF(COUNT(H250,I250,J250)=3,IF(ABS(H250+I250-J250)&lt;=MAX(1,0.02*ABS(J250)),"","RBE &lt;&gt; PNB + frais "),"")&amp;IF(COUNT(J250,K250,L250)=3,IF(ABS(J250+K250-L250)&lt;=MAX(1,0.03*ABS(L250)),"","RAI &lt;&gt; RBE + coût du risque "),"")&amp;IF(COUNT(H250,M250)=2,IF(ABS(M250)&gt;ABS(H250),"RN &gt; PNB ",""),"")))</f>
        <v/>
      </c>
    </row>
    <row r="251">
      <c r="A251" s="9" t="inlineStr">
        <is>
          <t>SGBC</t>
        </is>
      </c>
      <c r="B251" s="10">
        <f>IF(A251="","",IFERROR(VLOOKUP(A251,Titres!$A$2:$B$400,2,FALSE),"Ticker inconnu"))</f>
        <v/>
      </c>
      <c r="C251" s="11" t="n">
        <v>2025</v>
      </c>
      <c r="D251" s="11" t="inlineStr">
        <is>
          <t>T1</t>
        </is>
      </c>
      <c r="E251" s="9" t="n"/>
      <c r="F251" s="12" t="n"/>
      <c r="G251" s="9" t="n"/>
      <c r="H251" s="13" t="n"/>
      <c r="I251" s="13" t="n"/>
      <c r="J251" s="13" t="n"/>
      <c r="K251" s="13" t="n"/>
      <c r="L251" s="13" t="n"/>
      <c r="M251" s="13" t="n"/>
      <c r="N251" s="13" t="n"/>
      <c r="O251" s="13" t="n"/>
      <c r="P251" s="14">
        <f>IF(A251="","",COUNT(H251:O251)/8)</f>
        <v/>
      </c>
      <c r="Q251" s="15">
        <f>IF(COUNT(H251:O251)=0,"",IF(LEN(IF(COUNT(H251,I251,J251)=3,IF(ABS(H251+I251-J251)&lt;=MAX(1,0.02*ABS(J251)),"","RBE &lt;&gt; PNB + frais "),"")&amp;IF(COUNT(J251,K251,L251)=3,IF(ABS(J251+K251-L251)&lt;=MAX(1,0.03*ABS(L251)),"","RAI &lt;&gt; RBE + coût du risque "),"")&amp;IF(COUNT(H251,M251)=2,IF(ABS(M251)&gt;ABS(H251),"RN &gt; PNB ",""),""))=0,"OK",IF(COUNT(H251,I251,J251)=3,IF(ABS(H251+I251-J251)&lt;=MAX(1,0.02*ABS(J251)),"","RBE &lt;&gt; PNB + frais "),"")&amp;IF(COUNT(J251,K251,L251)=3,IF(ABS(J251+K251-L251)&lt;=MAX(1,0.03*ABS(L251)),"","RAI &lt;&gt; RBE + coût du risque "),"")&amp;IF(COUNT(H251,M251)=2,IF(ABS(M251)&gt;ABS(H251),"RN &gt; PNB ",""),"")))</f>
        <v/>
      </c>
    </row>
    <row r="252">
      <c r="A252" s="9" t="inlineStr">
        <is>
          <t>SGBC</t>
        </is>
      </c>
      <c r="B252" s="10">
        <f>IF(A252="","",IFERROR(VLOOKUP(A252,Titres!$A$2:$B$400,2,FALSE),"Ticker inconnu"))</f>
        <v/>
      </c>
      <c r="C252" s="11" t="n">
        <v>2025</v>
      </c>
      <c r="D252" s="11" t="inlineStr">
        <is>
          <t>S1</t>
        </is>
      </c>
      <c r="E252" s="9" t="inlineStr">
        <is>
          <t>Publié</t>
        </is>
      </c>
      <c r="F252" s="12" t="n">
        <v>46265</v>
      </c>
      <c r="G252" s="9" t="inlineStr">
        <is>
          <t>https://www.richbourse.com/common/actualite/afficher-fichier/31-08-2026-societe-generale-ci-rapport-d-activites-1er-semestre-2026 (comparatif N-1)</t>
        </is>
      </c>
      <c r="H252" s="13" t="n">
        <v>132011</v>
      </c>
      <c r="I252" s="13" t="n">
        <v>-51391</v>
      </c>
      <c r="J252" s="13" t="n">
        <v>80620</v>
      </c>
      <c r="K252" s="13" t="n">
        <v>-18359</v>
      </c>
      <c r="L252" s="13" t="n">
        <v>65712</v>
      </c>
      <c r="M252" s="13" t="n">
        <v>53077</v>
      </c>
      <c r="N252" s="13" t="n">
        <v>2417505</v>
      </c>
      <c r="O252" s="13" t="n">
        <v>2934739</v>
      </c>
      <c r="P252" s="14">
        <f>IF(A252="","",COUNT(H252:O252)/8)</f>
        <v/>
      </c>
      <c r="Q252" s="15">
        <f>IF(COUNT(H252:O252)=0,"",IF(LEN(IF(COUNT(H252,I252,J252)=3,IF(ABS(H252+I252-J252)&lt;=MAX(1,0.02*ABS(J252)),"","RBE &lt;&gt; PNB + frais "),"")&amp;IF(COUNT(J252,K252,L252)=3,IF(ABS(J252+K252-L252)&lt;=MAX(1,0.03*ABS(L252)),"","RAI &lt;&gt; RBE + coût du risque "),"")&amp;IF(COUNT(H252,M252)=2,IF(ABS(M252)&gt;ABS(H252),"RN &gt; PNB ",""),""))=0,"OK",IF(COUNT(H252,I252,J252)=3,IF(ABS(H252+I252-J252)&lt;=MAX(1,0.02*ABS(J252)),"","RBE &lt;&gt; PNB + frais "),"")&amp;IF(COUNT(J252,K252,L252)=3,IF(ABS(J252+K252-L252)&lt;=MAX(1,0.03*ABS(L252)),"","RAI &lt;&gt; RBE + coût du risque "),"")&amp;IF(COUNT(H252,M252)=2,IF(ABS(M252)&gt;ABS(H252),"RN &gt; PNB ",""),"")))</f>
        <v/>
      </c>
    </row>
    <row r="253">
      <c r="A253" s="9" t="inlineStr">
        <is>
          <t>SGBC</t>
        </is>
      </c>
      <c r="B253" s="10">
        <f>IF(A253="","",IFERROR(VLOOKUP(A253,Titres!$A$2:$B$400,2,FALSE),"Ticker inconnu"))</f>
        <v/>
      </c>
      <c r="C253" s="11" t="n">
        <v>2025</v>
      </c>
      <c r="D253" s="11" t="inlineStr">
        <is>
          <t>T3</t>
        </is>
      </c>
      <c r="E253" s="9" t="n"/>
      <c r="F253" s="12" t="n"/>
      <c r="G253" s="9" t="n"/>
      <c r="H253" s="13" t="n"/>
      <c r="I253" s="13" t="n"/>
      <c r="J253" s="13" t="n"/>
      <c r="K253" s="13" t="n"/>
      <c r="L253" s="13" t="n"/>
      <c r="M253" s="13" t="n"/>
      <c r="N253" s="13" t="n"/>
      <c r="O253" s="13" t="n"/>
      <c r="P253" s="14">
        <f>IF(A253="","",COUNT(H253:O253)/8)</f>
        <v/>
      </c>
      <c r="Q253" s="15">
        <f>IF(COUNT(H253:O253)=0,"",IF(LEN(IF(COUNT(H253,I253,J253)=3,IF(ABS(H253+I253-J253)&lt;=MAX(1,0.02*ABS(J253)),"","RBE &lt;&gt; PNB + frais "),"")&amp;IF(COUNT(J253,K253,L253)=3,IF(ABS(J253+K253-L253)&lt;=MAX(1,0.03*ABS(L253)),"","RAI &lt;&gt; RBE + coût du risque "),"")&amp;IF(COUNT(H253,M253)=2,IF(ABS(M253)&gt;ABS(H253),"RN &gt; PNB ",""),""))=0,"OK",IF(COUNT(H253,I253,J253)=3,IF(ABS(H253+I253-J253)&lt;=MAX(1,0.02*ABS(J253)),"","RBE &lt;&gt; PNB + frais "),"")&amp;IF(COUNT(J253,K253,L253)=3,IF(ABS(J253+K253-L253)&lt;=MAX(1,0.03*ABS(L253)),"","RAI &lt;&gt; RBE + coût du risque "),"")&amp;IF(COUNT(H253,M253)=2,IF(ABS(M253)&gt;ABS(H253),"RN &gt; PNB ",""),"")))</f>
        <v/>
      </c>
    </row>
    <row r="254">
      <c r="A254" s="9" t="inlineStr">
        <is>
          <t>SGBC</t>
        </is>
      </c>
      <c r="B254" s="10">
        <f>IF(A254="","",IFERROR(VLOOKUP(A254,Titres!$A$2:$B$400,2,FALSE),"Ticker inconnu"))</f>
        <v/>
      </c>
      <c r="C254" s="11" t="n">
        <v>2026</v>
      </c>
      <c r="D254" s="11" t="inlineStr">
        <is>
          <t>T1</t>
        </is>
      </c>
      <c r="E254" s="9" t="n"/>
      <c r="F254" s="12" t="n"/>
      <c r="G254" s="9" t="n"/>
      <c r="H254" s="13" t="n"/>
      <c r="I254" s="13" t="n"/>
      <c r="J254" s="13" t="n"/>
      <c r="K254" s="13" t="n"/>
      <c r="L254" s="13" t="n"/>
      <c r="M254" s="13" t="n"/>
      <c r="N254" s="13" t="n"/>
      <c r="O254" s="13" t="n"/>
      <c r="P254" s="14">
        <f>IF(A254="","",COUNT(H254:O254)/8)</f>
        <v/>
      </c>
      <c r="Q254" s="15">
        <f>IF(COUNT(H254:O254)=0,"",IF(LEN(IF(COUNT(H254,I254,J254)=3,IF(ABS(H254+I254-J254)&lt;=MAX(1,0.02*ABS(J254)),"","RBE &lt;&gt; PNB + frais "),"")&amp;IF(COUNT(J254,K254,L254)=3,IF(ABS(J254+K254-L254)&lt;=MAX(1,0.03*ABS(L254)),"","RAI &lt;&gt; RBE + coût du risque "),"")&amp;IF(COUNT(H254,M254)=2,IF(ABS(M254)&gt;ABS(H254),"RN &gt; PNB ",""),""))=0,"OK",IF(COUNT(H254,I254,J254)=3,IF(ABS(H254+I254-J254)&lt;=MAX(1,0.02*ABS(J254)),"","RBE &lt;&gt; PNB + frais "),"")&amp;IF(COUNT(J254,K254,L254)=3,IF(ABS(J254+K254-L254)&lt;=MAX(1,0.03*ABS(L254)),"","RAI &lt;&gt; RBE + coût du risque "),"")&amp;IF(COUNT(H254,M254)=2,IF(ABS(M254)&gt;ABS(H254),"RN &gt; PNB ",""),"")))</f>
        <v/>
      </c>
    </row>
    <row r="255">
      <c r="A255" s="9" t="inlineStr">
        <is>
          <t>SGBC</t>
        </is>
      </c>
      <c r="B255" s="10">
        <f>IF(A255="","",IFERROR(VLOOKUP(A255,Titres!$A$2:$B$400,2,FALSE),"Ticker inconnu"))</f>
        <v/>
      </c>
      <c r="C255" s="11" t="n">
        <v>2026</v>
      </c>
      <c r="D255" s="11" t="inlineStr">
        <is>
          <t>S1</t>
        </is>
      </c>
      <c r="E255" s="9" t="inlineStr">
        <is>
          <t>Publié</t>
        </is>
      </c>
      <c r="F255" s="12" t="n">
        <v>46265</v>
      </c>
      <c r="G255" s="9" t="inlineStr">
        <is>
          <t>https://www.richbourse.com/common/actualite/afficher-fichier/31-08-2026-societe-generale-ci-rapport-d-activites-1er-semestre-2026</t>
        </is>
      </c>
      <c r="H255" s="13" t="n">
        <v>134059</v>
      </c>
      <c r="I255" s="13" t="n">
        <v>-49137</v>
      </c>
      <c r="J255" s="13" t="n">
        <v>84922</v>
      </c>
      <c r="K255" s="13" t="n">
        <v>-20030</v>
      </c>
      <c r="L255" s="13" t="n">
        <v>66306</v>
      </c>
      <c r="M255" s="13" t="n">
        <v>53350</v>
      </c>
      <c r="N255" s="13" t="n">
        <v>2581361</v>
      </c>
      <c r="O255" s="13" t="n">
        <v>3066575</v>
      </c>
      <c r="P255" s="14">
        <f>IF(A255="","",COUNT(H255:O255)/8)</f>
        <v/>
      </c>
      <c r="Q255" s="15">
        <f>IF(COUNT(H255:O255)=0,"",IF(LEN(IF(COUNT(H255,I255,J255)=3,IF(ABS(H255+I255-J255)&lt;=MAX(1,0.02*ABS(J255)),"","RBE &lt;&gt; PNB + frais "),"")&amp;IF(COUNT(J255,K255,L255)=3,IF(ABS(J255+K255-L255)&lt;=MAX(1,0.03*ABS(L255)),"","RAI &lt;&gt; RBE + coût du risque "),"")&amp;IF(COUNT(H255,M255)=2,IF(ABS(M255)&gt;ABS(H255),"RN &gt; PNB ",""),""))=0,"OK",IF(COUNT(H255,I255,J255)=3,IF(ABS(H255+I255-J255)&lt;=MAX(1,0.02*ABS(J255)),"","RBE &lt;&gt; PNB + frais "),"")&amp;IF(COUNT(J255,K255,L255)=3,IF(ABS(J255+K255-L255)&lt;=MAX(1,0.03*ABS(L255)),"","RAI &lt;&gt; RBE + coût du risque "),"")&amp;IF(COUNT(H255,M255)=2,IF(ABS(M255)&gt;ABS(H255),"RN &gt; PNB ",""),"")))</f>
        <v/>
      </c>
    </row>
    <row r="256">
      <c r="A256" s="9" t="inlineStr">
        <is>
          <t>SGBC</t>
        </is>
      </c>
      <c r="B256" s="10">
        <f>IF(A256="","",IFERROR(VLOOKUP(A256,Titres!$A$2:$B$400,2,FALSE),"Ticker inconnu"))</f>
        <v/>
      </c>
      <c r="C256" s="11" t="n">
        <v>2026</v>
      </c>
      <c r="D256" s="11" t="inlineStr">
        <is>
          <t>T3</t>
        </is>
      </c>
      <c r="E256" s="9" t="n"/>
      <c r="F256" s="12" t="n"/>
      <c r="G256" s="9" t="n"/>
      <c r="H256" s="13" t="n"/>
      <c r="I256" s="13" t="n"/>
      <c r="J256" s="13" t="n"/>
      <c r="K256" s="13" t="n"/>
      <c r="L256" s="13" t="n"/>
      <c r="M256" s="13" t="n"/>
      <c r="N256" s="13" t="n"/>
      <c r="O256" s="13" t="n"/>
      <c r="P256" s="14">
        <f>IF(A256="","",COUNT(H256:O256)/8)</f>
        <v/>
      </c>
      <c r="Q256" s="15">
        <f>IF(COUNT(H256:O256)=0,"",IF(LEN(IF(COUNT(H256,I256,J256)=3,IF(ABS(H256+I256-J256)&lt;=MAX(1,0.02*ABS(J256)),"","RBE &lt;&gt; PNB + frais "),"")&amp;IF(COUNT(J256,K256,L256)=3,IF(ABS(J256+K256-L256)&lt;=MAX(1,0.03*ABS(L256)),"","RAI &lt;&gt; RBE + coût du risque "),"")&amp;IF(COUNT(H256,M256)=2,IF(ABS(M256)&gt;ABS(H256),"RN &gt; PNB ",""),""))=0,"OK",IF(COUNT(H256,I256,J256)=3,IF(ABS(H256+I256-J256)&lt;=MAX(1,0.02*ABS(J256)),"","RBE &lt;&gt; PNB + frais "),"")&amp;IF(COUNT(J256,K256,L256)=3,IF(ABS(J256+K256-L256)&lt;=MAX(1,0.03*ABS(L256)),"","RAI &lt;&gt; RBE + coût du risque "),"")&amp;IF(COUNT(H256,M256)=2,IF(ABS(M256)&gt;ABS(H256),"RN &gt; PNB ",""),"")))</f>
        <v/>
      </c>
    </row>
    <row r="257">
      <c r="A257" s="9" t="inlineStr">
        <is>
          <t>SIBC</t>
        </is>
      </c>
      <c r="B257" s="10">
        <f>IF(A257="","",IFERROR(VLOOKUP(A257,Titres!$A$2:$B$400,2,FALSE),"Ticker inconnu"))</f>
        <v/>
      </c>
      <c r="C257" s="11" t="n">
        <v>2021</v>
      </c>
      <c r="D257" s="11" t="inlineStr">
        <is>
          <t>T1</t>
        </is>
      </c>
      <c r="E257" s="9" t="n"/>
      <c r="F257" s="12" t="n"/>
      <c r="G257" s="9" t="n"/>
      <c r="H257" s="13" t="n"/>
      <c r="I257" s="13" t="n"/>
      <c r="J257" s="13" t="n"/>
      <c r="K257" s="13" t="n"/>
      <c r="L257" s="13" t="n"/>
      <c r="M257" s="13" t="n"/>
      <c r="N257" s="13" t="n"/>
      <c r="O257" s="13" t="n"/>
      <c r="P257" s="14">
        <f>IF(A257="","",COUNT(H257:O257)/8)</f>
        <v/>
      </c>
      <c r="Q257" s="15">
        <f>IF(COUNT(H257:O257)=0,"",IF(LEN(IF(COUNT(H257,I257,J257)=3,IF(ABS(H257+I257-J257)&lt;=MAX(1,0.02*ABS(J257)),"","RBE &lt;&gt; PNB + frais "),"")&amp;IF(COUNT(J257,K257,L257)=3,IF(ABS(J257+K257-L257)&lt;=MAX(1,0.03*ABS(L257)),"","RAI &lt;&gt; RBE + coût du risque "),"")&amp;IF(COUNT(H257,M257)=2,IF(ABS(M257)&gt;ABS(H257),"RN &gt; PNB ",""),""))=0,"OK",IF(COUNT(H257,I257,J257)=3,IF(ABS(H257+I257-J257)&lt;=MAX(1,0.02*ABS(J257)),"","RBE &lt;&gt; PNB + frais "),"")&amp;IF(COUNT(J257,K257,L257)=3,IF(ABS(J257+K257-L257)&lt;=MAX(1,0.03*ABS(L257)),"","RAI &lt;&gt; RBE + coût du risque "),"")&amp;IF(COUNT(H257,M257)=2,IF(ABS(M257)&gt;ABS(H257),"RN &gt; PNB ",""),"")))</f>
        <v/>
      </c>
    </row>
    <row r="258">
      <c r="A258" s="9" t="inlineStr">
        <is>
          <t>SIBC</t>
        </is>
      </c>
      <c r="B258" s="10">
        <f>IF(A258="","",IFERROR(VLOOKUP(A258,Titres!$A$2:$B$400,2,FALSE),"Ticker inconnu"))</f>
        <v/>
      </c>
      <c r="C258" s="11" t="n">
        <v>2021</v>
      </c>
      <c r="D258" s="11" t="inlineStr">
        <is>
          <t>S1</t>
        </is>
      </c>
      <c r="E258" s="9" t="n"/>
      <c r="F258" s="12" t="n"/>
      <c r="G258" s="9" t="n"/>
      <c r="H258" s="13" t="n"/>
      <c r="I258" s="13" t="n"/>
      <c r="J258" s="13" t="n"/>
      <c r="K258" s="13" t="n"/>
      <c r="L258" s="13" t="n"/>
      <c r="M258" s="13" t="n"/>
      <c r="N258" s="13" t="n"/>
      <c r="O258" s="13" t="n"/>
      <c r="P258" s="14">
        <f>IF(A258="","",COUNT(H258:O258)/8)</f>
        <v/>
      </c>
      <c r="Q258" s="15">
        <f>IF(COUNT(H258:O258)=0,"",IF(LEN(IF(COUNT(H258,I258,J258)=3,IF(ABS(H258+I258-J258)&lt;=MAX(1,0.02*ABS(J258)),"","RBE &lt;&gt; PNB + frais "),"")&amp;IF(COUNT(J258,K258,L258)=3,IF(ABS(J258+K258-L258)&lt;=MAX(1,0.03*ABS(L258)),"","RAI &lt;&gt; RBE + coût du risque "),"")&amp;IF(COUNT(H258,M258)=2,IF(ABS(M258)&gt;ABS(H258),"RN &gt; PNB ",""),""))=0,"OK",IF(COUNT(H258,I258,J258)=3,IF(ABS(H258+I258-J258)&lt;=MAX(1,0.02*ABS(J258)),"","RBE &lt;&gt; PNB + frais "),"")&amp;IF(COUNT(J258,K258,L258)=3,IF(ABS(J258+K258-L258)&lt;=MAX(1,0.03*ABS(L258)),"","RAI &lt;&gt; RBE + coût du risque "),"")&amp;IF(COUNT(H258,M258)=2,IF(ABS(M258)&gt;ABS(H258),"RN &gt; PNB ",""),"")))</f>
        <v/>
      </c>
    </row>
    <row r="259">
      <c r="A259" s="9" t="inlineStr">
        <is>
          <t>SIBC</t>
        </is>
      </c>
      <c r="B259" s="10">
        <f>IF(A259="","",IFERROR(VLOOKUP(A259,Titres!$A$2:$B$400,2,FALSE),"Ticker inconnu"))</f>
        <v/>
      </c>
      <c r="C259" s="11" t="n">
        <v>2021</v>
      </c>
      <c r="D259" s="11" t="inlineStr">
        <is>
          <t>T3</t>
        </is>
      </c>
      <c r="E259" s="9" t="n"/>
      <c r="F259" s="12" t="n"/>
      <c r="G259" s="9" t="n"/>
      <c r="H259" s="13" t="n"/>
      <c r="I259" s="13" t="n"/>
      <c r="J259" s="13" t="n"/>
      <c r="K259" s="13" t="n"/>
      <c r="L259" s="13" t="n"/>
      <c r="M259" s="13" t="n"/>
      <c r="N259" s="13" t="n"/>
      <c r="O259" s="13" t="n"/>
      <c r="P259" s="14">
        <f>IF(A259="","",COUNT(H259:O259)/8)</f>
        <v/>
      </c>
      <c r="Q259" s="15">
        <f>IF(COUNT(H259:O259)=0,"",IF(LEN(IF(COUNT(H259,I259,J259)=3,IF(ABS(H259+I259-J259)&lt;=MAX(1,0.02*ABS(J259)),"","RBE &lt;&gt; PNB + frais "),"")&amp;IF(COUNT(J259,K259,L259)=3,IF(ABS(J259+K259-L259)&lt;=MAX(1,0.03*ABS(L259)),"","RAI &lt;&gt; RBE + coût du risque "),"")&amp;IF(COUNT(H259,M259)=2,IF(ABS(M259)&gt;ABS(H259),"RN &gt; PNB ",""),""))=0,"OK",IF(COUNT(H259,I259,J259)=3,IF(ABS(H259+I259-J259)&lt;=MAX(1,0.02*ABS(J259)),"","RBE &lt;&gt; PNB + frais "),"")&amp;IF(COUNT(J259,K259,L259)=3,IF(ABS(J259+K259-L259)&lt;=MAX(1,0.03*ABS(L259)),"","RAI &lt;&gt; RBE + coût du risque "),"")&amp;IF(COUNT(H259,M259)=2,IF(ABS(M259)&gt;ABS(H259),"RN &gt; PNB ",""),"")))</f>
        <v/>
      </c>
    </row>
    <row r="260">
      <c r="A260" s="9" t="inlineStr">
        <is>
          <t>SIBC</t>
        </is>
      </c>
      <c r="B260" s="10">
        <f>IF(A260="","",IFERROR(VLOOKUP(A260,Titres!$A$2:$B$400,2,FALSE),"Ticker inconnu"))</f>
        <v/>
      </c>
      <c r="C260" s="11" t="n">
        <v>2022</v>
      </c>
      <c r="D260" s="11" t="inlineStr">
        <is>
          <t>T1</t>
        </is>
      </c>
      <c r="E260" s="9" t="n"/>
      <c r="F260" s="12" t="n"/>
      <c r="G260" s="9" t="n"/>
      <c r="H260" s="13" t="n"/>
      <c r="I260" s="13" t="n"/>
      <c r="J260" s="13" t="n"/>
      <c r="K260" s="13" t="n"/>
      <c r="L260" s="13" t="n"/>
      <c r="M260" s="13" t="n"/>
      <c r="N260" s="13" t="n"/>
      <c r="O260" s="13" t="n"/>
      <c r="P260" s="14">
        <f>IF(A260="","",COUNT(H260:O260)/8)</f>
        <v/>
      </c>
      <c r="Q260" s="15">
        <f>IF(COUNT(H260:O260)=0,"",IF(LEN(IF(COUNT(H260,I260,J260)=3,IF(ABS(H260+I260-J260)&lt;=MAX(1,0.02*ABS(J260)),"","RBE &lt;&gt; PNB + frais "),"")&amp;IF(COUNT(J260,K260,L260)=3,IF(ABS(J260+K260-L260)&lt;=MAX(1,0.03*ABS(L260)),"","RAI &lt;&gt; RBE + coût du risque "),"")&amp;IF(COUNT(H260,M260)=2,IF(ABS(M260)&gt;ABS(H260),"RN &gt; PNB ",""),""))=0,"OK",IF(COUNT(H260,I260,J260)=3,IF(ABS(H260+I260-J260)&lt;=MAX(1,0.02*ABS(J260)),"","RBE &lt;&gt; PNB + frais "),"")&amp;IF(COUNT(J260,K260,L260)=3,IF(ABS(J260+K260-L260)&lt;=MAX(1,0.03*ABS(L260)),"","RAI &lt;&gt; RBE + coût du risque "),"")&amp;IF(COUNT(H260,M260)=2,IF(ABS(M260)&gt;ABS(H260),"RN &gt; PNB ",""),"")))</f>
        <v/>
      </c>
    </row>
    <row r="261">
      <c r="A261" s="9" t="inlineStr">
        <is>
          <t>SIBC</t>
        </is>
      </c>
      <c r="B261" s="10">
        <f>IF(A261="","",IFERROR(VLOOKUP(A261,Titres!$A$2:$B$400,2,FALSE),"Ticker inconnu"))</f>
        <v/>
      </c>
      <c r="C261" s="11" t="n">
        <v>2022</v>
      </c>
      <c r="D261" s="11" t="inlineStr">
        <is>
          <t>S1</t>
        </is>
      </c>
      <c r="E261" s="9" t="n"/>
      <c r="F261" s="12" t="n"/>
      <c r="G261" s="9" t="n"/>
      <c r="H261" s="13" t="n"/>
      <c r="I261" s="13" t="n"/>
      <c r="J261" s="13" t="n"/>
      <c r="K261" s="13" t="n"/>
      <c r="L261" s="13" t="n"/>
      <c r="M261" s="13" t="n"/>
      <c r="N261" s="13" t="n"/>
      <c r="O261" s="13" t="n"/>
      <c r="P261" s="14">
        <f>IF(A261="","",COUNT(H261:O261)/8)</f>
        <v/>
      </c>
      <c r="Q261" s="15">
        <f>IF(COUNT(H261:O261)=0,"",IF(LEN(IF(COUNT(H261,I261,J261)=3,IF(ABS(H261+I261-J261)&lt;=MAX(1,0.02*ABS(J261)),"","RBE &lt;&gt; PNB + frais "),"")&amp;IF(COUNT(J261,K261,L261)=3,IF(ABS(J261+K261-L261)&lt;=MAX(1,0.03*ABS(L261)),"","RAI &lt;&gt; RBE + coût du risque "),"")&amp;IF(COUNT(H261,M261)=2,IF(ABS(M261)&gt;ABS(H261),"RN &gt; PNB ",""),""))=0,"OK",IF(COUNT(H261,I261,J261)=3,IF(ABS(H261+I261-J261)&lt;=MAX(1,0.02*ABS(J261)),"","RBE &lt;&gt; PNB + frais "),"")&amp;IF(COUNT(J261,K261,L261)=3,IF(ABS(J261+K261-L261)&lt;=MAX(1,0.03*ABS(L261)),"","RAI &lt;&gt; RBE + coût du risque "),"")&amp;IF(COUNT(H261,M261)=2,IF(ABS(M261)&gt;ABS(H261),"RN &gt; PNB ",""),"")))</f>
        <v/>
      </c>
    </row>
    <row r="262">
      <c r="A262" s="9" t="inlineStr">
        <is>
          <t>SIBC</t>
        </is>
      </c>
      <c r="B262" s="10">
        <f>IF(A262="","",IFERROR(VLOOKUP(A262,Titres!$A$2:$B$400,2,FALSE),"Ticker inconnu"))</f>
        <v/>
      </c>
      <c r="C262" s="11" t="n">
        <v>2022</v>
      </c>
      <c r="D262" s="11" t="inlineStr">
        <is>
          <t>T3</t>
        </is>
      </c>
      <c r="E262" s="9" t="n"/>
      <c r="F262" s="12" t="n"/>
      <c r="G262" s="9" t="n"/>
      <c r="H262" s="13" t="n"/>
      <c r="I262" s="13" t="n"/>
      <c r="J262" s="13" t="n"/>
      <c r="K262" s="13" t="n"/>
      <c r="L262" s="13" t="n"/>
      <c r="M262" s="13" t="n"/>
      <c r="N262" s="13" t="n"/>
      <c r="O262" s="13" t="n"/>
      <c r="P262" s="14">
        <f>IF(A262="","",COUNT(H262:O262)/8)</f>
        <v/>
      </c>
      <c r="Q262" s="15">
        <f>IF(COUNT(H262:O262)=0,"",IF(LEN(IF(COUNT(H262,I262,J262)=3,IF(ABS(H262+I262-J262)&lt;=MAX(1,0.02*ABS(J262)),"","RBE &lt;&gt; PNB + frais "),"")&amp;IF(COUNT(J262,K262,L262)=3,IF(ABS(J262+K262-L262)&lt;=MAX(1,0.03*ABS(L262)),"","RAI &lt;&gt; RBE + coût du risque "),"")&amp;IF(COUNT(H262,M262)=2,IF(ABS(M262)&gt;ABS(H262),"RN &gt; PNB ",""),""))=0,"OK",IF(COUNT(H262,I262,J262)=3,IF(ABS(H262+I262-J262)&lt;=MAX(1,0.02*ABS(J262)),"","RBE &lt;&gt; PNB + frais "),"")&amp;IF(COUNT(J262,K262,L262)=3,IF(ABS(J262+K262-L262)&lt;=MAX(1,0.03*ABS(L262)),"","RAI &lt;&gt; RBE + coût du risque "),"")&amp;IF(COUNT(H262,M262)=2,IF(ABS(M262)&gt;ABS(H262),"RN &gt; PNB ",""),"")))</f>
        <v/>
      </c>
    </row>
    <row r="263">
      <c r="A263" s="9" t="inlineStr">
        <is>
          <t>SIBC</t>
        </is>
      </c>
      <c r="B263" s="10">
        <f>IF(A263="","",IFERROR(VLOOKUP(A263,Titres!$A$2:$B$400,2,FALSE),"Ticker inconnu"))</f>
        <v/>
      </c>
      <c r="C263" s="11" t="n">
        <v>2023</v>
      </c>
      <c r="D263" s="11" t="inlineStr">
        <is>
          <t>T1</t>
        </is>
      </c>
      <c r="E263" s="9" t="n"/>
      <c r="F263" s="12" t="n"/>
      <c r="G263" s="9" t="n"/>
      <c r="H263" s="13" t="n"/>
      <c r="I263" s="13" t="n"/>
      <c r="J263" s="13" t="n"/>
      <c r="K263" s="13" t="n"/>
      <c r="L263" s="13" t="n"/>
      <c r="M263" s="13" t="n"/>
      <c r="N263" s="13" t="n"/>
      <c r="O263" s="13" t="n"/>
      <c r="P263" s="14">
        <f>IF(A263="","",COUNT(H263:O263)/8)</f>
        <v/>
      </c>
      <c r="Q263" s="15">
        <f>IF(COUNT(H263:O263)=0,"",IF(LEN(IF(COUNT(H263,I263,J263)=3,IF(ABS(H263+I263-J263)&lt;=MAX(1,0.02*ABS(J263)),"","RBE &lt;&gt; PNB + frais "),"")&amp;IF(COUNT(J263,K263,L263)=3,IF(ABS(J263+K263-L263)&lt;=MAX(1,0.03*ABS(L263)),"","RAI &lt;&gt; RBE + coût du risque "),"")&amp;IF(COUNT(H263,M263)=2,IF(ABS(M263)&gt;ABS(H263),"RN &gt; PNB ",""),""))=0,"OK",IF(COUNT(H263,I263,J263)=3,IF(ABS(H263+I263-J263)&lt;=MAX(1,0.02*ABS(J263)),"","RBE &lt;&gt; PNB + frais "),"")&amp;IF(COUNT(J263,K263,L263)=3,IF(ABS(J263+K263-L263)&lt;=MAX(1,0.03*ABS(L263)),"","RAI &lt;&gt; RBE + coût du risque "),"")&amp;IF(COUNT(H263,M263)=2,IF(ABS(M263)&gt;ABS(H263),"RN &gt; PNB ",""),"")))</f>
        <v/>
      </c>
    </row>
    <row r="264">
      <c r="A264" s="9" t="inlineStr">
        <is>
          <t>SIBC</t>
        </is>
      </c>
      <c r="B264" s="10">
        <f>IF(A264="","",IFERROR(VLOOKUP(A264,Titres!$A$2:$B$400,2,FALSE),"Ticker inconnu"))</f>
        <v/>
      </c>
      <c r="C264" s="11" t="n">
        <v>2023</v>
      </c>
      <c r="D264" s="11" t="inlineStr">
        <is>
          <t>S1</t>
        </is>
      </c>
      <c r="E264" s="9" t="n"/>
      <c r="F264" s="12" t="n"/>
      <c r="G264" s="9" t="n"/>
      <c r="H264" s="13" t="n"/>
      <c r="I264" s="13" t="n"/>
      <c r="J264" s="13" t="n"/>
      <c r="K264" s="13" t="n"/>
      <c r="L264" s="13" t="n"/>
      <c r="M264" s="13" t="n"/>
      <c r="N264" s="13" t="n"/>
      <c r="O264" s="13" t="n"/>
      <c r="P264" s="14">
        <f>IF(A264="","",COUNT(H264:O264)/8)</f>
        <v/>
      </c>
      <c r="Q264" s="15">
        <f>IF(COUNT(H264:O264)=0,"",IF(LEN(IF(COUNT(H264,I264,J264)=3,IF(ABS(H264+I264-J264)&lt;=MAX(1,0.02*ABS(J264)),"","RBE &lt;&gt; PNB + frais "),"")&amp;IF(COUNT(J264,K264,L264)=3,IF(ABS(J264+K264-L264)&lt;=MAX(1,0.03*ABS(L264)),"","RAI &lt;&gt; RBE + coût du risque "),"")&amp;IF(COUNT(H264,M264)=2,IF(ABS(M264)&gt;ABS(H264),"RN &gt; PNB ",""),""))=0,"OK",IF(COUNT(H264,I264,J264)=3,IF(ABS(H264+I264-J264)&lt;=MAX(1,0.02*ABS(J264)),"","RBE &lt;&gt; PNB + frais "),"")&amp;IF(COUNT(J264,K264,L264)=3,IF(ABS(J264+K264-L264)&lt;=MAX(1,0.03*ABS(L264)),"","RAI &lt;&gt; RBE + coût du risque "),"")&amp;IF(COUNT(H264,M264)=2,IF(ABS(M264)&gt;ABS(H264),"RN &gt; PNB ",""),"")))</f>
        <v/>
      </c>
    </row>
    <row r="265">
      <c r="A265" s="9" t="inlineStr">
        <is>
          <t>SIBC</t>
        </is>
      </c>
      <c r="B265" s="10">
        <f>IF(A265="","",IFERROR(VLOOKUP(A265,Titres!$A$2:$B$400,2,FALSE),"Ticker inconnu"))</f>
        <v/>
      </c>
      <c r="C265" s="11" t="n">
        <v>2023</v>
      </c>
      <c r="D265" s="11" t="inlineStr">
        <is>
          <t>T3</t>
        </is>
      </c>
      <c r="E265" s="9" t="n"/>
      <c r="F265" s="12" t="n"/>
      <c r="G265" s="9" t="n"/>
      <c r="H265" s="13" t="n"/>
      <c r="I265" s="13" t="n"/>
      <c r="J265" s="13" t="n"/>
      <c r="K265" s="13" t="n"/>
      <c r="L265" s="13" t="n"/>
      <c r="M265" s="13" t="n"/>
      <c r="N265" s="13" t="n"/>
      <c r="O265" s="13" t="n"/>
      <c r="P265" s="14">
        <f>IF(A265="","",COUNT(H265:O265)/8)</f>
        <v/>
      </c>
      <c r="Q265" s="15">
        <f>IF(COUNT(H265:O265)=0,"",IF(LEN(IF(COUNT(H265,I265,J265)=3,IF(ABS(H265+I265-J265)&lt;=MAX(1,0.02*ABS(J265)),"","RBE &lt;&gt; PNB + frais "),"")&amp;IF(COUNT(J265,K265,L265)=3,IF(ABS(J265+K265-L265)&lt;=MAX(1,0.03*ABS(L265)),"","RAI &lt;&gt; RBE + coût du risque "),"")&amp;IF(COUNT(H265,M265)=2,IF(ABS(M265)&gt;ABS(H265),"RN &gt; PNB ",""),""))=0,"OK",IF(COUNT(H265,I265,J265)=3,IF(ABS(H265+I265-J265)&lt;=MAX(1,0.02*ABS(J265)),"","RBE &lt;&gt; PNB + frais "),"")&amp;IF(COUNT(J265,K265,L265)=3,IF(ABS(J265+K265-L265)&lt;=MAX(1,0.03*ABS(L265)),"","RAI &lt;&gt; RBE + coût du risque "),"")&amp;IF(COUNT(H265,M265)=2,IF(ABS(M265)&gt;ABS(H265),"RN &gt; PNB ",""),"")))</f>
        <v/>
      </c>
    </row>
    <row r="266">
      <c r="A266" s="9" t="inlineStr">
        <is>
          <t>SIBC</t>
        </is>
      </c>
      <c r="B266" s="10">
        <f>IF(A266="","",IFERROR(VLOOKUP(A266,Titres!$A$2:$B$400,2,FALSE),"Ticker inconnu"))</f>
        <v/>
      </c>
      <c r="C266" s="11" t="n">
        <v>2024</v>
      </c>
      <c r="D266" s="11" t="inlineStr">
        <is>
          <t>T1</t>
        </is>
      </c>
      <c r="E266" s="9" t="n"/>
      <c r="F266" s="12" t="n"/>
      <c r="G266" s="9" t="n"/>
      <c r="H266" s="13" t="n"/>
      <c r="I266" s="13" t="n"/>
      <c r="J266" s="13" t="n"/>
      <c r="K266" s="13" t="n"/>
      <c r="L266" s="13" t="n"/>
      <c r="M266" s="13" t="n"/>
      <c r="N266" s="13" t="n"/>
      <c r="O266" s="13" t="n"/>
      <c r="P266" s="14">
        <f>IF(A266="","",COUNT(H266:O266)/8)</f>
        <v/>
      </c>
      <c r="Q266" s="15">
        <f>IF(COUNT(H266:O266)=0,"",IF(LEN(IF(COUNT(H266,I266,J266)=3,IF(ABS(H266+I266-J266)&lt;=MAX(1,0.02*ABS(J266)),"","RBE &lt;&gt; PNB + frais "),"")&amp;IF(COUNT(J266,K266,L266)=3,IF(ABS(J266+K266-L266)&lt;=MAX(1,0.03*ABS(L266)),"","RAI &lt;&gt; RBE + coût du risque "),"")&amp;IF(COUNT(H266,M266)=2,IF(ABS(M266)&gt;ABS(H266),"RN &gt; PNB ",""),""))=0,"OK",IF(COUNT(H266,I266,J266)=3,IF(ABS(H266+I266-J266)&lt;=MAX(1,0.02*ABS(J266)),"","RBE &lt;&gt; PNB + frais "),"")&amp;IF(COUNT(J266,K266,L266)=3,IF(ABS(J266+K266-L266)&lt;=MAX(1,0.03*ABS(L266)),"","RAI &lt;&gt; RBE + coût du risque "),"")&amp;IF(COUNT(H266,M266)=2,IF(ABS(M266)&gt;ABS(H266),"RN &gt; PNB ",""),"")))</f>
        <v/>
      </c>
    </row>
    <row r="267">
      <c r="A267" s="9" t="inlineStr">
        <is>
          <t>SIBC</t>
        </is>
      </c>
      <c r="B267" s="10">
        <f>IF(A267="","",IFERROR(VLOOKUP(A267,Titres!$A$2:$B$400,2,FALSE),"Ticker inconnu"))</f>
        <v/>
      </c>
      <c r="C267" s="11" t="n">
        <v>2024</v>
      </c>
      <c r="D267" s="11" t="inlineStr">
        <is>
          <t>S1</t>
        </is>
      </c>
      <c r="E267" s="9" t="n"/>
      <c r="F267" s="12" t="n"/>
      <c r="G267" s="9" t="n"/>
      <c r="H267" s="13" t="n"/>
      <c r="I267" s="13" t="n"/>
      <c r="J267" s="13" t="n"/>
      <c r="K267" s="13" t="n"/>
      <c r="L267" s="13" t="n"/>
      <c r="M267" s="13" t="n"/>
      <c r="N267" s="13" t="n"/>
      <c r="O267" s="13" t="n"/>
      <c r="P267" s="14">
        <f>IF(A267="","",COUNT(H267:O267)/8)</f>
        <v/>
      </c>
      <c r="Q267" s="15">
        <f>IF(COUNT(H267:O267)=0,"",IF(LEN(IF(COUNT(H267,I267,J267)=3,IF(ABS(H267+I267-J267)&lt;=MAX(1,0.02*ABS(J267)),"","RBE &lt;&gt; PNB + frais "),"")&amp;IF(COUNT(J267,K267,L267)=3,IF(ABS(J267+K267-L267)&lt;=MAX(1,0.03*ABS(L267)),"","RAI &lt;&gt; RBE + coût du risque "),"")&amp;IF(COUNT(H267,M267)=2,IF(ABS(M267)&gt;ABS(H267),"RN &gt; PNB ",""),""))=0,"OK",IF(COUNT(H267,I267,J267)=3,IF(ABS(H267+I267-J267)&lt;=MAX(1,0.02*ABS(J267)),"","RBE &lt;&gt; PNB + frais "),"")&amp;IF(COUNT(J267,K267,L267)=3,IF(ABS(J267+K267-L267)&lt;=MAX(1,0.03*ABS(L267)),"","RAI &lt;&gt; RBE + coût du risque "),"")&amp;IF(COUNT(H267,M267)=2,IF(ABS(M267)&gt;ABS(H267),"RN &gt; PNB ",""),"")))</f>
        <v/>
      </c>
    </row>
    <row r="268">
      <c r="A268" s="9" t="inlineStr">
        <is>
          <t>SIBC</t>
        </is>
      </c>
      <c r="B268" s="10">
        <f>IF(A268="","",IFERROR(VLOOKUP(A268,Titres!$A$2:$B$400,2,FALSE),"Ticker inconnu"))</f>
        <v/>
      </c>
      <c r="C268" s="11" t="n">
        <v>2024</v>
      </c>
      <c r="D268" s="11" t="inlineStr">
        <is>
          <t>T3</t>
        </is>
      </c>
      <c r="E268" s="9" t="n"/>
      <c r="F268" s="12" t="n"/>
      <c r="G268" s="9" t="n"/>
      <c r="H268" s="13" t="n"/>
      <c r="I268" s="13" t="n"/>
      <c r="J268" s="13" t="n"/>
      <c r="K268" s="13" t="n"/>
      <c r="L268" s="13" t="n"/>
      <c r="M268" s="13" t="n"/>
      <c r="N268" s="13" t="n"/>
      <c r="O268" s="13" t="n"/>
      <c r="P268" s="14">
        <f>IF(A268="","",COUNT(H268:O268)/8)</f>
        <v/>
      </c>
      <c r="Q268" s="15">
        <f>IF(COUNT(H268:O268)=0,"",IF(LEN(IF(COUNT(H268,I268,J268)=3,IF(ABS(H268+I268-J268)&lt;=MAX(1,0.02*ABS(J268)),"","RBE &lt;&gt; PNB + frais "),"")&amp;IF(COUNT(J268,K268,L268)=3,IF(ABS(J268+K268-L268)&lt;=MAX(1,0.03*ABS(L268)),"","RAI &lt;&gt; RBE + coût du risque "),"")&amp;IF(COUNT(H268,M268)=2,IF(ABS(M268)&gt;ABS(H268),"RN &gt; PNB ",""),""))=0,"OK",IF(COUNT(H268,I268,J268)=3,IF(ABS(H268+I268-J268)&lt;=MAX(1,0.02*ABS(J268)),"","RBE &lt;&gt; PNB + frais "),"")&amp;IF(COUNT(J268,K268,L268)=3,IF(ABS(J268+K268-L268)&lt;=MAX(1,0.03*ABS(L268)),"","RAI &lt;&gt; RBE + coût du risque "),"")&amp;IF(COUNT(H268,M268)=2,IF(ABS(M268)&gt;ABS(H268),"RN &gt; PNB ",""),"")))</f>
        <v/>
      </c>
    </row>
    <row r="269">
      <c r="A269" s="9" t="inlineStr">
        <is>
          <t>SIBC</t>
        </is>
      </c>
      <c r="B269" s="10">
        <f>IF(A269="","",IFERROR(VLOOKUP(A269,Titres!$A$2:$B$400,2,FALSE),"Ticker inconnu"))</f>
        <v/>
      </c>
      <c r="C269" s="11" t="n">
        <v>2025</v>
      </c>
      <c r="D269" s="11" t="inlineStr">
        <is>
          <t>T1</t>
        </is>
      </c>
      <c r="E269" s="9" t="inlineStr">
        <is>
          <t>Publié</t>
        </is>
      </c>
      <c r="F269" s="12" t="n">
        <v>46148</v>
      </c>
      <c r="G269" s="9" t="inlineStr">
        <is>
          <t>https://www.richbourse.com/common/actualite/afficher-fichier/06-05-2026-sib-ci-rapport-dactivites-1er-trimestre-2026 (comparatif N-1)</t>
        </is>
      </c>
      <c r="H269" s="13" t="n">
        <v>26500</v>
      </c>
      <c r="I269" s="13" t="n"/>
      <c r="J269" s="13" t="n">
        <v>15800</v>
      </c>
      <c r="K269" s="13" t="n"/>
      <c r="L269" s="13" t="n"/>
      <c r="M269" s="13" t="n">
        <v>13600</v>
      </c>
      <c r="N269" s="13" t="n">
        <v>1042000</v>
      </c>
      <c r="O269" s="13" t="n">
        <v>1371000</v>
      </c>
      <c r="P269" s="14">
        <f>IF(A269="","",COUNT(H269:O269)/8)</f>
        <v/>
      </c>
      <c r="Q269" s="15">
        <f>IF(COUNT(H269:O269)=0,"",IF(LEN(IF(COUNT(H269,I269,J269)=3,IF(ABS(H269+I269-J269)&lt;=MAX(1,0.02*ABS(J269)),"","RBE &lt;&gt; PNB + frais "),"")&amp;IF(COUNT(J269,K269,L269)=3,IF(ABS(J269+K269-L269)&lt;=MAX(1,0.03*ABS(L269)),"","RAI &lt;&gt; RBE + coût du risque "),"")&amp;IF(COUNT(H269,M269)=2,IF(ABS(M269)&gt;ABS(H269),"RN &gt; PNB ",""),""))=0,"OK",IF(COUNT(H269,I269,J269)=3,IF(ABS(H269+I269-J269)&lt;=MAX(1,0.02*ABS(J269)),"","RBE &lt;&gt; PNB + frais "),"")&amp;IF(COUNT(J269,K269,L269)=3,IF(ABS(J269+K269-L269)&lt;=MAX(1,0.03*ABS(L269)),"","RAI &lt;&gt; RBE + coût du risque "),"")&amp;IF(COUNT(H269,M269)=2,IF(ABS(M269)&gt;ABS(H269),"RN &gt; PNB ",""),"")))</f>
        <v/>
      </c>
    </row>
    <row r="270">
      <c r="A270" s="9" t="inlineStr">
        <is>
          <t>SIBC</t>
        </is>
      </c>
      <c r="B270" s="10">
        <f>IF(A270="","",IFERROR(VLOOKUP(A270,Titres!$A$2:$B$400,2,FALSE),"Ticker inconnu"))</f>
        <v/>
      </c>
      <c r="C270" s="11" t="n">
        <v>2025</v>
      </c>
      <c r="D270" s="11" t="inlineStr">
        <is>
          <t>S1</t>
        </is>
      </c>
      <c r="E270" s="9" t="inlineStr">
        <is>
          <t>Publié</t>
        </is>
      </c>
      <c r="F270" s="12" t="n">
        <v>46293</v>
      </c>
      <c r="G270" s="9" t="inlineStr">
        <is>
          <t>https://www.richbourse.com/common/actualite/afficher-fichier/28-09-2026-sib-ci-rapport-d-activites-1er-semestre-2026 (comparatif N-1)</t>
        </is>
      </c>
      <c r="H270" s="13" t="n">
        <v>54300</v>
      </c>
      <c r="I270" s="13" t="n"/>
      <c r="J270" s="13" t="n">
        <v>34700</v>
      </c>
      <c r="K270" s="13" t="n"/>
      <c r="L270" s="13" t="n"/>
      <c r="M270" s="13" t="n">
        <v>29400</v>
      </c>
      <c r="N270" s="13" t="n">
        <v>1044000</v>
      </c>
      <c r="O270" s="13" t="n">
        <v>1409000</v>
      </c>
      <c r="P270" s="14">
        <f>IF(A270="","",COUNT(H270:O270)/8)</f>
        <v/>
      </c>
      <c r="Q270" s="15">
        <f>IF(COUNT(H270:O270)=0,"",IF(LEN(IF(COUNT(H270,I270,J270)=3,IF(ABS(H270+I270-J270)&lt;=MAX(1,0.02*ABS(J270)),"","RBE &lt;&gt; PNB + frais "),"")&amp;IF(COUNT(J270,K270,L270)=3,IF(ABS(J270+K270-L270)&lt;=MAX(1,0.03*ABS(L270)),"","RAI &lt;&gt; RBE + coût du risque "),"")&amp;IF(COUNT(H270,M270)=2,IF(ABS(M270)&gt;ABS(H270),"RN &gt; PNB ",""),""))=0,"OK",IF(COUNT(H270,I270,J270)=3,IF(ABS(H270+I270-J270)&lt;=MAX(1,0.02*ABS(J270)),"","RBE &lt;&gt; PNB + frais "),"")&amp;IF(COUNT(J270,K270,L270)=3,IF(ABS(J270+K270-L270)&lt;=MAX(1,0.03*ABS(L270)),"","RAI &lt;&gt; RBE + coût du risque "),"")&amp;IF(COUNT(H270,M270)=2,IF(ABS(M270)&gt;ABS(H270),"RN &gt; PNB ",""),"")))</f>
        <v/>
      </c>
    </row>
    <row r="271">
      <c r="A271" s="9" t="inlineStr">
        <is>
          <t>SIBC</t>
        </is>
      </c>
      <c r="B271" s="10">
        <f>IF(A271="","",IFERROR(VLOOKUP(A271,Titres!$A$2:$B$400,2,FALSE),"Ticker inconnu"))</f>
        <v/>
      </c>
      <c r="C271" s="11" t="n">
        <v>2025</v>
      </c>
      <c r="D271" s="11" t="inlineStr">
        <is>
          <t>T3</t>
        </is>
      </c>
      <c r="E271" s="9" t="n"/>
      <c r="F271" s="12" t="n"/>
      <c r="G271" s="9" t="n"/>
      <c r="H271" s="13" t="n"/>
      <c r="I271" s="13" t="n"/>
      <c r="J271" s="13" t="n"/>
      <c r="K271" s="13" t="n"/>
      <c r="L271" s="13" t="n"/>
      <c r="M271" s="13" t="n"/>
      <c r="N271" s="13" t="n"/>
      <c r="O271" s="13" t="n"/>
      <c r="P271" s="14">
        <f>IF(A271="","",COUNT(H271:O271)/8)</f>
        <v/>
      </c>
      <c r="Q271" s="15">
        <f>IF(COUNT(H271:O271)=0,"",IF(LEN(IF(COUNT(H271,I271,J271)=3,IF(ABS(H271+I271-J271)&lt;=MAX(1,0.02*ABS(J271)),"","RBE &lt;&gt; PNB + frais "),"")&amp;IF(COUNT(J271,K271,L271)=3,IF(ABS(J271+K271-L271)&lt;=MAX(1,0.03*ABS(L271)),"","RAI &lt;&gt; RBE + coût du risque "),"")&amp;IF(COUNT(H271,M271)=2,IF(ABS(M271)&gt;ABS(H271),"RN &gt; PNB ",""),""))=0,"OK",IF(COUNT(H271,I271,J271)=3,IF(ABS(H271+I271-J271)&lt;=MAX(1,0.02*ABS(J271)),"","RBE &lt;&gt; PNB + frais "),"")&amp;IF(COUNT(J271,K271,L271)=3,IF(ABS(J271+K271-L271)&lt;=MAX(1,0.03*ABS(L271)),"","RAI &lt;&gt; RBE + coût du risque "),"")&amp;IF(COUNT(H271,M271)=2,IF(ABS(M271)&gt;ABS(H271),"RN &gt; PNB ",""),"")))</f>
        <v/>
      </c>
    </row>
    <row r="272">
      <c r="A272" s="9" t="inlineStr">
        <is>
          <t>SIBC</t>
        </is>
      </c>
      <c r="B272" s="10">
        <f>IF(A272="","",IFERROR(VLOOKUP(A272,Titres!$A$2:$B$400,2,FALSE),"Ticker inconnu"))</f>
        <v/>
      </c>
      <c r="C272" s="11" t="n">
        <v>2026</v>
      </c>
      <c r="D272" s="11" t="inlineStr">
        <is>
          <t>T1</t>
        </is>
      </c>
      <c r="E272" s="9" t="inlineStr">
        <is>
          <t>Publié</t>
        </is>
      </c>
      <c r="F272" s="12" t="n">
        <v>46148</v>
      </c>
      <c r="G272" s="9" t="inlineStr">
        <is>
          <t>https://www.richbourse.com/common/actualite/afficher-fichier/06-05-2026-sib-ci-rapport-dactivites-1er-trimestre-2026</t>
        </is>
      </c>
      <c r="H272" s="13" t="n">
        <v>27700</v>
      </c>
      <c r="I272" s="13" t="n"/>
      <c r="J272" s="13" t="n">
        <v>17500</v>
      </c>
      <c r="K272" s="13" t="n"/>
      <c r="L272" s="13" t="n"/>
      <c r="M272" s="13" t="n">
        <v>15200</v>
      </c>
      <c r="N272" s="13" t="n">
        <v>1112000</v>
      </c>
      <c r="O272" s="13" t="n">
        <v>1495000</v>
      </c>
      <c r="P272" s="14">
        <f>IF(A272="","",COUNT(H272:O272)/8)</f>
        <v/>
      </c>
      <c r="Q272" s="15">
        <f>IF(COUNT(H272:O272)=0,"",IF(LEN(IF(COUNT(H272,I272,J272)=3,IF(ABS(H272+I272-J272)&lt;=MAX(1,0.02*ABS(J272)),"","RBE &lt;&gt; PNB + frais "),"")&amp;IF(COUNT(J272,K272,L272)=3,IF(ABS(J272+K272-L272)&lt;=MAX(1,0.03*ABS(L272)),"","RAI &lt;&gt; RBE + coût du risque "),"")&amp;IF(COUNT(H272,M272)=2,IF(ABS(M272)&gt;ABS(H272),"RN &gt; PNB ",""),""))=0,"OK",IF(COUNT(H272,I272,J272)=3,IF(ABS(H272+I272-J272)&lt;=MAX(1,0.02*ABS(J272)),"","RBE &lt;&gt; PNB + frais "),"")&amp;IF(COUNT(J272,K272,L272)=3,IF(ABS(J272+K272-L272)&lt;=MAX(1,0.03*ABS(L272)),"","RAI &lt;&gt; RBE + coût du risque "),"")&amp;IF(COUNT(H272,M272)=2,IF(ABS(M272)&gt;ABS(H272),"RN &gt; PNB ",""),"")))</f>
        <v/>
      </c>
    </row>
    <row r="273">
      <c r="A273" s="9" t="inlineStr">
        <is>
          <t>SIBC</t>
        </is>
      </c>
      <c r="B273" s="10">
        <f>IF(A273="","",IFERROR(VLOOKUP(A273,Titres!$A$2:$B$400,2,FALSE),"Ticker inconnu"))</f>
        <v/>
      </c>
      <c r="C273" s="11" t="n">
        <v>2026</v>
      </c>
      <c r="D273" s="11" t="inlineStr">
        <is>
          <t>S1</t>
        </is>
      </c>
      <c r="E273" s="9" t="inlineStr">
        <is>
          <t>Publié</t>
        </is>
      </c>
      <c r="F273" s="12" t="n">
        <v>46293</v>
      </c>
      <c r="G273" s="9" t="inlineStr">
        <is>
          <t>https://www.richbourse.com/common/actualite/afficher-fichier/28-09-2026-sib-ci-rapport-d-activites-1er-semestre-2026</t>
        </is>
      </c>
      <c r="H273" s="13" t="n">
        <v>56600</v>
      </c>
      <c r="I273" s="13" t="n"/>
      <c r="J273" s="13" t="n">
        <v>36600</v>
      </c>
      <c r="K273" s="13" t="n"/>
      <c r="L273" s="13" t="n"/>
      <c r="M273" s="13" t="n">
        <v>32100</v>
      </c>
      <c r="N273" s="13" t="n">
        <v>1169000</v>
      </c>
      <c r="O273" s="13" t="n">
        <v>1581000</v>
      </c>
      <c r="P273" s="14">
        <f>IF(A273="","",COUNT(H273:O273)/8)</f>
        <v/>
      </c>
      <c r="Q273" s="15">
        <f>IF(COUNT(H273:O273)=0,"",IF(LEN(IF(COUNT(H273,I273,J273)=3,IF(ABS(H273+I273-J273)&lt;=MAX(1,0.02*ABS(J273)),"","RBE &lt;&gt; PNB + frais "),"")&amp;IF(COUNT(J273,K273,L273)=3,IF(ABS(J273+K273-L273)&lt;=MAX(1,0.03*ABS(L273)),"","RAI &lt;&gt; RBE + coût du risque "),"")&amp;IF(COUNT(H273,M273)=2,IF(ABS(M273)&gt;ABS(H273),"RN &gt; PNB ",""),""))=0,"OK",IF(COUNT(H273,I273,J273)=3,IF(ABS(H273+I273-J273)&lt;=MAX(1,0.02*ABS(J273)),"","RBE &lt;&gt; PNB + frais "),"")&amp;IF(COUNT(J273,K273,L273)=3,IF(ABS(J273+K273-L273)&lt;=MAX(1,0.03*ABS(L273)),"","RAI &lt;&gt; RBE + coût du risque "),"")&amp;IF(COUNT(H273,M273)=2,IF(ABS(M273)&gt;ABS(H273),"RN &gt; PNB ",""),"")))</f>
        <v/>
      </c>
    </row>
    <row r="274">
      <c r="A274" s="9" t="inlineStr">
        <is>
          <t>SIBC</t>
        </is>
      </c>
      <c r="B274" s="10">
        <f>IF(A274="","",IFERROR(VLOOKUP(A274,Titres!$A$2:$B$400,2,FALSE),"Ticker inconnu"))</f>
        <v/>
      </c>
      <c r="C274" s="11" t="n">
        <v>2026</v>
      </c>
      <c r="D274" s="11" t="inlineStr">
        <is>
          <t>T3</t>
        </is>
      </c>
      <c r="E274" s="9" t="n"/>
      <c r="F274" s="12" t="n"/>
      <c r="G274" s="9" t="n"/>
      <c r="H274" s="13" t="n"/>
      <c r="I274" s="13" t="n"/>
      <c r="J274" s="13" t="n"/>
      <c r="K274" s="13" t="n"/>
      <c r="L274" s="13" t="n"/>
      <c r="M274" s="13" t="n"/>
      <c r="N274" s="13" t="n"/>
      <c r="O274" s="13" t="n"/>
      <c r="P274" s="14">
        <f>IF(A274="","",COUNT(H274:O274)/8)</f>
        <v/>
      </c>
      <c r="Q274" s="15">
        <f>IF(COUNT(H274:O274)=0,"",IF(LEN(IF(COUNT(H274,I274,J274)=3,IF(ABS(H274+I274-J274)&lt;=MAX(1,0.02*ABS(J274)),"","RBE &lt;&gt; PNB + frais "),"")&amp;IF(COUNT(J274,K274,L274)=3,IF(ABS(J274+K274-L274)&lt;=MAX(1,0.03*ABS(L274)),"","RAI &lt;&gt; RBE + coût du risque "),"")&amp;IF(COUNT(H274,M274)=2,IF(ABS(M274)&gt;ABS(H274),"RN &gt; PNB ",""),""))=0,"OK",IF(COUNT(H274,I274,J274)=3,IF(ABS(H274+I274-J274)&lt;=MAX(1,0.02*ABS(J274)),"","RBE &lt;&gt; PNB + frais "),"")&amp;IF(COUNT(J274,K274,L274)=3,IF(ABS(J274+K274-L274)&lt;=MAX(1,0.03*ABS(L274)),"","RAI &lt;&gt; RBE + coût du risque "),"")&amp;IF(COUNT(H274,M274)=2,IF(ABS(M274)&gt;ABS(H274),"RN &gt; PNB ",""),"")))</f>
        <v/>
      </c>
    </row>
    <row r="275">
      <c r="A275" s="9" t="n"/>
      <c r="B275" s="10">
        <f>IF(A275="","",IFERROR(VLOOKUP(A275,Titres!$A$2:$B$400,2,FALSE),"Ticker inconnu"))</f>
        <v/>
      </c>
      <c r="C275" s="11" t="n"/>
      <c r="D275" s="11" t="n"/>
      <c r="E275" s="9" t="n"/>
      <c r="F275" s="12" t="n"/>
      <c r="G275" s="9" t="n"/>
      <c r="H275" s="13" t="n"/>
      <c r="I275" s="13" t="n"/>
      <c r="J275" s="13" t="n"/>
      <c r="K275" s="13" t="n"/>
      <c r="L275" s="13" t="n"/>
      <c r="M275" s="13" t="n"/>
      <c r="N275" s="13" t="n"/>
      <c r="O275" s="13" t="n"/>
      <c r="P275" s="14">
        <f>IF(A275="","",COUNT(H275:O275)/8)</f>
        <v/>
      </c>
      <c r="Q275" s="15">
        <f>IF(COUNT(H275:O275)=0,"",IF(LEN(IF(COUNT(H275,I275,J275)=3,IF(ABS(H275+I275-J275)&lt;=MAX(1,0.02*ABS(J275)),"","RBE &lt;&gt; PNB + frais "),"")&amp;IF(COUNT(J275,K275,L275)=3,IF(ABS(J275+K275-L275)&lt;=MAX(1,0.03*ABS(L275)),"","RAI &lt;&gt; RBE + coût du risque "),"")&amp;IF(COUNT(H275,M275)=2,IF(ABS(M275)&gt;ABS(H275),"RN &gt; PNB ",""),""))=0,"OK",IF(COUNT(H275,I275,J275)=3,IF(ABS(H275+I275-J275)&lt;=MAX(1,0.02*ABS(J275)),"","RBE &lt;&gt; PNB + frais "),"")&amp;IF(COUNT(J275,K275,L275)=3,IF(ABS(J275+K275-L275)&lt;=MAX(1,0.03*ABS(L275)),"","RAI &lt;&gt; RBE + coût du risque "),"")&amp;IF(COUNT(H275,M275)=2,IF(ABS(M275)&gt;ABS(H275),"RN &gt; PNB ",""),"")))</f>
        <v/>
      </c>
    </row>
    <row r="276">
      <c r="A276" s="9" t="n"/>
      <c r="B276" s="10">
        <f>IF(A276="","",IFERROR(VLOOKUP(A276,Titres!$A$2:$B$400,2,FALSE),"Ticker inconnu"))</f>
        <v/>
      </c>
      <c r="C276" s="11" t="n"/>
      <c r="D276" s="11" t="n"/>
      <c r="E276" s="9" t="n"/>
      <c r="F276" s="12" t="n"/>
      <c r="G276" s="9" t="n"/>
      <c r="H276" s="13" t="n"/>
      <c r="I276" s="13" t="n"/>
      <c r="J276" s="13" t="n"/>
      <c r="K276" s="13" t="n"/>
      <c r="L276" s="13" t="n"/>
      <c r="M276" s="13" t="n"/>
      <c r="N276" s="13" t="n"/>
      <c r="O276" s="13" t="n"/>
      <c r="P276" s="14">
        <f>IF(A276="","",COUNT(H276:O276)/8)</f>
        <v/>
      </c>
      <c r="Q276" s="15">
        <f>IF(COUNT(H276:O276)=0,"",IF(LEN(IF(COUNT(H276,I276,J276)=3,IF(ABS(H276+I276-J276)&lt;=MAX(1,0.02*ABS(J276)),"","RBE &lt;&gt; PNB + frais "),"")&amp;IF(COUNT(J276,K276,L276)=3,IF(ABS(J276+K276-L276)&lt;=MAX(1,0.03*ABS(L276)),"","RAI &lt;&gt; RBE + coût du risque "),"")&amp;IF(COUNT(H276,M276)=2,IF(ABS(M276)&gt;ABS(H276),"RN &gt; PNB ",""),""))=0,"OK",IF(COUNT(H276,I276,J276)=3,IF(ABS(H276+I276-J276)&lt;=MAX(1,0.02*ABS(J276)),"","RBE &lt;&gt; PNB + frais "),"")&amp;IF(COUNT(J276,K276,L276)=3,IF(ABS(J276+K276-L276)&lt;=MAX(1,0.03*ABS(L276)),"","RAI &lt;&gt; RBE + coût du risque "),"")&amp;IF(COUNT(H276,M276)=2,IF(ABS(M276)&gt;ABS(H276),"RN &gt; PNB ",""),"")))</f>
        <v/>
      </c>
    </row>
    <row r="277">
      <c r="A277" s="9" t="n"/>
      <c r="B277" s="10">
        <f>IF(A277="","",IFERROR(VLOOKUP(A277,Titres!$A$2:$B$400,2,FALSE),"Ticker inconnu"))</f>
        <v/>
      </c>
      <c r="C277" s="11" t="n"/>
      <c r="D277" s="11" t="n"/>
      <c r="E277" s="9" t="n"/>
      <c r="F277" s="12" t="n"/>
      <c r="G277" s="9" t="n"/>
      <c r="H277" s="13" t="n"/>
      <c r="I277" s="13" t="n"/>
      <c r="J277" s="13" t="n"/>
      <c r="K277" s="13" t="n"/>
      <c r="L277" s="13" t="n"/>
      <c r="M277" s="13" t="n"/>
      <c r="N277" s="13" t="n"/>
      <c r="O277" s="13" t="n"/>
      <c r="P277" s="14">
        <f>IF(A277="","",COUNT(H277:O277)/8)</f>
        <v/>
      </c>
      <c r="Q277" s="15">
        <f>IF(COUNT(H277:O277)=0,"",IF(LEN(IF(COUNT(H277,I277,J277)=3,IF(ABS(H277+I277-J277)&lt;=MAX(1,0.02*ABS(J277)),"","RBE &lt;&gt; PNB + frais "),"")&amp;IF(COUNT(J277,K277,L277)=3,IF(ABS(J277+K277-L277)&lt;=MAX(1,0.03*ABS(L277)),"","RAI &lt;&gt; RBE + coût du risque "),"")&amp;IF(COUNT(H277,M277)=2,IF(ABS(M277)&gt;ABS(H277),"RN &gt; PNB ",""),""))=0,"OK",IF(COUNT(H277,I277,J277)=3,IF(ABS(H277+I277-J277)&lt;=MAX(1,0.02*ABS(J277)),"","RBE &lt;&gt; PNB + frais "),"")&amp;IF(COUNT(J277,K277,L277)=3,IF(ABS(J277+K277-L277)&lt;=MAX(1,0.03*ABS(L277)),"","RAI &lt;&gt; RBE + coût du risque "),"")&amp;IF(COUNT(H277,M277)=2,IF(ABS(M277)&gt;ABS(H277),"RN &gt; PNB ",""),"")))</f>
        <v/>
      </c>
    </row>
    <row r="278">
      <c r="A278" s="9" t="n"/>
      <c r="B278" s="10">
        <f>IF(A278="","",IFERROR(VLOOKUP(A278,Titres!$A$2:$B$400,2,FALSE),"Ticker inconnu"))</f>
        <v/>
      </c>
      <c r="C278" s="11" t="n"/>
      <c r="D278" s="11" t="n"/>
      <c r="E278" s="9" t="n"/>
      <c r="F278" s="12" t="n"/>
      <c r="G278" s="9" t="n"/>
      <c r="H278" s="13" t="n"/>
      <c r="I278" s="13" t="n"/>
      <c r="J278" s="13" t="n"/>
      <c r="K278" s="13" t="n"/>
      <c r="L278" s="13" t="n"/>
      <c r="M278" s="13" t="n"/>
      <c r="N278" s="13" t="n"/>
      <c r="O278" s="13" t="n"/>
      <c r="P278" s="14">
        <f>IF(A278="","",COUNT(H278:O278)/8)</f>
        <v/>
      </c>
      <c r="Q278" s="15">
        <f>IF(COUNT(H278:O278)=0,"",IF(LEN(IF(COUNT(H278,I278,J278)=3,IF(ABS(H278+I278-J278)&lt;=MAX(1,0.02*ABS(J278)),"","RBE &lt;&gt; PNB + frais "),"")&amp;IF(COUNT(J278,K278,L278)=3,IF(ABS(J278+K278-L278)&lt;=MAX(1,0.03*ABS(L278)),"","RAI &lt;&gt; RBE + coût du risque "),"")&amp;IF(COUNT(H278,M278)=2,IF(ABS(M278)&gt;ABS(H278),"RN &gt; PNB ",""),""))=0,"OK",IF(COUNT(H278,I278,J278)=3,IF(ABS(H278+I278-J278)&lt;=MAX(1,0.02*ABS(J278)),"","RBE &lt;&gt; PNB + frais "),"")&amp;IF(COUNT(J278,K278,L278)=3,IF(ABS(J278+K278-L278)&lt;=MAX(1,0.03*ABS(L278)),"","RAI &lt;&gt; RBE + coût du risque "),"")&amp;IF(COUNT(H278,M278)=2,IF(ABS(M278)&gt;ABS(H278),"RN &gt; PNB ",""),"")))</f>
        <v/>
      </c>
    </row>
    <row r="279">
      <c r="A279" s="9" t="n"/>
      <c r="B279" s="10">
        <f>IF(A279="","",IFERROR(VLOOKUP(A279,Titres!$A$2:$B$400,2,FALSE),"Ticker inconnu"))</f>
        <v/>
      </c>
      <c r="C279" s="11" t="n"/>
      <c r="D279" s="11" t="n"/>
      <c r="E279" s="9" t="n"/>
      <c r="F279" s="12" t="n"/>
      <c r="G279" s="9" t="n"/>
      <c r="H279" s="13" t="n"/>
      <c r="I279" s="13" t="n"/>
      <c r="J279" s="13" t="n"/>
      <c r="K279" s="13" t="n"/>
      <c r="L279" s="13" t="n"/>
      <c r="M279" s="13" t="n"/>
      <c r="N279" s="13" t="n"/>
      <c r="O279" s="13" t="n"/>
      <c r="P279" s="14">
        <f>IF(A279="","",COUNT(H279:O279)/8)</f>
        <v/>
      </c>
      <c r="Q279" s="15">
        <f>IF(COUNT(H279:O279)=0,"",IF(LEN(IF(COUNT(H279,I279,J279)=3,IF(ABS(H279+I279-J279)&lt;=MAX(1,0.02*ABS(J279)),"","RBE &lt;&gt; PNB + frais "),"")&amp;IF(COUNT(J279,K279,L279)=3,IF(ABS(J279+K279-L279)&lt;=MAX(1,0.03*ABS(L279)),"","RAI &lt;&gt; RBE + coût du risque "),"")&amp;IF(COUNT(H279,M279)=2,IF(ABS(M279)&gt;ABS(H279),"RN &gt; PNB ",""),""))=0,"OK",IF(COUNT(H279,I279,J279)=3,IF(ABS(H279+I279-J279)&lt;=MAX(1,0.02*ABS(J279)),"","RBE &lt;&gt; PNB + frais "),"")&amp;IF(COUNT(J279,K279,L279)=3,IF(ABS(J279+K279-L279)&lt;=MAX(1,0.03*ABS(L279)),"","RAI &lt;&gt; RBE + coût du risque "),"")&amp;IF(COUNT(H279,M279)=2,IF(ABS(M279)&gt;ABS(H279),"RN &gt; PNB ",""),"")))</f>
        <v/>
      </c>
    </row>
    <row r="280">
      <c r="A280" s="9" t="n"/>
      <c r="B280" s="10">
        <f>IF(A280="","",IFERROR(VLOOKUP(A280,Titres!$A$2:$B$400,2,FALSE),"Ticker inconnu"))</f>
        <v/>
      </c>
      <c r="C280" s="11" t="n"/>
      <c r="D280" s="11" t="n"/>
      <c r="E280" s="9" t="n"/>
      <c r="F280" s="12" t="n"/>
      <c r="G280" s="9" t="n"/>
      <c r="H280" s="13" t="n"/>
      <c r="I280" s="13" t="n"/>
      <c r="J280" s="13" t="n"/>
      <c r="K280" s="13" t="n"/>
      <c r="L280" s="13" t="n"/>
      <c r="M280" s="13" t="n"/>
      <c r="N280" s="13" t="n"/>
      <c r="O280" s="13" t="n"/>
      <c r="P280" s="14">
        <f>IF(A280="","",COUNT(H280:O280)/8)</f>
        <v/>
      </c>
      <c r="Q280" s="15">
        <f>IF(COUNT(H280:O280)=0,"",IF(LEN(IF(COUNT(H280,I280,J280)=3,IF(ABS(H280+I280-J280)&lt;=MAX(1,0.02*ABS(J280)),"","RBE &lt;&gt; PNB + frais "),"")&amp;IF(COUNT(J280,K280,L280)=3,IF(ABS(J280+K280-L280)&lt;=MAX(1,0.03*ABS(L280)),"","RAI &lt;&gt; RBE + coût du risque "),"")&amp;IF(COUNT(H280,M280)=2,IF(ABS(M280)&gt;ABS(H280),"RN &gt; PNB ",""),""))=0,"OK",IF(COUNT(H280,I280,J280)=3,IF(ABS(H280+I280-J280)&lt;=MAX(1,0.02*ABS(J280)),"","RBE &lt;&gt; PNB + frais "),"")&amp;IF(COUNT(J280,K280,L280)=3,IF(ABS(J280+K280-L280)&lt;=MAX(1,0.03*ABS(L280)),"","RAI &lt;&gt; RBE + coût du risque "),"")&amp;IF(COUNT(H280,M280)=2,IF(ABS(M280)&gt;ABS(H280),"RN &gt; PNB ",""),"")))</f>
        <v/>
      </c>
    </row>
    <row r="281">
      <c r="A281" s="9" t="n"/>
      <c r="B281" s="10">
        <f>IF(A281="","",IFERROR(VLOOKUP(A281,Titres!$A$2:$B$400,2,FALSE),"Ticker inconnu"))</f>
        <v/>
      </c>
      <c r="C281" s="11" t="n"/>
      <c r="D281" s="11" t="n"/>
      <c r="E281" s="9" t="n"/>
      <c r="F281" s="12" t="n"/>
      <c r="G281" s="9" t="n"/>
      <c r="H281" s="13" t="n"/>
      <c r="I281" s="13" t="n"/>
      <c r="J281" s="13" t="n"/>
      <c r="K281" s="13" t="n"/>
      <c r="L281" s="13" t="n"/>
      <c r="M281" s="13" t="n"/>
      <c r="N281" s="13" t="n"/>
      <c r="O281" s="13" t="n"/>
      <c r="P281" s="14">
        <f>IF(A281="","",COUNT(H281:O281)/8)</f>
        <v/>
      </c>
      <c r="Q281" s="15">
        <f>IF(COUNT(H281:O281)=0,"",IF(LEN(IF(COUNT(H281,I281,J281)=3,IF(ABS(H281+I281-J281)&lt;=MAX(1,0.02*ABS(J281)),"","RBE &lt;&gt; PNB + frais "),"")&amp;IF(COUNT(J281,K281,L281)=3,IF(ABS(J281+K281-L281)&lt;=MAX(1,0.03*ABS(L281)),"","RAI &lt;&gt; RBE + coût du risque "),"")&amp;IF(COUNT(H281,M281)=2,IF(ABS(M281)&gt;ABS(H281),"RN &gt; PNB ",""),""))=0,"OK",IF(COUNT(H281,I281,J281)=3,IF(ABS(H281+I281-J281)&lt;=MAX(1,0.02*ABS(J281)),"","RBE &lt;&gt; PNB + frais "),"")&amp;IF(COUNT(J281,K281,L281)=3,IF(ABS(J281+K281-L281)&lt;=MAX(1,0.03*ABS(L281)),"","RAI &lt;&gt; RBE + coût du risque "),"")&amp;IF(COUNT(H281,M281)=2,IF(ABS(M281)&gt;ABS(H281),"RN &gt; PNB ",""),"")))</f>
        <v/>
      </c>
    </row>
    <row r="282">
      <c r="A282" s="9" t="n"/>
      <c r="B282" s="10">
        <f>IF(A282="","",IFERROR(VLOOKUP(A282,Titres!$A$2:$B$400,2,FALSE),"Ticker inconnu"))</f>
        <v/>
      </c>
      <c r="C282" s="11" t="n"/>
      <c r="D282" s="11" t="n"/>
      <c r="E282" s="9" t="n"/>
      <c r="F282" s="12" t="n"/>
      <c r="G282" s="9" t="n"/>
      <c r="H282" s="13" t="n"/>
      <c r="I282" s="13" t="n"/>
      <c r="J282" s="13" t="n"/>
      <c r="K282" s="13" t="n"/>
      <c r="L282" s="13" t="n"/>
      <c r="M282" s="13" t="n"/>
      <c r="N282" s="13" t="n"/>
      <c r="O282" s="13" t="n"/>
      <c r="P282" s="14">
        <f>IF(A282="","",COUNT(H282:O282)/8)</f>
        <v/>
      </c>
      <c r="Q282" s="15">
        <f>IF(COUNT(H282:O282)=0,"",IF(LEN(IF(COUNT(H282,I282,J282)=3,IF(ABS(H282+I282-J282)&lt;=MAX(1,0.02*ABS(J282)),"","RBE &lt;&gt; PNB + frais "),"")&amp;IF(COUNT(J282,K282,L282)=3,IF(ABS(J282+K282-L282)&lt;=MAX(1,0.03*ABS(L282)),"","RAI &lt;&gt; RBE + coût du risque "),"")&amp;IF(COUNT(H282,M282)=2,IF(ABS(M282)&gt;ABS(H282),"RN &gt; PNB ",""),""))=0,"OK",IF(COUNT(H282,I282,J282)=3,IF(ABS(H282+I282-J282)&lt;=MAX(1,0.02*ABS(J282)),"","RBE &lt;&gt; PNB + frais "),"")&amp;IF(COUNT(J282,K282,L282)=3,IF(ABS(J282+K282-L282)&lt;=MAX(1,0.03*ABS(L282)),"","RAI &lt;&gt; RBE + coût du risque "),"")&amp;IF(COUNT(H282,M282)=2,IF(ABS(M282)&gt;ABS(H282),"RN &gt; PNB ",""),"")))</f>
        <v/>
      </c>
    </row>
    <row r="283">
      <c r="A283" s="9" t="n"/>
      <c r="B283" s="10">
        <f>IF(A283="","",IFERROR(VLOOKUP(A283,Titres!$A$2:$B$400,2,FALSE),"Ticker inconnu"))</f>
        <v/>
      </c>
      <c r="C283" s="11" t="n"/>
      <c r="D283" s="11" t="n"/>
      <c r="E283" s="9" t="n"/>
      <c r="F283" s="12" t="n"/>
      <c r="G283" s="9" t="n"/>
      <c r="H283" s="13" t="n"/>
      <c r="I283" s="13" t="n"/>
      <c r="J283" s="13" t="n"/>
      <c r="K283" s="13" t="n"/>
      <c r="L283" s="13" t="n"/>
      <c r="M283" s="13" t="n"/>
      <c r="N283" s="13" t="n"/>
      <c r="O283" s="13" t="n"/>
      <c r="P283" s="14">
        <f>IF(A283="","",COUNT(H283:O283)/8)</f>
        <v/>
      </c>
      <c r="Q283" s="15">
        <f>IF(COUNT(H283:O283)=0,"",IF(LEN(IF(COUNT(H283,I283,J283)=3,IF(ABS(H283+I283-J283)&lt;=MAX(1,0.02*ABS(J283)),"","RBE &lt;&gt; PNB + frais "),"")&amp;IF(COUNT(J283,K283,L283)=3,IF(ABS(J283+K283-L283)&lt;=MAX(1,0.03*ABS(L283)),"","RAI &lt;&gt; RBE + coût du risque "),"")&amp;IF(COUNT(H283,M283)=2,IF(ABS(M283)&gt;ABS(H283),"RN &gt; PNB ",""),""))=0,"OK",IF(COUNT(H283,I283,J283)=3,IF(ABS(H283+I283-J283)&lt;=MAX(1,0.02*ABS(J283)),"","RBE &lt;&gt; PNB + frais "),"")&amp;IF(COUNT(J283,K283,L283)=3,IF(ABS(J283+K283-L283)&lt;=MAX(1,0.03*ABS(L283)),"","RAI &lt;&gt; RBE + coût du risque "),"")&amp;IF(COUNT(H283,M283)=2,IF(ABS(M283)&gt;ABS(H283),"RN &gt; PNB ",""),"")))</f>
        <v/>
      </c>
    </row>
    <row r="284">
      <c r="A284" s="9" t="n"/>
      <c r="B284" s="10">
        <f>IF(A284="","",IFERROR(VLOOKUP(A284,Titres!$A$2:$B$400,2,FALSE),"Ticker inconnu"))</f>
        <v/>
      </c>
      <c r="C284" s="11" t="n"/>
      <c r="D284" s="11" t="n"/>
      <c r="E284" s="9" t="n"/>
      <c r="F284" s="12" t="n"/>
      <c r="G284" s="9" t="n"/>
      <c r="H284" s="13" t="n"/>
      <c r="I284" s="13" t="n"/>
      <c r="J284" s="13" t="n"/>
      <c r="K284" s="13" t="n"/>
      <c r="L284" s="13" t="n"/>
      <c r="M284" s="13" t="n"/>
      <c r="N284" s="13" t="n"/>
      <c r="O284" s="13" t="n"/>
      <c r="P284" s="14">
        <f>IF(A284="","",COUNT(H284:O284)/8)</f>
        <v/>
      </c>
      <c r="Q284" s="15">
        <f>IF(COUNT(H284:O284)=0,"",IF(LEN(IF(COUNT(H284,I284,J284)=3,IF(ABS(H284+I284-J284)&lt;=MAX(1,0.02*ABS(J284)),"","RBE &lt;&gt; PNB + frais "),"")&amp;IF(COUNT(J284,K284,L284)=3,IF(ABS(J284+K284-L284)&lt;=MAX(1,0.03*ABS(L284)),"","RAI &lt;&gt; RBE + coût du risque "),"")&amp;IF(COUNT(H284,M284)=2,IF(ABS(M284)&gt;ABS(H284),"RN &gt; PNB ",""),""))=0,"OK",IF(COUNT(H284,I284,J284)=3,IF(ABS(H284+I284-J284)&lt;=MAX(1,0.02*ABS(J284)),"","RBE &lt;&gt; PNB + frais "),"")&amp;IF(COUNT(J284,K284,L284)=3,IF(ABS(J284+K284-L284)&lt;=MAX(1,0.03*ABS(L284)),"","RAI &lt;&gt; RBE + coût du risque "),"")&amp;IF(COUNT(H284,M284)=2,IF(ABS(M284)&gt;ABS(H284),"RN &gt; PNB ",""),"")))</f>
        <v/>
      </c>
    </row>
    <row r="285">
      <c r="A285" s="9" t="n"/>
      <c r="B285" s="10">
        <f>IF(A285="","",IFERROR(VLOOKUP(A285,Titres!$A$2:$B$400,2,FALSE),"Ticker inconnu"))</f>
        <v/>
      </c>
      <c r="C285" s="11" t="n"/>
      <c r="D285" s="11" t="n"/>
      <c r="E285" s="9" t="n"/>
      <c r="F285" s="12" t="n"/>
      <c r="G285" s="9" t="n"/>
      <c r="H285" s="13" t="n"/>
      <c r="I285" s="13" t="n"/>
      <c r="J285" s="13" t="n"/>
      <c r="K285" s="13" t="n"/>
      <c r="L285" s="13" t="n"/>
      <c r="M285" s="13" t="n"/>
      <c r="N285" s="13" t="n"/>
      <c r="O285" s="13" t="n"/>
      <c r="P285" s="14">
        <f>IF(A285="","",COUNT(H285:O285)/8)</f>
        <v/>
      </c>
      <c r="Q285" s="15">
        <f>IF(COUNT(H285:O285)=0,"",IF(LEN(IF(COUNT(H285,I285,J285)=3,IF(ABS(H285+I285-J285)&lt;=MAX(1,0.02*ABS(J285)),"","RBE &lt;&gt; PNB + frais "),"")&amp;IF(COUNT(J285,K285,L285)=3,IF(ABS(J285+K285-L285)&lt;=MAX(1,0.03*ABS(L285)),"","RAI &lt;&gt; RBE + coût du risque "),"")&amp;IF(COUNT(H285,M285)=2,IF(ABS(M285)&gt;ABS(H285),"RN &gt; PNB ",""),""))=0,"OK",IF(COUNT(H285,I285,J285)=3,IF(ABS(H285+I285-J285)&lt;=MAX(1,0.02*ABS(J285)),"","RBE &lt;&gt; PNB + frais "),"")&amp;IF(COUNT(J285,K285,L285)=3,IF(ABS(J285+K285-L285)&lt;=MAX(1,0.03*ABS(L285)),"","RAI &lt;&gt; RBE + coût du risque "),"")&amp;IF(COUNT(H285,M285)=2,IF(ABS(M285)&gt;ABS(H285),"RN &gt; PNB ",""),"")))</f>
        <v/>
      </c>
    </row>
    <row r="286">
      <c r="A286" s="9" t="n"/>
      <c r="B286" s="10">
        <f>IF(A286="","",IFERROR(VLOOKUP(A286,Titres!$A$2:$B$400,2,FALSE),"Ticker inconnu"))</f>
        <v/>
      </c>
      <c r="C286" s="11" t="n"/>
      <c r="D286" s="11" t="n"/>
      <c r="E286" s="9" t="n"/>
      <c r="F286" s="12" t="n"/>
      <c r="G286" s="9" t="n"/>
      <c r="H286" s="13" t="n"/>
      <c r="I286" s="13" t="n"/>
      <c r="J286" s="13" t="n"/>
      <c r="K286" s="13" t="n"/>
      <c r="L286" s="13" t="n"/>
      <c r="M286" s="13" t="n"/>
      <c r="N286" s="13" t="n"/>
      <c r="O286" s="13" t="n"/>
      <c r="P286" s="14">
        <f>IF(A286="","",COUNT(H286:O286)/8)</f>
        <v/>
      </c>
      <c r="Q286" s="15">
        <f>IF(COUNT(H286:O286)=0,"",IF(LEN(IF(COUNT(H286,I286,J286)=3,IF(ABS(H286+I286-J286)&lt;=MAX(1,0.02*ABS(J286)),"","RBE &lt;&gt; PNB + frais "),"")&amp;IF(COUNT(J286,K286,L286)=3,IF(ABS(J286+K286-L286)&lt;=MAX(1,0.03*ABS(L286)),"","RAI &lt;&gt; RBE + coût du risque "),"")&amp;IF(COUNT(H286,M286)=2,IF(ABS(M286)&gt;ABS(H286),"RN &gt; PNB ",""),""))=0,"OK",IF(COUNT(H286,I286,J286)=3,IF(ABS(H286+I286-J286)&lt;=MAX(1,0.02*ABS(J286)),"","RBE &lt;&gt; PNB + frais "),"")&amp;IF(COUNT(J286,K286,L286)=3,IF(ABS(J286+K286-L286)&lt;=MAX(1,0.03*ABS(L286)),"","RAI &lt;&gt; RBE + coût du risque "),"")&amp;IF(COUNT(H286,M286)=2,IF(ABS(M286)&gt;ABS(H286),"RN &gt; PNB ",""),"")))</f>
        <v/>
      </c>
    </row>
    <row r="287">
      <c r="A287" s="9" t="n"/>
      <c r="B287" s="10">
        <f>IF(A287="","",IFERROR(VLOOKUP(A287,Titres!$A$2:$B$400,2,FALSE),"Ticker inconnu"))</f>
        <v/>
      </c>
      <c r="C287" s="11" t="n"/>
      <c r="D287" s="11" t="n"/>
      <c r="E287" s="9" t="n"/>
      <c r="F287" s="12" t="n"/>
      <c r="G287" s="9" t="n"/>
      <c r="H287" s="13" t="n"/>
      <c r="I287" s="13" t="n"/>
      <c r="J287" s="13" t="n"/>
      <c r="K287" s="13" t="n"/>
      <c r="L287" s="13" t="n"/>
      <c r="M287" s="13" t="n"/>
      <c r="N287" s="13" t="n"/>
      <c r="O287" s="13" t="n"/>
      <c r="P287" s="14">
        <f>IF(A287="","",COUNT(H287:O287)/8)</f>
        <v/>
      </c>
      <c r="Q287" s="15">
        <f>IF(COUNT(H287:O287)=0,"",IF(LEN(IF(COUNT(H287,I287,J287)=3,IF(ABS(H287+I287-J287)&lt;=MAX(1,0.02*ABS(J287)),"","RBE &lt;&gt; PNB + frais "),"")&amp;IF(COUNT(J287,K287,L287)=3,IF(ABS(J287+K287-L287)&lt;=MAX(1,0.03*ABS(L287)),"","RAI &lt;&gt; RBE + coût du risque "),"")&amp;IF(COUNT(H287,M287)=2,IF(ABS(M287)&gt;ABS(H287),"RN &gt; PNB ",""),""))=0,"OK",IF(COUNT(H287,I287,J287)=3,IF(ABS(H287+I287-J287)&lt;=MAX(1,0.02*ABS(J287)),"","RBE &lt;&gt; PNB + frais "),"")&amp;IF(COUNT(J287,K287,L287)=3,IF(ABS(J287+K287-L287)&lt;=MAX(1,0.03*ABS(L287)),"","RAI &lt;&gt; RBE + coût du risque "),"")&amp;IF(COUNT(H287,M287)=2,IF(ABS(M287)&gt;ABS(H287),"RN &gt; PNB ",""),"")))</f>
        <v/>
      </c>
    </row>
    <row r="288">
      <c r="A288" s="9" t="n"/>
      <c r="B288" s="10">
        <f>IF(A288="","",IFERROR(VLOOKUP(A288,Titres!$A$2:$B$400,2,FALSE),"Ticker inconnu"))</f>
        <v/>
      </c>
      <c r="C288" s="11" t="n"/>
      <c r="D288" s="11" t="n"/>
      <c r="E288" s="9" t="n"/>
      <c r="F288" s="12" t="n"/>
      <c r="G288" s="9" t="n"/>
      <c r="H288" s="13" t="n"/>
      <c r="I288" s="13" t="n"/>
      <c r="J288" s="13" t="n"/>
      <c r="K288" s="13" t="n"/>
      <c r="L288" s="13" t="n"/>
      <c r="M288" s="13" t="n"/>
      <c r="N288" s="13" t="n"/>
      <c r="O288" s="13" t="n"/>
      <c r="P288" s="14">
        <f>IF(A288="","",COUNT(H288:O288)/8)</f>
        <v/>
      </c>
      <c r="Q288" s="15">
        <f>IF(COUNT(H288:O288)=0,"",IF(LEN(IF(COUNT(H288,I288,J288)=3,IF(ABS(H288+I288-J288)&lt;=MAX(1,0.02*ABS(J288)),"","RBE &lt;&gt; PNB + frais "),"")&amp;IF(COUNT(J288,K288,L288)=3,IF(ABS(J288+K288-L288)&lt;=MAX(1,0.03*ABS(L288)),"","RAI &lt;&gt; RBE + coût du risque "),"")&amp;IF(COUNT(H288,M288)=2,IF(ABS(M288)&gt;ABS(H288),"RN &gt; PNB ",""),""))=0,"OK",IF(COUNT(H288,I288,J288)=3,IF(ABS(H288+I288-J288)&lt;=MAX(1,0.02*ABS(J288)),"","RBE &lt;&gt; PNB + frais "),"")&amp;IF(COUNT(J288,K288,L288)=3,IF(ABS(J288+K288-L288)&lt;=MAX(1,0.03*ABS(L288)),"","RAI &lt;&gt; RBE + coût du risque "),"")&amp;IF(COUNT(H288,M288)=2,IF(ABS(M288)&gt;ABS(H288),"RN &gt; PNB ",""),"")))</f>
        <v/>
      </c>
    </row>
    <row r="289">
      <c r="A289" s="9" t="n"/>
      <c r="B289" s="10">
        <f>IF(A289="","",IFERROR(VLOOKUP(A289,Titres!$A$2:$B$400,2,FALSE),"Ticker inconnu"))</f>
        <v/>
      </c>
      <c r="C289" s="11" t="n"/>
      <c r="D289" s="11" t="n"/>
      <c r="E289" s="9" t="n"/>
      <c r="F289" s="12" t="n"/>
      <c r="G289" s="9" t="n"/>
      <c r="H289" s="13" t="n"/>
      <c r="I289" s="13" t="n"/>
      <c r="J289" s="13" t="n"/>
      <c r="K289" s="13" t="n"/>
      <c r="L289" s="13" t="n"/>
      <c r="M289" s="13" t="n"/>
      <c r="N289" s="13" t="n"/>
      <c r="O289" s="13" t="n"/>
      <c r="P289" s="14">
        <f>IF(A289="","",COUNT(H289:O289)/8)</f>
        <v/>
      </c>
      <c r="Q289" s="15">
        <f>IF(COUNT(H289:O289)=0,"",IF(LEN(IF(COUNT(H289,I289,J289)=3,IF(ABS(H289+I289-J289)&lt;=MAX(1,0.02*ABS(J289)),"","RBE &lt;&gt; PNB + frais "),"")&amp;IF(COUNT(J289,K289,L289)=3,IF(ABS(J289+K289-L289)&lt;=MAX(1,0.03*ABS(L289)),"","RAI &lt;&gt; RBE + coût du risque "),"")&amp;IF(COUNT(H289,M289)=2,IF(ABS(M289)&gt;ABS(H289),"RN &gt; PNB ",""),""))=0,"OK",IF(COUNT(H289,I289,J289)=3,IF(ABS(H289+I289-J289)&lt;=MAX(1,0.02*ABS(J289)),"","RBE &lt;&gt; PNB + frais "),"")&amp;IF(COUNT(J289,K289,L289)=3,IF(ABS(J289+K289-L289)&lt;=MAX(1,0.03*ABS(L289)),"","RAI &lt;&gt; RBE + coût du risque "),"")&amp;IF(COUNT(H289,M289)=2,IF(ABS(M289)&gt;ABS(H289),"RN &gt; PNB ",""),"")))</f>
        <v/>
      </c>
    </row>
    <row r="290">
      <c r="A290" s="9" t="n"/>
      <c r="B290" s="10">
        <f>IF(A290="","",IFERROR(VLOOKUP(A290,Titres!$A$2:$B$400,2,FALSE),"Ticker inconnu"))</f>
        <v/>
      </c>
      <c r="C290" s="11" t="n"/>
      <c r="D290" s="11" t="n"/>
      <c r="E290" s="9" t="n"/>
      <c r="F290" s="12" t="n"/>
      <c r="G290" s="9" t="n"/>
      <c r="H290" s="13" t="n"/>
      <c r="I290" s="13" t="n"/>
      <c r="J290" s="13" t="n"/>
      <c r="K290" s="13" t="n"/>
      <c r="L290" s="13" t="n"/>
      <c r="M290" s="13" t="n"/>
      <c r="N290" s="13" t="n"/>
      <c r="O290" s="13" t="n"/>
      <c r="P290" s="14">
        <f>IF(A290="","",COUNT(H290:O290)/8)</f>
        <v/>
      </c>
      <c r="Q290" s="15">
        <f>IF(COUNT(H290:O290)=0,"",IF(LEN(IF(COUNT(H290,I290,J290)=3,IF(ABS(H290+I290-J290)&lt;=MAX(1,0.02*ABS(J290)),"","RBE &lt;&gt; PNB + frais "),"")&amp;IF(COUNT(J290,K290,L290)=3,IF(ABS(J290+K290-L290)&lt;=MAX(1,0.03*ABS(L290)),"","RAI &lt;&gt; RBE + coût du risque "),"")&amp;IF(COUNT(H290,M290)=2,IF(ABS(M290)&gt;ABS(H290),"RN &gt; PNB ",""),""))=0,"OK",IF(COUNT(H290,I290,J290)=3,IF(ABS(H290+I290-J290)&lt;=MAX(1,0.02*ABS(J290)),"","RBE &lt;&gt; PNB + frais "),"")&amp;IF(COUNT(J290,K290,L290)=3,IF(ABS(J290+K290-L290)&lt;=MAX(1,0.03*ABS(L290)),"","RAI &lt;&gt; RBE + coût du risque "),"")&amp;IF(COUNT(H290,M290)=2,IF(ABS(M290)&gt;ABS(H290),"RN &gt; PNB ",""),"")))</f>
        <v/>
      </c>
    </row>
    <row r="291">
      <c r="A291" s="9" t="n"/>
      <c r="B291" s="10">
        <f>IF(A291="","",IFERROR(VLOOKUP(A291,Titres!$A$2:$B$400,2,FALSE),"Ticker inconnu"))</f>
        <v/>
      </c>
      <c r="C291" s="11" t="n"/>
      <c r="D291" s="11" t="n"/>
      <c r="E291" s="9" t="n"/>
      <c r="F291" s="12" t="n"/>
      <c r="G291" s="9" t="n"/>
      <c r="H291" s="13" t="n"/>
      <c r="I291" s="13" t="n"/>
      <c r="J291" s="13" t="n"/>
      <c r="K291" s="13" t="n"/>
      <c r="L291" s="13" t="n"/>
      <c r="M291" s="13" t="n"/>
      <c r="N291" s="13" t="n"/>
      <c r="O291" s="13" t="n"/>
      <c r="P291" s="14">
        <f>IF(A291="","",COUNT(H291:O291)/8)</f>
        <v/>
      </c>
      <c r="Q291" s="15">
        <f>IF(COUNT(H291:O291)=0,"",IF(LEN(IF(COUNT(H291,I291,J291)=3,IF(ABS(H291+I291-J291)&lt;=MAX(1,0.02*ABS(J291)),"","RBE &lt;&gt; PNB + frais "),"")&amp;IF(COUNT(J291,K291,L291)=3,IF(ABS(J291+K291-L291)&lt;=MAX(1,0.03*ABS(L291)),"","RAI &lt;&gt; RBE + coût du risque "),"")&amp;IF(COUNT(H291,M291)=2,IF(ABS(M291)&gt;ABS(H291),"RN &gt; PNB ",""),""))=0,"OK",IF(COUNT(H291,I291,J291)=3,IF(ABS(H291+I291-J291)&lt;=MAX(1,0.02*ABS(J291)),"","RBE &lt;&gt; PNB + frais "),"")&amp;IF(COUNT(J291,K291,L291)=3,IF(ABS(J291+K291-L291)&lt;=MAX(1,0.03*ABS(L291)),"","RAI &lt;&gt; RBE + coût du risque "),"")&amp;IF(COUNT(H291,M291)=2,IF(ABS(M291)&gt;ABS(H291),"RN &gt; PNB ",""),"")))</f>
        <v/>
      </c>
    </row>
    <row r="292">
      <c r="A292" s="9" t="n"/>
      <c r="B292" s="10">
        <f>IF(A292="","",IFERROR(VLOOKUP(A292,Titres!$A$2:$B$400,2,FALSE),"Ticker inconnu"))</f>
        <v/>
      </c>
      <c r="C292" s="11" t="n"/>
      <c r="D292" s="11" t="n"/>
      <c r="E292" s="9" t="n"/>
      <c r="F292" s="12" t="n"/>
      <c r="G292" s="9" t="n"/>
      <c r="H292" s="13" t="n"/>
      <c r="I292" s="13" t="n"/>
      <c r="J292" s="13" t="n"/>
      <c r="K292" s="13" t="n"/>
      <c r="L292" s="13" t="n"/>
      <c r="M292" s="13" t="n"/>
      <c r="N292" s="13" t="n"/>
      <c r="O292" s="13" t="n"/>
      <c r="P292" s="14">
        <f>IF(A292="","",COUNT(H292:O292)/8)</f>
        <v/>
      </c>
      <c r="Q292" s="15">
        <f>IF(COUNT(H292:O292)=0,"",IF(LEN(IF(COUNT(H292,I292,J292)=3,IF(ABS(H292+I292-J292)&lt;=MAX(1,0.02*ABS(J292)),"","RBE &lt;&gt; PNB + frais "),"")&amp;IF(COUNT(J292,K292,L292)=3,IF(ABS(J292+K292-L292)&lt;=MAX(1,0.03*ABS(L292)),"","RAI &lt;&gt; RBE + coût du risque "),"")&amp;IF(COUNT(H292,M292)=2,IF(ABS(M292)&gt;ABS(H292),"RN &gt; PNB ",""),""))=0,"OK",IF(COUNT(H292,I292,J292)=3,IF(ABS(H292+I292-J292)&lt;=MAX(1,0.02*ABS(J292)),"","RBE &lt;&gt; PNB + frais "),"")&amp;IF(COUNT(J292,K292,L292)=3,IF(ABS(J292+K292-L292)&lt;=MAX(1,0.03*ABS(L292)),"","RAI &lt;&gt; RBE + coût du risque "),"")&amp;IF(COUNT(H292,M292)=2,IF(ABS(M292)&gt;ABS(H292),"RN &gt; PNB ",""),"")))</f>
        <v/>
      </c>
    </row>
    <row r="293">
      <c r="A293" s="9" t="n"/>
      <c r="B293" s="10">
        <f>IF(A293="","",IFERROR(VLOOKUP(A293,Titres!$A$2:$B$400,2,FALSE),"Ticker inconnu"))</f>
        <v/>
      </c>
      <c r="C293" s="11" t="n"/>
      <c r="D293" s="11" t="n"/>
      <c r="E293" s="9" t="n"/>
      <c r="F293" s="12" t="n"/>
      <c r="G293" s="9" t="n"/>
      <c r="H293" s="13" t="n"/>
      <c r="I293" s="13" t="n"/>
      <c r="J293" s="13" t="n"/>
      <c r="K293" s="13" t="n"/>
      <c r="L293" s="13" t="n"/>
      <c r="M293" s="13" t="n"/>
      <c r="N293" s="13" t="n"/>
      <c r="O293" s="13" t="n"/>
      <c r="P293" s="14">
        <f>IF(A293="","",COUNT(H293:O293)/8)</f>
        <v/>
      </c>
      <c r="Q293" s="15">
        <f>IF(COUNT(H293:O293)=0,"",IF(LEN(IF(COUNT(H293,I293,J293)=3,IF(ABS(H293+I293-J293)&lt;=MAX(1,0.02*ABS(J293)),"","RBE &lt;&gt; PNB + frais "),"")&amp;IF(COUNT(J293,K293,L293)=3,IF(ABS(J293+K293-L293)&lt;=MAX(1,0.03*ABS(L293)),"","RAI &lt;&gt; RBE + coût du risque "),"")&amp;IF(COUNT(H293,M293)=2,IF(ABS(M293)&gt;ABS(H293),"RN &gt; PNB ",""),""))=0,"OK",IF(COUNT(H293,I293,J293)=3,IF(ABS(H293+I293-J293)&lt;=MAX(1,0.02*ABS(J293)),"","RBE &lt;&gt; PNB + frais "),"")&amp;IF(COUNT(J293,K293,L293)=3,IF(ABS(J293+K293-L293)&lt;=MAX(1,0.03*ABS(L293)),"","RAI &lt;&gt; RBE + coût du risque "),"")&amp;IF(COUNT(H293,M293)=2,IF(ABS(M293)&gt;ABS(H293),"RN &gt; PNB ",""),"")))</f>
        <v/>
      </c>
    </row>
    <row r="294">
      <c r="A294" s="9" t="n"/>
      <c r="B294" s="10">
        <f>IF(A294="","",IFERROR(VLOOKUP(A294,Titres!$A$2:$B$400,2,FALSE),"Ticker inconnu"))</f>
        <v/>
      </c>
      <c r="C294" s="11" t="n"/>
      <c r="D294" s="11" t="n"/>
      <c r="E294" s="9" t="n"/>
      <c r="F294" s="12" t="n"/>
      <c r="G294" s="9" t="n"/>
      <c r="H294" s="13" t="n"/>
      <c r="I294" s="13" t="n"/>
      <c r="J294" s="13" t="n"/>
      <c r="K294" s="13" t="n"/>
      <c r="L294" s="13" t="n"/>
      <c r="M294" s="13" t="n"/>
      <c r="N294" s="13" t="n"/>
      <c r="O294" s="13" t="n"/>
      <c r="P294" s="14">
        <f>IF(A294="","",COUNT(H294:O294)/8)</f>
        <v/>
      </c>
      <c r="Q294" s="15">
        <f>IF(COUNT(H294:O294)=0,"",IF(LEN(IF(COUNT(H294,I294,J294)=3,IF(ABS(H294+I294-J294)&lt;=MAX(1,0.02*ABS(J294)),"","RBE &lt;&gt; PNB + frais "),"")&amp;IF(COUNT(J294,K294,L294)=3,IF(ABS(J294+K294-L294)&lt;=MAX(1,0.03*ABS(L294)),"","RAI &lt;&gt; RBE + coût du risque "),"")&amp;IF(COUNT(H294,M294)=2,IF(ABS(M294)&gt;ABS(H294),"RN &gt; PNB ",""),""))=0,"OK",IF(COUNT(H294,I294,J294)=3,IF(ABS(H294+I294-J294)&lt;=MAX(1,0.02*ABS(J294)),"","RBE &lt;&gt; PNB + frais "),"")&amp;IF(COUNT(J294,K294,L294)=3,IF(ABS(J294+K294-L294)&lt;=MAX(1,0.03*ABS(L294)),"","RAI &lt;&gt; RBE + coût du risque "),"")&amp;IF(COUNT(H294,M294)=2,IF(ABS(M294)&gt;ABS(H294),"RN &gt; PNB ",""),"")))</f>
        <v/>
      </c>
    </row>
    <row r="295">
      <c r="A295" s="9" t="n"/>
      <c r="B295" s="10">
        <f>IF(A295="","",IFERROR(VLOOKUP(A295,Titres!$A$2:$B$400,2,FALSE),"Ticker inconnu"))</f>
        <v/>
      </c>
      <c r="C295" s="11" t="n"/>
      <c r="D295" s="11" t="n"/>
      <c r="E295" s="9" t="n"/>
      <c r="F295" s="12" t="n"/>
      <c r="G295" s="9" t="n"/>
      <c r="H295" s="13" t="n"/>
      <c r="I295" s="13" t="n"/>
      <c r="J295" s="13" t="n"/>
      <c r="K295" s="13" t="n"/>
      <c r="L295" s="13" t="n"/>
      <c r="M295" s="13" t="n"/>
      <c r="N295" s="13" t="n"/>
      <c r="O295" s="13" t="n"/>
      <c r="P295" s="14">
        <f>IF(A295="","",COUNT(H295:O295)/8)</f>
        <v/>
      </c>
      <c r="Q295" s="15">
        <f>IF(COUNT(H295:O295)=0,"",IF(LEN(IF(COUNT(H295,I295,J295)=3,IF(ABS(H295+I295-J295)&lt;=MAX(1,0.02*ABS(J295)),"","RBE &lt;&gt; PNB + frais "),"")&amp;IF(COUNT(J295,K295,L295)=3,IF(ABS(J295+K295-L295)&lt;=MAX(1,0.03*ABS(L295)),"","RAI &lt;&gt; RBE + coût du risque "),"")&amp;IF(COUNT(H295,M295)=2,IF(ABS(M295)&gt;ABS(H295),"RN &gt; PNB ",""),""))=0,"OK",IF(COUNT(H295,I295,J295)=3,IF(ABS(H295+I295-J295)&lt;=MAX(1,0.02*ABS(J295)),"","RBE &lt;&gt; PNB + frais "),"")&amp;IF(COUNT(J295,K295,L295)=3,IF(ABS(J295+K295-L295)&lt;=MAX(1,0.03*ABS(L295)),"","RAI &lt;&gt; RBE + coût du risque "),"")&amp;IF(COUNT(H295,M295)=2,IF(ABS(M295)&gt;ABS(H295),"RN &gt; PNB ",""),"")))</f>
        <v/>
      </c>
    </row>
    <row r="296">
      <c r="A296" s="9" t="n"/>
      <c r="B296" s="10">
        <f>IF(A296="","",IFERROR(VLOOKUP(A296,Titres!$A$2:$B$400,2,FALSE),"Ticker inconnu"))</f>
        <v/>
      </c>
      <c r="C296" s="11" t="n"/>
      <c r="D296" s="11" t="n"/>
      <c r="E296" s="9" t="n"/>
      <c r="F296" s="12" t="n"/>
      <c r="G296" s="9" t="n"/>
      <c r="H296" s="13" t="n"/>
      <c r="I296" s="13" t="n"/>
      <c r="J296" s="13" t="n"/>
      <c r="K296" s="13" t="n"/>
      <c r="L296" s="13" t="n"/>
      <c r="M296" s="13" t="n"/>
      <c r="N296" s="13" t="n"/>
      <c r="O296" s="13" t="n"/>
      <c r="P296" s="14">
        <f>IF(A296="","",COUNT(H296:O296)/8)</f>
        <v/>
      </c>
      <c r="Q296" s="15">
        <f>IF(COUNT(H296:O296)=0,"",IF(LEN(IF(COUNT(H296,I296,J296)=3,IF(ABS(H296+I296-J296)&lt;=MAX(1,0.02*ABS(J296)),"","RBE &lt;&gt; PNB + frais "),"")&amp;IF(COUNT(J296,K296,L296)=3,IF(ABS(J296+K296-L296)&lt;=MAX(1,0.03*ABS(L296)),"","RAI &lt;&gt; RBE + coût du risque "),"")&amp;IF(COUNT(H296,M296)=2,IF(ABS(M296)&gt;ABS(H296),"RN &gt; PNB ",""),""))=0,"OK",IF(COUNT(H296,I296,J296)=3,IF(ABS(H296+I296-J296)&lt;=MAX(1,0.02*ABS(J296)),"","RBE &lt;&gt; PNB + frais "),"")&amp;IF(COUNT(J296,K296,L296)=3,IF(ABS(J296+K296-L296)&lt;=MAX(1,0.03*ABS(L296)),"","RAI &lt;&gt; RBE + coût du risque "),"")&amp;IF(COUNT(H296,M296)=2,IF(ABS(M296)&gt;ABS(H296),"RN &gt; PNB ",""),"")))</f>
        <v/>
      </c>
    </row>
    <row r="297">
      <c r="A297" s="9" t="n"/>
      <c r="B297" s="10">
        <f>IF(A297="","",IFERROR(VLOOKUP(A297,Titres!$A$2:$B$400,2,FALSE),"Ticker inconnu"))</f>
        <v/>
      </c>
      <c r="C297" s="11" t="n"/>
      <c r="D297" s="11" t="n"/>
      <c r="E297" s="9" t="n"/>
      <c r="F297" s="12" t="n"/>
      <c r="G297" s="9" t="n"/>
      <c r="H297" s="13" t="n"/>
      <c r="I297" s="13" t="n"/>
      <c r="J297" s="13" t="n"/>
      <c r="K297" s="13" t="n"/>
      <c r="L297" s="13" t="n"/>
      <c r="M297" s="13" t="n"/>
      <c r="N297" s="13" t="n"/>
      <c r="O297" s="13" t="n"/>
      <c r="P297" s="14">
        <f>IF(A297="","",COUNT(H297:O297)/8)</f>
        <v/>
      </c>
      <c r="Q297" s="15">
        <f>IF(COUNT(H297:O297)=0,"",IF(LEN(IF(COUNT(H297,I297,J297)=3,IF(ABS(H297+I297-J297)&lt;=MAX(1,0.02*ABS(J297)),"","RBE &lt;&gt; PNB + frais "),"")&amp;IF(COUNT(J297,K297,L297)=3,IF(ABS(J297+K297-L297)&lt;=MAX(1,0.03*ABS(L297)),"","RAI &lt;&gt; RBE + coût du risque "),"")&amp;IF(COUNT(H297,M297)=2,IF(ABS(M297)&gt;ABS(H297),"RN &gt; PNB ",""),""))=0,"OK",IF(COUNT(H297,I297,J297)=3,IF(ABS(H297+I297-J297)&lt;=MAX(1,0.02*ABS(J297)),"","RBE &lt;&gt; PNB + frais "),"")&amp;IF(COUNT(J297,K297,L297)=3,IF(ABS(J297+K297-L297)&lt;=MAX(1,0.03*ABS(L297)),"","RAI &lt;&gt; RBE + coût du risque "),"")&amp;IF(COUNT(H297,M297)=2,IF(ABS(M297)&gt;ABS(H297),"RN &gt; PNB ",""),"")))</f>
        <v/>
      </c>
    </row>
    <row r="298">
      <c r="A298" s="9" t="n"/>
      <c r="B298" s="10">
        <f>IF(A298="","",IFERROR(VLOOKUP(A298,Titres!$A$2:$B$400,2,FALSE),"Ticker inconnu"))</f>
        <v/>
      </c>
      <c r="C298" s="11" t="n"/>
      <c r="D298" s="11" t="n"/>
      <c r="E298" s="9" t="n"/>
      <c r="F298" s="12" t="n"/>
      <c r="G298" s="9" t="n"/>
      <c r="H298" s="13" t="n"/>
      <c r="I298" s="13" t="n"/>
      <c r="J298" s="13" t="n"/>
      <c r="K298" s="13" t="n"/>
      <c r="L298" s="13" t="n"/>
      <c r="M298" s="13" t="n"/>
      <c r="N298" s="13" t="n"/>
      <c r="O298" s="13" t="n"/>
      <c r="P298" s="14">
        <f>IF(A298="","",COUNT(H298:O298)/8)</f>
        <v/>
      </c>
      <c r="Q298" s="15">
        <f>IF(COUNT(H298:O298)=0,"",IF(LEN(IF(COUNT(H298,I298,J298)=3,IF(ABS(H298+I298-J298)&lt;=MAX(1,0.02*ABS(J298)),"","RBE &lt;&gt; PNB + frais "),"")&amp;IF(COUNT(J298,K298,L298)=3,IF(ABS(J298+K298-L298)&lt;=MAX(1,0.03*ABS(L298)),"","RAI &lt;&gt; RBE + coût du risque "),"")&amp;IF(COUNT(H298,M298)=2,IF(ABS(M298)&gt;ABS(H298),"RN &gt; PNB ",""),""))=0,"OK",IF(COUNT(H298,I298,J298)=3,IF(ABS(H298+I298-J298)&lt;=MAX(1,0.02*ABS(J298)),"","RBE &lt;&gt; PNB + frais "),"")&amp;IF(COUNT(J298,K298,L298)=3,IF(ABS(J298+K298-L298)&lt;=MAX(1,0.03*ABS(L298)),"","RAI &lt;&gt; RBE + coût du risque "),"")&amp;IF(COUNT(H298,M298)=2,IF(ABS(M298)&gt;ABS(H298),"RN &gt; PNB ",""),"")))</f>
        <v/>
      </c>
    </row>
    <row r="299">
      <c r="A299" s="9" t="n"/>
      <c r="B299" s="10">
        <f>IF(A299="","",IFERROR(VLOOKUP(A299,Titres!$A$2:$B$400,2,FALSE),"Ticker inconnu"))</f>
        <v/>
      </c>
      <c r="C299" s="11" t="n"/>
      <c r="D299" s="11" t="n"/>
      <c r="E299" s="9" t="n"/>
      <c r="F299" s="12" t="n"/>
      <c r="G299" s="9" t="n"/>
      <c r="H299" s="13" t="n"/>
      <c r="I299" s="13" t="n"/>
      <c r="J299" s="13" t="n"/>
      <c r="K299" s="13" t="n"/>
      <c r="L299" s="13" t="n"/>
      <c r="M299" s="13" t="n"/>
      <c r="N299" s="13" t="n"/>
      <c r="O299" s="13" t="n"/>
      <c r="P299" s="14">
        <f>IF(A299="","",COUNT(H299:O299)/8)</f>
        <v/>
      </c>
      <c r="Q299" s="15">
        <f>IF(COUNT(H299:O299)=0,"",IF(LEN(IF(COUNT(H299,I299,J299)=3,IF(ABS(H299+I299-J299)&lt;=MAX(1,0.02*ABS(J299)),"","RBE &lt;&gt; PNB + frais "),"")&amp;IF(COUNT(J299,K299,L299)=3,IF(ABS(J299+K299-L299)&lt;=MAX(1,0.03*ABS(L299)),"","RAI &lt;&gt; RBE + coût du risque "),"")&amp;IF(COUNT(H299,M299)=2,IF(ABS(M299)&gt;ABS(H299),"RN &gt; PNB ",""),""))=0,"OK",IF(COUNT(H299,I299,J299)=3,IF(ABS(H299+I299-J299)&lt;=MAX(1,0.02*ABS(J299)),"","RBE &lt;&gt; PNB + frais "),"")&amp;IF(COUNT(J299,K299,L299)=3,IF(ABS(J299+K299-L299)&lt;=MAX(1,0.03*ABS(L299)),"","RAI &lt;&gt; RBE + coût du risque "),"")&amp;IF(COUNT(H299,M299)=2,IF(ABS(M299)&gt;ABS(H299),"RN &gt; PNB ",""),"")))</f>
        <v/>
      </c>
    </row>
    <row r="300">
      <c r="A300" s="9" t="n"/>
      <c r="B300" s="10">
        <f>IF(A300="","",IFERROR(VLOOKUP(A300,Titres!$A$2:$B$400,2,FALSE),"Ticker inconnu"))</f>
        <v/>
      </c>
      <c r="C300" s="11" t="n"/>
      <c r="D300" s="11" t="n"/>
      <c r="E300" s="9" t="n"/>
      <c r="F300" s="12" t="n"/>
      <c r="G300" s="9" t="n"/>
      <c r="H300" s="13" t="n"/>
      <c r="I300" s="13" t="n"/>
      <c r="J300" s="13" t="n"/>
      <c r="K300" s="13" t="n"/>
      <c r="L300" s="13" t="n"/>
      <c r="M300" s="13" t="n"/>
      <c r="N300" s="13" t="n"/>
      <c r="O300" s="13" t="n"/>
      <c r="P300" s="14">
        <f>IF(A300="","",COUNT(H300:O300)/8)</f>
        <v/>
      </c>
      <c r="Q300" s="15">
        <f>IF(COUNT(H300:O300)=0,"",IF(LEN(IF(COUNT(H300,I300,J300)=3,IF(ABS(H300+I300-J300)&lt;=MAX(1,0.02*ABS(J300)),"","RBE &lt;&gt; PNB + frais "),"")&amp;IF(COUNT(J300,K300,L300)=3,IF(ABS(J300+K300-L300)&lt;=MAX(1,0.03*ABS(L300)),"","RAI &lt;&gt; RBE + coût du risque "),"")&amp;IF(COUNT(H300,M300)=2,IF(ABS(M300)&gt;ABS(H300),"RN &gt; PNB ",""),""))=0,"OK",IF(COUNT(H300,I300,J300)=3,IF(ABS(H300+I300-J300)&lt;=MAX(1,0.02*ABS(J300)),"","RBE &lt;&gt; PNB + frais "),"")&amp;IF(COUNT(J300,K300,L300)=3,IF(ABS(J300+K300-L300)&lt;=MAX(1,0.03*ABS(L300)),"","RAI &lt;&gt; RBE + coût du risque "),"")&amp;IF(COUNT(H300,M300)=2,IF(ABS(M300)&gt;ABS(H300),"RN &gt; PNB ",""),"")))</f>
        <v/>
      </c>
    </row>
    <row r="301">
      <c r="A301" s="9" t="n"/>
      <c r="B301" s="10">
        <f>IF(A301="","",IFERROR(VLOOKUP(A301,Titres!$A$2:$B$400,2,FALSE),"Ticker inconnu"))</f>
        <v/>
      </c>
      <c r="C301" s="11" t="n"/>
      <c r="D301" s="11" t="n"/>
      <c r="E301" s="9" t="n"/>
      <c r="F301" s="12" t="n"/>
      <c r="G301" s="9" t="n"/>
      <c r="H301" s="13" t="n"/>
      <c r="I301" s="13" t="n"/>
      <c r="J301" s="13" t="n"/>
      <c r="K301" s="13" t="n"/>
      <c r="L301" s="13" t="n"/>
      <c r="M301" s="13" t="n"/>
      <c r="N301" s="13" t="n"/>
      <c r="O301" s="13" t="n"/>
      <c r="P301" s="14">
        <f>IF(A301="","",COUNT(H301:O301)/8)</f>
        <v/>
      </c>
      <c r="Q301" s="15">
        <f>IF(COUNT(H301:O301)=0,"",IF(LEN(IF(COUNT(H301,I301,J301)=3,IF(ABS(H301+I301-J301)&lt;=MAX(1,0.02*ABS(J301)),"","RBE &lt;&gt; PNB + frais "),"")&amp;IF(COUNT(J301,K301,L301)=3,IF(ABS(J301+K301-L301)&lt;=MAX(1,0.03*ABS(L301)),"","RAI &lt;&gt; RBE + coût du risque "),"")&amp;IF(COUNT(H301,M301)=2,IF(ABS(M301)&gt;ABS(H301),"RN &gt; PNB ",""),""))=0,"OK",IF(COUNT(H301,I301,J301)=3,IF(ABS(H301+I301-J301)&lt;=MAX(1,0.02*ABS(J301)),"","RBE &lt;&gt; PNB + frais "),"")&amp;IF(COUNT(J301,K301,L301)=3,IF(ABS(J301+K301-L301)&lt;=MAX(1,0.03*ABS(L301)),"","RAI &lt;&gt; RBE + coût du risque "),"")&amp;IF(COUNT(H301,M301)=2,IF(ABS(M301)&gt;ABS(H301),"RN &gt; PNB ",""),"")))</f>
        <v/>
      </c>
    </row>
    <row r="302">
      <c r="A302" s="9" t="n"/>
      <c r="B302" s="10">
        <f>IF(A302="","",IFERROR(VLOOKUP(A302,Titres!$A$2:$B$400,2,FALSE),"Ticker inconnu"))</f>
        <v/>
      </c>
      <c r="C302" s="11" t="n"/>
      <c r="D302" s="11" t="n"/>
      <c r="E302" s="9" t="n"/>
      <c r="F302" s="12" t="n"/>
      <c r="G302" s="9" t="n"/>
      <c r="H302" s="13" t="n"/>
      <c r="I302" s="13" t="n"/>
      <c r="J302" s="13" t="n"/>
      <c r="K302" s="13" t="n"/>
      <c r="L302" s="13" t="n"/>
      <c r="M302" s="13" t="n"/>
      <c r="N302" s="13" t="n"/>
      <c r="O302" s="13" t="n"/>
      <c r="P302" s="14">
        <f>IF(A302="","",COUNT(H302:O302)/8)</f>
        <v/>
      </c>
      <c r="Q302" s="15">
        <f>IF(COUNT(H302:O302)=0,"",IF(LEN(IF(COUNT(H302,I302,J302)=3,IF(ABS(H302+I302-J302)&lt;=MAX(1,0.02*ABS(J302)),"","RBE &lt;&gt; PNB + frais "),"")&amp;IF(COUNT(J302,K302,L302)=3,IF(ABS(J302+K302-L302)&lt;=MAX(1,0.03*ABS(L302)),"","RAI &lt;&gt; RBE + coût du risque "),"")&amp;IF(COUNT(H302,M302)=2,IF(ABS(M302)&gt;ABS(H302),"RN &gt; PNB ",""),""))=0,"OK",IF(COUNT(H302,I302,J302)=3,IF(ABS(H302+I302-J302)&lt;=MAX(1,0.02*ABS(J302)),"","RBE &lt;&gt; PNB + frais "),"")&amp;IF(COUNT(J302,K302,L302)=3,IF(ABS(J302+K302-L302)&lt;=MAX(1,0.03*ABS(L302)),"","RAI &lt;&gt; RBE + coût du risque "),"")&amp;IF(COUNT(H302,M302)=2,IF(ABS(M302)&gt;ABS(H302),"RN &gt; PNB ",""),"")))</f>
        <v/>
      </c>
    </row>
    <row r="303">
      <c r="A303" s="9" t="n"/>
      <c r="B303" s="10">
        <f>IF(A303="","",IFERROR(VLOOKUP(A303,Titres!$A$2:$B$400,2,FALSE),"Ticker inconnu"))</f>
        <v/>
      </c>
      <c r="C303" s="11" t="n"/>
      <c r="D303" s="11" t="n"/>
      <c r="E303" s="9" t="n"/>
      <c r="F303" s="12" t="n"/>
      <c r="G303" s="9" t="n"/>
      <c r="H303" s="13" t="n"/>
      <c r="I303" s="13" t="n"/>
      <c r="J303" s="13" t="n"/>
      <c r="K303" s="13" t="n"/>
      <c r="L303" s="13" t="n"/>
      <c r="M303" s="13" t="n"/>
      <c r="N303" s="13" t="n"/>
      <c r="O303" s="13" t="n"/>
      <c r="P303" s="14">
        <f>IF(A303="","",COUNT(H303:O303)/8)</f>
        <v/>
      </c>
      <c r="Q303" s="15">
        <f>IF(COUNT(H303:O303)=0,"",IF(LEN(IF(COUNT(H303,I303,J303)=3,IF(ABS(H303+I303-J303)&lt;=MAX(1,0.02*ABS(J303)),"","RBE &lt;&gt; PNB + frais "),"")&amp;IF(COUNT(J303,K303,L303)=3,IF(ABS(J303+K303-L303)&lt;=MAX(1,0.03*ABS(L303)),"","RAI &lt;&gt; RBE + coût du risque "),"")&amp;IF(COUNT(H303,M303)=2,IF(ABS(M303)&gt;ABS(H303),"RN &gt; PNB ",""),""))=0,"OK",IF(COUNT(H303,I303,J303)=3,IF(ABS(H303+I303-J303)&lt;=MAX(1,0.02*ABS(J303)),"","RBE &lt;&gt; PNB + frais "),"")&amp;IF(COUNT(J303,K303,L303)=3,IF(ABS(J303+K303-L303)&lt;=MAX(1,0.03*ABS(L303)),"","RAI &lt;&gt; RBE + coût du risque "),"")&amp;IF(COUNT(H303,M303)=2,IF(ABS(M303)&gt;ABS(H303),"RN &gt; PNB ",""),"")))</f>
        <v/>
      </c>
    </row>
    <row r="304">
      <c r="A304" s="9" t="n"/>
      <c r="B304" s="10">
        <f>IF(A304="","",IFERROR(VLOOKUP(A304,Titres!$A$2:$B$400,2,FALSE),"Ticker inconnu"))</f>
        <v/>
      </c>
      <c r="C304" s="11" t="n"/>
      <c r="D304" s="11" t="n"/>
      <c r="E304" s="9" t="n"/>
      <c r="F304" s="12" t="n"/>
      <c r="G304" s="9" t="n"/>
      <c r="H304" s="13" t="n"/>
      <c r="I304" s="13" t="n"/>
      <c r="J304" s="13" t="n"/>
      <c r="K304" s="13" t="n"/>
      <c r="L304" s="13" t="n"/>
      <c r="M304" s="13" t="n"/>
      <c r="N304" s="13" t="n"/>
      <c r="O304" s="13" t="n"/>
      <c r="P304" s="14">
        <f>IF(A304="","",COUNT(H304:O304)/8)</f>
        <v/>
      </c>
      <c r="Q304" s="15">
        <f>IF(COUNT(H304:O304)=0,"",IF(LEN(IF(COUNT(H304,I304,J304)=3,IF(ABS(H304+I304-J304)&lt;=MAX(1,0.02*ABS(J304)),"","RBE &lt;&gt; PNB + frais "),"")&amp;IF(COUNT(J304,K304,L304)=3,IF(ABS(J304+K304-L304)&lt;=MAX(1,0.03*ABS(L304)),"","RAI &lt;&gt; RBE + coût du risque "),"")&amp;IF(COUNT(H304,M304)=2,IF(ABS(M304)&gt;ABS(H304),"RN &gt; PNB ",""),""))=0,"OK",IF(COUNT(H304,I304,J304)=3,IF(ABS(H304+I304-J304)&lt;=MAX(1,0.02*ABS(J304)),"","RBE &lt;&gt; PNB + frais "),"")&amp;IF(COUNT(J304,K304,L304)=3,IF(ABS(J304+K304-L304)&lt;=MAX(1,0.03*ABS(L304)),"","RAI &lt;&gt; RBE + coût du risque "),"")&amp;IF(COUNT(H304,M304)=2,IF(ABS(M304)&gt;ABS(H304),"RN &gt; PNB ",""),"")))</f>
        <v/>
      </c>
    </row>
    <row r="305">
      <c r="A305" s="9" t="n"/>
      <c r="B305" s="10">
        <f>IF(A305="","",IFERROR(VLOOKUP(A305,Titres!$A$2:$B$400,2,FALSE),"Ticker inconnu"))</f>
        <v/>
      </c>
      <c r="C305" s="11" t="n"/>
      <c r="D305" s="11" t="n"/>
      <c r="E305" s="9" t="n"/>
      <c r="F305" s="12" t="n"/>
      <c r="G305" s="9" t="n"/>
      <c r="H305" s="13" t="n"/>
      <c r="I305" s="13" t="n"/>
      <c r="J305" s="13" t="n"/>
      <c r="K305" s="13" t="n"/>
      <c r="L305" s="13" t="n"/>
      <c r="M305" s="13" t="n"/>
      <c r="N305" s="13" t="n"/>
      <c r="O305" s="13" t="n"/>
      <c r="P305" s="14">
        <f>IF(A305="","",COUNT(H305:O305)/8)</f>
        <v/>
      </c>
      <c r="Q305" s="15">
        <f>IF(COUNT(H305:O305)=0,"",IF(LEN(IF(COUNT(H305,I305,J305)=3,IF(ABS(H305+I305-J305)&lt;=MAX(1,0.02*ABS(J305)),"","RBE &lt;&gt; PNB + frais "),"")&amp;IF(COUNT(J305,K305,L305)=3,IF(ABS(J305+K305-L305)&lt;=MAX(1,0.03*ABS(L305)),"","RAI &lt;&gt; RBE + coût du risque "),"")&amp;IF(COUNT(H305,M305)=2,IF(ABS(M305)&gt;ABS(H305),"RN &gt; PNB ",""),""))=0,"OK",IF(COUNT(H305,I305,J305)=3,IF(ABS(H305+I305-J305)&lt;=MAX(1,0.02*ABS(J305)),"","RBE &lt;&gt; PNB + frais "),"")&amp;IF(COUNT(J305,K305,L305)=3,IF(ABS(J305+K305-L305)&lt;=MAX(1,0.03*ABS(L305)),"","RAI &lt;&gt; RBE + coût du risque "),"")&amp;IF(COUNT(H305,M305)=2,IF(ABS(M305)&gt;ABS(H305),"RN &gt; PNB ",""),"")))</f>
        <v/>
      </c>
    </row>
    <row r="306">
      <c r="A306" s="9" t="n"/>
      <c r="B306" s="10">
        <f>IF(A306="","",IFERROR(VLOOKUP(A306,Titres!$A$2:$B$400,2,FALSE),"Ticker inconnu"))</f>
        <v/>
      </c>
      <c r="C306" s="11" t="n"/>
      <c r="D306" s="11" t="n"/>
      <c r="E306" s="9" t="n"/>
      <c r="F306" s="12" t="n"/>
      <c r="G306" s="9" t="n"/>
      <c r="H306" s="13" t="n"/>
      <c r="I306" s="13" t="n"/>
      <c r="J306" s="13" t="n"/>
      <c r="K306" s="13" t="n"/>
      <c r="L306" s="13" t="n"/>
      <c r="M306" s="13" t="n"/>
      <c r="N306" s="13" t="n"/>
      <c r="O306" s="13" t="n"/>
      <c r="P306" s="14">
        <f>IF(A306="","",COUNT(H306:O306)/8)</f>
        <v/>
      </c>
      <c r="Q306" s="15">
        <f>IF(COUNT(H306:O306)=0,"",IF(LEN(IF(COUNT(H306,I306,J306)=3,IF(ABS(H306+I306-J306)&lt;=MAX(1,0.02*ABS(J306)),"","RBE &lt;&gt; PNB + frais "),"")&amp;IF(COUNT(J306,K306,L306)=3,IF(ABS(J306+K306-L306)&lt;=MAX(1,0.03*ABS(L306)),"","RAI &lt;&gt; RBE + coût du risque "),"")&amp;IF(COUNT(H306,M306)=2,IF(ABS(M306)&gt;ABS(H306),"RN &gt; PNB ",""),""))=0,"OK",IF(COUNT(H306,I306,J306)=3,IF(ABS(H306+I306-J306)&lt;=MAX(1,0.02*ABS(J306)),"","RBE &lt;&gt; PNB + frais "),"")&amp;IF(COUNT(J306,K306,L306)=3,IF(ABS(J306+K306-L306)&lt;=MAX(1,0.03*ABS(L306)),"","RAI &lt;&gt; RBE + coût du risque "),"")&amp;IF(COUNT(H306,M306)=2,IF(ABS(M306)&gt;ABS(H306),"RN &gt; PNB ",""),"")))</f>
        <v/>
      </c>
    </row>
    <row r="307">
      <c r="A307" s="9" t="n"/>
      <c r="B307" s="10">
        <f>IF(A307="","",IFERROR(VLOOKUP(A307,Titres!$A$2:$B$400,2,FALSE),"Ticker inconnu"))</f>
        <v/>
      </c>
      <c r="C307" s="11" t="n"/>
      <c r="D307" s="11" t="n"/>
      <c r="E307" s="9" t="n"/>
      <c r="F307" s="12" t="n"/>
      <c r="G307" s="9" t="n"/>
      <c r="H307" s="13" t="n"/>
      <c r="I307" s="13" t="n"/>
      <c r="J307" s="13" t="n"/>
      <c r="K307" s="13" t="n"/>
      <c r="L307" s="13" t="n"/>
      <c r="M307" s="13" t="n"/>
      <c r="N307" s="13" t="n"/>
      <c r="O307" s="13" t="n"/>
      <c r="P307" s="14">
        <f>IF(A307="","",COUNT(H307:O307)/8)</f>
        <v/>
      </c>
      <c r="Q307" s="15">
        <f>IF(COUNT(H307:O307)=0,"",IF(LEN(IF(COUNT(H307,I307,J307)=3,IF(ABS(H307+I307-J307)&lt;=MAX(1,0.02*ABS(J307)),"","RBE &lt;&gt; PNB + frais "),"")&amp;IF(COUNT(J307,K307,L307)=3,IF(ABS(J307+K307-L307)&lt;=MAX(1,0.03*ABS(L307)),"","RAI &lt;&gt; RBE + coût du risque "),"")&amp;IF(COUNT(H307,M307)=2,IF(ABS(M307)&gt;ABS(H307),"RN &gt; PNB ",""),""))=0,"OK",IF(COUNT(H307,I307,J307)=3,IF(ABS(H307+I307-J307)&lt;=MAX(1,0.02*ABS(J307)),"","RBE &lt;&gt; PNB + frais "),"")&amp;IF(COUNT(J307,K307,L307)=3,IF(ABS(J307+K307-L307)&lt;=MAX(1,0.03*ABS(L307)),"","RAI &lt;&gt; RBE + coût du risque "),"")&amp;IF(COUNT(H307,M307)=2,IF(ABS(M307)&gt;ABS(H307),"RN &gt; PNB ",""),"")))</f>
        <v/>
      </c>
    </row>
    <row r="308">
      <c r="A308" s="9" t="n"/>
      <c r="B308" s="10">
        <f>IF(A308="","",IFERROR(VLOOKUP(A308,Titres!$A$2:$B$400,2,FALSE),"Ticker inconnu"))</f>
        <v/>
      </c>
      <c r="C308" s="11" t="n"/>
      <c r="D308" s="11" t="n"/>
      <c r="E308" s="9" t="n"/>
      <c r="F308" s="12" t="n"/>
      <c r="G308" s="9" t="n"/>
      <c r="H308" s="13" t="n"/>
      <c r="I308" s="13" t="n"/>
      <c r="J308" s="13" t="n"/>
      <c r="K308" s="13" t="n"/>
      <c r="L308" s="13" t="n"/>
      <c r="M308" s="13" t="n"/>
      <c r="N308" s="13" t="n"/>
      <c r="O308" s="13" t="n"/>
      <c r="P308" s="14">
        <f>IF(A308="","",COUNT(H308:O308)/8)</f>
        <v/>
      </c>
      <c r="Q308" s="15">
        <f>IF(COUNT(H308:O308)=0,"",IF(LEN(IF(COUNT(H308,I308,J308)=3,IF(ABS(H308+I308-J308)&lt;=MAX(1,0.02*ABS(J308)),"","RBE &lt;&gt; PNB + frais "),"")&amp;IF(COUNT(J308,K308,L308)=3,IF(ABS(J308+K308-L308)&lt;=MAX(1,0.03*ABS(L308)),"","RAI &lt;&gt; RBE + coût du risque "),"")&amp;IF(COUNT(H308,M308)=2,IF(ABS(M308)&gt;ABS(H308),"RN &gt; PNB ",""),""))=0,"OK",IF(COUNT(H308,I308,J308)=3,IF(ABS(H308+I308-J308)&lt;=MAX(1,0.02*ABS(J308)),"","RBE &lt;&gt; PNB + frais "),"")&amp;IF(COUNT(J308,K308,L308)=3,IF(ABS(J308+K308-L308)&lt;=MAX(1,0.03*ABS(L308)),"","RAI &lt;&gt; RBE + coût du risque "),"")&amp;IF(COUNT(H308,M308)=2,IF(ABS(M308)&gt;ABS(H308),"RN &gt; PNB ",""),"")))</f>
        <v/>
      </c>
    </row>
    <row r="309">
      <c r="A309" s="9" t="n"/>
      <c r="B309" s="10">
        <f>IF(A309="","",IFERROR(VLOOKUP(A309,Titres!$A$2:$B$400,2,FALSE),"Ticker inconnu"))</f>
        <v/>
      </c>
      <c r="C309" s="11" t="n"/>
      <c r="D309" s="11" t="n"/>
      <c r="E309" s="9" t="n"/>
      <c r="F309" s="12" t="n"/>
      <c r="G309" s="9" t="n"/>
      <c r="H309" s="13" t="n"/>
      <c r="I309" s="13" t="n"/>
      <c r="J309" s="13" t="n"/>
      <c r="K309" s="13" t="n"/>
      <c r="L309" s="13" t="n"/>
      <c r="M309" s="13" t="n"/>
      <c r="N309" s="13" t="n"/>
      <c r="O309" s="13" t="n"/>
      <c r="P309" s="14">
        <f>IF(A309="","",COUNT(H309:O309)/8)</f>
        <v/>
      </c>
      <c r="Q309" s="15">
        <f>IF(COUNT(H309:O309)=0,"",IF(LEN(IF(COUNT(H309,I309,J309)=3,IF(ABS(H309+I309-J309)&lt;=MAX(1,0.02*ABS(J309)),"","RBE &lt;&gt; PNB + frais "),"")&amp;IF(COUNT(J309,K309,L309)=3,IF(ABS(J309+K309-L309)&lt;=MAX(1,0.03*ABS(L309)),"","RAI &lt;&gt; RBE + coût du risque "),"")&amp;IF(COUNT(H309,M309)=2,IF(ABS(M309)&gt;ABS(H309),"RN &gt; PNB ",""),""))=0,"OK",IF(COUNT(H309,I309,J309)=3,IF(ABS(H309+I309-J309)&lt;=MAX(1,0.02*ABS(J309)),"","RBE &lt;&gt; PNB + frais "),"")&amp;IF(COUNT(J309,K309,L309)=3,IF(ABS(J309+K309-L309)&lt;=MAX(1,0.03*ABS(L309)),"","RAI &lt;&gt; RBE + coût du risque "),"")&amp;IF(COUNT(H309,M309)=2,IF(ABS(M309)&gt;ABS(H309),"RN &gt; PNB ",""),"")))</f>
        <v/>
      </c>
    </row>
    <row r="310">
      <c r="A310" s="9" t="n"/>
      <c r="B310" s="10">
        <f>IF(A310="","",IFERROR(VLOOKUP(A310,Titres!$A$2:$B$400,2,FALSE),"Ticker inconnu"))</f>
        <v/>
      </c>
      <c r="C310" s="11" t="n"/>
      <c r="D310" s="11" t="n"/>
      <c r="E310" s="9" t="n"/>
      <c r="F310" s="12" t="n"/>
      <c r="G310" s="9" t="n"/>
      <c r="H310" s="13" t="n"/>
      <c r="I310" s="13" t="n"/>
      <c r="J310" s="13" t="n"/>
      <c r="K310" s="13" t="n"/>
      <c r="L310" s="13" t="n"/>
      <c r="M310" s="13" t="n"/>
      <c r="N310" s="13" t="n"/>
      <c r="O310" s="13" t="n"/>
      <c r="P310" s="14">
        <f>IF(A310="","",COUNT(H310:O310)/8)</f>
        <v/>
      </c>
      <c r="Q310" s="15">
        <f>IF(COUNT(H310:O310)=0,"",IF(LEN(IF(COUNT(H310,I310,J310)=3,IF(ABS(H310+I310-J310)&lt;=MAX(1,0.02*ABS(J310)),"","RBE &lt;&gt; PNB + frais "),"")&amp;IF(COUNT(J310,K310,L310)=3,IF(ABS(J310+K310-L310)&lt;=MAX(1,0.03*ABS(L310)),"","RAI &lt;&gt; RBE + coût du risque "),"")&amp;IF(COUNT(H310,M310)=2,IF(ABS(M310)&gt;ABS(H310),"RN &gt; PNB ",""),""))=0,"OK",IF(COUNT(H310,I310,J310)=3,IF(ABS(H310+I310-J310)&lt;=MAX(1,0.02*ABS(J310)),"","RBE &lt;&gt; PNB + frais "),"")&amp;IF(COUNT(J310,K310,L310)=3,IF(ABS(J310+K310-L310)&lt;=MAX(1,0.03*ABS(L310)),"","RAI &lt;&gt; RBE + coût du risque "),"")&amp;IF(COUNT(H310,M310)=2,IF(ABS(M310)&gt;ABS(H310),"RN &gt; PNB ",""),"")))</f>
        <v/>
      </c>
    </row>
    <row r="311">
      <c r="A311" s="9" t="n"/>
      <c r="B311" s="10">
        <f>IF(A311="","",IFERROR(VLOOKUP(A311,Titres!$A$2:$B$400,2,FALSE),"Ticker inconnu"))</f>
        <v/>
      </c>
      <c r="C311" s="11" t="n"/>
      <c r="D311" s="11" t="n"/>
      <c r="E311" s="9" t="n"/>
      <c r="F311" s="12" t="n"/>
      <c r="G311" s="9" t="n"/>
      <c r="H311" s="13" t="n"/>
      <c r="I311" s="13" t="n"/>
      <c r="J311" s="13" t="n"/>
      <c r="K311" s="13" t="n"/>
      <c r="L311" s="13" t="n"/>
      <c r="M311" s="13" t="n"/>
      <c r="N311" s="13" t="n"/>
      <c r="O311" s="13" t="n"/>
      <c r="P311" s="14">
        <f>IF(A311="","",COUNT(H311:O311)/8)</f>
        <v/>
      </c>
      <c r="Q311" s="15">
        <f>IF(COUNT(H311:O311)=0,"",IF(LEN(IF(COUNT(H311,I311,J311)=3,IF(ABS(H311+I311-J311)&lt;=MAX(1,0.02*ABS(J311)),"","RBE &lt;&gt; PNB + frais "),"")&amp;IF(COUNT(J311,K311,L311)=3,IF(ABS(J311+K311-L311)&lt;=MAX(1,0.03*ABS(L311)),"","RAI &lt;&gt; RBE + coût du risque "),"")&amp;IF(COUNT(H311,M311)=2,IF(ABS(M311)&gt;ABS(H311),"RN &gt; PNB ",""),""))=0,"OK",IF(COUNT(H311,I311,J311)=3,IF(ABS(H311+I311-J311)&lt;=MAX(1,0.02*ABS(J311)),"","RBE &lt;&gt; PNB + frais "),"")&amp;IF(COUNT(J311,K311,L311)=3,IF(ABS(J311+K311-L311)&lt;=MAX(1,0.03*ABS(L311)),"","RAI &lt;&gt; RBE + coût du risque "),"")&amp;IF(COUNT(H311,M311)=2,IF(ABS(M311)&gt;ABS(H311),"RN &gt; PNB ",""),"")))</f>
        <v/>
      </c>
    </row>
    <row r="312">
      <c r="A312" s="9" t="n"/>
      <c r="B312" s="10">
        <f>IF(A312="","",IFERROR(VLOOKUP(A312,Titres!$A$2:$B$400,2,FALSE),"Ticker inconnu"))</f>
        <v/>
      </c>
      <c r="C312" s="11" t="n"/>
      <c r="D312" s="11" t="n"/>
      <c r="E312" s="9" t="n"/>
      <c r="F312" s="12" t="n"/>
      <c r="G312" s="9" t="n"/>
      <c r="H312" s="13" t="n"/>
      <c r="I312" s="13" t="n"/>
      <c r="J312" s="13" t="n"/>
      <c r="K312" s="13" t="n"/>
      <c r="L312" s="13" t="n"/>
      <c r="M312" s="13" t="n"/>
      <c r="N312" s="13" t="n"/>
      <c r="O312" s="13" t="n"/>
      <c r="P312" s="14">
        <f>IF(A312="","",COUNT(H312:O312)/8)</f>
        <v/>
      </c>
      <c r="Q312" s="15">
        <f>IF(COUNT(H312:O312)=0,"",IF(LEN(IF(COUNT(H312,I312,J312)=3,IF(ABS(H312+I312-J312)&lt;=MAX(1,0.02*ABS(J312)),"","RBE &lt;&gt; PNB + frais "),"")&amp;IF(COUNT(J312,K312,L312)=3,IF(ABS(J312+K312-L312)&lt;=MAX(1,0.03*ABS(L312)),"","RAI &lt;&gt; RBE + coût du risque "),"")&amp;IF(COUNT(H312,M312)=2,IF(ABS(M312)&gt;ABS(H312),"RN &gt; PNB ",""),""))=0,"OK",IF(COUNT(H312,I312,J312)=3,IF(ABS(H312+I312-J312)&lt;=MAX(1,0.02*ABS(J312)),"","RBE &lt;&gt; PNB + frais "),"")&amp;IF(COUNT(J312,K312,L312)=3,IF(ABS(J312+K312-L312)&lt;=MAX(1,0.03*ABS(L312)),"","RAI &lt;&gt; RBE + coût du risque "),"")&amp;IF(COUNT(H312,M312)=2,IF(ABS(M312)&gt;ABS(H312),"RN &gt; PNB ",""),"")))</f>
        <v/>
      </c>
    </row>
    <row r="313">
      <c r="A313" s="9" t="n"/>
      <c r="B313" s="10">
        <f>IF(A313="","",IFERROR(VLOOKUP(A313,Titres!$A$2:$B$400,2,FALSE),"Ticker inconnu"))</f>
        <v/>
      </c>
      <c r="C313" s="11" t="n"/>
      <c r="D313" s="11" t="n"/>
      <c r="E313" s="9" t="n"/>
      <c r="F313" s="12" t="n"/>
      <c r="G313" s="9" t="n"/>
      <c r="H313" s="13" t="n"/>
      <c r="I313" s="13" t="n"/>
      <c r="J313" s="13" t="n"/>
      <c r="K313" s="13" t="n"/>
      <c r="L313" s="13" t="n"/>
      <c r="M313" s="13" t="n"/>
      <c r="N313" s="13" t="n"/>
      <c r="O313" s="13" t="n"/>
      <c r="P313" s="14">
        <f>IF(A313="","",COUNT(H313:O313)/8)</f>
        <v/>
      </c>
      <c r="Q313" s="15">
        <f>IF(COUNT(H313:O313)=0,"",IF(LEN(IF(COUNT(H313,I313,J313)=3,IF(ABS(H313+I313-J313)&lt;=MAX(1,0.02*ABS(J313)),"","RBE &lt;&gt; PNB + frais "),"")&amp;IF(COUNT(J313,K313,L313)=3,IF(ABS(J313+K313-L313)&lt;=MAX(1,0.03*ABS(L313)),"","RAI &lt;&gt; RBE + coût du risque "),"")&amp;IF(COUNT(H313,M313)=2,IF(ABS(M313)&gt;ABS(H313),"RN &gt; PNB ",""),""))=0,"OK",IF(COUNT(H313,I313,J313)=3,IF(ABS(H313+I313-J313)&lt;=MAX(1,0.02*ABS(J313)),"","RBE &lt;&gt; PNB + frais "),"")&amp;IF(COUNT(J313,K313,L313)=3,IF(ABS(J313+K313-L313)&lt;=MAX(1,0.03*ABS(L313)),"","RAI &lt;&gt; RBE + coût du risque "),"")&amp;IF(COUNT(H313,M313)=2,IF(ABS(M313)&gt;ABS(H313),"RN &gt; PNB ",""),"")))</f>
        <v/>
      </c>
    </row>
    <row r="314">
      <c r="A314" s="9" t="n"/>
      <c r="B314" s="10">
        <f>IF(A314="","",IFERROR(VLOOKUP(A314,Titres!$A$2:$B$400,2,FALSE),"Ticker inconnu"))</f>
        <v/>
      </c>
      <c r="C314" s="11" t="n"/>
      <c r="D314" s="11" t="n"/>
      <c r="E314" s="9" t="n"/>
      <c r="F314" s="12" t="n"/>
      <c r="G314" s="9" t="n"/>
      <c r="H314" s="13" t="n"/>
      <c r="I314" s="13" t="n"/>
      <c r="J314" s="13" t="n"/>
      <c r="K314" s="13" t="n"/>
      <c r="L314" s="13" t="n"/>
      <c r="M314" s="13" t="n"/>
      <c r="N314" s="13" t="n"/>
      <c r="O314" s="13" t="n"/>
      <c r="P314" s="14">
        <f>IF(A314="","",COUNT(H314:O314)/8)</f>
        <v/>
      </c>
      <c r="Q314" s="15">
        <f>IF(COUNT(H314:O314)=0,"",IF(LEN(IF(COUNT(H314,I314,J314)=3,IF(ABS(H314+I314-J314)&lt;=MAX(1,0.02*ABS(J314)),"","RBE &lt;&gt; PNB + frais "),"")&amp;IF(COUNT(J314,K314,L314)=3,IF(ABS(J314+K314-L314)&lt;=MAX(1,0.03*ABS(L314)),"","RAI &lt;&gt; RBE + coût du risque "),"")&amp;IF(COUNT(H314,M314)=2,IF(ABS(M314)&gt;ABS(H314),"RN &gt; PNB ",""),""))=0,"OK",IF(COUNT(H314,I314,J314)=3,IF(ABS(H314+I314-J314)&lt;=MAX(1,0.02*ABS(J314)),"","RBE &lt;&gt; PNB + frais "),"")&amp;IF(COUNT(J314,K314,L314)=3,IF(ABS(J314+K314-L314)&lt;=MAX(1,0.03*ABS(L314)),"","RAI &lt;&gt; RBE + coût du risque "),"")&amp;IF(COUNT(H314,M314)=2,IF(ABS(M314)&gt;ABS(H314),"RN &gt; PNB ",""),"")))</f>
        <v/>
      </c>
    </row>
    <row r="315">
      <c r="A315" s="9" t="n"/>
      <c r="B315" s="10">
        <f>IF(A315="","",IFERROR(VLOOKUP(A315,Titres!$A$2:$B$400,2,FALSE),"Ticker inconnu"))</f>
        <v/>
      </c>
      <c r="C315" s="11" t="n"/>
      <c r="D315" s="11" t="n"/>
      <c r="E315" s="9" t="n"/>
      <c r="F315" s="12" t="n"/>
      <c r="G315" s="9" t="n"/>
      <c r="H315" s="13" t="n"/>
      <c r="I315" s="13" t="n"/>
      <c r="J315" s="13" t="n"/>
      <c r="K315" s="13" t="n"/>
      <c r="L315" s="13" t="n"/>
      <c r="M315" s="13" t="n"/>
      <c r="N315" s="13" t="n"/>
      <c r="O315" s="13" t="n"/>
      <c r="P315" s="14">
        <f>IF(A315="","",COUNT(H315:O315)/8)</f>
        <v/>
      </c>
      <c r="Q315" s="15">
        <f>IF(COUNT(H315:O315)=0,"",IF(LEN(IF(COUNT(H315,I315,J315)=3,IF(ABS(H315+I315-J315)&lt;=MAX(1,0.02*ABS(J315)),"","RBE &lt;&gt; PNB + frais "),"")&amp;IF(COUNT(J315,K315,L315)=3,IF(ABS(J315+K315-L315)&lt;=MAX(1,0.03*ABS(L315)),"","RAI &lt;&gt; RBE + coût du risque "),"")&amp;IF(COUNT(H315,M315)=2,IF(ABS(M315)&gt;ABS(H315),"RN &gt; PNB ",""),""))=0,"OK",IF(COUNT(H315,I315,J315)=3,IF(ABS(H315+I315-J315)&lt;=MAX(1,0.02*ABS(J315)),"","RBE &lt;&gt; PNB + frais "),"")&amp;IF(COUNT(J315,K315,L315)=3,IF(ABS(J315+K315-L315)&lt;=MAX(1,0.03*ABS(L315)),"","RAI &lt;&gt; RBE + coût du risque "),"")&amp;IF(COUNT(H315,M315)=2,IF(ABS(M315)&gt;ABS(H315),"RN &gt; PNB ",""),"")))</f>
        <v/>
      </c>
    </row>
  </sheetData>
  <autoFilter ref="A4:Q315"/>
  <mergeCells count="1">
    <mergeCell ref="A2:L2"/>
  </mergeCells>
  <conditionalFormatting sqref="Q5:Q315">
    <cfRule type="expression" priority="1" dxfId="0">
      <formula>AND(Q5&lt;&gt;"",Q5&lt;&gt;"OK")</formula>
    </cfRule>
    <cfRule type="expression" priority="2" dxfId="1">
      <formula>Q5="OK"</formula>
    </cfRule>
  </conditionalFormatting>
  <conditionalFormatting sqref="P5:P315">
    <cfRule type="colorScale" priority="3">
      <colorScale>
        <cfvo type="num" val="0"/>
        <cfvo type="num" val="1"/>
        <color rgb="00FFFFFF"/>
        <color rgb="009CCBE3"/>
      </colorScale>
    </cfRule>
  </conditionalFormatting>
  <dataValidations count="5">
    <dataValidation sqref="A5:A315" showDropDown="0" showInputMessage="0" showErrorMessage="1" allowBlank="1" errorTitle="Ticker" error="Choisissez un ticker de la feuille « Titres »." type="list">
      <formula1>=Titres!$A$2:$A$400</formula1>
    </dataValidation>
    <dataValidation sqref="C5:C315" showDropDown="0" showInputMessage="0" showErrorMessage="1" allowBlank="1" errorTitle="Exercice" error="Saisissez une année (ex. 2026)." type="whole" operator="between">
      <formula1>1990</formula1>
      <formula2>2100</formula2>
    </dataValidation>
    <dataValidation sqref="D5:D315" showDropDown="0" showInputMessage="0" showErrorMessage="1" allowBlank="1" errorTitle="Période" error="T1, S1 ou T3." type="list">
      <formula1>"T1,S1,T3"</formula1>
    </dataValidation>
    <dataValidation sqref="E5:E315" showDropDown="0" showInputMessage="0" showErrorMessage="0" allowBlank="1" type="list">
      <formula1>"Publié,Provisoire,À vérifier"</formula1>
    </dataValidation>
    <dataValidation sqref="H5:O315" showDropDown="0" showInputMessage="0" showErrorMessage="1" allowBlank="1" errorTitle="Montant" error="Saisissez un nombre (millions de FCFA)." type="decimal" operator="between">
      <formula1>-1E+12</formula1>
      <formula2>1E+12</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5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36" customWidth="1" min="2" max="2"/>
    <col width="28"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s>
  <sheetData>
    <row r="1">
      <c r="A1" s="6" t="inlineStr">
        <is>
          <t>Suivi des publications intermédiaires</t>
        </is>
      </c>
    </row>
    <row r="2">
      <c r="A2" s="7" t="inlineStr">
        <is>
          <t>Part des indicateurs renseignés par titre et par période (calculée à partir des feuilles Entreprises et Banques). Un tiret signifie qu'aucune publication n'est saisie.</t>
        </is>
      </c>
      <c r="D2" s="16" t="inlineStr">
        <is>
          <t>T1</t>
        </is>
      </c>
      <c r="E2" s="16" t="inlineStr">
        <is>
          <t>S1</t>
        </is>
      </c>
      <c r="F2" s="16" t="inlineStr">
        <is>
          <t>T3</t>
        </is>
      </c>
      <c r="G2" s="16" t="inlineStr">
        <is>
          <t>T1</t>
        </is>
      </c>
      <c r="H2" s="16" t="inlineStr">
        <is>
          <t>S1</t>
        </is>
      </c>
      <c r="I2" s="16" t="inlineStr">
        <is>
          <t>T3</t>
        </is>
      </c>
      <c r="J2" s="16" t="inlineStr">
        <is>
          <t>T1</t>
        </is>
      </c>
      <c r="K2" s="16" t="inlineStr">
        <is>
          <t>S1</t>
        </is>
      </c>
      <c r="L2" s="16" t="inlineStr">
        <is>
          <t>T3</t>
        </is>
      </c>
      <c r="M2" s="16" t="inlineStr">
        <is>
          <t>T1</t>
        </is>
      </c>
      <c r="N2" s="16" t="inlineStr">
        <is>
          <t>S1</t>
        </is>
      </c>
      <c r="O2" s="16" t="inlineStr">
        <is>
          <t>T3</t>
        </is>
      </c>
      <c r="P2" s="16" t="inlineStr">
        <is>
          <t>T1</t>
        </is>
      </c>
      <c r="Q2" s="16" t="inlineStr">
        <is>
          <t>S1</t>
        </is>
      </c>
      <c r="R2" s="16" t="inlineStr">
        <is>
          <t>T3</t>
        </is>
      </c>
      <c r="S2" s="16" t="inlineStr">
        <is>
          <t>T1</t>
        </is>
      </c>
      <c r="T2" s="16" t="inlineStr">
        <is>
          <t>S1</t>
        </is>
      </c>
      <c r="U2" s="16" t="inlineStr">
        <is>
          <t>T3</t>
        </is>
      </c>
    </row>
    <row r="3">
      <c r="D3" s="16" t="n">
        <v>2021</v>
      </c>
      <c r="E3" s="16" t="n">
        <v>2021</v>
      </c>
      <c r="F3" s="16" t="n">
        <v>2021</v>
      </c>
      <c r="G3" s="16" t="n">
        <v>2022</v>
      </c>
      <c r="H3" s="16" t="n">
        <v>2022</v>
      </c>
      <c r="I3" s="16" t="n">
        <v>2022</v>
      </c>
      <c r="J3" s="16" t="n">
        <v>2023</v>
      </c>
      <c r="K3" s="16" t="n">
        <v>2023</v>
      </c>
      <c r="L3" s="16" t="n">
        <v>2023</v>
      </c>
      <c r="M3" s="16" t="n">
        <v>2024</v>
      </c>
      <c r="N3" s="16" t="n">
        <v>2024</v>
      </c>
      <c r="O3" s="16" t="n">
        <v>2024</v>
      </c>
      <c r="P3" s="16" t="n">
        <v>2025</v>
      </c>
      <c r="Q3" s="16" t="n">
        <v>2025</v>
      </c>
      <c r="R3" s="16" t="n">
        <v>2025</v>
      </c>
      <c r="S3" s="16" t="n">
        <v>2026</v>
      </c>
      <c r="T3" s="16" t="n">
        <v>2026</v>
      </c>
      <c r="U3" s="16" t="n">
        <v>2026</v>
      </c>
    </row>
    <row r="4">
      <c r="A4" s="8" t="inlineStr">
        <is>
          <t>Ticker</t>
        </is>
      </c>
      <c r="B4" s="8" t="inlineStr">
        <is>
          <t>Société</t>
        </is>
      </c>
      <c r="C4" s="8" t="inlineStr">
        <is>
          <t>Secteur</t>
        </is>
      </c>
      <c r="D4" s="8" t="inlineStr">
        <is>
          <t>T1 2021</t>
        </is>
      </c>
      <c r="E4" s="8" t="inlineStr">
        <is>
          <t>S1 2021</t>
        </is>
      </c>
      <c r="F4" s="8" t="inlineStr">
        <is>
          <t>T3 2021</t>
        </is>
      </c>
      <c r="G4" s="8" t="inlineStr">
        <is>
          <t>T1 2022</t>
        </is>
      </c>
      <c r="H4" s="8" t="inlineStr">
        <is>
          <t>S1 2022</t>
        </is>
      </c>
      <c r="I4" s="8" t="inlineStr">
        <is>
          <t>T3 2022</t>
        </is>
      </c>
      <c r="J4" s="8" t="inlineStr">
        <is>
          <t>T1 2023</t>
        </is>
      </c>
      <c r="K4" s="8" t="inlineStr">
        <is>
          <t>S1 2023</t>
        </is>
      </c>
      <c r="L4" s="8" t="inlineStr">
        <is>
          <t>T3 2023</t>
        </is>
      </c>
      <c r="M4" s="8" t="inlineStr">
        <is>
          <t>T1 2024</t>
        </is>
      </c>
      <c r="N4" s="8" t="inlineStr">
        <is>
          <t>S1 2024</t>
        </is>
      </c>
      <c r="O4" s="8" t="inlineStr">
        <is>
          <t>T3 2024</t>
        </is>
      </c>
      <c r="P4" s="8" t="inlineStr">
        <is>
          <t>T1 2025</t>
        </is>
      </c>
      <c r="Q4" s="8" t="inlineStr">
        <is>
          <t>S1 2025</t>
        </is>
      </c>
      <c r="R4" s="8" t="inlineStr">
        <is>
          <t>T3 2025</t>
        </is>
      </c>
      <c r="S4" s="8" t="inlineStr">
        <is>
          <t>T1 2026</t>
        </is>
      </c>
      <c r="T4" s="8" t="inlineStr">
        <is>
          <t>S1 2026</t>
        </is>
      </c>
      <c r="U4" s="8" t="inlineStr">
        <is>
          <t>T3 2026</t>
        </is>
      </c>
    </row>
    <row r="5">
      <c r="A5" s="17" t="inlineStr">
        <is>
          <t>NTLC</t>
        </is>
      </c>
      <c r="B5" s="17">
        <f>IFERROR(VLOOKUP(A5,Titres!$A$2:$D$400,2,FALSE),"")</f>
        <v/>
      </c>
      <c r="C5" s="17">
        <f>IFERROR(VLOOKUP(A5,Titres!$A$2:$D$400,4,FALSE),"")</f>
        <v/>
      </c>
      <c r="D5" s="18">
        <f>SUMIFS(Entreprises!$N$5:$N$639,Entreprises!$A$5:$A$639,$A5,Entreprises!$C$5:$C$639,D$3,Entreprises!$D$5:$D$639,D$2)+SUMIFS(Banques!$P$5:$P$315,Banques!$A$5:$A$315,$A5,Banques!$C$5:$C$315,D$3,Banques!$D$5:$D$315,D$2)</f>
        <v/>
      </c>
      <c r="E5" s="18">
        <f>SUMIFS(Entreprises!$N$5:$N$639,Entreprises!$A$5:$A$639,$A5,Entreprises!$C$5:$C$639,E$3,Entreprises!$D$5:$D$639,E$2)+SUMIFS(Banques!$P$5:$P$315,Banques!$A$5:$A$315,$A5,Banques!$C$5:$C$315,E$3,Banques!$D$5:$D$315,E$2)</f>
        <v/>
      </c>
      <c r="F5" s="18">
        <f>SUMIFS(Entreprises!$N$5:$N$639,Entreprises!$A$5:$A$639,$A5,Entreprises!$C$5:$C$639,F$3,Entreprises!$D$5:$D$639,F$2)+SUMIFS(Banques!$P$5:$P$315,Banques!$A$5:$A$315,$A5,Banques!$C$5:$C$315,F$3,Banques!$D$5:$D$315,F$2)</f>
        <v/>
      </c>
      <c r="G5" s="18">
        <f>SUMIFS(Entreprises!$N$5:$N$639,Entreprises!$A$5:$A$639,$A5,Entreprises!$C$5:$C$639,G$3,Entreprises!$D$5:$D$639,G$2)+SUMIFS(Banques!$P$5:$P$315,Banques!$A$5:$A$315,$A5,Banques!$C$5:$C$315,G$3,Banques!$D$5:$D$315,G$2)</f>
        <v/>
      </c>
      <c r="H5" s="18">
        <f>SUMIFS(Entreprises!$N$5:$N$639,Entreprises!$A$5:$A$639,$A5,Entreprises!$C$5:$C$639,H$3,Entreprises!$D$5:$D$639,H$2)+SUMIFS(Banques!$P$5:$P$315,Banques!$A$5:$A$315,$A5,Banques!$C$5:$C$315,H$3,Banques!$D$5:$D$315,H$2)</f>
        <v/>
      </c>
      <c r="I5" s="18">
        <f>SUMIFS(Entreprises!$N$5:$N$639,Entreprises!$A$5:$A$639,$A5,Entreprises!$C$5:$C$639,I$3,Entreprises!$D$5:$D$639,I$2)+SUMIFS(Banques!$P$5:$P$315,Banques!$A$5:$A$315,$A5,Banques!$C$5:$C$315,I$3,Banques!$D$5:$D$315,I$2)</f>
        <v/>
      </c>
      <c r="J5" s="18">
        <f>SUMIFS(Entreprises!$N$5:$N$639,Entreprises!$A$5:$A$639,$A5,Entreprises!$C$5:$C$639,J$3,Entreprises!$D$5:$D$639,J$2)+SUMIFS(Banques!$P$5:$P$315,Banques!$A$5:$A$315,$A5,Banques!$C$5:$C$315,J$3,Banques!$D$5:$D$315,J$2)</f>
        <v/>
      </c>
      <c r="K5" s="18">
        <f>SUMIFS(Entreprises!$N$5:$N$639,Entreprises!$A$5:$A$639,$A5,Entreprises!$C$5:$C$639,K$3,Entreprises!$D$5:$D$639,K$2)+SUMIFS(Banques!$P$5:$P$315,Banques!$A$5:$A$315,$A5,Banques!$C$5:$C$315,K$3,Banques!$D$5:$D$315,K$2)</f>
        <v/>
      </c>
      <c r="L5" s="18">
        <f>SUMIFS(Entreprises!$N$5:$N$639,Entreprises!$A$5:$A$639,$A5,Entreprises!$C$5:$C$639,L$3,Entreprises!$D$5:$D$639,L$2)+SUMIFS(Banques!$P$5:$P$315,Banques!$A$5:$A$315,$A5,Banques!$C$5:$C$315,L$3,Banques!$D$5:$D$315,L$2)</f>
        <v/>
      </c>
      <c r="M5" s="18">
        <f>SUMIFS(Entreprises!$N$5:$N$639,Entreprises!$A$5:$A$639,$A5,Entreprises!$C$5:$C$639,M$3,Entreprises!$D$5:$D$639,M$2)+SUMIFS(Banques!$P$5:$P$315,Banques!$A$5:$A$315,$A5,Banques!$C$5:$C$315,M$3,Banques!$D$5:$D$315,M$2)</f>
        <v/>
      </c>
      <c r="N5" s="18">
        <f>SUMIFS(Entreprises!$N$5:$N$639,Entreprises!$A$5:$A$639,$A5,Entreprises!$C$5:$C$639,N$3,Entreprises!$D$5:$D$639,N$2)+SUMIFS(Banques!$P$5:$P$315,Banques!$A$5:$A$315,$A5,Banques!$C$5:$C$315,N$3,Banques!$D$5:$D$315,N$2)</f>
        <v/>
      </c>
      <c r="O5" s="18">
        <f>SUMIFS(Entreprises!$N$5:$N$639,Entreprises!$A$5:$A$639,$A5,Entreprises!$C$5:$C$639,O$3,Entreprises!$D$5:$D$639,O$2)+SUMIFS(Banques!$P$5:$P$315,Banques!$A$5:$A$315,$A5,Banques!$C$5:$C$315,O$3,Banques!$D$5:$D$315,O$2)</f>
        <v/>
      </c>
      <c r="P5" s="18">
        <f>SUMIFS(Entreprises!$N$5:$N$639,Entreprises!$A$5:$A$639,$A5,Entreprises!$C$5:$C$639,P$3,Entreprises!$D$5:$D$639,P$2)+SUMIFS(Banques!$P$5:$P$315,Banques!$A$5:$A$315,$A5,Banques!$C$5:$C$315,P$3,Banques!$D$5:$D$315,P$2)</f>
        <v/>
      </c>
      <c r="Q5" s="18">
        <f>SUMIFS(Entreprises!$N$5:$N$639,Entreprises!$A$5:$A$639,$A5,Entreprises!$C$5:$C$639,Q$3,Entreprises!$D$5:$D$639,Q$2)+SUMIFS(Banques!$P$5:$P$315,Banques!$A$5:$A$315,$A5,Banques!$C$5:$C$315,Q$3,Banques!$D$5:$D$315,Q$2)</f>
        <v/>
      </c>
      <c r="R5" s="18">
        <f>SUMIFS(Entreprises!$N$5:$N$639,Entreprises!$A$5:$A$639,$A5,Entreprises!$C$5:$C$639,R$3,Entreprises!$D$5:$D$639,R$2)+SUMIFS(Banques!$P$5:$P$315,Banques!$A$5:$A$315,$A5,Banques!$C$5:$C$315,R$3,Banques!$D$5:$D$315,R$2)</f>
        <v/>
      </c>
      <c r="S5" s="18">
        <f>SUMIFS(Entreprises!$N$5:$N$639,Entreprises!$A$5:$A$639,$A5,Entreprises!$C$5:$C$639,S$3,Entreprises!$D$5:$D$639,S$2)+SUMIFS(Banques!$P$5:$P$315,Banques!$A$5:$A$315,$A5,Banques!$C$5:$C$315,S$3,Banques!$D$5:$D$315,S$2)</f>
        <v/>
      </c>
      <c r="T5" s="18">
        <f>SUMIFS(Entreprises!$N$5:$N$639,Entreprises!$A$5:$A$639,$A5,Entreprises!$C$5:$C$639,T$3,Entreprises!$D$5:$D$639,T$2)+SUMIFS(Banques!$P$5:$P$315,Banques!$A$5:$A$315,$A5,Banques!$C$5:$C$315,T$3,Banques!$D$5:$D$315,T$2)</f>
        <v/>
      </c>
      <c r="U5" s="18">
        <f>SUMIFS(Entreprises!$N$5:$N$639,Entreprises!$A$5:$A$639,$A5,Entreprises!$C$5:$C$639,U$3,Entreprises!$D$5:$D$639,U$2)+SUMIFS(Banques!$P$5:$P$315,Banques!$A$5:$A$315,$A5,Banques!$C$5:$C$315,U$3,Banques!$D$5:$D$315,U$2)</f>
        <v/>
      </c>
    </row>
    <row r="6">
      <c r="A6" s="17" t="inlineStr">
        <is>
          <t>PALC</t>
        </is>
      </c>
      <c r="B6" s="17">
        <f>IFERROR(VLOOKUP(A6,Titres!$A$2:$D$400,2,FALSE),"")</f>
        <v/>
      </c>
      <c r="C6" s="17">
        <f>IFERROR(VLOOKUP(A6,Titres!$A$2:$D$400,4,FALSE),"")</f>
        <v/>
      </c>
      <c r="D6" s="18">
        <f>SUMIFS(Entreprises!$N$5:$N$639,Entreprises!$A$5:$A$639,$A6,Entreprises!$C$5:$C$639,D$3,Entreprises!$D$5:$D$639,D$2)+SUMIFS(Banques!$P$5:$P$315,Banques!$A$5:$A$315,$A6,Banques!$C$5:$C$315,D$3,Banques!$D$5:$D$315,D$2)</f>
        <v/>
      </c>
      <c r="E6" s="18">
        <f>SUMIFS(Entreprises!$N$5:$N$639,Entreprises!$A$5:$A$639,$A6,Entreprises!$C$5:$C$639,E$3,Entreprises!$D$5:$D$639,E$2)+SUMIFS(Banques!$P$5:$P$315,Banques!$A$5:$A$315,$A6,Banques!$C$5:$C$315,E$3,Banques!$D$5:$D$315,E$2)</f>
        <v/>
      </c>
      <c r="F6" s="18">
        <f>SUMIFS(Entreprises!$N$5:$N$639,Entreprises!$A$5:$A$639,$A6,Entreprises!$C$5:$C$639,F$3,Entreprises!$D$5:$D$639,F$2)+SUMIFS(Banques!$P$5:$P$315,Banques!$A$5:$A$315,$A6,Banques!$C$5:$C$315,F$3,Banques!$D$5:$D$315,F$2)</f>
        <v/>
      </c>
      <c r="G6" s="18">
        <f>SUMIFS(Entreprises!$N$5:$N$639,Entreprises!$A$5:$A$639,$A6,Entreprises!$C$5:$C$639,G$3,Entreprises!$D$5:$D$639,G$2)+SUMIFS(Banques!$P$5:$P$315,Banques!$A$5:$A$315,$A6,Banques!$C$5:$C$315,G$3,Banques!$D$5:$D$315,G$2)</f>
        <v/>
      </c>
      <c r="H6" s="18">
        <f>SUMIFS(Entreprises!$N$5:$N$639,Entreprises!$A$5:$A$639,$A6,Entreprises!$C$5:$C$639,H$3,Entreprises!$D$5:$D$639,H$2)+SUMIFS(Banques!$P$5:$P$315,Banques!$A$5:$A$315,$A6,Banques!$C$5:$C$315,H$3,Banques!$D$5:$D$315,H$2)</f>
        <v/>
      </c>
      <c r="I6" s="18">
        <f>SUMIFS(Entreprises!$N$5:$N$639,Entreprises!$A$5:$A$639,$A6,Entreprises!$C$5:$C$639,I$3,Entreprises!$D$5:$D$639,I$2)+SUMIFS(Banques!$P$5:$P$315,Banques!$A$5:$A$315,$A6,Banques!$C$5:$C$315,I$3,Banques!$D$5:$D$315,I$2)</f>
        <v/>
      </c>
      <c r="J6" s="18">
        <f>SUMIFS(Entreprises!$N$5:$N$639,Entreprises!$A$5:$A$639,$A6,Entreprises!$C$5:$C$639,J$3,Entreprises!$D$5:$D$639,J$2)+SUMIFS(Banques!$P$5:$P$315,Banques!$A$5:$A$315,$A6,Banques!$C$5:$C$315,J$3,Banques!$D$5:$D$315,J$2)</f>
        <v/>
      </c>
      <c r="K6" s="18">
        <f>SUMIFS(Entreprises!$N$5:$N$639,Entreprises!$A$5:$A$639,$A6,Entreprises!$C$5:$C$639,K$3,Entreprises!$D$5:$D$639,K$2)+SUMIFS(Banques!$P$5:$P$315,Banques!$A$5:$A$315,$A6,Banques!$C$5:$C$315,K$3,Banques!$D$5:$D$315,K$2)</f>
        <v/>
      </c>
      <c r="L6" s="18">
        <f>SUMIFS(Entreprises!$N$5:$N$639,Entreprises!$A$5:$A$639,$A6,Entreprises!$C$5:$C$639,L$3,Entreprises!$D$5:$D$639,L$2)+SUMIFS(Banques!$P$5:$P$315,Banques!$A$5:$A$315,$A6,Banques!$C$5:$C$315,L$3,Banques!$D$5:$D$315,L$2)</f>
        <v/>
      </c>
      <c r="M6" s="18">
        <f>SUMIFS(Entreprises!$N$5:$N$639,Entreprises!$A$5:$A$639,$A6,Entreprises!$C$5:$C$639,M$3,Entreprises!$D$5:$D$639,M$2)+SUMIFS(Banques!$P$5:$P$315,Banques!$A$5:$A$315,$A6,Banques!$C$5:$C$315,M$3,Banques!$D$5:$D$315,M$2)</f>
        <v/>
      </c>
      <c r="N6" s="18">
        <f>SUMIFS(Entreprises!$N$5:$N$639,Entreprises!$A$5:$A$639,$A6,Entreprises!$C$5:$C$639,N$3,Entreprises!$D$5:$D$639,N$2)+SUMIFS(Banques!$P$5:$P$315,Banques!$A$5:$A$315,$A6,Banques!$C$5:$C$315,N$3,Banques!$D$5:$D$315,N$2)</f>
        <v/>
      </c>
      <c r="O6" s="18">
        <f>SUMIFS(Entreprises!$N$5:$N$639,Entreprises!$A$5:$A$639,$A6,Entreprises!$C$5:$C$639,O$3,Entreprises!$D$5:$D$639,O$2)+SUMIFS(Banques!$P$5:$P$315,Banques!$A$5:$A$315,$A6,Banques!$C$5:$C$315,O$3,Banques!$D$5:$D$315,O$2)</f>
        <v/>
      </c>
      <c r="P6" s="18">
        <f>SUMIFS(Entreprises!$N$5:$N$639,Entreprises!$A$5:$A$639,$A6,Entreprises!$C$5:$C$639,P$3,Entreprises!$D$5:$D$639,P$2)+SUMIFS(Banques!$P$5:$P$315,Banques!$A$5:$A$315,$A6,Banques!$C$5:$C$315,P$3,Banques!$D$5:$D$315,P$2)</f>
        <v/>
      </c>
      <c r="Q6" s="18">
        <f>SUMIFS(Entreprises!$N$5:$N$639,Entreprises!$A$5:$A$639,$A6,Entreprises!$C$5:$C$639,Q$3,Entreprises!$D$5:$D$639,Q$2)+SUMIFS(Banques!$P$5:$P$315,Banques!$A$5:$A$315,$A6,Banques!$C$5:$C$315,Q$3,Banques!$D$5:$D$315,Q$2)</f>
        <v/>
      </c>
      <c r="R6" s="18">
        <f>SUMIFS(Entreprises!$N$5:$N$639,Entreprises!$A$5:$A$639,$A6,Entreprises!$C$5:$C$639,R$3,Entreprises!$D$5:$D$639,R$2)+SUMIFS(Banques!$P$5:$P$315,Banques!$A$5:$A$315,$A6,Banques!$C$5:$C$315,R$3,Banques!$D$5:$D$315,R$2)</f>
        <v/>
      </c>
      <c r="S6" s="18">
        <f>SUMIFS(Entreprises!$N$5:$N$639,Entreprises!$A$5:$A$639,$A6,Entreprises!$C$5:$C$639,S$3,Entreprises!$D$5:$D$639,S$2)+SUMIFS(Banques!$P$5:$P$315,Banques!$A$5:$A$315,$A6,Banques!$C$5:$C$315,S$3,Banques!$D$5:$D$315,S$2)</f>
        <v/>
      </c>
      <c r="T6" s="18">
        <f>SUMIFS(Entreprises!$N$5:$N$639,Entreprises!$A$5:$A$639,$A6,Entreprises!$C$5:$C$639,T$3,Entreprises!$D$5:$D$639,T$2)+SUMIFS(Banques!$P$5:$P$315,Banques!$A$5:$A$315,$A6,Banques!$C$5:$C$315,T$3,Banques!$D$5:$D$315,T$2)</f>
        <v/>
      </c>
      <c r="U6" s="18">
        <f>SUMIFS(Entreprises!$N$5:$N$639,Entreprises!$A$5:$A$639,$A6,Entreprises!$C$5:$C$639,U$3,Entreprises!$D$5:$D$639,U$2)+SUMIFS(Banques!$P$5:$P$315,Banques!$A$5:$A$315,$A6,Banques!$C$5:$C$315,U$3,Banques!$D$5:$D$315,U$2)</f>
        <v/>
      </c>
    </row>
    <row r="7">
      <c r="A7" s="17" t="inlineStr">
        <is>
          <t>SCRC</t>
        </is>
      </c>
      <c r="B7" s="17">
        <f>IFERROR(VLOOKUP(A7,Titres!$A$2:$D$400,2,FALSE),"")</f>
        <v/>
      </c>
      <c r="C7" s="17">
        <f>IFERROR(VLOOKUP(A7,Titres!$A$2:$D$400,4,FALSE),"")</f>
        <v/>
      </c>
      <c r="D7" s="18">
        <f>SUMIFS(Entreprises!$N$5:$N$639,Entreprises!$A$5:$A$639,$A7,Entreprises!$C$5:$C$639,D$3,Entreprises!$D$5:$D$639,D$2)+SUMIFS(Banques!$P$5:$P$315,Banques!$A$5:$A$315,$A7,Banques!$C$5:$C$315,D$3,Banques!$D$5:$D$315,D$2)</f>
        <v/>
      </c>
      <c r="E7" s="18">
        <f>SUMIFS(Entreprises!$N$5:$N$639,Entreprises!$A$5:$A$639,$A7,Entreprises!$C$5:$C$639,E$3,Entreprises!$D$5:$D$639,E$2)+SUMIFS(Banques!$P$5:$P$315,Banques!$A$5:$A$315,$A7,Banques!$C$5:$C$315,E$3,Banques!$D$5:$D$315,E$2)</f>
        <v/>
      </c>
      <c r="F7" s="18">
        <f>SUMIFS(Entreprises!$N$5:$N$639,Entreprises!$A$5:$A$639,$A7,Entreprises!$C$5:$C$639,F$3,Entreprises!$D$5:$D$639,F$2)+SUMIFS(Banques!$P$5:$P$315,Banques!$A$5:$A$315,$A7,Banques!$C$5:$C$315,F$3,Banques!$D$5:$D$315,F$2)</f>
        <v/>
      </c>
      <c r="G7" s="18">
        <f>SUMIFS(Entreprises!$N$5:$N$639,Entreprises!$A$5:$A$639,$A7,Entreprises!$C$5:$C$639,G$3,Entreprises!$D$5:$D$639,G$2)+SUMIFS(Banques!$P$5:$P$315,Banques!$A$5:$A$315,$A7,Banques!$C$5:$C$315,G$3,Banques!$D$5:$D$315,G$2)</f>
        <v/>
      </c>
      <c r="H7" s="18">
        <f>SUMIFS(Entreprises!$N$5:$N$639,Entreprises!$A$5:$A$639,$A7,Entreprises!$C$5:$C$639,H$3,Entreprises!$D$5:$D$639,H$2)+SUMIFS(Banques!$P$5:$P$315,Banques!$A$5:$A$315,$A7,Banques!$C$5:$C$315,H$3,Banques!$D$5:$D$315,H$2)</f>
        <v/>
      </c>
      <c r="I7" s="18">
        <f>SUMIFS(Entreprises!$N$5:$N$639,Entreprises!$A$5:$A$639,$A7,Entreprises!$C$5:$C$639,I$3,Entreprises!$D$5:$D$639,I$2)+SUMIFS(Banques!$P$5:$P$315,Banques!$A$5:$A$315,$A7,Banques!$C$5:$C$315,I$3,Banques!$D$5:$D$315,I$2)</f>
        <v/>
      </c>
      <c r="J7" s="18">
        <f>SUMIFS(Entreprises!$N$5:$N$639,Entreprises!$A$5:$A$639,$A7,Entreprises!$C$5:$C$639,J$3,Entreprises!$D$5:$D$639,J$2)+SUMIFS(Banques!$P$5:$P$315,Banques!$A$5:$A$315,$A7,Banques!$C$5:$C$315,J$3,Banques!$D$5:$D$315,J$2)</f>
        <v/>
      </c>
      <c r="K7" s="18">
        <f>SUMIFS(Entreprises!$N$5:$N$639,Entreprises!$A$5:$A$639,$A7,Entreprises!$C$5:$C$639,K$3,Entreprises!$D$5:$D$639,K$2)+SUMIFS(Banques!$P$5:$P$315,Banques!$A$5:$A$315,$A7,Banques!$C$5:$C$315,K$3,Banques!$D$5:$D$315,K$2)</f>
        <v/>
      </c>
      <c r="L7" s="18">
        <f>SUMIFS(Entreprises!$N$5:$N$639,Entreprises!$A$5:$A$639,$A7,Entreprises!$C$5:$C$639,L$3,Entreprises!$D$5:$D$639,L$2)+SUMIFS(Banques!$P$5:$P$315,Banques!$A$5:$A$315,$A7,Banques!$C$5:$C$315,L$3,Banques!$D$5:$D$315,L$2)</f>
        <v/>
      </c>
      <c r="M7" s="18">
        <f>SUMIFS(Entreprises!$N$5:$N$639,Entreprises!$A$5:$A$639,$A7,Entreprises!$C$5:$C$639,M$3,Entreprises!$D$5:$D$639,M$2)+SUMIFS(Banques!$P$5:$P$315,Banques!$A$5:$A$315,$A7,Banques!$C$5:$C$315,M$3,Banques!$D$5:$D$315,M$2)</f>
        <v/>
      </c>
      <c r="N7" s="18">
        <f>SUMIFS(Entreprises!$N$5:$N$639,Entreprises!$A$5:$A$639,$A7,Entreprises!$C$5:$C$639,N$3,Entreprises!$D$5:$D$639,N$2)+SUMIFS(Banques!$P$5:$P$315,Banques!$A$5:$A$315,$A7,Banques!$C$5:$C$315,N$3,Banques!$D$5:$D$315,N$2)</f>
        <v/>
      </c>
      <c r="O7" s="18">
        <f>SUMIFS(Entreprises!$N$5:$N$639,Entreprises!$A$5:$A$639,$A7,Entreprises!$C$5:$C$639,O$3,Entreprises!$D$5:$D$639,O$2)+SUMIFS(Banques!$P$5:$P$315,Banques!$A$5:$A$315,$A7,Banques!$C$5:$C$315,O$3,Banques!$D$5:$D$315,O$2)</f>
        <v/>
      </c>
      <c r="P7" s="18">
        <f>SUMIFS(Entreprises!$N$5:$N$639,Entreprises!$A$5:$A$639,$A7,Entreprises!$C$5:$C$639,P$3,Entreprises!$D$5:$D$639,P$2)+SUMIFS(Banques!$P$5:$P$315,Banques!$A$5:$A$315,$A7,Banques!$C$5:$C$315,P$3,Banques!$D$5:$D$315,P$2)</f>
        <v/>
      </c>
      <c r="Q7" s="18">
        <f>SUMIFS(Entreprises!$N$5:$N$639,Entreprises!$A$5:$A$639,$A7,Entreprises!$C$5:$C$639,Q$3,Entreprises!$D$5:$D$639,Q$2)+SUMIFS(Banques!$P$5:$P$315,Banques!$A$5:$A$315,$A7,Banques!$C$5:$C$315,Q$3,Banques!$D$5:$D$315,Q$2)</f>
        <v/>
      </c>
      <c r="R7" s="18">
        <f>SUMIFS(Entreprises!$N$5:$N$639,Entreprises!$A$5:$A$639,$A7,Entreprises!$C$5:$C$639,R$3,Entreprises!$D$5:$D$639,R$2)+SUMIFS(Banques!$P$5:$P$315,Banques!$A$5:$A$315,$A7,Banques!$C$5:$C$315,R$3,Banques!$D$5:$D$315,R$2)</f>
        <v/>
      </c>
      <c r="S7" s="18">
        <f>SUMIFS(Entreprises!$N$5:$N$639,Entreprises!$A$5:$A$639,$A7,Entreprises!$C$5:$C$639,S$3,Entreprises!$D$5:$D$639,S$2)+SUMIFS(Banques!$P$5:$P$315,Banques!$A$5:$A$315,$A7,Banques!$C$5:$C$315,S$3,Banques!$D$5:$D$315,S$2)</f>
        <v/>
      </c>
      <c r="T7" s="18">
        <f>SUMIFS(Entreprises!$N$5:$N$639,Entreprises!$A$5:$A$639,$A7,Entreprises!$C$5:$C$639,T$3,Entreprises!$D$5:$D$639,T$2)+SUMIFS(Banques!$P$5:$P$315,Banques!$A$5:$A$315,$A7,Banques!$C$5:$C$315,T$3,Banques!$D$5:$D$315,T$2)</f>
        <v/>
      </c>
      <c r="U7" s="18">
        <f>SUMIFS(Entreprises!$N$5:$N$639,Entreprises!$A$5:$A$639,$A7,Entreprises!$C$5:$C$639,U$3,Entreprises!$D$5:$D$639,U$2)+SUMIFS(Banques!$P$5:$P$315,Banques!$A$5:$A$315,$A7,Banques!$C$5:$C$315,U$3,Banques!$D$5:$D$315,U$2)</f>
        <v/>
      </c>
    </row>
    <row r="8">
      <c r="A8" s="17" t="inlineStr">
        <is>
          <t>SICC</t>
        </is>
      </c>
      <c r="B8" s="17">
        <f>IFERROR(VLOOKUP(A8,Titres!$A$2:$D$400,2,FALSE),"")</f>
        <v/>
      </c>
      <c r="C8" s="17">
        <f>IFERROR(VLOOKUP(A8,Titres!$A$2:$D$400,4,FALSE),"")</f>
        <v/>
      </c>
      <c r="D8" s="18">
        <f>SUMIFS(Entreprises!$N$5:$N$639,Entreprises!$A$5:$A$639,$A8,Entreprises!$C$5:$C$639,D$3,Entreprises!$D$5:$D$639,D$2)+SUMIFS(Banques!$P$5:$P$315,Banques!$A$5:$A$315,$A8,Banques!$C$5:$C$315,D$3,Banques!$D$5:$D$315,D$2)</f>
        <v/>
      </c>
      <c r="E8" s="18">
        <f>SUMIFS(Entreprises!$N$5:$N$639,Entreprises!$A$5:$A$639,$A8,Entreprises!$C$5:$C$639,E$3,Entreprises!$D$5:$D$639,E$2)+SUMIFS(Banques!$P$5:$P$315,Banques!$A$5:$A$315,$A8,Banques!$C$5:$C$315,E$3,Banques!$D$5:$D$315,E$2)</f>
        <v/>
      </c>
      <c r="F8" s="18">
        <f>SUMIFS(Entreprises!$N$5:$N$639,Entreprises!$A$5:$A$639,$A8,Entreprises!$C$5:$C$639,F$3,Entreprises!$D$5:$D$639,F$2)+SUMIFS(Banques!$P$5:$P$315,Banques!$A$5:$A$315,$A8,Banques!$C$5:$C$315,F$3,Banques!$D$5:$D$315,F$2)</f>
        <v/>
      </c>
      <c r="G8" s="18">
        <f>SUMIFS(Entreprises!$N$5:$N$639,Entreprises!$A$5:$A$639,$A8,Entreprises!$C$5:$C$639,G$3,Entreprises!$D$5:$D$639,G$2)+SUMIFS(Banques!$P$5:$P$315,Banques!$A$5:$A$315,$A8,Banques!$C$5:$C$315,G$3,Banques!$D$5:$D$315,G$2)</f>
        <v/>
      </c>
      <c r="H8" s="18">
        <f>SUMIFS(Entreprises!$N$5:$N$639,Entreprises!$A$5:$A$639,$A8,Entreprises!$C$5:$C$639,H$3,Entreprises!$D$5:$D$639,H$2)+SUMIFS(Banques!$P$5:$P$315,Banques!$A$5:$A$315,$A8,Banques!$C$5:$C$315,H$3,Banques!$D$5:$D$315,H$2)</f>
        <v/>
      </c>
      <c r="I8" s="18">
        <f>SUMIFS(Entreprises!$N$5:$N$639,Entreprises!$A$5:$A$639,$A8,Entreprises!$C$5:$C$639,I$3,Entreprises!$D$5:$D$639,I$2)+SUMIFS(Banques!$P$5:$P$315,Banques!$A$5:$A$315,$A8,Banques!$C$5:$C$315,I$3,Banques!$D$5:$D$315,I$2)</f>
        <v/>
      </c>
      <c r="J8" s="18">
        <f>SUMIFS(Entreprises!$N$5:$N$639,Entreprises!$A$5:$A$639,$A8,Entreprises!$C$5:$C$639,J$3,Entreprises!$D$5:$D$639,J$2)+SUMIFS(Banques!$P$5:$P$315,Banques!$A$5:$A$315,$A8,Banques!$C$5:$C$315,J$3,Banques!$D$5:$D$315,J$2)</f>
        <v/>
      </c>
      <c r="K8" s="18">
        <f>SUMIFS(Entreprises!$N$5:$N$639,Entreprises!$A$5:$A$639,$A8,Entreprises!$C$5:$C$639,K$3,Entreprises!$D$5:$D$639,K$2)+SUMIFS(Banques!$P$5:$P$315,Banques!$A$5:$A$315,$A8,Banques!$C$5:$C$315,K$3,Banques!$D$5:$D$315,K$2)</f>
        <v/>
      </c>
      <c r="L8" s="18">
        <f>SUMIFS(Entreprises!$N$5:$N$639,Entreprises!$A$5:$A$639,$A8,Entreprises!$C$5:$C$639,L$3,Entreprises!$D$5:$D$639,L$2)+SUMIFS(Banques!$P$5:$P$315,Banques!$A$5:$A$315,$A8,Banques!$C$5:$C$315,L$3,Banques!$D$5:$D$315,L$2)</f>
        <v/>
      </c>
      <c r="M8" s="18">
        <f>SUMIFS(Entreprises!$N$5:$N$639,Entreprises!$A$5:$A$639,$A8,Entreprises!$C$5:$C$639,M$3,Entreprises!$D$5:$D$639,M$2)+SUMIFS(Banques!$P$5:$P$315,Banques!$A$5:$A$315,$A8,Banques!$C$5:$C$315,M$3,Banques!$D$5:$D$315,M$2)</f>
        <v/>
      </c>
      <c r="N8" s="18">
        <f>SUMIFS(Entreprises!$N$5:$N$639,Entreprises!$A$5:$A$639,$A8,Entreprises!$C$5:$C$639,N$3,Entreprises!$D$5:$D$639,N$2)+SUMIFS(Banques!$P$5:$P$315,Banques!$A$5:$A$315,$A8,Banques!$C$5:$C$315,N$3,Banques!$D$5:$D$315,N$2)</f>
        <v/>
      </c>
      <c r="O8" s="18">
        <f>SUMIFS(Entreprises!$N$5:$N$639,Entreprises!$A$5:$A$639,$A8,Entreprises!$C$5:$C$639,O$3,Entreprises!$D$5:$D$639,O$2)+SUMIFS(Banques!$P$5:$P$315,Banques!$A$5:$A$315,$A8,Banques!$C$5:$C$315,O$3,Banques!$D$5:$D$315,O$2)</f>
        <v/>
      </c>
      <c r="P8" s="18">
        <f>SUMIFS(Entreprises!$N$5:$N$639,Entreprises!$A$5:$A$639,$A8,Entreprises!$C$5:$C$639,P$3,Entreprises!$D$5:$D$639,P$2)+SUMIFS(Banques!$P$5:$P$315,Banques!$A$5:$A$315,$A8,Banques!$C$5:$C$315,P$3,Banques!$D$5:$D$315,P$2)</f>
        <v/>
      </c>
      <c r="Q8" s="18">
        <f>SUMIFS(Entreprises!$N$5:$N$639,Entreprises!$A$5:$A$639,$A8,Entreprises!$C$5:$C$639,Q$3,Entreprises!$D$5:$D$639,Q$2)+SUMIFS(Banques!$P$5:$P$315,Banques!$A$5:$A$315,$A8,Banques!$C$5:$C$315,Q$3,Banques!$D$5:$D$315,Q$2)</f>
        <v/>
      </c>
      <c r="R8" s="18">
        <f>SUMIFS(Entreprises!$N$5:$N$639,Entreprises!$A$5:$A$639,$A8,Entreprises!$C$5:$C$639,R$3,Entreprises!$D$5:$D$639,R$2)+SUMIFS(Banques!$P$5:$P$315,Banques!$A$5:$A$315,$A8,Banques!$C$5:$C$315,R$3,Banques!$D$5:$D$315,R$2)</f>
        <v/>
      </c>
      <c r="S8" s="18">
        <f>SUMIFS(Entreprises!$N$5:$N$639,Entreprises!$A$5:$A$639,$A8,Entreprises!$C$5:$C$639,S$3,Entreprises!$D$5:$D$639,S$2)+SUMIFS(Banques!$P$5:$P$315,Banques!$A$5:$A$315,$A8,Banques!$C$5:$C$315,S$3,Banques!$D$5:$D$315,S$2)</f>
        <v/>
      </c>
      <c r="T8" s="18">
        <f>SUMIFS(Entreprises!$N$5:$N$639,Entreprises!$A$5:$A$639,$A8,Entreprises!$C$5:$C$639,T$3,Entreprises!$D$5:$D$639,T$2)+SUMIFS(Banques!$P$5:$P$315,Banques!$A$5:$A$315,$A8,Banques!$C$5:$C$315,T$3,Banques!$D$5:$D$315,T$2)</f>
        <v/>
      </c>
      <c r="U8" s="18">
        <f>SUMIFS(Entreprises!$N$5:$N$639,Entreprises!$A$5:$A$639,$A8,Entreprises!$C$5:$C$639,U$3,Entreprises!$D$5:$D$639,U$2)+SUMIFS(Banques!$P$5:$P$315,Banques!$A$5:$A$315,$A8,Banques!$C$5:$C$315,U$3,Banques!$D$5:$D$315,U$2)</f>
        <v/>
      </c>
    </row>
    <row r="9">
      <c r="A9" s="17" t="inlineStr">
        <is>
          <t>SLBC</t>
        </is>
      </c>
      <c r="B9" s="17">
        <f>IFERROR(VLOOKUP(A9,Titres!$A$2:$D$400,2,FALSE),"")</f>
        <v/>
      </c>
      <c r="C9" s="17">
        <f>IFERROR(VLOOKUP(A9,Titres!$A$2:$D$400,4,FALSE),"")</f>
        <v/>
      </c>
      <c r="D9" s="18">
        <f>SUMIFS(Entreprises!$N$5:$N$639,Entreprises!$A$5:$A$639,$A9,Entreprises!$C$5:$C$639,D$3,Entreprises!$D$5:$D$639,D$2)+SUMIFS(Banques!$P$5:$P$315,Banques!$A$5:$A$315,$A9,Banques!$C$5:$C$315,D$3,Banques!$D$5:$D$315,D$2)</f>
        <v/>
      </c>
      <c r="E9" s="18">
        <f>SUMIFS(Entreprises!$N$5:$N$639,Entreprises!$A$5:$A$639,$A9,Entreprises!$C$5:$C$639,E$3,Entreprises!$D$5:$D$639,E$2)+SUMIFS(Banques!$P$5:$P$315,Banques!$A$5:$A$315,$A9,Banques!$C$5:$C$315,E$3,Banques!$D$5:$D$315,E$2)</f>
        <v/>
      </c>
      <c r="F9" s="18">
        <f>SUMIFS(Entreprises!$N$5:$N$639,Entreprises!$A$5:$A$639,$A9,Entreprises!$C$5:$C$639,F$3,Entreprises!$D$5:$D$639,F$2)+SUMIFS(Banques!$P$5:$P$315,Banques!$A$5:$A$315,$A9,Banques!$C$5:$C$315,F$3,Banques!$D$5:$D$315,F$2)</f>
        <v/>
      </c>
      <c r="G9" s="18">
        <f>SUMIFS(Entreprises!$N$5:$N$639,Entreprises!$A$5:$A$639,$A9,Entreprises!$C$5:$C$639,G$3,Entreprises!$D$5:$D$639,G$2)+SUMIFS(Banques!$P$5:$P$315,Banques!$A$5:$A$315,$A9,Banques!$C$5:$C$315,G$3,Banques!$D$5:$D$315,G$2)</f>
        <v/>
      </c>
      <c r="H9" s="18">
        <f>SUMIFS(Entreprises!$N$5:$N$639,Entreprises!$A$5:$A$639,$A9,Entreprises!$C$5:$C$639,H$3,Entreprises!$D$5:$D$639,H$2)+SUMIFS(Banques!$P$5:$P$315,Banques!$A$5:$A$315,$A9,Banques!$C$5:$C$315,H$3,Banques!$D$5:$D$315,H$2)</f>
        <v/>
      </c>
      <c r="I9" s="18">
        <f>SUMIFS(Entreprises!$N$5:$N$639,Entreprises!$A$5:$A$639,$A9,Entreprises!$C$5:$C$639,I$3,Entreprises!$D$5:$D$639,I$2)+SUMIFS(Banques!$P$5:$P$315,Banques!$A$5:$A$315,$A9,Banques!$C$5:$C$315,I$3,Banques!$D$5:$D$315,I$2)</f>
        <v/>
      </c>
      <c r="J9" s="18">
        <f>SUMIFS(Entreprises!$N$5:$N$639,Entreprises!$A$5:$A$639,$A9,Entreprises!$C$5:$C$639,J$3,Entreprises!$D$5:$D$639,J$2)+SUMIFS(Banques!$P$5:$P$315,Banques!$A$5:$A$315,$A9,Banques!$C$5:$C$315,J$3,Banques!$D$5:$D$315,J$2)</f>
        <v/>
      </c>
      <c r="K9" s="18">
        <f>SUMIFS(Entreprises!$N$5:$N$639,Entreprises!$A$5:$A$639,$A9,Entreprises!$C$5:$C$639,K$3,Entreprises!$D$5:$D$639,K$2)+SUMIFS(Banques!$P$5:$P$315,Banques!$A$5:$A$315,$A9,Banques!$C$5:$C$315,K$3,Banques!$D$5:$D$315,K$2)</f>
        <v/>
      </c>
      <c r="L9" s="18">
        <f>SUMIFS(Entreprises!$N$5:$N$639,Entreprises!$A$5:$A$639,$A9,Entreprises!$C$5:$C$639,L$3,Entreprises!$D$5:$D$639,L$2)+SUMIFS(Banques!$P$5:$P$315,Banques!$A$5:$A$315,$A9,Banques!$C$5:$C$315,L$3,Banques!$D$5:$D$315,L$2)</f>
        <v/>
      </c>
      <c r="M9" s="18">
        <f>SUMIFS(Entreprises!$N$5:$N$639,Entreprises!$A$5:$A$639,$A9,Entreprises!$C$5:$C$639,M$3,Entreprises!$D$5:$D$639,M$2)+SUMIFS(Banques!$P$5:$P$315,Banques!$A$5:$A$315,$A9,Banques!$C$5:$C$315,M$3,Banques!$D$5:$D$315,M$2)</f>
        <v/>
      </c>
      <c r="N9" s="18">
        <f>SUMIFS(Entreprises!$N$5:$N$639,Entreprises!$A$5:$A$639,$A9,Entreprises!$C$5:$C$639,N$3,Entreprises!$D$5:$D$639,N$2)+SUMIFS(Banques!$P$5:$P$315,Banques!$A$5:$A$315,$A9,Banques!$C$5:$C$315,N$3,Banques!$D$5:$D$315,N$2)</f>
        <v/>
      </c>
      <c r="O9" s="18">
        <f>SUMIFS(Entreprises!$N$5:$N$639,Entreprises!$A$5:$A$639,$A9,Entreprises!$C$5:$C$639,O$3,Entreprises!$D$5:$D$639,O$2)+SUMIFS(Banques!$P$5:$P$315,Banques!$A$5:$A$315,$A9,Banques!$C$5:$C$315,O$3,Banques!$D$5:$D$315,O$2)</f>
        <v/>
      </c>
      <c r="P9" s="18">
        <f>SUMIFS(Entreprises!$N$5:$N$639,Entreprises!$A$5:$A$639,$A9,Entreprises!$C$5:$C$639,P$3,Entreprises!$D$5:$D$639,P$2)+SUMIFS(Banques!$P$5:$P$315,Banques!$A$5:$A$315,$A9,Banques!$C$5:$C$315,P$3,Banques!$D$5:$D$315,P$2)</f>
        <v/>
      </c>
      <c r="Q9" s="18">
        <f>SUMIFS(Entreprises!$N$5:$N$639,Entreprises!$A$5:$A$639,$A9,Entreprises!$C$5:$C$639,Q$3,Entreprises!$D$5:$D$639,Q$2)+SUMIFS(Banques!$P$5:$P$315,Banques!$A$5:$A$315,$A9,Banques!$C$5:$C$315,Q$3,Banques!$D$5:$D$315,Q$2)</f>
        <v/>
      </c>
      <c r="R9" s="18">
        <f>SUMIFS(Entreprises!$N$5:$N$639,Entreprises!$A$5:$A$639,$A9,Entreprises!$C$5:$C$639,R$3,Entreprises!$D$5:$D$639,R$2)+SUMIFS(Banques!$P$5:$P$315,Banques!$A$5:$A$315,$A9,Banques!$C$5:$C$315,R$3,Banques!$D$5:$D$315,R$2)</f>
        <v/>
      </c>
      <c r="S9" s="18">
        <f>SUMIFS(Entreprises!$N$5:$N$639,Entreprises!$A$5:$A$639,$A9,Entreprises!$C$5:$C$639,S$3,Entreprises!$D$5:$D$639,S$2)+SUMIFS(Banques!$P$5:$P$315,Banques!$A$5:$A$315,$A9,Banques!$C$5:$C$315,S$3,Banques!$D$5:$D$315,S$2)</f>
        <v/>
      </c>
      <c r="T9" s="18">
        <f>SUMIFS(Entreprises!$N$5:$N$639,Entreprises!$A$5:$A$639,$A9,Entreprises!$C$5:$C$639,T$3,Entreprises!$D$5:$D$639,T$2)+SUMIFS(Banques!$P$5:$P$315,Banques!$A$5:$A$315,$A9,Banques!$C$5:$C$315,T$3,Banques!$D$5:$D$315,T$2)</f>
        <v/>
      </c>
      <c r="U9" s="18">
        <f>SUMIFS(Entreprises!$N$5:$N$639,Entreprises!$A$5:$A$639,$A9,Entreprises!$C$5:$C$639,U$3,Entreprises!$D$5:$D$639,U$2)+SUMIFS(Banques!$P$5:$P$315,Banques!$A$5:$A$315,$A9,Banques!$C$5:$C$315,U$3,Banques!$D$5:$D$315,U$2)</f>
        <v/>
      </c>
    </row>
    <row r="10">
      <c r="A10" s="17" t="inlineStr">
        <is>
          <t>SOGC</t>
        </is>
      </c>
      <c r="B10" s="17">
        <f>IFERROR(VLOOKUP(A10,Titres!$A$2:$D$400,2,FALSE),"")</f>
        <v/>
      </c>
      <c r="C10" s="17">
        <f>IFERROR(VLOOKUP(A10,Titres!$A$2:$D$400,4,FALSE),"")</f>
        <v/>
      </c>
      <c r="D10" s="18">
        <f>SUMIFS(Entreprises!$N$5:$N$639,Entreprises!$A$5:$A$639,$A10,Entreprises!$C$5:$C$639,D$3,Entreprises!$D$5:$D$639,D$2)+SUMIFS(Banques!$P$5:$P$315,Banques!$A$5:$A$315,$A10,Banques!$C$5:$C$315,D$3,Banques!$D$5:$D$315,D$2)</f>
        <v/>
      </c>
      <c r="E10" s="18">
        <f>SUMIFS(Entreprises!$N$5:$N$639,Entreprises!$A$5:$A$639,$A10,Entreprises!$C$5:$C$639,E$3,Entreprises!$D$5:$D$639,E$2)+SUMIFS(Banques!$P$5:$P$315,Banques!$A$5:$A$315,$A10,Banques!$C$5:$C$315,E$3,Banques!$D$5:$D$315,E$2)</f>
        <v/>
      </c>
      <c r="F10" s="18">
        <f>SUMIFS(Entreprises!$N$5:$N$639,Entreprises!$A$5:$A$639,$A10,Entreprises!$C$5:$C$639,F$3,Entreprises!$D$5:$D$639,F$2)+SUMIFS(Banques!$P$5:$P$315,Banques!$A$5:$A$315,$A10,Banques!$C$5:$C$315,F$3,Banques!$D$5:$D$315,F$2)</f>
        <v/>
      </c>
      <c r="G10" s="18">
        <f>SUMIFS(Entreprises!$N$5:$N$639,Entreprises!$A$5:$A$639,$A10,Entreprises!$C$5:$C$639,G$3,Entreprises!$D$5:$D$639,G$2)+SUMIFS(Banques!$P$5:$P$315,Banques!$A$5:$A$315,$A10,Banques!$C$5:$C$315,G$3,Banques!$D$5:$D$315,G$2)</f>
        <v/>
      </c>
      <c r="H10" s="18">
        <f>SUMIFS(Entreprises!$N$5:$N$639,Entreprises!$A$5:$A$639,$A10,Entreprises!$C$5:$C$639,H$3,Entreprises!$D$5:$D$639,H$2)+SUMIFS(Banques!$P$5:$P$315,Banques!$A$5:$A$315,$A10,Banques!$C$5:$C$315,H$3,Banques!$D$5:$D$315,H$2)</f>
        <v/>
      </c>
      <c r="I10" s="18">
        <f>SUMIFS(Entreprises!$N$5:$N$639,Entreprises!$A$5:$A$639,$A10,Entreprises!$C$5:$C$639,I$3,Entreprises!$D$5:$D$639,I$2)+SUMIFS(Banques!$P$5:$P$315,Banques!$A$5:$A$315,$A10,Banques!$C$5:$C$315,I$3,Banques!$D$5:$D$315,I$2)</f>
        <v/>
      </c>
      <c r="J10" s="18">
        <f>SUMIFS(Entreprises!$N$5:$N$639,Entreprises!$A$5:$A$639,$A10,Entreprises!$C$5:$C$639,J$3,Entreprises!$D$5:$D$639,J$2)+SUMIFS(Banques!$P$5:$P$315,Banques!$A$5:$A$315,$A10,Banques!$C$5:$C$315,J$3,Banques!$D$5:$D$315,J$2)</f>
        <v/>
      </c>
      <c r="K10" s="18">
        <f>SUMIFS(Entreprises!$N$5:$N$639,Entreprises!$A$5:$A$639,$A10,Entreprises!$C$5:$C$639,K$3,Entreprises!$D$5:$D$639,K$2)+SUMIFS(Banques!$P$5:$P$315,Banques!$A$5:$A$315,$A10,Banques!$C$5:$C$315,K$3,Banques!$D$5:$D$315,K$2)</f>
        <v/>
      </c>
      <c r="L10" s="18">
        <f>SUMIFS(Entreprises!$N$5:$N$639,Entreprises!$A$5:$A$639,$A10,Entreprises!$C$5:$C$639,L$3,Entreprises!$D$5:$D$639,L$2)+SUMIFS(Banques!$P$5:$P$315,Banques!$A$5:$A$315,$A10,Banques!$C$5:$C$315,L$3,Banques!$D$5:$D$315,L$2)</f>
        <v/>
      </c>
      <c r="M10" s="18">
        <f>SUMIFS(Entreprises!$N$5:$N$639,Entreprises!$A$5:$A$639,$A10,Entreprises!$C$5:$C$639,M$3,Entreprises!$D$5:$D$639,M$2)+SUMIFS(Banques!$P$5:$P$315,Banques!$A$5:$A$315,$A10,Banques!$C$5:$C$315,M$3,Banques!$D$5:$D$315,M$2)</f>
        <v/>
      </c>
      <c r="N10" s="18">
        <f>SUMIFS(Entreprises!$N$5:$N$639,Entreprises!$A$5:$A$639,$A10,Entreprises!$C$5:$C$639,N$3,Entreprises!$D$5:$D$639,N$2)+SUMIFS(Banques!$P$5:$P$315,Banques!$A$5:$A$315,$A10,Banques!$C$5:$C$315,N$3,Banques!$D$5:$D$315,N$2)</f>
        <v/>
      </c>
      <c r="O10" s="18">
        <f>SUMIFS(Entreprises!$N$5:$N$639,Entreprises!$A$5:$A$639,$A10,Entreprises!$C$5:$C$639,O$3,Entreprises!$D$5:$D$639,O$2)+SUMIFS(Banques!$P$5:$P$315,Banques!$A$5:$A$315,$A10,Banques!$C$5:$C$315,O$3,Banques!$D$5:$D$315,O$2)</f>
        <v/>
      </c>
      <c r="P10" s="18">
        <f>SUMIFS(Entreprises!$N$5:$N$639,Entreprises!$A$5:$A$639,$A10,Entreprises!$C$5:$C$639,P$3,Entreprises!$D$5:$D$639,P$2)+SUMIFS(Banques!$P$5:$P$315,Banques!$A$5:$A$315,$A10,Banques!$C$5:$C$315,P$3,Banques!$D$5:$D$315,P$2)</f>
        <v/>
      </c>
      <c r="Q10" s="18">
        <f>SUMIFS(Entreprises!$N$5:$N$639,Entreprises!$A$5:$A$639,$A10,Entreprises!$C$5:$C$639,Q$3,Entreprises!$D$5:$D$639,Q$2)+SUMIFS(Banques!$P$5:$P$315,Banques!$A$5:$A$315,$A10,Banques!$C$5:$C$315,Q$3,Banques!$D$5:$D$315,Q$2)</f>
        <v/>
      </c>
      <c r="R10" s="18">
        <f>SUMIFS(Entreprises!$N$5:$N$639,Entreprises!$A$5:$A$639,$A10,Entreprises!$C$5:$C$639,R$3,Entreprises!$D$5:$D$639,R$2)+SUMIFS(Banques!$P$5:$P$315,Banques!$A$5:$A$315,$A10,Banques!$C$5:$C$315,R$3,Banques!$D$5:$D$315,R$2)</f>
        <v/>
      </c>
      <c r="S10" s="18">
        <f>SUMIFS(Entreprises!$N$5:$N$639,Entreprises!$A$5:$A$639,$A10,Entreprises!$C$5:$C$639,S$3,Entreprises!$D$5:$D$639,S$2)+SUMIFS(Banques!$P$5:$P$315,Banques!$A$5:$A$315,$A10,Banques!$C$5:$C$315,S$3,Banques!$D$5:$D$315,S$2)</f>
        <v/>
      </c>
      <c r="T10" s="18">
        <f>SUMIFS(Entreprises!$N$5:$N$639,Entreprises!$A$5:$A$639,$A10,Entreprises!$C$5:$C$639,T$3,Entreprises!$D$5:$D$639,T$2)+SUMIFS(Banques!$P$5:$P$315,Banques!$A$5:$A$315,$A10,Banques!$C$5:$C$315,T$3,Banques!$D$5:$D$315,T$2)</f>
        <v/>
      </c>
      <c r="U10" s="18">
        <f>SUMIFS(Entreprises!$N$5:$N$639,Entreprises!$A$5:$A$639,$A10,Entreprises!$C$5:$C$639,U$3,Entreprises!$D$5:$D$639,U$2)+SUMIFS(Banques!$P$5:$P$315,Banques!$A$5:$A$315,$A10,Banques!$C$5:$C$315,U$3,Banques!$D$5:$D$315,U$2)</f>
        <v/>
      </c>
    </row>
    <row r="11">
      <c r="A11" s="17" t="inlineStr">
        <is>
          <t>SPHC</t>
        </is>
      </c>
      <c r="B11" s="17">
        <f>IFERROR(VLOOKUP(A11,Titres!$A$2:$D$400,2,FALSE),"")</f>
        <v/>
      </c>
      <c r="C11" s="17">
        <f>IFERROR(VLOOKUP(A11,Titres!$A$2:$D$400,4,FALSE),"")</f>
        <v/>
      </c>
      <c r="D11" s="18">
        <f>SUMIFS(Entreprises!$N$5:$N$639,Entreprises!$A$5:$A$639,$A11,Entreprises!$C$5:$C$639,D$3,Entreprises!$D$5:$D$639,D$2)+SUMIFS(Banques!$P$5:$P$315,Banques!$A$5:$A$315,$A11,Banques!$C$5:$C$315,D$3,Banques!$D$5:$D$315,D$2)</f>
        <v/>
      </c>
      <c r="E11" s="18">
        <f>SUMIFS(Entreprises!$N$5:$N$639,Entreprises!$A$5:$A$639,$A11,Entreprises!$C$5:$C$639,E$3,Entreprises!$D$5:$D$639,E$2)+SUMIFS(Banques!$P$5:$P$315,Banques!$A$5:$A$315,$A11,Banques!$C$5:$C$315,E$3,Banques!$D$5:$D$315,E$2)</f>
        <v/>
      </c>
      <c r="F11" s="18">
        <f>SUMIFS(Entreprises!$N$5:$N$639,Entreprises!$A$5:$A$639,$A11,Entreprises!$C$5:$C$639,F$3,Entreprises!$D$5:$D$639,F$2)+SUMIFS(Banques!$P$5:$P$315,Banques!$A$5:$A$315,$A11,Banques!$C$5:$C$315,F$3,Banques!$D$5:$D$315,F$2)</f>
        <v/>
      </c>
      <c r="G11" s="18">
        <f>SUMIFS(Entreprises!$N$5:$N$639,Entreprises!$A$5:$A$639,$A11,Entreprises!$C$5:$C$639,G$3,Entreprises!$D$5:$D$639,G$2)+SUMIFS(Banques!$P$5:$P$315,Banques!$A$5:$A$315,$A11,Banques!$C$5:$C$315,G$3,Banques!$D$5:$D$315,G$2)</f>
        <v/>
      </c>
      <c r="H11" s="18">
        <f>SUMIFS(Entreprises!$N$5:$N$639,Entreprises!$A$5:$A$639,$A11,Entreprises!$C$5:$C$639,H$3,Entreprises!$D$5:$D$639,H$2)+SUMIFS(Banques!$P$5:$P$315,Banques!$A$5:$A$315,$A11,Banques!$C$5:$C$315,H$3,Banques!$D$5:$D$315,H$2)</f>
        <v/>
      </c>
      <c r="I11" s="18">
        <f>SUMIFS(Entreprises!$N$5:$N$639,Entreprises!$A$5:$A$639,$A11,Entreprises!$C$5:$C$639,I$3,Entreprises!$D$5:$D$639,I$2)+SUMIFS(Banques!$P$5:$P$315,Banques!$A$5:$A$315,$A11,Banques!$C$5:$C$315,I$3,Banques!$D$5:$D$315,I$2)</f>
        <v/>
      </c>
      <c r="J11" s="18">
        <f>SUMIFS(Entreprises!$N$5:$N$639,Entreprises!$A$5:$A$639,$A11,Entreprises!$C$5:$C$639,J$3,Entreprises!$D$5:$D$639,J$2)+SUMIFS(Banques!$P$5:$P$315,Banques!$A$5:$A$315,$A11,Banques!$C$5:$C$315,J$3,Banques!$D$5:$D$315,J$2)</f>
        <v/>
      </c>
      <c r="K11" s="18">
        <f>SUMIFS(Entreprises!$N$5:$N$639,Entreprises!$A$5:$A$639,$A11,Entreprises!$C$5:$C$639,K$3,Entreprises!$D$5:$D$639,K$2)+SUMIFS(Banques!$P$5:$P$315,Banques!$A$5:$A$315,$A11,Banques!$C$5:$C$315,K$3,Banques!$D$5:$D$315,K$2)</f>
        <v/>
      </c>
      <c r="L11" s="18">
        <f>SUMIFS(Entreprises!$N$5:$N$639,Entreprises!$A$5:$A$639,$A11,Entreprises!$C$5:$C$639,L$3,Entreprises!$D$5:$D$639,L$2)+SUMIFS(Banques!$P$5:$P$315,Banques!$A$5:$A$315,$A11,Banques!$C$5:$C$315,L$3,Banques!$D$5:$D$315,L$2)</f>
        <v/>
      </c>
      <c r="M11" s="18">
        <f>SUMIFS(Entreprises!$N$5:$N$639,Entreprises!$A$5:$A$639,$A11,Entreprises!$C$5:$C$639,M$3,Entreprises!$D$5:$D$639,M$2)+SUMIFS(Banques!$P$5:$P$315,Banques!$A$5:$A$315,$A11,Banques!$C$5:$C$315,M$3,Banques!$D$5:$D$315,M$2)</f>
        <v/>
      </c>
      <c r="N11" s="18">
        <f>SUMIFS(Entreprises!$N$5:$N$639,Entreprises!$A$5:$A$639,$A11,Entreprises!$C$5:$C$639,N$3,Entreprises!$D$5:$D$639,N$2)+SUMIFS(Banques!$P$5:$P$315,Banques!$A$5:$A$315,$A11,Banques!$C$5:$C$315,N$3,Banques!$D$5:$D$315,N$2)</f>
        <v/>
      </c>
      <c r="O11" s="18">
        <f>SUMIFS(Entreprises!$N$5:$N$639,Entreprises!$A$5:$A$639,$A11,Entreprises!$C$5:$C$639,O$3,Entreprises!$D$5:$D$639,O$2)+SUMIFS(Banques!$P$5:$P$315,Banques!$A$5:$A$315,$A11,Banques!$C$5:$C$315,O$3,Banques!$D$5:$D$315,O$2)</f>
        <v/>
      </c>
      <c r="P11" s="18">
        <f>SUMIFS(Entreprises!$N$5:$N$639,Entreprises!$A$5:$A$639,$A11,Entreprises!$C$5:$C$639,P$3,Entreprises!$D$5:$D$639,P$2)+SUMIFS(Banques!$P$5:$P$315,Banques!$A$5:$A$315,$A11,Banques!$C$5:$C$315,P$3,Banques!$D$5:$D$315,P$2)</f>
        <v/>
      </c>
      <c r="Q11" s="18">
        <f>SUMIFS(Entreprises!$N$5:$N$639,Entreprises!$A$5:$A$639,$A11,Entreprises!$C$5:$C$639,Q$3,Entreprises!$D$5:$D$639,Q$2)+SUMIFS(Banques!$P$5:$P$315,Banques!$A$5:$A$315,$A11,Banques!$C$5:$C$315,Q$3,Banques!$D$5:$D$315,Q$2)</f>
        <v/>
      </c>
      <c r="R11" s="18">
        <f>SUMIFS(Entreprises!$N$5:$N$639,Entreprises!$A$5:$A$639,$A11,Entreprises!$C$5:$C$639,R$3,Entreprises!$D$5:$D$639,R$2)+SUMIFS(Banques!$P$5:$P$315,Banques!$A$5:$A$315,$A11,Banques!$C$5:$C$315,R$3,Banques!$D$5:$D$315,R$2)</f>
        <v/>
      </c>
      <c r="S11" s="18">
        <f>SUMIFS(Entreprises!$N$5:$N$639,Entreprises!$A$5:$A$639,$A11,Entreprises!$C$5:$C$639,S$3,Entreprises!$D$5:$D$639,S$2)+SUMIFS(Banques!$P$5:$P$315,Banques!$A$5:$A$315,$A11,Banques!$C$5:$C$315,S$3,Banques!$D$5:$D$315,S$2)</f>
        <v/>
      </c>
      <c r="T11" s="18">
        <f>SUMIFS(Entreprises!$N$5:$N$639,Entreprises!$A$5:$A$639,$A11,Entreprises!$C$5:$C$639,T$3,Entreprises!$D$5:$D$639,T$2)+SUMIFS(Banques!$P$5:$P$315,Banques!$A$5:$A$315,$A11,Banques!$C$5:$C$315,T$3,Banques!$D$5:$D$315,T$2)</f>
        <v/>
      </c>
      <c r="U11" s="18">
        <f>SUMIFS(Entreprises!$N$5:$N$639,Entreprises!$A$5:$A$639,$A11,Entreprises!$C$5:$C$639,U$3,Entreprises!$D$5:$D$639,U$2)+SUMIFS(Banques!$P$5:$P$315,Banques!$A$5:$A$315,$A11,Banques!$C$5:$C$315,U$3,Banques!$D$5:$D$315,U$2)</f>
        <v/>
      </c>
    </row>
    <row r="12">
      <c r="A12" s="17" t="inlineStr">
        <is>
          <t>STBC</t>
        </is>
      </c>
      <c r="B12" s="17">
        <f>IFERROR(VLOOKUP(A12,Titres!$A$2:$D$400,2,FALSE),"")</f>
        <v/>
      </c>
      <c r="C12" s="17">
        <f>IFERROR(VLOOKUP(A12,Titres!$A$2:$D$400,4,FALSE),"")</f>
        <v/>
      </c>
      <c r="D12" s="18">
        <f>SUMIFS(Entreprises!$N$5:$N$639,Entreprises!$A$5:$A$639,$A12,Entreprises!$C$5:$C$639,D$3,Entreprises!$D$5:$D$639,D$2)+SUMIFS(Banques!$P$5:$P$315,Banques!$A$5:$A$315,$A12,Banques!$C$5:$C$315,D$3,Banques!$D$5:$D$315,D$2)</f>
        <v/>
      </c>
      <c r="E12" s="18">
        <f>SUMIFS(Entreprises!$N$5:$N$639,Entreprises!$A$5:$A$639,$A12,Entreprises!$C$5:$C$639,E$3,Entreprises!$D$5:$D$639,E$2)+SUMIFS(Banques!$P$5:$P$315,Banques!$A$5:$A$315,$A12,Banques!$C$5:$C$315,E$3,Banques!$D$5:$D$315,E$2)</f>
        <v/>
      </c>
      <c r="F12" s="18">
        <f>SUMIFS(Entreprises!$N$5:$N$639,Entreprises!$A$5:$A$639,$A12,Entreprises!$C$5:$C$639,F$3,Entreprises!$D$5:$D$639,F$2)+SUMIFS(Banques!$P$5:$P$315,Banques!$A$5:$A$315,$A12,Banques!$C$5:$C$315,F$3,Banques!$D$5:$D$315,F$2)</f>
        <v/>
      </c>
      <c r="G12" s="18">
        <f>SUMIFS(Entreprises!$N$5:$N$639,Entreprises!$A$5:$A$639,$A12,Entreprises!$C$5:$C$639,G$3,Entreprises!$D$5:$D$639,G$2)+SUMIFS(Banques!$P$5:$P$315,Banques!$A$5:$A$315,$A12,Banques!$C$5:$C$315,G$3,Banques!$D$5:$D$315,G$2)</f>
        <v/>
      </c>
      <c r="H12" s="18">
        <f>SUMIFS(Entreprises!$N$5:$N$639,Entreprises!$A$5:$A$639,$A12,Entreprises!$C$5:$C$639,H$3,Entreprises!$D$5:$D$639,H$2)+SUMIFS(Banques!$P$5:$P$315,Banques!$A$5:$A$315,$A12,Banques!$C$5:$C$315,H$3,Banques!$D$5:$D$315,H$2)</f>
        <v/>
      </c>
      <c r="I12" s="18">
        <f>SUMIFS(Entreprises!$N$5:$N$639,Entreprises!$A$5:$A$639,$A12,Entreprises!$C$5:$C$639,I$3,Entreprises!$D$5:$D$639,I$2)+SUMIFS(Banques!$P$5:$P$315,Banques!$A$5:$A$315,$A12,Banques!$C$5:$C$315,I$3,Banques!$D$5:$D$315,I$2)</f>
        <v/>
      </c>
      <c r="J12" s="18">
        <f>SUMIFS(Entreprises!$N$5:$N$639,Entreprises!$A$5:$A$639,$A12,Entreprises!$C$5:$C$639,J$3,Entreprises!$D$5:$D$639,J$2)+SUMIFS(Banques!$P$5:$P$315,Banques!$A$5:$A$315,$A12,Banques!$C$5:$C$315,J$3,Banques!$D$5:$D$315,J$2)</f>
        <v/>
      </c>
      <c r="K12" s="18">
        <f>SUMIFS(Entreprises!$N$5:$N$639,Entreprises!$A$5:$A$639,$A12,Entreprises!$C$5:$C$639,K$3,Entreprises!$D$5:$D$639,K$2)+SUMIFS(Banques!$P$5:$P$315,Banques!$A$5:$A$315,$A12,Banques!$C$5:$C$315,K$3,Banques!$D$5:$D$315,K$2)</f>
        <v/>
      </c>
      <c r="L12" s="18">
        <f>SUMIFS(Entreprises!$N$5:$N$639,Entreprises!$A$5:$A$639,$A12,Entreprises!$C$5:$C$639,L$3,Entreprises!$D$5:$D$639,L$2)+SUMIFS(Banques!$P$5:$P$315,Banques!$A$5:$A$315,$A12,Banques!$C$5:$C$315,L$3,Banques!$D$5:$D$315,L$2)</f>
        <v/>
      </c>
      <c r="M12" s="18">
        <f>SUMIFS(Entreprises!$N$5:$N$639,Entreprises!$A$5:$A$639,$A12,Entreprises!$C$5:$C$639,M$3,Entreprises!$D$5:$D$639,M$2)+SUMIFS(Banques!$P$5:$P$315,Banques!$A$5:$A$315,$A12,Banques!$C$5:$C$315,M$3,Banques!$D$5:$D$315,M$2)</f>
        <v/>
      </c>
      <c r="N12" s="18">
        <f>SUMIFS(Entreprises!$N$5:$N$639,Entreprises!$A$5:$A$639,$A12,Entreprises!$C$5:$C$639,N$3,Entreprises!$D$5:$D$639,N$2)+SUMIFS(Banques!$P$5:$P$315,Banques!$A$5:$A$315,$A12,Banques!$C$5:$C$315,N$3,Banques!$D$5:$D$315,N$2)</f>
        <v/>
      </c>
      <c r="O12" s="18">
        <f>SUMIFS(Entreprises!$N$5:$N$639,Entreprises!$A$5:$A$639,$A12,Entreprises!$C$5:$C$639,O$3,Entreprises!$D$5:$D$639,O$2)+SUMIFS(Banques!$P$5:$P$315,Banques!$A$5:$A$315,$A12,Banques!$C$5:$C$315,O$3,Banques!$D$5:$D$315,O$2)</f>
        <v/>
      </c>
      <c r="P12" s="18">
        <f>SUMIFS(Entreprises!$N$5:$N$639,Entreprises!$A$5:$A$639,$A12,Entreprises!$C$5:$C$639,P$3,Entreprises!$D$5:$D$639,P$2)+SUMIFS(Banques!$P$5:$P$315,Banques!$A$5:$A$315,$A12,Banques!$C$5:$C$315,P$3,Banques!$D$5:$D$315,P$2)</f>
        <v/>
      </c>
      <c r="Q12" s="18">
        <f>SUMIFS(Entreprises!$N$5:$N$639,Entreprises!$A$5:$A$639,$A12,Entreprises!$C$5:$C$639,Q$3,Entreprises!$D$5:$D$639,Q$2)+SUMIFS(Banques!$P$5:$P$315,Banques!$A$5:$A$315,$A12,Banques!$C$5:$C$315,Q$3,Banques!$D$5:$D$315,Q$2)</f>
        <v/>
      </c>
      <c r="R12" s="18">
        <f>SUMIFS(Entreprises!$N$5:$N$639,Entreprises!$A$5:$A$639,$A12,Entreprises!$C$5:$C$639,R$3,Entreprises!$D$5:$D$639,R$2)+SUMIFS(Banques!$P$5:$P$315,Banques!$A$5:$A$315,$A12,Banques!$C$5:$C$315,R$3,Banques!$D$5:$D$315,R$2)</f>
        <v/>
      </c>
      <c r="S12" s="18">
        <f>SUMIFS(Entreprises!$N$5:$N$639,Entreprises!$A$5:$A$639,$A12,Entreprises!$C$5:$C$639,S$3,Entreprises!$D$5:$D$639,S$2)+SUMIFS(Banques!$P$5:$P$315,Banques!$A$5:$A$315,$A12,Banques!$C$5:$C$315,S$3,Banques!$D$5:$D$315,S$2)</f>
        <v/>
      </c>
      <c r="T12" s="18">
        <f>SUMIFS(Entreprises!$N$5:$N$639,Entreprises!$A$5:$A$639,$A12,Entreprises!$C$5:$C$639,T$3,Entreprises!$D$5:$D$639,T$2)+SUMIFS(Banques!$P$5:$P$315,Banques!$A$5:$A$315,$A12,Banques!$C$5:$C$315,T$3,Banques!$D$5:$D$315,T$2)</f>
        <v/>
      </c>
      <c r="U12" s="18">
        <f>SUMIFS(Entreprises!$N$5:$N$639,Entreprises!$A$5:$A$639,$A12,Entreprises!$C$5:$C$639,U$3,Entreprises!$D$5:$D$639,U$2)+SUMIFS(Banques!$P$5:$P$315,Banques!$A$5:$A$315,$A12,Banques!$C$5:$C$315,U$3,Banques!$D$5:$D$315,U$2)</f>
        <v/>
      </c>
    </row>
    <row r="13">
      <c r="A13" s="17" t="inlineStr">
        <is>
          <t>UNLC</t>
        </is>
      </c>
      <c r="B13" s="17">
        <f>IFERROR(VLOOKUP(A13,Titres!$A$2:$D$400,2,FALSE),"")</f>
        <v/>
      </c>
      <c r="C13" s="17">
        <f>IFERROR(VLOOKUP(A13,Titres!$A$2:$D$400,4,FALSE),"")</f>
        <v/>
      </c>
      <c r="D13" s="18">
        <f>SUMIFS(Entreprises!$N$5:$N$639,Entreprises!$A$5:$A$639,$A13,Entreprises!$C$5:$C$639,D$3,Entreprises!$D$5:$D$639,D$2)+SUMIFS(Banques!$P$5:$P$315,Banques!$A$5:$A$315,$A13,Banques!$C$5:$C$315,D$3,Banques!$D$5:$D$315,D$2)</f>
        <v/>
      </c>
      <c r="E13" s="18">
        <f>SUMIFS(Entreprises!$N$5:$N$639,Entreprises!$A$5:$A$639,$A13,Entreprises!$C$5:$C$639,E$3,Entreprises!$D$5:$D$639,E$2)+SUMIFS(Banques!$P$5:$P$315,Banques!$A$5:$A$315,$A13,Banques!$C$5:$C$315,E$3,Banques!$D$5:$D$315,E$2)</f>
        <v/>
      </c>
      <c r="F13" s="18">
        <f>SUMIFS(Entreprises!$N$5:$N$639,Entreprises!$A$5:$A$639,$A13,Entreprises!$C$5:$C$639,F$3,Entreprises!$D$5:$D$639,F$2)+SUMIFS(Banques!$P$5:$P$315,Banques!$A$5:$A$315,$A13,Banques!$C$5:$C$315,F$3,Banques!$D$5:$D$315,F$2)</f>
        <v/>
      </c>
      <c r="G13" s="18">
        <f>SUMIFS(Entreprises!$N$5:$N$639,Entreprises!$A$5:$A$639,$A13,Entreprises!$C$5:$C$639,G$3,Entreprises!$D$5:$D$639,G$2)+SUMIFS(Banques!$P$5:$P$315,Banques!$A$5:$A$315,$A13,Banques!$C$5:$C$315,G$3,Banques!$D$5:$D$315,G$2)</f>
        <v/>
      </c>
      <c r="H13" s="18">
        <f>SUMIFS(Entreprises!$N$5:$N$639,Entreprises!$A$5:$A$639,$A13,Entreprises!$C$5:$C$639,H$3,Entreprises!$D$5:$D$639,H$2)+SUMIFS(Banques!$P$5:$P$315,Banques!$A$5:$A$315,$A13,Banques!$C$5:$C$315,H$3,Banques!$D$5:$D$315,H$2)</f>
        <v/>
      </c>
      <c r="I13" s="18">
        <f>SUMIFS(Entreprises!$N$5:$N$639,Entreprises!$A$5:$A$639,$A13,Entreprises!$C$5:$C$639,I$3,Entreprises!$D$5:$D$639,I$2)+SUMIFS(Banques!$P$5:$P$315,Banques!$A$5:$A$315,$A13,Banques!$C$5:$C$315,I$3,Banques!$D$5:$D$315,I$2)</f>
        <v/>
      </c>
      <c r="J13" s="18">
        <f>SUMIFS(Entreprises!$N$5:$N$639,Entreprises!$A$5:$A$639,$A13,Entreprises!$C$5:$C$639,J$3,Entreprises!$D$5:$D$639,J$2)+SUMIFS(Banques!$P$5:$P$315,Banques!$A$5:$A$315,$A13,Banques!$C$5:$C$315,J$3,Banques!$D$5:$D$315,J$2)</f>
        <v/>
      </c>
      <c r="K13" s="18">
        <f>SUMIFS(Entreprises!$N$5:$N$639,Entreprises!$A$5:$A$639,$A13,Entreprises!$C$5:$C$639,K$3,Entreprises!$D$5:$D$639,K$2)+SUMIFS(Banques!$P$5:$P$315,Banques!$A$5:$A$315,$A13,Banques!$C$5:$C$315,K$3,Banques!$D$5:$D$315,K$2)</f>
        <v/>
      </c>
      <c r="L13" s="18">
        <f>SUMIFS(Entreprises!$N$5:$N$639,Entreprises!$A$5:$A$639,$A13,Entreprises!$C$5:$C$639,L$3,Entreprises!$D$5:$D$639,L$2)+SUMIFS(Banques!$P$5:$P$315,Banques!$A$5:$A$315,$A13,Banques!$C$5:$C$315,L$3,Banques!$D$5:$D$315,L$2)</f>
        <v/>
      </c>
      <c r="M13" s="18">
        <f>SUMIFS(Entreprises!$N$5:$N$639,Entreprises!$A$5:$A$639,$A13,Entreprises!$C$5:$C$639,M$3,Entreprises!$D$5:$D$639,M$2)+SUMIFS(Banques!$P$5:$P$315,Banques!$A$5:$A$315,$A13,Banques!$C$5:$C$315,M$3,Banques!$D$5:$D$315,M$2)</f>
        <v/>
      </c>
      <c r="N13" s="18">
        <f>SUMIFS(Entreprises!$N$5:$N$639,Entreprises!$A$5:$A$639,$A13,Entreprises!$C$5:$C$639,N$3,Entreprises!$D$5:$D$639,N$2)+SUMIFS(Banques!$P$5:$P$315,Banques!$A$5:$A$315,$A13,Banques!$C$5:$C$315,N$3,Banques!$D$5:$D$315,N$2)</f>
        <v/>
      </c>
      <c r="O13" s="18">
        <f>SUMIFS(Entreprises!$N$5:$N$639,Entreprises!$A$5:$A$639,$A13,Entreprises!$C$5:$C$639,O$3,Entreprises!$D$5:$D$639,O$2)+SUMIFS(Banques!$P$5:$P$315,Banques!$A$5:$A$315,$A13,Banques!$C$5:$C$315,O$3,Banques!$D$5:$D$315,O$2)</f>
        <v/>
      </c>
      <c r="P13" s="18">
        <f>SUMIFS(Entreprises!$N$5:$N$639,Entreprises!$A$5:$A$639,$A13,Entreprises!$C$5:$C$639,P$3,Entreprises!$D$5:$D$639,P$2)+SUMIFS(Banques!$P$5:$P$315,Banques!$A$5:$A$315,$A13,Banques!$C$5:$C$315,P$3,Banques!$D$5:$D$315,P$2)</f>
        <v/>
      </c>
      <c r="Q13" s="18">
        <f>SUMIFS(Entreprises!$N$5:$N$639,Entreprises!$A$5:$A$639,$A13,Entreprises!$C$5:$C$639,Q$3,Entreprises!$D$5:$D$639,Q$2)+SUMIFS(Banques!$P$5:$P$315,Banques!$A$5:$A$315,$A13,Banques!$C$5:$C$315,Q$3,Banques!$D$5:$D$315,Q$2)</f>
        <v/>
      </c>
      <c r="R13" s="18">
        <f>SUMIFS(Entreprises!$N$5:$N$639,Entreprises!$A$5:$A$639,$A13,Entreprises!$C$5:$C$639,R$3,Entreprises!$D$5:$D$639,R$2)+SUMIFS(Banques!$P$5:$P$315,Banques!$A$5:$A$315,$A13,Banques!$C$5:$C$315,R$3,Banques!$D$5:$D$315,R$2)</f>
        <v/>
      </c>
      <c r="S13" s="18">
        <f>SUMIFS(Entreprises!$N$5:$N$639,Entreprises!$A$5:$A$639,$A13,Entreprises!$C$5:$C$639,S$3,Entreprises!$D$5:$D$639,S$2)+SUMIFS(Banques!$P$5:$P$315,Banques!$A$5:$A$315,$A13,Banques!$C$5:$C$315,S$3,Banques!$D$5:$D$315,S$2)</f>
        <v/>
      </c>
      <c r="T13" s="18">
        <f>SUMIFS(Entreprises!$N$5:$N$639,Entreprises!$A$5:$A$639,$A13,Entreprises!$C$5:$C$639,T$3,Entreprises!$D$5:$D$639,T$2)+SUMIFS(Banques!$P$5:$P$315,Banques!$A$5:$A$315,$A13,Banques!$C$5:$C$315,T$3,Banques!$D$5:$D$315,T$2)</f>
        <v/>
      </c>
      <c r="U13" s="18">
        <f>SUMIFS(Entreprises!$N$5:$N$639,Entreprises!$A$5:$A$639,$A13,Entreprises!$C$5:$C$639,U$3,Entreprises!$D$5:$D$639,U$2)+SUMIFS(Banques!$P$5:$P$315,Banques!$A$5:$A$315,$A13,Banques!$C$5:$C$315,U$3,Banques!$D$5:$D$315,U$2)</f>
        <v/>
      </c>
    </row>
    <row r="14">
      <c r="A14" s="17" t="inlineStr">
        <is>
          <t>ABJC</t>
        </is>
      </c>
      <c r="B14" s="17">
        <f>IFERROR(VLOOKUP(A14,Titres!$A$2:$D$400,2,FALSE),"")</f>
        <v/>
      </c>
      <c r="C14" s="17">
        <f>IFERROR(VLOOKUP(A14,Titres!$A$2:$D$400,4,FALSE),"")</f>
        <v/>
      </c>
      <c r="D14" s="18">
        <f>SUMIFS(Entreprises!$N$5:$N$639,Entreprises!$A$5:$A$639,$A14,Entreprises!$C$5:$C$639,D$3,Entreprises!$D$5:$D$639,D$2)+SUMIFS(Banques!$P$5:$P$315,Banques!$A$5:$A$315,$A14,Banques!$C$5:$C$315,D$3,Banques!$D$5:$D$315,D$2)</f>
        <v/>
      </c>
      <c r="E14" s="18">
        <f>SUMIFS(Entreprises!$N$5:$N$639,Entreprises!$A$5:$A$639,$A14,Entreprises!$C$5:$C$639,E$3,Entreprises!$D$5:$D$639,E$2)+SUMIFS(Banques!$P$5:$P$315,Banques!$A$5:$A$315,$A14,Banques!$C$5:$C$315,E$3,Banques!$D$5:$D$315,E$2)</f>
        <v/>
      </c>
      <c r="F14" s="18">
        <f>SUMIFS(Entreprises!$N$5:$N$639,Entreprises!$A$5:$A$639,$A14,Entreprises!$C$5:$C$639,F$3,Entreprises!$D$5:$D$639,F$2)+SUMIFS(Banques!$P$5:$P$315,Banques!$A$5:$A$315,$A14,Banques!$C$5:$C$315,F$3,Banques!$D$5:$D$315,F$2)</f>
        <v/>
      </c>
      <c r="G14" s="18">
        <f>SUMIFS(Entreprises!$N$5:$N$639,Entreprises!$A$5:$A$639,$A14,Entreprises!$C$5:$C$639,G$3,Entreprises!$D$5:$D$639,G$2)+SUMIFS(Banques!$P$5:$P$315,Banques!$A$5:$A$315,$A14,Banques!$C$5:$C$315,G$3,Banques!$D$5:$D$315,G$2)</f>
        <v/>
      </c>
      <c r="H14" s="18">
        <f>SUMIFS(Entreprises!$N$5:$N$639,Entreprises!$A$5:$A$639,$A14,Entreprises!$C$5:$C$639,H$3,Entreprises!$D$5:$D$639,H$2)+SUMIFS(Banques!$P$5:$P$315,Banques!$A$5:$A$315,$A14,Banques!$C$5:$C$315,H$3,Banques!$D$5:$D$315,H$2)</f>
        <v/>
      </c>
      <c r="I14" s="18">
        <f>SUMIFS(Entreprises!$N$5:$N$639,Entreprises!$A$5:$A$639,$A14,Entreprises!$C$5:$C$639,I$3,Entreprises!$D$5:$D$639,I$2)+SUMIFS(Banques!$P$5:$P$315,Banques!$A$5:$A$315,$A14,Banques!$C$5:$C$315,I$3,Banques!$D$5:$D$315,I$2)</f>
        <v/>
      </c>
      <c r="J14" s="18">
        <f>SUMIFS(Entreprises!$N$5:$N$639,Entreprises!$A$5:$A$639,$A14,Entreprises!$C$5:$C$639,J$3,Entreprises!$D$5:$D$639,J$2)+SUMIFS(Banques!$P$5:$P$315,Banques!$A$5:$A$315,$A14,Banques!$C$5:$C$315,J$3,Banques!$D$5:$D$315,J$2)</f>
        <v/>
      </c>
      <c r="K14" s="18">
        <f>SUMIFS(Entreprises!$N$5:$N$639,Entreprises!$A$5:$A$639,$A14,Entreprises!$C$5:$C$639,K$3,Entreprises!$D$5:$D$639,K$2)+SUMIFS(Banques!$P$5:$P$315,Banques!$A$5:$A$315,$A14,Banques!$C$5:$C$315,K$3,Banques!$D$5:$D$315,K$2)</f>
        <v/>
      </c>
      <c r="L14" s="18">
        <f>SUMIFS(Entreprises!$N$5:$N$639,Entreprises!$A$5:$A$639,$A14,Entreprises!$C$5:$C$639,L$3,Entreprises!$D$5:$D$639,L$2)+SUMIFS(Banques!$P$5:$P$315,Banques!$A$5:$A$315,$A14,Banques!$C$5:$C$315,L$3,Banques!$D$5:$D$315,L$2)</f>
        <v/>
      </c>
      <c r="M14" s="18">
        <f>SUMIFS(Entreprises!$N$5:$N$639,Entreprises!$A$5:$A$639,$A14,Entreprises!$C$5:$C$639,M$3,Entreprises!$D$5:$D$639,M$2)+SUMIFS(Banques!$P$5:$P$315,Banques!$A$5:$A$315,$A14,Banques!$C$5:$C$315,M$3,Banques!$D$5:$D$315,M$2)</f>
        <v/>
      </c>
      <c r="N14" s="18">
        <f>SUMIFS(Entreprises!$N$5:$N$639,Entreprises!$A$5:$A$639,$A14,Entreprises!$C$5:$C$639,N$3,Entreprises!$D$5:$D$639,N$2)+SUMIFS(Banques!$P$5:$P$315,Banques!$A$5:$A$315,$A14,Banques!$C$5:$C$315,N$3,Banques!$D$5:$D$315,N$2)</f>
        <v/>
      </c>
      <c r="O14" s="18">
        <f>SUMIFS(Entreprises!$N$5:$N$639,Entreprises!$A$5:$A$639,$A14,Entreprises!$C$5:$C$639,O$3,Entreprises!$D$5:$D$639,O$2)+SUMIFS(Banques!$P$5:$P$315,Banques!$A$5:$A$315,$A14,Banques!$C$5:$C$315,O$3,Banques!$D$5:$D$315,O$2)</f>
        <v/>
      </c>
      <c r="P14" s="18">
        <f>SUMIFS(Entreprises!$N$5:$N$639,Entreprises!$A$5:$A$639,$A14,Entreprises!$C$5:$C$639,P$3,Entreprises!$D$5:$D$639,P$2)+SUMIFS(Banques!$P$5:$P$315,Banques!$A$5:$A$315,$A14,Banques!$C$5:$C$315,P$3,Banques!$D$5:$D$315,P$2)</f>
        <v/>
      </c>
      <c r="Q14" s="18">
        <f>SUMIFS(Entreprises!$N$5:$N$639,Entreprises!$A$5:$A$639,$A14,Entreprises!$C$5:$C$639,Q$3,Entreprises!$D$5:$D$639,Q$2)+SUMIFS(Banques!$P$5:$P$315,Banques!$A$5:$A$315,$A14,Banques!$C$5:$C$315,Q$3,Banques!$D$5:$D$315,Q$2)</f>
        <v/>
      </c>
      <c r="R14" s="18">
        <f>SUMIFS(Entreprises!$N$5:$N$639,Entreprises!$A$5:$A$639,$A14,Entreprises!$C$5:$C$639,R$3,Entreprises!$D$5:$D$639,R$2)+SUMIFS(Banques!$P$5:$P$315,Banques!$A$5:$A$315,$A14,Banques!$C$5:$C$315,R$3,Banques!$D$5:$D$315,R$2)</f>
        <v/>
      </c>
      <c r="S14" s="18">
        <f>SUMIFS(Entreprises!$N$5:$N$639,Entreprises!$A$5:$A$639,$A14,Entreprises!$C$5:$C$639,S$3,Entreprises!$D$5:$D$639,S$2)+SUMIFS(Banques!$P$5:$P$315,Banques!$A$5:$A$315,$A14,Banques!$C$5:$C$315,S$3,Banques!$D$5:$D$315,S$2)</f>
        <v/>
      </c>
      <c r="T14" s="18">
        <f>SUMIFS(Entreprises!$N$5:$N$639,Entreprises!$A$5:$A$639,$A14,Entreprises!$C$5:$C$639,T$3,Entreprises!$D$5:$D$639,T$2)+SUMIFS(Banques!$P$5:$P$315,Banques!$A$5:$A$315,$A14,Banques!$C$5:$C$315,T$3,Banques!$D$5:$D$315,T$2)</f>
        <v/>
      </c>
      <c r="U14" s="18">
        <f>SUMIFS(Entreprises!$N$5:$N$639,Entreprises!$A$5:$A$639,$A14,Entreprises!$C$5:$C$639,U$3,Entreprises!$D$5:$D$639,U$2)+SUMIFS(Banques!$P$5:$P$315,Banques!$A$5:$A$315,$A14,Banques!$C$5:$C$315,U$3,Banques!$D$5:$D$315,U$2)</f>
        <v/>
      </c>
    </row>
    <row r="15">
      <c r="A15" s="17" t="inlineStr">
        <is>
          <t>BNBC</t>
        </is>
      </c>
      <c r="B15" s="17">
        <f>IFERROR(VLOOKUP(A15,Titres!$A$2:$D$400,2,FALSE),"")</f>
        <v/>
      </c>
      <c r="C15" s="17">
        <f>IFERROR(VLOOKUP(A15,Titres!$A$2:$D$400,4,FALSE),"")</f>
        <v/>
      </c>
      <c r="D15" s="18">
        <f>SUMIFS(Entreprises!$N$5:$N$639,Entreprises!$A$5:$A$639,$A15,Entreprises!$C$5:$C$639,D$3,Entreprises!$D$5:$D$639,D$2)+SUMIFS(Banques!$P$5:$P$315,Banques!$A$5:$A$315,$A15,Banques!$C$5:$C$315,D$3,Banques!$D$5:$D$315,D$2)</f>
        <v/>
      </c>
      <c r="E15" s="18">
        <f>SUMIFS(Entreprises!$N$5:$N$639,Entreprises!$A$5:$A$639,$A15,Entreprises!$C$5:$C$639,E$3,Entreprises!$D$5:$D$639,E$2)+SUMIFS(Banques!$P$5:$P$315,Banques!$A$5:$A$315,$A15,Banques!$C$5:$C$315,E$3,Banques!$D$5:$D$315,E$2)</f>
        <v/>
      </c>
      <c r="F15" s="18">
        <f>SUMIFS(Entreprises!$N$5:$N$639,Entreprises!$A$5:$A$639,$A15,Entreprises!$C$5:$C$639,F$3,Entreprises!$D$5:$D$639,F$2)+SUMIFS(Banques!$P$5:$P$315,Banques!$A$5:$A$315,$A15,Banques!$C$5:$C$315,F$3,Banques!$D$5:$D$315,F$2)</f>
        <v/>
      </c>
      <c r="G15" s="18">
        <f>SUMIFS(Entreprises!$N$5:$N$639,Entreprises!$A$5:$A$639,$A15,Entreprises!$C$5:$C$639,G$3,Entreprises!$D$5:$D$639,G$2)+SUMIFS(Banques!$P$5:$P$315,Banques!$A$5:$A$315,$A15,Banques!$C$5:$C$315,G$3,Banques!$D$5:$D$315,G$2)</f>
        <v/>
      </c>
      <c r="H15" s="18">
        <f>SUMIFS(Entreprises!$N$5:$N$639,Entreprises!$A$5:$A$639,$A15,Entreprises!$C$5:$C$639,H$3,Entreprises!$D$5:$D$639,H$2)+SUMIFS(Banques!$P$5:$P$315,Banques!$A$5:$A$315,$A15,Banques!$C$5:$C$315,H$3,Banques!$D$5:$D$315,H$2)</f>
        <v/>
      </c>
      <c r="I15" s="18">
        <f>SUMIFS(Entreprises!$N$5:$N$639,Entreprises!$A$5:$A$639,$A15,Entreprises!$C$5:$C$639,I$3,Entreprises!$D$5:$D$639,I$2)+SUMIFS(Banques!$P$5:$P$315,Banques!$A$5:$A$315,$A15,Banques!$C$5:$C$315,I$3,Banques!$D$5:$D$315,I$2)</f>
        <v/>
      </c>
      <c r="J15" s="18">
        <f>SUMIFS(Entreprises!$N$5:$N$639,Entreprises!$A$5:$A$639,$A15,Entreprises!$C$5:$C$639,J$3,Entreprises!$D$5:$D$639,J$2)+SUMIFS(Banques!$P$5:$P$315,Banques!$A$5:$A$315,$A15,Banques!$C$5:$C$315,J$3,Banques!$D$5:$D$315,J$2)</f>
        <v/>
      </c>
      <c r="K15" s="18">
        <f>SUMIFS(Entreprises!$N$5:$N$639,Entreprises!$A$5:$A$639,$A15,Entreprises!$C$5:$C$639,K$3,Entreprises!$D$5:$D$639,K$2)+SUMIFS(Banques!$P$5:$P$315,Banques!$A$5:$A$315,$A15,Banques!$C$5:$C$315,K$3,Banques!$D$5:$D$315,K$2)</f>
        <v/>
      </c>
      <c r="L15" s="18">
        <f>SUMIFS(Entreprises!$N$5:$N$639,Entreprises!$A$5:$A$639,$A15,Entreprises!$C$5:$C$639,L$3,Entreprises!$D$5:$D$639,L$2)+SUMIFS(Banques!$P$5:$P$315,Banques!$A$5:$A$315,$A15,Banques!$C$5:$C$315,L$3,Banques!$D$5:$D$315,L$2)</f>
        <v/>
      </c>
      <c r="M15" s="18">
        <f>SUMIFS(Entreprises!$N$5:$N$639,Entreprises!$A$5:$A$639,$A15,Entreprises!$C$5:$C$639,M$3,Entreprises!$D$5:$D$639,M$2)+SUMIFS(Banques!$P$5:$P$315,Banques!$A$5:$A$315,$A15,Banques!$C$5:$C$315,M$3,Banques!$D$5:$D$315,M$2)</f>
        <v/>
      </c>
      <c r="N15" s="18">
        <f>SUMIFS(Entreprises!$N$5:$N$639,Entreprises!$A$5:$A$639,$A15,Entreprises!$C$5:$C$639,N$3,Entreprises!$D$5:$D$639,N$2)+SUMIFS(Banques!$P$5:$P$315,Banques!$A$5:$A$315,$A15,Banques!$C$5:$C$315,N$3,Banques!$D$5:$D$315,N$2)</f>
        <v/>
      </c>
      <c r="O15" s="18">
        <f>SUMIFS(Entreprises!$N$5:$N$639,Entreprises!$A$5:$A$639,$A15,Entreprises!$C$5:$C$639,O$3,Entreprises!$D$5:$D$639,O$2)+SUMIFS(Banques!$P$5:$P$315,Banques!$A$5:$A$315,$A15,Banques!$C$5:$C$315,O$3,Banques!$D$5:$D$315,O$2)</f>
        <v/>
      </c>
      <c r="P15" s="18">
        <f>SUMIFS(Entreprises!$N$5:$N$639,Entreprises!$A$5:$A$639,$A15,Entreprises!$C$5:$C$639,P$3,Entreprises!$D$5:$D$639,P$2)+SUMIFS(Banques!$P$5:$P$315,Banques!$A$5:$A$315,$A15,Banques!$C$5:$C$315,P$3,Banques!$D$5:$D$315,P$2)</f>
        <v/>
      </c>
      <c r="Q15" s="18">
        <f>SUMIFS(Entreprises!$N$5:$N$639,Entreprises!$A$5:$A$639,$A15,Entreprises!$C$5:$C$639,Q$3,Entreprises!$D$5:$D$639,Q$2)+SUMIFS(Banques!$P$5:$P$315,Banques!$A$5:$A$315,$A15,Banques!$C$5:$C$315,Q$3,Banques!$D$5:$D$315,Q$2)</f>
        <v/>
      </c>
      <c r="R15" s="18">
        <f>SUMIFS(Entreprises!$N$5:$N$639,Entreprises!$A$5:$A$639,$A15,Entreprises!$C$5:$C$639,R$3,Entreprises!$D$5:$D$639,R$2)+SUMIFS(Banques!$P$5:$P$315,Banques!$A$5:$A$315,$A15,Banques!$C$5:$C$315,R$3,Banques!$D$5:$D$315,R$2)</f>
        <v/>
      </c>
      <c r="S15" s="18">
        <f>SUMIFS(Entreprises!$N$5:$N$639,Entreprises!$A$5:$A$639,$A15,Entreprises!$C$5:$C$639,S$3,Entreprises!$D$5:$D$639,S$2)+SUMIFS(Banques!$P$5:$P$315,Banques!$A$5:$A$315,$A15,Banques!$C$5:$C$315,S$3,Banques!$D$5:$D$315,S$2)</f>
        <v/>
      </c>
      <c r="T15" s="18">
        <f>SUMIFS(Entreprises!$N$5:$N$639,Entreprises!$A$5:$A$639,$A15,Entreprises!$C$5:$C$639,T$3,Entreprises!$D$5:$D$639,T$2)+SUMIFS(Banques!$P$5:$P$315,Banques!$A$5:$A$315,$A15,Banques!$C$5:$C$315,T$3,Banques!$D$5:$D$315,T$2)</f>
        <v/>
      </c>
      <c r="U15" s="18">
        <f>SUMIFS(Entreprises!$N$5:$N$639,Entreprises!$A$5:$A$639,$A15,Entreprises!$C$5:$C$639,U$3,Entreprises!$D$5:$D$639,U$2)+SUMIFS(Banques!$P$5:$P$315,Banques!$A$5:$A$315,$A15,Banques!$C$5:$C$315,U$3,Banques!$D$5:$D$315,U$2)</f>
        <v/>
      </c>
    </row>
    <row r="16">
      <c r="A16" s="17" t="inlineStr">
        <is>
          <t>CFAC</t>
        </is>
      </c>
      <c r="B16" s="17">
        <f>IFERROR(VLOOKUP(A16,Titres!$A$2:$D$400,2,FALSE),"")</f>
        <v/>
      </c>
      <c r="C16" s="17">
        <f>IFERROR(VLOOKUP(A16,Titres!$A$2:$D$400,4,FALSE),"")</f>
        <v/>
      </c>
      <c r="D16" s="18">
        <f>SUMIFS(Entreprises!$N$5:$N$639,Entreprises!$A$5:$A$639,$A16,Entreprises!$C$5:$C$639,D$3,Entreprises!$D$5:$D$639,D$2)+SUMIFS(Banques!$P$5:$P$315,Banques!$A$5:$A$315,$A16,Banques!$C$5:$C$315,D$3,Banques!$D$5:$D$315,D$2)</f>
        <v/>
      </c>
      <c r="E16" s="18">
        <f>SUMIFS(Entreprises!$N$5:$N$639,Entreprises!$A$5:$A$639,$A16,Entreprises!$C$5:$C$639,E$3,Entreprises!$D$5:$D$639,E$2)+SUMIFS(Banques!$P$5:$P$315,Banques!$A$5:$A$315,$A16,Banques!$C$5:$C$315,E$3,Banques!$D$5:$D$315,E$2)</f>
        <v/>
      </c>
      <c r="F16" s="18">
        <f>SUMIFS(Entreprises!$N$5:$N$639,Entreprises!$A$5:$A$639,$A16,Entreprises!$C$5:$C$639,F$3,Entreprises!$D$5:$D$639,F$2)+SUMIFS(Banques!$P$5:$P$315,Banques!$A$5:$A$315,$A16,Banques!$C$5:$C$315,F$3,Banques!$D$5:$D$315,F$2)</f>
        <v/>
      </c>
      <c r="G16" s="18">
        <f>SUMIFS(Entreprises!$N$5:$N$639,Entreprises!$A$5:$A$639,$A16,Entreprises!$C$5:$C$639,G$3,Entreprises!$D$5:$D$639,G$2)+SUMIFS(Banques!$P$5:$P$315,Banques!$A$5:$A$315,$A16,Banques!$C$5:$C$315,G$3,Banques!$D$5:$D$315,G$2)</f>
        <v/>
      </c>
      <c r="H16" s="18">
        <f>SUMIFS(Entreprises!$N$5:$N$639,Entreprises!$A$5:$A$639,$A16,Entreprises!$C$5:$C$639,H$3,Entreprises!$D$5:$D$639,H$2)+SUMIFS(Banques!$P$5:$P$315,Banques!$A$5:$A$315,$A16,Banques!$C$5:$C$315,H$3,Banques!$D$5:$D$315,H$2)</f>
        <v/>
      </c>
      <c r="I16" s="18">
        <f>SUMIFS(Entreprises!$N$5:$N$639,Entreprises!$A$5:$A$639,$A16,Entreprises!$C$5:$C$639,I$3,Entreprises!$D$5:$D$639,I$2)+SUMIFS(Banques!$P$5:$P$315,Banques!$A$5:$A$315,$A16,Banques!$C$5:$C$315,I$3,Banques!$D$5:$D$315,I$2)</f>
        <v/>
      </c>
      <c r="J16" s="18">
        <f>SUMIFS(Entreprises!$N$5:$N$639,Entreprises!$A$5:$A$639,$A16,Entreprises!$C$5:$C$639,J$3,Entreprises!$D$5:$D$639,J$2)+SUMIFS(Banques!$P$5:$P$315,Banques!$A$5:$A$315,$A16,Banques!$C$5:$C$315,J$3,Banques!$D$5:$D$315,J$2)</f>
        <v/>
      </c>
      <c r="K16" s="18">
        <f>SUMIFS(Entreprises!$N$5:$N$639,Entreprises!$A$5:$A$639,$A16,Entreprises!$C$5:$C$639,K$3,Entreprises!$D$5:$D$639,K$2)+SUMIFS(Banques!$P$5:$P$315,Banques!$A$5:$A$315,$A16,Banques!$C$5:$C$315,K$3,Banques!$D$5:$D$315,K$2)</f>
        <v/>
      </c>
      <c r="L16" s="18">
        <f>SUMIFS(Entreprises!$N$5:$N$639,Entreprises!$A$5:$A$639,$A16,Entreprises!$C$5:$C$639,L$3,Entreprises!$D$5:$D$639,L$2)+SUMIFS(Banques!$P$5:$P$315,Banques!$A$5:$A$315,$A16,Banques!$C$5:$C$315,L$3,Banques!$D$5:$D$315,L$2)</f>
        <v/>
      </c>
      <c r="M16" s="18">
        <f>SUMIFS(Entreprises!$N$5:$N$639,Entreprises!$A$5:$A$639,$A16,Entreprises!$C$5:$C$639,M$3,Entreprises!$D$5:$D$639,M$2)+SUMIFS(Banques!$P$5:$P$315,Banques!$A$5:$A$315,$A16,Banques!$C$5:$C$315,M$3,Banques!$D$5:$D$315,M$2)</f>
        <v/>
      </c>
      <c r="N16" s="18">
        <f>SUMIFS(Entreprises!$N$5:$N$639,Entreprises!$A$5:$A$639,$A16,Entreprises!$C$5:$C$639,N$3,Entreprises!$D$5:$D$639,N$2)+SUMIFS(Banques!$P$5:$P$315,Banques!$A$5:$A$315,$A16,Banques!$C$5:$C$315,N$3,Banques!$D$5:$D$315,N$2)</f>
        <v/>
      </c>
      <c r="O16" s="18">
        <f>SUMIFS(Entreprises!$N$5:$N$639,Entreprises!$A$5:$A$639,$A16,Entreprises!$C$5:$C$639,O$3,Entreprises!$D$5:$D$639,O$2)+SUMIFS(Banques!$P$5:$P$315,Banques!$A$5:$A$315,$A16,Banques!$C$5:$C$315,O$3,Banques!$D$5:$D$315,O$2)</f>
        <v/>
      </c>
      <c r="P16" s="18">
        <f>SUMIFS(Entreprises!$N$5:$N$639,Entreprises!$A$5:$A$639,$A16,Entreprises!$C$5:$C$639,P$3,Entreprises!$D$5:$D$639,P$2)+SUMIFS(Banques!$P$5:$P$315,Banques!$A$5:$A$315,$A16,Banques!$C$5:$C$315,P$3,Banques!$D$5:$D$315,P$2)</f>
        <v/>
      </c>
      <c r="Q16" s="18">
        <f>SUMIFS(Entreprises!$N$5:$N$639,Entreprises!$A$5:$A$639,$A16,Entreprises!$C$5:$C$639,Q$3,Entreprises!$D$5:$D$639,Q$2)+SUMIFS(Banques!$P$5:$P$315,Banques!$A$5:$A$315,$A16,Banques!$C$5:$C$315,Q$3,Banques!$D$5:$D$315,Q$2)</f>
        <v/>
      </c>
      <c r="R16" s="18">
        <f>SUMIFS(Entreprises!$N$5:$N$639,Entreprises!$A$5:$A$639,$A16,Entreprises!$C$5:$C$639,R$3,Entreprises!$D$5:$D$639,R$2)+SUMIFS(Banques!$P$5:$P$315,Banques!$A$5:$A$315,$A16,Banques!$C$5:$C$315,R$3,Banques!$D$5:$D$315,R$2)</f>
        <v/>
      </c>
      <c r="S16" s="18">
        <f>SUMIFS(Entreprises!$N$5:$N$639,Entreprises!$A$5:$A$639,$A16,Entreprises!$C$5:$C$639,S$3,Entreprises!$D$5:$D$639,S$2)+SUMIFS(Banques!$P$5:$P$315,Banques!$A$5:$A$315,$A16,Banques!$C$5:$C$315,S$3,Banques!$D$5:$D$315,S$2)</f>
        <v/>
      </c>
      <c r="T16" s="18">
        <f>SUMIFS(Entreprises!$N$5:$N$639,Entreprises!$A$5:$A$639,$A16,Entreprises!$C$5:$C$639,T$3,Entreprises!$D$5:$D$639,T$2)+SUMIFS(Banques!$P$5:$P$315,Banques!$A$5:$A$315,$A16,Banques!$C$5:$C$315,T$3,Banques!$D$5:$D$315,T$2)</f>
        <v/>
      </c>
      <c r="U16" s="18">
        <f>SUMIFS(Entreprises!$N$5:$N$639,Entreprises!$A$5:$A$639,$A16,Entreprises!$C$5:$C$639,U$3,Entreprises!$D$5:$D$639,U$2)+SUMIFS(Banques!$P$5:$P$315,Banques!$A$5:$A$315,$A16,Banques!$C$5:$C$315,U$3,Banques!$D$5:$D$315,U$2)</f>
        <v/>
      </c>
    </row>
    <row r="17">
      <c r="A17" s="17" t="inlineStr">
        <is>
          <t>LNBB</t>
        </is>
      </c>
      <c r="B17" s="17">
        <f>IFERROR(VLOOKUP(A17,Titres!$A$2:$D$400,2,FALSE),"")</f>
        <v/>
      </c>
      <c r="C17" s="17">
        <f>IFERROR(VLOOKUP(A17,Titres!$A$2:$D$400,4,FALSE),"")</f>
        <v/>
      </c>
      <c r="D17" s="18">
        <f>SUMIFS(Entreprises!$N$5:$N$639,Entreprises!$A$5:$A$639,$A17,Entreprises!$C$5:$C$639,D$3,Entreprises!$D$5:$D$639,D$2)+SUMIFS(Banques!$P$5:$P$315,Banques!$A$5:$A$315,$A17,Banques!$C$5:$C$315,D$3,Banques!$D$5:$D$315,D$2)</f>
        <v/>
      </c>
      <c r="E17" s="18">
        <f>SUMIFS(Entreprises!$N$5:$N$639,Entreprises!$A$5:$A$639,$A17,Entreprises!$C$5:$C$639,E$3,Entreprises!$D$5:$D$639,E$2)+SUMIFS(Banques!$P$5:$P$315,Banques!$A$5:$A$315,$A17,Banques!$C$5:$C$315,E$3,Banques!$D$5:$D$315,E$2)</f>
        <v/>
      </c>
      <c r="F17" s="18">
        <f>SUMIFS(Entreprises!$N$5:$N$639,Entreprises!$A$5:$A$639,$A17,Entreprises!$C$5:$C$639,F$3,Entreprises!$D$5:$D$639,F$2)+SUMIFS(Banques!$P$5:$P$315,Banques!$A$5:$A$315,$A17,Banques!$C$5:$C$315,F$3,Banques!$D$5:$D$315,F$2)</f>
        <v/>
      </c>
      <c r="G17" s="18">
        <f>SUMIFS(Entreprises!$N$5:$N$639,Entreprises!$A$5:$A$639,$A17,Entreprises!$C$5:$C$639,G$3,Entreprises!$D$5:$D$639,G$2)+SUMIFS(Banques!$P$5:$P$315,Banques!$A$5:$A$315,$A17,Banques!$C$5:$C$315,G$3,Banques!$D$5:$D$315,G$2)</f>
        <v/>
      </c>
      <c r="H17" s="18">
        <f>SUMIFS(Entreprises!$N$5:$N$639,Entreprises!$A$5:$A$639,$A17,Entreprises!$C$5:$C$639,H$3,Entreprises!$D$5:$D$639,H$2)+SUMIFS(Banques!$P$5:$P$315,Banques!$A$5:$A$315,$A17,Banques!$C$5:$C$315,H$3,Banques!$D$5:$D$315,H$2)</f>
        <v/>
      </c>
      <c r="I17" s="18">
        <f>SUMIFS(Entreprises!$N$5:$N$639,Entreprises!$A$5:$A$639,$A17,Entreprises!$C$5:$C$639,I$3,Entreprises!$D$5:$D$639,I$2)+SUMIFS(Banques!$P$5:$P$315,Banques!$A$5:$A$315,$A17,Banques!$C$5:$C$315,I$3,Banques!$D$5:$D$315,I$2)</f>
        <v/>
      </c>
      <c r="J17" s="18">
        <f>SUMIFS(Entreprises!$N$5:$N$639,Entreprises!$A$5:$A$639,$A17,Entreprises!$C$5:$C$639,J$3,Entreprises!$D$5:$D$639,J$2)+SUMIFS(Banques!$P$5:$P$315,Banques!$A$5:$A$315,$A17,Banques!$C$5:$C$315,J$3,Banques!$D$5:$D$315,J$2)</f>
        <v/>
      </c>
      <c r="K17" s="18">
        <f>SUMIFS(Entreprises!$N$5:$N$639,Entreprises!$A$5:$A$639,$A17,Entreprises!$C$5:$C$639,K$3,Entreprises!$D$5:$D$639,K$2)+SUMIFS(Banques!$P$5:$P$315,Banques!$A$5:$A$315,$A17,Banques!$C$5:$C$315,K$3,Banques!$D$5:$D$315,K$2)</f>
        <v/>
      </c>
      <c r="L17" s="18">
        <f>SUMIFS(Entreprises!$N$5:$N$639,Entreprises!$A$5:$A$639,$A17,Entreprises!$C$5:$C$639,L$3,Entreprises!$D$5:$D$639,L$2)+SUMIFS(Banques!$P$5:$P$315,Banques!$A$5:$A$315,$A17,Banques!$C$5:$C$315,L$3,Banques!$D$5:$D$315,L$2)</f>
        <v/>
      </c>
      <c r="M17" s="18">
        <f>SUMIFS(Entreprises!$N$5:$N$639,Entreprises!$A$5:$A$639,$A17,Entreprises!$C$5:$C$639,M$3,Entreprises!$D$5:$D$639,M$2)+SUMIFS(Banques!$P$5:$P$315,Banques!$A$5:$A$315,$A17,Banques!$C$5:$C$315,M$3,Banques!$D$5:$D$315,M$2)</f>
        <v/>
      </c>
      <c r="N17" s="18">
        <f>SUMIFS(Entreprises!$N$5:$N$639,Entreprises!$A$5:$A$639,$A17,Entreprises!$C$5:$C$639,N$3,Entreprises!$D$5:$D$639,N$2)+SUMIFS(Banques!$P$5:$P$315,Banques!$A$5:$A$315,$A17,Banques!$C$5:$C$315,N$3,Banques!$D$5:$D$315,N$2)</f>
        <v/>
      </c>
      <c r="O17" s="18">
        <f>SUMIFS(Entreprises!$N$5:$N$639,Entreprises!$A$5:$A$639,$A17,Entreprises!$C$5:$C$639,O$3,Entreprises!$D$5:$D$639,O$2)+SUMIFS(Banques!$P$5:$P$315,Banques!$A$5:$A$315,$A17,Banques!$C$5:$C$315,O$3,Banques!$D$5:$D$315,O$2)</f>
        <v/>
      </c>
      <c r="P17" s="18">
        <f>SUMIFS(Entreprises!$N$5:$N$639,Entreprises!$A$5:$A$639,$A17,Entreprises!$C$5:$C$639,P$3,Entreprises!$D$5:$D$639,P$2)+SUMIFS(Banques!$P$5:$P$315,Banques!$A$5:$A$315,$A17,Banques!$C$5:$C$315,P$3,Banques!$D$5:$D$315,P$2)</f>
        <v/>
      </c>
      <c r="Q17" s="18">
        <f>SUMIFS(Entreprises!$N$5:$N$639,Entreprises!$A$5:$A$639,$A17,Entreprises!$C$5:$C$639,Q$3,Entreprises!$D$5:$D$639,Q$2)+SUMIFS(Banques!$P$5:$P$315,Banques!$A$5:$A$315,$A17,Banques!$C$5:$C$315,Q$3,Banques!$D$5:$D$315,Q$2)</f>
        <v/>
      </c>
      <c r="R17" s="18">
        <f>SUMIFS(Entreprises!$N$5:$N$639,Entreprises!$A$5:$A$639,$A17,Entreprises!$C$5:$C$639,R$3,Entreprises!$D$5:$D$639,R$2)+SUMIFS(Banques!$P$5:$P$315,Banques!$A$5:$A$315,$A17,Banques!$C$5:$C$315,R$3,Banques!$D$5:$D$315,R$2)</f>
        <v/>
      </c>
      <c r="S17" s="18">
        <f>SUMIFS(Entreprises!$N$5:$N$639,Entreprises!$A$5:$A$639,$A17,Entreprises!$C$5:$C$639,S$3,Entreprises!$D$5:$D$639,S$2)+SUMIFS(Banques!$P$5:$P$315,Banques!$A$5:$A$315,$A17,Banques!$C$5:$C$315,S$3,Banques!$D$5:$D$315,S$2)</f>
        <v/>
      </c>
      <c r="T17" s="18">
        <f>SUMIFS(Entreprises!$N$5:$N$639,Entreprises!$A$5:$A$639,$A17,Entreprises!$C$5:$C$639,T$3,Entreprises!$D$5:$D$639,T$2)+SUMIFS(Banques!$P$5:$P$315,Banques!$A$5:$A$315,$A17,Banques!$C$5:$C$315,T$3,Banques!$D$5:$D$315,T$2)</f>
        <v/>
      </c>
      <c r="U17" s="18">
        <f>SUMIFS(Entreprises!$N$5:$N$639,Entreprises!$A$5:$A$639,$A17,Entreprises!$C$5:$C$639,U$3,Entreprises!$D$5:$D$639,U$2)+SUMIFS(Banques!$P$5:$P$315,Banques!$A$5:$A$315,$A17,Banques!$C$5:$C$315,U$3,Banques!$D$5:$D$315,U$2)</f>
        <v/>
      </c>
    </row>
    <row r="18">
      <c r="A18" s="17" t="inlineStr">
        <is>
          <t>NEIC</t>
        </is>
      </c>
      <c r="B18" s="17">
        <f>IFERROR(VLOOKUP(A18,Titres!$A$2:$D$400,2,FALSE),"")</f>
        <v/>
      </c>
      <c r="C18" s="17">
        <f>IFERROR(VLOOKUP(A18,Titres!$A$2:$D$400,4,FALSE),"")</f>
        <v/>
      </c>
      <c r="D18" s="18">
        <f>SUMIFS(Entreprises!$N$5:$N$639,Entreprises!$A$5:$A$639,$A18,Entreprises!$C$5:$C$639,D$3,Entreprises!$D$5:$D$639,D$2)+SUMIFS(Banques!$P$5:$P$315,Banques!$A$5:$A$315,$A18,Banques!$C$5:$C$315,D$3,Banques!$D$5:$D$315,D$2)</f>
        <v/>
      </c>
      <c r="E18" s="18">
        <f>SUMIFS(Entreprises!$N$5:$N$639,Entreprises!$A$5:$A$639,$A18,Entreprises!$C$5:$C$639,E$3,Entreprises!$D$5:$D$639,E$2)+SUMIFS(Banques!$P$5:$P$315,Banques!$A$5:$A$315,$A18,Banques!$C$5:$C$315,E$3,Banques!$D$5:$D$315,E$2)</f>
        <v/>
      </c>
      <c r="F18" s="18">
        <f>SUMIFS(Entreprises!$N$5:$N$639,Entreprises!$A$5:$A$639,$A18,Entreprises!$C$5:$C$639,F$3,Entreprises!$D$5:$D$639,F$2)+SUMIFS(Banques!$P$5:$P$315,Banques!$A$5:$A$315,$A18,Banques!$C$5:$C$315,F$3,Banques!$D$5:$D$315,F$2)</f>
        <v/>
      </c>
      <c r="G18" s="18">
        <f>SUMIFS(Entreprises!$N$5:$N$639,Entreprises!$A$5:$A$639,$A18,Entreprises!$C$5:$C$639,G$3,Entreprises!$D$5:$D$639,G$2)+SUMIFS(Banques!$P$5:$P$315,Banques!$A$5:$A$315,$A18,Banques!$C$5:$C$315,G$3,Banques!$D$5:$D$315,G$2)</f>
        <v/>
      </c>
      <c r="H18" s="18">
        <f>SUMIFS(Entreprises!$N$5:$N$639,Entreprises!$A$5:$A$639,$A18,Entreprises!$C$5:$C$639,H$3,Entreprises!$D$5:$D$639,H$2)+SUMIFS(Banques!$P$5:$P$315,Banques!$A$5:$A$315,$A18,Banques!$C$5:$C$315,H$3,Banques!$D$5:$D$315,H$2)</f>
        <v/>
      </c>
      <c r="I18" s="18">
        <f>SUMIFS(Entreprises!$N$5:$N$639,Entreprises!$A$5:$A$639,$A18,Entreprises!$C$5:$C$639,I$3,Entreprises!$D$5:$D$639,I$2)+SUMIFS(Banques!$P$5:$P$315,Banques!$A$5:$A$315,$A18,Banques!$C$5:$C$315,I$3,Banques!$D$5:$D$315,I$2)</f>
        <v/>
      </c>
      <c r="J18" s="18">
        <f>SUMIFS(Entreprises!$N$5:$N$639,Entreprises!$A$5:$A$639,$A18,Entreprises!$C$5:$C$639,J$3,Entreprises!$D$5:$D$639,J$2)+SUMIFS(Banques!$P$5:$P$315,Banques!$A$5:$A$315,$A18,Banques!$C$5:$C$315,J$3,Banques!$D$5:$D$315,J$2)</f>
        <v/>
      </c>
      <c r="K18" s="18">
        <f>SUMIFS(Entreprises!$N$5:$N$639,Entreprises!$A$5:$A$639,$A18,Entreprises!$C$5:$C$639,K$3,Entreprises!$D$5:$D$639,K$2)+SUMIFS(Banques!$P$5:$P$315,Banques!$A$5:$A$315,$A18,Banques!$C$5:$C$315,K$3,Banques!$D$5:$D$315,K$2)</f>
        <v/>
      </c>
      <c r="L18" s="18">
        <f>SUMIFS(Entreprises!$N$5:$N$639,Entreprises!$A$5:$A$639,$A18,Entreprises!$C$5:$C$639,L$3,Entreprises!$D$5:$D$639,L$2)+SUMIFS(Banques!$P$5:$P$315,Banques!$A$5:$A$315,$A18,Banques!$C$5:$C$315,L$3,Banques!$D$5:$D$315,L$2)</f>
        <v/>
      </c>
      <c r="M18" s="18">
        <f>SUMIFS(Entreprises!$N$5:$N$639,Entreprises!$A$5:$A$639,$A18,Entreprises!$C$5:$C$639,M$3,Entreprises!$D$5:$D$639,M$2)+SUMIFS(Banques!$P$5:$P$315,Banques!$A$5:$A$315,$A18,Banques!$C$5:$C$315,M$3,Banques!$D$5:$D$315,M$2)</f>
        <v/>
      </c>
      <c r="N18" s="18">
        <f>SUMIFS(Entreprises!$N$5:$N$639,Entreprises!$A$5:$A$639,$A18,Entreprises!$C$5:$C$639,N$3,Entreprises!$D$5:$D$639,N$2)+SUMIFS(Banques!$P$5:$P$315,Banques!$A$5:$A$315,$A18,Banques!$C$5:$C$315,N$3,Banques!$D$5:$D$315,N$2)</f>
        <v/>
      </c>
      <c r="O18" s="18">
        <f>SUMIFS(Entreprises!$N$5:$N$639,Entreprises!$A$5:$A$639,$A18,Entreprises!$C$5:$C$639,O$3,Entreprises!$D$5:$D$639,O$2)+SUMIFS(Banques!$P$5:$P$315,Banques!$A$5:$A$315,$A18,Banques!$C$5:$C$315,O$3,Banques!$D$5:$D$315,O$2)</f>
        <v/>
      </c>
      <c r="P18" s="18">
        <f>SUMIFS(Entreprises!$N$5:$N$639,Entreprises!$A$5:$A$639,$A18,Entreprises!$C$5:$C$639,P$3,Entreprises!$D$5:$D$639,P$2)+SUMIFS(Banques!$P$5:$P$315,Banques!$A$5:$A$315,$A18,Banques!$C$5:$C$315,P$3,Banques!$D$5:$D$315,P$2)</f>
        <v/>
      </c>
      <c r="Q18" s="18">
        <f>SUMIFS(Entreprises!$N$5:$N$639,Entreprises!$A$5:$A$639,$A18,Entreprises!$C$5:$C$639,Q$3,Entreprises!$D$5:$D$639,Q$2)+SUMIFS(Banques!$P$5:$P$315,Banques!$A$5:$A$315,$A18,Banques!$C$5:$C$315,Q$3,Banques!$D$5:$D$315,Q$2)</f>
        <v/>
      </c>
      <c r="R18" s="18">
        <f>SUMIFS(Entreprises!$N$5:$N$639,Entreprises!$A$5:$A$639,$A18,Entreprises!$C$5:$C$639,R$3,Entreprises!$D$5:$D$639,R$2)+SUMIFS(Banques!$P$5:$P$315,Banques!$A$5:$A$315,$A18,Banques!$C$5:$C$315,R$3,Banques!$D$5:$D$315,R$2)</f>
        <v/>
      </c>
      <c r="S18" s="18">
        <f>SUMIFS(Entreprises!$N$5:$N$639,Entreprises!$A$5:$A$639,$A18,Entreprises!$C$5:$C$639,S$3,Entreprises!$D$5:$D$639,S$2)+SUMIFS(Banques!$P$5:$P$315,Banques!$A$5:$A$315,$A18,Banques!$C$5:$C$315,S$3,Banques!$D$5:$D$315,S$2)</f>
        <v/>
      </c>
      <c r="T18" s="18">
        <f>SUMIFS(Entreprises!$N$5:$N$639,Entreprises!$A$5:$A$639,$A18,Entreprises!$C$5:$C$639,T$3,Entreprises!$D$5:$D$639,T$2)+SUMIFS(Banques!$P$5:$P$315,Banques!$A$5:$A$315,$A18,Banques!$C$5:$C$315,T$3,Banques!$D$5:$D$315,T$2)</f>
        <v/>
      </c>
      <c r="U18" s="18">
        <f>SUMIFS(Entreprises!$N$5:$N$639,Entreprises!$A$5:$A$639,$A18,Entreprises!$C$5:$C$639,U$3,Entreprises!$D$5:$D$639,U$2)+SUMIFS(Banques!$P$5:$P$315,Banques!$A$5:$A$315,$A18,Banques!$C$5:$C$315,U$3,Banques!$D$5:$D$315,U$2)</f>
        <v/>
      </c>
    </row>
    <row r="19">
      <c r="A19" s="17" t="inlineStr">
        <is>
          <t>PRSC</t>
        </is>
      </c>
      <c r="B19" s="17">
        <f>IFERROR(VLOOKUP(A19,Titres!$A$2:$D$400,2,FALSE),"")</f>
        <v/>
      </c>
      <c r="C19" s="17">
        <f>IFERROR(VLOOKUP(A19,Titres!$A$2:$D$400,4,FALSE),"")</f>
        <v/>
      </c>
      <c r="D19" s="18">
        <f>SUMIFS(Entreprises!$N$5:$N$639,Entreprises!$A$5:$A$639,$A19,Entreprises!$C$5:$C$639,D$3,Entreprises!$D$5:$D$639,D$2)+SUMIFS(Banques!$P$5:$P$315,Banques!$A$5:$A$315,$A19,Banques!$C$5:$C$315,D$3,Banques!$D$5:$D$315,D$2)</f>
        <v/>
      </c>
      <c r="E19" s="18">
        <f>SUMIFS(Entreprises!$N$5:$N$639,Entreprises!$A$5:$A$639,$A19,Entreprises!$C$5:$C$639,E$3,Entreprises!$D$5:$D$639,E$2)+SUMIFS(Banques!$P$5:$P$315,Banques!$A$5:$A$315,$A19,Banques!$C$5:$C$315,E$3,Banques!$D$5:$D$315,E$2)</f>
        <v/>
      </c>
      <c r="F19" s="18">
        <f>SUMIFS(Entreprises!$N$5:$N$639,Entreprises!$A$5:$A$639,$A19,Entreprises!$C$5:$C$639,F$3,Entreprises!$D$5:$D$639,F$2)+SUMIFS(Banques!$P$5:$P$315,Banques!$A$5:$A$315,$A19,Banques!$C$5:$C$315,F$3,Banques!$D$5:$D$315,F$2)</f>
        <v/>
      </c>
      <c r="G19" s="18">
        <f>SUMIFS(Entreprises!$N$5:$N$639,Entreprises!$A$5:$A$639,$A19,Entreprises!$C$5:$C$639,G$3,Entreprises!$D$5:$D$639,G$2)+SUMIFS(Banques!$P$5:$P$315,Banques!$A$5:$A$315,$A19,Banques!$C$5:$C$315,G$3,Banques!$D$5:$D$315,G$2)</f>
        <v/>
      </c>
      <c r="H19" s="18">
        <f>SUMIFS(Entreprises!$N$5:$N$639,Entreprises!$A$5:$A$639,$A19,Entreprises!$C$5:$C$639,H$3,Entreprises!$D$5:$D$639,H$2)+SUMIFS(Banques!$P$5:$P$315,Banques!$A$5:$A$315,$A19,Banques!$C$5:$C$315,H$3,Banques!$D$5:$D$315,H$2)</f>
        <v/>
      </c>
      <c r="I19" s="18">
        <f>SUMIFS(Entreprises!$N$5:$N$639,Entreprises!$A$5:$A$639,$A19,Entreprises!$C$5:$C$639,I$3,Entreprises!$D$5:$D$639,I$2)+SUMIFS(Banques!$P$5:$P$315,Banques!$A$5:$A$315,$A19,Banques!$C$5:$C$315,I$3,Banques!$D$5:$D$315,I$2)</f>
        <v/>
      </c>
      <c r="J19" s="18">
        <f>SUMIFS(Entreprises!$N$5:$N$639,Entreprises!$A$5:$A$639,$A19,Entreprises!$C$5:$C$639,J$3,Entreprises!$D$5:$D$639,J$2)+SUMIFS(Banques!$P$5:$P$315,Banques!$A$5:$A$315,$A19,Banques!$C$5:$C$315,J$3,Banques!$D$5:$D$315,J$2)</f>
        <v/>
      </c>
      <c r="K19" s="18">
        <f>SUMIFS(Entreprises!$N$5:$N$639,Entreprises!$A$5:$A$639,$A19,Entreprises!$C$5:$C$639,K$3,Entreprises!$D$5:$D$639,K$2)+SUMIFS(Banques!$P$5:$P$315,Banques!$A$5:$A$315,$A19,Banques!$C$5:$C$315,K$3,Banques!$D$5:$D$315,K$2)</f>
        <v/>
      </c>
      <c r="L19" s="18">
        <f>SUMIFS(Entreprises!$N$5:$N$639,Entreprises!$A$5:$A$639,$A19,Entreprises!$C$5:$C$639,L$3,Entreprises!$D$5:$D$639,L$2)+SUMIFS(Banques!$P$5:$P$315,Banques!$A$5:$A$315,$A19,Banques!$C$5:$C$315,L$3,Banques!$D$5:$D$315,L$2)</f>
        <v/>
      </c>
      <c r="M19" s="18">
        <f>SUMIFS(Entreprises!$N$5:$N$639,Entreprises!$A$5:$A$639,$A19,Entreprises!$C$5:$C$639,M$3,Entreprises!$D$5:$D$639,M$2)+SUMIFS(Banques!$P$5:$P$315,Banques!$A$5:$A$315,$A19,Banques!$C$5:$C$315,M$3,Banques!$D$5:$D$315,M$2)</f>
        <v/>
      </c>
      <c r="N19" s="18">
        <f>SUMIFS(Entreprises!$N$5:$N$639,Entreprises!$A$5:$A$639,$A19,Entreprises!$C$5:$C$639,N$3,Entreprises!$D$5:$D$639,N$2)+SUMIFS(Banques!$P$5:$P$315,Banques!$A$5:$A$315,$A19,Banques!$C$5:$C$315,N$3,Banques!$D$5:$D$315,N$2)</f>
        <v/>
      </c>
      <c r="O19" s="18">
        <f>SUMIFS(Entreprises!$N$5:$N$639,Entreprises!$A$5:$A$639,$A19,Entreprises!$C$5:$C$639,O$3,Entreprises!$D$5:$D$639,O$2)+SUMIFS(Banques!$P$5:$P$315,Banques!$A$5:$A$315,$A19,Banques!$C$5:$C$315,O$3,Banques!$D$5:$D$315,O$2)</f>
        <v/>
      </c>
      <c r="P19" s="18">
        <f>SUMIFS(Entreprises!$N$5:$N$639,Entreprises!$A$5:$A$639,$A19,Entreprises!$C$5:$C$639,P$3,Entreprises!$D$5:$D$639,P$2)+SUMIFS(Banques!$P$5:$P$315,Banques!$A$5:$A$315,$A19,Banques!$C$5:$C$315,P$3,Banques!$D$5:$D$315,P$2)</f>
        <v/>
      </c>
      <c r="Q19" s="18">
        <f>SUMIFS(Entreprises!$N$5:$N$639,Entreprises!$A$5:$A$639,$A19,Entreprises!$C$5:$C$639,Q$3,Entreprises!$D$5:$D$639,Q$2)+SUMIFS(Banques!$P$5:$P$315,Banques!$A$5:$A$315,$A19,Banques!$C$5:$C$315,Q$3,Banques!$D$5:$D$315,Q$2)</f>
        <v/>
      </c>
      <c r="R19" s="18">
        <f>SUMIFS(Entreprises!$N$5:$N$639,Entreprises!$A$5:$A$639,$A19,Entreprises!$C$5:$C$639,R$3,Entreprises!$D$5:$D$639,R$2)+SUMIFS(Banques!$P$5:$P$315,Banques!$A$5:$A$315,$A19,Banques!$C$5:$C$315,R$3,Banques!$D$5:$D$315,R$2)</f>
        <v/>
      </c>
      <c r="S19" s="18">
        <f>SUMIFS(Entreprises!$N$5:$N$639,Entreprises!$A$5:$A$639,$A19,Entreprises!$C$5:$C$639,S$3,Entreprises!$D$5:$D$639,S$2)+SUMIFS(Banques!$P$5:$P$315,Banques!$A$5:$A$315,$A19,Banques!$C$5:$C$315,S$3,Banques!$D$5:$D$315,S$2)</f>
        <v/>
      </c>
      <c r="T19" s="18">
        <f>SUMIFS(Entreprises!$N$5:$N$639,Entreprises!$A$5:$A$639,$A19,Entreprises!$C$5:$C$639,T$3,Entreprises!$D$5:$D$639,T$2)+SUMIFS(Banques!$P$5:$P$315,Banques!$A$5:$A$315,$A19,Banques!$C$5:$C$315,T$3,Banques!$D$5:$D$315,T$2)</f>
        <v/>
      </c>
      <c r="U19" s="18">
        <f>SUMIFS(Entreprises!$N$5:$N$639,Entreprises!$A$5:$A$639,$A19,Entreprises!$C$5:$C$639,U$3,Entreprises!$D$5:$D$639,U$2)+SUMIFS(Banques!$P$5:$P$315,Banques!$A$5:$A$315,$A19,Banques!$C$5:$C$315,U$3,Banques!$D$5:$D$315,U$2)</f>
        <v/>
      </c>
    </row>
    <row r="20">
      <c r="A20" s="17" t="inlineStr">
        <is>
          <t>UNXC</t>
        </is>
      </c>
      <c r="B20" s="17">
        <f>IFERROR(VLOOKUP(A20,Titres!$A$2:$D$400,2,FALSE),"")</f>
        <v/>
      </c>
      <c r="C20" s="17">
        <f>IFERROR(VLOOKUP(A20,Titres!$A$2:$D$400,4,FALSE),"")</f>
        <v/>
      </c>
      <c r="D20" s="18">
        <f>SUMIFS(Entreprises!$N$5:$N$639,Entreprises!$A$5:$A$639,$A20,Entreprises!$C$5:$C$639,D$3,Entreprises!$D$5:$D$639,D$2)+SUMIFS(Banques!$P$5:$P$315,Banques!$A$5:$A$315,$A20,Banques!$C$5:$C$315,D$3,Banques!$D$5:$D$315,D$2)</f>
        <v/>
      </c>
      <c r="E20" s="18">
        <f>SUMIFS(Entreprises!$N$5:$N$639,Entreprises!$A$5:$A$639,$A20,Entreprises!$C$5:$C$639,E$3,Entreprises!$D$5:$D$639,E$2)+SUMIFS(Banques!$P$5:$P$315,Banques!$A$5:$A$315,$A20,Banques!$C$5:$C$315,E$3,Banques!$D$5:$D$315,E$2)</f>
        <v/>
      </c>
      <c r="F20" s="18">
        <f>SUMIFS(Entreprises!$N$5:$N$639,Entreprises!$A$5:$A$639,$A20,Entreprises!$C$5:$C$639,F$3,Entreprises!$D$5:$D$639,F$2)+SUMIFS(Banques!$P$5:$P$315,Banques!$A$5:$A$315,$A20,Banques!$C$5:$C$315,F$3,Banques!$D$5:$D$315,F$2)</f>
        <v/>
      </c>
      <c r="G20" s="18">
        <f>SUMIFS(Entreprises!$N$5:$N$639,Entreprises!$A$5:$A$639,$A20,Entreprises!$C$5:$C$639,G$3,Entreprises!$D$5:$D$639,G$2)+SUMIFS(Banques!$P$5:$P$315,Banques!$A$5:$A$315,$A20,Banques!$C$5:$C$315,G$3,Banques!$D$5:$D$315,G$2)</f>
        <v/>
      </c>
      <c r="H20" s="18">
        <f>SUMIFS(Entreprises!$N$5:$N$639,Entreprises!$A$5:$A$639,$A20,Entreprises!$C$5:$C$639,H$3,Entreprises!$D$5:$D$639,H$2)+SUMIFS(Banques!$P$5:$P$315,Banques!$A$5:$A$315,$A20,Banques!$C$5:$C$315,H$3,Banques!$D$5:$D$315,H$2)</f>
        <v/>
      </c>
      <c r="I20" s="18">
        <f>SUMIFS(Entreprises!$N$5:$N$639,Entreprises!$A$5:$A$639,$A20,Entreprises!$C$5:$C$639,I$3,Entreprises!$D$5:$D$639,I$2)+SUMIFS(Banques!$P$5:$P$315,Banques!$A$5:$A$315,$A20,Banques!$C$5:$C$315,I$3,Banques!$D$5:$D$315,I$2)</f>
        <v/>
      </c>
      <c r="J20" s="18">
        <f>SUMIFS(Entreprises!$N$5:$N$639,Entreprises!$A$5:$A$639,$A20,Entreprises!$C$5:$C$639,J$3,Entreprises!$D$5:$D$639,J$2)+SUMIFS(Banques!$P$5:$P$315,Banques!$A$5:$A$315,$A20,Banques!$C$5:$C$315,J$3,Banques!$D$5:$D$315,J$2)</f>
        <v/>
      </c>
      <c r="K20" s="18">
        <f>SUMIFS(Entreprises!$N$5:$N$639,Entreprises!$A$5:$A$639,$A20,Entreprises!$C$5:$C$639,K$3,Entreprises!$D$5:$D$639,K$2)+SUMIFS(Banques!$P$5:$P$315,Banques!$A$5:$A$315,$A20,Banques!$C$5:$C$315,K$3,Banques!$D$5:$D$315,K$2)</f>
        <v/>
      </c>
      <c r="L20" s="18">
        <f>SUMIFS(Entreprises!$N$5:$N$639,Entreprises!$A$5:$A$639,$A20,Entreprises!$C$5:$C$639,L$3,Entreprises!$D$5:$D$639,L$2)+SUMIFS(Banques!$P$5:$P$315,Banques!$A$5:$A$315,$A20,Banques!$C$5:$C$315,L$3,Banques!$D$5:$D$315,L$2)</f>
        <v/>
      </c>
      <c r="M20" s="18">
        <f>SUMIFS(Entreprises!$N$5:$N$639,Entreprises!$A$5:$A$639,$A20,Entreprises!$C$5:$C$639,M$3,Entreprises!$D$5:$D$639,M$2)+SUMIFS(Banques!$P$5:$P$315,Banques!$A$5:$A$315,$A20,Banques!$C$5:$C$315,M$3,Banques!$D$5:$D$315,M$2)</f>
        <v/>
      </c>
      <c r="N20" s="18">
        <f>SUMIFS(Entreprises!$N$5:$N$639,Entreprises!$A$5:$A$639,$A20,Entreprises!$C$5:$C$639,N$3,Entreprises!$D$5:$D$639,N$2)+SUMIFS(Banques!$P$5:$P$315,Banques!$A$5:$A$315,$A20,Banques!$C$5:$C$315,N$3,Banques!$D$5:$D$315,N$2)</f>
        <v/>
      </c>
      <c r="O20" s="18">
        <f>SUMIFS(Entreprises!$N$5:$N$639,Entreprises!$A$5:$A$639,$A20,Entreprises!$C$5:$C$639,O$3,Entreprises!$D$5:$D$639,O$2)+SUMIFS(Banques!$P$5:$P$315,Banques!$A$5:$A$315,$A20,Banques!$C$5:$C$315,O$3,Banques!$D$5:$D$315,O$2)</f>
        <v/>
      </c>
      <c r="P20" s="18">
        <f>SUMIFS(Entreprises!$N$5:$N$639,Entreprises!$A$5:$A$639,$A20,Entreprises!$C$5:$C$639,P$3,Entreprises!$D$5:$D$639,P$2)+SUMIFS(Banques!$P$5:$P$315,Banques!$A$5:$A$315,$A20,Banques!$C$5:$C$315,P$3,Banques!$D$5:$D$315,P$2)</f>
        <v/>
      </c>
      <c r="Q20" s="18">
        <f>SUMIFS(Entreprises!$N$5:$N$639,Entreprises!$A$5:$A$639,$A20,Entreprises!$C$5:$C$639,Q$3,Entreprises!$D$5:$D$639,Q$2)+SUMIFS(Banques!$P$5:$P$315,Banques!$A$5:$A$315,$A20,Banques!$C$5:$C$315,Q$3,Banques!$D$5:$D$315,Q$2)</f>
        <v/>
      </c>
      <c r="R20" s="18">
        <f>SUMIFS(Entreprises!$N$5:$N$639,Entreprises!$A$5:$A$639,$A20,Entreprises!$C$5:$C$639,R$3,Entreprises!$D$5:$D$639,R$2)+SUMIFS(Banques!$P$5:$P$315,Banques!$A$5:$A$315,$A20,Banques!$C$5:$C$315,R$3,Banques!$D$5:$D$315,R$2)</f>
        <v/>
      </c>
      <c r="S20" s="18">
        <f>SUMIFS(Entreprises!$N$5:$N$639,Entreprises!$A$5:$A$639,$A20,Entreprises!$C$5:$C$639,S$3,Entreprises!$D$5:$D$639,S$2)+SUMIFS(Banques!$P$5:$P$315,Banques!$A$5:$A$315,$A20,Banques!$C$5:$C$315,S$3,Banques!$D$5:$D$315,S$2)</f>
        <v/>
      </c>
      <c r="T20" s="18">
        <f>SUMIFS(Entreprises!$N$5:$N$639,Entreprises!$A$5:$A$639,$A20,Entreprises!$C$5:$C$639,T$3,Entreprises!$D$5:$D$639,T$2)+SUMIFS(Banques!$P$5:$P$315,Banques!$A$5:$A$315,$A20,Banques!$C$5:$C$315,T$3,Banques!$D$5:$D$315,T$2)</f>
        <v/>
      </c>
      <c r="U20" s="18">
        <f>SUMIFS(Entreprises!$N$5:$N$639,Entreprises!$A$5:$A$639,$A20,Entreprises!$C$5:$C$639,U$3,Entreprises!$D$5:$D$639,U$2)+SUMIFS(Banques!$P$5:$P$315,Banques!$A$5:$A$315,$A20,Banques!$C$5:$C$315,U$3,Banques!$D$5:$D$315,U$2)</f>
        <v/>
      </c>
    </row>
    <row r="21">
      <c r="A21" s="17" t="inlineStr">
        <is>
          <t>CABC</t>
        </is>
      </c>
      <c r="B21" s="17">
        <f>IFERROR(VLOOKUP(A21,Titres!$A$2:$D$400,2,FALSE),"")</f>
        <v/>
      </c>
      <c r="C21" s="17">
        <f>IFERROR(VLOOKUP(A21,Titres!$A$2:$D$400,4,FALSE),"")</f>
        <v/>
      </c>
      <c r="D21" s="18">
        <f>SUMIFS(Entreprises!$N$5:$N$639,Entreprises!$A$5:$A$639,$A21,Entreprises!$C$5:$C$639,D$3,Entreprises!$D$5:$D$639,D$2)+SUMIFS(Banques!$P$5:$P$315,Banques!$A$5:$A$315,$A21,Banques!$C$5:$C$315,D$3,Banques!$D$5:$D$315,D$2)</f>
        <v/>
      </c>
      <c r="E21" s="18">
        <f>SUMIFS(Entreprises!$N$5:$N$639,Entreprises!$A$5:$A$639,$A21,Entreprises!$C$5:$C$639,E$3,Entreprises!$D$5:$D$639,E$2)+SUMIFS(Banques!$P$5:$P$315,Banques!$A$5:$A$315,$A21,Banques!$C$5:$C$315,E$3,Banques!$D$5:$D$315,E$2)</f>
        <v/>
      </c>
      <c r="F21" s="18">
        <f>SUMIFS(Entreprises!$N$5:$N$639,Entreprises!$A$5:$A$639,$A21,Entreprises!$C$5:$C$639,F$3,Entreprises!$D$5:$D$639,F$2)+SUMIFS(Banques!$P$5:$P$315,Banques!$A$5:$A$315,$A21,Banques!$C$5:$C$315,F$3,Banques!$D$5:$D$315,F$2)</f>
        <v/>
      </c>
      <c r="G21" s="18">
        <f>SUMIFS(Entreprises!$N$5:$N$639,Entreprises!$A$5:$A$639,$A21,Entreprises!$C$5:$C$639,G$3,Entreprises!$D$5:$D$639,G$2)+SUMIFS(Banques!$P$5:$P$315,Banques!$A$5:$A$315,$A21,Banques!$C$5:$C$315,G$3,Banques!$D$5:$D$315,G$2)</f>
        <v/>
      </c>
      <c r="H21" s="18">
        <f>SUMIFS(Entreprises!$N$5:$N$639,Entreprises!$A$5:$A$639,$A21,Entreprises!$C$5:$C$639,H$3,Entreprises!$D$5:$D$639,H$2)+SUMIFS(Banques!$P$5:$P$315,Banques!$A$5:$A$315,$A21,Banques!$C$5:$C$315,H$3,Banques!$D$5:$D$315,H$2)</f>
        <v/>
      </c>
      <c r="I21" s="18">
        <f>SUMIFS(Entreprises!$N$5:$N$639,Entreprises!$A$5:$A$639,$A21,Entreprises!$C$5:$C$639,I$3,Entreprises!$D$5:$D$639,I$2)+SUMIFS(Banques!$P$5:$P$315,Banques!$A$5:$A$315,$A21,Banques!$C$5:$C$315,I$3,Banques!$D$5:$D$315,I$2)</f>
        <v/>
      </c>
      <c r="J21" s="18">
        <f>SUMIFS(Entreprises!$N$5:$N$639,Entreprises!$A$5:$A$639,$A21,Entreprises!$C$5:$C$639,J$3,Entreprises!$D$5:$D$639,J$2)+SUMIFS(Banques!$P$5:$P$315,Banques!$A$5:$A$315,$A21,Banques!$C$5:$C$315,J$3,Banques!$D$5:$D$315,J$2)</f>
        <v/>
      </c>
      <c r="K21" s="18">
        <f>SUMIFS(Entreprises!$N$5:$N$639,Entreprises!$A$5:$A$639,$A21,Entreprises!$C$5:$C$639,K$3,Entreprises!$D$5:$D$639,K$2)+SUMIFS(Banques!$P$5:$P$315,Banques!$A$5:$A$315,$A21,Banques!$C$5:$C$315,K$3,Banques!$D$5:$D$315,K$2)</f>
        <v/>
      </c>
      <c r="L21" s="18">
        <f>SUMIFS(Entreprises!$N$5:$N$639,Entreprises!$A$5:$A$639,$A21,Entreprises!$C$5:$C$639,L$3,Entreprises!$D$5:$D$639,L$2)+SUMIFS(Banques!$P$5:$P$315,Banques!$A$5:$A$315,$A21,Banques!$C$5:$C$315,L$3,Banques!$D$5:$D$315,L$2)</f>
        <v/>
      </c>
      <c r="M21" s="18">
        <f>SUMIFS(Entreprises!$N$5:$N$639,Entreprises!$A$5:$A$639,$A21,Entreprises!$C$5:$C$639,M$3,Entreprises!$D$5:$D$639,M$2)+SUMIFS(Banques!$P$5:$P$315,Banques!$A$5:$A$315,$A21,Banques!$C$5:$C$315,M$3,Banques!$D$5:$D$315,M$2)</f>
        <v/>
      </c>
      <c r="N21" s="18">
        <f>SUMIFS(Entreprises!$N$5:$N$639,Entreprises!$A$5:$A$639,$A21,Entreprises!$C$5:$C$639,N$3,Entreprises!$D$5:$D$639,N$2)+SUMIFS(Banques!$P$5:$P$315,Banques!$A$5:$A$315,$A21,Banques!$C$5:$C$315,N$3,Banques!$D$5:$D$315,N$2)</f>
        <v/>
      </c>
      <c r="O21" s="18">
        <f>SUMIFS(Entreprises!$N$5:$N$639,Entreprises!$A$5:$A$639,$A21,Entreprises!$C$5:$C$639,O$3,Entreprises!$D$5:$D$639,O$2)+SUMIFS(Banques!$P$5:$P$315,Banques!$A$5:$A$315,$A21,Banques!$C$5:$C$315,O$3,Banques!$D$5:$D$315,O$2)</f>
        <v/>
      </c>
      <c r="P21" s="18">
        <f>SUMIFS(Entreprises!$N$5:$N$639,Entreprises!$A$5:$A$639,$A21,Entreprises!$C$5:$C$639,P$3,Entreprises!$D$5:$D$639,P$2)+SUMIFS(Banques!$P$5:$P$315,Banques!$A$5:$A$315,$A21,Banques!$C$5:$C$315,P$3,Banques!$D$5:$D$315,P$2)</f>
        <v/>
      </c>
      <c r="Q21" s="18">
        <f>SUMIFS(Entreprises!$N$5:$N$639,Entreprises!$A$5:$A$639,$A21,Entreprises!$C$5:$C$639,Q$3,Entreprises!$D$5:$D$639,Q$2)+SUMIFS(Banques!$P$5:$P$315,Banques!$A$5:$A$315,$A21,Banques!$C$5:$C$315,Q$3,Banques!$D$5:$D$315,Q$2)</f>
        <v/>
      </c>
      <c r="R21" s="18">
        <f>SUMIFS(Entreprises!$N$5:$N$639,Entreprises!$A$5:$A$639,$A21,Entreprises!$C$5:$C$639,R$3,Entreprises!$D$5:$D$639,R$2)+SUMIFS(Banques!$P$5:$P$315,Banques!$A$5:$A$315,$A21,Banques!$C$5:$C$315,R$3,Banques!$D$5:$D$315,R$2)</f>
        <v/>
      </c>
      <c r="S21" s="18">
        <f>SUMIFS(Entreprises!$N$5:$N$639,Entreprises!$A$5:$A$639,$A21,Entreprises!$C$5:$C$639,S$3,Entreprises!$D$5:$D$639,S$2)+SUMIFS(Banques!$P$5:$P$315,Banques!$A$5:$A$315,$A21,Banques!$C$5:$C$315,S$3,Banques!$D$5:$D$315,S$2)</f>
        <v/>
      </c>
      <c r="T21" s="18">
        <f>SUMIFS(Entreprises!$N$5:$N$639,Entreprises!$A$5:$A$639,$A21,Entreprises!$C$5:$C$639,T$3,Entreprises!$D$5:$D$639,T$2)+SUMIFS(Banques!$P$5:$P$315,Banques!$A$5:$A$315,$A21,Banques!$C$5:$C$315,T$3,Banques!$D$5:$D$315,T$2)</f>
        <v/>
      </c>
      <c r="U21" s="18">
        <f>SUMIFS(Entreprises!$N$5:$N$639,Entreprises!$A$5:$A$639,$A21,Entreprises!$C$5:$C$639,U$3,Entreprises!$D$5:$D$639,U$2)+SUMIFS(Banques!$P$5:$P$315,Banques!$A$5:$A$315,$A21,Banques!$C$5:$C$315,U$3,Banques!$D$5:$D$315,U$2)</f>
        <v/>
      </c>
    </row>
    <row r="22">
      <c r="A22" s="17" t="inlineStr">
        <is>
          <t>FTSC</t>
        </is>
      </c>
      <c r="B22" s="17">
        <f>IFERROR(VLOOKUP(A22,Titres!$A$2:$D$400,2,FALSE),"")</f>
        <v/>
      </c>
      <c r="C22" s="17">
        <f>IFERROR(VLOOKUP(A22,Titres!$A$2:$D$400,4,FALSE),"")</f>
        <v/>
      </c>
      <c r="D22" s="18">
        <f>SUMIFS(Entreprises!$N$5:$N$639,Entreprises!$A$5:$A$639,$A22,Entreprises!$C$5:$C$639,D$3,Entreprises!$D$5:$D$639,D$2)+SUMIFS(Banques!$P$5:$P$315,Banques!$A$5:$A$315,$A22,Banques!$C$5:$C$315,D$3,Banques!$D$5:$D$315,D$2)</f>
        <v/>
      </c>
      <c r="E22" s="18">
        <f>SUMIFS(Entreprises!$N$5:$N$639,Entreprises!$A$5:$A$639,$A22,Entreprises!$C$5:$C$639,E$3,Entreprises!$D$5:$D$639,E$2)+SUMIFS(Banques!$P$5:$P$315,Banques!$A$5:$A$315,$A22,Banques!$C$5:$C$315,E$3,Banques!$D$5:$D$315,E$2)</f>
        <v/>
      </c>
      <c r="F22" s="18">
        <f>SUMIFS(Entreprises!$N$5:$N$639,Entreprises!$A$5:$A$639,$A22,Entreprises!$C$5:$C$639,F$3,Entreprises!$D$5:$D$639,F$2)+SUMIFS(Banques!$P$5:$P$315,Banques!$A$5:$A$315,$A22,Banques!$C$5:$C$315,F$3,Banques!$D$5:$D$315,F$2)</f>
        <v/>
      </c>
      <c r="G22" s="18">
        <f>SUMIFS(Entreprises!$N$5:$N$639,Entreprises!$A$5:$A$639,$A22,Entreprises!$C$5:$C$639,G$3,Entreprises!$D$5:$D$639,G$2)+SUMIFS(Banques!$P$5:$P$315,Banques!$A$5:$A$315,$A22,Banques!$C$5:$C$315,G$3,Banques!$D$5:$D$315,G$2)</f>
        <v/>
      </c>
      <c r="H22" s="18">
        <f>SUMIFS(Entreprises!$N$5:$N$639,Entreprises!$A$5:$A$639,$A22,Entreprises!$C$5:$C$639,H$3,Entreprises!$D$5:$D$639,H$2)+SUMIFS(Banques!$P$5:$P$315,Banques!$A$5:$A$315,$A22,Banques!$C$5:$C$315,H$3,Banques!$D$5:$D$315,H$2)</f>
        <v/>
      </c>
      <c r="I22" s="18">
        <f>SUMIFS(Entreprises!$N$5:$N$639,Entreprises!$A$5:$A$639,$A22,Entreprises!$C$5:$C$639,I$3,Entreprises!$D$5:$D$639,I$2)+SUMIFS(Banques!$P$5:$P$315,Banques!$A$5:$A$315,$A22,Banques!$C$5:$C$315,I$3,Banques!$D$5:$D$315,I$2)</f>
        <v/>
      </c>
      <c r="J22" s="18">
        <f>SUMIFS(Entreprises!$N$5:$N$639,Entreprises!$A$5:$A$639,$A22,Entreprises!$C$5:$C$639,J$3,Entreprises!$D$5:$D$639,J$2)+SUMIFS(Banques!$P$5:$P$315,Banques!$A$5:$A$315,$A22,Banques!$C$5:$C$315,J$3,Banques!$D$5:$D$315,J$2)</f>
        <v/>
      </c>
      <c r="K22" s="18">
        <f>SUMIFS(Entreprises!$N$5:$N$639,Entreprises!$A$5:$A$639,$A22,Entreprises!$C$5:$C$639,K$3,Entreprises!$D$5:$D$639,K$2)+SUMIFS(Banques!$P$5:$P$315,Banques!$A$5:$A$315,$A22,Banques!$C$5:$C$315,K$3,Banques!$D$5:$D$315,K$2)</f>
        <v/>
      </c>
      <c r="L22" s="18">
        <f>SUMIFS(Entreprises!$N$5:$N$639,Entreprises!$A$5:$A$639,$A22,Entreprises!$C$5:$C$639,L$3,Entreprises!$D$5:$D$639,L$2)+SUMIFS(Banques!$P$5:$P$315,Banques!$A$5:$A$315,$A22,Banques!$C$5:$C$315,L$3,Banques!$D$5:$D$315,L$2)</f>
        <v/>
      </c>
      <c r="M22" s="18">
        <f>SUMIFS(Entreprises!$N$5:$N$639,Entreprises!$A$5:$A$639,$A22,Entreprises!$C$5:$C$639,M$3,Entreprises!$D$5:$D$639,M$2)+SUMIFS(Banques!$P$5:$P$315,Banques!$A$5:$A$315,$A22,Banques!$C$5:$C$315,M$3,Banques!$D$5:$D$315,M$2)</f>
        <v/>
      </c>
      <c r="N22" s="18">
        <f>SUMIFS(Entreprises!$N$5:$N$639,Entreprises!$A$5:$A$639,$A22,Entreprises!$C$5:$C$639,N$3,Entreprises!$D$5:$D$639,N$2)+SUMIFS(Banques!$P$5:$P$315,Banques!$A$5:$A$315,$A22,Banques!$C$5:$C$315,N$3,Banques!$D$5:$D$315,N$2)</f>
        <v/>
      </c>
      <c r="O22" s="18">
        <f>SUMIFS(Entreprises!$N$5:$N$639,Entreprises!$A$5:$A$639,$A22,Entreprises!$C$5:$C$639,O$3,Entreprises!$D$5:$D$639,O$2)+SUMIFS(Banques!$P$5:$P$315,Banques!$A$5:$A$315,$A22,Banques!$C$5:$C$315,O$3,Banques!$D$5:$D$315,O$2)</f>
        <v/>
      </c>
      <c r="P22" s="18">
        <f>SUMIFS(Entreprises!$N$5:$N$639,Entreprises!$A$5:$A$639,$A22,Entreprises!$C$5:$C$639,P$3,Entreprises!$D$5:$D$639,P$2)+SUMIFS(Banques!$P$5:$P$315,Banques!$A$5:$A$315,$A22,Banques!$C$5:$C$315,P$3,Banques!$D$5:$D$315,P$2)</f>
        <v/>
      </c>
      <c r="Q22" s="18">
        <f>SUMIFS(Entreprises!$N$5:$N$639,Entreprises!$A$5:$A$639,$A22,Entreprises!$C$5:$C$639,Q$3,Entreprises!$D$5:$D$639,Q$2)+SUMIFS(Banques!$P$5:$P$315,Banques!$A$5:$A$315,$A22,Banques!$C$5:$C$315,Q$3,Banques!$D$5:$D$315,Q$2)</f>
        <v/>
      </c>
      <c r="R22" s="18">
        <f>SUMIFS(Entreprises!$N$5:$N$639,Entreprises!$A$5:$A$639,$A22,Entreprises!$C$5:$C$639,R$3,Entreprises!$D$5:$D$639,R$2)+SUMIFS(Banques!$P$5:$P$315,Banques!$A$5:$A$315,$A22,Banques!$C$5:$C$315,R$3,Banques!$D$5:$D$315,R$2)</f>
        <v/>
      </c>
      <c r="S22" s="18">
        <f>SUMIFS(Entreprises!$N$5:$N$639,Entreprises!$A$5:$A$639,$A22,Entreprises!$C$5:$C$639,S$3,Entreprises!$D$5:$D$639,S$2)+SUMIFS(Banques!$P$5:$P$315,Banques!$A$5:$A$315,$A22,Banques!$C$5:$C$315,S$3,Banques!$D$5:$D$315,S$2)</f>
        <v/>
      </c>
      <c r="T22" s="18">
        <f>SUMIFS(Entreprises!$N$5:$N$639,Entreprises!$A$5:$A$639,$A22,Entreprises!$C$5:$C$639,T$3,Entreprises!$D$5:$D$639,T$2)+SUMIFS(Banques!$P$5:$P$315,Banques!$A$5:$A$315,$A22,Banques!$C$5:$C$315,T$3,Banques!$D$5:$D$315,T$2)</f>
        <v/>
      </c>
      <c r="U22" s="18">
        <f>SUMIFS(Entreprises!$N$5:$N$639,Entreprises!$A$5:$A$639,$A22,Entreprises!$C$5:$C$639,U$3,Entreprises!$D$5:$D$639,U$2)+SUMIFS(Banques!$P$5:$P$315,Banques!$A$5:$A$315,$A22,Banques!$C$5:$C$315,U$3,Banques!$D$5:$D$315,U$2)</f>
        <v/>
      </c>
    </row>
    <row r="23">
      <c r="A23" s="17" t="inlineStr">
        <is>
          <t>SDSC</t>
        </is>
      </c>
      <c r="B23" s="17">
        <f>IFERROR(VLOOKUP(A23,Titres!$A$2:$D$400,2,FALSE),"")</f>
        <v/>
      </c>
      <c r="C23" s="17">
        <f>IFERROR(VLOOKUP(A23,Titres!$A$2:$D$400,4,FALSE),"")</f>
        <v/>
      </c>
      <c r="D23" s="18">
        <f>SUMIFS(Entreprises!$N$5:$N$639,Entreprises!$A$5:$A$639,$A23,Entreprises!$C$5:$C$639,D$3,Entreprises!$D$5:$D$639,D$2)+SUMIFS(Banques!$P$5:$P$315,Banques!$A$5:$A$315,$A23,Banques!$C$5:$C$315,D$3,Banques!$D$5:$D$315,D$2)</f>
        <v/>
      </c>
      <c r="E23" s="18">
        <f>SUMIFS(Entreprises!$N$5:$N$639,Entreprises!$A$5:$A$639,$A23,Entreprises!$C$5:$C$639,E$3,Entreprises!$D$5:$D$639,E$2)+SUMIFS(Banques!$P$5:$P$315,Banques!$A$5:$A$315,$A23,Banques!$C$5:$C$315,E$3,Banques!$D$5:$D$315,E$2)</f>
        <v/>
      </c>
      <c r="F23" s="18">
        <f>SUMIFS(Entreprises!$N$5:$N$639,Entreprises!$A$5:$A$639,$A23,Entreprises!$C$5:$C$639,F$3,Entreprises!$D$5:$D$639,F$2)+SUMIFS(Banques!$P$5:$P$315,Banques!$A$5:$A$315,$A23,Banques!$C$5:$C$315,F$3,Banques!$D$5:$D$315,F$2)</f>
        <v/>
      </c>
      <c r="G23" s="18">
        <f>SUMIFS(Entreprises!$N$5:$N$639,Entreprises!$A$5:$A$639,$A23,Entreprises!$C$5:$C$639,G$3,Entreprises!$D$5:$D$639,G$2)+SUMIFS(Banques!$P$5:$P$315,Banques!$A$5:$A$315,$A23,Banques!$C$5:$C$315,G$3,Banques!$D$5:$D$315,G$2)</f>
        <v/>
      </c>
      <c r="H23" s="18">
        <f>SUMIFS(Entreprises!$N$5:$N$639,Entreprises!$A$5:$A$639,$A23,Entreprises!$C$5:$C$639,H$3,Entreprises!$D$5:$D$639,H$2)+SUMIFS(Banques!$P$5:$P$315,Banques!$A$5:$A$315,$A23,Banques!$C$5:$C$315,H$3,Banques!$D$5:$D$315,H$2)</f>
        <v/>
      </c>
      <c r="I23" s="18">
        <f>SUMIFS(Entreprises!$N$5:$N$639,Entreprises!$A$5:$A$639,$A23,Entreprises!$C$5:$C$639,I$3,Entreprises!$D$5:$D$639,I$2)+SUMIFS(Banques!$P$5:$P$315,Banques!$A$5:$A$315,$A23,Banques!$C$5:$C$315,I$3,Banques!$D$5:$D$315,I$2)</f>
        <v/>
      </c>
      <c r="J23" s="18">
        <f>SUMIFS(Entreprises!$N$5:$N$639,Entreprises!$A$5:$A$639,$A23,Entreprises!$C$5:$C$639,J$3,Entreprises!$D$5:$D$639,J$2)+SUMIFS(Banques!$P$5:$P$315,Banques!$A$5:$A$315,$A23,Banques!$C$5:$C$315,J$3,Banques!$D$5:$D$315,J$2)</f>
        <v/>
      </c>
      <c r="K23" s="18">
        <f>SUMIFS(Entreprises!$N$5:$N$639,Entreprises!$A$5:$A$639,$A23,Entreprises!$C$5:$C$639,K$3,Entreprises!$D$5:$D$639,K$2)+SUMIFS(Banques!$P$5:$P$315,Banques!$A$5:$A$315,$A23,Banques!$C$5:$C$315,K$3,Banques!$D$5:$D$315,K$2)</f>
        <v/>
      </c>
      <c r="L23" s="18">
        <f>SUMIFS(Entreprises!$N$5:$N$639,Entreprises!$A$5:$A$639,$A23,Entreprises!$C$5:$C$639,L$3,Entreprises!$D$5:$D$639,L$2)+SUMIFS(Banques!$P$5:$P$315,Banques!$A$5:$A$315,$A23,Banques!$C$5:$C$315,L$3,Banques!$D$5:$D$315,L$2)</f>
        <v/>
      </c>
      <c r="M23" s="18">
        <f>SUMIFS(Entreprises!$N$5:$N$639,Entreprises!$A$5:$A$639,$A23,Entreprises!$C$5:$C$639,M$3,Entreprises!$D$5:$D$639,M$2)+SUMIFS(Banques!$P$5:$P$315,Banques!$A$5:$A$315,$A23,Banques!$C$5:$C$315,M$3,Banques!$D$5:$D$315,M$2)</f>
        <v/>
      </c>
      <c r="N23" s="18">
        <f>SUMIFS(Entreprises!$N$5:$N$639,Entreprises!$A$5:$A$639,$A23,Entreprises!$C$5:$C$639,N$3,Entreprises!$D$5:$D$639,N$2)+SUMIFS(Banques!$P$5:$P$315,Banques!$A$5:$A$315,$A23,Banques!$C$5:$C$315,N$3,Banques!$D$5:$D$315,N$2)</f>
        <v/>
      </c>
      <c r="O23" s="18">
        <f>SUMIFS(Entreprises!$N$5:$N$639,Entreprises!$A$5:$A$639,$A23,Entreprises!$C$5:$C$639,O$3,Entreprises!$D$5:$D$639,O$2)+SUMIFS(Banques!$P$5:$P$315,Banques!$A$5:$A$315,$A23,Banques!$C$5:$C$315,O$3,Banques!$D$5:$D$315,O$2)</f>
        <v/>
      </c>
      <c r="P23" s="18">
        <f>SUMIFS(Entreprises!$N$5:$N$639,Entreprises!$A$5:$A$639,$A23,Entreprises!$C$5:$C$639,P$3,Entreprises!$D$5:$D$639,P$2)+SUMIFS(Banques!$P$5:$P$315,Banques!$A$5:$A$315,$A23,Banques!$C$5:$C$315,P$3,Banques!$D$5:$D$315,P$2)</f>
        <v/>
      </c>
      <c r="Q23" s="18">
        <f>SUMIFS(Entreprises!$N$5:$N$639,Entreprises!$A$5:$A$639,$A23,Entreprises!$C$5:$C$639,Q$3,Entreprises!$D$5:$D$639,Q$2)+SUMIFS(Banques!$P$5:$P$315,Banques!$A$5:$A$315,$A23,Banques!$C$5:$C$315,Q$3,Banques!$D$5:$D$315,Q$2)</f>
        <v/>
      </c>
      <c r="R23" s="18">
        <f>SUMIFS(Entreprises!$N$5:$N$639,Entreprises!$A$5:$A$639,$A23,Entreprises!$C$5:$C$639,R$3,Entreprises!$D$5:$D$639,R$2)+SUMIFS(Banques!$P$5:$P$315,Banques!$A$5:$A$315,$A23,Banques!$C$5:$C$315,R$3,Banques!$D$5:$D$315,R$2)</f>
        <v/>
      </c>
      <c r="S23" s="18">
        <f>SUMIFS(Entreprises!$N$5:$N$639,Entreprises!$A$5:$A$639,$A23,Entreprises!$C$5:$C$639,S$3,Entreprises!$D$5:$D$639,S$2)+SUMIFS(Banques!$P$5:$P$315,Banques!$A$5:$A$315,$A23,Banques!$C$5:$C$315,S$3,Banques!$D$5:$D$315,S$2)</f>
        <v/>
      </c>
      <c r="T23" s="18">
        <f>SUMIFS(Entreprises!$N$5:$N$639,Entreprises!$A$5:$A$639,$A23,Entreprises!$C$5:$C$639,T$3,Entreprises!$D$5:$D$639,T$2)+SUMIFS(Banques!$P$5:$P$315,Banques!$A$5:$A$315,$A23,Banques!$C$5:$C$315,T$3,Banques!$D$5:$D$315,T$2)</f>
        <v/>
      </c>
      <c r="U23" s="18">
        <f>SUMIFS(Entreprises!$N$5:$N$639,Entreprises!$A$5:$A$639,$A23,Entreprises!$C$5:$C$639,U$3,Entreprises!$D$5:$D$639,U$2)+SUMIFS(Banques!$P$5:$P$315,Banques!$A$5:$A$315,$A23,Banques!$C$5:$C$315,U$3,Banques!$D$5:$D$315,U$2)</f>
        <v/>
      </c>
    </row>
    <row r="24">
      <c r="A24" s="17" t="inlineStr">
        <is>
          <t>SEMC</t>
        </is>
      </c>
      <c r="B24" s="17">
        <f>IFERROR(VLOOKUP(A24,Titres!$A$2:$D$400,2,FALSE),"")</f>
        <v/>
      </c>
      <c r="C24" s="17">
        <f>IFERROR(VLOOKUP(A24,Titres!$A$2:$D$400,4,FALSE),"")</f>
        <v/>
      </c>
      <c r="D24" s="18">
        <f>SUMIFS(Entreprises!$N$5:$N$639,Entreprises!$A$5:$A$639,$A24,Entreprises!$C$5:$C$639,D$3,Entreprises!$D$5:$D$639,D$2)+SUMIFS(Banques!$P$5:$P$315,Banques!$A$5:$A$315,$A24,Banques!$C$5:$C$315,D$3,Banques!$D$5:$D$315,D$2)</f>
        <v/>
      </c>
      <c r="E24" s="18">
        <f>SUMIFS(Entreprises!$N$5:$N$639,Entreprises!$A$5:$A$639,$A24,Entreprises!$C$5:$C$639,E$3,Entreprises!$D$5:$D$639,E$2)+SUMIFS(Banques!$P$5:$P$315,Banques!$A$5:$A$315,$A24,Banques!$C$5:$C$315,E$3,Banques!$D$5:$D$315,E$2)</f>
        <v/>
      </c>
      <c r="F24" s="18">
        <f>SUMIFS(Entreprises!$N$5:$N$639,Entreprises!$A$5:$A$639,$A24,Entreprises!$C$5:$C$639,F$3,Entreprises!$D$5:$D$639,F$2)+SUMIFS(Banques!$P$5:$P$315,Banques!$A$5:$A$315,$A24,Banques!$C$5:$C$315,F$3,Banques!$D$5:$D$315,F$2)</f>
        <v/>
      </c>
      <c r="G24" s="18">
        <f>SUMIFS(Entreprises!$N$5:$N$639,Entreprises!$A$5:$A$639,$A24,Entreprises!$C$5:$C$639,G$3,Entreprises!$D$5:$D$639,G$2)+SUMIFS(Banques!$P$5:$P$315,Banques!$A$5:$A$315,$A24,Banques!$C$5:$C$315,G$3,Banques!$D$5:$D$315,G$2)</f>
        <v/>
      </c>
      <c r="H24" s="18">
        <f>SUMIFS(Entreprises!$N$5:$N$639,Entreprises!$A$5:$A$639,$A24,Entreprises!$C$5:$C$639,H$3,Entreprises!$D$5:$D$639,H$2)+SUMIFS(Banques!$P$5:$P$315,Banques!$A$5:$A$315,$A24,Banques!$C$5:$C$315,H$3,Banques!$D$5:$D$315,H$2)</f>
        <v/>
      </c>
      <c r="I24" s="18">
        <f>SUMIFS(Entreprises!$N$5:$N$639,Entreprises!$A$5:$A$639,$A24,Entreprises!$C$5:$C$639,I$3,Entreprises!$D$5:$D$639,I$2)+SUMIFS(Banques!$P$5:$P$315,Banques!$A$5:$A$315,$A24,Banques!$C$5:$C$315,I$3,Banques!$D$5:$D$315,I$2)</f>
        <v/>
      </c>
      <c r="J24" s="18">
        <f>SUMIFS(Entreprises!$N$5:$N$639,Entreprises!$A$5:$A$639,$A24,Entreprises!$C$5:$C$639,J$3,Entreprises!$D$5:$D$639,J$2)+SUMIFS(Banques!$P$5:$P$315,Banques!$A$5:$A$315,$A24,Banques!$C$5:$C$315,J$3,Banques!$D$5:$D$315,J$2)</f>
        <v/>
      </c>
      <c r="K24" s="18">
        <f>SUMIFS(Entreprises!$N$5:$N$639,Entreprises!$A$5:$A$639,$A24,Entreprises!$C$5:$C$639,K$3,Entreprises!$D$5:$D$639,K$2)+SUMIFS(Banques!$P$5:$P$315,Banques!$A$5:$A$315,$A24,Banques!$C$5:$C$315,K$3,Banques!$D$5:$D$315,K$2)</f>
        <v/>
      </c>
      <c r="L24" s="18">
        <f>SUMIFS(Entreprises!$N$5:$N$639,Entreprises!$A$5:$A$639,$A24,Entreprises!$C$5:$C$639,L$3,Entreprises!$D$5:$D$639,L$2)+SUMIFS(Banques!$P$5:$P$315,Banques!$A$5:$A$315,$A24,Banques!$C$5:$C$315,L$3,Banques!$D$5:$D$315,L$2)</f>
        <v/>
      </c>
      <c r="M24" s="18">
        <f>SUMIFS(Entreprises!$N$5:$N$639,Entreprises!$A$5:$A$639,$A24,Entreprises!$C$5:$C$639,M$3,Entreprises!$D$5:$D$639,M$2)+SUMIFS(Banques!$P$5:$P$315,Banques!$A$5:$A$315,$A24,Banques!$C$5:$C$315,M$3,Banques!$D$5:$D$315,M$2)</f>
        <v/>
      </c>
      <c r="N24" s="18">
        <f>SUMIFS(Entreprises!$N$5:$N$639,Entreprises!$A$5:$A$639,$A24,Entreprises!$C$5:$C$639,N$3,Entreprises!$D$5:$D$639,N$2)+SUMIFS(Banques!$P$5:$P$315,Banques!$A$5:$A$315,$A24,Banques!$C$5:$C$315,N$3,Banques!$D$5:$D$315,N$2)</f>
        <v/>
      </c>
      <c r="O24" s="18">
        <f>SUMIFS(Entreprises!$N$5:$N$639,Entreprises!$A$5:$A$639,$A24,Entreprises!$C$5:$C$639,O$3,Entreprises!$D$5:$D$639,O$2)+SUMIFS(Banques!$P$5:$P$315,Banques!$A$5:$A$315,$A24,Banques!$C$5:$C$315,O$3,Banques!$D$5:$D$315,O$2)</f>
        <v/>
      </c>
      <c r="P24" s="18">
        <f>SUMIFS(Entreprises!$N$5:$N$639,Entreprises!$A$5:$A$639,$A24,Entreprises!$C$5:$C$639,P$3,Entreprises!$D$5:$D$639,P$2)+SUMIFS(Banques!$P$5:$P$315,Banques!$A$5:$A$315,$A24,Banques!$C$5:$C$315,P$3,Banques!$D$5:$D$315,P$2)</f>
        <v/>
      </c>
      <c r="Q24" s="18">
        <f>SUMIFS(Entreprises!$N$5:$N$639,Entreprises!$A$5:$A$639,$A24,Entreprises!$C$5:$C$639,Q$3,Entreprises!$D$5:$D$639,Q$2)+SUMIFS(Banques!$P$5:$P$315,Banques!$A$5:$A$315,$A24,Banques!$C$5:$C$315,Q$3,Banques!$D$5:$D$315,Q$2)</f>
        <v/>
      </c>
      <c r="R24" s="18">
        <f>SUMIFS(Entreprises!$N$5:$N$639,Entreprises!$A$5:$A$639,$A24,Entreprises!$C$5:$C$639,R$3,Entreprises!$D$5:$D$639,R$2)+SUMIFS(Banques!$P$5:$P$315,Banques!$A$5:$A$315,$A24,Banques!$C$5:$C$315,R$3,Banques!$D$5:$D$315,R$2)</f>
        <v/>
      </c>
      <c r="S24" s="18">
        <f>SUMIFS(Entreprises!$N$5:$N$639,Entreprises!$A$5:$A$639,$A24,Entreprises!$C$5:$C$639,S$3,Entreprises!$D$5:$D$639,S$2)+SUMIFS(Banques!$P$5:$P$315,Banques!$A$5:$A$315,$A24,Banques!$C$5:$C$315,S$3,Banques!$D$5:$D$315,S$2)</f>
        <v/>
      </c>
      <c r="T24" s="18">
        <f>SUMIFS(Entreprises!$N$5:$N$639,Entreprises!$A$5:$A$639,$A24,Entreprises!$C$5:$C$639,T$3,Entreprises!$D$5:$D$639,T$2)+SUMIFS(Banques!$P$5:$P$315,Banques!$A$5:$A$315,$A24,Banques!$C$5:$C$315,T$3,Banques!$D$5:$D$315,T$2)</f>
        <v/>
      </c>
      <c r="U24" s="18">
        <f>SUMIFS(Entreprises!$N$5:$N$639,Entreprises!$A$5:$A$639,$A24,Entreprises!$C$5:$C$639,U$3,Entreprises!$D$5:$D$639,U$2)+SUMIFS(Banques!$P$5:$P$315,Banques!$A$5:$A$315,$A24,Banques!$C$5:$C$315,U$3,Banques!$D$5:$D$315,U$2)</f>
        <v/>
      </c>
    </row>
    <row r="25">
      <c r="A25" s="17" t="inlineStr">
        <is>
          <t>SIVC</t>
        </is>
      </c>
      <c r="B25" s="17">
        <f>IFERROR(VLOOKUP(A25,Titres!$A$2:$D$400,2,FALSE),"")</f>
        <v/>
      </c>
      <c r="C25" s="17">
        <f>IFERROR(VLOOKUP(A25,Titres!$A$2:$D$400,4,FALSE),"")</f>
        <v/>
      </c>
      <c r="D25" s="18">
        <f>SUMIFS(Entreprises!$N$5:$N$639,Entreprises!$A$5:$A$639,$A25,Entreprises!$C$5:$C$639,D$3,Entreprises!$D$5:$D$639,D$2)+SUMIFS(Banques!$P$5:$P$315,Banques!$A$5:$A$315,$A25,Banques!$C$5:$C$315,D$3,Banques!$D$5:$D$315,D$2)</f>
        <v/>
      </c>
      <c r="E25" s="18">
        <f>SUMIFS(Entreprises!$N$5:$N$639,Entreprises!$A$5:$A$639,$A25,Entreprises!$C$5:$C$639,E$3,Entreprises!$D$5:$D$639,E$2)+SUMIFS(Banques!$P$5:$P$315,Banques!$A$5:$A$315,$A25,Banques!$C$5:$C$315,E$3,Banques!$D$5:$D$315,E$2)</f>
        <v/>
      </c>
      <c r="F25" s="18">
        <f>SUMIFS(Entreprises!$N$5:$N$639,Entreprises!$A$5:$A$639,$A25,Entreprises!$C$5:$C$639,F$3,Entreprises!$D$5:$D$639,F$2)+SUMIFS(Banques!$P$5:$P$315,Banques!$A$5:$A$315,$A25,Banques!$C$5:$C$315,F$3,Banques!$D$5:$D$315,F$2)</f>
        <v/>
      </c>
      <c r="G25" s="18">
        <f>SUMIFS(Entreprises!$N$5:$N$639,Entreprises!$A$5:$A$639,$A25,Entreprises!$C$5:$C$639,G$3,Entreprises!$D$5:$D$639,G$2)+SUMIFS(Banques!$P$5:$P$315,Banques!$A$5:$A$315,$A25,Banques!$C$5:$C$315,G$3,Banques!$D$5:$D$315,G$2)</f>
        <v/>
      </c>
      <c r="H25" s="18">
        <f>SUMIFS(Entreprises!$N$5:$N$639,Entreprises!$A$5:$A$639,$A25,Entreprises!$C$5:$C$639,H$3,Entreprises!$D$5:$D$639,H$2)+SUMIFS(Banques!$P$5:$P$315,Banques!$A$5:$A$315,$A25,Banques!$C$5:$C$315,H$3,Banques!$D$5:$D$315,H$2)</f>
        <v/>
      </c>
      <c r="I25" s="18">
        <f>SUMIFS(Entreprises!$N$5:$N$639,Entreprises!$A$5:$A$639,$A25,Entreprises!$C$5:$C$639,I$3,Entreprises!$D$5:$D$639,I$2)+SUMIFS(Banques!$P$5:$P$315,Banques!$A$5:$A$315,$A25,Banques!$C$5:$C$315,I$3,Banques!$D$5:$D$315,I$2)</f>
        <v/>
      </c>
      <c r="J25" s="18">
        <f>SUMIFS(Entreprises!$N$5:$N$639,Entreprises!$A$5:$A$639,$A25,Entreprises!$C$5:$C$639,J$3,Entreprises!$D$5:$D$639,J$2)+SUMIFS(Banques!$P$5:$P$315,Banques!$A$5:$A$315,$A25,Banques!$C$5:$C$315,J$3,Banques!$D$5:$D$315,J$2)</f>
        <v/>
      </c>
      <c r="K25" s="18">
        <f>SUMIFS(Entreprises!$N$5:$N$639,Entreprises!$A$5:$A$639,$A25,Entreprises!$C$5:$C$639,K$3,Entreprises!$D$5:$D$639,K$2)+SUMIFS(Banques!$P$5:$P$315,Banques!$A$5:$A$315,$A25,Banques!$C$5:$C$315,K$3,Banques!$D$5:$D$315,K$2)</f>
        <v/>
      </c>
      <c r="L25" s="18">
        <f>SUMIFS(Entreprises!$N$5:$N$639,Entreprises!$A$5:$A$639,$A25,Entreprises!$C$5:$C$639,L$3,Entreprises!$D$5:$D$639,L$2)+SUMIFS(Banques!$P$5:$P$315,Banques!$A$5:$A$315,$A25,Banques!$C$5:$C$315,L$3,Banques!$D$5:$D$315,L$2)</f>
        <v/>
      </c>
      <c r="M25" s="18">
        <f>SUMIFS(Entreprises!$N$5:$N$639,Entreprises!$A$5:$A$639,$A25,Entreprises!$C$5:$C$639,M$3,Entreprises!$D$5:$D$639,M$2)+SUMIFS(Banques!$P$5:$P$315,Banques!$A$5:$A$315,$A25,Banques!$C$5:$C$315,M$3,Banques!$D$5:$D$315,M$2)</f>
        <v/>
      </c>
      <c r="N25" s="18">
        <f>SUMIFS(Entreprises!$N$5:$N$639,Entreprises!$A$5:$A$639,$A25,Entreprises!$C$5:$C$639,N$3,Entreprises!$D$5:$D$639,N$2)+SUMIFS(Banques!$P$5:$P$315,Banques!$A$5:$A$315,$A25,Banques!$C$5:$C$315,N$3,Banques!$D$5:$D$315,N$2)</f>
        <v/>
      </c>
      <c r="O25" s="18">
        <f>SUMIFS(Entreprises!$N$5:$N$639,Entreprises!$A$5:$A$639,$A25,Entreprises!$C$5:$C$639,O$3,Entreprises!$D$5:$D$639,O$2)+SUMIFS(Banques!$P$5:$P$315,Banques!$A$5:$A$315,$A25,Banques!$C$5:$C$315,O$3,Banques!$D$5:$D$315,O$2)</f>
        <v/>
      </c>
      <c r="P25" s="18">
        <f>SUMIFS(Entreprises!$N$5:$N$639,Entreprises!$A$5:$A$639,$A25,Entreprises!$C$5:$C$639,P$3,Entreprises!$D$5:$D$639,P$2)+SUMIFS(Banques!$P$5:$P$315,Banques!$A$5:$A$315,$A25,Banques!$C$5:$C$315,P$3,Banques!$D$5:$D$315,P$2)</f>
        <v/>
      </c>
      <c r="Q25" s="18">
        <f>SUMIFS(Entreprises!$N$5:$N$639,Entreprises!$A$5:$A$639,$A25,Entreprises!$C$5:$C$639,Q$3,Entreprises!$D$5:$D$639,Q$2)+SUMIFS(Banques!$P$5:$P$315,Banques!$A$5:$A$315,$A25,Banques!$C$5:$C$315,Q$3,Banques!$D$5:$D$315,Q$2)</f>
        <v/>
      </c>
      <c r="R25" s="18">
        <f>SUMIFS(Entreprises!$N$5:$N$639,Entreprises!$A$5:$A$639,$A25,Entreprises!$C$5:$C$639,R$3,Entreprises!$D$5:$D$639,R$2)+SUMIFS(Banques!$P$5:$P$315,Banques!$A$5:$A$315,$A25,Banques!$C$5:$C$315,R$3,Banques!$D$5:$D$315,R$2)</f>
        <v/>
      </c>
      <c r="S25" s="18">
        <f>SUMIFS(Entreprises!$N$5:$N$639,Entreprises!$A$5:$A$639,$A25,Entreprises!$C$5:$C$639,S$3,Entreprises!$D$5:$D$639,S$2)+SUMIFS(Banques!$P$5:$P$315,Banques!$A$5:$A$315,$A25,Banques!$C$5:$C$315,S$3,Banques!$D$5:$D$315,S$2)</f>
        <v/>
      </c>
      <c r="T25" s="18">
        <f>SUMIFS(Entreprises!$N$5:$N$639,Entreprises!$A$5:$A$639,$A25,Entreprises!$C$5:$C$639,T$3,Entreprises!$D$5:$D$639,T$2)+SUMIFS(Banques!$P$5:$P$315,Banques!$A$5:$A$315,$A25,Banques!$C$5:$C$315,T$3,Banques!$D$5:$D$315,T$2)</f>
        <v/>
      </c>
      <c r="U25" s="18">
        <f>SUMIFS(Entreprises!$N$5:$N$639,Entreprises!$A$5:$A$639,$A25,Entreprises!$C$5:$C$639,U$3,Entreprises!$D$5:$D$639,U$2)+SUMIFS(Banques!$P$5:$P$315,Banques!$A$5:$A$315,$A25,Banques!$C$5:$C$315,U$3,Banques!$D$5:$D$315,U$2)</f>
        <v/>
      </c>
    </row>
    <row r="26">
      <c r="A26" s="17" t="inlineStr">
        <is>
          <t>STAC</t>
        </is>
      </c>
      <c r="B26" s="17">
        <f>IFERROR(VLOOKUP(A26,Titres!$A$2:$D$400,2,FALSE),"")</f>
        <v/>
      </c>
      <c r="C26" s="17">
        <f>IFERROR(VLOOKUP(A26,Titres!$A$2:$D$400,4,FALSE),"")</f>
        <v/>
      </c>
      <c r="D26" s="18">
        <f>SUMIFS(Entreprises!$N$5:$N$639,Entreprises!$A$5:$A$639,$A26,Entreprises!$C$5:$C$639,D$3,Entreprises!$D$5:$D$639,D$2)+SUMIFS(Banques!$P$5:$P$315,Banques!$A$5:$A$315,$A26,Banques!$C$5:$C$315,D$3,Banques!$D$5:$D$315,D$2)</f>
        <v/>
      </c>
      <c r="E26" s="18">
        <f>SUMIFS(Entreprises!$N$5:$N$639,Entreprises!$A$5:$A$639,$A26,Entreprises!$C$5:$C$639,E$3,Entreprises!$D$5:$D$639,E$2)+SUMIFS(Banques!$P$5:$P$315,Banques!$A$5:$A$315,$A26,Banques!$C$5:$C$315,E$3,Banques!$D$5:$D$315,E$2)</f>
        <v/>
      </c>
      <c r="F26" s="18">
        <f>SUMIFS(Entreprises!$N$5:$N$639,Entreprises!$A$5:$A$639,$A26,Entreprises!$C$5:$C$639,F$3,Entreprises!$D$5:$D$639,F$2)+SUMIFS(Banques!$P$5:$P$315,Banques!$A$5:$A$315,$A26,Banques!$C$5:$C$315,F$3,Banques!$D$5:$D$315,F$2)</f>
        <v/>
      </c>
      <c r="G26" s="18">
        <f>SUMIFS(Entreprises!$N$5:$N$639,Entreprises!$A$5:$A$639,$A26,Entreprises!$C$5:$C$639,G$3,Entreprises!$D$5:$D$639,G$2)+SUMIFS(Banques!$P$5:$P$315,Banques!$A$5:$A$315,$A26,Banques!$C$5:$C$315,G$3,Banques!$D$5:$D$315,G$2)</f>
        <v/>
      </c>
      <c r="H26" s="18">
        <f>SUMIFS(Entreprises!$N$5:$N$639,Entreprises!$A$5:$A$639,$A26,Entreprises!$C$5:$C$639,H$3,Entreprises!$D$5:$D$639,H$2)+SUMIFS(Banques!$P$5:$P$315,Banques!$A$5:$A$315,$A26,Banques!$C$5:$C$315,H$3,Banques!$D$5:$D$315,H$2)</f>
        <v/>
      </c>
      <c r="I26" s="18">
        <f>SUMIFS(Entreprises!$N$5:$N$639,Entreprises!$A$5:$A$639,$A26,Entreprises!$C$5:$C$639,I$3,Entreprises!$D$5:$D$639,I$2)+SUMIFS(Banques!$P$5:$P$315,Banques!$A$5:$A$315,$A26,Banques!$C$5:$C$315,I$3,Banques!$D$5:$D$315,I$2)</f>
        <v/>
      </c>
      <c r="J26" s="18">
        <f>SUMIFS(Entreprises!$N$5:$N$639,Entreprises!$A$5:$A$639,$A26,Entreprises!$C$5:$C$639,J$3,Entreprises!$D$5:$D$639,J$2)+SUMIFS(Banques!$P$5:$P$315,Banques!$A$5:$A$315,$A26,Banques!$C$5:$C$315,J$3,Banques!$D$5:$D$315,J$2)</f>
        <v/>
      </c>
      <c r="K26" s="18">
        <f>SUMIFS(Entreprises!$N$5:$N$639,Entreprises!$A$5:$A$639,$A26,Entreprises!$C$5:$C$639,K$3,Entreprises!$D$5:$D$639,K$2)+SUMIFS(Banques!$P$5:$P$315,Banques!$A$5:$A$315,$A26,Banques!$C$5:$C$315,K$3,Banques!$D$5:$D$315,K$2)</f>
        <v/>
      </c>
      <c r="L26" s="18">
        <f>SUMIFS(Entreprises!$N$5:$N$639,Entreprises!$A$5:$A$639,$A26,Entreprises!$C$5:$C$639,L$3,Entreprises!$D$5:$D$639,L$2)+SUMIFS(Banques!$P$5:$P$315,Banques!$A$5:$A$315,$A26,Banques!$C$5:$C$315,L$3,Banques!$D$5:$D$315,L$2)</f>
        <v/>
      </c>
      <c r="M26" s="18">
        <f>SUMIFS(Entreprises!$N$5:$N$639,Entreprises!$A$5:$A$639,$A26,Entreprises!$C$5:$C$639,M$3,Entreprises!$D$5:$D$639,M$2)+SUMIFS(Banques!$P$5:$P$315,Banques!$A$5:$A$315,$A26,Banques!$C$5:$C$315,M$3,Banques!$D$5:$D$315,M$2)</f>
        <v/>
      </c>
      <c r="N26" s="18">
        <f>SUMIFS(Entreprises!$N$5:$N$639,Entreprises!$A$5:$A$639,$A26,Entreprises!$C$5:$C$639,N$3,Entreprises!$D$5:$D$639,N$2)+SUMIFS(Banques!$P$5:$P$315,Banques!$A$5:$A$315,$A26,Banques!$C$5:$C$315,N$3,Banques!$D$5:$D$315,N$2)</f>
        <v/>
      </c>
      <c r="O26" s="18">
        <f>SUMIFS(Entreprises!$N$5:$N$639,Entreprises!$A$5:$A$639,$A26,Entreprises!$C$5:$C$639,O$3,Entreprises!$D$5:$D$639,O$2)+SUMIFS(Banques!$P$5:$P$315,Banques!$A$5:$A$315,$A26,Banques!$C$5:$C$315,O$3,Banques!$D$5:$D$315,O$2)</f>
        <v/>
      </c>
      <c r="P26" s="18">
        <f>SUMIFS(Entreprises!$N$5:$N$639,Entreprises!$A$5:$A$639,$A26,Entreprises!$C$5:$C$639,P$3,Entreprises!$D$5:$D$639,P$2)+SUMIFS(Banques!$P$5:$P$315,Banques!$A$5:$A$315,$A26,Banques!$C$5:$C$315,P$3,Banques!$D$5:$D$315,P$2)</f>
        <v/>
      </c>
      <c r="Q26" s="18">
        <f>SUMIFS(Entreprises!$N$5:$N$639,Entreprises!$A$5:$A$639,$A26,Entreprises!$C$5:$C$639,Q$3,Entreprises!$D$5:$D$639,Q$2)+SUMIFS(Banques!$P$5:$P$315,Banques!$A$5:$A$315,$A26,Banques!$C$5:$C$315,Q$3,Banques!$D$5:$D$315,Q$2)</f>
        <v/>
      </c>
      <c r="R26" s="18">
        <f>SUMIFS(Entreprises!$N$5:$N$639,Entreprises!$A$5:$A$639,$A26,Entreprises!$C$5:$C$639,R$3,Entreprises!$D$5:$D$639,R$2)+SUMIFS(Banques!$P$5:$P$315,Banques!$A$5:$A$315,$A26,Banques!$C$5:$C$315,R$3,Banques!$D$5:$D$315,R$2)</f>
        <v/>
      </c>
      <c r="S26" s="18">
        <f>SUMIFS(Entreprises!$N$5:$N$639,Entreprises!$A$5:$A$639,$A26,Entreprises!$C$5:$C$639,S$3,Entreprises!$D$5:$D$639,S$2)+SUMIFS(Banques!$P$5:$P$315,Banques!$A$5:$A$315,$A26,Banques!$C$5:$C$315,S$3,Banques!$D$5:$D$315,S$2)</f>
        <v/>
      </c>
      <c r="T26" s="18">
        <f>SUMIFS(Entreprises!$N$5:$N$639,Entreprises!$A$5:$A$639,$A26,Entreprises!$C$5:$C$639,T$3,Entreprises!$D$5:$D$639,T$2)+SUMIFS(Banques!$P$5:$P$315,Banques!$A$5:$A$315,$A26,Banques!$C$5:$C$315,T$3,Banques!$D$5:$D$315,T$2)</f>
        <v/>
      </c>
      <c r="U26" s="18">
        <f>SUMIFS(Entreprises!$N$5:$N$639,Entreprises!$A$5:$A$639,$A26,Entreprises!$C$5:$C$639,U$3,Entreprises!$D$5:$D$639,U$2)+SUMIFS(Banques!$P$5:$P$315,Banques!$A$5:$A$315,$A26,Banques!$C$5:$C$315,U$3,Banques!$D$5:$D$315,U$2)</f>
        <v/>
      </c>
    </row>
    <row r="27">
      <c r="A27" s="17" t="inlineStr">
        <is>
          <t>ETIT</t>
        </is>
      </c>
      <c r="B27" s="17">
        <f>IFERROR(VLOOKUP(A27,Titres!$A$2:$D$400,2,FALSE),"")</f>
        <v/>
      </c>
      <c r="C27" s="17">
        <f>IFERROR(VLOOKUP(A27,Titres!$A$2:$D$400,4,FALSE),"")</f>
        <v/>
      </c>
      <c r="D27" s="18">
        <f>SUMIFS(Entreprises!$N$5:$N$639,Entreprises!$A$5:$A$639,$A27,Entreprises!$C$5:$C$639,D$3,Entreprises!$D$5:$D$639,D$2)+SUMIFS(Banques!$P$5:$P$315,Banques!$A$5:$A$315,$A27,Banques!$C$5:$C$315,D$3,Banques!$D$5:$D$315,D$2)</f>
        <v/>
      </c>
      <c r="E27" s="18">
        <f>SUMIFS(Entreprises!$N$5:$N$639,Entreprises!$A$5:$A$639,$A27,Entreprises!$C$5:$C$639,E$3,Entreprises!$D$5:$D$639,E$2)+SUMIFS(Banques!$P$5:$P$315,Banques!$A$5:$A$315,$A27,Banques!$C$5:$C$315,E$3,Banques!$D$5:$D$315,E$2)</f>
        <v/>
      </c>
      <c r="F27" s="18">
        <f>SUMIFS(Entreprises!$N$5:$N$639,Entreprises!$A$5:$A$639,$A27,Entreprises!$C$5:$C$639,F$3,Entreprises!$D$5:$D$639,F$2)+SUMIFS(Banques!$P$5:$P$315,Banques!$A$5:$A$315,$A27,Banques!$C$5:$C$315,F$3,Banques!$D$5:$D$315,F$2)</f>
        <v/>
      </c>
      <c r="G27" s="18">
        <f>SUMIFS(Entreprises!$N$5:$N$639,Entreprises!$A$5:$A$639,$A27,Entreprises!$C$5:$C$639,G$3,Entreprises!$D$5:$D$639,G$2)+SUMIFS(Banques!$P$5:$P$315,Banques!$A$5:$A$315,$A27,Banques!$C$5:$C$315,G$3,Banques!$D$5:$D$315,G$2)</f>
        <v/>
      </c>
      <c r="H27" s="18">
        <f>SUMIFS(Entreprises!$N$5:$N$639,Entreprises!$A$5:$A$639,$A27,Entreprises!$C$5:$C$639,H$3,Entreprises!$D$5:$D$639,H$2)+SUMIFS(Banques!$P$5:$P$315,Banques!$A$5:$A$315,$A27,Banques!$C$5:$C$315,H$3,Banques!$D$5:$D$315,H$2)</f>
        <v/>
      </c>
      <c r="I27" s="18">
        <f>SUMIFS(Entreprises!$N$5:$N$639,Entreprises!$A$5:$A$639,$A27,Entreprises!$C$5:$C$639,I$3,Entreprises!$D$5:$D$639,I$2)+SUMIFS(Banques!$P$5:$P$315,Banques!$A$5:$A$315,$A27,Banques!$C$5:$C$315,I$3,Banques!$D$5:$D$315,I$2)</f>
        <v/>
      </c>
      <c r="J27" s="18">
        <f>SUMIFS(Entreprises!$N$5:$N$639,Entreprises!$A$5:$A$639,$A27,Entreprises!$C$5:$C$639,J$3,Entreprises!$D$5:$D$639,J$2)+SUMIFS(Banques!$P$5:$P$315,Banques!$A$5:$A$315,$A27,Banques!$C$5:$C$315,J$3,Banques!$D$5:$D$315,J$2)</f>
        <v/>
      </c>
      <c r="K27" s="18">
        <f>SUMIFS(Entreprises!$N$5:$N$639,Entreprises!$A$5:$A$639,$A27,Entreprises!$C$5:$C$639,K$3,Entreprises!$D$5:$D$639,K$2)+SUMIFS(Banques!$P$5:$P$315,Banques!$A$5:$A$315,$A27,Banques!$C$5:$C$315,K$3,Banques!$D$5:$D$315,K$2)</f>
        <v/>
      </c>
      <c r="L27" s="18">
        <f>SUMIFS(Entreprises!$N$5:$N$639,Entreprises!$A$5:$A$639,$A27,Entreprises!$C$5:$C$639,L$3,Entreprises!$D$5:$D$639,L$2)+SUMIFS(Banques!$P$5:$P$315,Banques!$A$5:$A$315,$A27,Banques!$C$5:$C$315,L$3,Banques!$D$5:$D$315,L$2)</f>
        <v/>
      </c>
      <c r="M27" s="18">
        <f>SUMIFS(Entreprises!$N$5:$N$639,Entreprises!$A$5:$A$639,$A27,Entreprises!$C$5:$C$639,M$3,Entreprises!$D$5:$D$639,M$2)+SUMIFS(Banques!$P$5:$P$315,Banques!$A$5:$A$315,$A27,Banques!$C$5:$C$315,M$3,Banques!$D$5:$D$315,M$2)</f>
        <v/>
      </c>
      <c r="N27" s="18">
        <f>SUMIFS(Entreprises!$N$5:$N$639,Entreprises!$A$5:$A$639,$A27,Entreprises!$C$5:$C$639,N$3,Entreprises!$D$5:$D$639,N$2)+SUMIFS(Banques!$P$5:$P$315,Banques!$A$5:$A$315,$A27,Banques!$C$5:$C$315,N$3,Banques!$D$5:$D$315,N$2)</f>
        <v/>
      </c>
      <c r="O27" s="18">
        <f>SUMIFS(Entreprises!$N$5:$N$639,Entreprises!$A$5:$A$639,$A27,Entreprises!$C$5:$C$639,O$3,Entreprises!$D$5:$D$639,O$2)+SUMIFS(Banques!$P$5:$P$315,Banques!$A$5:$A$315,$A27,Banques!$C$5:$C$315,O$3,Banques!$D$5:$D$315,O$2)</f>
        <v/>
      </c>
      <c r="P27" s="18">
        <f>SUMIFS(Entreprises!$N$5:$N$639,Entreprises!$A$5:$A$639,$A27,Entreprises!$C$5:$C$639,P$3,Entreprises!$D$5:$D$639,P$2)+SUMIFS(Banques!$P$5:$P$315,Banques!$A$5:$A$315,$A27,Banques!$C$5:$C$315,P$3,Banques!$D$5:$D$315,P$2)</f>
        <v/>
      </c>
      <c r="Q27" s="18">
        <f>SUMIFS(Entreprises!$N$5:$N$639,Entreprises!$A$5:$A$639,$A27,Entreprises!$C$5:$C$639,Q$3,Entreprises!$D$5:$D$639,Q$2)+SUMIFS(Banques!$P$5:$P$315,Banques!$A$5:$A$315,$A27,Banques!$C$5:$C$315,Q$3,Banques!$D$5:$D$315,Q$2)</f>
        <v/>
      </c>
      <c r="R27" s="18">
        <f>SUMIFS(Entreprises!$N$5:$N$639,Entreprises!$A$5:$A$639,$A27,Entreprises!$C$5:$C$639,R$3,Entreprises!$D$5:$D$639,R$2)+SUMIFS(Banques!$P$5:$P$315,Banques!$A$5:$A$315,$A27,Banques!$C$5:$C$315,R$3,Banques!$D$5:$D$315,R$2)</f>
        <v/>
      </c>
      <c r="S27" s="18">
        <f>SUMIFS(Entreprises!$N$5:$N$639,Entreprises!$A$5:$A$639,$A27,Entreprises!$C$5:$C$639,S$3,Entreprises!$D$5:$D$639,S$2)+SUMIFS(Banques!$P$5:$P$315,Banques!$A$5:$A$315,$A27,Banques!$C$5:$C$315,S$3,Banques!$D$5:$D$315,S$2)</f>
        <v/>
      </c>
      <c r="T27" s="18">
        <f>SUMIFS(Entreprises!$N$5:$N$639,Entreprises!$A$5:$A$639,$A27,Entreprises!$C$5:$C$639,T$3,Entreprises!$D$5:$D$639,T$2)+SUMIFS(Banques!$P$5:$P$315,Banques!$A$5:$A$315,$A27,Banques!$C$5:$C$315,T$3,Banques!$D$5:$D$315,T$2)</f>
        <v/>
      </c>
      <c r="U27" s="18">
        <f>SUMIFS(Entreprises!$N$5:$N$639,Entreprises!$A$5:$A$639,$A27,Entreprises!$C$5:$C$639,U$3,Entreprises!$D$5:$D$639,U$2)+SUMIFS(Banques!$P$5:$P$315,Banques!$A$5:$A$315,$A27,Banques!$C$5:$C$315,U$3,Banques!$D$5:$D$315,U$2)</f>
        <v/>
      </c>
    </row>
    <row r="28">
      <c r="A28" s="17" t="inlineStr">
        <is>
          <t>ORGT</t>
        </is>
      </c>
      <c r="B28" s="17">
        <f>IFERROR(VLOOKUP(A28,Titres!$A$2:$D$400,2,FALSE),"")</f>
        <v/>
      </c>
      <c r="C28" s="17">
        <f>IFERROR(VLOOKUP(A28,Titres!$A$2:$D$400,4,FALSE),"")</f>
        <v/>
      </c>
      <c r="D28" s="18">
        <f>SUMIFS(Entreprises!$N$5:$N$639,Entreprises!$A$5:$A$639,$A28,Entreprises!$C$5:$C$639,D$3,Entreprises!$D$5:$D$639,D$2)+SUMIFS(Banques!$P$5:$P$315,Banques!$A$5:$A$315,$A28,Banques!$C$5:$C$315,D$3,Banques!$D$5:$D$315,D$2)</f>
        <v/>
      </c>
      <c r="E28" s="18">
        <f>SUMIFS(Entreprises!$N$5:$N$639,Entreprises!$A$5:$A$639,$A28,Entreprises!$C$5:$C$639,E$3,Entreprises!$D$5:$D$639,E$2)+SUMIFS(Banques!$P$5:$P$315,Banques!$A$5:$A$315,$A28,Banques!$C$5:$C$315,E$3,Banques!$D$5:$D$315,E$2)</f>
        <v/>
      </c>
      <c r="F28" s="18">
        <f>SUMIFS(Entreprises!$N$5:$N$639,Entreprises!$A$5:$A$639,$A28,Entreprises!$C$5:$C$639,F$3,Entreprises!$D$5:$D$639,F$2)+SUMIFS(Banques!$P$5:$P$315,Banques!$A$5:$A$315,$A28,Banques!$C$5:$C$315,F$3,Banques!$D$5:$D$315,F$2)</f>
        <v/>
      </c>
      <c r="G28" s="18">
        <f>SUMIFS(Entreprises!$N$5:$N$639,Entreprises!$A$5:$A$639,$A28,Entreprises!$C$5:$C$639,G$3,Entreprises!$D$5:$D$639,G$2)+SUMIFS(Banques!$P$5:$P$315,Banques!$A$5:$A$315,$A28,Banques!$C$5:$C$315,G$3,Banques!$D$5:$D$315,G$2)</f>
        <v/>
      </c>
      <c r="H28" s="18">
        <f>SUMIFS(Entreprises!$N$5:$N$639,Entreprises!$A$5:$A$639,$A28,Entreprises!$C$5:$C$639,H$3,Entreprises!$D$5:$D$639,H$2)+SUMIFS(Banques!$P$5:$P$315,Banques!$A$5:$A$315,$A28,Banques!$C$5:$C$315,H$3,Banques!$D$5:$D$315,H$2)</f>
        <v/>
      </c>
      <c r="I28" s="18">
        <f>SUMIFS(Entreprises!$N$5:$N$639,Entreprises!$A$5:$A$639,$A28,Entreprises!$C$5:$C$639,I$3,Entreprises!$D$5:$D$639,I$2)+SUMIFS(Banques!$P$5:$P$315,Banques!$A$5:$A$315,$A28,Banques!$C$5:$C$315,I$3,Banques!$D$5:$D$315,I$2)</f>
        <v/>
      </c>
      <c r="J28" s="18">
        <f>SUMIFS(Entreprises!$N$5:$N$639,Entreprises!$A$5:$A$639,$A28,Entreprises!$C$5:$C$639,J$3,Entreprises!$D$5:$D$639,J$2)+SUMIFS(Banques!$P$5:$P$315,Banques!$A$5:$A$315,$A28,Banques!$C$5:$C$315,J$3,Banques!$D$5:$D$315,J$2)</f>
        <v/>
      </c>
      <c r="K28" s="18">
        <f>SUMIFS(Entreprises!$N$5:$N$639,Entreprises!$A$5:$A$639,$A28,Entreprises!$C$5:$C$639,K$3,Entreprises!$D$5:$D$639,K$2)+SUMIFS(Banques!$P$5:$P$315,Banques!$A$5:$A$315,$A28,Banques!$C$5:$C$315,K$3,Banques!$D$5:$D$315,K$2)</f>
        <v/>
      </c>
      <c r="L28" s="18">
        <f>SUMIFS(Entreprises!$N$5:$N$639,Entreprises!$A$5:$A$639,$A28,Entreprises!$C$5:$C$639,L$3,Entreprises!$D$5:$D$639,L$2)+SUMIFS(Banques!$P$5:$P$315,Banques!$A$5:$A$315,$A28,Banques!$C$5:$C$315,L$3,Banques!$D$5:$D$315,L$2)</f>
        <v/>
      </c>
      <c r="M28" s="18">
        <f>SUMIFS(Entreprises!$N$5:$N$639,Entreprises!$A$5:$A$639,$A28,Entreprises!$C$5:$C$639,M$3,Entreprises!$D$5:$D$639,M$2)+SUMIFS(Banques!$P$5:$P$315,Banques!$A$5:$A$315,$A28,Banques!$C$5:$C$315,M$3,Banques!$D$5:$D$315,M$2)</f>
        <v/>
      </c>
      <c r="N28" s="18">
        <f>SUMIFS(Entreprises!$N$5:$N$639,Entreprises!$A$5:$A$639,$A28,Entreprises!$C$5:$C$639,N$3,Entreprises!$D$5:$D$639,N$2)+SUMIFS(Banques!$P$5:$P$315,Banques!$A$5:$A$315,$A28,Banques!$C$5:$C$315,N$3,Banques!$D$5:$D$315,N$2)</f>
        <v/>
      </c>
      <c r="O28" s="18">
        <f>SUMIFS(Entreprises!$N$5:$N$639,Entreprises!$A$5:$A$639,$A28,Entreprises!$C$5:$C$639,O$3,Entreprises!$D$5:$D$639,O$2)+SUMIFS(Banques!$P$5:$P$315,Banques!$A$5:$A$315,$A28,Banques!$C$5:$C$315,O$3,Banques!$D$5:$D$315,O$2)</f>
        <v/>
      </c>
      <c r="P28" s="18">
        <f>SUMIFS(Entreprises!$N$5:$N$639,Entreprises!$A$5:$A$639,$A28,Entreprises!$C$5:$C$639,P$3,Entreprises!$D$5:$D$639,P$2)+SUMIFS(Banques!$P$5:$P$315,Banques!$A$5:$A$315,$A28,Banques!$C$5:$C$315,P$3,Banques!$D$5:$D$315,P$2)</f>
        <v/>
      </c>
      <c r="Q28" s="18">
        <f>SUMIFS(Entreprises!$N$5:$N$639,Entreprises!$A$5:$A$639,$A28,Entreprises!$C$5:$C$639,Q$3,Entreprises!$D$5:$D$639,Q$2)+SUMIFS(Banques!$P$5:$P$315,Banques!$A$5:$A$315,$A28,Banques!$C$5:$C$315,Q$3,Banques!$D$5:$D$315,Q$2)</f>
        <v/>
      </c>
      <c r="R28" s="18">
        <f>SUMIFS(Entreprises!$N$5:$N$639,Entreprises!$A$5:$A$639,$A28,Entreprises!$C$5:$C$639,R$3,Entreprises!$D$5:$D$639,R$2)+SUMIFS(Banques!$P$5:$P$315,Banques!$A$5:$A$315,$A28,Banques!$C$5:$C$315,R$3,Banques!$D$5:$D$315,R$2)</f>
        <v/>
      </c>
      <c r="S28" s="18">
        <f>SUMIFS(Entreprises!$N$5:$N$639,Entreprises!$A$5:$A$639,$A28,Entreprises!$C$5:$C$639,S$3,Entreprises!$D$5:$D$639,S$2)+SUMIFS(Banques!$P$5:$P$315,Banques!$A$5:$A$315,$A28,Banques!$C$5:$C$315,S$3,Banques!$D$5:$D$315,S$2)</f>
        <v/>
      </c>
      <c r="T28" s="18">
        <f>SUMIFS(Entreprises!$N$5:$N$639,Entreprises!$A$5:$A$639,$A28,Entreprises!$C$5:$C$639,T$3,Entreprises!$D$5:$D$639,T$2)+SUMIFS(Banques!$P$5:$P$315,Banques!$A$5:$A$315,$A28,Banques!$C$5:$C$315,T$3,Banques!$D$5:$D$315,T$2)</f>
        <v/>
      </c>
      <c r="U28" s="18">
        <f>SUMIFS(Entreprises!$N$5:$N$639,Entreprises!$A$5:$A$639,$A28,Entreprises!$C$5:$C$639,U$3,Entreprises!$D$5:$D$639,U$2)+SUMIFS(Banques!$P$5:$P$315,Banques!$A$5:$A$315,$A28,Banques!$C$5:$C$315,U$3,Banques!$D$5:$D$315,U$2)</f>
        <v/>
      </c>
    </row>
    <row r="29">
      <c r="A29" s="17" t="inlineStr">
        <is>
          <t>CIEC</t>
        </is>
      </c>
      <c r="B29" s="17">
        <f>IFERROR(VLOOKUP(A29,Titres!$A$2:$D$400,2,FALSE),"")</f>
        <v/>
      </c>
      <c r="C29" s="17">
        <f>IFERROR(VLOOKUP(A29,Titres!$A$2:$D$400,4,FALSE),"")</f>
        <v/>
      </c>
      <c r="D29" s="18">
        <f>SUMIFS(Entreprises!$N$5:$N$639,Entreprises!$A$5:$A$639,$A29,Entreprises!$C$5:$C$639,D$3,Entreprises!$D$5:$D$639,D$2)+SUMIFS(Banques!$P$5:$P$315,Banques!$A$5:$A$315,$A29,Banques!$C$5:$C$315,D$3,Banques!$D$5:$D$315,D$2)</f>
        <v/>
      </c>
      <c r="E29" s="18">
        <f>SUMIFS(Entreprises!$N$5:$N$639,Entreprises!$A$5:$A$639,$A29,Entreprises!$C$5:$C$639,E$3,Entreprises!$D$5:$D$639,E$2)+SUMIFS(Banques!$P$5:$P$315,Banques!$A$5:$A$315,$A29,Banques!$C$5:$C$315,E$3,Banques!$D$5:$D$315,E$2)</f>
        <v/>
      </c>
      <c r="F29" s="18">
        <f>SUMIFS(Entreprises!$N$5:$N$639,Entreprises!$A$5:$A$639,$A29,Entreprises!$C$5:$C$639,F$3,Entreprises!$D$5:$D$639,F$2)+SUMIFS(Banques!$P$5:$P$315,Banques!$A$5:$A$315,$A29,Banques!$C$5:$C$315,F$3,Banques!$D$5:$D$315,F$2)</f>
        <v/>
      </c>
      <c r="G29" s="18">
        <f>SUMIFS(Entreprises!$N$5:$N$639,Entreprises!$A$5:$A$639,$A29,Entreprises!$C$5:$C$639,G$3,Entreprises!$D$5:$D$639,G$2)+SUMIFS(Banques!$P$5:$P$315,Banques!$A$5:$A$315,$A29,Banques!$C$5:$C$315,G$3,Banques!$D$5:$D$315,G$2)</f>
        <v/>
      </c>
      <c r="H29" s="18">
        <f>SUMIFS(Entreprises!$N$5:$N$639,Entreprises!$A$5:$A$639,$A29,Entreprises!$C$5:$C$639,H$3,Entreprises!$D$5:$D$639,H$2)+SUMIFS(Banques!$P$5:$P$315,Banques!$A$5:$A$315,$A29,Banques!$C$5:$C$315,H$3,Banques!$D$5:$D$315,H$2)</f>
        <v/>
      </c>
      <c r="I29" s="18">
        <f>SUMIFS(Entreprises!$N$5:$N$639,Entreprises!$A$5:$A$639,$A29,Entreprises!$C$5:$C$639,I$3,Entreprises!$D$5:$D$639,I$2)+SUMIFS(Banques!$P$5:$P$315,Banques!$A$5:$A$315,$A29,Banques!$C$5:$C$315,I$3,Banques!$D$5:$D$315,I$2)</f>
        <v/>
      </c>
      <c r="J29" s="18">
        <f>SUMIFS(Entreprises!$N$5:$N$639,Entreprises!$A$5:$A$639,$A29,Entreprises!$C$5:$C$639,J$3,Entreprises!$D$5:$D$639,J$2)+SUMIFS(Banques!$P$5:$P$315,Banques!$A$5:$A$315,$A29,Banques!$C$5:$C$315,J$3,Banques!$D$5:$D$315,J$2)</f>
        <v/>
      </c>
      <c r="K29" s="18">
        <f>SUMIFS(Entreprises!$N$5:$N$639,Entreprises!$A$5:$A$639,$A29,Entreprises!$C$5:$C$639,K$3,Entreprises!$D$5:$D$639,K$2)+SUMIFS(Banques!$P$5:$P$315,Banques!$A$5:$A$315,$A29,Banques!$C$5:$C$315,K$3,Banques!$D$5:$D$315,K$2)</f>
        <v/>
      </c>
      <c r="L29" s="18">
        <f>SUMIFS(Entreprises!$N$5:$N$639,Entreprises!$A$5:$A$639,$A29,Entreprises!$C$5:$C$639,L$3,Entreprises!$D$5:$D$639,L$2)+SUMIFS(Banques!$P$5:$P$315,Banques!$A$5:$A$315,$A29,Banques!$C$5:$C$315,L$3,Banques!$D$5:$D$315,L$2)</f>
        <v/>
      </c>
      <c r="M29" s="18">
        <f>SUMIFS(Entreprises!$N$5:$N$639,Entreprises!$A$5:$A$639,$A29,Entreprises!$C$5:$C$639,M$3,Entreprises!$D$5:$D$639,M$2)+SUMIFS(Banques!$P$5:$P$315,Banques!$A$5:$A$315,$A29,Banques!$C$5:$C$315,M$3,Banques!$D$5:$D$315,M$2)</f>
        <v/>
      </c>
      <c r="N29" s="18">
        <f>SUMIFS(Entreprises!$N$5:$N$639,Entreprises!$A$5:$A$639,$A29,Entreprises!$C$5:$C$639,N$3,Entreprises!$D$5:$D$639,N$2)+SUMIFS(Banques!$P$5:$P$315,Banques!$A$5:$A$315,$A29,Banques!$C$5:$C$315,N$3,Banques!$D$5:$D$315,N$2)</f>
        <v/>
      </c>
      <c r="O29" s="18">
        <f>SUMIFS(Entreprises!$N$5:$N$639,Entreprises!$A$5:$A$639,$A29,Entreprises!$C$5:$C$639,O$3,Entreprises!$D$5:$D$639,O$2)+SUMIFS(Banques!$P$5:$P$315,Banques!$A$5:$A$315,$A29,Banques!$C$5:$C$315,O$3,Banques!$D$5:$D$315,O$2)</f>
        <v/>
      </c>
      <c r="P29" s="18">
        <f>SUMIFS(Entreprises!$N$5:$N$639,Entreprises!$A$5:$A$639,$A29,Entreprises!$C$5:$C$639,P$3,Entreprises!$D$5:$D$639,P$2)+SUMIFS(Banques!$P$5:$P$315,Banques!$A$5:$A$315,$A29,Banques!$C$5:$C$315,P$3,Banques!$D$5:$D$315,P$2)</f>
        <v/>
      </c>
      <c r="Q29" s="18">
        <f>SUMIFS(Entreprises!$N$5:$N$639,Entreprises!$A$5:$A$639,$A29,Entreprises!$C$5:$C$639,Q$3,Entreprises!$D$5:$D$639,Q$2)+SUMIFS(Banques!$P$5:$P$315,Banques!$A$5:$A$315,$A29,Banques!$C$5:$C$315,Q$3,Banques!$D$5:$D$315,Q$2)</f>
        <v/>
      </c>
      <c r="R29" s="18">
        <f>SUMIFS(Entreprises!$N$5:$N$639,Entreprises!$A$5:$A$639,$A29,Entreprises!$C$5:$C$639,R$3,Entreprises!$D$5:$D$639,R$2)+SUMIFS(Banques!$P$5:$P$315,Banques!$A$5:$A$315,$A29,Banques!$C$5:$C$315,R$3,Banques!$D$5:$D$315,R$2)</f>
        <v/>
      </c>
      <c r="S29" s="18">
        <f>SUMIFS(Entreprises!$N$5:$N$639,Entreprises!$A$5:$A$639,$A29,Entreprises!$C$5:$C$639,S$3,Entreprises!$D$5:$D$639,S$2)+SUMIFS(Banques!$P$5:$P$315,Banques!$A$5:$A$315,$A29,Banques!$C$5:$C$315,S$3,Banques!$D$5:$D$315,S$2)</f>
        <v/>
      </c>
      <c r="T29" s="18">
        <f>SUMIFS(Entreprises!$N$5:$N$639,Entreprises!$A$5:$A$639,$A29,Entreprises!$C$5:$C$639,T$3,Entreprises!$D$5:$D$639,T$2)+SUMIFS(Banques!$P$5:$P$315,Banques!$A$5:$A$315,$A29,Banques!$C$5:$C$315,T$3,Banques!$D$5:$D$315,T$2)</f>
        <v/>
      </c>
      <c r="U29" s="18">
        <f>SUMIFS(Entreprises!$N$5:$N$639,Entreprises!$A$5:$A$639,$A29,Entreprises!$C$5:$C$639,U$3,Entreprises!$D$5:$D$639,U$2)+SUMIFS(Banques!$P$5:$P$315,Banques!$A$5:$A$315,$A29,Banques!$C$5:$C$315,U$3,Banques!$D$5:$D$315,U$2)</f>
        <v/>
      </c>
    </row>
    <row r="30">
      <c r="A30" s="17" t="inlineStr">
        <is>
          <t>SDCC</t>
        </is>
      </c>
      <c r="B30" s="17">
        <f>IFERROR(VLOOKUP(A30,Titres!$A$2:$D$400,2,FALSE),"")</f>
        <v/>
      </c>
      <c r="C30" s="17">
        <f>IFERROR(VLOOKUP(A30,Titres!$A$2:$D$400,4,FALSE),"")</f>
        <v/>
      </c>
      <c r="D30" s="18">
        <f>SUMIFS(Entreprises!$N$5:$N$639,Entreprises!$A$5:$A$639,$A30,Entreprises!$C$5:$C$639,D$3,Entreprises!$D$5:$D$639,D$2)+SUMIFS(Banques!$P$5:$P$315,Banques!$A$5:$A$315,$A30,Banques!$C$5:$C$315,D$3,Banques!$D$5:$D$315,D$2)</f>
        <v/>
      </c>
      <c r="E30" s="18">
        <f>SUMIFS(Entreprises!$N$5:$N$639,Entreprises!$A$5:$A$639,$A30,Entreprises!$C$5:$C$639,E$3,Entreprises!$D$5:$D$639,E$2)+SUMIFS(Banques!$P$5:$P$315,Banques!$A$5:$A$315,$A30,Banques!$C$5:$C$315,E$3,Banques!$D$5:$D$315,E$2)</f>
        <v/>
      </c>
      <c r="F30" s="18">
        <f>SUMIFS(Entreprises!$N$5:$N$639,Entreprises!$A$5:$A$639,$A30,Entreprises!$C$5:$C$639,F$3,Entreprises!$D$5:$D$639,F$2)+SUMIFS(Banques!$P$5:$P$315,Banques!$A$5:$A$315,$A30,Banques!$C$5:$C$315,F$3,Banques!$D$5:$D$315,F$2)</f>
        <v/>
      </c>
      <c r="G30" s="18">
        <f>SUMIFS(Entreprises!$N$5:$N$639,Entreprises!$A$5:$A$639,$A30,Entreprises!$C$5:$C$639,G$3,Entreprises!$D$5:$D$639,G$2)+SUMIFS(Banques!$P$5:$P$315,Banques!$A$5:$A$315,$A30,Banques!$C$5:$C$315,G$3,Banques!$D$5:$D$315,G$2)</f>
        <v/>
      </c>
      <c r="H30" s="18">
        <f>SUMIFS(Entreprises!$N$5:$N$639,Entreprises!$A$5:$A$639,$A30,Entreprises!$C$5:$C$639,H$3,Entreprises!$D$5:$D$639,H$2)+SUMIFS(Banques!$P$5:$P$315,Banques!$A$5:$A$315,$A30,Banques!$C$5:$C$315,H$3,Banques!$D$5:$D$315,H$2)</f>
        <v/>
      </c>
      <c r="I30" s="18">
        <f>SUMIFS(Entreprises!$N$5:$N$639,Entreprises!$A$5:$A$639,$A30,Entreprises!$C$5:$C$639,I$3,Entreprises!$D$5:$D$639,I$2)+SUMIFS(Banques!$P$5:$P$315,Banques!$A$5:$A$315,$A30,Banques!$C$5:$C$315,I$3,Banques!$D$5:$D$315,I$2)</f>
        <v/>
      </c>
      <c r="J30" s="18">
        <f>SUMIFS(Entreprises!$N$5:$N$639,Entreprises!$A$5:$A$639,$A30,Entreprises!$C$5:$C$639,J$3,Entreprises!$D$5:$D$639,J$2)+SUMIFS(Banques!$P$5:$P$315,Banques!$A$5:$A$315,$A30,Banques!$C$5:$C$315,J$3,Banques!$D$5:$D$315,J$2)</f>
        <v/>
      </c>
      <c r="K30" s="18">
        <f>SUMIFS(Entreprises!$N$5:$N$639,Entreprises!$A$5:$A$639,$A30,Entreprises!$C$5:$C$639,K$3,Entreprises!$D$5:$D$639,K$2)+SUMIFS(Banques!$P$5:$P$315,Banques!$A$5:$A$315,$A30,Banques!$C$5:$C$315,K$3,Banques!$D$5:$D$315,K$2)</f>
        <v/>
      </c>
      <c r="L30" s="18">
        <f>SUMIFS(Entreprises!$N$5:$N$639,Entreprises!$A$5:$A$639,$A30,Entreprises!$C$5:$C$639,L$3,Entreprises!$D$5:$D$639,L$2)+SUMIFS(Banques!$P$5:$P$315,Banques!$A$5:$A$315,$A30,Banques!$C$5:$C$315,L$3,Banques!$D$5:$D$315,L$2)</f>
        <v/>
      </c>
      <c r="M30" s="18">
        <f>SUMIFS(Entreprises!$N$5:$N$639,Entreprises!$A$5:$A$639,$A30,Entreprises!$C$5:$C$639,M$3,Entreprises!$D$5:$D$639,M$2)+SUMIFS(Banques!$P$5:$P$315,Banques!$A$5:$A$315,$A30,Banques!$C$5:$C$315,M$3,Banques!$D$5:$D$315,M$2)</f>
        <v/>
      </c>
      <c r="N30" s="18">
        <f>SUMIFS(Entreprises!$N$5:$N$639,Entreprises!$A$5:$A$639,$A30,Entreprises!$C$5:$C$639,N$3,Entreprises!$D$5:$D$639,N$2)+SUMIFS(Banques!$P$5:$P$315,Banques!$A$5:$A$315,$A30,Banques!$C$5:$C$315,N$3,Banques!$D$5:$D$315,N$2)</f>
        <v/>
      </c>
      <c r="O30" s="18">
        <f>SUMIFS(Entreprises!$N$5:$N$639,Entreprises!$A$5:$A$639,$A30,Entreprises!$C$5:$C$639,O$3,Entreprises!$D$5:$D$639,O$2)+SUMIFS(Banques!$P$5:$P$315,Banques!$A$5:$A$315,$A30,Banques!$C$5:$C$315,O$3,Banques!$D$5:$D$315,O$2)</f>
        <v/>
      </c>
      <c r="P30" s="18">
        <f>SUMIFS(Entreprises!$N$5:$N$639,Entreprises!$A$5:$A$639,$A30,Entreprises!$C$5:$C$639,P$3,Entreprises!$D$5:$D$639,P$2)+SUMIFS(Banques!$P$5:$P$315,Banques!$A$5:$A$315,$A30,Banques!$C$5:$C$315,P$3,Banques!$D$5:$D$315,P$2)</f>
        <v/>
      </c>
      <c r="Q30" s="18">
        <f>SUMIFS(Entreprises!$N$5:$N$639,Entreprises!$A$5:$A$639,$A30,Entreprises!$C$5:$C$639,Q$3,Entreprises!$D$5:$D$639,Q$2)+SUMIFS(Banques!$P$5:$P$315,Banques!$A$5:$A$315,$A30,Banques!$C$5:$C$315,Q$3,Banques!$D$5:$D$315,Q$2)</f>
        <v/>
      </c>
      <c r="R30" s="18">
        <f>SUMIFS(Entreprises!$N$5:$N$639,Entreprises!$A$5:$A$639,$A30,Entreprises!$C$5:$C$639,R$3,Entreprises!$D$5:$D$639,R$2)+SUMIFS(Banques!$P$5:$P$315,Banques!$A$5:$A$315,$A30,Banques!$C$5:$C$315,R$3,Banques!$D$5:$D$315,R$2)</f>
        <v/>
      </c>
      <c r="S30" s="18">
        <f>SUMIFS(Entreprises!$N$5:$N$639,Entreprises!$A$5:$A$639,$A30,Entreprises!$C$5:$C$639,S$3,Entreprises!$D$5:$D$639,S$2)+SUMIFS(Banques!$P$5:$P$315,Banques!$A$5:$A$315,$A30,Banques!$C$5:$C$315,S$3,Banques!$D$5:$D$315,S$2)</f>
        <v/>
      </c>
      <c r="T30" s="18">
        <f>SUMIFS(Entreprises!$N$5:$N$639,Entreprises!$A$5:$A$639,$A30,Entreprises!$C$5:$C$639,T$3,Entreprises!$D$5:$D$639,T$2)+SUMIFS(Banques!$P$5:$P$315,Banques!$A$5:$A$315,$A30,Banques!$C$5:$C$315,T$3,Banques!$D$5:$D$315,T$2)</f>
        <v/>
      </c>
      <c r="U30" s="18">
        <f>SUMIFS(Entreprises!$N$5:$N$639,Entreprises!$A$5:$A$639,$A30,Entreprises!$C$5:$C$639,U$3,Entreprises!$D$5:$D$639,U$2)+SUMIFS(Banques!$P$5:$P$315,Banques!$A$5:$A$315,$A30,Banques!$C$5:$C$315,U$3,Banques!$D$5:$D$315,U$2)</f>
        <v/>
      </c>
    </row>
    <row r="31">
      <c r="A31" s="17" t="inlineStr">
        <is>
          <t>ONTBF</t>
        </is>
      </c>
      <c r="B31" s="17">
        <f>IFERROR(VLOOKUP(A31,Titres!$A$2:$D$400,2,FALSE),"")</f>
        <v/>
      </c>
      <c r="C31" s="17">
        <f>IFERROR(VLOOKUP(A31,Titres!$A$2:$D$400,4,FALSE),"")</f>
        <v/>
      </c>
      <c r="D31" s="18">
        <f>SUMIFS(Entreprises!$N$5:$N$639,Entreprises!$A$5:$A$639,$A31,Entreprises!$C$5:$C$639,D$3,Entreprises!$D$5:$D$639,D$2)+SUMIFS(Banques!$P$5:$P$315,Banques!$A$5:$A$315,$A31,Banques!$C$5:$C$315,D$3,Banques!$D$5:$D$315,D$2)</f>
        <v/>
      </c>
      <c r="E31" s="18">
        <f>SUMIFS(Entreprises!$N$5:$N$639,Entreprises!$A$5:$A$639,$A31,Entreprises!$C$5:$C$639,E$3,Entreprises!$D$5:$D$639,E$2)+SUMIFS(Banques!$P$5:$P$315,Banques!$A$5:$A$315,$A31,Banques!$C$5:$C$315,E$3,Banques!$D$5:$D$315,E$2)</f>
        <v/>
      </c>
      <c r="F31" s="18">
        <f>SUMIFS(Entreprises!$N$5:$N$639,Entreprises!$A$5:$A$639,$A31,Entreprises!$C$5:$C$639,F$3,Entreprises!$D$5:$D$639,F$2)+SUMIFS(Banques!$P$5:$P$315,Banques!$A$5:$A$315,$A31,Banques!$C$5:$C$315,F$3,Banques!$D$5:$D$315,F$2)</f>
        <v/>
      </c>
      <c r="G31" s="18">
        <f>SUMIFS(Entreprises!$N$5:$N$639,Entreprises!$A$5:$A$639,$A31,Entreprises!$C$5:$C$639,G$3,Entreprises!$D$5:$D$639,G$2)+SUMIFS(Banques!$P$5:$P$315,Banques!$A$5:$A$315,$A31,Banques!$C$5:$C$315,G$3,Banques!$D$5:$D$315,G$2)</f>
        <v/>
      </c>
      <c r="H31" s="18">
        <f>SUMIFS(Entreprises!$N$5:$N$639,Entreprises!$A$5:$A$639,$A31,Entreprises!$C$5:$C$639,H$3,Entreprises!$D$5:$D$639,H$2)+SUMIFS(Banques!$P$5:$P$315,Banques!$A$5:$A$315,$A31,Banques!$C$5:$C$315,H$3,Banques!$D$5:$D$315,H$2)</f>
        <v/>
      </c>
      <c r="I31" s="18">
        <f>SUMIFS(Entreprises!$N$5:$N$639,Entreprises!$A$5:$A$639,$A31,Entreprises!$C$5:$C$639,I$3,Entreprises!$D$5:$D$639,I$2)+SUMIFS(Banques!$P$5:$P$315,Banques!$A$5:$A$315,$A31,Banques!$C$5:$C$315,I$3,Banques!$D$5:$D$315,I$2)</f>
        <v/>
      </c>
      <c r="J31" s="18">
        <f>SUMIFS(Entreprises!$N$5:$N$639,Entreprises!$A$5:$A$639,$A31,Entreprises!$C$5:$C$639,J$3,Entreprises!$D$5:$D$639,J$2)+SUMIFS(Banques!$P$5:$P$315,Banques!$A$5:$A$315,$A31,Banques!$C$5:$C$315,J$3,Banques!$D$5:$D$315,J$2)</f>
        <v/>
      </c>
      <c r="K31" s="18">
        <f>SUMIFS(Entreprises!$N$5:$N$639,Entreprises!$A$5:$A$639,$A31,Entreprises!$C$5:$C$639,K$3,Entreprises!$D$5:$D$639,K$2)+SUMIFS(Banques!$P$5:$P$315,Banques!$A$5:$A$315,$A31,Banques!$C$5:$C$315,K$3,Banques!$D$5:$D$315,K$2)</f>
        <v/>
      </c>
      <c r="L31" s="18">
        <f>SUMIFS(Entreprises!$N$5:$N$639,Entreprises!$A$5:$A$639,$A31,Entreprises!$C$5:$C$639,L$3,Entreprises!$D$5:$D$639,L$2)+SUMIFS(Banques!$P$5:$P$315,Banques!$A$5:$A$315,$A31,Banques!$C$5:$C$315,L$3,Banques!$D$5:$D$315,L$2)</f>
        <v/>
      </c>
      <c r="M31" s="18">
        <f>SUMIFS(Entreprises!$N$5:$N$639,Entreprises!$A$5:$A$639,$A31,Entreprises!$C$5:$C$639,M$3,Entreprises!$D$5:$D$639,M$2)+SUMIFS(Banques!$P$5:$P$315,Banques!$A$5:$A$315,$A31,Banques!$C$5:$C$315,M$3,Banques!$D$5:$D$315,M$2)</f>
        <v/>
      </c>
      <c r="N31" s="18">
        <f>SUMIFS(Entreprises!$N$5:$N$639,Entreprises!$A$5:$A$639,$A31,Entreprises!$C$5:$C$639,N$3,Entreprises!$D$5:$D$639,N$2)+SUMIFS(Banques!$P$5:$P$315,Banques!$A$5:$A$315,$A31,Banques!$C$5:$C$315,N$3,Banques!$D$5:$D$315,N$2)</f>
        <v/>
      </c>
      <c r="O31" s="18">
        <f>SUMIFS(Entreprises!$N$5:$N$639,Entreprises!$A$5:$A$639,$A31,Entreprises!$C$5:$C$639,O$3,Entreprises!$D$5:$D$639,O$2)+SUMIFS(Banques!$P$5:$P$315,Banques!$A$5:$A$315,$A31,Banques!$C$5:$C$315,O$3,Banques!$D$5:$D$315,O$2)</f>
        <v/>
      </c>
      <c r="P31" s="18">
        <f>SUMIFS(Entreprises!$N$5:$N$639,Entreprises!$A$5:$A$639,$A31,Entreprises!$C$5:$C$639,P$3,Entreprises!$D$5:$D$639,P$2)+SUMIFS(Banques!$P$5:$P$315,Banques!$A$5:$A$315,$A31,Banques!$C$5:$C$315,P$3,Banques!$D$5:$D$315,P$2)</f>
        <v/>
      </c>
      <c r="Q31" s="18">
        <f>SUMIFS(Entreprises!$N$5:$N$639,Entreprises!$A$5:$A$639,$A31,Entreprises!$C$5:$C$639,Q$3,Entreprises!$D$5:$D$639,Q$2)+SUMIFS(Banques!$P$5:$P$315,Banques!$A$5:$A$315,$A31,Banques!$C$5:$C$315,Q$3,Banques!$D$5:$D$315,Q$2)</f>
        <v/>
      </c>
      <c r="R31" s="18">
        <f>SUMIFS(Entreprises!$N$5:$N$639,Entreprises!$A$5:$A$639,$A31,Entreprises!$C$5:$C$639,R$3,Entreprises!$D$5:$D$639,R$2)+SUMIFS(Banques!$P$5:$P$315,Banques!$A$5:$A$315,$A31,Banques!$C$5:$C$315,R$3,Banques!$D$5:$D$315,R$2)</f>
        <v/>
      </c>
      <c r="S31" s="18">
        <f>SUMIFS(Entreprises!$N$5:$N$639,Entreprises!$A$5:$A$639,$A31,Entreprises!$C$5:$C$639,S$3,Entreprises!$D$5:$D$639,S$2)+SUMIFS(Banques!$P$5:$P$315,Banques!$A$5:$A$315,$A31,Banques!$C$5:$C$315,S$3,Banques!$D$5:$D$315,S$2)</f>
        <v/>
      </c>
      <c r="T31" s="18">
        <f>SUMIFS(Entreprises!$N$5:$N$639,Entreprises!$A$5:$A$639,$A31,Entreprises!$C$5:$C$639,T$3,Entreprises!$D$5:$D$639,T$2)+SUMIFS(Banques!$P$5:$P$315,Banques!$A$5:$A$315,$A31,Banques!$C$5:$C$315,T$3,Banques!$D$5:$D$315,T$2)</f>
        <v/>
      </c>
      <c r="U31" s="18">
        <f>SUMIFS(Entreprises!$N$5:$N$639,Entreprises!$A$5:$A$639,$A31,Entreprises!$C$5:$C$639,U$3,Entreprises!$D$5:$D$639,U$2)+SUMIFS(Banques!$P$5:$P$315,Banques!$A$5:$A$315,$A31,Banques!$C$5:$C$315,U$3,Banques!$D$5:$D$315,U$2)</f>
        <v/>
      </c>
    </row>
    <row r="32">
      <c r="A32" s="17" t="inlineStr">
        <is>
          <t>ORAC</t>
        </is>
      </c>
      <c r="B32" s="17">
        <f>IFERROR(VLOOKUP(A32,Titres!$A$2:$D$400,2,FALSE),"")</f>
        <v/>
      </c>
      <c r="C32" s="17">
        <f>IFERROR(VLOOKUP(A32,Titres!$A$2:$D$400,4,FALSE),"")</f>
        <v/>
      </c>
      <c r="D32" s="18">
        <f>SUMIFS(Entreprises!$N$5:$N$639,Entreprises!$A$5:$A$639,$A32,Entreprises!$C$5:$C$639,D$3,Entreprises!$D$5:$D$639,D$2)+SUMIFS(Banques!$P$5:$P$315,Banques!$A$5:$A$315,$A32,Banques!$C$5:$C$315,D$3,Banques!$D$5:$D$315,D$2)</f>
        <v/>
      </c>
      <c r="E32" s="18">
        <f>SUMIFS(Entreprises!$N$5:$N$639,Entreprises!$A$5:$A$639,$A32,Entreprises!$C$5:$C$639,E$3,Entreprises!$D$5:$D$639,E$2)+SUMIFS(Banques!$P$5:$P$315,Banques!$A$5:$A$315,$A32,Banques!$C$5:$C$315,E$3,Banques!$D$5:$D$315,E$2)</f>
        <v/>
      </c>
      <c r="F32" s="18">
        <f>SUMIFS(Entreprises!$N$5:$N$639,Entreprises!$A$5:$A$639,$A32,Entreprises!$C$5:$C$639,F$3,Entreprises!$D$5:$D$639,F$2)+SUMIFS(Banques!$P$5:$P$315,Banques!$A$5:$A$315,$A32,Banques!$C$5:$C$315,F$3,Banques!$D$5:$D$315,F$2)</f>
        <v/>
      </c>
      <c r="G32" s="18">
        <f>SUMIFS(Entreprises!$N$5:$N$639,Entreprises!$A$5:$A$639,$A32,Entreprises!$C$5:$C$639,G$3,Entreprises!$D$5:$D$639,G$2)+SUMIFS(Banques!$P$5:$P$315,Banques!$A$5:$A$315,$A32,Banques!$C$5:$C$315,G$3,Banques!$D$5:$D$315,G$2)</f>
        <v/>
      </c>
      <c r="H32" s="18">
        <f>SUMIFS(Entreprises!$N$5:$N$639,Entreprises!$A$5:$A$639,$A32,Entreprises!$C$5:$C$639,H$3,Entreprises!$D$5:$D$639,H$2)+SUMIFS(Banques!$P$5:$P$315,Banques!$A$5:$A$315,$A32,Banques!$C$5:$C$315,H$3,Banques!$D$5:$D$315,H$2)</f>
        <v/>
      </c>
      <c r="I32" s="18">
        <f>SUMIFS(Entreprises!$N$5:$N$639,Entreprises!$A$5:$A$639,$A32,Entreprises!$C$5:$C$639,I$3,Entreprises!$D$5:$D$639,I$2)+SUMIFS(Banques!$P$5:$P$315,Banques!$A$5:$A$315,$A32,Banques!$C$5:$C$315,I$3,Banques!$D$5:$D$315,I$2)</f>
        <v/>
      </c>
      <c r="J32" s="18">
        <f>SUMIFS(Entreprises!$N$5:$N$639,Entreprises!$A$5:$A$639,$A32,Entreprises!$C$5:$C$639,J$3,Entreprises!$D$5:$D$639,J$2)+SUMIFS(Banques!$P$5:$P$315,Banques!$A$5:$A$315,$A32,Banques!$C$5:$C$315,J$3,Banques!$D$5:$D$315,J$2)</f>
        <v/>
      </c>
      <c r="K32" s="18">
        <f>SUMIFS(Entreprises!$N$5:$N$639,Entreprises!$A$5:$A$639,$A32,Entreprises!$C$5:$C$639,K$3,Entreprises!$D$5:$D$639,K$2)+SUMIFS(Banques!$P$5:$P$315,Banques!$A$5:$A$315,$A32,Banques!$C$5:$C$315,K$3,Banques!$D$5:$D$315,K$2)</f>
        <v/>
      </c>
      <c r="L32" s="18">
        <f>SUMIFS(Entreprises!$N$5:$N$639,Entreprises!$A$5:$A$639,$A32,Entreprises!$C$5:$C$639,L$3,Entreprises!$D$5:$D$639,L$2)+SUMIFS(Banques!$P$5:$P$315,Banques!$A$5:$A$315,$A32,Banques!$C$5:$C$315,L$3,Banques!$D$5:$D$315,L$2)</f>
        <v/>
      </c>
      <c r="M32" s="18">
        <f>SUMIFS(Entreprises!$N$5:$N$639,Entreprises!$A$5:$A$639,$A32,Entreprises!$C$5:$C$639,M$3,Entreprises!$D$5:$D$639,M$2)+SUMIFS(Banques!$P$5:$P$315,Banques!$A$5:$A$315,$A32,Banques!$C$5:$C$315,M$3,Banques!$D$5:$D$315,M$2)</f>
        <v/>
      </c>
      <c r="N32" s="18">
        <f>SUMIFS(Entreprises!$N$5:$N$639,Entreprises!$A$5:$A$639,$A32,Entreprises!$C$5:$C$639,N$3,Entreprises!$D$5:$D$639,N$2)+SUMIFS(Banques!$P$5:$P$315,Banques!$A$5:$A$315,$A32,Banques!$C$5:$C$315,N$3,Banques!$D$5:$D$315,N$2)</f>
        <v/>
      </c>
      <c r="O32" s="18">
        <f>SUMIFS(Entreprises!$N$5:$N$639,Entreprises!$A$5:$A$639,$A32,Entreprises!$C$5:$C$639,O$3,Entreprises!$D$5:$D$639,O$2)+SUMIFS(Banques!$P$5:$P$315,Banques!$A$5:$A$315,$A32,Banques!$C$5:$C$315,O$3,Banques!$D$5:$D$315,O$2)</f>
        <v/>
      </c>
      <c r="P32" s="18">
        <f>SUMIFS(Entreprises!$N$5:$N$639,Entreprises!$A$5:$A$639,$A32,Entreprises!$C$5:$C$639,P$3,Entreprises!$D$5:$D$639,P$2)+SUMIFS(Banques!$P$5:$P$315,Banques!$A$5:$A$315,$A32,Banques!$C$5:$C$315,P$3,Banques!$D$5:$D$315,P$2)</f>
        <v/>
      </c>
      <c r="Q32" s="18">
        <f>SUMIFS(Entreprises!$N$5:$N$639,Entreprises!$A$5:$A$639,$A32,Entreprises!$C$5:$C$639,Q$3,Entreprises!$D$5:$D$639,Q$2)+SUMIFS(Banques!$P$5:$P$315,Banques!$A$5:$A$315,$A32,Banques!$C$5:$C$315,Q$3,Banques!$D$5:$D$315,Q$2)</f>
        <v/>
      </c>
      <c r="R32" s="18">
        <f>SUMIFS(Entreprises!$N$5:$N$639,Entreprises!$A$5:$A$639,$A32,Entreprises!$C$5:$C$639,R$3,Entreprises!$D$5:$D$639,R$2)+SUMIFS(Banques!$P$5:$P$315,Banques!$A$5:$A$315,$A32,Banques!$C$5:$C$315,R$3,Banques!$D$5:$D$315,R$2)</f>
        <v/>
      </c>
      <c r="S32" s="18">
        <f>SUMIFS(Entreprises!$N$5:$N$639,Entreprises!$A$5:$A$639,$A32,Entreprises!$C$5:$C$639,S$3,Entreprises!$D$5:$D$639,S$2)+SUMIFS(Banques!$P$5:$P$315,Banques!$A$5:$A$315,$A32,Banques!$C$5:$C$315,S$3,Banques!$D$5:$D$315,S$2)</f>
        <v/>
      </c>
      <c r="T32" s="18">
        <f>SUMIFS(Entreprises!$N$5:$N$639,Entreprises!$A$5:$A$639,$A32,Entreprises!$C$5:$C$639,T$3,Entreprises!$D$5:$D$639,T$2)+SUMIFS(Banques!$P$5:$P$315,Banques!$A$5:$A$315,$A32,Banques!$C$5:$C$315,T$3,Banques!$D$5:$D$315,T$2)</f>
        <v/>
      </c>
      <c r="U32" s="18">
        <f>SUMIFS(Entreprises!$N$5:$N$639,Entreprises!$A$5:$A$639,$A32,Entreprises!$C$5:$C$639,U$3,Entreprises!$D$5:$D$639,U$2)+SUMIFS(Banques!$P$5:$P$315,Banques!$A$5:$A$315,$A32,Banques!$C$5:$C$315,U$3,Banques!$D$5:$D$315,U$2)</f>
        <v/>
      </c>
    </row>
    <row r="33">
      <c r="A33" s="17" t="inlineStr">
        <is>
          <t>SNTS</t>
        </is>
      </c>
      <c r="B33" s="17">
        <f>IFERROR(VLOOKUP(A33,Titres!$A$2:$D$400,2,FALSE),"")</f>
        <v/>
      </c>
      <c r="C33" s="17">
        <f>IFERROR(VLOOKUP(A33,Titres!$A$2:$D$400,4,FALSE),"")</f>
        <v/>
      </c>
      <c r="D33" s="18">
        <f>SUMIFS(Entreprises!$N$5:$N$639,Entreprises!$A$5:$A$639,$A33,Entreprises!$C$5:$C$639,D$3,Entreprises!$D$5:$D$639,D$2)+SUMIFS(Banques!$P$5:$P$315,Banques!$A$5:$A$315,$A33,Banques!$C$5:$C$315,D$3,Banques!$D$5:$D$315,D$2)</f>
        <v/>
      </c>
      <c r="E33" s="18">
        <f>SUMIFS(Entreprises!$N$5:$N$639,Entreprises!$A$5:$A$639,$A33,Entreprises!$C$5:$C$639,E$3,Entreprises!$D$5:$D$639,E$2)+SUMIFS(Banques!$P$5:$P$315,Banques!$A$5:$A$315,$A33,Banques!$C$5:$C$315,E$3,Banques!$D$5:$D$315,E$2)</f>
        <v/>
      </c>
      <c r="F33" s="18">
        <f>SUMIFS(Entreprises!$N$5:$N$639,Entreprises!$A$5:$A$639,$A33,Entreprises!$C$5:$C$639,F$3,Entreprises!$D$5:$D$639,F$2)+SUMIFS(Banques!$P$5:$P$315,Banques!$A$5:$A$315,$A33,Banques!$C$5:$C$315,F$3,Banques!$D$5:$D$315,F$2)</f>
        <v/>
      </c>
      <c r="G33" s="18">
        <f>SUMIFS(Entreprises!$N$5:$N$639,Entreprises!$A$5:$A$639,$A33,Entreprises!$C$5:$C$639,G$3,Entreprises!$D$5:$D$639,G$2)+SUMIFS(Banques!$P$5:$P$315,Banques!$A$5:$A$315,$A33,Banques!$C$5:$C$315,G$3,Banques!$D$5:$D$315,G$2)</f>
        <v/>
      </c>
      <c r="H33" s="18">
        <f>SUMIFS(Entreprises!$N$5:$N$639,Entreprises!$A$5:$A$639,$A33,Entreprises!$C$5:$C$639,H$3,Entreprises!$D$5:$D$639,H$2)+SUMIFS(Banques!$P$5:$P$315,Banques!$A$5:$A$315,$A33,Banques!$C$5:$C$315,H$3,Banques!$D$5:$D$315,H$2)</f>
        <v/>
      </c>
      <c r="I33" s="18">
        <f>SUMIFS(Entreprises!$N$5:$N$639,Entreprises!$A$5:$A$639,$A33,Entreprises!$C$5:$C$639,I$3,Entreprises!$D$5:$D$639,I$2)+SUMIFS(Banques!$P$5:$P$315,Banques!$A$5:$A$315,$A33,Banques!$C$5:$C$315,I$3,Banques!$D$5:$D$315,I$2)</f>
        <v/>
      </c>
      <c r="J33" s="18">
        <f>SUMIFS(Entreprises!$N$5:$N$639,Entreprises!$A$5:$A$639,$A33,Entreprises!$C$5:$C$639,J$3,Entreprises!$D$5:$D$639,J$2)+SUMIFS(Banques!$P$5:$P$315,Banques!$A$5:$A$315,$A33,Banques!$C$5:$C$315,J$3,Banques!$D$5:$D$315,J$2)</f>
        <v/>
      </c>
      <c r="K33" s="18">
        <f>SUMIFS(Entreprises!$N$5:$N$639,Entreprises!$A$5:$A$639,$A33,Entreprises!$C$5:$C$639,K$3,Entreprises!$D$5:$D$639,K$2)+SUMIFS(Banques!$P$5:$P$315,Banques!$A$5:$A$315,$A33,Banques!$C$5:$C$315,K$3,Banques!$D$5:$D$315,K$2)</f>
        <v/>
      </c>
      <c r="L33" s="18">
        <f>SUMIFS(Entreprises!$N$5:$N$639,Entreprises!$A$5:$A$639,$A33,Entreprises!$C$5:$C$639,L$3,Entreprises!$D$5:$D$639,L$2)+SUMIFS(Banques!$P$5:$P$315,Banques!$A$5:$A$315,$A33,Banques!$C$5:$C$315,L$3,Banques!$D$5:$D$315,L$2)</f>
        <v/>
      </c>
      <c r="M33" s="18">
        <f>SUMIFS(Entreprises!$N$5:$N$639,Entreprises!$A$5:$A$639,$A33,Entreprises!$C$5:$C$639,M$3,Entreprises!$D$5:$D$639,M$2)+SUMIFS(Banques!$P$5:$P$315,Banques!$A$5:$A$315,$A33,Banques!$C$5:$C$315,M$3,Banques!$D$5:$D$315,M$2)</f>
        <v/>
      </c>
      <c r="N33" s="18">
        <f>SUMIFS(Entreprises!$N$5:$N$639,Entreprises!$A$5:$A$639,$A33,Entreprises!$C$5:$C$639,N$3,Entreprises!$D$5:$D$639,N$2)+SUMIFS(Banques!$P$5:$P$315,Banques!$A$5:$A$315,$A33,Banques!$C$5:$C$315,N$3,Banques!$D$5:$D$315,N$2)</f>
        <v/>
      </c>
      <c r="O33" s="18">
        <f>SUMIFS(Entreprises!$N$5:$N$639,Entreprises!$A$5:$A$639,$A33,Entreprises!$C$5:$C$639,O$3,Entreprises!$D$5:$D$639,O$2)+SUMIFS(Banques!$P$5:$P$315,Banques!$A$5:$A$315,$A33,Banques!$C$5:$C$315,O$3,Banques!$D$5:$D$315,O$2)</f>
        <v/>
      </c>
      <c r="P33" s="18">
        <f>SUMIFS(Entreprises!$N$5:$N$639,Entreprises!$A$5:$A$639,$A33,Entreprises!$C$5:$C$639,P$3,Entreprises!$D$5:$D$639,P$2)+SUMIFS(Banques!$P$5:$P$315,Banques!$A$5:$A$315,$A33,Banques!$C$5:$C$315,P$3,Banques!$D$5:$D$315,P$2)</f>
        <v/>
      </c>
      <c r="Q33" s="18">
        <f>SUMIFS(Entreprises!$N$5:$N$639,Entreprises!$A$5:$A$639,$A33,Entreprises!$C$5:$C$639,Q$3,Entreprises!$D$5:$D$639,Q$2)+SUMIFS(Banques!$P$5:$P$315,Banques!$A$5:$A$315,$A33,Banques!$C$5:$C$315,Q$3,Banques!$D$5:$D$315,Q$2)</f>
        <v/>
      </c>
      <c r="R33" s="18">
        <f>SUMIFS(Entreprises!$N$5:$N$639,Entreprises!$A$5:$A$639,$A33,Entreprises!$C$5:$C$639,R$3,Entreprises!$D$5:$D$639,R$2)+SUMIFS(Banques!$P$5:$P$315,Banques!$A$5:$A$315,$A33,Banques!$C$5:$C$315,R$3,Banques!$D$5:$D$315,R$2)</f>
        <v/>
      </c>
      <c r="S33" s="18">
        <f>SUMIFS(Entreprises!$N$5:$N$639,Entreprises!$A$5:$A$639,$A33,Entreprises!$C$5:$C$639,S$3,Entreprises!$D$5:$D$639,S$2)+SUMIFS(Banques!$P$5:$P$315,Banques!$A$5:$A$315,$A33,Banques!$C$5:$C$315,S$3,Banques!$D$5:$D$315,S$2)</f>
        <v/>
      </c>
      <c r="T33" s="18">
        <f>SUMIFS(Entreprises!$N$5:$N$639,Entreprises!$A$5:$A$639,$A33,Entreprises!$C$5:$C$639,T$3,Entreprises!$D$5:$D$639,T$2)+SUMIFS(Banques!$P$5:$P$315,Banques!$A$5:$A$315,$A33,Banques!$C$5:$C$315,T$3,Banques!$D$5:$D$315,T$2)</f>
        <v/>
      </c>
      <c r="U33" s="18">
        <f>SUMIFS(Entreprises!$N$5:$N$639,Entreprises!$A$5:$A$639,$A33,Entreprises!$C$5:$C$639,U$3,Entreprises!$D$5:$D$639,U$2)+SUMIFS(Banques!$P$5:$P$315,Banques!$A$5:$A$315,$A33,Banques!$C$5:$C$315,U$3,Banques!$D$5:$D$315,U$2)</f>
        <v/>
      </c>
    </row>
    <row r="34">
      <c r="A34" s="17" t="inlineStr">
        <is>
          <t>SHEC</t>
        </is>
      </c>
      <c r="B34" s="17">
        <f>IFERROR(VLOOKUP(A34,Titres!$A$2:$D$400,2,FALSE),"")</f>
        <v/>
      </c>
      <c r="C34" s="17">
        <f>IFERROR(VLOOKUP(A34,Titres!$A$2:$D$400,4,FALSE),"")</f>
        <v/>
      </c>
      <c r="D34" s="18">
        <f>SUMIFS(Entreprises!$N$5:$N$639,Entreprises!$A$5:$A$639,$A34,Entreprises!$C$5:$C$639,D$3,Entreprises!$D$5:$D$639,D$2)+SUMIFS(Banques!$P$5:$P$315,Banques!$A$5:$A$315,$A34,Banques!$C$5:$C$315,D$3,Banques!$D$5:$D$315,D$2)</f>
        <v/>
      </c>
      <c r="E34" s="18">
        <f>SUMIFS(Entreprises!$N$5:$N$639,Entreprises!$A$5:$A$639,$A34,Entreprises!$C$5:$C$639,E$3,Entreprises!$D$5:$D$639,E$2)+SUMIFS(Banques!$P$5:$P$315,Banques!$A$5:$A$315,$A34,Banques!$C$5:$C$315,E$3,Banques!$D$5:$D$315,E$2)</f>
        <v/>
      </c>
      <c r="F34" s="18">
        <f>SUMIFS(Entreprises!$N$5:$N$639,Entreprises!$A$5:$A$639,$A34,Entreprises!$C$5:$C$639,F$3,Entreprises!$D$5:$D$639,F$2)+SUMIFS(Banques!$P$5:$P$315,Banques!$A$5:$A$315,$A34,Banques!$C$5:$C$315,F$3,Banques!$D$5:$D$315,F$2)</f>
        <v/>
      </c>
      <c r="G34" s="18">
        <f>SUMIFS(Entreprises!$N$5:$N$639,Entreprises!$A$5:$A$639,$A34,Entreprises!$C$5:$C$639,G$3,Entreprises!$D$5:$D$639,G$2)+SUMIFS(Banques!$P$5:$P$315,Banques!$A$5:$A$315,$A34,Banques!$C$5:$C$315,G$3,Banques!$D$5:$D$315,G$2)</f>
        <v/>
      </c>
      <c r="H34" s="18">
        <f>SUMIFS(Entreprises!$N$5:$N$639,Entreprises!$A$5:$A$639,$A34,Entreprises!$C$5:$C$639,H$3,Entreprises!$D$5:$D$639,H$2)+SUMIFS(Banques!$P$5:$P$315,Banques!$A$5:$A$315,$A34,Banques!$C$5:$C$315,H$3,Banques!$D$5:$D$315,H$2)</f>
        <v/>
      </c>
      <c r="I34" s="18">
        <f>SUMIFS(Entreprises!$N$5:$N$639,Entreprises!$A$5:$A$639,$A34,Entreprises!$C$5:$C$639,I$3,Entreprises!$D$5:$D$639,I$2)+SUMIFS(Banques!$P$5:$P$315,Banques!$A$5:$A$315,$A34,Banques!$C$5:$C$315,I$3,Banques!$D$5:$D$315,I$2)</f>
        <v/>
      </c>
      <c r="J34" s="18">
        <f>SUMIFS(Entreprises!$N$5:$N$639,Entreprises!$A$5:$A$639,$A34,Entreprises!$C$5:$C$639,J$3,Entreprises!$D$5:$D$639,J$2)+SUMIFS(Banques!$P$5:$P$315,Banques!$A$5:$A$315,$A34,Banques!$C$5:$C$315,J$3,Banques!$D$5:$D$315,J$2)</f>
        <v/>
      </c>
      <c r="K34" s="18">
        <f>SUMIFS(Entreprises!$N$5:$N$639,Entreprises!$A$5:$A$639,$A34,Entreprises!$C$5:$C$639,K$3,Entreprises!$D$5:$D$639,K$2)+SUMIFS(Banques!$P$5:$P$315,Banques!$A$5:$A$315,$A34,Banques!$C$5:$C$315,K$3,Banques!$D$5:$D$315,K$2)</f>
        <v/>
      </c>
      <c r="L34" s="18">
        <f>SUMIFS(Entreprises!$N$5:$N$639,Entreprises!$A$5:$A$639,$A34,Entreprises!$C$5:$C$639,L$3,Entreprises!$D$5:$D$639,L$2)+SUMIFS(Banques!$P$5:$P$315,Banques!$A$5:$A$315,$A34,Banques!$C$5:$C$315,L$3,Banques!$D$5:$D$315,L$2)</f>
        <v/>
      </c>
      <c r="M34" s="18">
        <f>SUMIFS(Entreprises!$N$5:$N$639,Entreprises!$A$5:$A$639,$A34,Entreprises!$C$5:$C$639,M$3,Entreprises!$D$5:$D$639,M$2)+SUMIFS(Banques!$P$5:$P$315,Banques!$A$5:$A$315,$A34,Banques!$C$5:$C$315,M$3,Banques!$D$5:$D$315,M$2)</f>
        <v/>
      </c>
      <c r="N34" s="18">
        <f>SUMIFS(Entreprises!$N$5:$N$639,Entreprises!$A$5:$A$639,$A34,Entreprises!$C$5:$C$639,N$3,Entreprises!$D$5:$D$639,N$2)+SUMIFS(Banques!$P$5:$P$315,Banques!$A$5:$A$315,$A34,Banques!$C$5:$C$315,N$3,Banques!$D$5:$D$315,N$2)</f>
        <v/>
      </c>
      <c r="O34" s="18">
        <f>SUMIFS(Entreprises!$N$5:$N$639,Entreprises!$A$5:$A$639,$A34,Entreprises!$C$5:$C$639,O$3,Entreprises!$D$5:$D$639,O$2)+SUMIFS(Banques!$P$5:$P$315,Banques!$A$5:$A$315,$A34,Banques!$C$5:$C$315,O$3,Banques!$D$5:$D$315,O$2)</f>
        <v/>
      </c>
      <c r="P34" s="18">
        <f>SUMIFS(Entreprises!$N$5:$N$639,Entreprises!$A$5:$A$639,$A34,Entreprises!$C$5:$C$639,P$3,Entreprises!$D$5:$D$639,P$2)+SUMIFS(Banques!$P$5:$P$315,Banques!$A$5:$A$315,$A34,Banques!$C$5:$C$315,P$3,Banques!$D$5:$D$315,P$2)</f>
        <v/>
      </c>
      <c r="Q34" s="18">
        <f>SUMIFS(Entreprises!$N$5:$N$639,Entreprises!$A$5:$A$639,$A34,Entreprises!$C$5:$C$639,Q$3,Entreprises!$D$5:$D$639,Q$2)+SUMIFS(Banques!$P$5:$P$315,Banques!$A$5:$A$315,$A34,Banques!$C$5:$C$315,Q$3,Banques!$D$5:$D$315,Q$2)</f>
        <v/>
      </c>
      <c r="R34" s="18">
        <f>SUMIFS(Entreprises!$N$5:$N$639,Entreprises!$A$5:$A$639,$A34,Entreprises!$C$5:$C$639,R$3,Entreprises!$D$5:$D$639,R$2)+SUMIFS(Banques!$P$5:$P$315,Banques!$A$5:$A$315,$A34,Banques!$C$5:$C$315,R$3,Banques!$D$5:$D$315,R$2)</f>
        <v/>
      </c>
      <c r="S34" s="18">
        <f>SUMIFS(Entreprises!$N$5:$N$639,Entreprises!$A$5:$A$639,$A34,Entreprises!$C$5:$C$639,S$3,Entreprises!$D$5:$D$639,S$2)+SUMIFS(Banques!$P$5:$P$315,Banques!$A$5:$A$315,$A34,Banques!$C$5:$C$315,S$3,Banques!$D$5:$D$315,S$2)</f>
        <v/>
      </c>
      <c r="T34" s="18">
        <f>SUMIFS(Entreprises!$N$5:$N$639,Entreprises!$A$5:$A$639,$A34,Entreprises!$C$5:$C$639,T$3,Entreprises!$D$5:$D$639,T$2)+SUMIFS(Banques!$P$5:$P$315,Banques!$A$5:$A$315,$A34,Banques!$C$5:$C$315,T$3,Banques!$D$5:$D$315,T$2)</f>
        <v/>
      </c>
      <c r="U34" s="18">
        <f>SUMIFS(Entreprises!$N$5:$N$639,Entreprises!$A$5:$A$639,$A34,Entreprises!$C$5:$C$639,U$3,Entreprises!$D$5:$D$639,U$2)+SUMIFS(Banques!$P$5:$P$315,Banques!$A$5:$A$315,$A34,Banques!$C$5:$C$315,U$3,Banques!$D$5:$D$315,U$2)</f>
        <v/>
      </c>
    </row>
    <row r="35">
      <c r="A35" s="17" t="inlineStr">
        <is>
          <t>SMBC</t>
        </is>
      </c>
      <c r="B35" s="17">
        <f>IFERROR(VLOOKUP(A35,Titres!$A$2:$D$400,2,FALSE),"")</f>
        <v/>
      </c>
      <c r="C35" s="17">
        <f>IFERROR(VLOOKUP(A35,Titres!$A$2:$D$400,4,FALSE),"")</f>
        <v/>
      </c>
      <c r="D35" s="18">
        <f>SUMIFS(Entreprises!$N$5:$N$639,Entreprises!$A$5:$A$639,$A35,Entreprises!$C$5:$C$639,D$3,Entreprises!$D$5:$D$639,D$2)+SUMIFS(Banques!$P$5:$P$315,Banques!$A$5:$A$315,$A35,Banques!$C$5:$C$315,D$3,Banques!$D$5:$D$315,D$2)</f>
        <v/>
      </c>
      <c r="E35" s="18">
        <f>SUMIFS(Entreprises!$N$5:$N$639,Entreprises!$A$5:$A$639,$A35,Entreprises!$C$5:$C$639,E$3,Entreprises!$D$5:$D$639,E$2)+SUMIFS(Banques!$P$5:$P$315,Banques!$A$5:$A$315,$A35,Banques!$C$5:$C$315,E$3,Banques!$D$5:$D$315,E$2)</f>
        <v/>
      </c>
      <c r="F35" s="18">
        <f>SUMIFS(Entreprises!$N$5:$N$639,Entreprises!$A$5:$A$639,$A35,Entreprises!$C$5:$C$639,F$3,Entreprises!$D$5:$D$639,F$2)+SUMIFS(Banques!$P$5:$P$315,Banques!$A$5:$A$315,$A35,Banques!$C$5:$C$315,F$3,Banques!$D$5:$D$315,F$2)</f>
        <v/>
      </c>
      <c r="G35" s="18">
        <f>SUMIFS(Entreprises!$N$5:$N$639,Entreprises!$A$5:$A$639,$A35,Entreprises!$C$5:$C$639,G$3,Entreprises!$D$5:$D$639,G$2)+SUMIFS(Banques!$P$5:$P$315,Banques!$A$5:$A$315,$A35,Banques!$C$5:$C$315,G$3,Banques!$D$5:$D$315,G$2)</f>
        <v/>
      </c>
      <c r="H35" s="18">
        <f>SUMIFS(Entreprises!$N$5:$N$639,Entreprises!$A$5:$A$639,$A35,Entreprises!$C$5:$C$639,H$3,Entreprises!$D$5:$D$639,H$2)+SUMIFS(Banques!$P$5:$P$315,Banques!$A$5:$A$315,$A35,Banques!$C$5:$C$315,H$3,Banques!$D$5:$D$315,H$2)</f>
        <v/>
      </c>
      <c r="I35" s="18">
        <f>SUMIFS(Entreprises!$N$5:$N$639,Entreprises!$A$5:$A$639,$A35,Entreprises!$C$5:$C$639,I$3,Entreprises!$D$5:$D$639,I$2)+SUMIFS(Banques!$P$5:$P$315,Banques!$A$5:$A$315,$A35,Banques!$C$5:$C$315,I$3,Banques!$D$5:$D$315,I$2)</f>
        <v/>
      </c>
      <c r="J35" s="18">
        <f>SUMIFS(Entreprises!$N$5:$N$639,Entreprises!$A$5:$A$639,$A35,Entreprises!$C$5:$C$639,J$3,Entreprises!$D$5:$D$639,J$2)+SUMIFS(Banques!$P$5:$P$315,Banques!$A$5:$A$315,$A35,Banques!$C$5:$C$315,J$3,Banques!$D$5:$D$315,J$2)</f>
        <v/>
      </c>
      <c r="K35" s="18">
        <f>SUMIFS(Entreprises!$N$5:$N$639,Entreprises!$A$5:$A$639,$A35,Entreprises!$C$5:$C$639,K$3,Entreprises!$D$5:$D$639,K$2)+SUMIFS(Banques!$P$5:$P$315,Banques!$A$5:$A$315,$A35,Banques!$C$5:$C$315,K$3,Banques!$D$5:$D$315,K$2)</f>
        <v/>
      </c>
      <c r="L35" s="18">
        <f>SUMIFS(Entreprises!$N$5:$N$639,Entreprises!$A$5:$A$639,$A35,Entreprises!$C$5:$C$639,L$3,Entreprises!$D$5:$D$639,L$2)+SUMIFS(Banques!$P$5:$P$315,Banques!$A$5:$A$315,$A35,Banques!$C$5:$C$315,L$3,Banques!$D$5:$D$315,L$2)</f>
        <v/>
      </c>
      <c r="M35" s="18">
        <f>SUMIFS(Entreprises!$N$5:$N$639,Entreprises!$A$5:$A$639,$A35,Entreprises!$C$5:$C$639,M$3,Entreprises!$D$5:$D$639,M$2)+SUMIFS(Banques!$P$5:$P$315,Banques!$A$5:$A$315,$A35,Banques!$C$5:$C$315,M$3,Banques!$D$5:$D$315,M$2)</f>
        <v/>
      </c>
      <c r="N35" s="18">
        <f>SUMIFS(Entreprises!$N$5:$N$639,Entreprises!$A$5:$A$639,$A35,Entreprises!$C$5:$C$639,N$3,Entreprises!$D$5:$D$639,N$2)+SUMIFS(Banques!$P$5:$P$315,Banques!$A$5:$A$315,$A35,Banques!$C$5:$C$315,N$3,Banques!$D$5:$D$315,N$2)</f>
        <v/>
      </c>
      <c r="O35" s="18">
        <f>SUMIFS(Entreprises!$N$5:$N$639,Entreprises!$A$5:$A$639,$A35,Entreprises!$C$5:$C$639,O$3,Entreprises!$D$5:$D$639,O$2)+SUMIFS(Banques!$P$5:$P$315,Banques!$A$5:$A$315,$A35,Banques!$C$5:$C$315,O$3,Banques!$D$5:$D$315,O$2)</f>
        <v/>
      </c>
      <c r="P35" s="18">
        <f>SUMIFS(Entreprises!$N$5:$N$639,Entreprises!$A$5:$A$639,$A35,Entreprises!$C$5:$C$639,P$3,Entreprises!$D$5:$D$639,P$2)+SUMIFS(Banques!$P$5:$P$315,Banques!$A$5:$A$315,$A35,Banques!$C$5:$C$315,P$3,Banques!$D$5:$D$315,P$2)</f>
        <v/>
      </c>
      <c r="Q35" s="18">
        <f>SUMIFS(Entreprises!$N$5:$N$639,Entreprises!$A$5:$A$639,$A35,Entreprises!$C$5:$C$639,Q$3,Entreprises!$D$5:$D$639,Q$2)+SUMIFS(Banques!$P$5:$P$315,Banques!$A$5:$A$315,$A35,Banques!$C$5:$C$315,Q$3,Banques!$D$5:$D$315,Q$2)</f>
        <v/>
      </c>
      <c r="R35" s="18">
        <f>SUMIFS(Entreprises!$N$5:$N$639,Entreprises!$A$5:$A$639,$A35,Entreprises!$C$5:$C$639,R$3,Entreprises!$D$5:$D$639,R$2)+SUMIFS(Banques!$P$5:$P$315,Banques!$A$5:$A$315,$A35,Banques!$C$5:$C$315,R$3,Banques!$D$5:$D$315,R$2)</f>
        <v/>
      </c>
      <c r="S35" s="18">
        <f>SUMIFS(Entreprises!$N$5:$N$639,Entreprises!$A$5:$A$639,$A35,Entreprises!$C$5:$C$639,S$3,Entreprises!$D$5:$D$639,S$2)+SUMIFS(Banques!$P$5:$P$315,Banques!$A$5:$A$315,$A35,Banques!$C$5:$C$315,S$3,Banques!$D$5:$D$315,S$2)</f>
        <v/>
      </c>
      <c r="T35" s="18">
        <f>SUMIFS(Entreprises!$N$5:$N$639,Entreprises!$A$5:$A$639,$A35,Entreprises!$C$5:$C$639,T$3,Entreprises!$D$5:$D$639,T$2)+SUMIFS(Banques!$P$5:$P$315,Banques!$A$5:$A$315,$A35,Banques!$C$5:$C$315,T$3,Banques!$D$5:$D$315,T$2)</f>
        <v/>
      </c>
      <c r="U35" s="18">
        <f>SUMIFS(Entreprises!$N$5:$N$639,Entreprises!$A$5:$A$639,$A35,Entreprises!$C$5:$C$639,U$3,Entreprises!$D$5:$D$639,U$2)+SUMIFS(Banques!$P$5:$P$315,Banques!$A$5:$A$315,$A35,Banques!$C$5:$C$315,U$3,Banques!$D$5:$D$315,U$2)</f>
        <v/>
      </c>
    </row>
    <row r="36">
      <c r="A36" s="17" t="inlineStr">
        <is>
          <t>TTLC</t>
        </is>
      </c>
      <c r="B36" s="17">
        <f>IFERROR(VLOOKUP(A36,Titres!$A$2:$D$400,2,FALSE),"")</f>
        <v/>
      </c>
      <c r="C36" s="17">
        <f>IFERROR(VLOOKUP(A36,Titres!$A$2:$D$400,4,FALSE),"")</f>
        <v/>
      </c>
      <c r="D36" s="18">
        <f>SUMIFS(Entreprises!$N$5:$N$639,Entreprises!$A$5:$A$639,$A36,Entreprises!$C$5:$C$639,D$3,Entreprises!$D$5:$D$639,D$2)+SUMIFS(Banques!$P$5:$P$315,Banques!$A$5:$A$315,$A36,Banques!$C$5:$C$315,D$3,Banques!$D$5:$D$315,D$2)</f>
        <v/>
      </c>
      <c r="E36" s="18">
        <f>SUMIFS(Entreprises!$N$5:$N$639,Entreprises!$A$5:$A$639,$A36,Entreprises!$C$5:$C$639,E$3,Entreprises!$D$5:$D$639,E$2)+SUMIFS(Banques!$P$5:$P$315,Banques!$A$5:$A$315,$A36,Banques!$C$5:$C$315,E$3,Banques!$D$5:$D$315,E$2)</f>
        <v/>
      </c>
      <c r="F36" s="18">
        <f>SUMIFS(Entreprises!$N$5:$N$639,Entreprises!$A$5:$A$639,$A36,Entreprises!$C$5:$C$639,F$3,Entreprises!$D$5:$D$639,F$2)+SUMIFS(Banques!$P$5:$P$315,Banques!$A$5:$A$315,$A36,Banques!$C$5:$C$315,F$3,Banques!$D$5:$D$315,F$2)</f>
        <v/>
      </c>
      <c r="G36" s="18">
        <f>SUMIFS(Entreprises!$N$5:$N$639,Entreprises!$A$5:$A$639,$A36,Entreprises!$C$5:$C$639,G$3,Entreprises!$D$5:$D$639,G$2)+SUMIFS(Banques!$P$5:$P$315,Banques!$A$5:$A$315,$A36,Banques!$C$5:$C$315,G$3,Banques!$D$5:$D$315,G$2)</f>
        <v/>
      </c>
      <c r="H36" s="18">
        <f>SUMIFS(Entreprises!$N$5:$N$639,Entreprises!$A$5:$A$639,$A36,Entreprises!$C$5:$C$639,H$3,Entreprises!$D$5:$D$639,H$2)+SUMIFS(Banques!$P$5:$P$315,Banques!$A$5:$A$315,$A36,Banques!$C$5:$C$315,H$3,Banques!$D$5:$D$315,H$2)</f>
        <v/>
      </c>
      <c r="I36" s="18">
        <f>SUMIFS(Entreprises!$N$5:$N$639,Entreprises!$A$5:$A$639,$A36,Entreprises!$C$5:$C$639,I$3,Entreprises!$D$5:$D$639,I$2)+SUMIFS(Banques!$P$5:$P$315,Banques!$A$5:$A$315,$A36,Banques!$C$5:$C$315,I$3,Banques!$D$5:$D$315,I$2)</f>
        <v/>
      </c>
      <c r="J36" s="18">
        <f>SUMIFS(Entreprises!$N$5:$N$639,Entreprises!$A$5:$A$639,$A36,Entreprises!$C$5:$C$639,J$3,Entreprises!$D$5:$D$639,J$2)+SUMIFS(Banques!$P$5:$P$315,Banques!$A$5:$A$315,$A36,Banques!$C$5:$C$315,J$3,Banques!$D$5:$D$315,J$2)</f>
        <v/>
      </c>
      <c r="K36" s="18">
        <f>SUMIFS(Entreprises!$N$5:$N$639,Entreprises!$A$5:$A$639,$A36,Entreprises!$C$5:$C$639,K$3,Entreprises!$D$5:$D$639,K$2)+SUMIFS(Banques!$P$5:$P$315,Banques!$A$5:$A$315,$A36,Banques!$C$5:$C$315,K$3,Banques!$D$5:$D$315,K$2)</f>
        <v/>
      </c>
      <c r="L36" s="18">
        <f>SUMIFS(Entreprises!$N$5:$N$639,Entreprises!$A$5:$A$639,$A36,Entreprises!$C$5:$C$639,L$3,Entreprises!$D$5:$D$639,L$2)+SUMIFS(Banques!$P$5:$P$315,Banques!$A$5:$A$315,$A36,Banques!$C$5:$C$315,L$3,Banques!$D$5:$D$315,L$2)</f>
        <v/>
      </c>
      <c r="M36" s="18">
        <f>SUMIFS(Entreprises!$N$5:$N$639,Entreprises!$A$5:$A$639,$A36,Entreprises!$C$5:$C$639,M$3,Entreprises!$D$5:$D$639,M$2)+SUMIFS(Banques!$P$5:$P$315,Banques!$A$5:$A$315,$A36,Banques!$C$5:$C$315,M$3,Banques!$D$5:$D$315,M$2)</f>
        <v/>
      </c>
      <c r="N36" s="18">
        <f>SUMIFS(Entreprises!$N$5:$N$639,Entreprises!$A$5:$A$639,$A36,Entreprises!$C$5:$C$639,N$3,Entreprises!$D$5:$D$639,N$2)+SUMIFS(Banques!$P$5:$P$315,Banques!$A$5:$A$315,$A36,Banques!$C$5:$C$315,N$3,Banques!$D$5:$D$315,N$2)</f>
        <v/>
      </c>
      <c r="O36" s="18">
        <f>SUMIFS(Entreprises!$N$5:$N$639,Entreprises!$A$5:$A$639,$A36,Entreprises!$C$5:$C$639,O$3,Entreprises!$D$5:$D$639,O$2)+SUMIFS(Banques!$P$5:$P$315,Banques!$A$5:$A$315,$A36,Banques!$C$5:$C$315,O$3,Banques!$D$5:$D$315,O$2)</f>
        <v/>
      </c>
      <c r="P36" s="18">
        <f>SUMIFS(Entreprises!$N$5:$N$639,Entreprises!$A$5:$A$639,$A36,Entreprises!$C$5:$C$639,P$3,Entreprises!$D$5:$D$639,P$2)+SUMIFS(Banques!$P$5:$P$315,Banques!$A$5:$A$315,$A36,Banques!$C$5:$C$315,P$3,Banques!$D$5:$D$315,P$2)</f>
        <v/>
      </c>
      <c r="Q36" s="18">
        <f>SUMIFS(Entreprises!$N$5:$N$639,Entreprises!$A$5:$A$639,$A36,Entreprises!$C$5:$C$639,Q$3,Entreprises!$D$5:$D$639,Q$2)+SUMIFS(Banques!$P$5:$P$315,Banques!$A$5:$A$315,$A36,Banques!$C$5:$C$315,Q$3,Banques!$D$5:$D$315,Q$2)</f>
        <v/>
      </c>
      <c r="R36" s="18">
        <f>SUMIFS(Entreprises!$N$5:$N$639,Entreprises!$A$5:$A$639,$A36,Entreprises!$C$5:$C$639,R$3,Entreprises!$D$5:$D$639,R$2)+SUMIFS(Banques!$P$5:$P$315,Banques!$A$5:$A$315,$A36,Banques!$C$5:$C$315,R$3,Banques!$D$5:$D$315,R$2)</f>
        <v/>
      </c>
      <c r="S36" s="18">
        <f>SUMIFS(Entreprises!$N$5:$N$639,Entreprises!$A$5:$A$639,$A36,Entreprises!$C$5:$C$639,S$3,Entreprises!$D$5:$D$639,S$2)+SUMIFS(Banques!$P$5:$P$315,Banques!$A$5:$A$315,$A36,Banques!$C$5:$C$315,S$3,Banques!$D$5:$D$315,S$2)</f>
        <v/>
      </c>
      <c r="T36" s="18">
        <f>SUMIFS(Entreprises!$N$5:$N$639,Entreprises!$A$5:$A$639,$A36,Entreprises!$C$5:$C$639,T$3,Entreprises!$D$5:$D$639,T$2)+SUMIFS(Banques!$P$5:$P$315,Banques!$A$5:$A$315,$A36,Banques!$C$5:$C$315,T$3,Banques!$D$5:$D$315,T$2)</f>
        <v/>
      </c>
      <c r="U36" s="18">
        <f>SUMIFS(Entreprises!$N$5:$N$639,Entreprises!$A$5:$A$639,$A36,Entreprises!$C$5:$C$639,U$3,Entreprises!$D$5:$D$639,U$2)+SUMIFS(Banques!$P$5:$P$315,Banques!$A$5:$A$315,$A36,Banques!$C$5:$C$315,U$3,Banques!$D$5:$D$315,U$2)</f>
        <v/>
      </c>
    </row>
    <row r="37">
      <c r="A37" s="17" t="inlineStr">
        <is>
          <t>TTLS</t>
        </is>
      </c>
      <c r="B37" s="17">
        <f>IFERROR(VLOOKUP(A37,Titres!$A$2:$D$400,2,FALSE),"")</f>
        <v/>
      </c>
      <c r="C37" s="17">
        <f>IFERROR(VLOOKUP(A37,Titres!$A$2:$D$400,4,FALSE),"")</f>
        <v/>
      </c>
      <c r="D37" s="18">
        <f>SUMIFS(Entreprises!$N$5:$N$639,Entreprises!$A$5:$A$639,$A37,Entreprises!$C$5:$C$639,D$3,Entreprises!$D$5:$D$639,D$2)+SUMIFS(Banques!$P$5:$P$315,Banques!$A$5:$A$315,$A37,Banques!$C$5:$C$315,D$3,Banques!$D$5:$D$315,D$2)</f>
        <v/>
      </c>
      <c r="E37" s="18">
        <f>SUMIFS(Entreprises!$N$5:$N$639,Entreprises!$A$5:$A$639,$A37,Entreprises!$C$5:$C$639,E$3,Entreprises!$D$5:$D$639,E$2)+SUMIFS(Banques!$P$5:$P$315,Banques!$A$5:$A$315,$A37,Banques!$C$5:$C$315,E$3,Banques!$D$5:$D$315,E$2)</f>
        <v/>
      </c>
      <c r="F37" s="18">
        <f>SUMIFS(Entreprises!$N$5:$N$639,Entreprises!$A$5:$A$639,$A37,Entreprises!$C$5:$C$639,F$3,Entreprises!$D$5:$D$639,F$2)+SUMIFS(Banques!$P$5:$P$315,Banques!$A$5:$A$315,$A37,Banques!$C$5:$C$315,F$3,Banques!$D$5:$D$315,F$2)</f>
        <v/>
      </c>
      <c r="G37" s="18">
        <f>SUMIFS(Entreprises!$N$5:$N$639,Entreprises!$A$5:$A$639,$A37,Entreprises!$C$5:$C$639,G$3,Entreprises!$D$5:$D$639,G$2)+SUMIFS(Banques!$P$5:$P$315,Banques!$A$5:$A$315,$A37,Banques!$C$5:$C$315,G$3,Banques!$D$5:$D$315,G$2)</f>
        <v/>
      </c>
      <c r="H37" s="18">
        <f>SUMIFS(Entreprises!$N$5:$N$639,Entreprises!$A$5:$A$639,$A37,Entreprises!$C$5:$C$639,H$3,Entreprises!$D$5:$D$639,H$2)+SUMIFS(Banques!$P$5:$P$315,Banques!$A$5:$A$315,$A37,Banques!$C$5:$C$315,H$3,Banques!$D$5:$D$315,H$2)</f>
        <v/>
      </c>
      <c r="I37" s="18">
        <f>SUMIFS(Entreprises!$N$5:$N$639,Entreprises!$A$5:$A$639,$A37,Entreprises!$C$5:$C$639,I$3,Entreprises!$D$5:$D$639,I$2)+SUMIFS(Banques!$P$5:$P$315,Banques!$A$5:$A$315,$A37,Banques!$C$5:$C$315,I$3,Banques!$D$5:$D$315,I$2)</f>
        <v/>
      </c>
      <c r="J37" s="18">
        <f>SUMIFS(Entreprises!$N$5:$N$639,Entreprises!$A$5:$A$639,$A37,Entreprises!$C$5:$C$639,J$3,Entreprises!$D$5:$D$639,J$2)+SUMIFS(Banques!$P$5:$P$315,Banques!$A$5:$A$315,$A37,Banques!$C$5:$C$315,J$3,Banques!$D$5:$D$315,J$2)</f>
        <v/>
      </c>
      <c r="K37" s="18">
        <f>SUMIFS(Entreprises!$N$5:$N$639,Entreprises!$A$5:$A$639,$A37,Entreprises!$C$5:$C$639,K$3,Entreprises!$D$5:$D$639,K$2)+SUMIFS(Banques!$P$5:$P$315,Banques!$A$5:$A$315,$A37,Banques!$C$5:$C$315,K$3,Banques!$D$5:$D$315,K$2)</f>
        <v/>
      </c>
      <c r="L37" s="18">
        <f>SUMIFS(Entreprises!$N$5:$N$639,Entreprises!$A$5:$A$639,$A37,Entreprises!$C$5:$C$639,L$3,Entreprises!$D$5:$D$639,L$2)+SUMIFS(Banques!$P$5:$P$315,Banques!$A$5:$A$315,$A37,Banques!$C$5:$C$315,L$3,Banques!$D$5:$D$315,L$2)</f>
        <v/>
      </c>
      <c r="M37" s="18">
        <f>SUMIFS(Entreprises!$N$5:$N$639,Entreprises!$A$5:$A$639,$A37,Entreprises!$C$5:$C$639,M$3,Entreprises!$D$5:$D$639,M$2)+SUMIFS(Banques!$P$5:$P$315,Banques!$A$5:$A$315,$A37,Banques!$C$5:$C$315,M$3,Banques!$D$5:$D$315,M$2)</f>
        <v/>
      </c>
      <c r="N37" s="18">
        <f>SUMIFS(Entreprises!$N$5:$N$639,Entreprises!$A$5:$A$639,$A37,Entreprises!$C$5:$C$639,N$3,Entreprises!$D$5:$D$639,N$2)+SUMIFS(Banques!$P$5:$P$315,Banques!$A$5:$A$315,$A37,Banques!$C$5:$C$315,N$3,Banques!$D$5:$D$315,N$2)</f>
        <v/>
      </c>
      <c r="O37" s="18">
        <f>SUMIFS(Entreprises!$N$5:$N$639,Entreprises!$A$5:$A$639,$A37,Entreprises!$C$5:$C$639,O$3,Entreprises!$D$5:$D$639,O$2)+SUMIFS(Banques!$P$5:$P$315,Banques!$A$5:$A$315,$A37,Banques!$C$5:$C$315,O$3,Banques!$D$5:$D$315,O$2)</f>
        <v/>
      </c>
      <c r="P37" s="18">
        <f>SUMIFS(Entreprises!$N$5:$N$639,Entreprises!$A$5:$A$639,$A37,Entreprises!$C$5:$C$639,P$3,Entreprises!$D$5:$D$639,P$2)+SUMIFS(Banques!$P$5:$P$315,Banques!$A$5:$A$315,$A37,Banques!$C$5:$C$315,P$3,Banques!$D$5:$D$315,P$2)</f>
        <v/>
      </c>
      <c r="Q37" s="18">
        <f>SUMIFS(Entreprises!$N$5:$N$639,Entreprises!$A$5:$A$639,$A37,Entreprises!$C$5:$C$639,Q$3,Entreprises!$D$5:$D$639,Q$2)+SUMIFS(Banques!$P$5:$P$315,Banques!$A$5:$A$315,$A37,Banques!$C$5:$C$315,Q$3,Banques!$D$5:$D$315,Q$2)</f>
        <v/>
      </c>
      <c r="R37" s="18">
        <f>SUMIFS(Entreprises!$N$5:$N$639,Entreprises!$A$5:$A$639,$A37,Entreprises!$C$5:$C$639,R$3,Entreprises!$D$5:$D$639,R$2)+SUMIFS(Banques!$P$5:$P$315,Banques!$A$5:$A$315,$A37,Banques!$C$5:$C$315,R$3,Banques!$D$5:$D$315,R$2)</f>
        <v/>
      </c>
      <c r="S37" s="18">
        <f>SUMIFS(Entreprises!$N$5:$N$639,Entreprises!$A$5:$A$639,$A37,Entreprises!$C$5:$C$639,S$3,Entreprises!$D$5:$D$639,S$2)+SUMIFS(Banques!$P$5:$P$315,Banques!$A$5:$A$315,$A37,Banques!$C$5:$C$315,S$3,Banques!$D$5:$D$315,S$2)</f>
        <v/>
      </c>
      <c r="T37" s="18">
        <f>SUMIFS(Entreprises!$N$5:$N$639,Entreprises!$A$5:$A$639,$A37,Entreprises!$C$5:$C$639,T$3,Entreprises!$D$5:$D$639,T$2)+SUMIFS(Banques!$P$5:$P$315,Banques!$A$5:$A$315,$A37,Banques!$C$5:$C$315,T$3,Banques!$D$5:$D$315,T$2)</f>
        <v/>
      </c>
      <c r="U37" s="18">
        <f>SUMIFS(Entreprises!$N$5:$N$639,Entreprises!$A$5:$A$639,$A37,Entreprises!$C$5:$C$639,U$3,Entreprises!$D$5:$D$639,U$2)+SUMIFS(Banques!$P$5:$P$315,Banques!$A$5:$A$315,$A37,Banques!$C$5:$C$315,U$3,Banques!$D$5:$D$315,U$2)</f>
        <v/>
      </c>
    </row>
    <row r="38">
      <c r="A38" s="17" t="inlineStr">
        <is>
          <t>BBGC</t>
        </is>
      </c>
      <c r="B38" s="17">
        <f>IFERROR(VLOOKUP(A38,Titres!$A$2:$D$400,2,FALSE),"")</f>
        <v/>
      </c>
      <c r="C38" s="17">
        <f>IFERROR(VLOOKUP(A38,Titres!$A$2:$D$400,4,FALSE),"")</f>
        <v/>
      </c>
      <c r="D38" s="18">
        <f>SUMIFS(Entreprises!$N$5:$N$639,Entreprises!$A$5:$A$639,$A38,Entreprises!$C$5:$C$639,D$3,Entreprises!$D$5:$D$639,D$2)+SUMIFS(Banques!$P$5:$P$315,Banques!$A$5:$A$315,$A38,Banques!$C$5:$C$315,D$3,Banques!$D$5:$D$315,D$2)</f>
        <v/>
      </c>
      <c r="E38" s="18">
        <f>SUMIFS(Entreprises!$N$5:$N$639,Entreprises!$A$5:$A$639,$A38,Entreprises!$C$5:$C$639,E$3,Entreprises!$D$5:$D$639,E$2)+SUMIFS(Banques!$P$5:$P$315,Banques!$A$5:$A$315,$A38,Banques!$C$5:$C$315,E$3,Banques!$D$5:$D$315,E$2)</f>
        <v/>
      </c>
      <c r="F38" s="18">
        <f>SUMIFS(Entreprises!$N$5:$N$639,Entreprises!$A$5:$A$639,$A38,Entreprises!$C$5:$C$639,F$3,Entreprises!$D$5:$D$639,F$2)+SUMIFS(Banques!$P$5:$P$315,Banques!$A$5:$A$315,$A38,Banques!$C$5:$C$315,F$3,Banques!$D$5:$D$315,F$2)</f>
        <v/>
      </c>
      <c r="G38" s="18">
        <f>SUMIFS(Entreprises!$N$5:$N$639,Entreprises!$A$5:$A$639,$A38,Entreprises!$C$5:$C$639,G$3,Entreprises!$D$5:$D$639,G$2)+SUMIFS(Banques!$P$5:$P$315,Banques!$A$5:$A$315,$A38,Banques!$C$5:$C$315,G$3,Banques!$D$5:$D$315,G$2)</f>
        <v/>
      </c>
      <c r="H38" s="18">
        <f>SUMIFS(Entreprises!$N$5:$N$639,Entreprises!$A$5:$A$639,$A38,Entreprises!$C$5:$C$639,H$3,Entreprises!$D$5:$D$639,H$2)+SUMIFS(Banques!$P$5:$P$315,Banques!$A$5:$A$315,$A38,Banques!$C$5:$C$315,H$3,Banques!$D$5:$D$315,H$2)</f>
        <v/>
      </c>
      <c r="I38" s="18">
        <f>SUMIFS(Entreprises!$N$5:$N$639,Entreprises!$A$5:$A$639,$A38,Entreprises!$C$5:$C$639,I$3,Entreprises!$D$5:$D$639,I$2)+SUMIFS(Banques!$P$5:$P$315,Banques!$A$5:$A$315,$A38,Banques!$C$5:$C$315,I$3,Banques!$D$5:$D$315,I$2)</f>
        <v/>
      </c>
      <c r="J38" s="18">
        <f>SUMIFS(Entreprises!$N$5:$N$639,Entreprises!$A$5:$A$639,$A38,Entreprises!$C$5:$C$639,J$3,Entreprises!$D$5:$D$639,J$2)+SUMIFS(Banques!$P$5:$P$315,Banques!$A$5:$A$315,$A38,Banques!$C$5:$C$315,J$3,Banques!$D$5:$D$315,J$2)</f>
        <v/>
      </c>
      <c r="K38" s="18">
        <f>SUMIFS(Entreprises!$N$5:$N$639,Entreprises!$A$5:$A$639,$A38,Entreprises!$C$5:$C$639,K$3,Entreprises!$D$5:$D$639,K$2)+SUMIFS(Banques!$P$5:$P$315,Banques!$A$5:$A$315,$A38,Banques!$C$5:$C$315,K$3,Banques!$D$5:$D$315,K$2)</f>
        <v/>
      </c>
      <c r="L38" s="18">
        <f>SUMIFS(Entreprises!$N$5:$N$639,Entreprises!$A$5:$A$639,$A38,Entreprises!$C$5:$C$639,L$3,Entreprises!$D$5:$D$639,L$2)+SUMIFS(Banques!$P$5:$P$315,Banques!$A$5:$A$315,$A38,Banques!$C$5:$C$315,L$3,Banques!$D$5:$D$315,L$2)</f>
        <v/>
      </c>
      <c r="M38" s="18">
        <f>SUMIFS(Entreprises!$N$5:$N$639,Entreprises!$A$5:$A$639,$A38,Entreprises!$C$5:$C$639,M$3,Entreprises!$D$5:$D$639,M$2)+SUMIFS(Banques!$P$5:$P$315,Banques!$A$5:$A$315,$A38,Banques!$C$5:$C$315,M$3,Banques!$D$5:$D$315,M$2)</f>
        <v/>
      </c>
      <c r="N38" s="18">
        <f>SUMIFS(Entreprises!$N$5:$N$639,Entreprises!$A$5:$A$639,$A38,Entreprises!$C$5:$C$639,N$3,Entreprises!$D$5:$D$639,N$2)+SUMIFS(Banques!$P$5:$P$315,Banques!$A$5:$A$315,$A38,Banques!$C$5:$C$315,N$3,Banques!$D$5:$D$315,N$2)</f>
        <v/>
      </c>
      <c r="O38" s="18">
        <f>SUMIFS(Entreprises!$N$5:$N$639,Entreprises!$A$5:$A$639,$A38,Entreprises!$C$5:$C$639,O$3,Entreprises!$D$5:$D$639,O$2)+SUMIFS(Banques!$P$5:$P$315,Banques!$A$5:$A$315,$A38,Banques!$C$5:$C$315,O$3,Banques!$D$5:$D$315,O$2)</f>
        <v/>
      </c>
      <c r="P38" s="18">
        <f>SUMIFS(Entreprises!$N$5:$N$639,Entreprises!$A$5:$A$639,$A38,Entreprises!$C$5:$C$639,P$3,Entreprises!$D$5:$D$639,P$2)+SUMIFS(Banques!$P$5:$P$315,Banques!$A$5:$A$315,$A38,Banques!$C$5:$C$315,P$3,Banques!$D$5:$D$315,P$2)</f>
        <v/>
      </c>
      <c r="Q38" s="18">
        <f>SUMIFS(Entreprises!$N$5:$N$639,Entreprises!$A$5:$A$639,$A38,Entreprises!$C$5:$C$639,Q$3,Entreprises!$D$5:$D$639,Q$2)+SUMIFS(Banques!$P$5:$P$315,Banques!$A$5:$A$315,$A38,Banques!$C$5:$C$315,Q$3,Banques!$D$5:$D$315,Q$2)</f>
        <v/>
      </c>
      <c r="R38" s="18">
        <f>SUMIFS(Entreprises!$N$5:$N$639,Entreprises!$A$5:$A$639,$A38,Entreprises!$C$5:$C$639,R$3,Entreprises!$D$5:$D$639,R$2)+SUMIFS(Banques!$P$5:$P$315,Banques!$A$5:$A$315,$A38,Banques!$C$5:$C$315,R$3,Banques!$D$5:$D$315,R$2)</f>
        <v/>
      </c>
      <c r="S38" s="18">
        <f>SUMIFS(Entreprises!$N$5:$N$639,Entreprises!$A$5:$A$639,$A38,Entreprises!$C$5:$C$639,S$3,Entreprises!$D$5:$D$639,S$2)+SUMIFS(Banques!$P$5:$P$315,Banques!$A$5:$A$315,$A38,Banques!$C$5:$C$315,S$3,Banques!$D$5:$D$315,S$2)</f>
        <v/>
      </c>
      <c r="T38" s="18">
        <f>SUMIFS(Entreprises!$N$5:$N$639,Entreprises!$A$5:$A$639,$A38,Entreprises!$C$5:$C$639,T$3,Entreprises!$D$5:$D$639,T$2)+SUMIFS(Banques!$P$5:$P$315,Banques!$A$5:$A$315,$A38,Banques!$C$5:$C$315,T$3,Banques!$D$5:$D$315,T$2)</f>
        <v/>
      </c>
      <c r="U38" s="18">
        <f>SUMIFS(Entreprises!$N$5:$N$639,Entreprises!$A$5:$A$639,$A38,Entreprises!$C$5:$C$639,U$3,Entreprises!$D$5:$D$639,U$2)+SUMIFS(Banques!$P$5:$P$315,Banques!$A$5:$A$315,$A38,Banques!$C$5:$C$315,U$3,Banques!$D$5:$D$315,U$2)</f>
        <v/>
      </c>
    </row>
    <row r="39">
      <c r="A39" s="17" t="inlineStr">
        <is>
          <t>BICB</t>
        </is>
      </c>
      <c r="B39" s="17">
        <f>IFERROR(VLOOKUP(A39,Titres!$A$2:$D$400,2,FALSE),"")</f>
        <v/>
      </c>
      <c r="C39" s="17">
        <f>IFERROR(VLOOKUP(A39,Titres!$A$2:$D$400,4,FALSE),"")</f>
        <v/>
      </c>
      <c r="D39" s="18">
        <f>SUMIFS(Entreprises!$N$5:$N$639,Entreprises!$A$5:$A$639,$A39,Entreprises!$C$5:$C$639,D$3,Entreprises!$D$5:$D$639,D$2)+SUMIFS(Banques!$P$5:$P$315,Banques!$A$5:$A$315,$A39,Banques!$C$5:$C$315,D$3,Banques!$D$5:$D$315,D$2)</f>
        <v/>
      </c>
      <c r="E39" s="18">
        <f>SUMIFS(Entreprises!$N$5:$N$639,Entreprises!$A$5:$A$639,$A39,Entreprises!$C$5:$C$639,E$3,Entreprises!$D$5:$D$639,E$2)+SUMIFS(Banques!$P$5:$P$315,Banques!$A$5:$A$315,$A39,Banques!$C$5:$C$315,E$3,Banques!$D$5:$D$315,E$2)</f>
        <v/>
      </c>
      <c r="F39" s="18">
        <f>SUMIFS(Entreprises!$N$5:$N$639,Entreprises!$A$5:$A$639,$A39,Entreprises!$C$5:$C$639,F$3,Entreprises!$D$5:$D$639,F$2)+SUMIFS(Banques!$P$5:$P$315,Banques!$A$5:$A$315,$A39,Banques!$C$5:$C$315,F$3,Banques!$D$5:$D$315,F$2)</f>
        <v/>
      </c>
      <c r="G39" s="18">
        <f>SUMIFS(Entreprises!$N$5:$N$639,Entreprises!$A$5:$A$639,$A39,Entreprises!$C$5:$C$639,G$3,Entreprises!$D$5:$D$639,G$2)+SUMIFS(Banques!$P$5:$P$315,Banques!$A$5:$A$315,$A39,Banques!$C$5:$C$315,G$3,Banques!$D$5:$D$315,G$2)</f>
        <v/>
      </c>
      <c r="H39" s="18">
        <f>SUMIFS(Entreprises!$N$5:$N$639,Entreprises!$A$5:$A$639,$A39,Entreprises!$C$5:$C$639,H$3,Entreprises!$D$5:$D$639,H$2)+SUMIFS(Banques!$P$5:$P$315,Banques!$A$5:$A$315,$A39,Banques!$C$5:$C$315,H$3,Banques!$D$5:$D$315,H$2)</f>
        <v/>
      </c>
      <c r="I39" s="18">
        <f>SUMIFS(Entreprises!$N$5:$N$639,Entreprises!$A$5:$A$639,$A39,Entreprises!$C$5:$C$639,I$3,Entreprises!$D$5:$D$639,I$2)+SUMIFS(Banques!$P$5:$P$315,Banques!$A$5:$A$315,$A39,Banques!$C$5:$C$315,I$3,Banques!$D$5:$D$315,I$2)</f>
        <v/>
      </c>
      <c r="J39" s="18">
        <f>SUMIFS(Entreprises!$N$5:$N$639,Entreprises!$A$5:$A$639,$A39,Entreprises!$C$5:$C$639,J$3,Entreprises!$D$5:$D$639,J$2)+SUMIFS(Banques!$P$5:$P$315,Banques!$A$5:$A$315,$A39,Banques!$C$5:$C$315,J$3,Banques!$D$5:$D$315,J$2)</f>
        <v/>
      </c>
      <c r="K39" s="18">
        <f>SUMIFS(Entreprises!$N$5:$N$639,Entreprises!$A$5:$A$639,$A39,Entreprises!$C$5:$C$639,K$3,Entreprises!$D$5:$D$639,K$2)+SUMIFS(Banques!$P$5:$P$315,Banques!$A$5:$A$315,$A39,Banques!$C$5:$C$315,K$3,Banques!$D$5:$D$315,K$2)</f>
        <v/>
      </c>
      <c r="L39" s="18">
        <f>SUMIFS(Entreprises!$N$5:$N$639,Entreprises!$A$5:$A$639,$A39,Entreprises!$C$5:$C$639,L$3,Entreprises!$D$5:$D$639,L$2)+SUMIFS(Banques!$P$5:$P$315,Banques!$A$5:$A$315,$A39,Banques!$C$5:$C$315,L$3,Banques!$D$5:$D$315,L$2)</f>
        <v/>
      </c>
      <c r="M39" s="18">
        <f>SUMIFS(Entreprises!$N$5:$N$639,Entreprises!$A$5:$A$639,$A39,Entreprises!$C$5:$C$639,M$3,Entreprises!$D$5:$D$639,M$2)+SUMIFS(Banques!$P$5:$P$315,Banques!$A$5:$A$315,$A39,Banques!$C$5:$C$315,M$3,Banques!$D$5:$D$315,M$2)</f>
        <v/>
      </c>
      <c r="N39" s="18">
        <f>SUMIFS(Entreprises!$N$5:$N$639,Entreprises!$A$5:$A$639,$A39,Entreprises!$C$5:$C$639,N$3,Entreprises!$D$5:$D$639,N$2)+SUMIFS(Banques!$P$5:$P$315,Banques!$A$5:$A$315,$A39,Banques!$C$5:$C$315,N$3,Banques!$D$5:$D$315,N$2)</f>
        <v/>
      </c>
      <c r="O39" s="18">
        <f>SUMIFS(Entreprises!$N$5:$N$639,Entreprises!$A$5:$A$639,$A39,Entreprises!$C$5:$C$639,O$3,Entreprises!$D$5:$D$639,O$2)+SUMIFS(Banques!$P$5:$P$315,Banques!$A$5:$A$315,$A39,Banques!$C$5:$C$315,O$3,Banques!$D$5:$D$315,O$2)</f>
        <v/>
      </c>
      <c r="P39" s="18">
        <f>SUMIFS(Entreprises!$N$5:$N$639,Entreprises!$A$5:$A$639,$A39,Entreprises!$C$5:$C$639,P$3,Entreprises!$D$5:$D$639,P$2)+SUMIFS(Banques!$P$5:$P$315,Banques!$A$5:$A$315,$A39,Banques!$C$5:$C$315,P$3,Banques!$D$5:$D$315,P$2)</f>
        <v/>
      </c>
      <c r="Q39" s="18">
        <f>SUMIFS(Entreprises!$N$5:$N$639,Entreprises!$A$5:$A$639,$A39,Entreprises!$C$5:$C$639,Q$3,Entreprises!$D$5:$D$639,Q$2)+SUMIFS(Banques!$P$5:$P$315,Banques!$A$5:$A$315,$A39,Banques!$C$5:$C$315,Q$3,Banques!$D$5:$D$315,Q$2)</f>
        <v/>
      </c>
      <c r="R39" s="18">
        <f>SUMIFS(Entreprises!$N$5:$N$639,Entreprises!$A$5:$A$639,$A39,Entreprises!$C$5:$C$639,R$3,Entreprises!$D$5:$D$639,R$2)+SUMIFS(Banques!$P$5:$P$315,Banques!$A$5:$A$315,$A39,Banques!$C$5:$C$315,R$3,Banques!$D$5:$D$315,R$2)</f>
        <v/>
      </c>
      <c r="S39" s="18">
        <f>SUMIFS(Entreprises!$N$5:$N$639,Entreprises!$A$5:$A$639,$A39,Entreprises!$C$5:$C$639,S$3,Entreprises!$D$5:$D$639,S$2)+SUMIFS(Banques!$P$5:$P$315,Banques!$A$5:$A$315,$A39,Banques!$C$5:$C$315,S$3,Banques!$D$5:$D$315,S$2)</f>
        <v/>
      </c>
      <c r="T39" s="18">
        <f>SUMIFS(Entreprises!$N$5:$N$639,Entreprises!$A$5:$A$639,$A39,Entreprises!$C$5:$C$639,T$3,Entreprises!$D$5:$D$639,T$2)+SUMIFS(Banques!$P$5:$P$315,Banques!$A$5:$A$315,$A39,Banques!$C$5:$C$315,T$3,Banques!$D$5:$D$315,T$2)</f>
        <v/>
      </c>
      <c r="U39" s="18">
        <f>SUMIFS(Entreprises!$N$5:$N$639,Entreprises!$A$5:$A$639,$A39,Entreprises!$C$5:$C$639,U$3,Entreprises!$D$5:$D$639,U$2)+SUMIFS(Banques!$P$5:$P$315,Banques!$A$5:$A$315,$A39,Banques!$C$5:$C$315,U$3,Banques!$D$5:$D$315,U$2)</f>
        <v/>
      </c>
    </row>
    <row r="40">
      <c r="A40" s="17" t="inlineStr">
        <is>
          <t>BICC</t>
        </is>
      </c>
      <c r="B40" s="17">
        <f>IFERROR(VLOOKUP(A40,Titres!$A$2:$D$400,2,FALSE),"")</f>
        <v/>
      </c>
      <c r="C40" s="17">
        <f>IFERROR(VLOOKUP(A40,Titres!$A$2:$D$400,4,FALSE),"")</f>
        <v/>
      </c>
      <c r="D40" s="18">
        <f>SUMIFS(Entreprises!$N$5:$N$639,Entreprises!$A$5:$A$639,$A40,Entreprises!$C$5:$C$639,D$3,Entreprises!$D$5:$D$639,D$2)+SUMIFS(Banques!$P$5:$P$315,Banques!$A$5:$A$315,$A40,Banques!$C$5:$C$315,D$3,Banques!$D$5:$D$315,D$2)</f>
        <v/>
      </c>
      <c r="E40" s="18">
        <f>SUMIFS(Entreprises!$N$5:$N$639,Entreprises!$A$5:$A$639,$A40,Entreprises!$C$5:$C$639,E$3,Entreprises!$D$5:$D$639,E$2)+SUMIFS(Banques!$P$5:$P$315,Banques!$A$5:$A$315,$A40,Banques!$C$5:$C$315,E$3,Banques!$D$5:$D$315,E$2)</f>
        <v/>
      </c>
      <c r="F40" s="18">
        <f>SUMIFS(Entreprises!$N$5:$N$639,Entreprises!$A$5:$A$639,$A40,Entreprises!$C$5:$C$639,F$3,Entreprises!$D$5:$D$639,F$2)+SUMIFS(Banques!$P$5:$P$315,Banques!$A$5:$A$315,$A40,Banques!$C$5:$C$315,F$3,Banques!$D$5:$D$315,F$2)</f>
        <v/>
      </c>
      <c r="G40" s="18">
        <f>SUMIFS(Entreprises!$N$5:$N$639,Entreprises!$A$5:$A$639,$A40,Entreprises!$C$5:$C$639,G$3,Entreprises!$D$5:$D$639,G$2)+SUMIFS(Banques!$P$5:$P$315,Banques!$A$5:$A$315,$A40,Banques!$C$5:$C$315,G$3,Banques!$D$5:$D$315,G$2)</f>
        <v/>
      </c>
      <c r="H40" s="18">
        <f>SUMIFS(Entreprises!$N$5:$N$639,Entreprises!$A$5:$A$639,$A40,Entreprises!$C$5:$C$639,H$3,Entreprises!$D$5:$D$639,H$2)+SUMIFS(Banques!$P$5:$P$315,Banques!$A$5:$A$315,$A40,Banques!$C$5:$C$315,H$3,Banques!$D$5:$D$315,H$2)</f>
        <v/>
      </c>
      <c r="I40" s="18">
        <f>SUMIFS(Entreprises!$N$5:$N$639,Entreprises!$A$5:$A$639,$A40,Entreprises!$C$5:$C$639,I$3,Entreprises!$D$5:$D$639,I$2)+SUMIFS(Banques!$P$5:$P$315,Banques!$A$5:$A$315,$A40,Banques!$C$5:$C$315,I$3,Banques!$D$5:$D$315,I$2)</f>
        <v/>
      </c>
      <c r="J40" s="18">
        <f>SUMIFS(Entreprises!$N$5:$N$639,Entreprises!$A$5:$A$639,$A40,Entreprises!$C$5:$C$639,J$3,Entreprises!$D$5:$D$639,J$2)+SUMIFS(Banques!$P$5:$P$315,Banques!$A$5:$A$315,$A40,Banques!$C$5:$C$315,J$3,Banques!$D$5:$D$315,J$2)</f>
        <v/>
      </c>
      <c r="K40" s="18">
        <f>SUMIFS(Entreprises!$N$5:$N$639,Entreprises!$A$5:$A$639,$A40,Entreprises!$C$5:$C$639,K$3,Entreprises!$D$5:$D$639,K$2)+SUMIFS(Banques!$P$5:$P$315,Banques!$A$5:$A$315,$A40,Banques!$C$5:$C$315,K$3,Banques!$D$5:$D$315,K$2)</f>
        <v/>
      </c>
      <c r="L40" s="18">
        <f>SUMIFS(Entreprises!$N$5:$N$639,Entreprises!$A$5:$A$639,$A40,Entreprises!$C$5:$C$639,L$3,Entreprises!$D$5:$D$639,L$2)+SUMIFS(Banques!$P$5:$P$315,Banques!$A$5:$A$315,$A40,Banques!$C$5:$C$315,L$3,Banques!$D$5:$D$315,L$2)</f>
        <v/>
      </c>
      <c r="M40" s="18">
        <f>SUMIFS(Entreprises!$N$5:$N$639,Entreprises!$A$5:$A$639,$A40,Entreprises!$C$5:$C$639,M$3,Entreprises!$D$5:$D$639,M$2)+SUMIFS(Banques!$P$5:$P$315,Banques!$A$5:$A$315,$A40,Banques!$C$5:$C$315,M$3,Banques!$D$5:$D$315,M$2)</f>
        <v/>
      </c>
      <c r="N40" s="18">
        <f>SUMIFS(Entreprises!$N$5:$N$639,Entreprises!$A$5:$A$639,$A40,Entreprises!$C$5:$C$639,N$3,Entreprises!$D$5:$D$639,N$2)+SUMIFS(Banques!$P$5:$P$315,Banques!$A$5:$A$315,$A40,Banques!$C$5:$C$315,N$3,Banques!$D$5:$D$315,N$2)</f>
        <v/>
      </c>
      <c r="O40" s="18">
        <f>SUMIFS(Entreprises!$N$5:$N$639,Entreprises!$A$5:$A$639,$A40,Entreprises!$C$5:$C$639,O$3,Entreprises!$D$5:$D$639,O$2)+SUMIFS(Banques!$P$5:$P$315,Banques!$A$5:$A$315,$A40,Banques!$C$5:$C$315,O$3,Banques!$D$5:$D$315,O$2)</f>
        <v/>
      </c>
      <c r="P40" s="18">
        <f>SUMIFS(Entreprises!$N$5:$N$639,Entreprises!$A$5:$A$639,$A40,Entreprises!$C$5:$C$639,P$3,Entreprises!$D$5:$D$639,P$2)+SUMIFS(Banques!$P$5:$P$315,Banques!$A$5:$A$315,$A40,Banques!$C$5:$C$315,P$3,Banques!$D$5:$D$315,P$2)</f>
        <v/>
      </c>
      <c r="Q40" s="18">
        <f>SUMIFS(Entreprises!$N$5:$N$639,Entreprises!$A$5:$A$639,$A40,Entreprises!$C$5:$C$639,Q$3,Entreprises!$D$5:$D$639,Q$2)+SUMIFS(Banques!$P$5:$P$315,Banques!$A$5:$A$315,$A40,Banques!$C$5:$C$315,Q$3,Banques!$D$5:$D$315,Q$2)</f>
        <v/>
      </c>
      <c r="R40" s="18">
        <f>SUMIFS(Entreprises!$N$5:$N$639,Entreprises!$A$5:$A$639,$A40,Entreprises!$C$5:$C$639,R$3,Entreprises!$D$5:$D$639,R$2)+SUMIFS(Banques!$P$5:$P$315,Banques!$A$5:$A$315,$A40,Banques!$C$5:$C$315,R$3,Banques!$D$5:$D$315,R$2)</f>
        <v/>
      </c>
      <c r="S40" s="18">
        <f>SUMIFS(Entreprises!$N$5:$N$639,Entreprises!$A$5:$A$639,$A40,Entreprises!$C$5:$C$639,S$3,Entreprises!$D$5:$D$639,S$2)+SUMIFS(Banques!$P$5:$P$315,Banques!$A$5:$A$315,$A40,Banques!$C$5:$C$315,S$3,Banques!$D$5:$D$315,S$2)</f>
        <v/>
      </c>
      <c r="T40" s="18">
        <f>SUMIFS(Entreprises!$N$5:$N$639,Entreprises!$A$5:$A$639,$A40,Entreprises!$C$5:$C$639,T$3,Entreprises!$D$5:$D$639,T$2)+SUMIFS(Banques!$P$5:$P$315,Banques!$A$5:$A$315,$A40,Banques!$C$5:$C$315,T$3,Banques!$D$5:$D$315,T$2)</f>
        <v/>
      </c>
      <c r="U40" s="18">
        <f>SUMIFS(Entreprises!$N$5:$N$639,Entreprises!$A$5:$A$639,$A40,Entreprises!$C$5:$C$639,U$3,Entreprises!$D$5:$D$639,U$2)+SUMIFS(Banques!$P$5:$P$315,Banques!$A$5:$A$315,$A40,Banques!$C$5:$C$315,U$3,Banques!$D$5:$D$315,U$2)</f>
        <v/>
      </c>
    </row>
    <row r="41">
      <c r="A41" s="17" t="inlineStr">
        <is>
          <t>BOAB</t>
        </is>
      </c>
      <c r="B41" s="17">
        <f>IFERROR(VLOOKUP(A41,Titres!$A$2:$D$400,2,FALSE),"")</f>
        <v/>
      </c>
      <c r="C41" s="17">
        <f>IFERROR(VLOOKUP(A41,Titres!$A$2:$D$400,4,FALSE),"")</f>
        <v/>
      </c>
      <c r="D41" s="18">
        <f>SUMIFS(Entreprises!$N$5:$N$639,Entreprises!$A$5:$A$639,$A41,Entreprises!$C$5:$C$639,D$3,Entreprises!$D$5:$D$639,D$2)+SUMIFS(Banques!$P$5:$P$315,Banques!$A$5:$A$315,$A41,Banques!$C$5:$C$315,D$3,Banques!$D$5:$D$315,D$2)</f>
        <v/>
      </c>
      <c r="E41" s="18">
        <f>SUMIFS(Entreprises!$N$5:$N$639,Entreprises!$A$5:$A$639,$A41,Entreprises!$C$5:$C$639,E$3,Entreprises!$D$5:$D$639,E$2)+SUMIFS(Banques!$P$5:$P$315,Banques!$A$5:$A$315,$A41,Banques!$C$5:$C$315,E$3,Banques!$D$5:$D$315,E$2)</f>
        <v/>
      </c>
      <c r="F41" s="18">
        <f>SUMIFS(Entreprises!$N$5:$N$639,Entreprises!$A$5:$A$639,$A41,Entreprises!$C$5:$C$639,F$3,Entreprises!$D$5:$D$639,F$2)+SUMIFS(Banques!$P$5:$P$315,Banques!$A$5:$A$315,$A41,Banques!$C$5:$C$315,F$3,Banques!$D$5:$D$315,F$2)</f>
        <v/>
      </c>
      <c r="G41" s="18">
        <f>SUMIFS(Entreprises!$N$5:$N$639,Entreprises!$A$5:$A$639,$A41,Entreprises!$C$5:$C$639,G$3,Entreprises!$D$5:$D$639,G$2)+SUMIFS(Banques!$P$5:$P$315,Banques!$A$5:$A$315,$A41,Banques!$C$5:$C$315,G$3,Banques!$D$5:$D$315,G$2)</f>
        <v/>
      </c>
      <c r="H41" s="18">
        <f>SUMIFS(Entreprises!$N$5:$N$639,Entreprises!$A$5:$A$639,$A41,Entreprises!$C$5:$C$639,H$3,Entreprises!$D$5:$D$639,H$2)+SUMIFS(Banques!$P$5:$P$315,Banques!$A$5:$A$315,$A41,Banques!$C$5:$C$315,H$3,Banques!$D$5:$D$315,H$2)</f>
        <v/>
      </c>
      <c r="I41" s="18">
        <f>SUMIFS(Entreprises!$N$5:$N$639,Entreprises!$A$5:$A$639,$A41,Entreprises!$C$5:$C$639,I$3,Entreprises!$D$5:$D$639,I$2)+SUMIFS(Banques!$P$5:$P$315,Banques!$A$5:$A$315,$A41,Banques!$C$5:$C$315,I$3,Banques!$D$5:$D$315,I$2)</f>
        <v/>
      </c>
      <c r="J41" s="18">
        <f>SUMIFS(Entreprises!$N$5:$N$639,Entreprises!$A$5:$A$639,$A41,Entreprises!$C$5:$C$639,J$3,Entreprises!$D$5:$D$639,J$2)+SUMIFS(Banques!$P$5:$P$315,Banques!$A$5:$A$315,$A41,Banques!$C$5:$C$315,J$3,Banques!$D$5:$D$315,J$2)</f>
        <v/>
      </c>
      <c r="K41" s="18">
        <f>SUMIFS(Entreprises!$N$5:$N$639,Entreprises!$A$5:$A$639,$A41,Entreprises!$C$5:$C$639,K$3,Entreprises!$D$5:$D$639,K$2)+SUMIFS(Banques!$P$5:$P$315,Banques!$A$5:$A$315,$A41,Banques!$C$5:$C$315,K$3,Banques!$D$5:$D$315,K$2)</f>
        <v/>
      </c>
      <c r="L41" s="18">
        <f>SUMIFS(Entreprises!$N$5:$N$639,Entreprises!$A$5:$A$639,$A41,Entreprises!$C$5:$C$639,L$3,Entreprises!$D$5:$D$639,L$2)+SUMIFS(Banques!$P$5:$P$315,Banques!$A$5:$A$315,$A41,Banques!$C$5:$C$315,L$3,Banques!$D$5:$D$315,L$2)</f>
        <v/>
      </c>
      <c r="M41" s="18">
        <f>SUMIFS(Entreprises!$N$5:$N$639,Entreprises!$A$5:$A$639,$A41,Entreprises!$C$5:$C$639,M$3,Entreprises!$D$5:$D$639,M$2)+SUMIFS(Banques!$P$5:$P$315,Banques!$A$5:$A$315,$A41,Banques!$C$5:$C$315,M$3,Banques!$D$5:$D$315,M$2)</f>
        <v/>
      </c>
      <c r="N41" s="18">
        <f>SUMIFS(Entreprises!$N$5:$N$639,Entreprises!$A$5:$A$639,$A41,Entreprises!$C$5:$C$639,N$3,Entreprises!$D$5:$D$639,N$2)+SUMIFS(Banques!$P$5:$P$315,Banques!$A$5:$A$315,$A41,Banques!$C$5:$C$315,N$3,Banques!$D$5:$D$315,N$2)</f>
        <v/>
      </c>
      <c r="O41" s="18">
        <f>SUMIFS(Entreprises!$N$5:$N$639,Entreprises!$A$5:$A$639,$A41,Entreprises!$C$5:$C$639,O$3,Entreprises!$D$5:$D$639,O$2)+SUMIFS(Banques!$P$5:$P$315,Banques!$A$5:$A$315,$A41,Banques!$C$5:$C$315,O$3,Banques!$D$5:$D$315,O$2)</f>
        <v/>
      </c>
      <c r="P41" s="18">
        <f>SUMIFS(Entreprises!$N$5:$N$639,Entreprises!$A$5:$A$639,$A41,Entreprises!$C$5:$C$639,P$3,Entreprises!$D$5:$D$639,P$2)+SUMIFS(Banques!$P$5:$P$315,Banques!$A$5:$A$315,$A41,Banques!$C$5:$C$315,P$3,Banques!$D$5:$D$315,P$2)</f>
        <v/>
      </c>
      <c r="Q41" s="18">
        <f>SUMIFS(Entreprises!$N$5:$N$639,Entreprises!$A$5:$A$639,$A41,Entreprises!$C$5:$C$639,Q$3,Entreprises!$D$5:$D$639,Q$2)+SUMIFS(Banques!$P$5:$P$315,Banques!$A$5:$A$315,$A41,Banques!$C$5:$C$315,Q$3,Banques!$D$5:$D$315,Q$2)</f>
        <v/>
      </c>
      <c r="R41" s="18">
        <f>SUMIFS(Entreprises!$N$5:$N$639,Entreprises!$A$5:$A$639,$A41,Entreprises!$C$5:$C$639,R$3,Entreprises!$D$5:$D$639,R$2)+SUMIFS(Banques!$P$5:$P$315,Banques!$A$5:$A$315,$A41,Banques!$C$5:$C$315,R$3,Banques!$D$5:$D$315,R$2)</f>
        <v/>
      </c>
      <c r="S41" s="18">
        <f>SUMIFS(Entreprises!$N$5:$N$639,Entreprises!$A$5:$A$639,$A41,Entreprises!$C$5:$C$639,S$3,Entreprises!$D$5:$D$639,S$2)+SUMIFS(Banques!$P$5:$P$315,Banques!$A$5:$A$315,$A41,Banques!$C$5:$C$315,S$3,Banques!$D$5:$D$315,S$2)</f>
        <v/>
      </c>
      <c r="T41" s="18">
        <f>SUMIFS(Entreprises!$N$5:$N$639,Entreprises!$A$5:$A$639,$A41,Entreprises!$C$5:$C$639,T$3,Entreprises!$D$5:$D$639,T$2)+SUMIFS(Banques!$P$5:$P$315,Banques!$A$5:$A$315,$A41,Banques!$C$5:$C$315,T$3,Banques!$D$5:$D$315,T$2)</f>
        <v/>
      </c>
      <c r="U41" s="18">
        <f>SUMIFS(Entreprises!$N$5:$N$639,Entreprises!$A$5:$A$639,$A41,Entreprises!$C$5:$C$639,U$3,Entreprises!$D$5:$D$639,U$2)+SUMIFS(Banques!$P$5:$P$315,Banques!$A$5:$A$315,$A41,Banques!$C$5:$C$315,U$3,Banques!$D$5:$D$315,U$2)</f>
        <v/>
      </c>
    </row>
    <row r="42">
      <c r="A42" s="17" t="inlineStr">
        <is>
          <t>BOABF</t>
        </is>
      </c>
      <c r="B42" s="17">
        <f>IFERROR(VLOOKUP(A42,Titres!$A$2:$D$400,2,FALSE),"")</f>
        <v/>
      </c>
      <c r="C42" s="17">
        <f>IFERROR(VLOOKUP(A42,Titres!$A$2:$D$400,4,FALSE),"")</f>
        <v/>
      </c>
      <c r="D42" s="18">
        <f>SUMIFS(Entreprises!$N$5:$N$639,Entreprises!$A$5:$A$639,$A42,Entreprises!$C$5:$C$639,D$3,Entreprises!$D$5:$D$639,D$2)+SUMIFS(Banques!$P$5:$P$315,Banques!$A$5:$A$315,$A42,Banques!$C$5:$C$315,D$3,Banques!$D$5:$D$315,D$2)</f>
        <v/>
      </c>
      <c r="E42" s="18">
        <f>SUMIFS(Entreprises!$N$5:$N$639,Entreprises!$A$5:$A$639,$A42,Entreprises!$C$5:$C$639,E$3,Entreprises!$D$5:$D$639,E$2)+SUMIFS(Banques!$P$5:$P$315,Banques!$A$5:$A$315,$A42,Banques!$C$5:$C$315,E$3,Banques!$D$5:$D$315,E$2)</f>
        <v/>
      </c>
      <c r="F42" s="18">
        <f>SUMIFS(Entreprises!$N$5:$N$639,Entreprises!$A$5:$A$639,$A42,Entreprises!$C$5:$C$639,F$3,Entreprises!$D$5:$D$639,F$2)+SUMIFS(Banques!$P$5:$P$315,Banques!$A$5:$A$315,$A42,Banques!$C$5:$C$315,F$3,Banques!$D$5:$D$315,F$2)</f>
        <v/>
      </c>
      <c r="G42" s="18">
        <f>SUMIFS(Entreprises!$N$5:$N$639,Entreprises!$A$5:$A$639,$A42,Entreprises!$C$5:$C$639,G$3,Entreprises!$D$5:$D$639,G$2)+SUMIFS(Banques!$P$5:$P$315,Banques!$A$5:$A$315,$A42,Banques!$C$5:$C$315,G$3,Banques!$D$5:$D$315,G$2)</f>
        <v/>
      </c>
      <c r="H42" s="18">
        <f>SUMIFS(Entreprises!$N$5:$N$639,Entreprises!$A$5:$A$639,$A42,Entreprises!$C$5:$C$639,H$3,Entreprises!$D$5:$D$639,H$2)+SUMIFS(Banques!$P$5:$P$315,Banques!$A$5:$A$315,$A42,Banques!$C$5:$C$315,H$3,Banques!$D$5:$D$315,H$2)</f>
        <v/>
      </c>
      <c r="I42" s="18">
        <f>SUMIFS(Entreprises!$N$5:$N$639,Entreprises!$A$5:$A$639,$A42,Entreprises!$C$5:$C$639,I$3,Entreprises!$D$5:$D$639,I$2)+SUMIFS(Banques!$P$5:$P$315,Banques!$A$5:$A$315,$A42,Banques!$C$5:$C$315,I$3,Banques!$D$5:$D$315,I$2)</f>
        <v/>
      </c>
      <c r="J42" s="18">
        <f>SUMIFS(Entreprises!$N$5:$N$639,Entreprises!$A$5:$A$639,$A42,Entreprises!$C$5:$C$639,J$3,Entreprises!$D$5:$D$639,J$2)+SUMIFS(Banques!$P$5:$P$315,Banques!$A$5:$A$315,$A42,Banques!$C$5:$C$315,J$3,Banques!$D$5:$D$315,J$2)</f>
        <v/>
      </c>
      <c r="K42" s="18">
        <f>SUMIFS(Entreprises!$N$5:$N$639,Entreprises!$A$5:$A$639,$A42,Entreprises!$C$5:$C$639,K$3,Entreprises!$D$5:$D$639,K$2)+SUMIFS(Banques!$P$5:$P$315,Banques!$A$5:$A$315,$A42,Banques!$C$5:$C$315,K$3,Banques!$D$5:$D$315,K$2)</f>
        <v/>
      </c>
      <c r="L42" s="18">
        <f>SUMIFS(Entreprises!$N$5:$N$639,Entreprises!$A$5:$A$639,$A42,Entreprises!$C$5:$C$639,L$3,Entreprises!$D$5:$D$639,L$2)+SUMIFS(Banques!$P$5:$P$315,Banques!$A$5:$A$315,$A42,Banques!$C$5:$C$315,L$3,Banques!$D$5:$D$315,L$2)</f>
        <v/>
      </c>
      <c r="M42" s="18">
        <f>SUMIFS(Entreprises!$N$5:$N$639,Entreprises!$A$5:$A$639,$A42,Entreprises!$C$5:$C$639,M$3,Entreprises!$D$5:$D$639,M$2)+SUMIFS(Banques!$P$5:$P$315,Banques!$A$5:$A$315,$A42,Banques!$C$5:$C$315,M$3,Banques!$D$5:$D$315,M$2)</f>
        <v/>
      </c>
      <c r="N42" s="18">
        <f>SUMIFS(Entreprises!$N$5:$N$639,Entreprises!$A$5:$A$639,$A42,Entreprises!$C$5:$C$639,N$3,Entreprises!$D$5:$D$639,N$2)+SUMIFS(Banques!$P$5:$P$315,Banques!$A$5:$A$315,$A42,Banques!$C$5:$C$315,N$3,Banques!$D$5:$D$315,N$2)</f>
        <v/>
      </c>
      <c r="O42" s="18">
        <f>SUMIFS(Entreprises!$N$5:$N$639,Entreprises!$A$5:$A$639,$A42,Entreprises!$C$5:$C$639,O$3,Entreprises!$D$5:$D$639,O$2)+SUMIFS(Banques!$P$5:$P$315,Banques!$A$5:$A$315,$A42,Banques!$C$5:$C$315,O$3,Banques!$D$5:$D$315,O$2)</f>
        <v/>
      </c>
      <c r="P42" s="18">
        <f>SUMIFS(Entreprises!$N$5:$N$639,Entreprises!$A$5:$A$639,$A42,Entreprises!$C$5:$C$639,P$3,Entreprises!$D$5:$D$639,P$2)+SUMIFS(Banques!$P$5:$P$315,Banques!$A$5:$A$315,$A42,Banques!$C$5:$C$315,P$3,Banques!$D$5:$D$315,P$2)</f>
        <v/>
      </c>
      <c r="Q42" s="18">
        <f>SUMIFS(Entreprises!$N$5:$N$639,Entreprises!$A$5:$A$639,$A42,Entreprises!$C$5:$C$639,Q$3,Entreprises!$D$5:$D$639,Q$2)+SUMIFS(Banques!$P$5:$P$315,Banques!$A$5:$A$315,$A42,Banques!$C$5:$C$315,Q$3,Banques!$D$5:$D$315,Q$2)</f>
        <v/>
      </c>
      <c r="R42" s="18">
        <f>SUMIFS(Entreprises!$N$5:$N$639,Entreprises!$A$5:$A$639,$A42,Entreprises!$C$5:$C$639,R$3,Entreprises!$D$5:$D$639,R$2)+SUMIFS(Banques!$P$5:$P$315,Banques!$A$5:$A$315,$A42,Banques!$C$5:$C$315,R$3,Banques!$D$5:$D$315,R$2)</f>
        <v/>
      </c>
      <c r="S42" s="18">
        <f>SUMIFS(Entreprises!$N$5:$N$639,Entreprises!$A$5:$A$639,$A42,Entreprises!$C$5:$C$639,S$3,Entreprises!$D$5:$D$639,S$2)+SUMIFS(Banques!$P$5:$P$315,Banques!$A$5:$A$315,$A42,Banques!$C$5:$C$315,S$3,Banques!$D$5:$D$315,S$2)</f>
        <v/>
      </c>
      <c r="T42" s="18">
        <f>SUMIFS(Entreprises!$N$5:$N$639,Entreprises!$A$5:$A$639,$A42,Entreprises!$C$5:$C$639,T$3,Entreprises!$D$5:$D$639,T$2)+SUMIFS(Banques!$P$5:$P$315,Banques!$A$5:$A$315,$A42,Banques!$C$5:$C$315,T$3,Banques!$D$5:$D$315,T$2)</f>
        <v/>
      </c>
      <c r="U42" s="18">
        <f>SUMIFS(Entreprises!$N$5:$N$639,Entreprises!$A$5:$A$639,$A42,Entreprises!$C$5:$C$639,U$3,Entreprises!$D$5:$D$639,U$2)+SUMIFS(Banques!$P$5:$P$315,Banques!$A$5:$A$315,$A42,Banques!$C$5:$C$315,U$3,Banques!$D$5:$D$315,U$2)</f>
        <v/>
      </c>
    </row>
    <row r="43">
      <c r="A43" s="17" t="inlineStr">
        <is>
          <t>BOAC</t>
        </is>
      </c>
      <c r="B43" s="17">
        <f>IFERROR(VLOOKUP(A43,Titres!$A$2:$D$400,2,FALSE),"")</f>
        <v/>
      </c>
      <c r="C43" s="17">
        <f>IFERROR(VLOOKUP(A43,Titres!$A$2:$D$400,4,FALSE),"")</f>
        <v/>
      </c>
      <c r="D43" s="18">
        <f>SUMIFS(Entreprises!$N$5:$N$639,Entreprises!$A$5:$A$639,$A43,Entreprises!$C$5:$C$639,D$3,Entreprises!$D$5:$D$639,D$2)+SUMIFS(Banques!$P$5:$P$315,Banques!$A$5:$A$315,$A43,Banques!$C$5:$C$315,D$3,Banques!$D$5:$D$315,D$2)</f>
        <v/>
      </c>
      <c r="E43" s="18">
        <f>SUMIFS(Entreprises!$N$5:$N$639,Entreprises!$A$5:$A$639,$A43,Entreprises!$C$5:$C$639,E$3,Entreprises!$D$5:$D$639,E$2)+SUMIFS(Banques!$P$5:$P$315,Banques!$A$5:$A$315,$A43,Banques!$C$5:$C$315,E$3,Banques!$D$5:$D$315,E$2)</f>
        <v/>
      </c>
      <c r="F43" s="18">
        <f>SUMIFS(Entreprises!$N$5:$N$639,Entreprises!$A$5:$A$639,$A43,Entreprises!$C$5:$C$639,F$3,Entreprises!$D$5:$D$639,F$2)+SUMIFS(Banques!$P$5:$P$315,Banques!$A$5:$A$315,$A43,Banques!$C$5:$C$315,F$3,Banques!$D$5:$D$315,F$2)</f>
        <v/>
      </c>
      <c r="G43" s="18">
        <f>SUMIFS(Entreprises!$N$5:$N$639,Entreprises!$A$5:$A$639,$A43,Entreprises!$C$5:$C$639,G$3,Entreprises!$D$5:$D$639,G$2)+SUMIFS(Banques!$P$5:$P$315,Banques!$A$5:$A$315,$A43,Banques!$C$5:$C$315,G$3,Banques!$D$5:$D$315,G$2)</f>
        <v/>
      </c>
      <c r="H43" s="18">
        <f>SUMIFS(Entreprises!$N$5:$N$639,Entreprises!$A$5:$A$639,$A43,Entreprises!$C$5:$C$639,H$3,Entreprises!$D$5:$D$639,H$2)+SUMIFS(Banques!$P$5:$P$315,Banques!$A$5:$A$315,$A43,Banques!$C$5:$C$315,H$3,Banques!$D$5:$D$315,H$2)</f>
        <v/>
      </c>
      <c r="I43" s="18">
        <f>SUMIFS(Entreprises!$N$5:$N$639,Entreprises!$A$5:$A$639,$A43,Entreprises!$C$5:$C$639,I$3,Entreprises!$D$5:$D$639,I$2)+SUMIFS(Banques!$P$5:$P$315,Banques!$A$5:$A$315,$A43,Banques!$C$5:$C$315,I$3,Banques!$D$5:$D$315,I$2)</f>
        <v/>
      </c>
      <c r="J43" s="18">
        <f>SUMIFS(Entreprises!$N$5:$N$639,Entreprises!$A$5:$A$639,$A43,Entreprises!$C$5:$C$639,J$3,Entreprises!$D$5:$D$639,J$2)+SUMIFS(Banques!$P$5:$P$315,Banques!$A$5:$A$315,$A43,Banques!$C$5:$C$315,J$3,Banques!$D$5:$D$315,J$2)</f>
        <v/>
      </c>
      <c r="K43" s="18">
        <f>SUMIFS(Entreprises!$N$5:$N$639,Entreprises!$A$5:$A$639,$A43,Entreprises!$C$5:$C$639,K$3,Entreprises!$D$5:$D$639,K$2)+SUMIFS(Banques!$P$5:$P$315,Banques!$A$5:$A$315,$A43,Banques!$C$5:$C$315,K$3,Banques!$D$5:$D$315,K$2)</f>
        <v/>
      </c>
      <c r="L43" s="18">
        <f>SUMIFS(Entreprises!$N$5:$N$639,Entreprises!$A$5:$A$639,$A43,Entreprises!$C$5:$C$639,L$3,Entreprises!$D$5:$D$639,L$2)+SUMIFS(Banques!$P$5:$P$315,Banques!$A$5:$A$315,$A43,Banques!$C$5:$C$315,L$3,Banques!$D$5:$D$315,L$2)</f>
        <v/>
      </c>
      <c r="M43" s="18">
        <f>SUMIFS(Entreprises!$N$5:$N$639,Entreprises!$A$5:$A$639,$A43,Entreprises!$C$5:$C$639,M$3,Entreprises!$D$5:$D$639,M$2)+SUMIFS(Banques!$P$5:$P$315,Banques!$A$5:$A$315,$A43,Banques!$C$5:$C$315,M$3,Banques!$D$5:$D$315,M$2)</f>
        <v/>
      </c>
      <c r="N43" s="18">
        <f>SUMIFS(Entreprises!$N$5:$N$639,Entreprises!$A$5:$A$639,$A43,Entreprises!$C$5:$C$639,N$3,Entreprises!$D$5:$D$639,N$2)+SUMIFS(Banques!$P$5:$P$315,Banques!$A$5:$A$315,$A43,Banques!$C$5:$C$315,N$3,Banques!$D$5:$D$315,N$2)</f>
        <v/>
      </c>
      <c r="O43" s="18">
        <f>SUMIFS(Entreprises!$N$5:$N$639,Entreprises!$A$5:$A$639,$A43,Entreprises!$C$5:$C$639,O$3,Entreprises!$D$5:$D$639,O$2)+SUMIFS(Banques!$P$5:$P$315,Banques!$A$5:$A$315,$A43,Banques!$C$5:$C$315,O$3,Banques!$D$5:$D$315,O$2)</f>
        <v/>
      </c>
      <c r="P43" s="18">
        <f>SUMIFS(Entreprises!$N$5:$N$639,Entreprises!$A$5:$A$639,$A43,Entreprises!$C$5:$C$639,P$3,Entreprises!$D$5:$D$639,P$2)+SUMIFS(Banques!$P$5:$P$315,Banques!$A$5:$A$315,$A43,Banques!$C$5:$C$315,P$3,Banques!$D$5:$D$315,P$2)</f>
        <v/>
      </c>
      <c r="Q43" s="18">
        <f>SUMIFS(Entreprises!$N$5:$N$639,Entreprises!$A$5:$A$639,$A43,Entreprises!$C$5:$C$639,Q$3,Entreprises!$D$5:$D$639,Q$2)+SUMIFS(Banques!$P$5:$P$315,Banques!$A$5:$A$315,$A43,Banques!$C$5:$C$315,Q$3,Banques!$D$5:$D$315,Q$2)</f>
        <v/>
      </c>
      <c r="R43" s="18">
        <f>SUMIFS(Entreprises!$N$5:$N$639,Entreprises!$A$5:$A$639,$A43,Entreprises!$C$5:$C$639,R$3,Entreprises!$D$5:$D$639,R$2)+SUMIFS(Banques!$P$5:$P$315,Banques!$A$5:$A$315,$A43,Banques!$C$5:$C$315,R$3,Banques!$D$5:$D$315,R$2)</f>
        <v/>
      </c>
      <c r="S43" s="18">
        <f>SUMIFS(Entreprises!$N$5:$N$639,Entreprises!$A$5:$A$639,$A43,Entreprises!$C$5:$C$639,S$3,Entreprises!$D$5:$D$639,S$2)+SUMIFS(Banques!$P$5:$P$315,Banques!$A$5:$A$315,$A43,Banques!$C$5:$C$315,S$3,Banques!$D$5:$D$315,S$2)</f>
        <v/>
      </c>
      <c r="T43" s="18">
        <f>SUMIFS(Entreprises!$N$5:$N$639,Entreprises!$A$5:$A$639,$A43,Entreprises!$C$5:$C$639,T$3,Entreprises!$D$5:$D$639,T$2)+SUMIFS(Banques!$P$5:$P$315,Banques!$A$5:$A$315,$A43,Banques!$C$5:$C$315,T$3,Banques!$D$5:$D$315,T$2)</f>
        <v/>
      </c>
      <c r="U43" s="18">
        <f>SUMIFS(Entreprises!$N$5:$N$639,Entreprises!$A$5:$A$639,$A43,Entreprises!$C$5:$C$639,U$3,Entreprises!$D$5:$D$639,U$2)+SUMIFS(Banques!$P$5:$P$315,Banques!$A$5:$A$315,$A43,Banques!$C$5:$C$315,U$3,Banques!$D$5:$D$315,U$2)</f>
        <v/>
      </c>
    </row>
    <row r="44">
      <c r="A44" s="17" t="inlineStr">
        <is>
          <t>BOAM</t>
        </is>
      </c>
      <c r="B44" s="17">
        <f>IFERROR(VLOOKUP(A44,Titres!$A$2:$D$400,2,FALSE),"")</f>
        <v/>
      </c>
      <c r="C44" s="17">
        <f>IFERROR(VLOOKUP(A44,Titres!$A$2:$D$400,4,FALSE),"")</f>
        <v/>
      </c>
      <c r="D44" s="18">
        <f>SUMIFS(Entreprises!$N$5:$N$639,Entreprises!$A$5:$A$639,$A44,Entreprises!$C$5:$C$639,D$3,Entreprises!$D$5:$D$639,D$2)+SUMIFS(Banques!$P$5:$P$315,Banques!$A$5:$A$315,$A44,Banques!$C$5:$C$315,D$3,Banques!$D$5:$D$315,D$2)</f>
        <v/>
      </c>
      <c r="E44" s="18">
        <f>SUMIFS(Entreprises!$N$5:$N$639,Entreprises!$A$5:$A$639,$A44,Entreprises!$C$5:$C$639,E$3,Entreprises!$D$5:$D$639,E$2)+SUMIFS(Banques!$P$5:$P$315,Banques!$A$5:$A$315,$A44,Banques!$C$5:$C$315,E$3,Banques!$D$5:$D$315,E$2)</f>
        <v/>
      </c>
      <c r="F44" s="18">
        <f>SUMIFS(Entreprises!$N$5:$N$639,Entreprises!$A$5:$A$639,$A44,Entreprises!$C$5:$C$639,F$3,Entreprises!$D$5:$D$639,F$2)+SUMIFS(Banques!$P$5:$P$315,Banques!$A$5:$A$315,$A44,Banques!$C$5:$C$315,F$3,Banques!$D$5:$D$315,F$2)</f>
        <v/>
      </c>
      <c r="G44" s="18">
        <f>SUMIFS(Entreprises!$N$5:$N$639,Entreprises!$A$5:$A$639,$A44,Entreprises!$C$5:$C$639,G$3,Entreprises!$D$5:$D$639,G$2)+SUMIFS(Banques!$P$5:$P$315,Banques!$A$5:$A$315,$A44,Banques!$C$5:$C$315,G$3,Banques!$D$5:$D$315,G$2)</f>
        <v/>
      </c>
      <c r="H44" s="18">
        <f>SUMIFS(Entreprises!$N$5:$N$639,Entreprises!$A$5:$A$639,$A44,Entreprises!$C$5:$C$639,H$3,Entreprises!$D$5:$D$639,H$2)+SUMIFS(Banques!$P$5:$P$315,Banques!$A$5:$A$315,$A44,Banques!$C$5:$C$315,H$3,Banques!$D$5:$D$315,H$2)</f>
        <v/>
      </c>
      <c r="I44" s="18">
        <f>SUMIFS(Entreprises!$N$5:$N$639,Entreprises!$A$5:$A$639,$A44,Entreprises!$C$5:$C$639,I$3,Entreprises!$D$5:$D$639,I$2)+SUMIFS(Banques!$P$5:$P$315,Banques!$A$5:$A$315,$A44,Banques!$C$5:$C$315,I$3,Banques!$D$5:$D$315,I$2)</f>
        <v/>
      </c>
      <c r="J44" s="18">
        <f>SUMIFS(Entreprises!$N$5:$N$639,Entreprises!$A$5:$A$639,$A44,Entreprises!$C$5:$C$639,J$3,Entreprises!$D$5:$D$639,J$2)+SUMIFS(Banques!$P$5:$P$315,Banques!$A$5:$A$315,$A44,Banques!$C$5:$C$315,J$3,Banques!$D$5:$D$315,J$2)</f>
        <v/>
      </c>
      <c r="K44" s="18">
        <f>SUMIFS(Entreprises!$N$5:$N$639,Entreprises!$A$5:$A$639,$A44,Entreprises!$C$5:$C$639,K$3,Entreprises!$D$5:$D$639,K$2)+SUMIFS(Banques!$P$5:$P$315,Banques!$A$5:$A$315,$A44,Banques!$C$5:$C$315,K$3,Banques!$D$5:$D$315,K$2)</f>
        <v/>
      </c>
      <c r="L44" s="18">
        <f>SUMIFS(Entreprises!$N$5:$N$639,Entreprises!$A$5:$A$639,$A44,Entreprises!$C$5:$C$639,L$3,Entreprises!$D$5:$D$639,L$2)+SUMIFS(Banques!$P$5:$P$315,Banques!$A$5:$A$315,$A44,Banques!$C$5:$C$315,L$3,Banques!$D$5:$D$315,L$2)</f>
        <v/>
      </c>
      <c r="M44" s="18">
        <f>SUMIFS(Entreprises!$N$5:$N$639,Entreprises!$A$5:$A$639,$A44,Entreprises!$C$5:$C$639,M$3,Entreprises!$D$5:$D$639,M$2)+SUMIFS(Banques!$P$5:$P$315,Banques!$A$5:$A$315,$A44,Banques!$C$5:$C$315,M$3,Banques!$D$5:$D$315,M$2)</f>
        <v/>
      </c>
      <c r="N44" s="18">
        <f>SUMIFS(Entreprises!$N$5:$N$639,Entreprises!$A$5:$A$639,$A44,Entreprises!$C$5:$C$639,N$3,Entreprises!$D$5:$D$639,N$2)+SUMIFS(Banques!$P$5:$P$315,Banques!$A$5:$A$315,$A44,Banques!$C$5:$C$315,N$3,Banques!$D$5:$D$315,N$2)</f>
        <v/>
      </c>
      <c r="O44" s="18">
        <f>SUMIFS(Entreprises!$N$5:$N$639,Entreprises!$A$5:$A$639,$A44,Entreprises!$C$5:$C$639,O$3,Entreprises!$D$5:$D$639,O$2)+SUMIFS(Banques!$P$5:$P$315,Banques!$A$5:$A$315,$A44,Banques!$C$5:$C$315,O$3,Banques!$D$5:$D$315,O$2)</f>
        <v/>
      </c>
      <c r="P44" s="18">
        <f>SUMIFS(Entreprises!$N$5:$N$639,Entreprises!$A$5:$A$639,$A44,Entreprises!$C$5:$C$639,P$3,Entreprises!$D$5:$D$639,P$2)+SUMIFS(Banques!$P$5:$P$315,Banques!$A$5:$A$315,$A44,Banques!$C$5:$C$315,P$3,Banques!$D$5:$D$315,P$2)</f>
        <v/>
      </c>
      <c r="Q44" s="18">
        <f>SUMIFS(Entreprises!$N$5:$N$639,Entreprises!$A$5:$A$639,$A44,Entreprises!$C$5:$C$639,Q$3,Entreprises!$D$5:$D$639,Q$2)+SUMIFS(Banques!$P$5:$P$315,Banques!$A$5:$A$315,$A44,Banques!$C$5:$C$315,Q$3,Banques!$D$5:$D$315,Q$2)</f>
        <v/>
      </c>
      <c r="R44" s="18">
        <f>SUMIFS(Entreprises!$N$5:$N$639,Entreprises!$A$5:$A$639,$A44,Entreprises!$C$5:$C$639,R$3,Entreprises!$D$5:$D$639,R$2)+SUMIFS(Banques!$P$5:$P$315,Banques!$A$5:$A$315,$A44,Banques!$C$5:$C$315,R$3,Banques!$D$5:$D$315,R$2)</f>
        <v/>
      </c>
      <c r="S44" s="18">
        <f>SUMIFS(Entreprises!$N$5:$N$639,Entreprises!$A$5:$A$639,$A44,Entreprises!$C$5:$C$639,S$3,Entreprises!$D$5:$D$639,S$2)+SUMIFS(Banques!$P$5:$P$315,Banques!$A$5:$A$315,$A44,Banques!$C$5:$C$315,S$3,Banques!$D$5:$D$315,S$2)</f>
        <v/>
      </c>
      <c r="T44" s="18">
        <f>SUMIFS(Entreprises!$N$5:$N$639,Entreprises!$A$5:$A$639,$A44,Entreprises!$C$5:$C$639,T$3,Entreprises!$D$5:$D$639,T$2)+SUMIFS(Banques!$P$5:$P$315,Banques!$A$5:$A$315,$A44,Banques!$C$5:$C$315,T$3,Banques!$D$5:$D$315,T$2)</f>
        <v/>
      </c>
      <c r="U44" s="18">
        <f>SUMIFS(Entreprises!$N$5:$N$639,Entreprises!$A$5:$A$639,$A44,Entreprises!$C$5:$C$639,U$3,Entreprises!$D$5:$D$639,U$2)+SUMIFS(Banques!$P$5:$P$315,Banques!$A$5:$A$315,$A44,Banques!$C$5:$C$315,U$3,Banques!$D$5:$D$315,U$2)</f>
        <v/>
      </c>
    </row>
    <row r="45">
      <c r="A45" s="17" t="inlineStr">
        <is>
          <t>BOAN</t>
        </is>
      </c>
      <c r="B45" s="17">
        <f>IFERROR(VLOOKUP(A45,Titres!$A$2:$D$400,2,FALSE),"")</f>
        <v/>
      </c>
      <c r="C45" s="17">
        <f>IFERROR(VLOOKUP(A45,Titres!$A$2:$D$400,4,FALSE),"")</f>
        <v/>
      </c>
      <c r="D45" s="18">
        <f>SUMIFS(Entreprises!$N$5:$N$639,Entreprises!$A$5:$A$639,$A45,Entreprises!$C$5:$C$639,D$3,Entreprises!$D$5:$D$639,D$2)+SUMIFS(Banques!$P$5:$P$315,Banques!$A$5:$A$315,$A45,Banques!$C$5:$C$315,D$3,Banques!$D$5:$D$315,D$2)</f>
        <v/>
      </c>
      <c r="E45" s="18">
        <f>SUMIFS(Entreprises!$N$5:$N$639,Entreprises!$A$5:$A$639,$A45,Entreprises!$C$5:$C$639,E$3,Entreprises!$D$5:$D$639,E$2)+SUMIFS(Banques!$P$5:$P$315,Banques!$A$5:$A$315,$A45,Banques!$C$5:$C$315,E$3,Banques!$D$5:$D$315,E$2)</f>
        <v/>
      </c>
      <c r="F45" s="18">
        <f>SUMIFS(Entreprises!$N$5:$N$639,Entreprises!$A$5:$A$639,$A45,Entreprises!$C$5:$C$639,F$3,Entreprises!$D$5:$D$639,F$2)+SUMIFS(Banques!$P$5:$P$315,Banques!$A$5:$A$315,$A45,Banques!$C$5:$C$315,F$3,Banques!$D$5:$D$315,F$2)</f>
        <v/>
      </c>
      <c r="G45" s="18">
        <f>SUMIFS(Entreprises!$N$5:$N$639,Entreprises!$A$5:$A$639,$A45,Entreprises!$C$5:$C$639,G$3,Entreprises!$D$5:$D$639,G$2)+SUMIFS(Banques!$P$5:$P$315,Banques!$A$5:$A$315,$A45,Banques!$C$5:$C$315,G$3,Banques!$D$5:$D$315,G$2)</f>
        <v/>
      </c>
      <c r="H45" s="18">
        <f>SUMIFS(Entreprises!$N$5:$N$639,Entreprises!$A$5:$A$639,$A45,Entreprises!$C$5:$C$639,H$3,Entreprises!$D$5:$D$639,H$2)+SUMIFS(Banques!$P$5:$P$315,Banques!$A$5:$A$315,$A45,Banques!$C$5:$C$315,H$3,Banques!$D$5:$D$315,H$2)</f>
        <v/>
      </c>
      <c r="I45" s="18">
        <f>SUMIFS(Entreprises!$N$5:$N$639,Entreprises!$A$5:$A$639,$A45,Entreprises!$C$5:$C$639,I$3,Entreprises!$D$5:$D$639,I$2)+SUMIFS(Banques!$P$5:$P$315,Banques!$A$5:$A$315,$A45,Banques!$C$5:$C$315,I$3,Banques!$D$5:$D$315,I$2)</f>
        <v/>
      </c>
      <c r="J45" s="18">
        <f>SUMIFS(Entreprises!$N$5:$N$639,Entreprises!$A$5:$A$639,$A45,Entreprises!$C$5:$C$639,J$3,Entreprises!$D$5:$D$639,J$2)+SUMIFS(Banques!$P$5:$P$315,Banques!$A$5:$A$315,$A45,Banques!$C$5:$C$315,J$3,Banques!$D$5:$D$315,J$2)</f>
        <v/>
      </c>
      <c r="K45" s="18">
        <f>SUMIFS(Entreprises!$N$5:$N$639,Entreprises!$A$5:$A$639,$A45,Entreprises!$C$5:$C$639,K$3,Entreprises!$D$5:$D$639,K$2)+SUMIFS(Banques!$P$5:$P$315,Banques!$A$5:$A$315,$A45,Banques!$C$5:$C$315,K$3,Banques!$D$5:$D$315,K$2)</f>
        <v/>
      </c>
      <c r="L45" s="18">
        <f>SUMIFS(Entreprises!$N$5:$N$639,Entreprises!$A$5:$A$639,$A45,Entreprises!$C$5:$C$639,L$3,Entreprises!$D$5:$D$639,L$2)+SUMIFS(Banques!$P$5:$P$315,Banques!$A$5:$A$315,$A45,Banques!$C$5:$C$315,L$3,Banques!$D$5:$D$315,L$2)</f>
        <v/>
      </c>
      <c r="M45" s="18">
        <f>SUMIFS(Entreprises!$N$5:$N$639,Entreprises!$A$5:$A$639,$A45,Entreprises!$C$5:$C$639,M$3,Entreprises!$D$5:$D$639,M$2)+SUMIFS(Banques!$P$5:$P$315,Banques!$A$5:$A$315,$A45,Banques!$C$5:$C$315,M$3,Banques!$D$5:$D$315,M$2)</f>
        <v/>
      </c>
      <c r="N45" s="18">
        <f>SUMIFS(Entreprises!$N$5:$N$639,Entreprises!$A$5:$A$639,$A45,Entreprises!$C$5:$C$639,N$3,Entreprises!$D$5:$D$639,N$2)+SUMIFS(Banques!$P$5:$P$315,Banques!$A$5:$A$315,$A45,Banques!$C$5:$C$315,N$3,Banques!$D$5:$D$315,N$2)</f>
        <v/>
      </c>
      <c r="O45" s="18">
        <f>SUMIFS(Entreprises!$N$5:$N$639,Entreprises!$A$5:$A$639,$A45,Entreprises!$C$5:$C$639,O$3,Entreprises!$D$5:$D$639,O$2)+SUMIFS(Banques!$P$5:$P$315,Banques!$A$5:$A$315,$A45,Banques!$C$5:$C$315,O$3,Banques!$D$5:$D$315,O$2)</f>
        <v/>
      </c>
      <c r="P45" s="18">
        <f>SUMIFS(Entreprises!$N$5:$N$639,Entreprises!$A$5:$A$639,$A45,Entreprises!$C$5:$C$639,P$3,Entreprises!$D$5:$D$639,P$2)+SUMIFS(Banques!$P$5:$P$315,Banques!$A$5:$A$315,$A45,Banques!$C$5:$C$315,P$3,Banques!$D$5:$D$315,P$2)</f>
        <v/>
      </c>
      <c r="Q45" s="18">
        <f>SUMIFS(Entreprises!$N$5:$N$639,Entreprises!$A$5:$A$639,$A45,Entreprises!$C$5:$C$639,Q$3,Entreprises!$D$5:$D$639,Q$2)+SUMIFS(Banques!$P$5:$P$315,Banques!$A$5:$A$315,$A45,Banques!$C$5:$C$315,Q$3,Banques!$D$5:$D$315,Q$2)</f>
        <v/>
      </c>
      <c r="R45" s="18">
        <f>SUMIFS(Entreprises!$N$5:$N$639,Entreprises!$A$5:$A$639,$A45,Entreprises!$C$5:$C$639,R$3,Entreprises!$D$5:$D$639,R$2)+SUMIFS(Banques!$P$5:$P$315,Banques!$A$5:$A$315,$A45,Banques!$C$5:$C$315,R$3,Banques!$D$5:$D$315,R$2)</f>
        <v/>
      </c>
      <c r="S45" s="18">
        <f>SUMIFS(Entreprises!$N$5:$N$639,Entreprises!$A$5:$A$639,$A45,Entreprises!$C$5:$C$639,S$3,Entreprises!$D$5:$D$639,S$2)+SUMIFS(Banques!$P$5:$P$315,Banques!$A$5:$A$315,$A45,Banques!$C$5:$C$315,S$3,Banques!$D$5:$D$315,S$2)</f>
        <v/>
      </c>
      <c r="T45" s="18">
        <f>SUMIFS(Entreprises!$N$5:$N$639,Entreprises!$A$5:$A$639,$A45,Entreprises!$C$5:$C$639,T$3,Entreprises!$D$5:$D$639,T$2)+SUMIFS(Banques!$P$5:$P$315,Banques!$A$5:$A$315,$A45,Banques!$C$5:$C$315,T$3,Banques!$D$5:$D$315,T$2)</f>
        <v/>
      </c>
      <c r="U45" s="18">
        <f>SUMIFS(Entreprises!$N$5:$N$639,Entreprises!$A$5:$A$639,$A45,Entreprises!$C$5:$C$639,U$3,Entreprises!$D$5:$D$639,U$2)+SUMIFS(Banques!$P$5:$P$315,Banques!$A$5:$A$315,$A45,Banques!$C$5:$C$315,U$3,Banques!$D$5:$D$315,U$2)</f>
        <v/>
      </c>
    </row>
    <row r="46">
      <c r="A46" s="17" t="inlineStr">
        <is>
          <t>BOAS</t>
        </is>
      </c>
      <c r="B46" s="17">
        <f>IFERROR(VLOOKUP(A46,Titres!$A$2:$D$400,2,FALSE),"")</f>
        <v/>
      </c>
      <c r="C46" s="17">
        <f>IFERROR(VLOOKUP(A46,Titres!$A$2:$D$400,4,FALSE),"")</f>
        <v/>
      </c>
      <c r="D46" s="18">
        <f>SUMIFS(Entreprises!$N$5:$N$639,Entreprises!$A$5:$A$639,$A46,Entreprises!$C$5:$C$639,D$3,Entreprises!$D$5:$D$639,D$2)+SUMIFS(Banques!$P$5:$P$315,Banques!$A$5:$A$315,$A46,Banques!$C$5:$C$315,D$3,Banques!$D$5:$D$315,D$2)</f>
        <v/>
      </c>
      <c r="E46" s="18">
        <f>SUMIFS(Entreprises!$N$5:$N$639,Entreprises!$A$5:$A$639,$A46,Entreprises!$C$5:$C$639,E$3,Entreprises!$D$5:$D$639,E$2)+SUMIFS(Banques!$P$5:$P$315,Banques!$A$5:$A$315,$A46,Banques!$C$5:$C$315,E$3,Banques!$D$5:$D$315,E$2)</f>
        <v/>
      </c>
      <c r="F46" s="18">
        <f>SUMIFS(Entreprises!$N$5:$N$639,Entreprises!$A$5:$A$639,$A46,Entreprises!$C$5:$C$639,F$3,Entreprises!$D$5:$D$639,F$2)+SUMIFS(Banques!$P$5:$P$315,Banques!$A$5:$A$315,$A46,Banques!$C$5:$C$315,F$3,Banques!$D$5:$D$315,F$2)</f>
        <v/>
      </c>
      <c r="G46" s="18">
        <f>SUMIFS(Entreprises!$N$5:$N$639,Entreprises!$A$5:$A$639,$A46,Entreprises!$C$5:$C$639,G$3,Entreprises!$D$5:$D$639,G$2)+SUMIFS(Banques!$P$5:$P$315,Banques!$A$5:$A$315,$A46,Banques!$C$5:$C$315,G$3,Banques!$D$5:$D$315,G$2)</f>
        <v/>
      </c>
      <c r="H46" s="18">
        <f>SUMIFS(Entreprises!$N$5:$N$639,Entreprises!$A$5:$A$639,$A46,Entreprises!$C$5:$C$639,H$3,Entreprises!$D$5:$D$639,H$2)+SUMIFS(Banques!$P$5:$P$315,Banques!$A$5:$A$315,$A46,Banques!$C$5:$C$315,H$3,Banques!$D$5:$D$315,H$2)</f>
        <v/>
      </c>
      <c r="I46" s="18">
        <f>SUMIFS(Entreprises!$N$5:$N$639,Entreprises!$A$5:$A$639,$A46,Entreprises!$C$5:$C$639,I$3,Entreprises!$D$5:$D$639,I$2)+SUMIFS(Banques!$P$5:$P$315,Banques!$A$5:$A$315,$A46,Banques!$C$5:$C$315,I$3,Banques!$D$5:$D$315,I$2)</f>
        <v/>
      </c>
      <c r="J46" s="18">
        <f>SUMIFS(Entreprises!$N$5:$N$639,Entreprises!$A$5:$A$639,$A46,Entreprises!$C$5:$C$639,J$3,Entreprises!$D$5:$D$639,J$2)+SUMIFS(Banques!$P$5:$P$315,Banques!$A$5:$A$315,$A46,Banques!$C$5:$C$315,J$3,Banques!$D$5:$D$315,J$2)</f>
        <v/>
      </c>
      <c r="K46" s="18">
        <f>SUMIFS(Entreprises!$N$5:$N$639,Entreprises!$A$5:$A$639,$A46,Entreprises!$C$5:$C$639,K$3,Entreprises!$D$5:$D$639,K$2)+SUMIFS(Banques!$P$5:$P$315,Banques!$A$5:$A$315,$A46,Banques!$C$5:$C$315,K$3,Banques!$D$5:$D$315,K$2)</f>
        <v/>
      </c>
      <c r="L46" s="18">
        <f>SUMIFS(Entreprises!$N$5:$N$639,Entreprises!$A$5:$A$639,$A46,Entreprises!$C$5:$C$639,L$3,Entreprises!$D$5:$D$639,L$2)+SUMIFS(Banques!$P$5:$P$315,Banques!$A$5:$A$315,$A46,Banques!$C$5:$C$315,L$3,Banques!$D$5:$D$315,L$2)</f>
        <v/>
      </c>
      <c r="M46" s="18">
        <f>SUMIFS(Entreprises!$N$5:$N$639,Entreprises!$A$5:$A$639,$A46,Entreprises!$C$5:$C$639,M$3,Entreprises!$D$5:$D$639,M$2)+SUMIFS(Banques!$P$5:$P$315,Banques!$A$5:$A$315,$A46,Banques!$C$5:$C$315,M$3,Banques!$D$5:$D$315,M$2)</f>
        <v/>
      </c>
      <c r="N46" s="18">
        <f>SUMIFS(Entreprises!$N$5:$N$639,Entreprises!$A$5:$A$639,$A46,Entreprises!$C$5:$C$639,N$3,Entreprises!$D$5:$D$639,N$2)+SUMIFS(Banques!$P$5:$P$315,Banques!$A$5:$A$315,$A46,Banques!$C$5:$C$315,N$3,Banques!$D$5:$D$315,N$2)</f>
        <v/>
      </c>
      <c r="O46" s="18">
        <f>SUMIFS(Entreprises!$N$5:$N$639,Entreprises!$A$5:$A$639,$A46,Entreprises!$C$5:$C$639,O$3,Entreprises!$D$5:$D$639,O$2)+SUMIFS(Banques!$P$5:$P$315,Banques!$A$5:$A$315,$A46,Banques!$C$5:$C$315,O$3,Banques!$D$5:$D$315,O$2)</f>
        <v/>
      </c>
      <c r="P46" s="18">
        <f>SUMIFS(Entreprises!$N$5:$N$639,Entreprises!$A$5:$A$639,$A46,Entreprises!$C$5:$C$639,P$3,Entreprises!$D$5:$D$639,P$2)+SUMIFS(Banques!$P$5:$P$315,Banques!$A$5:$A$315,$A46,Banques!$C$5:$C$315,P$3,Banques!$D$5:$D$315,P$2)</f>
        <v/>
      </c>
      <c r="Q46" s="18">
        <f>SUMIFS(Entreprises!$N$5:$N$639,Entreprises!$A$5:$A$639,$A46,Entreprises!$C$5:$C$639,Q$3,Entreprises!$D$5:$D$639,Q$2)+SUMIFS(Banques!$P$5:$P$315,Banques!$A$5:$A$315,$A46,Banques!$C$5:$C$315,Q$3,Banques!$D$5:$D$315,Q$2)</f>
        <v/>
      </c>
      <c r="R46" s="18">
        <f>SUMIFS(Entreprises!$N$5:$N$639,Entreprises!$A$5:$A$639,$A46,Entreprises!$C$5:$C$639,R$3,Entreprises!$D$5:$D$639,R$2)+SUMIFS(Banques!$P$5:$P$315,Banques!$A$5:$A$315,$A46,Banques!$C$5:$C$315,R$3,Banques!$D$5:$D$315,R$2)</f>
        <v/>
      </c>
      <c r="S46" s="18">
        <f>SUMIFS(Entreprises!$N$5:$N$639,Entreprises!$A$5:$A$639,$A46,Entreprises!$C$5:$C$639,S$3,Entreprises!$D$5:$D$639,S$2)+SUMIFS(Banques!$P$5:$P$315,Banques!$A$5:$A$315,$A46,Banques!$C$5:$C$315,S$3,Banques!$D$5:$D$315,S$2)</f>
        <v/>
      </c>
      <c r="T46" s="18">
        <f>SUMIFS(Entreprises!$N$5:$N$639,Entreprises!$A$5:$A$639,$A46,Entreprises!$C$5:$C$639,T$3,Entreprises!$D$5:$D$639,T$2)+SUMIFS(Banques!$P$5:$P$315,Banques!$A$5:$A$315,$A46,Banques!$C$5:$C$315,T$3,Banques!$D$5:$D$315,T$2)</f>
        <v/>
      </c>
      <c r="U46" s="18">
        <f>SUMIFS(Entreprises!$N$5:$N$639,Entreprises!$A$5:$A$639,$A46,Entreprises!$C$5:$C$639,U$3,Entreprises!$D$5:$D$639,U$2)+SUMIFS(Banques!$P$5:$P$315,Banques!$A$5:$A$315,$A46,Banques!$C$5:$C$315,U$3,Banques!$D$5:$D$315,U$2)</f>
        <v/>
      </c>
    </row>
    <row r="47">
      <c r="A47" s="17" t="inlineStr">
        <is>
          <t>CBIBF</t>
        </is>
      </c>
      <c r="B47" s="17">
        <f>IFERROR(VLOOKUP(A47,Titres!$A$2:$D$400,2,FALSE),"")</f>
        <v/>
      </c>
      <c r="C47" s="17">
        <f>IFERROR(VLOOKUP(A47,Titres!$A$2:$D$400,4,FALSE),"")</f>
        <v/>
      </c>
      <c r="D47" s="18">
        <f>SUMIFS(Entreprises!$N$5:$N$639,Entreprises!$A$5:$A$639,$A47,Entreprises!$C$5:$C$639,D$3,Entreprises!$D$5:$D$639,D$2)+SUMIFS(Banques!$P$5:$P$315,Banques!$A$5:$A$315,$A47,Banques!$C$5:$C$315,D$3,Banques!$D$5:$D$315,D$2)</f>
        <v/>
      </c>
      <c r="E47" s="18">
        <f>SUMIFS(Entreprises!$N$5:$N$639,Entreprises!$A$5:$A$639,$A47,Entreprises!$C$5:$C$639,E$3,Entreprises!$D$5:$D$639,E$2)+SUMIFS(Banques!$P$5:$P$315,Banques!$A$5:$A$315,$A47,Banques!$C$5:$C$315,E$3,Banques!$D$5:$D$315,E$2)</f>
        <v/>
      </c>
      <c r="F47" s="18">
        <f>SUMIFS(Entreprises!$N$5:$N$639,Entreprises!$A$5:$A$639,$A47,Entreprises!$C$5:$C$639,F$3,Entreprises!$D$5:$D$639,F$2)+SUMIFS(Banques!$P$5:$P$315,Banques!$A$5:$A$315,$A47,Banques!$C$5:$C$315,F$3,Banques!$D$5:$D$315,F$2)</f>
        <v/>
      </c>
      <c r="G47" s="18">
        <f>SUMIFS(Entreprises!$N$5:$N$639,Entreprises!$A$5:$A$639,$A47,Entreprises!$C$5:$C$639,G$3,Entreprises!$D$5:$D$639,G$2)+SUMIFS(Banques!$P$5:$P$315,Banques!$A$5:$A$315,$A47,Banques!$C$5:$C$315,G$3,Banques!$D$5:$D$315,G$2)</f>
        <v/>
      </c>
      <c r="H47" s="18">
        <f>SUMIFS(Entreprises!$N$5:$N$639,Entreprises!$A$5:$A$639,$A47,Entreprises!$C$5:$C$639,H$3,Entreprises!$D$5:$D$639,H$2)+SUMIFS(Banques!$P$5:$P$315,Banques!$A$5:$A$315,$A47,Banques!$C$5:$C$315,H$3,Banques!$D$5:$D$315,H$2)</f>
        <v/>
      </c>
      <c r="I47" s="18">
        <f>SUMIFS(Entreprises!$N$5:$N$639,Entreprises!$A$5:$A$639,$A47,Entreprises!$C$5:$C$639,I$3,Entreprises!$D$5:$D$639,I$2)+SUMIFS(Banques!$P$5:$P$315,Banques!$A$5:$A$315,$A47,Banques!$C$5:$C$315,I$3,Banques!$D$5:$D$315,I$2)</f>
        <v/>
      </c>
      <c r="J47" s="18">
        <f>SUMIFS(Entreprises!$N$5:$N$639,Entreprises!$A$5:$A$639,$A47,Entreprises!$C$5:$C$639,J$3,Entreprises!$D$5:$D$639,J$2)+SUMIFS(Banques!$P$5:$P$315,Banques!$A$5:$A$315,$A47,Banques!$C$5:$C$315,J$3,Banques!$D$5:$D$315,J$2)</f>
        <v/>
      </c>
      <c r="K47" s="18">
        <f>SUMIFS(Entreprises!$N$5:$N$639,Entreprises!$A$5:$A$639,$A47,Entreprises!$C$5:$C$639,K$3,Entreprises!$D$5:$D$639,K$2)+SUMIFS(Banques!$P$5:$P$315,Banques!$A$5:$A$315,$A47,Banques!$C$5:$C$315,K$3,Banques!$D$5:$D$315,K$2)</f>
        <v/>
      </c>
      <c r="L47" s="18">
        <f>SUMIFS(Entreprises!$N$5:$N$639,Entreprises!$A$5:$A$639,$A47,Entreprises!$C$5:$C$639,L$3,Entreprises!$D$5:$D$639,L$2)+SUMIFS(Banques!$P$5:$P$315,Banques!$A$5:$A$315,$A47,Banques!$C$5:$C$315,L$3,Banques!$D$5:$D$315,L$2)</f>
        <v/>
      </c>
      <c r="M47" s="18">
        <f>SUMIFS(Entreprises!$N$5:$N$639,Entreprises!$A$5:$A$639,$A47,Entreprises!$C$5:$C$639,M$3,Entreprises!$D$5:$D$639,M$2)+SUMIFS(Banques!$P$5:$P$315,Banques!$A$5:$A$315,$A47,Banques!$C$5:$C$315,M$3,Banques!$D$5:$D$315,M$2)</f>
        <v/>
      </c>
      <c r="N47" s="18">
        <f>SUMIFS(Entreprises!$N$5:$N$639,Entreprises!$A$5:$A$639,$A47,Entreprises!$C$5:$C$639,N$3,Entreprises!$D$5:$D$639,N$2)+SUMIFS(Banques!$P$5:$P$315,Banques!$A$5:$A$315,$A47,Banques!$C$5:$C$315,N$3,Banques!$D$5:$D$315,N$2)</f>
        <v/>
      </c>
      <c r="O47" s="18">
        <f>SUMIFS(Entreprises!$N$5:$N$639,Entreprises!$A$5:$A$639,$A47,Entreprises!$C$5:$C$639,O$3,Entreprises!$D$5:$D$639,O$2)+SUMIFS(Banques!$P$5:$P$315,Banques!$A$5:$A$315,$A47,Banques!$C$5:$C$315,O$3,Banques!$D$5:$D$315,O$2)</f>
        <v/>
      </c>
      <c r="P47" s="18">
        <f>SUMIFS(Entreprises!$N$5:$N$639,Entreprises!$A$5:$A$639,$A47,Entreprises!$C$5:$C$639,P$3,Entreprises!$D$5:$D$639,P$2)+SUMIFS(Banques!$P$5:$P$315,Banques!$A$5:$A$315,$A47,Banques!$C$5:$C$315,P$3,Banques!$D$5:$D$315,P$2)</f>
        <v/>
      </c>
      <c r="Q47" s="18">
        <f>SUMIFS(Entreprises!$N$5:$N$639,Entreprises!$A$5:$A$639,$A47,Entreprises!$C$5:$C$639,Q$3,Entreprises!$D$5:$D$639,Q$2)+SUMIFS(Banques!$P$5:$P$315,Banques!$A$5:$A$315,$A47,Banques!$C$5:$C$315,Q$3,Banques!$D$5:$D$315,Q$2)</f>
        <v/>
      </c>
      <c r="R47" s="18">
        <f>SUMIFS(Entreprises!$N$5:$N$639,Entreprises!$A$5:$A$639,$A47,Entreprises!$C$5:$C$639,R$3,Entreprises!$D$5:$D$639,R$2)+SUMIFS(Banques!$P$5:$P$315,Banques!$A$5:$A$315,$A47,Banques!$C$5:$C$315,R$3,Banques!$D$5:$D$315,R$2)</f>
        <v/>
      </c>
      <c r="S47" s="18">
        <f>SUMIFS(Entreprises!$N$5:$N$639,Entreprises!$A$5:$A$639,$A47,Entreprises!$C$5:$C$639,S$3,Entreprises!$D$5:$D$639,S$2)+SUMIFS(Banques!$P$5:$P$315,Banques!$A$5:$A$315,$A47,Banques!$C$5:$C$315,S$3,Banques!$D$5:$D$315,S$2)</f>
        <v/>
      </c>
      <c r="T47" s="18">
        <f>SUMIFS(Entreprises!$N$5:$N$639,Entreprises!$A$5:$A$639,$A47,Entreprises!$C$5:$C$639,T$3,Entreprises!$D$5:$D$639,T$2)+SUMIFS(Banques!$P$5:$P$315,Banques!$A$5:$A$315,$A47,Banques!$C$5:$C$315,T$3,Banques!$D$5:$D$315,T$2)</f>
        <v/>
      </c>
      <c r="U47" s="18">
        <f>SUMIFS(Entreprises!$N$5:$N$639,Entreprises!$A$5:$A$639,$A47,Entreprises!$C$5:$C$639,U$3,Entreprises!$D$5:$D$639,U$2)+SUMIFS(Banques!$P$5:$P$315,Banques!$A$5:$A$315,$A47,Banques!$C$5:$C$315,U$3,Banques!$D$5:$D$315,U$2)</f>
        <v/>
      </c>
    </row>
    <row r="48">
      <c r="A48" s="17" t="inlineStr">
        <is>
          <t>ECOC</t>
        </is>
      </c>
      <c r="B48" s="17">
        <f>IFERROR(VLOOKUP(A48,Titres!$A$2:$D$400,2,FALSE),"")</f>
        <v/>
      </c>
      <c r="C48" s="17">
        <f>IFERROR(VLOOKUP(A48,Titres!$A$2:$D$400,4,FALSE),"")</f>
        <v/>
      </c>
      <c r="D48" s="18">
        <f>SUMIFS(Entreprises!$N$5:$N$639,Entreprises!$A$5:$A$639,$A48,Entreprises!$C$5:$C$639,D$3,Entreprises!$D$5:$D$639,D$2)+SUMIFS(Banques!$P$5:$P$315,Banques!$A$5:$A$315,$A48,Banques!$C$5:$C$315,D$3,Banques!$D$5:$D$315,D$2)</f>
        <v/>
      </c>
      <c r="E48" s="18">
        <f>SUMIFS(Entreprises!$N$5:$N$639,Entreprises!$A$5:$A$639,$A48,Entreprises!$C$5:$C$639,E$3,Entreprises!$D$5:$D$639,E$2)+SUMIFS(Banques!$P$5:$P$315,Banques!$A$5:$A$315,$A48,Banques!$C$5:$C$315,E$3,Banques!$D$5:$D$315,E$2)</f>
        <v/>
      </c>
      <c r="F48" s="18">
        <f>SUMIFS(Entreprises!$N$5:$N$639,Entreprises!$A$5:$A$639,$A48,Entreprises!$C$5:$C$639,F$3,Entreprises!$D$5:$D$639,F$2)+SUMIFS(Banques!$P$5:$P$315,Banques!$A$5:$A$315,$A48,Banques!$C$5:$C$315,F$3,Banques!$D$5:$D$315,F$2)</f>
        <v/>
      </c>
      <c r="G48" s="18">
        <f>SUMIFS(Entreprises!$N$5:$N$639,Entreprises!$A$5:$A$639,$A48,Entreprises!$C$5:$C$639,G$3,Entreprises!$D$5:$D$639,G$2)+SUMIFS(Banques!$P$5:$P$315,Banques!$A$5:$A$315,$A48,Banques!$C$5:$C$315,G$3,Banques!$D$5:$D$315,G$2)</f>
        <v/>
      </c>
      <c r="H48" s="18">
        <f>SUMIFS(Entreprises!$N$5:$N$639,Entreprises!$A$5:$A$639,$A48,Entreprises!$C$5:$C$639,H$3,Entreprises!$D$5:$D$639,H$2)+SUMIFS(Banques!$P$5:$P$315,Banques!$A$5:$A$315,$A48,Banques!$C$5:$C$315,H$3,Banques!$D$5:$D$315,H$2)</f>
        <v/>
      </c>
      <c r="I48" s="18">
        <f>SUMIFS(Entreprises!$N$5:$N$639,Entreprises!$A$5:$A$639,$A48,Entreprises!$C$5:$C$639,I$3,Entreprises!$D$5:$D$639,I$2)+SUMIFS(Banques!$P$5:$P$315,Banques!$A$5:$A$315,$A48,Banques!$C$5:$C$315,I$3,Banques!$D$5:$D$315,I$2)</f>
        <v/>
      </c>
      <c r="J48" s="18">
        <f>SUMIFS(Entreprises!$N$5:$N$639,Entreprises!$A$5:$A$639,$A48,Entreprises!$C$5:$C$639,J$3,Entreprises!$D$5:$D$639,J$2)+SUMIFS(Banques!$P$5:$P$315,Banques!$A$5:$A$315,$A48,Banques!$C$5:$C$315,J$3,Banques!$D$5:$D$315,J$2)</f>
        <v/>
      </c>
      <c r="K48" s="18">
        <f>SUMIFS(Entreprises!$N$5:$N$639,Entreprises!$A$5:$A$639,$A48,Entreprises!$C$5:$C$639,K$3,Entreprises!$D$5:$D$639,K$2)+SUMIFS(Banques!$P$5:$P$315,Banques!$A$5:$A$315,$A48,Banques!$C$5:$C$315,K$3,Banques!$D$5:$D$315,K$2)</f>
        <v/>
      </c>
      <c r="L48" s="18">
        <f>SUMIFS(Entreprises!$N$5:$N$639,Entreprises!$A$5:$A$639,$A48,Entreprises!$C$5:$C$639,L$3,Entreprises!$D$5:$D$639,L$2)+SUMIFS(Banques!$P$5:$P$315,Banques!$A$5:$A$315,$A48,Banques!$C$5:$C$315,L$3,Banques!$D$5:$D$315,L$2)</f>
        <v/>
      </c>
      <c r="M48" s="18">
        <f>SUMIFS(Entreprises!$N$5:$N$639,Entreprises!$A$5:$A$639,$A48,Entreprises!$C$5:$C$639,M$3,Entreprises!$D$5:$D$639,M$2)+SUMIFS(Banques!$P$5:$P$315,Banques!$A$5:$A$315,$A48,Banques!$C$5:$C$315,M$3,Banques!$D$5:$D$315,M$2)</f>
        <v/>
      </c>
      <c r="N48" s="18">
        <f>SUMIFS(Entreprises!$N$5:$N$639,Entreprises!$A$5:$A$639,$A48,Entreprises!$C$5:$C$639,N$3,Entreprises!$D$5:$D$639,N$2)+SUMIFS(Banques!$P$5:$P$315,Banques!$A$5:$A$315,$A48,Banques!$C$5:$C$315,N$3,Banques!$D$5:$D$315,N$2)</f>
        <v/>
      </c>
      <c r="O48" s="18">
        <f>SUMIFS(Entreprises!$N$5:$N$639,Entreprises!$A$5:$A$639,$A48,Entreprises!$C$5:$C$639,O$3,Entreprises!$D$5:$D$639,O$2)+SUMIFS(Banques!$P$5:$P$315,Banques!$A$5:$A$315,$A48,Banques!$C$5:$C$315,O$3,Banques!$D$5:$D$315,O$2)</f>
        <v/>
      </c>
      <c r="P48" s="18">
        <f>SUMIFS(Entreprises!$N$5:$N$639,Entreprises!$A$5:$A$639,$A48,Entreprises!$C$5:$C$639,P$3,Entreprises!$D$5:$D$639,P$2)+SUMIFS(Banques!$P$5:$P$315,Banques!$A$5:$A$315,$A48,Banques!$C$5:$C$315,P$3,Banques!$D$5:$D$315,P$2)</f>
        <v/>
      </c>
      <c r="Q48" s="18">
        <f>SUMIFS(Entreprises!$N$5:$N$639,Entreprises!$A$5:$A$639,$A48,Entreprises!$C$5:$C$639,Q$3,Entreprises!$D$5:$D$639,Q$2)+SUMIFS(Banques!$P$5:$P$315,Banques!$A$5:$A$315,$A48,Banques!$C$5:$C$315,Q$3,Banques!$D$5:$D$315,Q$2)</f>
        <v/>
      </c>
      <c r="R48" s="18">
        <f>SUMIFS(Entreprises!$N$5:$N$639,Entreprises!$A$5:$A$639,$A48,Entreprises!$C$5:$C$639,R$3,Entreprises!$D$5:$D$639,R$2)+SUMIFS(Banques!$P$5:$P$315,Banques!$A$5:$A$315,$A48,Banques!$C$5:$C$315,R$3,Banques!$D$5:$D$315,R$2)</f>
        <v/>
      </c>
      <c r="S48" s="18">
        <f>SUMIFS(Entreprises!$N$5:$N$639,Entreprises!$A$5:$A$639,$A48,Entreprises!$C$5:$C$639,S$3,Entreprises!$D$5:$D$639,S$2)+SUMIFS(Banques!$P$5:$P$315,Banques!$A$5:$A$315,$A48,Banques!$C$5:$C$315,S$3,Banques!$D$5:$D$315,S$2)</f>
        <v/>
      </c>
      <c r="T48" s="18">
        <f>SUMIFS(Entreprises!$N$5:$N$639,Entreprises!$A$5:$A$639,$A48,Entreprises!$C$5:$C$639,T$3,Entreprises!$D$5:$D$639,T$2)+SUMIFS(Banques!$P$5:$P$315,Banques!$A$5:$A$315,$A48,Banques!$C$5:$C$315,T$3,Banques!$D$5:$D$315,T$2)</f>
        <v/>
      </c>
      <c r="U48" s="18">
        <f>SUMIFS(Entreprises!$N$5:$N$639,Entreprises!$A$5:$A$639,$A48,Entreprises!$C$5:$C$639,U$3,Entreprises!$D$5:$D$639,U$2)+SUMIFS(Banques!$P$5:$P$315,Banques!$A$5:$A$315,$A48,Banques!$C$5:$C$315,U$3,Banques!$D$5:$D$315,U$2)</f>
        <v/>
      </c>
    </row>
    <row r="49">
      <c r="A49" s="17" t="inlineStr">
        <is>
          <t>NSBC</t>
        </is>
      </c>
      <c r="B49" s="17">
        <f>IFERROR(VLOOKUP(A49,Titres!$A$2:$D$400,2,FALSE),"")</f>
        <v/>
      </c>
      <c r="C49" s="17">
        <f>IFERROR(VLOOKUP(A49,Titres!$A$2:$D$400,4,FALSE),"")</f>
        <v/>
      </c>
      <c r="D49" s="18">
        <f>SUMIFS(Entreprises!$N$5:$N$639,Entreprises!$A$5:$A$639,$A49,Entreprises!$C$5:$C$639,D$3,Entreprises!$D$5:$D$639,D$2)+SUMIFS(Banques!$P$5:$P$315,Banques!$A$5:$A$315,$A49,Banques!$C$5:$C$315,D$3,Banques!$D$5:$D$315,D$2)</f>
        <v/>
      </c>
      <c r="E49" s="18">
        <f>SUMIFS(Entreprises!$N$5:$N$639,Entreprises!$A$5:$A$639,$A49,Entreprises!$C$5:$C$639,E$3,Entreprises!$D$5:$D$639,E$2)+SUMIFS(Banques!$P$5:$P$315,Banques!$A$5:$A$315,$A49,Banques!$C$5:$C$315,E$3,Banques!$D$5:$D$315,E$2)</f>
        <v/>
      </c>
      <c r="F49" s="18">
        <f>SUMIFS(Entreprises!$N$5:$N$639,Entreprises!$A$5:$A$639,$A49,Entreprises!$C$5:$C$639,F$3,Entreprises!$D$5:$D$639,F$2)+SUMIFS(Banques!$P$5:$P$315,Banques!$A$5:$A$315,$A49,Banques!$C$5:$C$315,F$3,Banques!$D$5:$D$315,F$2)</f>
        <v/>
      </c>
      <c r="G49" s="18">
        <f>SUMIFS(Entreprises!$N$5:$N$639,Entreprises!$A$5:$A$639,$A49,Entreprises!$C$5:$C$639,G$3,Entreprises!$D$5:$D$639,G$2)+SUMIFS(Banques!$P$5:$P$315,Banques!$A$5:$A$315,$A49,Banques!$C$5:$C$315,G$3,Banques!$D$5:$D$315,G$2)</f>
        <v/>
      </c>
      <c r="H49" s="18">
        <f>SUMIFS(Entreprises!$N$5:$N$639,Entreprises!$A$5:$A$639,$A49,Entreprises!$C$5:$C$639,H$3,Entreprises!$D$5:$D$639,H$2)+SUMIFS(Banques!$P$5:$P$315,Banques!$A$5:$A$315,$A49,Banques!$C$5:$C$315,H$3,Banques!$D$5:$D$315,H$2)</f>
        <v/>
      </c>
      <c r="I49" s="18">
        <f>SUMIFS(Entreprises!$N$5:$N$639,Entreprises!$A$5:$A$639,$A49,Entreprises!$C$5:$C$639,I$3,Entreprises!$D$5:$D$639,I$2)+SUMIFS(Banques!$P$5:$P$315,Banques!$A$5:$A$315,$A49,Banques!$C$5:$C$315,I$3,Banques!$D$5:$D$315,I$2)</f>
        <v/>
      </c>
      <c r="J49" s="18">
        <f>SUMIFS(Entreprises!$N$5:$N$639,Entreprises!$A$5:$A$639,$A49,Entreprises!$C$5:$C$639,J$3,Entreprises!$D$5:$D$639,J$2)+SUMIFS(Banques!$P$5:$P$315,Banques!$A$5:$A$315,$A49,Banques!$C$5:$C$315,J$3,Banques!$D$5:$D$315,J$2)</f>
        <v/>
      </c>
      <c r="K49" s="18">
        <f>SUMIFS(Entreprises!$N$5:$N$639,Entreprises!$A$5:$A$639,$A49,Entreprises!$C$5:$C$639,K$3,Entreprises!$D$5:$D$639,K$2)+SUMIFS(Banques!$P$5:$P$315,Banques!$A$5:$A$315,$A49,Banques!$C$5:$C$315,K$3,Banques!$D$5:$D$315,K$2)</f>
        <v/>
      </c>
      <c r="L49" s="18">
        <f>SUMIFS(Entreprises!$N$5:$N$639,Entreprises!$A$5:$A$639,$A49,Entreprises!$C$5:$C$639,L$3,Entreprises!$D$5:$D$639,L$2)+SUMIFS(Banques!$P$5:$P$315,Banques!$A$5:$A$315,$A49,Banques!$C$5:$C$315,L$3,Banques!$D$5:$D$315,L$2)</f>
        <v/>
      </c>
      <c r="M49" s="18">
        <f>SUMIFS(Entreprises!$N$5:$N$639,Entreprises!$A$5:$A$639,$A49,Entreprises!$C$5:$C$639,M$3,Entreprises!$D$5:$D$639,M$2)+SUMIFS(Banques!$P$5:$P$315,Banques!$A$5:$A$315,$A49,Banques!$C$5:$C$315,M$3,Banques!$D$5:$D$315,M$2)</f>
        <v/>
      </c>
      <c r="N49" s="18">
        <f>SUMIFS(Entreprises!$N$5:$N$639,Entreprises!$A$5:$A$639,$A49,Entreprises!$C$5:$C$639,N$3,Entreprises!$D$5:$D$639,N$2)+SUMIFS(Banques!$P$5:$P$315,Banques!$A$5:$A$315,$A49,Banques!$C$5:$C$315,N$3,Banques!$D$5:$D$315,N$2)</f>
        <v/>
      </c>
      <c r="O49" s="18">
        <f>SUMIFS(Entreprises!$N$5:$N$639,Entreprises!$A$5:$A$639,$A49,Entreprises!$C$5:$C$639,O$3,Entreprises!$D$5:$D$639,O$2)+SUMIFS(Banques!$P$5:$P$315,Banques!$A$5:$A$315,$A49,Banques!$C$5:$C$315,O$3,Banques!$D$5:$D$315,O$2)</f>
        <v/>
      </c>
      <c r="P49" s="18">
        <f>SUMIFS(Entreprises!$N$5:$N$639,Entreprises!$A$5:$A$639,$A49,Entreprises!$C$5:$C$639,P$3,Entreprises!$D$5:$D$639,P$2)+SUMIFS(Banques!$P$5:$P$315,Banques!$A$5:$A$315,$A49,Banques!$C$5:$C$315,P$3,Banques!$D$5:$D$315,P$2)</f>
        <v/>
      </c>
      <c r="Q49" s="18">
        <f>SUMIFS(Entreprises!$N$5:$N$639,Entreprises!$A$5:$A$639,$A49,Entreprises!$C$5:$C$639,Q$3,Entreprises!$D$5:$D$639,Q$2)+SUMIFS(Banques!$P$5:$P$315,Banques!$A$5:$A$315,$A49,Banques!$C$5:$C$315,Q$3,Banques!$D$5:$D$315,Q$2)</f>
        <v/>
      </c>
      <c r="R49" s="18">
        <f>SUMIFS(Entreprises!$N$5:$N$639,Entreprises!$A$5:$A$639,$A49,Entreprises!$C$5:$C$639,R$3,Entreprises!$D$5:$D$639,R$2)+SUMIFS(Banques!$P$5:$P$315,Banques!$A$5:$A$315,$A49,Banques!$C$5:$C$315,R$3,Banques!$D$5:$D$315,R$2)</f>
        <v/>
      </c>
      <c r="S49" s="18">
        <f>SUMIFS(Entreprises!$N$5:$N$639,Entreprises!$A$5:$A$639,$A49,Entreprises!$C$5:$C$639,S$3,Entreprises!$D$5:$D$639,S$2)+SUMIFS(Banques!$P$5:$P$315,Banques!$A$5:$A$315,$A49,Banques!$C$5:$C$315,S$3,Banques!$D$5:$D$315,S$2)</f>
        <v/>
      </c>
      <c r="T49" s="18">
        <f>SUMIFS(Entreprises!$N$5:$N$639,Entreprises!$A$5:$A$639,$A49,Entreprises!$C$5:$C$639,T$3,Entreprises!$D$5:$D$639,T$2)+SUMIFS(Banques!$P$5:$P$315,Banques!$A$5:$A$315,$A49,Banques!$C$5:$C$315,T$3,Banques!$D$5:$D$315,T$2)</f>
        <v/>
      </c>
      <c r="U49" s="18">
        <f>SUMIFS(Entreprises!$N$5:$N$639,Entreprises!$A$5:$A$639,$A49,Entreprises!$C$5:$C$639,U$3,Entreprises!$D$5:$D$639,U$2)+SUMIFS(Banques!$P$5:$P$315,Banques!$A$5:$A$315,$A49,Banques!$C$5:$C$315,U$3,Banques!$D$5:$D$315,U$2)</f>
        <v/>
      </c>
    </row>
    <row r="50">
      <c r="A50" s="17" t="inlineStr">
        <is>
          <t>SAFC</t>
        </is>
      </c>
      <c r="B50" s="17">
        <f>IFERROR(VLOOKUP(A50,Titres!$A$2:$D$400,2,FALSE),"")</f>
        <v/>
      </c>
      <c r="C50" s="17">
        <f>IFERROR(VLOOKUP(A50,Titres!$A$2:$D$400,4,FALSE),"")</f>
        <v/>
      </c>
      <c r="D50" s="18">
        <f>SUMIFS(Entreprises!$N$5:$N$639,Entreprises!$A$5:$A$639,$A50,Entreprises!$C$5:$C$639,D$3,Entreprises!$D$5:$D$639,D$2)+SUMIFS(Banques!$P$5:$P$315,Banques!$A$5:$A$315,$A50,Banques!$C$5:$C$315,D$3,Banques!$D$5:$D$315,D$2)</f>
        <v/>
      </c>
      <c r="E50" s="18">
        <f>SUMIFS(Entreprises!$N$5:$N$639,Entreprises!$A$5:$A$639,$A50,Entreprises!$C$5:$C$639,E$3,Entreprises!$D$5:$D$639,E$2)+SUMIFS(Banques!$P$5:$P$315,Banques!$A$5:$A$315,$A50,Banques!$C$5:$C$315,E$3,Banques!$D$5:$D$315,E$2)</f>
        <v/>
      </c>
      <c r="F50" s="18">
        <f>SUMIFS(Entreprises!$N$5:$N$639,Entreprises!$A$5:$A$639,$A50,Entreprises!$C$5:$C$639,F$3,Entreprises!$D$5:$D$639,F$2)+SUMIFS(Banques!$P$5:$P$315,Banques!$A$5:$A$315,$A50,Banques!$C$5:$C$315,F$3,Banques!$D$5:$D$315,F$2)</f>
        <v/>
      </c>
      <c r="G50" s="18">
        <f>SUMIFS(Entreprises!$N$5:$N$639,Entreprises!$A$5:$A$639,$A50,Entreprises!$C$5:$C$639,G$3,Entreprises!$D$5:$D$639,G$2)+SUMIFS(Banques!$P$5:$P$315,Banques!$A$5:$A$315,$A50,Banques!$C$5:$C$315,G$3,Banques!$D$5:$D$315,G$2)</f>
        <v/>
      </c>
      <c r="H50" s="18">
        <f>SUMIFS(Entreprises!$N$5:$N$639,Entreprises!$A$5:$A$639,$A50,Entreprises!$C$5:$C$639,H$3,Entreprises!$D$5:$D$639,H$2)+SUMIFS(Banques!$P$5:$P$315,Banques!$A$5:$A$315,$A50,Banques!$C$5:$C$315,H$3,Banques!$D$5:$D$315,H$2)</f>
        <v/>
      </c>
      <c r="I50" s="18">
        <f>SUMIFS(Entreprises!$N$5:$N$639,Entreprises!$A$5:$A$639,$A50,Entreprises!$C$5:$C$639,I$3,Entreprises!$D$5:$D$639,I$2)+SUMIFS(Banques!$P$5:$P$315,Banques!$A$5:$A$315,$A50,Banques!$C$5:$C$315,I$3,Banques!$D$5:$D$315,I$2)</f>
        <v/>
      </c>
      <c r="J50" s="18">
        <f>SUMIFS(Entreprises!$N$5:$N$639,Entreprises!$A$5:$A$639,$A50,Entreprises!$C$5:$C$639,J$3,Entreprises!$D$5:$D$639,J$2)+SUMIFS(Banques!$P$5:$P$315,Banques!$A$5:$A$315,$A50,Banques!$C$5:$C$315,J$3,Banques!$D$5:$D$315,J$2)</f>
        <v/>
      </c>
      <c r="K50" s="18">
        <f>SUMIFS(Entreprises!$N$5:$N$639,Entreprises!$A$5:$A$639,$A50,Entreprises!$C$5:$C$639,K$3,Entreprises!$D$5:$D$639,K$2)+SUMIFS(Banques!$P$5:$P$315,Banques!$A$5:$A$315,$A50,Banques!$C$5:$C$315,K$3,Banques!$D$5:$D$315,K$2)</f>
        <v/>
      </c>
      <c r="L50" s="18">
        <f>SUMIFS(Entreprises!$N$5:$N$639,Entreprises!$A$5:$A$639,$A50,Entreprises!$C$5:$C$639,L$3,Entreprises!$D$5:$D$639,L$2)+SUMIFS(Banques!$P$5:$P$315,Banques!$A$5:$A$315,$A50,Banques!$C$5:$C$315,L$3,Banques!$D$5:$D$315,L$2)</f>
        <v/>
      </c>
      <c r="M50" s="18">
        <f>SUMIFS(Entreprises!$N$5:$N$639,Entreprises!$A$5:$A$639,$A50,Entreprises!$C$5:$C$639,M$3,Entreprises!$D$5:$D$639,M$2)+SUMIFS(Banques!$P$5:$P$315,Banques!$A$5:$A$315,$A50,Banques!$C$5:$C$315,M$3,Banques!$D$5:$D$315,M$2)</f>
        <v/>
      </c>
      <c r="N50" s="18">
        <f>SUMIFS(Entreprises!$N$5:$N$639,Entreprises!$A$5:$A$639,$A50,Entreprises!$C$5:$C$639,N$3,Entreprises!$D$5:$D$639,N$2)+SUMIFS(Banques!$P$5:$P$315,Banques!$A$5:$A$315,$A50,Banques!$C$5:$C$315,N$3,Banques!$D$5:$D$315,N$2)</f>
        <v/>
      </c>
      <c r="O50" s="18">
        <f>SUMIFS(Entreprises!$N$5:$N$639,Entreprises!$A$5:$A$639,$A50,Entreprises!$C$5:$C$639,O$3,Entreprises!$D$5:$D$639,O$2)+SUMIFS(Banques!$P$5:$P$315,Banques!$A$5:$A$315,$A50,Banques!$C$5:$C$315,O$3,Banques!$D$5:$D$315,O$2)</f>
        <v/>
      </c>
      <c r="P50" s="18">
        <f>SUMIFS(Entreprises!$N$5:$N$639,Entreprises!$A$5:$A$639,$A50,Entreprises!$C$5:$C$639,P$3,Entreprises!$D$5:$D$639,P$2)+SUMIFS(Banques!$P$5:$P$315,Banques!$A$5:$A$315,$A50,Banques!$C$5:$C$315,P$3,Banques!$D$5:$D$315,P$2)</f>
        <v/>
      </c>
      <c r="Q50" s="18">
        <f>SUMIFS(Entreprises!$N$5:$N$639,Entreprises!$A$5:$A$639,$A50,Entreprises!$C$5:$C$639,Q$3,Entreprises!$D$5:$D$639,Q$2)+SUMIFS(Banques!$P$5:$P$315,Banques!$A$5:$A$315,$A50,Banques!$C$5:$C$315,Q$3,Banques!$D$5:$D$315,Q$2)</f>
        <v/>
      </c>
      <c r="R50" s="18">
        <f>SUMIFS(Entreprises!$N$5:$N$639,Entreprises!$A$5:$A$639,$A50,Entreprises!$C$5:$C$639,R$3,Entreprises!$D$5:$D$639,R$2)+SUMIFS(Banques!$P$5:$P$315,Banques!$A$5:$A$315,$A50,Banques!$C$5:$C$315,R$3,Banques!$D$5:$D$315,R$2)</f>
        <v/>
      </c>
      <c r="S50" s="18">
        <f>SUMIFS(Entreprises!$N$5:$N$639,Entreprises!$A$5:$A$639,$A50,Entreprises!$C$5:$C$639,S$3,Entreprises!$D$5:$D$639,S$2)+SUMIFS(Banques!$P$5:$P$315,Banques!$A$5:$A$315,$A50,Banques!$C$5:$C$315,S$3,Banques!$D$5:$D$315,S$2)</f>
        <v/>
      </c>
      <c r="T50" s="18">
        <f>SUMIFS(Entreprises!$N$5:$N$639,Entreprises!$A$5:$A$639,$A50,Entreprises!$C$5:$C$639,T$3,Entreprises!$D$5:$D$639,T$2)+SUMIFS(Banques!$P$5:$P$315,Banques!$A$5:$A$315,$A50,Banques!$C$5:$C$315,T$3,Banques!$D$5:$D$315,T$2)</f>
        <v/>
      </c>
      <c r="U50" s="18">
        <f>SUMIFS(Entreprises!$N$5:$N$639,Entreprises!$A$5:$A$639,$A50,Entreprises!$C$5:$C$639,U$3,Entreprises!$D$5:$D$639,U$2)+SUMIFS(Banques!$P$5:$P$315,Banques!$A$5:$A$315,$A50,Banques!$C$5:$C$315,U$3,Banques!$D$5:$D$315,U$2)</f>
        <v/>
      </c>
    </row>
    <row r="51">
      <c r="A51" s="17" t="inlineStr">
        <is>
          <t>SGBC</t>
        </is>
      </c>
      <c r="B51" s="17">
        <f>IFERROR(VLOOKUP(A51,Titres!$A$2:$D$400,2,FALSE),"")</f>
        <v/>
      </c>
      <c r="C51" s="17">
        <f>IFERROR(VLOOKUP(A51,Titres!$A$2:$D$400,4,FALSE),"")</f>
        <v/>
      </c>
      <c r="D51" s="18">
        <f>SUMIFS(Entreprises!$N$5:$N$639,Entreprises!$A$5:$A$639,$A51,Entreprises!$C$5:$C$639,D$3,Entreprises!$D$5:$D$639,D$2)+SUMIFS(Banques!$P$5:$P$315,Banques!$A$5:$A$315,$A51,Banques!$C$5:$C$315,D$3,Banques!$D$5:$D$315,D$2)</f>
        <v/>
      </c>
      <c r="E51" s="18">
        <f>SUMIFS(Entreprises!$N$5:$N$639,Entreprises!$A$5:$A$639,$A51,Entreprises!$C$5:$C$639,E$3,Entreprises!$D$5:$D$639,E$2)+SUMIFS(Banques!$P$5:$P$315,Banques!$A$5:$A$315,$A51,Banques!$C$5:$C$315,E$3,Banques!$D$5:$D$315,E$2)</f>
        <v/>
      </c>
      <c r="F51" s="18">
        <f>SUMIFS(Entreprises!$N$5:$N$639,Entreprises!$A$5:$A$639,$A51,Entreprises!$C$5:$C$639,F$3,Entreprises!$D$5:$D$639,F$2)+SUMIFS(Banques!$P$5:$P$315,Banques!$A$5:$A$315,$A51,Banques!$C$5:$C$315,F$3,Banques!$D$5:$D$315,F$2)</f>
        <v/>
      </c>
      <c r="G51" s="18">
        <f>SUMIFS(Entreprises!$N$5:$N$639,Entreprises!$A$5:$A$639,$A51,Entreprises!$C$5:$C$639,G$3,Entreprises!$D$5:$D$639,G$2)+SUMIFS(Banques!$P$5:$P$315,Banques!$A$5:$A$315,$A51,Banques!$C$5:$C$315,G$3,Banques!$D$5:$D$315,G$2)</f>
        <v/>
      </c>
      <c r="H51" s="18">
        <f>SUMIFS(Entreprises!$N$5:$N$639,Entreprises!$A$5:$A$639,$A51,Entreprises!$C$5:$C$639,H$3,Entreprises!$D$5:$D$639,H$2)+SUMIFS(Banques!$P$5:$P$315,Banques!$A$5:$A$315,$A51,Banques!$C$5:$C$315,H$3,Banques!$D$5:$D$315,H$2)</f>
        <v/>
      </c>
      <c r="I51" s="18">
        <f>SUMIFS(Entreprises!$N$5:$N$639,Entreprises!$A$5:$A$639,$A51,Entreprises!$C$5:$C$639,I$3,Entreprises!$D$5:$D$639,I$2)+SUMIFS(Banques!$P$5:$P$315,Banques!$A$5:$A$315,$A51,Banques!$C$5:$C$315,I$3,Banques!$D$5:$D$315,I$2)</f>
        <v/>
      </c>
      <c r="J51" s="18">
        <f>SUMIFS(Entreprises!$N$5:$N$639,Entreprises!$A$5:$A$639,$A51,Entreprises!$C$5:$C$639,J$3,Entreprises!$D$5:$D$639,J$2)+SUMIFS(Banques!$P$5:$P$315,Banques!$A$5:$A$315,$A51,Banques!$C$5:$C$315,J$3,Banques!$D$5:$D$315,J$2)</f>
        <v/>
      </c>
      <c r="K51" s="18">
        <f>SUMIFS(Entreprises!$N$5:$N$639,Entreprises!$A$5:$A$639,$A51,Entreprises!$C$5:$C$639,K$3,Entreprises!$D$5:$D$639,K$2)+SUMIFS(Banques!$P$5:$P$315,Banques!$A$5:$A$315,$A51,Banques!$C$5:$C$315,K$3,Banques!$D$5:$D$315,K$2)</f>
        <v/>
      </c>
      <c r="L51" s="18">
        <f>SUMIFS(Entreprises!$N$5:$N$639,Entreprises!$A$5:$A$639,$A51,Entreprises!$C$5:$C$639,L$3,Entreprises!$D$5:$D$639,L$2)+SUMIFS(Banques!$P$5:$P$315,Banques!$A$5:$A$315,$A51,Banques!$C$5:$C$315,L$3,Banques!$D$5:$D$315,L$2)</f>
        <v/>
      </c>
      <c r="M51" s="18">
        <f>SUMIFS(Entreprises!$N$5:$N$639,Entreprises!$A$5:$A$639,$A51,Entreprises!$C$5:$C$639,M$3,Entreprises!$D$5:$D$639,M$2)+SUMIFS(Banques!$P$5:$P$315,Banques!$A$5:$A$315,$A51,Banques!$C$5:$C$315,M$3,Banques!$D$5:$D$315,M$2)</f>
        <v/>
      </c>
      <c r="N51" s="18">
        <f>SUMIFS(Entreprises!$N$5:$N$639,Entreprises!$A$5:$A$639,$A51,Entreprises!$C$5:$C$639,N$3,Entreprises!$D$5:$D$639,N$2)+SUMIFS(Banques!$P$5:$P$315,Banques!$A$5:$A$315,$A51,Banques!$C$5:$C$315,N$3,Banques!$D$5:$D$315,N$2)</f>
        <v/>
      </c>
      <c r="O51" s="18">
        <f>SUMIFS(Entreprises!$N$5:$N$639,Entreprises!$A$5:$A$639,$A51,Entreprises!$C$5:$C$639,O$3,Entreprises!$D$5:$D$639,O$2)+SUMIFS(Banques!$P$5:$P$315,Banques!$A$5:$A$315,$A51,Banques!$C$5:$C$315,O$3,Banques!$D$5:$D$315,O$2)</f>
        <v/>
      </c>
      <c r="P51" s="18">
        <f>SUMIFS(Entreprises!$N$5:$N$639,Entreprises!$A$5:$A$639,$A51,Entreprises!$C$5:$C$639,P$3,Entreprises!$D$5:$D$639,P$2)+SUMIFS(Banques!$P$5:$P$315,Banques!$A$5:$A$315,$A51,Banques!$C$5:$C$315,P$3,Banques!$D$5:$D$315,P$2)</f>
        <v/>
      </c>
      <c r="Q51" s="18">
        <f>SUMIFS(Entreprises!$N$5:$N$639,Entreprises!$A$5:$A$639,$A51,Entreprises!$C$5:$C$639,Q$3,Entreprises!$D$5:$D$639,Q$2)+SUMIFS(Banques!$P$5:$P$315,Banques!$A$5:$A$315,$A51,Banques!$C$5:$C$315,Q$3,Banques!$D$5:$D$315,Q$2)</f>
        <v/>
      </c>
      <c r="R51" s="18">
        <f>SUMIFS(Entreprises!$N$5:$N$639,Entreprises!$A$5:$A$639,$A51,Entreprises!$C$5:$C$639,R$3,Entreprises!$D$5:$D$639,R$2)+SUMIFS(Banques!$P$5:$P$315,Banques!$A$5:$A$315,$A51,Banques!$C$5:$C$315,R$3,Banques!$D$5:$D$315,R$2)</f>
        <v/>
      </c>
      <c r="S51" s="18">
        <f>SUMIFS(Entreprises!$N$5:$N$639,Entreprises!$A$5:$A$639,$A51,Entreprises!$C$5:$C$639,S$3,Entreprises!$D$5:$D$639,S$2)+SUMIFS(Banques!$P$5:$P$315,Banques!$A$5:$A$315,$A51,Banques!$C$5:$C$315,S$3,Banques!$D$5:$D$315,S$2)</f>
        <v/>
      </c>
      <c r="T51" s="18">
        <f>SUMIFS(Entreprises!$N$5:$N$639,Entreprises!$A$5:$A$639,$A51,Entreprises!$C$5:$C$639,T$3,Entreprises!$D$5:$D$639,T$2)+SUMIFS(Banques!$P$5:$P$315,Banques!$A$5:$A$315,$A51,Banques!$C$5:$C$315,T$3,Banques!$D$5:$D$315,T$2)</f>
        <v/>
      </c>
      <c r="U51" s="18">
        <f>SUMIFS(Entreprises!$N$5:$N$639,Entreprises!$A$5:$A$639,$A51,Entreprises!$C$5:$C$639,U$3,Entreprises!$D$5:$D$639,U$2)+SUMIFS(Banques!$P$5:$P$315,Banques!$A$5:$A$315,$A51,Banques!$C$5:$C$315,U$3,Banques!$D$5:$D$315,U$2)</f>
        <v/>
      </c>
    </row>
    <row r="52">
      <c r="A52" s="17" t="inlineStr">
        <is>
          <t>SIBC</t>
        </is>
      </c>
      <c r="B52" s="17">
        <f>IFERROR(VLOOKUP(A52,Titres!$A$2:$D$400,2,FALSE),"")</f>
        <v/>
      </c>
      <c r="C52" s="17">
        <f>IFERROR(VLOOKUP(A52,Titres!$A$2:$D$400,4,FALSE),"")</f>
        <v/>
      </c>
      <c r="D52" s="18">
        <f>SUMIFS(Entreprises!$N$5:$N$639,Entreprises!$A$5:$A$639,$A52,Entreprises!$C$5:$C$639,D$3,Entreprises!$D$5:$D$639,D$2)+SUMIFS(Banques!$P$5:$P$315,Banques!$A$5:$A$315,$A52,Banques!$C$5:$C$315,D$3,Banques!$D$5:$D$315,D$2)</f>
        <v/>
      </c>
      <c r="E52" s="18">
        <f>SUMIFS(Entreprises!$N$5:$N$639,Entreprises!$A$5:$A$639,$A52,Entreprises!$C$5:$C$639,E$3,Entreprises!$D$5:$D$639,E$2)+SUMIFS(Banques!$P$5:$P$315,Banques!$A$5:$A$315,$A52,Banques!$C$5:$C$315,E$3,Banques!$D$5:$D$315,E$2)</f>
        <v/>
      </c>
      <c r="F52" s="18">
        <f>SUMIFS(Entreprises!$N$5:$N$639,Entreprises!$A$5:$A$639,$A52,Entreprises!$C$5:$C$639,F$3,Entreprises!$D$5:$D$639,F$2)+SUMIFS(Banques!$P$5:$P$315,Banques!$A$5:$A$315,$A52,Banques!$C$5:$C$315,F$3,Banques!$D$5:$D$315,F$2)</f>
        <v/>
      </c>
      <c r="G52" s="18">
        <f>SUMIFS(Entreprises!$N$5:$N$639,Entreprises!$A$5:$A$639,$A52,Entreprises!$C$5:$C$639,G$3,Entreprises!$D$5:$D$639,G$2)+SUMIFS(Banques!$P$5:$P$315,Banques!$A$5:$A$315,$A52,Banques!$C$5:$C$315,G$3,Banques!$D$5:$D$315,G$2)</f>
        <v/>
      </c>
      <c r="H52" s="18">
        <f>SUMIFS(Entreprises!$N$5:$N$639,Entreprises!$A$5:$A$639,$A52,Entreprises!$C$5:$C$639,H$3,Entreprises!$D$5:$D$639,H$2)+SUMIFS(Banques!$P$5:$P$315,Banques!$A$5:$A$315,$A52,Banques!$C$5:$C$315,H$3,Banques!$D$5:$D$315,H$2)</f>
        <v/>
      </c>
      <c r="I52" s="18">
        <f>SUMIFS(Entreprises!$N$5:$N$639,Entreprises!$A$5:$A$639,$A52,Entreprises!$C$5:$C$639,I$3,Entreprises!$D$5:$D$639,I$2)+SUMIFS(Banques!$P$5:$P$315,Banques!$A$5:$A$315,$A52,Banques!$C$5:$C$315,I$3,Banques!$D$5:$D$315,I$2)</f>
        <v/>
      </c>
      <c r="J52" s="18">
        <f>SUMIFS(Entreprises!$N$5:$N$639,Entreprises!$A$5:$A$639,$A52,Entreprises!$C$5:$C$639,J$3,Entreprises!$D$5:$D$639,J$2)+SUMIFS(Banques!$P$5:$P$315,Banques!$A$5:$A$315,$A52,Banques!$C$5:$C$315,J$3,Banques!$D$5:$D$315,J$2)</f>
        <v/>
      </c>
      <c r="K52" s="18">
        <f>SUMIFS(Entreprises!$N$5:$N$639,Entreprises!$A$5:$A$639,$A52,Entreprises!$C$5:$C$639,K$3,Entreprises!$D$5:$D$639,K$2)+SUMIFS(Banques!$P$5:$P$315,Banques!$A$5:$A$315,$A52,Banques!$C$5:$C$315,K$3,Banques!$D$5:$D$315,K$2)</f>
        <v/>
      </c>
      <c r="L52" s="18">
        <f>SUMIFS(Entreprises!$N$5:$N$639,Entreprises!$A$5:$A$639,$A52,Entreprises!$C$5:$C$639,L$3,Entreprises!$D$5:$D$639,L$2)+SUMIFS(Banques!$P$5:$P$315,Banques!$A$5:$A$315,$A52,Banques!$C$5:$C$315,L$3,Banques!$D$5:$D$315,L$2)</f>
        <v/>
      </c>
      <c r="M52" s="18">
        <f>SUMIFS(Entreprises!$N$5:$N$639,Entreprises!$A$5:$A$639,$A52,Entreprises!$C$5:$C$639,M$3,Entreprises!$D$5:$D$639,M$2)+SUMIFS(Banques!$P$5:$P$315,Banques!$A$5:$A$315,$A52,Banques!$C$5:$C$315,M$3,Banques!$D$5:$D$315,M$2)</f>
        <v/>
      </c>
      <c r="N52" s="18">
        <f>SUMIFS(Entreprises!$N$5:$N$639,Entreprises!$A$5:$A$639,$A52,Entreprises!$C$5:$C$639,N$3,Entreprises!$D$5:$D$639,N$2)+SUMIFS(Banques!$P$5:$P$315,Banques!$A$5:$A$315,$A52,Banques!$C$5:$C$315,N$3,Banques!$D$5:$D$315,N$2)</f>
        <v/>
      </c>
      <c r="O52" s="18">
        <f>SUMIFS(Entreprises!$N$5:$N$639,Entreprises!$A$5:$A$639,$A52,Entreprises!$C$5:$C$639,O$3,Entreprises!$D$5:$D$639,O$2)+SUMIFS(Banques!$P$5:$P$315,Banques!$A$5:$A$315,$A52,Banques!$C$5:$C$315,O$3,Banques!$D$5:$D$315,O$2)</f>
        <v/>
      </c>
      <c r="P52" s="18">
        <f>SUMIFS(Entreprises!$N$5:$N$639,Entreprises!$A$5:$A$639,$A52,Entreprises!$C$5:$C$639,P$3,Entreprises!$D$5:$D$639,P$2)+SUMIFS(Banques!$P$5:$P$315,Banques!$A$5:$A$315,$A52,Banques!$C$5:$C$315,P$3,Banques!$D$5:$D$315,P$2)</f>
        <v/>
      </c>
      <c r="Q52" s="18">
        <f>SUMIFS(Entreprises!$N$5:$N$639,Entreprises!$A$5:$A$639,$A52,Entreprises!$C$5:$C$639,Q$3,Entreprises!$D$5:$D$639,Q$2)+SUMIFS(Banques!$P$5:$P$315,Banques!$A$5:$A$315,$A52,Banques!$C$5:$C$315,Q$3,Banques!$D$5:$D$315,Q$2)</f>
        <v/>
      </c>
      <c r="R52" s="18">
        <f>SUMIFS(Entreprises!$N$5:$N$639,Entreprises!$A$5:$A$639,$A52,Entreprises!$C$5:$C$639,R$3,Entreprises!$D$5:$D$639,R$2)+SUMIFS(Banques!$P$5:$P$315,Banques!$A$5:$A$315,$A52,Banques!$C$5:$C$315,R$3,Banques!$D$5:$D$315,R$2)</f>
        <v/>
      </c>
      <c r="S52" s="18">
        <f>SUMIFS(Entreprises!$N$5:$N$639,Entreprises!$A$5:$A$639,$A52,Entreprises!$C$5:$C$639,S$3,Entreprises!$D$5:$D$639,S$2)+SUMIFS(Banques!$P$5:$P$315,Banques!$A$5:$A$315,$A52,Banques!$C$5:$C$315,S$3,Banques!$D$5:$D$315,S$2)</f>
        <v/>
      </c>
      <c r="T52" s="18">
        <f>SUMIFS(Entreprises!$N$5:$N$639,Entreprises!$A$5:$A$639,$A52,Entreprises!$C$5:$C$639,T$3,Entreprises!$D$5:$D$639,T$2)+SUMIFS(Banques!$P$5:$P$315,Banques!$A$5:$A$315,$A52,Banques!$C$5:$C$315,T$3,Banques!$D$5:$D$315,T$2)</f>
        <v/>
      </c>
      <c r="U52" s="18">
        <f>SUMIFS(Entreprises!$N$5:$N$639,Entreprises!$A$5:$A$639,$A52,Entreprises!$C$5:$C$639,U$3,Entreprises!$D$5:$D$639,U$2)+SUMIFS(Banques!$P$5:$P$315,Banques!$A$5:$A$315,$A52,Banques!$C$5:$C$315,U$3,Banques!$D$5:$D$315,U$2)</f>
        <v/>
      </c>
    </row>
  </sheetData>
  <mergeCells count="1">
    <mergeCell ref="A2:C3"/>
  </mergeCells>
  <conditionalFormatting sqref="D5:U52">
    <cfRule type="colorScale" priority="1">
      <colorScale>
        <cfvo type="num" val="0"/>
        <cfvo type="num" val="1"/>
        <color rgb="00FFFFFF"/>
        <color rgb="006FB3D6"/>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9"/>
  <sheetViews>
    <sheetView workbookViewId="0">
      <pane ySplit="1" topLeftCell="A2" activePane="bottomLeft" state="frozen"/>
      <selection pane="bottomLeft" activeCell="A1" sqref="A1"/>
    </sheetView>
  </sheetViews>
  <sheetFormatPr baseColWidth="8" defaultRowHeight="15"/>
  <cols>
    <col width="10" customWidth="1" min="1" max="1"/>
    <col width="38" customWidth="1" min="2" max="2"/>
    <col width="18" customWidth="1" min="3" max="3"/>
    <col width="30" customWidth="1" min="4" max="4"/>
    <col width="34" customWidth="1" min="5" max="5"/>
    <col width="16" customWidth="1" min="6" max="6"/>
  </cols>
  <sheetData>
    <row r="1">
      <c r="A1" s="19" t="inlineStr">
        <is>
          <t>Ticker</t>
        </is>
      </c>
      <c r="B1" s="19" t="inlineStr">
        <is>
          <t>Société</t>
        </is>
      </c>
      <c r="C1" s="19" t="inlineStr">
        <is>
          <t>Pays</t>
        </is>
      </c>
      <c r="D1" s="19" t="inlineStr">
        <is>
          <t>Secteur</t>
        </is>
      </c>
      <c r="E1" s="19" t="inlineStr">
        <is>
          <t>Type de comptes</t>
        </is>
      </c>
      <c r="F1" s="19" t="inlineStr">
        <is>
          <t>Feuille de saisie</t>
        </is>
      </c>
    </row>
    <row r="2">
      <c r="A2" s="17" t="inlineStr">
        <is>
          <t>NTLC</t>
        </is>
      </c>
      <c r="B2" s="17" t="inlineStr">
        <is>
          <t>NESTLE COTE D'IVOIRE</t>
        </is>
      </c>
      <c r="C2" s="17" t="inlineStr">
        <is>
          <t>CÔTE D'IVOIRE</t>
        </is>
      </c>
      <c r="D2" s="17" t="inlineStr">
        <is>
          <t>Consommation de base</t>
        </is>
      </c>
      <c r="E2" s="17" t="inlineStr">
        <is>
          <t>Entreprise (SYSCOHADA)</t>
        </is>
      </c>
      <c r="F2" s="17" t="inlineStr">
        <is>
          <t>Entreprises</t>
        </is>
      </c>
    </row>
    <row r="3">
      <c r="A3" s="17" t="inlineStr">
        <is>
          <t>PALC</t>
        </is>
      </c>
      <c r="B3" s="17" t="inlineStr">
        <is>
          <t>PALM COTE D'IVOIRE</t>
        </is>
      </c>
      <c r="C3" s="17" t="inlineStr">
        <is>
          <t>CÔTE D'IVOIRE</t>
        </is>
      </c>
      <c r="D3" s="17" t="inlineStr">
        <is>
          <t>Consommation de base</t>
        </is>
      </c>
      <c r="E3" s="17" t="inlineStr">
        <is>
          <t>Entreprise (SYSCOHADA)</t>
        </is>
      </c>
      <c r="F3" s="17" t="inlineStr">
        <is>
          <t>Entreprises</t>
        </is>
      </c>
    </row>
    <row r="4">
      <c r="A4" s="17" t="inlineStr">
        <is>
          <t>SCRC</t>
        </is>
      </c>
      <c r="B4" s="17" t="inlineStr">
        <is>
          <t>SUCRIVOIRE COTE D'IVOIRE</t>
        </is>
      </c>
      <c r="C4" s="17" t="inlineStr">
        <is>
          <t>CÔTE D'IVOIRE</t>
        </is>
      </c>
      <c r="D4" s="17" t="inlineStr">
        <is>
          <t>Consommation de base</t>
        </is>
      </c>
      <c r="E4" s="17" t="inlineStr">
        <is>
          <t>Entreprise (SYSCOHADA)</t>
        </is>
      </c>
      <c r="F4" s="17" t="inlineStr">
        <is>
          <t>Entreprises</t>
        </is>
      </c>
    </row>
    <row r="5">
      <c r="A5" s="17" t="inlineStr">
        <is>
          <t>SICC</t>
        </is>
      </c>
      <c r="B5" s="17" t="inlineStr">
        <is>
          <t>SICOR COTE D'IVOIRE</t>
        </is>
      </c>
      <c r="C5" s="17" t="inlineStr">
        <is>
          <t>CÔTE D'IVOIRE</t>
        </is>
      </c>
      <c r="D5" s="17" t="inlineStr">
        <is>
          <t>Consommation de base</t>
        </is>
      </c>
      <c r="E5" s="17" t="inlineStr">
        <is>
          <t>Entreprise (SYSCOHADA)</t>
        </is>
      </c>
      <c r="F5" s="17" t="inlineStr">
        <is>
          <t>Entreprises</t>
        </is>
      </c>
    </row>
    <row r="6">
      <c r="A6" s="17" t="inlineStr">
        <is>
          <t>SLBC</t>
        </is>
      </c>
      <c r="B6" s="17" t="inlineStr">
        <is>
          <t>SOLIBRA COTE D'IVOIRE</t>
        </is>
      </c>
      <c r="C6" s="17" t="inlineStr">
        <is>
          <t>CÔTE D'IVOIRE</t>
        </is>
      </c>
      <c r="D6" s="17" t="inlineStr">
        <is>
          <t>Consommation de base</t>
        </is>
      </c>
      <c r="E6" s="17" t="inlineStr">
        <is>
          <t>Entreprise (SYSCOHADA)</t>
        </is>
      </c>
      <c r="F6" s="17" t="inlineStr">
        <is>
          <t>Entreprises</t>
        </is>
      </c>
    </row>
    <row r="7">
      <c r="A7" s="17" t="inlineStr">
        <is>
          <t>SOGC</t>
        </is>
      </c>
      <c r="B7" s="17" t="inlineStr">
        <is>
          <t>SOGB COTE D'IVOIRE</t>
        </is>
      </c>
      <c r="C7" s="17" t="inlineStr">
        <is>
          <t>CÔTE D'IVOIRE</t>
        </is>
      </c>
      <c r="D7" s="17" t="inlineStr">
        <is>
          <t>Consommation de base</t>
        </is>
      </c>
      <c r="E7" s="17" t="inlineStr">
        <is>
          <t>Entreprise (SYSCOHADA)</t>
        </is>
      </c>
      <c r="F7" s="17" t="inlineStr">
        <is>
          <t>Entreprises</t>
        </is>
      </c>
    </row>
    <row r="8">
      <c r="A8" s="17" t="inlineStr">
        <is>
          <t>SPHC</t>
        </is>
      </c>
      <c r="B8" s="17" t="inlineStr">
        <is>
          <t>SAPH COTE D'IVOIRE</t>
        </is>
      </c>
      <c r="C8" s="17" t="inlineStr">
        <is>
          <t>CÔTE D'IVOIRE</t>
        </is>
      </c>
      <c r="D8" s="17" t="inlineStr">
        <is>
          <t>Consommation de base</t>
        </is>
      </c>
      <c r="E8" s="17" t="inlineStr">
        <is>
          <t>Entreprise (SYSCOHADA)</t>
        </is>
      </c>
      <c r="F8" s="17" t="inlineStr">
        <is>
          <t>Entreprises</t>
        </is>
      </c>
    </row>
    <row r="9">
      <c r="A9" s="17" t="inlineStr">
        <is>
          <t>STBC</t>
        </is>
      </c>
      <c r="B9" s="17" t="inlineStr">
        <is>
          <t>SITAB COTE D'IVOIRE</t>
        </is>
      </c>
      <c r="C9" s="17" t="inlineStr">
        <is>
          <t>CÔTE D'IVOIRE</t>
        </is>
      </c>
      <c r="D9" s="17" t="inlineStr">
        <is>
          <t>Consommation de base</t>
        </is>
      </c>
      <c r="E9" s="17" t="inlineStr">
        <is>
          <t>Entreprise (SYSCOHADA)</t>
        </is>
      </c>
      <c r="F9" s="17" t="inlineStr">
        <is>
          <t>Entreprises</t>
        </is>
      </c>
    </row>
    <row r="10">
      <c r="A10" s="17" t="inlineStr">
        <is>
          <t>UNLC</t>
        </is>
      </c>
      <c r="B10" s="17" t="inlineStr">
        <is>
          <t>UNILEVER COTE D'IVOIRE</t>
        </is>
      </c>
      <c r="C10" s="17" t="inlineStr">
        <is>
          <t>CÔTE D'IVOIRE</t>
        </is>
      </c>
      <c r="D10" s="17" t="inlineStr">
        <is>
          <t>Consommation de base</t>
        </is>
      </c>
      <c r="E10" s="17" t="inlineStr">
        <is>
          <t>Entreprise (SYSCOHADA)</t>
        </is>
      </c>
      <c r="F10" s="17" t="inlineStr">
        <is>
          <t>Entreprises</t>
        </is>
      </c>
    </row>
    <row r="11">
      <c r="A11" s="17" t="inlineStr">
        <is>
          <t>ABJC</t>
        </is>
      </c>
      <c r="B11" s="17" t="inlineStr">
        <is>
          <t>SERVAIR ABIDJAN COTE D'IVOIRE</t>
        </is>
      </c>
      <c r="C11" s="17" t="inlineStr">
        <is>
          <t>CÔTE D'IVOIRE</t>
        </is>
      </c>
      <c r="D11" s="17" t="inlineStr">
        <is>
          <t>Consommation discrétionnaire</t>
        </is>
      </c>
      <c r="E11" s="17" t="inlineStr">
        <is>
          <t>Entreprise (SYSCOHADA)</t>
        </is>
      </c>
      <c r="F11" s="17" t="inlineStr">
        <is>
          <t>Entreprises</t>
        </is>
      </c>
    </row>
    <row r="12">
      <c r="A12" s="17" t="inlineStr">
        <is>
          <t>BNBC</t>
        </is>
      </c>
      <c r="B12" s="17" t="inlineStr">
        <is>
          <t>BERNABE COTE D'IVOIRE</t>
        </is>
      </c>
      <c r="C12" s="17" t="inlineStr">
        <is>
          <t>CÔTE D'IVOIRE</t>
        </is>
      </c>
      <c r="D12" s="17" t="inlineStr">
        <is>
          <t>Consommation discrétionnaire</t>
        </is>
      </c>
      <c r="E12" s="17" t="inlineStr">
        <is>
          <t>Entreprise (SYSCOHADA)</t>
        </is>
      </c>
      <c r="F12" s="17" t="inlineStr">
        <is>
          <t>Entreprises</t>
        </is>
      </c>
    </row>
    <row r="13">
      <c r="A13" s="17" t="inlineStr">
        <is>
          <t>CFAC</t>
        </is>
      </c>
      <c r="B13" s="17" t="inlineStr">
        <is>
          <t>CFAO MOTORS COTE D'IVOIRE</t>
        </is>
      </c>
      <c r="C13" s="17" t="inlineStr">
        <is>
          <t>CÔTE D'IVOIRE</t>
        </is>
      </c>
      <c r="D13" s="17" t="inlineStr">
        <is>
          <t>Consommation discrétionnaire</t>
        </is>
      </c>
      <c r="E13" s="17" t="inlineStr">
        <is>
          <t>Entreprise (SYSCOHADA)</t>
        </is>
      </c>
      <c r="F13" s="17" t="inlineStr">
        <is>
          <t>Entreprises</t>
        </is>
      </c>
    </row>
    <row r="14">
      <c r="A14" s="17" t="inlineStr">
        <is>
          <t>LNBB</t>
        </is>
      </c>
      <c r="B14" s="17" t="inlineStr">
        <is>
          <t>LOTERIE NATIONALE DU BENIN</t>
        </is>
      </c>
      <c r="C14" s="17" t="inlineStr">
        <is>
          <t>BENIN</t>
        </is>
      </c>
      <c r="D14" s="17" t="inlineStr">
        <is>
          <t>Consommation discrétionnaire</t>
        </is>
      </c>
      <c r="E14" s="17" t="inlineStr">
        <is>
          <t>Entreprise (SYSCOHADA)</t>
        </is>
      </c>
      <c r="F14" s="17" t="inlineStr">
        <is>
          <t>Entreprises</t>
        </is>
      </c>
    </row>
    <row r="15">
      <c r="A15" s="17" t="inlineStr">
        <is>
          <t>NEIC</t>
        </is>
      </c>
      <c r="B15" s="17" t="inlineStr">
        <is>
          <t>NEI-CEDA COTE D'IVOIRE</t>
        </is>
      </c>
      <c r="C15" s="17" t="inlineStr">
        <is>
          <t>CÔTE D'IVOIRE</t>
        </is>
      </c>
      <c r="D15" s="17" t="inlineStr">
        <is>
          <t>Consommation discrétionnaire</t>
        </is>
      </c>
      <c r="E15" s="17" t="inlineStr">
        <is>
          <t>Entreprise (SYSCOHADA)</t>
        </is>
      </c>
      <c r="F15" s="17" t="inlineStr">
        <is>
          <t>Entreprises</t>
        </is>
      </c>
    </row>
    <row r="16">
      <c r="A16" s="17" t="inlineStr">
        <is>
          <t>PRSC</t>
        </is>
      </c>
      <c r="B16" s="17" t="inlineStr">
        <is>
          <t>TRACTAFRIC MOTORS COTE D'IVOIRE</t>
        </is>
      </c>
      <c r="C16" s="17" t="inlineStr">
        <is>
          <t>CÔTE D'IVOIRE</t>
        </is>
      </c>
      <c r="D16" s="17" t="inlineStr">
        <is>
          <t>Consommation discrétionnaire</t>
        </is>
      </c>
      <c r="E16" s="17" t="inlineStr">
        <is>
          <t>Entreprise (SYSCOHADA)</t>
        </is>
      </c>
      <c r="F16" s="17" t="inlineStr">
        <is>
          <t>Entreprises</t>
        </is>
      </c>
    </row>
    <row r="17">
      <c r="A17" s="17" t="inlineStr">
        <is>
          <t>UNXC</t>
        </is>
      </c>
      <c r="B17" s="17" t="inlineStr">
        <is>
          <t>UNIWAX COTE D'IVOIRE</t>
        </is>
      </c>
      <c r="C17" s="17" t="inlineStr">
        <is>
          <t>CÔTE D'IVOIRE</t>
        </is>
      </c>
      <c r="D17" s="17" t="inlineStr">
        <is>
          <t>Consommation discrétionnaire</t>
        </is>
      </c>
      <c r="E17" s="17" t="inlineStr">
        <is>
          <t>Entreprise (SYSCOHADA)</t>
        </is>
      </c>
      <c r="F17" s="17" t="inlineStr">
        <is>
          <t>Entreprises</t>
        </is>
      </c>
    </row>
    <row r="18">
      <c r="A18" s="17" t="inlineStr">
        <is>
          <t>CABC</t>
        </is>
      </c>
      <c r="B18" s="17" t="inlineStr">
        <is>
          <t>SICABLE COTE D'IVOIRE</t>
        </is>
      </c>
      <c r="C18" s="17" t="inlineStr">
        <is>
          <t>CÔTE D'IVOIRE</t>
        </is>
      </c>
      <c r="D18" s="17" t="inlineStr">
        <is>
          <t>Industriels</t>
        </is>
      </c>
      <c r="E18" s="17" t="inlineStr">
        <is>
          <t>Entreprise (SYSCOHADA)</t>
        </is>
      </c>
      <c r="F18" s="17" t="inlineStr">
        <is>
          <t>Entreprises</t>
        </is>
      </c>
    </row>
    <row r="19">
      <c r="A19" s="17" t="inlineStr">
        <is>
          <t>FTSC</t>
        </is>
      </c>
      <c r="B19" s="17" t="inlineStr">
        <is>
          <t>FILTISAC COTE D'IVOIRE</t>
        </is>
      </c>
      <c r="C19" s="17" t="inlineStr">
        <is>
          <t>CÔTE D'IVOIRE</t>
        </is>
      </c>
      <c r="D19" s="17" t="inlineStr">
        <is>
          <t>Industriels</t>
        </is>
      </c>
      <c r="E19" s="17" t="inlineStr">
        <is>
          <t>Entreprise (SYSCOHADA)</t>
        </is>
      </c>
      <c r="F19" s="17" t="inlineStr">
        <is>
          <t>Entreprises</t>
        </is>
      </c>
    </row>
    <row r="20">
      <c r="A20" s="17" t="inlineStr">
        <is>
          <t>SDSC</t>
        </is>
      </c>
      <c r="B20" s="17" t="inlineStr">
        <is>
          <t>BOLLORE TRANSPORT &amp; LOGISTICS COTE D'IVOIRE</t>
        </is>
      </c>
      <c r="C20" s="17" t="inlineStr">
        <is>
          <t>CÔTE D'IVOIRE</t>
        </is>
      </c>
      <c r="D20" s="17" t="inlineStr">
        <is>
          <t>Industriels</t>
        </is>
      </c>
      <c r="E20" s="17" t="inlineStr">
        <is>
          <t>Entreprise (SYSCOHADA)</t>
        </is>
      </c>
      <c r="F20" s="17" t="inlineStr">
        <is>
          <t>Entreprises</t>
        </is>
      </c>
    </row>
    <row r="21">
      <c r="A21" s="17" t="inlineStr">
        <is>
          <t>SEMC</t>
        </is>
      </c>
      <c r="B21" s="17" t="inlineStr">
        <is>
          <t>EVIOSYS PACKAGING SIEM COTE D'IVOIRE</t>
        </is>
      </c>
      <c r="C21" s="17" t="inlineStr">
        <is>
          <t>CÔTE D'IVOIRE</t>
        </is>
      </c>
      <c r="D21" s="17" t="inlineStr">
        <is>
          <t>Industriels</t>
        </is>
      </c>
      <c r="E21" s="17" t="inlineStr">
        <is>
          <t>Entreprise (SYSCOHADA)</t>
        </is>
      </c>
      <c r="F21" s="17" t="inlineStr">
        <is>
          <t>Entreprises</t>
        </is>
      </c>
    </row>
    <row r="22">
      <c r="A22" s="17" t="inlineStr">
        <is>
          <t>SIVC</t>
        </is>
      </c>
      <c r="B22" s="17" t="inlineStr">
        <is>
          <t>AIR LIQUIDE COTE D'IVOIRE</t>
        </is>
      </c>
      <c r="C22" s="17" t="inlineStr">
        <is>
          <t>CÔTE D'IVOIRE</t>
        </is>
      </c>
      <c r="D22" s="17" t="inlineStr">
        <is>
          <t>Industriels</t>
        </is>
      </c>
      <c r="E22" s="17" t="inlineStr">
        <is>
          <t>Entreprise (SYSCOHADA)</t>
        </is>
      </c>
      <c r="F22" s="17" t="inlineStr">
        <is>
          <t>Entreprises</t>
        </is>
      </c>
    </row>
    <row r="23">
      <c r="A23" s="17" t="inlineStr">
        <is>
          <t>STAC</t>
        </is>
      </c>
      <c r="B23" s="17" t="inlineStr">
        <is>
          <t>SETAO COTE D'IVOIRE</t>
        </is>
      </c>
      <c r="C23" s="17" t="inlineStr">
        <is>
          <t>CÔTE D'IVOIRE</t>
        </is>
      </c>
      <c r="D23" s="17" t="inlineStr">
        <is>
          <t>Industriels</t>
        </is>
      </c>
      <c r="E23" s="17" t="inlineStr">
        <is>
          <t>Entreprise (SYSCOHADA)</t>
        </is>
      </c>
      <c r="F23" s="17" t="inlineStr">
        <is>
          <t>Entreprises</t>
        </is>
      </c>
    </row>
    <row r="24">
      <c r="A24" s="17" t="inlineStr">
        <is>
          <t>ETIT</t>
        </is>
      </c>
      <c r="B24" s="17" t="inlineStr">
        <is>
          <t>ECOBANK TRANSNATIONAL INCORPORATED TOGO</t>
        </is>
      </c>
      <c r="C24" s="17" t="inlineStr">
        <is>
          <t>TOGO</t>
        </is>
      </c>
      <c r="D24" s="17" t="inlineStr">
        <is>
          <t>Services financiers</t>
        </is>
      </c>
      <c r="E24" s="17" t="inlineStr">
        <is>
          <t>Entreprise (normes IFRS)</t>
        </is>
      </c>
      <c r="F24" s="17" t="inlineStr">
        <is>
          <t>Entreprises</t>
        </is>
      </c>
    </row>
    <row r="25">
      <c r="A25" s="17" t="inlineStr">
        <is>
          <t>ORGT</t>
        </is>
      </c>
      <c r="B25" s="17" t="inlineStr">
        <is>
          <t>ORAGROUP TOGO</t>
        </is>
      </c>
      <c r="C25" s="17" t="inlineStr">
        <is>
          <t>TOGO</t>
        </is>
      </c>
      <c r="D25" s="17" t="inlineStr">
        <is>
          <t>Services financiers</t>
        </is>
      </c>
      <c r="E25" s="17" t="inlineStr">
        <is>
          <t>Entreprise (normes IFRS)</t>
        </is>
      </c>
      <c r="F25" s="17" t="inlineStr">
        <is>
          <t>Entreprises</t>
        </is>
      </c>
    </row>
    <row r="26">
      <c r="A26" s="17" t="inlineStr">
        <is>
          <t>CIEC</t>
        </is>
      </c>
      <c r="B26" s="17" t="inlineStr">
        <is>
          <t>CIE COTE D'IVOIRE</t>
        </is>
      </c>
      <c r="C26" s="17" t="inlineStr">
        <is>
          <t>CÔTE D'IVOIRE</t>
        </is>
      </c>
      <c r="D26" s="17" t="inlineStr">
        <is>
          <t>Services publics</t>
        </is>
      </c>
      <c r="E26" s="17" t="inlineStr">
        <is>
          <t>Entreprise (SYSCOHADA)</t>
        </is>
      </c>
      <c r="F26" s="17" t="inlineStr">
        <is>
          <t>Entreprises</t>
        </is>
      </c>
    </row>
    <row r="27">
      <c r="A27" s="17" t="inlineStr">
        <is>
          <t>SDCC</t>
        </is>
      </c>
      <c r="B27" s="17" t="inlineStr">
        <is>
          <t>SODE COTE D'IVOIRE</t>
        </is>
      </c>
      <c r="C27" s="17" t="inlineStr">
        <is>
          <t>CÔTE D'IVOIRE</t>
        </is>
      </c>
      <c r="D27" s="17" t="inlineStr">
        <is>
          <t>Services publics</t>
        </is>
      </c>
      <c r="E27" s="17" t="inlineStr">
        <is>
          <t>Entreprise (SYSCOHADA)</t>
        </is>
      </c>
      <c r="F27" s="17" t="inlineStr">
        <is>
          <t>Entreprises</t>
        </is>
      </c>
    </row>
    <row r="28">
      <c r="A28" s="17" t="inlineStr">
        <is>
          <t>ONTBF</t>
        </is>
      </c>
      <c r="B28" s="17" t="inlineStr">
        <is>
          <t>ONATEL BURKINA FASO</t>
        </is>
      </c>
      <c r="C28" s="17" t="inlineStr">
        <is>
          <t>BURKINA FASO</t>
        </is>
      </c>
      <c r="D28" s="17" t="inlineStr">
        <is>
          <t>Télécommunications</t>
        </is>
      </c>
      <c r="E28" s="17" t="inlineStr">
        <is>
          <t>Entreprise (SYSCOHADA)</t>
        </is>
      </c>
      <c r="F28" s="17" t="inlineStr">
        <is>
          <t>Entreprises</t>
        </is>
      </c>
    </row>
    <row r="29">
      <c r="A29" s="17" t="inlineStr">
        <is>
          <t>ORAC</t>
        </is>
      </c>
      <c r="B29" s="17" t="inlineStr">
        <is>
          <t>ORANGE COTE D'IVOIRE</t>
        </is>
      </c>
      <c r="C29" s="17" t="inlineStr">
        <is>
          <t>CÔTE D'IVOIRE</t>
        </is>
      </c>
      <c r="D29" s="17" t="inlineStr">
        <is>
          <t>Télécommunications</t>
        </is>
      </c>
      <c r="E29" s="17" t="inlineStr">
        <is>
          <t>Entreprise (normes IFRS)</t>
        </is>
      </c>
      <c r="F29" s="17" t="inlineStr">
        <is>
          <t>Entreprises</t>
        </is>
      </c>
    </row>
    <row r="30">
      <c r="A30" s="17" t="inlineStr">
        <is>
          <t>SNTS</t>
        </is>
      </c>
      <c r="B30" s="17" t="inlineStr">
        <is>
          <t>SONATEL SENEGAL</t>
        </is>
      </c>
      <c r="C30" s="17" t="inlineStr">
        <is>
          <t>SÉNÉGAL</t>
        </is>
      </c>
      <c r="D30" s="17" t="inlineStr">
        <is>
          <t>Télécommunications</t>
        </is>
      </c>
      <c r="E30" s="17" t="inlineStr">
        <is>
          <t>Entreprise (normes IFRS)</t>
        </is>
      </c>
      <c r="F30" s="17" t="inlineStr">
        <is>
          <t>Entreprises</t>
        </is>
      </c>
    </row>
    <row r="31">
      <c r="A31" s="17" t="inlineStr">
        <is>
          <t>SHEC</t>
        </is>
      </c>
      <c r="B31" s="17" t="inlineStr">
        <is>
          <t>VIVO ENERGY COTE D'IVOIRE</t>
        </is>
      </c>
      <c r="C31" s="17" t="inlineStr">
        <is>
          <t>CÔTE D'IVOIRE</t>
        </is>
      </c>
      <c r="D31" s="17" t="inlineStr">
        <is>
          <t>Énergie</t>
        </is>
      </c>
      <c r="E31" s="17" t="inlineStr">
        <is>
          <t>Entreprise (SYSCOHADA)</t>
        </is>
      </c>
      <c r="F31" s="17" t="inlineStr">
        <is>
          <t>Entreprises</t>
        </is>
      </c>
    </row>
    <row r="32">
      <c r="A32" s="17" t="inlineStr">
        <is>
          <t>SMBC</t>
        </is>
      </c>
      <c r="B32" s="17" t="inlineStr">
        <is>
          <t>SMB COTE D'IVOIRE</t>
        </is>
      </c>
      <c r="C32" s="17" t="inlineStr">
        <is>
          <t>CÔTE D'IVOIRE</t>
        </is>
      </c>
      <c r="D32" s="17" t="inlineStr">
        <is>
          <t>Énergie</t>
        </is>
      </c>
      <c r="E32" s="17" t="inlineStr">
        <is>
          <t>Entreprise (SYSCOHADA)</t>
        </is>
      </c>
      <c r="F32" s="17" t="inlineStr">
        <is>
          <t>Entreprises</t>
        </is>
      </c>
    </row>
    <row r="33">
      <c r="A33" s="17" t="inlineStr">
        <is>
          <t>TTLC</t>
        </is>
      </c>
      <c r="B33" s="17" t="inlineStr">
        <is>
          <t>TOTAL COTE D'IVOIRE</t>
        </is>
      </c>
      <c r="C33" s="17" t="inlineStr">
        <is>
          <t>CÔTE D'IVOIRE</t>
        </is>
      </c>
      <c r="D33" s="17" t="inlineStr">
        <is>
          <t>Énergie</t>
        </is>
      </c>
      <c r="E33" s="17" t="inlineStr">
        <is>
          <t>Entreprise (SYSCOHADA)</t>
        </is>
      </c>
      <c r="F33" s="17" t="inlineStr">
        <is>
          <t>Entreprises</t>
        </is>
      </c>
    </row>
    <row r="34">
      <c r="A34" s="17" t="inlineStr">
        <is>
          <t>TTLS</t>
        </is>
      </c>
      <c r="B34" s="17" t="inlineStr">
        <is>
          <t>TOTAL SENEGAL</t>
        </is>
      </c>
      <c r="C34" s="17" t="inlineStr">
        <is>
          <t>SÉNÉGAL</t>
        </is>
      </c>
      <c r="D34" s="17" t="inlineStr">
        <is>
          <t>Énergie</t>
        </is>
      </c>
      <c r="E34" s="17" t="inlineStr">
        <is>
          <t>Entreprise (SYSCOHADA)</t>
        </is>
      </c>
      <c r="F34" s="17" t="inlineStr">
        <is>
          <t>Entreprises</t>
        </is>
      </c>
    </row>
    <row r="35">
      <c r="A35" s="17" t="inlineStr">
        <is>
          <t>BBGC</t>
        </is>
      </c>
      <c r="B35" s="17" t="inlineStr">
        <is>
          <t>BRIDGE BANK GROUP COTE D'IVOIRE</t>
        </is>
      </c>
      <c r="C35" s="17" t="inlineStr">
        <is>
          <t>CÔTE D'IVOIRE</t>
        </is>
      </c>
      <c r="D35" s="17" t="inlineStr">
        <is>
          <t>Services financiers</t>
        </is>
      </c>
      <c r="E35" s="17" t="inlineStr">
        <is>
          <t>Banque ou établissement financier</t>
        </is>
      </c>
      <c r="F35" s="17" t="inlineStr">
        <is>
          <t>Banques</t>
        </is>
      </c>
    </row>
    <row r="36">
      <c r="A36" s="17" t="inlineStr">
        <is>
          <t>BICB</t>
        </is>
      </c>
      <c r="B36" s="17" t="inlineStr">
        <is>
          <t>BIIC BENIN</t>
        </is>
      </c>
      <c r="C36" s="17" t="inlineStr">
        <is>
          <t>BENIN</t>
        </is>
      </c>
      <c r="D36" s="17" t="inlineStr">
        <is>
          <t>Services financiers</t>
        </is>
      </c>
      <c r="E36" s="17" t="inlineStr">
        <is>
          <t>Banque ou établissement financier</t>
        </is>
      </c>
      <c r="F36" s="17" t="inlineStr">
        <is>
          <t>Banques</t>
        </is>
      </c>
    </row>
    <row r="37">
      <c r="A37" s="17" t="inlineStr">
        <is>
          <t>BICC</t>
        </is>
      </c>
      <c r="B37" s="17" t="inlineStr">
        <is>
          <t>BICI COTE D'IVOIRE</t>
        </is>
      </c>
      <c r="C37" s="17" t="inlineStr">
        <is>
          <t>CÔTE D'IVOIRE</t>
        </is>
      </c>
      <c r="D37" s="17" t="inlineStr">
        <is>
          <t>Services financiers</t>
        </is>
      </c>
      <c r="E37" s="17" t="inlineStr">
        <is>
          <t>Banque ou établissement financier</t>
        </is>
      </c>
      <c r="F37" s="17" t="inlineStr">
        <is>
          <t>Banques</t>
        </is>
      </c>
    </row>
    <row r="38">
      <c r="A38" s="17" t="inlineStr">
        <is>
          <t>BOAB</t>
        </is>
      </c>
      <c r="B38" s="17" t="inlineStr">
        <is>
          <t>BANK OF AFRICA BENIN</t>
        </is>
      </c>
      <c r="C38" s="17" t="inlineStr">
        <is>
          <t>BENIN</t>
        </is>
      </c>
      <c r="D38" s="17" t="inlineStr">
        <is>
          <t>Services financiers</t>
        </is>
      </c>
      <c r="E38" s="17" t="inlineStr">
        <is>
          <t>Banque ou établissement financier</t>
        </is>
      </c>
      <c r="F38" s="17" t="inlineStr">
        <is>
          <t>Banques</t>
        </is>
      </c>
    </row>
    <row r="39">
      <c r="A39" s="17" t="inlineStr">
        <is>
          <t>BOABF</t>
        </is>
      </c>
      <c r="B39" s="17" t="inlineStr">
        <is>
          <t>BANK OF AFRICA BURKINA FASO</t>
        </is>
      </c>
      <c r="C39" s="17" t="inlineStr">
        <is>
          <t>BURKINA FASO</t>
        </is>
      </c>
      <c r="D39" s="17" t="inlineStr">
        <is>
          <t>Services financiers</t>
        </is>
      </c>
      <c r="E39" s="17" t="inlineStr">
        <is>
          <t>Banque ou établissement financier</t>
        </is>
      </c>
      <c r="F39" s="17" t="inlineStr">
        <is>
          <t>Banques</t>
        </is>
      </c>
    </row>
    <row r="40">
      <c r="A40" s="17" t="inlineStr">
        <is>
          <t>BOAC</t>
        </is>
      </c>
      <c r="B40" s="17" t="inlineStr">
        <is>
          <t>BANK OF AFRICA COTE D'IVOIRE</t>
        </is>
      </c>
      <c r="C40" s="17" t="inlineStr">
        <is>
          <t>CÔTE D'IVOIRE</t>
        </is>
      </c>
      <c r="D40" s="17" t="inlineStr">
        <is>
          <t>Services financiers</t>
        </is>
      </c>
      <c r="E40" s="17" t="inlineStr">
        <is>
          <t>Banque ou établissement financier</t>
        </is>
      </c>
      <c r="F40" s="17" t="inlineStr">
        <is>
          <t>Banques</t>
        </is>
      </c>
    </row>
    <row r="41">
      <c r="A41" s="17" t="inlineStr">
        <is>
          <t>BOAM</t>
        </is>
      </c>
      <c r="B41" s="17" t="inlineStr">
        <is>
          <t>BANK OF AFRICA MALI</t>
        </is>
      </c>
      <c r="C41" s="17" t="inlineStr">
        <is>
          <t>MALI</t>
        </is>
      </c>
      <c r="D41" s="17" t="inlineStr">
        <is>
          <t>Services financiers</t>
        </is>
      </c>
      <c r="E41" s="17" t="inlineStr">
        <is>
          <t>Banque ou établissement financier</t>
        </is>
      </c>
      <c r="F41" s="17" t="inlineStr">
        <is>
          <t>Banques</t>
        </is>
      </c>
    </row>
    <row r="42">
      <c r="A42" s="17" t="inlineStr">
        <is>
          <t>BOAN</t>
        </is>
      </c>
      <c r="B42" s="17" t="inlineStr">
        <is>
          <t>BANK OF AFRICA NIGER</t>
        </is>
      </c>
      <c r="C42" s="17" t="inlineStr">
        <is>
          <t>NIGER</t>
        </is>
      </c>
      <c r="D42" s="17" t="inlineStr">
        <is>
          <t>Services financiers</t>
        </is>
      </c>
      <c r="E42" s="17" t="inlineStr">
        <is>
          <t>Banque ou établissement financier</t>
        </is>
      </c>
      <c r="F42" s="17" t="inlineStr">
        <is>
          <t>Banques</t>
        </is>
      </c>
    </row>
    <row r="43">
      <c r="A43" s="17" t="inlineStr">
        <is>
          <t>BOAS</t>
        </is>
      </c>
      <c r="B43" s="17" t="inlineStr">
        <is>
          <t>BANK OF AFRICA SENEGAL</t>
        </is>
      </c>
      <c r="C43" s="17" t="inlineStr">
        <is>
          <t>SÉNÉGAL</t>
        </is>
      </c>
      <c r="D43" s="17" t="inlineStr">
        <is>
          <t>Services financiers</t>
        </is>
      </c>
      <c r="E43" s="17" t="inlineStr">
        <is>
          <t>Banque ou établissement financier</t>
        </is>
      </c>
      <c r="F43" s="17" t="inlineStr">
        <is>
          <t>Banques</t>
        </is>
      </c>
    </row>
    <row r="44">
      <c r="A44" s="17" t="inlineStr">
        <is>
          <t>CBIBF</t>
        </is>
      </c>
      <c r="B44" s="17" t="inlineStr">
        <is>
          <t>CORIS BANK INTERNATIONAL BURKINA FASO</t>
        </is>
      </c>
      <c r="C44" s="17" t="inlineStr">
        <is>
          <t>BURKINA FASO</t>
        </is>
      </c>
      <c r="D44" s="17" t="inlineStr">
        <is>
          <t>Services financiers</t>
        </is>
      </c>
      <c r="E44" s="17" t="inlineStr">
        <is>
          <t>Banque ou établissement financier</t>
        </is>
      </c>
      <c r="F44" s="17" t="inlineStr">
        <is>
          <t>Banques</t>
        </is>
      </c>
    </row>
    <row r="45">
      <c r="A45" s="17" t="inlineStr">
        <is>
          <t>ECOC</t>
        </is>
      </c>
      <c r="B45" s="17" t="inlineStr">
        <is>
          <t>ECOBANK COTE D'IVOIRE</t>
        </is>
      </c>
      <c r="C45" s="17" t="inlineStr">
        <is>
          <t>CÔTE D'IVOIRE</t>
        </is>
      </c>
      <c r="D45" s="17" t="inlineStr">
        <is>
          <t>Services financiers</t>
        </is>
      </c>
      <c r="E45" s="17" t="inlineStr">
        <is>
          <t>Banque ou établissement financier</t>
        </is>
      </c>
      <c r="F45" s="17" t="inlineStr">
        <is>
          <t>Banques</t>
        </is>
      </c>
    </row>
    <row r="46">
      <c r="A46" s="17" t="inlineStr">
        <is>
          <t>NSBC</t>
        </is>
      </c>
      <c r="B46" s="17" t="inlineStr">
        <is>
          <t>NSIA BANQUE COTE D'IVOIRE</t>
        </is>
      </c>
      <c r="C46" s="17" t="inlineStr">
        <is>
          <t>CÔTE D'IVOIRE</t>
        </is>
      </c>
      <c r="D46" s="17" t="inlineStr">
        <is>
          <t>Services financiers</t>
        </is>
      </c>
      <c r="E46" s="17" t="inlineStr">
        <is>
          <t>Banque ou établissement financier</t>
        </is>
      </c>
      <c r="F46" s="17" t="inlineStr">
        <is>
          <t>Banques</t>
        </is>
      </c>
    </row>
    <row r="47">
      <c r="A47" s="17" t="inlineStr">
        <is>
          <t>SAFC</t>
        </is>
      </c>
      <c r="B47" s="17" t="inlineStr">
        <is>
          <t>SAFCA COTE D'IVOIRE</t>
        </is>
      </c>
      <c r="C47" s="17" t="inlineStr">
        <is>
          <t>CÔTE D'IVOIRE</t>
        </is>
      </c>
      <c r="D47" s="17" t="inlineStr">
        <is>
          <t>Services financiers</t>
        </is>
      </c>
      <c r="E47" s="17" t="inlineStr">
        <is>
          <t>Banque ou établissement financier</t>
        </is>
      </c>
      <c r="F47" s="17" t="inlineStr">
        <is>
          <t>Banques</t>
        </is>
      </c>
    </row>
    <row r="48">
      <c r="A48" s="17" t="inlineStr">
        <is>
          <t>SGBC</t>
        </is>
      </c>
      <c r="B48" s="17" t="inlineStr">
        <is>
          <t>SOCIETE GENERALE COTE D'IVOIRE</t>
        </is>
      </c>
      <c r="C48" s="17" t="inlineStr">
        <is>
          <t>CÔTE D'IVOIRE</t>
        </is>
      </c>
      <c r="D48" s="17" t="inlineStr">
        <is>
          <t>Services financiers</t>
        </is>
      </c>
      <c r="E48" s="17" t="inlineStr">
        <is>
          <t>Banque ou établissement financier</t>
        </is>
      </c>
      <c r="F48" s="17" t="inlineStr">
        <is>
          <t>Banques</t>
        </is>
      </c>
    </row>
    <row r="49">
      <c r="A49" s="17" t="inlineStr">
        <is>
          <t>SIBC</t>
        </is>
      </c>
      <c r="B49" s="17" t="inlineStr">
        <is>
          <t>SOCIETE IVOIRIENNE DE BANQUE COTE D'IVOIRE</t>
        </is>
      </c>
      <c r="C49" s="17" t="inlineStr">
        <is>
          <t>CÔTE D'IVOIRE</t>
        </is>
      </c>
      <c r="D49" s="17" t="inlineStr">
        <is>
          <t>Services financiers</t>
        </is>
      </c>
      <c r="E49" s="17" t="inlineStr">
        <is>
          <t>Banque ou établissement financier</t>
        </is>
      </c>
      <c r="F49" s="17" t="inlineStr">
        <is>
          <t>Banques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2026-10-19T17:17:56Z</dcterms:created>
  <dcterms:modified xmlns:dcterms="http://purl.org/dc/terms/" xmlns:xsi="http://www.w3.org/2001/XMLSchema-instance" xsi:type="dcterms:W3CDTF">2026-10-19T17:17:56Z</dcterms:modified>
</cp:coreProperties>
</file>